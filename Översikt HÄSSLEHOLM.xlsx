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45880</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45880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45880</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45880</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45880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45880</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45880</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45880</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45880</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4619-2025</t>
        </is>
      </c>
      <c r="B25" s="1" t="n">
        <v>45687</v>
      </c>
      <c r="C25" s="1" t="n">
        <v>45880</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6634-2024</t>
        </is>
      </c>
      <c r="B26" s="1" t="n">
        <v>45341</v>
      </c>
      <c r="C26" s="1" t="n">
        <v>45880</v>
      </c>
      <c r="D26" t="inlineStr">
        <is>
          <t>SKÅNE LÄN</t>
        </is>
      </c>
      <c r="E26" t="inlineStr">
        <is>
          <t>HÄSSLEHOLM</t>
        </is>
      </c>
      <c r="G26" t="n">
        <v>1.9</v>
      </c>
      <c r="H26" t="n">
        <v>0</v>
      </c>
      <c r="I26" t="n">
        <v>0</v>
      </c>
      <c r="J26" t="n">
        <v>0</v>
      </c>
      <c r="K26" t="n">
        <v>1</v>
      </c>
      <c r="L26" t="n">
        <v>0</v>
      </c>
      <c r="M26" t="n">
        <v>0</v>
      </c>
      <c r="N26" t="n">
        <v>0</v>
      </c>
      <c r="O26" t="n">
        <v>1</v>
      </c>
      <c r="P26" t="n">
        <v>1</v>
      </c>
      <c r="Q26" t="n">
        <v>1</v>
      </c>
      <c r="R26" s="2" t="inlineStr">
        <is>
          <t>Revig blodrot</t>
        </is>
      </c>
      <c r="S26">
        <f>HYPERLINK("https://klasma.github.io/Logging_1293/artfynd/A 6634-2024 artfynd.xlsx", "A 6634-2024")</f>
        <v/>
      </c>
      <c r="T26">
        <f>HYPERLINK("https://klasma.github.io/Logging_1293/kartor/A 6634-2024 karta.png", "A 6634-2024")</f>
        <v/>
      </c>
      <c r="V26">
        <f>HYPERLINK("https://klasma.github.io/Logging_1293/klagomål/A 6634-2024 FSC-klagomål.docx", "A 6634-2024")</f>
        <v/>
      </c>
      <c r="W26">
        <f>HYPERLINK("https://klasma.github.io/Logging_1293/klagomålsmail/A 6634-2024 FSC-klagomål mail.docx", "A 6634-2024")</f>
        <v/>
      </c>
      <c r="X26">
        <f>HYPERLINK("https://klasma.github.io/Logging_1293/tillsyn/A 6634-2024 tillsynsbegäran.docx", "A 6634-2024")</f>
        <v/>
      </c>
      <c r="Y26">
        <f>HYPERLINK("https://klasma.github.io/Logging_1293/tillsynsmail/A 6634-2024 tillsynsbegäran mail.docx", "A 6634-2024")</f>
        <v/>
      </c>
    </row>
    <row r="27" ht="15" customHeight="1">
      <c r="A27" t="inlineStr">
        <is>
          <t>A 60925-2024</t>
        </is>
      </c>
      <c r="B27" s="1" t="n">
        <v>45645.3550462963</v>
      </c>
      <c r="C27" s="1" t="n">
        <v>45880</v>
      </c>
      <c r="D27" t="inlineStr">
        <is>
          <t>SKÅNE LÄN</t>
        </is>
      </c>
      <c r="E27" t="inlineStr">
        <is>
          <t>HÄSSLEHOLM</t>
        </is>
      </c>
      <c r="G27" t="n">
        <v>1.8</v>
      </c>
      <c r="H27" t="n">
        <v>0</v>
      </c>
      <c r="I27" t="n">
        <v>0</v>
      </c>
      <c r="J27" t="n">
        <v>0</v>
      </c>
      <c r="K27" t="n">
        <v>0</v>
      </c>
      <c r="L27" t="n">
        <v>1</v>
      </c>
      <c r="M27" t="n">
        <v>0</v>
      </c>
      <c r="N27" t="n">
        <v>0</v>
      </c>
      <c r="O27" t="n">
        <v>1</v>
      </c>
      <c r="P27" t="n">
        <v>1</v>
      </c>
      <c r="Q27" t="n">
        <v>1</v>
      </c>
      <c r="R27" s="2" t="inlineStr">
        <is>
          <t>Ask</t>
        </is>
      </c>
      <c r="S27">
        <f>HYPERLINK("https://klasma.github.io/Logging_1293/artfynd/A 60925-2024 artfynd.xlsx", "A 60925-2024")</f>
        <v/>
      </c>
      <c r="T27">
        <f>HYPERLINK("https://klasma.github.io/Logging_1293/kartor/A 60925-2024 karta.png", "A 60925-2024")</f>
        <v/>
      </c>
      <c r="V27">
        <f>HYPERLINK("https://klasma.github.io/Logging_1293/klagomål/A 60925-2024 FSC-klagomål.docx", "A 60925-2024")</f>
        <v/>
      </c>
      <c r="W27">
        <f>HYPERLINK("https://klasma.github.io/Logging_1293/klagomålsmail/A 60925-2024 FSC-klagomål mail.docx", "A 60925-2024")</f>
        <v/>
      </c>
      <c r="X27">
        <f>HYPERLINK("https://klasma.github.io/Logging_1293/tillsyn/A 60925-2024 tillsynsbegäran.docx", "A 60925-2024")</f>
        <v/>
      </c>
      <c r="Y27">
        <f>HYPERLINK("https://klasma.github.io/Logging_1293/tillsynsmail/A 60925-2024 tillsynsbegäran mail.docx", "A 60925-2024")</f>
        <v/>
      </c>
    </row>
    <row r="28" ht="15" customHeight="1">
      <c r="A28" t="inlineStr">
        <is>
          <t>A 9289-2025</t>
        </is>
      </c>
      <c r="B28" s="1" t="n">
        <v>45714</v>
      </c>
      <c r="C28" s="1" t="n">
        <v>45880</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45880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54523-2024</t>
        </is>
      </c>
      <c r="B30" s="1" t="n">
        <v>45617</v>
      </c>
      <c r="C30" s="1" t="n">
        <v>45880</v>
      </c>
      <c r="D30" t="inlineStr">
        <is>
          <t>SKÅNE LÄN</t>
        </is>
      </c>
      <c r="E30" t="inlineStr">
        <is>
          <t>HÄSSLEHOLM</t>
        </is>
      </c>
      <c r="G30" t="n">
        <v>4.5</v>
      </c>
      <c r="H30" t="n">
        <v>1</v>
      </c>
      <c r="I30" t="n">
        <v>0</v>
      </c>
      <c r="J30" t="n">
        <v>0</v>
      </c>
      <c r="K30" t="n">
        <v>0</v>
      </c>
      <c r="L30" t="n">
        <v>0</v>
      </c>
      <c r="M30" t="n">
        <v>0</v>
      </c>
      <c r="N30" t="n">
        <v>0</v>
      </c>
      <c r="O30" t="n">
        <v>0</v>
      </c>
      <c r="P30" t="n">
        <v>0</v>
      </c>
      <c r="Q30" t="n">
        <v>1</v>
      </c>
      <c r="R30" s="2" t="inlineStr">
        <is>
          <t>Grönvit nattviol</t>
        </is>
      </c>
      <c r="S30">
        <f>HYPERLINK("https://klasma.github.io/Logging_1293/artfynd/A 54523-2024 artfynd.xlsx", "A 54523-2024")</f>
        <v/>
      </c>
      <c r="T30">
        <f>HYPERLINK("https://klasma.github.io/Logging_1293/kartor/A 54523-2024 karta.png", "A 54523-2024")</f>
        <v/>
      </c>
      <c r="V30">
        <f>HYPERLINK("https://klasma.github.io/Logging_1293/klagomål/A 54523-2024 FSC-klagomål.docx", "A 54523-2024")</f>
        <v/>
      </c>
      <c r="W30">
        <f>HYPERLINK("https://klasma.github.io/Logging_1293/klagomålsmail/A 54523-2024 FSC-klagomål mail.docx", "A 54523-2024")</f>
        <v/>
      </c>
      <c r="X30">
        <f>HYPERLINK("https://klasma.github.io/Logging_1293/tillsyn/A 54523-2024 tillsynsbegäran.docx", "A 54523-2024")</f>
        <v/>
      </c>
      <c r="Y30">
        <f>HYPERLINK("https://klasma.github.io/Logging_1293/tillsynsmail/A 54523-2024 tillsynsbegäran mail.docx", "A 54523-2024")</f>
        <v/>
      </c>
    </row>
    <row r="31" ht="15" customHeight="1">
      <c r="A31" t="inlineStr">
        <is>
          <t>A 8223-2025</t>
        </is>
      </c>
      <c r="B31" s="1" t="n">
        <v>45708.46127314815</v>
      </c>
      <c r="C31" s="1" t="n">
        <v>45880</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4725-2025</t>
        </is>
      </c>
      <c r="B32" s="1" t="n">
        <v>45688.42583333333</v>
      </c>
      <c r="C32" s="1" t="n">
        <v>45880</v>
      </c>
      <c r="D32" t="inlineStr">
        <is>
          <t>SKÅNE LÄN</t>
        </is>
      </c>
      <c r="E32" t="inlineStr">
        <is>
          <t>HÄSSLEHOLM</t>
        </is>
      </c>
      <c r="G32" t="n">
        <v>5.5</v>
      </c>
      <c r="H32" t="n">
        <v>1</v>
      </c>
      <c r="I32" t="n">
        <v>0</v>
      </c>
      <c r="J32" t="n">
        <v>0</v>
      </c>
      <c r="K32" t="n">
        <v>0</v>
      </c>
      <c r="L32" t="n">
        <v>0</v>
      </c>
      <c r="M32" t="n">
        <v>0</v>
      </c>
      <c r="N32" t="n">
        <v>0</v>
      </c>
      <c r="O32" t="n">
        <v>0</v>
      </c>
      <c r="P32" t="n">
        <v>0</v>
      </c>
      <c r="Q32" t="n">
        <v>1</v>
      </c>
      <c r="R32" s="2" t="inlineStr">
        <is>
          <t>Grönvit nattviol</t>
        </is>
      </c>
      <c r="S32">
        <f>HYPERLINK("https://klasma.github.io/Logging_1293/artfynd/A 4725-2025 artfynd.xlsx", "A 4725-2025")</f>
        <v/>
      </c>
      <c r="T32">
        <f>HYPERLINK("https://klasma.github.io/Logging_1293/kartor/A 4725-2025 karta.png", "A 4725-2025")</f>
        <v/>
      </c>
      <c r="V32">
        <f>HYPERLINK("https://klasma.github.io/Logging_1293/klagomål/A 4725-2025 FSC-klagomål.docx", "A 4725-2025")</f>
        <v/>
      </c>
      <c r="W32">
        <f>HYPERLINK("https://klasma.github.io/Logging_1293/klagomålsmail/A 4725-2025 FSC-klagomål mail.docx", "A 4725-2025")</f>
        <v/>
      </c>
      <c r="X32">
        <f>HYPERLINK("https://klasma.github.io/Logging_1293/tillsyn/A 4725-2025 tillsynsbegäran.docx", "A 4725-2025")</f>
        <v/>
      </c>
      <c r="Y32">
        <f>HYPERLINK("https://klasma.github.io/Logging_1293/tillsynsmail/A 4725-2025 tillsynsbegäran mail.docx", "A 4725-2025")</f>
        <v/>
      </c>
    </row>
    <row r="33" ht="15" customHeight="1">
      <c r="A33" t="inlineStr">
        <is>
          <t>A 27390-2025</t>
        </is>
      </c>
      <c r="B33" s="1" t="n">
        <v>45812.67840277778</v>
      </c>
      <c r="C33" s="1" t="n">
        <v>45880</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16107-2025</t>
        </is>
      </c>
      <c r="B34" s="1" t="n">
        <v>45750.34537037037</v>
      </c>
      <c r="C34" s="1" t="n">
        <v>45880</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36690-2025</t>
        </is>
      </c>
      <c r="B35" s="1" t="n">
        <v>45873.42915509259</v>
      </c>
      <c r="C35" s="1" t="n">
        <v>45880</v>
      </c>
      <c r="D35" t="inlineStr">
        <is>
          <t>SKÅNE LÄN</t>
        </is>
      </c>
      <c r="E35" t="inlineStr">
        <is>
          <t>HÄSSLEHOLM</t>
        </is>
      </c>
      <c r="G35" t="n">
        <v>3.6</v>
      </c>
      <c r="H35" t="n">
        <v>0</v>
      </c>
      <c r="I35" t="n">
        <v>0</v>
      </c>
      <c r="J35" t="n">
        <v>0</v>
      </c>
      <c r="K35" t="n">
        <v>0</v>
      </c>
      <c r="L35" t="n">
        <v>1</v>
      </c>
      <c r="M35" t="n">
        <v>0</v>
      </c>
      <c r="N35" t="n">
        <v>0</v>
      </c>
      <c r="O35" t="n">
        <v>1</v>
      </c>
      <c r="P35" t="n">
        <v>1</v>
      </c>
      <c r="Q35" t="n">
        <v>1</v>
      </c>
      <c r="R35" s="2" t="inlineStr">
        <is>
          <t>Ask</t>
        </is>
      </c>
      <c r="S35">
        <f>HYPERLINK("https://klasma.github.io/Logging_1293/artfynd/A 36690-2025 artfynd.xlsx", "A 36690-2025")</f>
        <v/>
      </c>
      <c r="T35">
        <f>HYPERLINK("https://klasma.github.io/Logging_1293/kartor/A 36690-2025 karta.png", "A 36690-2025")</f>
        <v/>
      </c>
      <c r="V35">
        <f>HYPERLINK("https://klasma.github.io/Logging_1293/klagomål/A 36690-2025 FSC-klagomål.docx", "A 36690-2025")</f>
        <v/>
      </c>
      <c r="W35">
        <f>HYPERLINK("https://klasma.github.io/Logging_1293/klagomålsmail/A 36690-2025 FSC-klagomål mail.docx", "A 36690-2025")</f>
        <v/>
      </c>
      <c r="X35">
        <f>HYPERLINK("https://klasma.github.io/Logging_1293/tillsyn/A 36690-2025 tillsynsbegäran.docx", "A 36690-2025")</f>
        <v/>
      </c>
      <c r="Y35">
        <f>HYPERLINK("https://klasma.github.io/Logging_1293/tillsynsmail/A 36690-2025 tillsynsbegäran mail.docx", "A 36690-2025")</f>
        <v/>
      </c>
    </row>
    <row r="36" ht="15" customHeight="1">
      <c r="A36" t="inlineStr">
        <is>
          <t>A 49572-2022</t>
        </is>
      </c>
      <c r="B36" s="1" t="n">
        <v>44862.335</v>
      </c>
      <c r="C36" s="1" t="n">
        <v>45880</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45880</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45880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45880</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45880</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45880</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45880</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45880</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45880</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45880</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45880</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45880</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45880</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45880</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45880</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45880</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45880</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45880</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45880</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45880</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45880</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45880</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45880</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45880</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45880</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45880</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45880</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45880</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45880</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45880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45880</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45880</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45880</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45880</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45880</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45880</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45880</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45880</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45880</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45880</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45880</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23962-2022</t>
        </is>
      </c>
      <c r="B77" s="1" t="n">
        <v>44722.70532407407</v>
      </c>
      <c r="C77" s="1" t="n">
        <v>45880</v>
      </c>
      <c r="D77" t="inlineStr">
        <is>
          <t>SKÅNE LÄN</t>
        </is>
      </c>
      <c r="E77" t="inlineStr">
        <is>
          <t>HÄSSLEHOLM</t>
        </is>
      </c>
      <c r="F77" t="inlineStr">
        <is>
          <t>Kyrkan</t>
        </is>
      </c>
      <c r="G77" t="n">
        <v>5.8</v>
      </c>
      <c r="H77" t="n">
        <v>0</v>
      </c>
      <c r="I77" t="n">
        <v>0</v>
      </c>
      <c r="J77" t="n">
        <v>0</v>
      </c>
      <c r="K77" t="n">
        <v>0</v>
      </c>
      <c r="L77" t="n">
        <v>0</v>
      </c>
      <c r="M77" t="n">
        <v>0</v>
      </c>
      <c r="N77" t="n">
        <v>0</v>
      </c>
      <c r="O77" t="n">
        <v>0</v>
      </c>
      <c r="P77" t="n">
        <v>0</v>
      </c>
      <c r="Q77" t="n">
        <v>0</v>
      </c>
      <c r="R77" s="2" t="inlineStr"/>
    </row>
    <row r="78" ht="15" customHeight="1">
      <c r="A78" t="inlineStr">
        <is>
          <t>A 50094-2021</t>
        </is>
      </c>
      <c r="B78" s="1" t="n">
        <v>44456.6084375</v>
      </c>
      <c r="C78" s="1" t="n">
        <v>45880</v>
      </c>
      <c r="D78" t="inlineStr">
        <is>
          <t>SKÅNE LÄN</t>
        </is>
      </c>
      <c r="E78" t="inlineStr">
        <is>
          <t>HÄSSLEHOLM</t>
        </is>
      </c>
      <c r="G78" t="n">
        <v>1.9</v>
      </c>
      <c r="H78" t="n">
        <v>0</v>
      </c>
      <c r="I78" t="n">
        <v>0</v>
      </c>
      <c r="J78" t="n">
        <v>0</v>
      </c>
      <c r="K78" t="n">
        <v>0</v>
      </c>
      <c r="L78" t="n">
        <v>0</v>
      </c>
      <c r="M78" t="n">
        <v>0</v>
      </c>
      <c r="N78" t="n">
        <v>0</v>
      </c>
      <c r="O78" t="n">
        <v>0</v>
      </c>
      <c r="P78" t="n">
        <v>0</v>
      </c>
      <c r="Q78" t="n">
        <v>0</v>
      </c>
      <c r="R78" s="2" t="inlineStr"/>
    </row>
    <row r="79" ht="15" customHeight="1">
      <c r="A79" t="inlineStr">
        <is>
          <t>A 32967-2021</t>
        </is>
      </c>
      <c r="B79" s="1" t="n">
        <v>44376.39391203703</v>
      </c>
      <c r="C79" s="1" t="n">
        <v>45880</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45880</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45880</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45880</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45880</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45880</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45880</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45880</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45880</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45880</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45880</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45880</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45880</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45880</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45880</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45880</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45880</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45880</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45880</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45880</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45880</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45880</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37655-2020</t>
        </is>
      </c>
      <c r="B101" s="1" t="n">
        <v>44056</v>
      </c>
      <c r="C101" s="1" t="n">
        <v>45880</v>
      </c>
      <c r="D101" t="inlineStr">
        <is>
          <t>SKÅNE LÄN</t>
        </is>
      </c>
      <c r="E101" t="inlineStr">
        <is>
          <t>HÄSSLEHOLM</t>
        </is>
      </c>
      <c r="G101" t="n">
        <v>4.8</v>
      </c>
      <c r="H101" t="n">
        <v>0</v>
      </c>
      <c r="I101" t="n">
        <v>0</v>
      </c>
      <c r="J101" t="n">
        <v>0</v>
      </c>
      <c r="K101" t="n">
        <v>0</v>
      </c>
      <c r="L101" t="n">
        <v>0</v>
      </c>
      <c r="M101" t="n">
        <v>0</v>
      </c>
      <c r="N101" t="n">
        <v>0</v>
      </c>
      <c r="O101" t="n">
        <v>0</v>
      </c>
      <c r="P101" t="n">
        <v>0</v>
      </c>
      <c r="Q101" t="n">
        <v>0</v>
      </c>
      <c r="R101" s="2" t="inlineStr"/>
    </row>
    <row r="102" ht="15" customHeight="1">
      <c r="A102" t="inlineStr">
        <is>
          <t>A 44755-2021</t>
        </is>
      </c>
      <c r="B102" s="1" t="n">
        <v>44438</v>
      </c>
      <c r="C102" s="1" t="n">
        <v>45880</v>
      </c>
      <c r="D102" t="inlineStr">
        <is>
          <t>SKÅNE LÄN</t>
        </is>
      </c>
      <c r="E102" t="inlineStr">
        <is>
          <t>HÄSSLEHOLM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44770-2021</t>
        </is>
      </c>
      <c r="B103" s="1" t="n">
        <v>44438</v>
      </c>
      <c r="C103" s="1" t="n">
        <v>45880</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45880</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45880</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45880</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2765-2022</t>
        </is>
      </c>
      <c r="B107" s="1" t="n">
        <v>44580</v>
      </c>
      <c r="C107" s="1" t="n">
        <v>45880</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37181-2022</t>
        </is>
      </c>
      <c r="B108" s="1" t="n">
        <v>44806</v>
      </c>
      <c r="C108" s="1" t="n">
        <v>45880</v>
      </c>
      <c r="D108" t="inlineStr">
        <is>
          <t>SKÅNE LÄN</t>
        </is>
      </c>
      <c r="E108" t="inlineStr">
        <is>
          <t>HÄSSLEHOLM</t>
        </is>
      </c>
      <c r="F108" t="inlineStr">
        <is>
          <t>Kyrkan</t>
        </is>
      </c>
      <c r="G108" t="n">
        <v>3.5</v>
      </c>
      <c r="H108" t="n">
        <v>0</v>
      </c>
      <c r="I108" t="n">
        <v>0</v>
      </c>
      <c r="J108" t="n">
        <v>0</v>
      </c>
      <c r="K108" t="n">
        <v>0</v>
      </c>
      <c r="L108" t="n">
        <v>0</v>
      </c>
      <c r="M108" t="n">
        <v>0</v>
      </c>
      <c r="N108" t="n">
        <v>0</v>
      </c>
      <c r="O108" t="n">
        <v>0</v>
      </c>
      <c r="P108" t="n">
        <v>0</v>
      </c>
      <c r="Q108" t="n">
        <v>0</v>
      </c>
      <c r="R108" s="2" t="inlineStr"/>
    </row>
    <row r="109" ht="15" customHeight="1">
      <c r="A109" t="inlineStr">
        <is>
          <t>A 7857-2022</t>
        </is>
      </c>
      <c r="B109" s="1" t="n">
        <v>44607</v>
      </c>
      <c r="C109" s="1" t="n">
        <v>45880</v>
      </c>
      <c r="D109" t="inlineStr">
        <is>
          <t>SKÅNE LÄN</t>
        </is>
      </c>
      <c r="E109" t="inlineStr">
        <is>
          <t>HÄSSLEHOLM</t>
        </is>
      </c>
      <c r="F109" t="inlineStr">
        <is>
          <t>Kyrkan</t>
        </is>
      </c>
      <c r="G109" t="n">
        <v>12.2</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45880</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37170-2022</t>
        </is>
      </c>
      <c r="B111" s="1" t="n">
        <v>44806.61038194445</v>
      </c>
      <c r="C111" s="1" t="n">
        <v>45880</v>
      </c>
      <c r="D111" t="inlineStr">
        <is>
          <t>SKÅNE LÄN</t>
        </is>
      </c>
      <c r="E111" t="inlineStr">
        <is>
          <t>HÄSSLEHOLM</t>
        </is>
      </c>
      <c r="F111" t="inlineStr">
        <is>
          <t>Kyrkan</t>
        </is>
      </c>
      <c r="G111" t="n">
        <v>4.5</v>
      </c>
      <c r="H111" t="n">
        <v>0</v>
      </c>
      <c r="I111" t="n">
        <v>0</v>
      </c>
      <c r="J111" t="n">
        <v>0</v>
      </c>
      <c r="K111" t="n">
        <v>0</v>
      </c>
      <c r="L111" t="n">
        <v>0</v>
      </c>
      <c r="M111" t="n">
        <v>0</v>
      </c>
      <c r="N111" t="n">
        <v>0</v>
      </c>
      <c r="O111" t="n">
        <v>0</v>
      </c>
      <c r="P111" t="n">
        <v>0</v>
      </c>
      <c r="Q111" t="n">
        <v>0</v>
      </c>
      <c r="R111" s="2" t="inlineStr"/>
    </row>
    <row r="112" ht="15" customHeight="1">
      <c r="A112" t="inlineStr">
        <is>
          <t>A 55425-2022</t>
        </is>
      </c>
      <c r="B112" s="1" t="n">
        <v>44887.60577546297</v>
      </c>
      <c r="C112" s="1" t="n">
        <v>45880</v>
      </c>
      <c r="D112" t="inlineStr">
        <is>
          <t>SKÅNE LÄN</t>
        </is>
      </c>
      <c r="E112" t="inlineStr">
        <is>
          <t>HÄSSLEHOLM</t>
        </is>
      </c>
      <c r="G112" t="n">
        <v>0.5</v>
      </c>
      <c r="H112" t="n">
        <v>0</v>
      </c>
      <c r="I112" t="n">
        <v>0</v>
      </c>
      <c r="J112" t="n">
        <v>0</v>
      </c>
      <c r="K112" t="n">
        <v>0</v>
      </c>
      <c r="L112" t="n">
        <v>0</v>
      </c>
      <c r="M112" t="n">
        <v>0</v>
      </c>
      <c r="N112" t="n">
        <v>0</v>
      </c>
      <c r="O112" t="n">
        <v>0</v>
      </c>
      <c r="P112" t="n">
        <v>0</v>
      </c>
      <c r="Q112" t="n">
        <v>0</v>
      </c>
      <c r="R112" s="2" t="inlineStr"/>
    </row>
    <row r="113" ht="15" customHeight="1">
      <c r="A113" t="inlineStr">
        <is>
          <t>A 61072-2021</t>
        </is>
      </c>
      <c r="B113" s="1" t="n">
        <v>44497.83344907407</v>
      </c>
      <c r="C113" s="1" t="n">
        <v>45880</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54493-2020</t>
        </is>
      </c>
      <c r="B114" s="1" t="n">
        <v>44126</v>
      </c>
      <c r="C114" s="1" t="n">
        <v>45880</v>
      </c>
      <c r="D114" t="inlineStr">
        <is>
          <t>SKÅNE LÄN</t>
        </is>
      </c>
      <c r="E114" t="inlineStr">
        <is>
          <t>HÄSSLEHOLM</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45880</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45880</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45880</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22320-2021</t>
        </is>
      </c>
      <c r="B118" s="1" t="n">
        <v>44323</v>
      </c>
      <c r="C118" s="1" t="n">
        <v>45880</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68200-2020</t>
        </is>
      </c>
      <c r="B119" s="1" t="n">
        <v>44183</v>
      </c>
      <c r="C119" s="1" t="n">
        <v>45880</v>
      </c>
      <c r="D119" t="inlineStr">
        <is>
          <t>SKÅNE LÄN</t>
        </is>
      </c>
      <c r="E119" t="inlineStr">
        <is>
          <t>HÄSSLEHOLM</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6962-2021</t>
        </is>
      </c>
      <c r="B120" s="1" t="n">
        <v>44237</v>
      </c>
      <c r="C120" s="1" t="n">
        <v>45880</v>
      </c>
      <c r="D120" t="inlineStr">
        <is>
          <t>SKÅNE LÄN</t>
        </is>
      </c>
      <c r="E120" t="inlineStr">
        <is>
          <t>HÄSSLEHOLM</t>
        </is>
      </c>
      <c r="G120" t="n">
        <v>4.2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45880</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44584.41274305555</v>
      </c>
      <c r="C122" s="1" t="n">
        <v>45880</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45880</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69201-2020</t>
        </is>
      </c>
      <c r="B124" s="1" t="n">
        <v>44191</v>
      </c>
      <c r="C124" s="1" t="n">
        <v>45880</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8278-2021</t>
        </is>
      </c>
      <c r="B125" s="1" t="n">
        <v>44244</v>
      </c>
      <c r="C125" s="1" t="n">
        <v>45880</v>
      </c>
      <c r="D125" t="inlineStr">
        <is>
          <t>SKÅNE LÄN</t>
        </is>
      </c>
      <c r="E125" t="inlineStr">
        <is>
          <t>HÄSSLEHOLM</t>
        </is>
      </c>
      <c r="F125" t="inlineStr">
        <is>
          <t>Kyrkan</t>
        </is>
      </c>
      <c r="G125" t="n">
        <v>1.4</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45880</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14054-2021</t>
        </is>
      </c>
      <c r="B127" s="1" t="n">
        <v>44277</v>
      </c>
      <c r="C127" s="1" t="n">
        <v>45880</v>
      </c>
      <c r="D127" t="inlineStr">
        <is>
          <t>SKÅNE LÄN</t>
        </is>
      </c>
      <c r="E127" t="inlineStr">
        <is>
          <t>HÄSSLEHOLM</t>
        </is>
      </c>
      <c r="G127" t="n">
        <v>2</v>
      </c>
      <c r="H127" t="n">
        <v>0</v>
      </c>
      <c r="I127" t="n">
        <v>0</v>
      </c>
      <c r="J127" t="n">
        <v>0</v>
      </c>
      <c r="K127" t="n">
        <v>0</v>
      </c>
      <c r="L127" t="n">
        <v>0</v>
      </c>
      <c r="M127" t="n">
        <v>0</v>
      </c>
      <c r="N127" t="n">
        <v>0</v>
      </c>
      <c r="O127" t="n">
        <v>0</v>
      </c>
      <c r="P127" t="n">
        <v>0</v>
      </c>
      <c r="Q127" t="n">
        <v>0</v>
      </c>
      <c r="R127" s="2" t="inlineStr"/>
    </row>
    <row r="128" ht="15" customHeight="1">
      <c r="A128" t="inlineStr">
        <is>
          <t>A 4156-2022</t>
        </is>
      </c>
      <c r="B128" s="1" t="n">
        <v>44588</v>
      </c>
      <c r="C128" s="1" t="n">
        <v>45880</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19449-2021</t>
        </is>
      </c>
      <c r="B129" s="1" t="n">
        <v>44310.88846064815</v>
      </c>
      <c r="C129" s="1" t="n">
        <v>45880</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41581-2021</t>
        </is>
      </c>
      <c r="B130" s="1" t="n">
        <v>44425.40167824074</v>
      </c>
      <c r="C130" s="1" t="n">
        <v>45880</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45880</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45880</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34684-2021</t>
        </is>
      </c>
      <c r="B133" s="1" t="n">
        <v>44382</v>
      </c>
      <c r="C133" s="1" t="n">
        <v>45880</v>
      </c>
      <c r="D133" t="inlineStr">
        <is>
          <t>SKÅNE LÄN</t>
        </is>
      </c>
      <c r="E133" t="inlineStr">
        <is>
          <t>HÄSSLEHOLM</t>
        </is>
      </c>
      <c r="F133" t="inlineStr">
        <is>
          <t>Övriga Aktiebolag</t>
        </is>
      </c>
      <c r="G133" t="n">
        <v>0.9</v>
      </c>
      <c r="H133" t="n">
        <v>0</v>
      </c>
      <c r="I133" t="n">
        <v>0</v>
      </c>
      <c r="J133" t="n">
        <v>0</v>
      </c>
      <c r="K133" t="n">
        <v>0</v>
      </c>
      <c r="L133" t="n">
        <v>0</v>
      </c>
      <c r="M133" t="n">
        <v>0</v>
      </c>
      <c r="N133" t="n">
        <v>0</v>
      </c>
      <c r="O133" t="n">
        <v>0</v>
      </c>
      <c r="P133" t="n">
        <v>0</v>
      </c>
      <c r="Q133" t="n">
        <v>0</v>
      </c>
      <c r="R133" s="2" t="inlineStr"/>
    </row>
    <row r="134" ht="15" customHeight="1">
      <c r="A134" t="inlineStr">
        <is>
          <t>A 74293-2021</t>
        </is>
      </c>
      <c r="B134" s="1" t="n">
        <v>44558</v>
      </c>
      <c r="C134" s="1" t="n">
        <v>45880</v>
      </c>
      <c r="D134" t="inlineStr">
        <is>
          <t>SKÅNE LÄN</t>
        </is>
      </c>
      <c r="E134" t="inlineStr">
        <is>
          <t>HÄSSLEHOLM</t>
        </is>
      </c>
      <c r="F134" t="inlineStr">
        <is>
          <t>Kyrkan</t>
        </is>
      </c>
      <c r="G134" t="n">
        <v>3.3</v>
      </c>
      <c r="H134" t="n">
        <v>0</v>
      </c>
      <c r="I134" t="n">
        <v>0</v>
      </c>
      <c r="J134" t="n">
        <v>0</v>
      </c>
      <c r="K134" t="n">
        <v>0</v>
      </c>
      <c r="L134" t="n">
        <v>0</v>
      </c>
      <c r="M134" t="n">
        <v>0</v>
      </c>
      <c r="N134" t="n">
        <v>0</v>
      </c>
      <c r="O134" t="n">
        <v>0</v>
      </c>
      <c r="P134" t="n">
        <v>0</v>
      </c>
      <c r="Q134" t="n">
        <v>0</v>
      </c>
      <c r="R134" s="2" t="inlineStr"/>
    </row>
    <row r="135" ht="15" customHeight="1">
      <c r="A135" t="inlineStr">
        <is>
          <t>A 42812-2020</t>
        </is>
      </c>
      <c r="B135" s="1" t="n">
        <v>44078</v>
      </c>
      <c r="C135" s="1" t="n">
        <v>45880</v>
      </c>
      <c r="D135" t="inlineStr">
        <is>
          <t>SKÅNE LÄN</t>
        </is>
      </c>
      <c r="E135" t="inlineStr">
        <is>
          <t>HÄSSLEHOLM</t>
        </is>
      </c>
      <c r="G135" t="n">
        <v>1.7</v>
      </c>
      <c r="H135" t="n">
        <v>0</v>
      </c>
      <c r="I135" t="n">
        <v>0</v>
      </c>
      <c r="J135" t="n">
        <v>0</v>
      </c>
      <c r="K135" t="n">
        <v>0</v>
      </c>
      <c r="L135" t="n">
        <v>0</v>
      </c>
      <c r="M135" t="n">
        <v>0</v>
      </c>
      <c r="N135" t="n">
        <v>0</v>
      </c>
      <c r="O135" t="n">
        <v>0</v>
      </c>
      <c r="P135" t="n">
        <v>0</v>
      </c>
      <c r="Q135" t="n">
        <v>0</v>
      </c>
      <c r="R135" s="2" t="inlineStr"/>
    </row>
    <row r="136" ht="15" customHeight="1">
      <c r="A136" t="inlineStr">
        <is>
          <t>A 42839-2020</t>
        </is>
      </c>
      <c r="B136" s="1" t="n">
        <v>44078</v>
      </c>
      <c r="C136" s="1" t="n">
        <v>45880</v>
      </c>
      <c r="D136" t="inlineStr">
        <is>
          <t>SKÅNE LÄN</t>
        </is>
      </c>
      <c r="E136" t="inlineStr">
        <is>
          <t>HÄSSLEHOLM</t>
        </is>
      </c>
      <c r="G136" t="n">
        <v>2.7</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45880</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43580-2020</t>
        </is>
      </c>
      <c r="B138" s="1" t="n">
        <v>44082</v>
      </c>
      <c r="C138" s="1" t="n">
        <v>45880</v>
      </c>
      <c r="D138" t="inlineStr">
        <is>
          <t>SKÅNE LÄN</t>
        </is>
      </c>
      <c r="E138" t="inlineStr">
        <is>
          <t>HÄSSLEHOLM</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15118-2022</t>
        </is>
      </c>
      <c r="B139" s="1" t="n">
        <v>44659</v>
      </c>
      <c r="C139" s="1" t="n">
        <v>45880</v>
      </c>
      <c r="D139" t="inlineStr">
        <is>
          <t>SKÅNE LÄN</t>
        </is>
      </c>
      <c r="E139" t="inlineStr">
        <is>
          <t>HÄSSLEHOLM</t>
        </is>
      </c>
      <c r="F139" t="inlineStr">
        <is>
          <t>Kyrkan</t>
        </is>
      </c>
      <c r="G139" t="n">
        <v>0.7</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45880</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45880</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7701-2021</t>
        </is>
      </c>
      <c r="B142" s="1" t="n">
        <v>44242</v>
      </c>
      <c r="C142" s="1" t="n">
        <v>45880</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45880</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45880</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45880</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63972-2021</t>
        </is>
      </c>
      <c r="B146" s="1" t="n">
        <v>44509.89649305555</v>
      </c>
      <c r="C146" s="1" t="n">
        <v>45880</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49786-2020</t>
        </is>
      </c>
      <c r="B147" s="1" t="n">
        <v>44103</v>
      </c>
      <c r="C147" s="1" t="n">
        <v>45880</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45880</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45880</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45880</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45880</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45880</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20659-2021</t>
        </is>
      </c>
      <c r="B153" s="1" t="n">
        <v>44316</v>
      </c>
      <c r="C153" s="1" t="n">
        <v>45880</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34027-2021</t>
        </is>
      </c>
      <c r="B154" s="1" t="n">
        <v>44379</v>
      </c>
      <c r="C154" s="1" t="n">
        <v>45880</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32792-2021</t>
        </is>
      </c>
      <c r="B155" s="1" t="n">
        <v>44375</v>
      </c>
      <c r="C155" s="1" t="n">
        <v>45880</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3167-2022</t>
        </is>
      </c>
      <c r="B156" s="1" t="n">
        <v>44582</v>
      </c>
      <c r="C156" s="1" t="n">
        <v>45880</v>
      </c>
      <c r="D156" t="inlineStr">
        <is>
          <t>SKÅNE LÄN</t>
        </is>
      </c>
      <c r="E156" t="inlineStr">
        <is>
          <t>HÄSSLEHOLM</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36721-2020</t>
        </is>
      </c>
      <c r="B157" s="1" t="n">
        <v>44053</v>
      </c>
      <c r="C157" s="1" t="n">
        <v>45880</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33736-2021</t>
        </is>
      </c>
      <c r="B158" s="1" t="n">
        <v>44378</v>
      </c>
      <c r="C158" s="1" t="n">
        <v>45880</v>
      </c>
      <c r="D158" t="inlineStr">
        <is>
          <t>SKÅNE LÄN</t>
        </is>
      </c>
      <c r="E158" t="inlineStr">
        <is>
          <t>HÄSSLEHOLM</t>
        </is>
      </c>
      <c r="G158" t="n">
        <v>7.6</v>
      </c>
      <c r="H158" t="n">
        <v>0</v>
      </c>
      <c r="I158" t="n">
        <v>0</v>
      </c>
      <c r="J158" t="n">
        <v>0</v>
      </c>
      <c r="K158" t="n">
        <v>0</v>
      </c>
      <c r="L158" t="n">
        <v>0</v>
      </c>
      <c r="M158" t="n">
        <v>0</v>
      </c>
      <c r="N158" t="n">
        <v>0</v>
      </c>
      <c r="O158" t="n">
        <v>0</v>
      </c>
      <c r="P158" t="n">
        <v>0</v>
      </c>
      <c r="Q158" t="n">
        <v>0</v>
      </c>
      <c r="R158" s="2" t="inlineStr"/>
    </row>
    <row r="159" ht="15" customHeight="1">
      <c r="A159" t="inlineStr">
        <is>
          <t>A 34679-2021</t>
        </is>
      </c>
      <c r="B159" s="1" t="n">
        <v>44382</v>
      </c>
      <c r="C159" s="1" t="n">
        <v>45880</v>
      </c>
      <c r="D159" t="inlineStr">
        <is>
          <t>SKÅNE LÄN</t>
        </is>
      </c>
      <c r="E159" t="inlineStr">
        <is>
          <t>HÄSSLEHOLM</t>
        </is>
      </c>
      <c r="F159" t="inlineStr">
        <is>
          <t>Övriga Aktiebolag</t>
        </is>
      </c>
      <c r="G159" t="n">
        <v>1</v>
      </c>
      <c r="H159" t="n">
        <v>0</v>
      </c>
      <c r="I159" t="n">
        <v>0</v>
      </c>
      <c r="J159" t="n">
        <v>0</v>
      </c>
      <c r="K159" t="n">
        <v>0</v>
      </c>
      <c r="L159" t="n">
        <v>0</v>
      </c>
      <c r="M159" t="n">
        <v>0</v>
      </c>
      <c r="N159" t="n">
        <v>0</v>
      </c>
      <c r="O159" t="n">
        <v>0</v>
      </c>
      <c r="P159" t="n">
        <v>0</v>
      </c>
      <c r="Q159" t="n">
        <v>0</v>
      </c>
      <c r="R159" s="2" t="inlineStr"/>
    </row>
    <row r="160" ht="15" customHeight="1">
      <c r="A160" t="inlineStr">
        <is>
          <t>A 64211-2020</t>
        </is>
      </c>
      <c r="B160" s="1" t="n">
        <v>44168</v>
      </c>
      <c r="C160" s="1" t="n">
        <v>45880</v>
      </c>
      <c r="D160" t="inlineStr">
        <is>
          <t>SKÅNE LÄN</t>
        </is>
      </c>
      <c r="E160" t="inlineStr">
        <is>
          <t>HÄSSLEHOLM</t>
        </is>
      </c>
      <c r="G160" t="n">
        <v>4.1</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45880</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40702-2021</t>
        </is>
      </c>
      <c r="B162" s="1" t="n">
        <v>44420.61719907408</v>
      </c>
      <c r="C162" s="1" t="n">
        <v>45880</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1535-2022</t>
        </is>
      </c>
      <c r="B163" s="1" t="n">
        <v>44573</v>
      </c>
      <c r="C163" s="1" t="n">
        <v>45880</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21029-2021</t>
        </is>
      </c>
      <c r="B164" s="1" t="n">
        <v>44319.63366898148</v>
      </c>
      <c r="C164" s="1" t="n">
        <v>45880</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36728-2020</t>
        </is>
      </c>
      <c r="B165" s="1" t="n">
        <v>44053</v>
      </c>
      <c r="C165" s="1" t="n">
        <v>45880</v>
      </c>
      <c r="D165" t="inlineStr">
        <is>
          <t>SKÅNE LÄN</t>
        </is>
      </c>
      <c r="E165" t="inlineStr">
        <is>
          <t>HÄSSLEHOLM</t>
        </is>
      </c>
      <c r="G165" t="n">
        <v>0.2</v>
      </c>
      <c r="H165" t="n">
        <v>0</v>
      </c>
      <c r="I165" t="n">
        <v>0</v>
      </c>
      <c r="J165" t="n">
        <v>0</v>
      </c>
      <c r="K165" t="n">
        <v>0</v>
      </c>
      <c r="L165" t="n">
        <v>0</v>
      </c>
      <c r="M165" t="n">
        <v>0</v>
      </c>
      <c r="N165" t="n">
        <v>0</v>
      </c>
      <c r="O165" t="n">
        <v>0</v>
      </c>
      <c r="P165" t="n">
        <v>0</v>
      </c>
      <c r="Q165" t="n">
        <v>0</v>
      </c>
      <c r="R165" s="2" t="inlineStr"/>
    </row>
    <row r="166" ht="15" customHeight="1">
      <c r="A166" t="inlineStr">
        <is>
          <t>A 13982-2021</t>
        </is>
      </c>
      <c r="B166" s="1" t="n">
        <v>44277.57800925926</v>
      </c>
      <c r="C166" s="1" t="n">
        <v>45880</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64607-2021</t>
        </is>
      </c>
      <c r="B167" s="1" t="n">
        <v>44511</v>
      </c>
      <c r="C167" s="1" t="n">
        <v>45880</v>
      </c>
      <c r="D167" t="inlineStr">
        <is>
          <t>SKÅNE LÄN</t>
        </is>
      </c>
      <c r="E167" t="inlineStr">
        <is>
          <t>HÄSSLEHOLM</t>
        </is>
      </c>
      <c r="G167" t="n">
        <v>1.5</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45880</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66474-2020</t>
        </is>
      </c>
      <c r="B169" s="1" t="n">
        <v>44177</v>
      </c>
      <c r="C169" s="1" t="n">
        <v>45880</v>
      </c>
      <c r="D169" t="inlineStr">
        <is>
          <t>SKÅNE LÄN</t>
        </is>
      </c>
      <c r="E169" t="inlineStr">
        <is>
          <t>HÄSSLEHOLM</t>
        </is>
      </c>
      <c r="G169" t="n">
        <v>2.8</v>
      </c>
      <c r="H169" t="n">
        <v>0</v>
      </c>
      <c r="I169" t="n">
        <v>0</v>
      </c>
      <c r="J169" t="n">
        <v>0</v>
      </c>
      <c r="K169" t="n">
        <v>0</v>
      </c>
      <c r="L169" t="n">
        <v>0</v>
      </c>
      <c r="M169" t="n">
        <v>0</v>
      </c>
      <c r="N169" t="n">
        <v>0</v>
      </c>
      <c r="O169" t="n">
        <v>0</v>
      </c>
      <c r="P169" t="n">
        <v>0</v>
      </c>
      <c r="Q169" t="n">
        <v>0</v>
      </c>
      <c r="R169" s="2" t="inlineStr"/>
    </row>
    <row r="170" ht="15" customHeight="1">
      <c r="A170" t="inlineStr">
        <is>
          <t>A 18515-2021</t>
        </is>
      </c>
      <c r="B170" s="1" t="n">
        <v>44305</v>
      </c>
      <c r="C170" s="1" t="n">
        <v>45880</v>
      </c>
      <c r="D170" t="inlineStr">
        <is>
          <t>SKÅNE LÄN</t>
        </is>
      </c>
      <c r="E170" t="inlineStr">
        <is>
          <t>HÄSSLEHOLM</t>
        </is>
      </c>
      <c r="F170" t="inlineStr">
        <is>
          <t>Övriga Aktiebolag</t>
        </is>
      </c>
      <c r="G170" t="n">
        <v>0.5</v>
      </c>
      <c r="H170" t="n">
        <v>0</v>
      </c>
      <c r="I170" t="n">
        <v>0</v>
      </c>
      <c r="J170" t="n">
        <v>0</v>
      </c>
      <c r="K170" t="n">
        <v>0</v>
      </c>
      <c r="L170" t="n">
        <v>0</v>
      </c>
      <c r="M170" t="n">
        <v>0</v>
      </c>
      <c r="N170" t="n">
        <v>0</v>
      </c>
      <c r="O170" t="n">
        <v>0</v>
      </c>
      <c r="P170" t="n">
        <v>0</v>
      </c>
      <c r="Q170" t="n">
        <v>0</v>
      </c>
      <c r="R170" s="2" t="inlineStr"/>
    </row>
    <row r="171" ht="15" customHeight="1">
      <c r="A171" t="inlineStr">
        <is>
          <t>A 18523-2021</t>
        </is>
      </c>
      <c r="B171" s="1" t="n">
        <v>44305</v>
      </c>
      <c r="C171" s="1" t="n">
        <v>45880</v>
      </c>
      <c r="D171" t="inlineStr">
        <is>
          <t>SKÅNE LÄN</t>
        </is>
      </c>
      <c r="E171" t="inlineStr">
        <is>
          <t>HÄSSLEHOLM</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12617-2021</t>
        </is>
      </c>
      <c r="B172" s="1" t="n">
        <v>44270.45030092593</v>
      </c>
      <c r="C172" s="1" t="n">
        <v>45880</v>
      </c>
      <c r="D172" t="inlineStr">
        <is>
          <t>SKÅNE LÄN</t>
        </is>
      </c>
      <c r="E172" t="inlineStr">
        <is>
          <t>HÄSSLEHOLM</t>
        </is>
      </c>
      <c r="G172" t="n">
        <v>1.2</v>
      </c>
      <c r="H172" t="n">
        <v>0</v>
      </c>
      <c r="I172" t="n">
        <v>0</v>
      </c>
      <c r="J172" t="n">
        <v>0</v>
      </c>
      <c r="K172" t="n">
        <v>0</v>
      </c>
      <c r="L172" t="n">
        <v>0</v>
      </c>
      <c r="M172" t="n">
        <v>0</v>
      </c>
      <c r="N172" t="n">
        <v>0</v>
      </c>
      <c r="O172" t="n">
        <v>0</v>
      </c>
      <c r="P172" t="n">
        <v>0</v>
      </c>
      <c r="Q172" t="n">
        <v>0</v>
      </c>
      <c r="R172" s="2" t="inlineStr"/>
    </row>
    <row r="173" ht="15" customHeight="1">
      <c r="A173" t="inlineStr">
        <is>
          <t>A 15423-2022</t>
        </is>
      </c>
      <c r="B173" s="1" t="n">
        <v>44659</v>
      </c>
      <c r="C173" s="1" t="n">
        <v>45880</v>
      </c>
      <c r="D173" t="inlineStr">
        <is>
          <t>SKÅNE LÄN</t>
        </is>
      </c>
      <c r="E173" t="inlineStr">
        <is>
          <t>HÄSSLEHOLM</t>
        </is>
      </c>
      <c r="F173" t="inlineStr">
        <is>
          <t>Kyrkan</t>
        </is>
      </c>
      <c r="G173" t="n">
        <v>0.9</v>
      </c>
      <c r="H173" t="n">
        <v>0</v>
      </c>
      <c r="I173" t="n">
        <v>0</v>
      </c>
      <c r="J173" t="n">
        <v>0</v>
      </c>
      <c r="K173" t="n">
        <v>0</v>
      </c>
      <c r="L173" t="n">
        <v>0</v>
      </c>
      <c r="M173" t="n">
        <v>0</v>
      </c>
      <c r="N173" t="n">
        <v>0</v>
      </c>
      <c r="O173" t="n">
        <v>0</v>
      </c>
      <c r="P173" t="n">
        <v>0</v>
      </c>
      <c r="Q173" t="n">
        <v>0</v>
      </c>
      <c r="R173" s="2" t="inlineStr"/>
    </row>
    <row r="174" ht="15" customHeight="1">
      <c r="A174" t="inlineStr">
        <is>
          <t>A 219-2022</t>
        </is>
      </c>
      <c r="B174" s="1" t="n">
        <v>44564</v>
      </c>
      <c r="C174" s="1" t="n">
        <v>45880</v>
      </c>
      <c r="D174" t="inlineStr">
        <is>
          <t>SKÅNE LÄN</t>
        </is>
      </c>
      <c r="E174" t="inlineStr">
        <is>
          <t>HÄSSLEHOLM</t>
        </is>
      </c>
      <c r="G174" t="n">
        <v>0.8</v>
      </c>
      <c r="H174" t="n">
        <v>0</v>
      </c>
      <c r="I174" t="n">
        <v>0</v>
      </c>
      <c r="J174" t="n">
        <v>0</v>
      </c>
      <c r="K174" t="n">
        <v>0</v>
      </c>
      <c r="L174" t="n">
        <v>0</v>
      </c>
      <c r="M174" t="n">
        <v>0</v>
      </c>
      <c r="N174" t="n">
        <v>0</v>
      </c>
      <c r="O174" t="n">
        <v>0</v>
      </c>
      <c r="P174" t="n">
        <v>0</v>
      </c>
      <c r="Q174" t="n">
        <v>0</v>
      </c>
      <c r="R174" s="2" t="inlineStr"/>
    </row>
    <row r="175" ht="15" customHeight="1">
      <c r="A175" t="inlineStr">
        <is>
          <t>A 6048-2022</t>
        </is>
      </c>
      <c r="B175" s="1" t="n">
        <v>44599.5174537037</v>
      </c>
      <c r="C175" s="1" t="n">
        <v>45880</v>
      </c>
      <c r="D175" t="inlineStr">
        <is>
          <t>SKÅNE LÄN</t>
        </is>
      </c>
      <c r="E175" t="inlineStr">
        <is>
          <t>HÄSSLEHOLM</t>
        </is>
      </c>
      <c r="G175" t="n">
        <v>0.5</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45880</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50371-2020</t>
        </is>
      </c>
      <c r="B177" s="1" t="n">
        <v>44110.44322916667</v>
      </c>
      <c r="C177" s="1" t="n">
        <v>45880</v>
      </c>
      <c r="D177" t="inlineStr">
        <is>
          <t>SKÅNE LÄN</t>
        </is>
      </c>
      <c r="E177" t="inlineStr">
        <is>
          <t>HÄSSLEHOLM</t>
        </is>
      </c>
      <c r="G177" t="n">
        <v>3.8</v>
      </c>
      <c r="H177" t="n">
        <v>0</v>
      </c>
      <c r="I177" t="n">
        <v>0</v>
      </c>
      <c r="J177" t="n">
        <v>0</v>
      </c>
      <c r="K177" t="n">
        <v>0</v>
      </c>
      <c r="L177" t="n">
        <v>0</v>
      </c>
      <c r="M177" t="n">
        <v>0</v>
      </c>
      <c r="N177" t="n">
        <v>0</v>
      </c>
      <c r="O177" t="n">
        <v>0</v>
      </c>
      <c r="P177" t="n">
        <v>0</v>
      </c>
      <c r="Q177" t="n">
        <v>0</v>
      </c>
      <c r="R177" s="2" t="inlineStr"/>
    </row>
    <row r="178" ht="15" customHeight="1">
      <c r="A178" t="inlineStr">
        <is>
          <t>A 53576-2022</t>
        </is>
      </c>
      <c r="B178" s="1" t="n">
        <v>44875</v>
      </c>
      <c r="C178" s="1" t="n">
        <v>45880</v>
      </c>
      <c r="D178" t="inlineStr">
        <is>
          <t>SKÅNE LÄN</t>
        </is>
      </c>
      <c r="E178" t="inlineStr">
        <is>
          <t>HÄSSLEHOLM</t>
        </is>
      </c>
      <c r="F178" t="inlineStr">
        <is>
          <t>Övriga Aktiebolag</t>
        </is>
      </c>
      <c r="G178" t="n">
        <v>1.2</v>
      </c>
      <c r="H178" t="n">
        <v>0</v>
      </c>
      <c r="I178" t="n">
        <v>0</v>
      </c>
      <c r="J178" t="n">
        <v>0</v>
      </c>
      <c r="K178" t="n">
        <v>0</v>
      </c>
      <c r="L178" t="n">
        <v>0</v>
      </c>
      <c r="M178" t="n">
        <v>0</v>
      </c>
      <c r="N178" t="n">
        <v>0</v>
      </c>
      <c r="O178" t="n">
        <v>0</v>
      </c>
      <c r="P178" t="n">
        <v>0</v>
      </c>
      <c r="Q178" t="n">
        <v>0</v>
      </c>
      <c r="R178" s="2" t="inlineStr"/>
    </row>
    <row r="179" ht="15" customHeight="1">
      <c r="A179" t="inlineStr">
        <is>
          <t>A 6253-2022</t>
        </is>
      </c>
      <c r="B179" s="1" t="n">
        <v>44600</v>
      </c>
      <c r="C179" s="1" t="n">
        <v>45880</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62347-2020</t>
        </is>
      </c>
      <c r="B180" s="1" t="n">
        <v>44159</v>
      </c>
      <c r="C180" s="1" t="n">
        <v>45880</v>
      </c>
      <c r="D180" t="inlineStr">
        <is>
          <t>SKÅNE LÄN</t>
        </is>
      </c>
      <c r="E180" t="inlineStr">
        <is>
          <t>HÄSSLEHOLM</t>
        </is>
      </c>
      <c r="G180" t="n">
        <v>4</v>
      </c>
      <c r="H180" t="n">
        <v>0</v>
      </c>
      <c r="I180" t="n">
        <v>0</v>
      </c>
      <c r="J180" t="n">
        <v>0</v>
      </c>
      <c r="K180" t="n">
        <v>0</v>
      </c>
      <c r="L180" t="n">
        <v>0</v>
      </c>
      <c r="M180" t="n">
        <v>0</v>
      </c>
      <c r="N180" t="n">
        <v>0</v>
      </c>
      <c r="O180" t="n">
        <v>0</v>
      </c>
      <c r="P180" t="n">
        <v>0</v>
      </c>
      <c r="Q180" t="n">
        <v>0</v>
      </c>
      <c r="R180" s="2" t="inlineStr"/>
    </row>
    <row r="181" ht="15" customHeight="1">
      <c r="A181" t="inlineStr">
        <is>
          <t>A 56989-2021</t>
        </is>
      </c>
      <c r="B181" s="1" t="n">
        <v>44482</v>
      </c>
      <c r="C181" s="1" t="n">
        <v>45880</v>
      </c>
      <c r="D181" t="inlineStr">
        <is>
          <t>SKÅNE LÄN</t>
        </is>
      </c>
      <c r="E181" t="inlineStr">
        <is>
          <t>HÄSSLEHOLM</t>
        </is>
      </c>
      <c r="G181" t="n">
        <v>1.1</v>
      </c>
      <c r="H181" t="n">
        <v>0</v>
      </c>
      <c r="I181" t="n">
        <v>0</v>
      </c>
      <c r="J181" t="n">
        <v>0</v>
      </c>
      <c r="K181" t="n">
        <v>0</v>
      </c>
      <c r="L181" t="n">
        <v>0</v>
      </c>
      <c r="M181" t="n">
        <v>0</v>
      </c>
      <c r="N181" t="n">
        <v>0</v>
      </c>
      <c r="O181" t="n">
        <v>0</v>
      </c>
      <c r="P181" t="n">
        <v>0</v>
      </c>
      <c r="Q181" t="n">
        <v>0</v>
      </c>
      <c r="R181" s="2" t="inlineStr"/>
    </row>
    <row r="182" ht="15" customHeight="1">
      <c r="A182" t="inlineStr">
        <is>
          <t>A 23003-2021</t>
        </is>
      </c>
      <c r="B182" s="1" t="n">
        <v>44328</v>
      </c>
      <c r="C182" s="1" t="n">
        <v>45880</v>
      </c>
      <c r="D182" t="inlineStr">
        <is>
          <t>SKÅNE LÄN</t>
        </is>
      </c>
      <c r="E182" t="inlineStr">
        <is>
          <t>HÄSSLEHOLM</t>
        </is>
      </c>
      <c r="G182" t="n">
        <v>4.4</v>
      </c>
      <c r="H182" t="n">
        <v>0</v>
      </c>
      <c r="I182" t="n">
        <v>0</v>
      </c>
      <c r="J182" t="n">
        <v>0</v>
      </c>
      <c r="K182" t="n">
        <v>0</v>
      </c>
      <c r="L182" t="n">
        <v>0</v>
      </c>
      <c r="M182" t="n">
        <v>0</v>
      </c>
      <c r="N182" t="n">
        <v>0</v>
      </c>
      <c r="O182" t="n">
        <v>0</v>
      </c>
      <c r="P182" t="n">
        <v>0</v>
      </c>
      <c r="Q182" t="n">
        <v>0</v>
      </c>
      <c r="R182" s="2" t="inlineStr"/>
    </row>
    <row r="183" ht="15" customHeight="1">
      <c r="A183" t="inlineStr">
        <is>
          <t>A 51159-2021</t>
        </is>
      </c>
      <c r="B183" s="1" t="n">
        <v>44461</v>
      </c>
      <c r="C183" s="1" t="n">
        <v>45880</v>
      </c>
      <c r="D183" t="inlineStr">
        <is>
          <t>SKÅNE LÄN</t>
        </is>
      </c>
      <c r="E183" t="inlineStr">
        <is>
          <t>HÄSSLEHOLM</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57811-2020</t>
        </is>
      </c>
      <c r="B184" s="1" t="n">
        <v>44141</v>
      </c>
      <c r="C184" s="1" t="n">
        <v>45880</v>
      </c>
      <c r="D184" t="inlineStr">
        <is>
          <t>SKÅNE LÄN</t>
        </is>
      </c>
      <c r="E184" t="inlineStr">
        <is>
          <t>HÄSSLEHOLM</t>
        </is>
      </c>
      <c r="G184" t="n">
        <v>2</v>
      </c>
      <c r="H184" t="n">
        <v>0</v>
      </c>
      <c r="I184" t="n">
        <v>0</v>
      </c>
      <c r="J184" t="n">
        <v>0</v>
      </c>
      <c r="K184" t="n">
        <v>0</v>
      </c>
      <c r="L184" t="n">
        <v>0</v>
      </c>
      <c r="M184" t="n">
        <v>0</v>
      </c>
      <c r="N184" t="n">
        <v>0</v>
      </c>
      <c r="O184" t="n">
        <v>0</v>
      </c>
      <c r="P184" t="n">
        <v>0</v>
      </c>
      <c r="Q184" t="n">
        <v>0</v>
      </c>
      <c r="R184" s="2" t="inlineStr"/>
    </row>
    <row r="185" ht="15" customHeight="1">
      <c r="A185" t="inlineStr">
        <is>
          <t>A 58509-2020</t>
        </is>
      </c>
      <c r="B185" s="1" t="n">
        <v>44144</v>
      </c>
      <c r="C185" s="1" t="n">
        <v>45880</v>
      </c>
      <c r="D185" t="inlineStr">
        <is>
          <t>SKÅNE LÄN</t>
        </is>
      </c>
      <c r="E185" t="inlineStr">
        <is>
          <t>HÄSSLEHOLM</t>
        </is>
      </c>
      <c r="G185" t="n">
        <v>8.5</v>
      </c>
      <c r="H185" t="n">
        <v>0</v>
      </c>
      <c r="I185" t="n">
        <v>0</v>
      </c>
      <c r="J185" t="n">
        <v>0</v>
      </c>
      <c r="K185" t="n">
        <v>0</v>
      </c>
      <c r="L185" t="n">
        <v>0</v>
      </c>
      <c r="M185" t="n">
        <v>0</v>
      </c>
      <c r="N185" t="n">
        <v>0</v>
      </c>
      <c r="O185" t="n">
        <v>0</v>
      </c>
      <c r="P185" t="n">
        <v>0</v>
      </c>
      <c r="Q185" t="n">
        <v>0</v>
      </c>
      <c r="R185" s="2" t="inlineStr"/>
    </row>
    <row r="186" ht="15" customHeight="1">
      <c r="A186" t="inlineStr">
        <is>
          <t>A 25383-2021</t>
        </is>
      </c>
      <c r="B186" s="1" t="n">
        <v>44342</v>
      </c>
      <c r="C186" s="1" t="n">
        <v>45880</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59542-2020</t>
        </is>
      </c>
      <c r="B187" s="1" t="n">
        <v>44148</v>
      </c>
      <c r="C187" s="1" t="n">
        <v>45880</v>
      </c>
      <c r="D187" t="inlineStr">
        <is>
          <t>SKÅNE LÄN</t>
        </is>
      </c>
      <c r="E187" t="inlineStr">
        <is>
          <t>HÄSSLEHOLM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5091-2022</t>
        </is>
      </c>
      <c r="B188" s="1" t="n">
        <v>44593.85114583333</v>
      </c>
      <c r="C188" s="1" t="n">
        <v>45880</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23830-2021</t>
        </is>
      </c>
      <c r="B189" s="1" t="n">
        <v>44335</v>
      </c>
      <c r="C189" s="1" t="n">
        <v>45880</v>
      </c>
      <c r="D189" t="inlineStr">
        <is>
          <t>SKÅNE LÄN</t>
        </is>
      </c>
      <c r="E189" t="inlineStr">
        <is>
          <t>HÄSSLEHOLM</t>
        </is>
      </c>
      <c r="G189" t="n">
        <v>18.7</v>
      </c>
      <c r="H189" t="n">
        <v>0</v>
      </c>
      <c r="I189" t="n">
        <v>0</v>
      </c>
      <c r="J189" t="n">
        <v>0</v>
      </c>
      <c r="K189" t="n">
        <v>0</v>
      </c>
      <c r="L189" t="n">
        <v>0</v>
      </c>
      <c r="M189" t="n">
        <v>0</v>
      </c>
      <c r="N189" t="n">
        <v>0</v>
      </c>
      <c r="O189" t="n">
        <v>0</v>
      </c>
      <c r="P189" t="n">
        <v>0</v>
      </c>
      <c r="Q189" t="n">
        <v>0</v>
      </c>
      <c r="R189" s="2" t="inlineStr"/>
    </row>
    <row r="190" ht="15" customHeight="1">
      <c r="A190" t="inlineStr">
        <is>
          <t>A 27330-2021</t>
        </is>
      </c>
      <c r="B190" s="1" t="n">
        <v>44351</v>
      </c>
      <c r="C190" s="1" t="n">
        <v>45880</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45880</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45880</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11616-2021</t>
        </is>
      </c>
      <c r="B193" s="1" t="n">
        <v>44264.63064814815</v>
      </c>
      <c r="C193" s="1" t="n">
        <v>45880</v>
      </c>
      <c r="D193" t="inlineStr">
        <is>
          <t>SKÅNE LÄN</t>
        </is>
      </c>
      <c r="E193" t="inlineStr">
        <is>
          <t>HÄSSLEHOLM</t>
        </is>
      </c>
      <c r="G193" t="n">
        <v>0.5</v>
      </c>
      <c r="H193" t="n">
        <v>0</v>
      </c>
      <c r="I193" t="n">
        <v>0</v>
      </c>
      <c r="J193" t="n">
        <v>0</v>
      </c>
      <c r="K193" t="n">
        <v>0</v>
      </c>
      <c r="L193" t="n">
        <v>0</v>
      </c>
      <c r="M193" t="n">
        <v>0</v>
      </c>
      <c r="N193" t="n">
        <v>0</v>
      </c>
      <c r="O193" t="n">
        <v>0</v>
      </c>
      <c r="P193" t="n">
        <v>0</v>
      </c>
      <c r="Q193" t="n">
        <v>0</v>
      </c>
      <c r="R193" s="2" t="inlineStr"/>
    </row>
    <row r="194" ht="15" customHeight="1">
      <c r="A194" t="inlineStr">
        <is>
          <t>A 60260-2021</t>
        </is>
      </c>
      <c r="B194" s="1" t="n">
        <v>44495</v>
      </c>
      <c r="C194" s="1" t="n">
        <v>45880</v>
      </c>
      <c r="D194" t="inlineStr">
        <is>
          <t>SKÅNE LÄN</t>
        </is>
      </c>
      <c r="E194" t="inlineStr">
        <is>
          <t>HÄSSLEHOLM</t>
        </is>
      </c>
      <c r="G194" t="n">
        <v>2.1</v>
      </c>
      <c r="H194" t="n">
        <v>0</v>
      </c>
      <c r="I194" t="n">
        <v>0</v>
      </c>
      <c r="J194" t="n">
        <v>0</v>
      </c>
      <c r="K194" t="n">
        <v>0</v>
      </c>
      <c r="L194" t="n">
        <v>0</v>
      </c>
      <c r="M194" t="n">
        <v>0</v>
      </c>
      <c r="N194" t="n">
        <v>0</v>
      </c>
      <c r="O194" t="n">
        <v>0</v>
      </c>
      <c r="P194" t="n">
        <v>0</v>
      </c>
      <c r="Q194" t="n">
        <v>0</v>
      </c>
      <c r="R194" s="2" t="inlineStr"/>
    </row>
    <row r="195" ht="15" customHeight="1">
      <c r="A195" t="inlineStr">
        <is>
          <t>A 15986-2022</t>
        </is>
      </c>
      <c r="B195" s="1" t="n">
        <v>44664</v>
      </c>
      <c r="C195" s="1" t="n">
        <v>45880</v>
      </c>
      <c r="D195" t="inlineStr">
        <is>
          <t>SKÅNE LÄN</t>
        </is>
      </c>
      <c r="E195" t="inlineStr">
        <is>
          <t>HÄSSLEHOLM</t>
        </is>
      </c>
      <c r="F195" t="inlineStr">
        <is>
          <t>Kyrkan</t>
        </is>
      </c>
      <c r="G195" t="n">
        <v>6</v>
      </c>
      <c r="H195" t="n">
        <v>0</v>
      </c>
      <c r="I195" t="n">
        <v>0</v>
      </c>
      <c r="J195" t="n">
        <v>0</v>
      </c>
      <c r="K195" t="n">
        <v>0</v>
      </c>
      <c r="L195" t="n">
        <v>0</v>
      </c>
      <c r="M195" t="n">
        <v>0</v>
      </c>
      <c r="N195" t="n">
        <v>0</v>
      </c>
      <c r="O195" t="n">
        <v>0</v>
      </c>
      <c r="P195" t="n">
        <v>0</v>
      </c>
      <c r="Q195" t="n">
        <v>0</v>
      </c>
      <c r="R195" s="2" t="inlineStr"/>
    </row>
    <row r="196" ht="15" customHeight="1">
      <c r="A196" t="inlineStr">
        <is>
          <t>A 59302-2020</t>
        </is>
      </c>
      <c r="B196" s="1" t="n">
        <v>44147</v>
      </c>
      <c r="C196" s="1" t="n">
        <v>45880</v>
      </c>
      <c r="D196" t="inlineStr">
        <is>
          <t>SKÅNE LÄN</t>
        </is>
      </c>
      <c r="E196" t="inlineStr">
        <is>
          <t>HÄSSLEHOLM</t>
        </is>
      </c>
      <c r="G196" t="n">
        <v>11.2</v>
      </c>
      <c r="H196" t="n">
        <v>0</v>
      </c>
      <c r="I196" t="n">
        <v>0</v>
      </c>
      <c r="J196" t="n">
        <v>0</v>
      </c>
      <c r="K196" t="n">
        <v>0</v>
      </c>
      <c r="L196" t="n">
        <v>0</v>
      </c>
      <c r="M196" t="n">
        <v>0</v>
      </c>
      <c r="N196" t="n">
        <v>0</v>
      </c>
      <c r="O196" t="n">
        <v>0</v>
      </c>
      <c r="P196" t="n">
        <v>0</v>
      </c>
      <c r="Q196" t="n">
        <v>0</v>
      </c>
      <c r="R196" s="2" t="inlineStr"/>
    </row>
    <row r="197" ht="15" customHeight="1">
      <c r="A197" t="inlineStr">
        <is>
          <t>A 51893-2021</t>
        </is>
      </c>
      <c r="B197" s="1" t="n">
        <v>44462</v>
      </c>
      <c r="C197" s="1" t="n">
        <v>45880</v>
      </c>
      <c r="D197" t="inlineStr">
        <is>
          <t>SKÅNE LÄN</t>
        </is>
      </c>
      <c r="E197" t="inlineStr">
        <is>
          <t>HÄSSLEHOLM</t>
        </is>
      </c>
      <c r="G197" t="n">
        <v>1</v>
      </c>
      <c r="H197" t="n">
        <v>0</v>
      </c>
      <c r="I197" t="n">
        <v>0</v>
      </c>
      <c r="J197" t="n">
        <v>0</v>
      </c>
      <c r="K197" t="n">
        <v>0</v>
      </c>
      <c r="L197" t="n">
        <v>0</v>
      </c>
      <c r="M197" t="n">
        <v>0</v>
      </c>
      <c r="N197" t="n">
        <v>0</v>
      </c>
      <c r="O197" t="n">
        <v>0</v>
      </c>
      <c r="P197" t="n">
        <v>0</v>
      </c>
      <c r="Q197" t="n">
        <v>0</v>
      </c>
      <c r="R197" s="2" t="inlineStr"/>
    </row>
    <row r="198" ht="15" customHeight="1">
      <c r="A198" t="inlineStr">
        <is>
          <t>A 55394-2022</t>
        </is>
      </c>
      <c r="B198" s="1" t="n">
        <v>44887.57112268519</v>
      </c>
      <c r="C198" s="1" t="n">
        <v>45880</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51888-2021</t>
        </is>
      </c>
      <c r="B199" s="1" t="n">
        <v>44462</v>
      </c>
      <c r="C199" s="1" t="n">
        <v>45880</v>
      </c>
      <c r="D199" t="inlineStr">
        <is>
          <t>SKÅNE LÄN</t>
        </is>
      </c>
      <c r="E199" t="inlineStr">
        <is>
          <t>HÄSSLEHOLM</t>
        </is>
      </c>
      <c r="G199" t="n">
        <v>5.6</v>
      </c>
      <c r="H199" t="n">
        <v>0</v>
      </c>
      <c r="I199" t="n">
        <v>0</v>
      </c>
      <c r="J199" t="n">
        <v>0</v>
      </c>
      <c r="K199" t="n">
        <v>0</v>
      </c>
      <c r="L199" t="n">
        <v>0</v>
      </c>
      <c r="M199" t="n">
        <v>0</v>
      </c>
      <c r="N199" t="n">
        <v>0</v>
      </c>
      <c r="O199" t="n">
        <v>0</v>
      </c>
      <c r="P199" t="n">
        <v>0</v>
      </c>
      <c r="Q199" t="n">
        <v>0</v>
      </c>
      <c r="R199" s="2" t="inlineStr"/>
    </row>
    <row r="200" ht="15" customHeight="1">
      <c r="A200" t="inlineStr">
        <is>
          <t>A 52786-2021</t>
        </is>
      </c>
      <c r="B200" s="1" t="n">
        <v>44467.36061342592</v>
      </c>
      <c r="C200" s="1" t="n">
        <v>45880</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29143-2021</t>
        </is>
      </c>
      <c r="B201" s="1" t="n">
        <v>44358.6319212963</v>
      </c>
      <c r="C201" s="1" t="n">
        <v>45880</v>
      </c>
      <c r="D201" t="inlineStr">
        <is>
          <t>SKÅNE LÄN</t>
        </is>
      </c>
      <c r="E201" t="inlineStr">
        <is>
          <t>HÄSSLEHOLM</t>
        </is>
      </c>
      <c r="G201" t="n">
        <v>2.9</v>
      </c>
      <c r="H201" t="n">
        <v>0</v>
      </c>
      <c r="I201" t="n">
        <v>0</v>
      </c>
      <c r="J201" t="n">
        <v>0</v>
      </c>
      <c r="K201" t="n">
        <v>0</v>
      </c>
      <c r="L201" t="n">
        <v>0</v>
      </c>
      <c r="M201" t="n">
        <v>0</v>
      </c>
      <c r="N201" t="n">
        <v>0</v>
      </c>
      <c r="O201" t="n">
        <v>0</v>
      </c>
      <c r="P201" t="n">
        <v>0</v>
      </c>
      <c r="Q201" t="n">
        <v>0</v>
      </c>
      <c r="R201" s="2" t="inlineStr"/>
    </row>
    <row r="202" ht="15" customHeight="1">
      <c r="A202" t="inlineStr">
        <is>
          <t>A 66520-2020</t>
        </is>
      </c>
      <c r="B202" s="1" t="n">
        <v>44179</v>
      </c>
      <c r="C202" s="1" t="n">
        <v>45880</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45357-2022</t>
        </is>
      </c>
      <c r="B203" s="1" t="n">
        <v>44844.61952546296</v>
      </c>
      <c r="C203" s="1" t="n">
        <v>45880</v>
      </c>
      <c r="D203" t="inlineStr">
        <is>
          <t>SKÅNE LÄN</t>
        </is>
      </c>
      <c r="E203" t="inlineStr">
        <is>
          <t>HÄSSLEHOLM</t>
        </is>
      </c>
      <c r="G203" t="n">
        <v>5.8</v>
      </c>
      <c r="H203" t="n">
        <v>0</v>
      </c>
      <c r="I203" t="n">
        <v>0</v>
      </c>
      <c r="J203" t="n">
        <v>0</v>
      </c>
      <c r="K203" t="n">
        <v>0</v>
      </c>
      <c r="L203" t="n">
        <v>0</v>
      </c>
      <c r="M203" t="n">
        <v>0</v>
      </c>
      <c r="N203" t="n">
        <v>0</v>
      </c>
      <c r="O203" t="n">
        <v>0</v>
      </c>
      <c r="P203" t="n">
        <v>0</v>
      </c>
      <c r="Q203" t="n">
        <v>0</v>
      </c>
      <c r="R203" s="2" t="inlineStr"/>
    </row>
    <row r="204" ht="15" customHeight="1">
      <c r="A204" t="inlineStr">
        <is>
          <t>A 7262-2022</t>
        </is>
      </c>
      <c r="B204" s="1" t="n">
        <v>44606</v>
      </c>
      <c r="C204" s="1" t="n">
        <v>45880</v>
      </c>
      <c r="D204" t="inlineStr">
        <is>
          <t>SKÅNE LÄN</t>
        </is>
      </c>
      <c r="E204" t="inlineStr">
        <is>
          <t>HÄSSLEHOLM</t>
        </is>
      </c>
      <c r="F204" t="inlineStr">
        <is>
          <t>Övriga Aktiebolag</t>
        </is>
      </c>
      <c r="G204" t="n">
        <v>1</v>
      </c>
      <c r="H204" t="n">
        <v>0</v>
      </c>
      <c r="I204" t="n">
        <v>0</v>
      </c>
      <c r="J204" t="n">
        <v>0</v>
      </c>
      <c r="K204" t="n">
        <v>0</v>
      </c>
      <c r="L204" t="n">
        <v>0</v>
      </c>
      <c r="M204" t="n">
        <v>0</v>
      </c>
      <c r="N204" t="n">
        <v>0</v>
      </c>
      <c r="O204" t="n">
        <v>0</v>
      </c>
      <c r="P204" t="n">
        <v>0</v>
      </c>
      <c r="Q204" t="n">
        <v>0</v>
      </c>
      <c r="R204" s="2" t="inlineStr"/>
    </row>
    <row r="205" ht="15" customHeight="1">
      <c r="A205" t="inlineStr">
        <is>
          <t>A 44669-2022</t>
        </is>
      </c>
      <c r="B205" s="1" t="n">
        <v>44840</v>
      </c>
      <c r="C205" s="1" t="n">
        <v>45880</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45989-2021</t>
        </is>
      </c>
      <c r="B206" s="1" t="n">
        <v>44441.74627314815</v>
      </c>
      <c r="C206" s="1" t="n">
        <v>45880</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26386-2022</t>
        </is>
      </c>
      <c r="B207" s="1" t="n">
        <v>44735.6803125</v>
      </c>
      <c r="C207" s="1" t="n">
        <v>45880</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354-2022</t>
        </is>
      </c>
      <c r="B208" s="1" t="n">
        <v>44565.62510416667</v>
      </c>
      <c r="C208" s="1" t="n">
        <v>45880</v>
      </c>
      <c r="D208" t="inlineStr">
        <is>
          <t>SKÅNE LÄN</t>
        </is>
      </c>
      <c r="E208" t="inlineStr">
        <is>
          <t>HÄSSLEHOLM</t>
        </is>
      </c>
      <c r="G208" t="n">
        <v>2.4</v>
      </c>
      <c r="H208" t="n">
        <v>0</v>
      </c>
      <c r="I208" t="n">
        <v>0</v>
      </c>
      <c r="J208" t="n">
        <v>0</v>
      </c>
      <c r="K208" t="n">
        <v>0</v>
      </c>
      <c r="L208" t="n">
        <v>0</v>
      </c>
      <c r="M208" t="n">
        <v>0</v>
      </c>
      <c r="N208" t="n">
        <v>0</v>
      </c>
      <c r="O208" t="n">
        <v>0</v>
      </c>
      <c r="P208" t="n">
        <v>0</v>
      </c>
      <c r="Q208" t="n">
        <v>0</v>
      </c>
      <c r="R208" s="2" t="inlineStr"/>
    </row>
    <row r="209" ht="15" customHeight="1">
      <c r="A209" t="inlineStr">
        <is>
          <t>A 7248-2021</t>
        </is>
      </c>
      <c r="B209" s="1" t="n">
        <v>44236</v>
      </c>
      <c r="C209" s="1" t="n">
        <v>45880</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32892-2021</t>
        </is>
      </c>
      <c r="B210" s="1" t="n">
        <v>44375</v>
      </c>
      <c r="C210" s="1" t="n">
        <v>45880</v>
      </c>
      <c r="D210" t="inlineStr">
        <is>
          <t>SKÅNE LÄN</t>
        </is>
      </c>
      <c r="E210" t="inlineStr">
        <is>
          <t>HÄSSLEHOLM</t>
        </is>
      </c>
      <c r="G210" t="n">
        <v>2.9</v>
      </c>
      <c r="H210" t="n">
        <v>0</v>
      </c>
      <c r="I210" t="n">
        <v>0</v>
      </c>
      <c r="J210" t="n">
        <v>0</v>
      </c>
      <c r="K210" t="n">
        <v>0</v>
      </c>
      <c r="L210" t="n">
        <v>0</v>
      </c>
      <c r="M210" t="n">
        <v>0</v>
      </c>
      <c r="N210" t="n">
        <v>0</v>
      </c>
      <c r="O210" t="n">
        <v>0</v>
      </c>
      <c r="P210" t="n">
        <v>0</v>
      </c>
      <c r="Q210" t="n">
        <v>0</v>
      </c>
      <c r="R210" s="2" t="inlineStr"/>
    </row>
    <row r="211" ht="15" customHeight="1">
      <c r="A211" t="inlineStr">
        <is>
          <t>A 25469-2022</t>
        </is>
      </c>
      <c r="B211" s="1" t="n">
        <v>44732</v>
      </c>
      <c r="C211" s="1" t="n">
        <v>45880</v>
      </c>
      <c r="D211" t="inlineStr">
        <is>
          <t>SKÅNE LÄN</t>
        </is>
      </c>
      <c r="E211" t="inlineStr">
        <is>
          <t>HÄSSLEHOLM</t>
        </is>
      </c>
      <c r="G211" t="n">
        <v>4.2</v>
      </c>
      <c r="H211" t="n">
        <v>0</v>
      </c>
      <c r="I211" t="n">
        <v>0</v>
      </c>
      <c r="J211" t="n">
        <v>0</v>
      </c>
      <c r="K211" t="n">
        <v>0</v>
      </c>
      <c r="L211" t="n">
        <v>0</v>
      </c>
      <c r="M211" t="n">
        <v>0</v>
      </c>
      <c r="N211" t="n">
        <v>0</v>
      </c>
      <c r="O211" t="n">
        <v>0</v>
      </c>
      <c r="P211" t="n">
        <v>0</v>
      </c>
      <c r="Q211" t="n">
        <v>0</v>
      </c>
      <c r="R211" s="2" t="inlineStr"/>
    </row>
    <row r="212" ht="15" customHeight="1">
      <c r="A212" t="inlineStr">
        <is>
          <t>A 73513-2021</t>
        </is>
      </c>
      <c r="B212" s="1" t="n">
        <v>44551.69012731482</v>
      </c>
      <c r="C212" s="1" t="n">
        <v>45880</v>
      </c>
      <c r="D212" t="inlineStr">
        <is>
          <t>SKÅNE LÄN</t>
        </is>
      </c>
      <c r="E212" t="inlineStr">
        <is>
          <t>HÄSSLEHOLM</t>
        </is>
      </c>
      <c r="G212" t="n">
        <v>0.6</v>
      </c>
      <c r="H212" t="n">
        <v>0</v>
      </c>
      <c r="I212" t="n">
        <v>0</v>
      </c>
      <c r="J212" t="n">
        <v>0</v>
      </c>
      <c r="K212" t="n">
        <v>0</v>
      </c>
      <c r="L212" t="n">
        <v>0</v>
      </c>
      <c r="M212" t="n">
        <v>0</v>
      </c>
      <c r="N212" t="n">
        <v>0</v>
      </c>
      <c r="O212" t="n">
        <v>0</v>
      </c>
      <c r="P212" t="n">
        <v>0</v>
      </c>
      <c r="Q212" t="n">
        <v>0</v>
      </c>
      <c r="R212" s="2" t="inlineStr"/>
    </row>
    <row r="213" ht="15" customHeight="1">
      <c r="A213" t="inlineStr">
        <is>
          <t>A 1461-2021</t>
        </is>
      </c>
      <c r="B213" s="1" t="n">
        <v>44208</v>
      </c>
      <c r="C213" s="1" t="n">
        <v>45880</v>
      </c>
      <c r="D213" t="inlineStr">
        <is>
          <t>SKÅNE LÄN</t>
        </is>
      </c>
      <c r="E213" t="inlineStr">
        <is>
          <t>HÄSSLEHOLM</t>
        </is>
      </c>
      <c r="G213" t="n">
        <v>0.8</v>
      </c>
      <c r="H213" t="n">
        <v>0</v>
      </c>
      <c r="I213" t="n">
        <v>0</v>
      </c>
      <c r="J213" t="n">
        <v>0</v>
      </c>
      <c r="K213" t="n">
        <v>0</v>
      </c>
      <c r="L213" t="n">
        <v>0</v>
      </c>
      <c r="M213" t="n">
        <v>0</v>
      </c>
      <c r="N213" t="n">
        <v>0</v>
      </c>
      <c r="O213" t="n">
        <v>0</v>
      </c>
      <c r="P213" t="n">
        <v>0</v>
      </c>
      <c r="Q213" t="n">
        <v>0</v>
      </c>
      <c r="R213" s="2" t="inlineStr"/>
    </row>
    <row r="214" ht="15" customHeight="1">
      <c r="A214" t="inlineStr">
        <is>
          <t>A 39102-2022</t>
        </is>
      </c>
      <c r="B214" s="1" t="n">
        <v>44817.43260416666</v>
      </c>
      <c r="C214" s="1" t="n">
        <v>45880</v>
      </c>
      <c r="D214" t="inlineStr">
        <is>
          <t>SKÅNE LÄN</t>
        </is>
      </c>
      <c r="E214" t="inlineStr">
        <is>
          <t>HÄSSLEHOLM</t>
        </is>
      </c>
      <c r="G214" t="n">
        <v>0.5</v>
      </c>
      <c r="H214" t="n">
        <v>0</v>
      </c>
      <c r="I214" t="n">
        <v>0</v>
      </c>
      <c r="J214" t="n">
        <v>0</v>
      </c>
      <c r="K214" t="n">
        <v>0</v>
      </c>
      <c r="L214" t="n">
        <v>0</v>
      </c>
      <c r="M214" t="n">
        <v>0</v>
      </c>
      <c r="N214" t="n">
        <v>0</v>
      </c>
      <c r="O214" t="n">
        <v>0</v>
      </c>
      <c r="P214" t="n">
        <v>0</v>
      </c>
      <c r="Q214" t="n">
        <v>0</v>
      </c>
      <c r="R214" s="2" t="inlineStr"/>
    </row>
    <row r="215" ht="15" customHeight="1">
      <c r="A215" t="inlineStr">
        <is>
          <t>A 69198-2020</t>
        </is>
      </c>
      <c r="B215" s="1" t="n">
        <v>44191</v>
      </c>
      <c r="C215" s="1" t="n">
        <v>45880</v>
      </c>
      <c r="D215" t="inlineStr">
        <is>
          <t>SKÅNE LÄN</t>
        </is>
      </c>
      <c r="E215" t="inlineStr">
        <is>
          <t>HÄSSLEHOLM</t>
        </is>
      </c>
      <c r="G215" t="n">
        <v>6.6</v>
      </c>
      <c r="H215" t="n">
        <v>0</v>
      </c>
      <c r="I215" t="n">
        <v>0</v>
      </c>
      <c r="J215" t="n">
        <v>0</v>
      </c>
      <c r="K215" t="n">
        <v>0</v>
      </c>
      <c r="L215" t="n">
        <v>0</v>
      </c>
      <c r="M215" t="n">
        <v>0</v>
      </c>
      <c r="N215" t="n">
        <v>0</v>
      </c>
      <c r="O215" t="n">
        <v>0</v>
      </c>
      <c r="P215" t="n">
        <v>0</v>
      </c>
      <c r="Q215" t="n">
        <v>0</v>
      </c>
      <c r="R215" s="2" t="inlineStr"/>
    </row>
    <row r="216" ht="15" customHeight="1">
      <c r="A216" t="inlineStr">
        <is>
          <t>A 8695-2021</t>
        </is>
      </c>
      <c r="B216" s="1" t="n">
        <v>44246</v>
      </c>
      <c r="C216" s="1" t="n">
        <v>45880</v>
      </c>
      <c r="D216" t="inlineStr">
        <is>
          <t>SKÅNE LÄN</t>
        </is>
      </c>
      <c r="E216" t="inlineStr">
        <is>
          <t>HÄSSLEHOLM</t>
        </is>
      </c>
      <c r="G216" t="n">
        <v>1.4</v>
      </c>
      <c r="H216" t="n">
        <v>0</v>
      </c>
      <c r="I216" t="n">
        <v>0</v>
      </c>
      <c r="J216" t="n">
        <v>0</v>
      </c>
      <c r="K216" t="n">
        <v>0</v>
      </c>
      <c r="L216" t="n">
        <v>0</v>
      </c>
      <c r="M216" t="n">
        <v>0</v>
      </c>
      <c r="N216" t="n">
        <v>0</v>
      </c>
      <c r="O216" t="n">
        <v>0</v>
      </c>
      <c r="P216" t="n">
        <v>0</v>
      </c>
      <c r="Q216" t="n">
        <v>0</v>
      </c>
      <c r="R216" s="2" t="inlineStr"/>
    </row>
    <row r="217" ht="15" customHeight="1">
      <c r="A217" t="inlineStr">
        <is>
          <t>A 47112-2021</t>
        </is>
      </c>
      <c r="B217" s="1" t="n">
        <v>44446</v>
      </c>
      <c r="C217" s="1" t="n">
        <v>45880</v>
      </c>
      <c r="D217" t="inlineStr">
        <is>
          <t>SKÅNE LÄN</t>
        </is>
      </c>
      <c r="E217" t="inlineStr">
        <is>
          <t>HÄSSLEHOLM</t>
        </is>
      </c>
      <c r="G217" t="n">
        <v>9.699999999999999</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45880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45880</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45880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48792-2020</t>
        </is>
      </c>
      <c r="B221" s="1" t="n">
        <v>44103</v>
      </c>
      <c r="C221" s="1" t="n">
        <v>45880</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50372-2020</t>
        </is>
      </c>
      <c r="B222" s="1" t="n">
        <v>44110</v>
      </c>
      <c r="C222" s="1" t="n">
        <v>45880</v>
      </c>
      <c r="D222" t="inlineStr">
        <is>
          <t>SKÅNE LÄN</t>
        </is>
      </c>
      <c r="E222" t="inlineStr">
        <is>
          <t>HÄSSLEHOLM</t>
        </is>
      </c>
      <c r="G222" t="n">
        <v>1.5</v>
      </c>
      <c r="H222" t="n">
        <v>0</v>
      </c>
      <c r="I222" t="n">
        <v>0</v>
      </c>
      <c r="J222" t="n">
        <v>0</v>
      </c>
      <c r="K222" t="n">
        <v>0</v>
      </c>
      <c r="L222" t="n">
        <v>0</v>
      </c>
      <c r="M222" t="n">
        <v>0</v>
      </c>
      <c r="N222" t="n">
        <v>0</v>
      </c>
      <c r="O222" t="n">
        <v>0</v>
      </c>
      <c r="P222" t="n">
        <v>0</v>
      </c>
      <c r="Q222" t="n">
        <v>0</v>
      </c>
      <c r="R222" s="2" t="inlineStr"/>
    </row>
    <row r="223" ht="15" customHeight="1">
      <c r="A223" t="inlineStr">
        <is>
          <t>A 2858-2022</t>
        </is>
      </c>
      <c r="B223" s="1" t="n">
        <v>44581</v>
      </c>
      <c r="C223" s="1" t="n">
        <v>45880</v>
      </c>
      <c r="D223" t="inlineStr">
        <is>
          <t>SKÅNE LÄN</t>
        </is>
      </c>
      <c r="E223" t="inlineStr">
        <is>
          <t>HÄSSLEHOLM</t>
        </is>
      </c>
      <c r="F223" t="inlineStr">
        <is>
          <t>Övriga Aktiebolag</t>
        </is>
      </c>
      <c r="G223" t="n">
        <v>1.3</v>
      </c>
      <c r="H223" t="n">
        <v>0</v>
      </c>
      <c r="I223" t="n">
        <v>0</v>
      </c>
      <c r="J223" t="n">
        <v>0</v>
      </c>
      <c r="K223" t="n">
        <v>0</v>
      </c>
      <c r="L223" t="n">
        <v>0</v>
      </c>
      <c r="M223" t="n">
        <v>0</v>
      </c>
      <c r="N223" t="n">
        <v>0</v>
      </c>
      <c r="O223" t="n">
        <v>0</v>
      </c>
      <c r="P223" t="n">
        <v>0</v>
      </c>
      <c r="Q223" t="n">
        <v>0</v>
      </c>
      <c r="R223" s="2" t="inlineStr"/>
    </row>
    <row r="224" ht="15" customHeight="1">
      <c r="A224" t="inlineStr">
        <is>
          <t>A 48397-2020</t>
        </is>
      </c>
      <c r="B224" s="1" t="n">
        <v>44097</v>
      </c>
      <c r="C224" s="1" t="n">
        <v>45880</v>
      </c>
      <c r="D224" t="inlineStr">
        <is>
          <t>SKÅNE LÄN</t>
        </is>
      </c>
      <c r="E224" t="inlineStr">
        <is>
          <t>HÄSSLEHOLM</t>
        </is>
      </c>
      <c r="G224" t="n">
        <v>8</v>
      </c>
      <c r="H224" t="n">
        <v>0</v>
      </c>
      <c r="I224" t="n">
        <v>0</v>
      </c>
      <c r="J224" t="n">
        <v>0</v>
      </c>
      <c r="K224" t="n">
        <v>0</v>
      </c>
      <c r="L224" t="n">
        <v>0</v>
      </c>
      <c r="M224" t="n">
        <v>0</v>
      </c>
      <c r="N224" t="n">
        <v>0</v>
      </c>
      <c r="O224" t="n">
        <v>0</v>
      </c>
      <c r="P224" t="n">
        <v>0</v>
      </c>
      <c r="Q224" t="n">
        <v>0</v>
      </c>
      <c r="R224" s="2" t="inlineStr"/>
    </row>
    <row r="225" ht="15" customHeight="1">
      <c r="A225" t="inlineStr">
        <is>
          <t>A 6414-2022</t>
        </is>
      </c>
      <c r="B225" s="1" t="n">
        <v>44600</v>
      </c>
      <c r="C225" s="1" t="n">
        <v>45880</v>
      </c>
      <c r="D225" t="inlineStr">
        <is>
          <t>SKÅNE LÄN</t>
        </is>
      </c>
      <c r="E225" t="inlineStr">
        <is>
          <t>HÄSSLEHOLM</t>
        </is>
      </c>
      <c r="G225" t="n">
        <v>2.9</v>
      </c>
      <c r="H225" t="n">
        <v>0</v>
      </c>
      <c r="I225" t="n">
        <v>0</v>
      </c>
      <c r="J225" t="n">
        <v>0</v>
      </c>
      <c r="K225" t="n">
        <v>0</v>
      </c>
      <c r="L225" t="n">
        <v>0</v>
      </c>
      <c r="M225" t="n">
        <v>0</v>
      </c>
      <c r="N225" t="n">
        <v>0</v>
      </c>
      <c r="O225" t="n">
        <v>0</v>
      </c>
      <c r="P225" t="n">
        <v>0</v>
      </c>
      <c r="Q225" t="n">
        <v>0</v>
      </c>
      <c r="R225" s="2" t="inlineStr"/>
    </row>
    <row r="226" ht="15" customHeight="1">
      <c r="A226" t="inlineStr">
        <is>
          <t>A 13811-2021</t>
        </is>
      </c>
      <c r="B226" s="1" t="n">
        <v>44276</v>
      </c>
      <c r="C226" s="1" t="n">
        <v>45880</v>
      </c>
      <c r="D226" t="inlineStr">
        <is>
          <t>SKÅNE LÄN</t>
        </is>
      </c>
      <c r="E226" t="inlineStr">
        <is>
          <t>HÄSSLEHOLM</t>
        </is>
      </c>
      <c r="G226" t="n">
        <v>8</v>
      </c>
      <c r="H226" t="n">
        <v>0</v>
      </c>
      <c r="I226" t="n">
        <v>0</v>
      </c>
      <c r="J226" t="n">
        <v>0</v>
      </c>
      <c r="K226" t="n">
        <v>0</v>
      </c>
      <c r="L226" t="n">
        <v>0</v>
      </c>
      <c r="M226" t="n">
        <v>0</v>
      </c>
      <c r="N226" t="n">
        <v>0</v>
      </c>
      <c r="O226" t="n">
        <v>0</v>
      </c>
      <c r="P226" t="n">
        <v>0</v>
      </c>
      <c r="Q226" t="n">
        <v>0</v>
      </c>
      <c r="R226" s="2" t="inlineStr"/>
    </row>
    <row r="227" ht="15" customHeight="1">
      <c r="A227" t="inlineStr">
        <is>
          <t>A 54079-2020</t>
        </is>
      </c>
      <c r="B227" s="1" t="n">
        <v>44125.61570601852</v>
      </c>
      <c r="C227" s="1" t="n">
        <v>45880</v>
      </c>
      <c r="D227" t="inlineStr">
        <is>
          <t>SKÅNE LÄN</t>
        </is>
      </c>
      <c r="E227" t="inlineStr">
        <is>
          <t>HÄSSLEHOLM</t>
        </is>
      </c>
      <c r="G227" t="n">
        <v>0.3</v>
      </c>
      <c r="H227" t="n">
        <v>0</v>
      </c>
      <c r="I227" t="n">
        <v>0</v>
      </c>
      <c r="J227" t="n">
        <v>0</v>
      </c>
      <c r="K227" t="n">
        <v>0</v>
      </c>
      <c r="L227" t="n">
        <v>0</v>
      </c>
      <c r="M227" t="n">
        <v>0</v>
      </c>
      <c r="N227" t="n">
        <v>0</v>
      </c>
      <c r="O227" t="n">
        <v>0</v>
      </c>
      <c r="P227" t="n">
        <v>0</v>
      </c>
      <c r="Q227" t="n">
        <v>0</v>
      </c>
      <c r="R227" s="2" t="inlineStr"/>
    </row>
    <row r="228" ht="15" customHeight="1">
      <c r="A228" t="inlineStr">
        <is>
          <t>A 27959-2022</t>
        </is>
      </c>
      <c r="B228" s="1" t="n">
        <v>44744</v>
      </c>
      <c r="C228" s="1" t="n">
        <v>45880</v>
      </c>
      <c r="D228" t="inlineStr">
        <is>
          <t>SKÅNE LÄN</t>
        </is>
      </c>
      <c r="E228" t="inlineStr">
        <is>
          <t>HÄSSLEHOLM</t>
        </is>
      </c>
      <c r="G228" t="n">
        <v>3</v>
      </c>
      <c r="H228" t="n">
        <v>0</v>
      </c>
      <c r="I228" t="n">
        <v>0</v>
      </c>
      <c r="J228" t="n">
        <v>0</v>
      </c>
      <c r="K228" t="n">
        <v>0</v>
      </c>
      <c r="L228" t="n">
        <v>0</v>
      </c>
      <c r="M228" t="n">
        <v>0</v>
      </c>
      <c r="N228" t="n">
        <v>0</v>
      </c>
      <c r="O228" t="n">
        <v>0</v>
      </c>
      <c r="P228" t="n">
        <v>0</v>
      </c>
      <c r="Q228" t="n">
        <v>0</v>
      </c>
      <c r="R228" s="2" t="inlineStr"/>
    </row>
    <row r="229" ht="15" customHeight="1">
      <c r="A229" t="inlineStr">
        <is>
          <t>A 23967-2022</t>
        </is>
      </c>
      <c r="B229" s="1" t="n">
        <v>44722.74079861111</v>
      </c>
      <c r="C229" s="1" t="n">
        <v>45880</v>
      </c>
      <c r="D229" t="inlineStr">
        <is>
          <t>SKÅNE LÄN</t>
        </is>
      </c>
      <c r="E229" t="inlineStr">
        <is>
          <t>HÄSSLEHOLM</t>
        </is>
      </c>
      <c r="F229" t="inlineStr">
        <is>
          <t>Kyrkan</t>
        </is>
      </c>
      <c r="G229" t="n">
        <v>12.4</v>
      </c>
      <c r="H229" t="n">
        <v>0</v>
      </c>
      <c r="I229" t="n">
        <v>0</v>
      </c>
      <c r="J229" t="n">
        <v>0</v>
      </c>
      <c r="K229" t="n">
        <v>0</v>
      </c>
      <c r="L229" t="n">
        <v>0</v>
      </c>
      <c r="M229" t="n">
        <v>0</v>
      </c>
      <c r="N229" t="n">
        <v>0</v>
      </c>
      <c r="O229" t="n">
        <v>0</v>
      </c>
      <c r="P229" t="n">
        <v>0</v>
      </c>
      <c r="Q229" t="n">
        <v>0</v>
      </c>
      <c r="R229" s="2" t="inlineStr"/>
    </row>
    <row r="230" ht="15" customHeight="1">
      <c r="A230" t="inlineStr">
        <is>
          <t>A 60597-2020</t>
        </is>
      </c>
      <c r="B230" s="1" t="n">
        <v>44152</v>
      </c>
      <c r="C230" s="1" t="n">
        <v>45880</v>
      </c>
      <c r="D230" t="inlineStr">
        <is>
          <t>SKÅNE LÄN</t>
        </is>
      </c>
      <c r="E230" t="inlineStr">
        <is>
          <t>HÄSSLEHOLM</t>
        </is>
      </c>
      <c r="G230" t="n">
        <v>3.4</v>
      </c>
      <c r="H230" t="n">
        <v>0</v>
      </c>
      <c r="I230" t="n">
        <v>0</v>
      </c>
      <c r="J230" t="n">
        <v>0</v>
      </c>
      <c r="K230" t="n">
        <v>0</v>
      </c>
      <c r="L230" t="n">
        <v>0</v>
      </c>
      <c r="M230" t="n">
        <v>0</v>
      </c>
      <c r="N230" t="n">
        <v>0</v>
      </c>
      <c r="O230" t="n">
        <v>0</v>
      </c>
      <c r="P230" t="n">
        <v>0</v>
      </c>
      <c r="Q230" t="n">
        <v>0</v>
      </c>
      <c r="R230" s="2" t="inlineStr"/>
    </row>
    <row r="231" ht="15" customHeight="1">
      <c r="A231" t="inlineStr">
        <is>
          <t>A 69504-2020</t>
        </is>
      </c>
      <c r="B231" s="1" t="n">
        <v>44194</v>
      </c>
      <c r="C231" s="1" t="n">
        <v>45880</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46145-2020</t>
        </is>
      </c>
      <c r="B232" s="1" t="n">
        <v>44091</v>
      </c>
      <c r="C232" s="1" t="n">
        <v>45880</v>
      </c>
      <c r="D232" t="inlineStr">
        <is>
          <t>SKÅNE LÄN</t>
        </is>
      </c>
      <c r="E232" t="inlineStr">
        <is>
          <t>HÄSSLEHOLM</t>
        </is>
      </c>
      <c r="G232" t="n">
        <v>0.5</v>
      </c>
      <c r="H232" t="n">
        <v>0</v>
      </c>
      <c r="I232" t="n">
        <v>0</v>
      </c>
      <c r="J232" t="n">
        <v>0</v>
      </c>
      <c r="K232" t="n">
        <v>0</v>
      </c>
      <c r="L232" t="n">
        <v>0</v>
      </c>
      <c r="M232" t="n">
        <v>0</v>
      </c>
      <c r="N232" t="n">
        <v>0</v>
      </c>
      <c r="O232" t="n">
        <v>0</v>
      </c>
      <c r="P232" t="n">
        <v>0</v>
      </c>
      <c r="Q232" t="n">
        <v>0</v>
      </c>
      <c r="R232" s="2" t="inlineStr"/>
    </row>
    <row r="233" ht="15" customHeight="1">
      <c r="A233" t="inlineStr">
        <is>
          <t>A 56431-2021</t>
        </is>
      </c>
      <c r="B233" s="1" t="n">
        <v>44480</v>
      </c>
      <c r="C233" s="1" t="n">
        <v>45880</v>
      </c>
      <c r="D233" t="inlineStr">
        <is>
          <t>SKÅNE LÄN</t>
        </is>
      </c>
      <c r="E233" t="inlineStr">
        <is>
          <t>HÄSSLEHOLM</t>
        </is>
      </c>
      <c r="F233" t="inlineStr">
        <is>
          <t>Kyrkan</t>
        </is>
      </c>
      <c r="G233" t="n">
        <v>0.9</v>
      </c>
      <c r="H233" t="n">
        <v>0</v>
      </c>
      <c r="I233" t="n">
        <v>0</v>
      </c>
      <c r="J233" t="n">
        <v>0</v>
      </c>
      <c r="K233" t="n">
        <v>0</v>
      </c>
      <c r="L233" t="n">
        <v>0</v>
      </c>
      <c r="M233" t="n">
        <v>0</v>
      </c>
      <c r="N233" t="n">
        <v>0</v>
      </c>
      <c r="O233" t="n">
        <v>0</v>
      </c>
      <c r="P233" t="n">
        <v>0</v>
      </c>
      <c r="Q233" t="n">
        <v>0</v>
      </c>
      <c r="R233" s="2" t="inlineStr"/>
    </row>
    <row r="234" ht="15" customHeight="1">
      <c r="A234" t="inlineStr">
        <is>
          <t>A 45814-2020</t>
        </is>
      </c>
      <c r="B234" s="1" t="n">
        <v>44090.8908912037</v>
      </c>
      <c r="C234" s="1" t="n">
        <v>45880</v>
      </c>
      <c r="D234" t="inlineStr">
        <is>
          <t>SKÅNE LÄN</t>
        </is>
      </c>
      <c r="E234" t="inlineStr">
        <is>
          <t>HÄSSLEHOLM</t>
        </is>
      </c>
      <c r="G234" t="n">
        <v>0.2</v>
      </c>
      <c r="H234" t="n">
        <v>0</v>
      </c>
      <c r="I234" t="n">
        <v>0</v>
      </c>
      <c r="J234" t="n">
        <v>0</v>
      </c>
      <c r="K234" t="n">
        <v>0</v>
      </c>
      <c r="L234" t="n">
        <v>0</v>
      </c>
      <c r="M234" t="n">
        <v>0</v>
      </c>
      <c r="N234" t="n">
        <v>0</v>
      </c>
      <c r="O234" t="n">
        <v>0</v>
      </c>
      <c r="P234" t="n">
        <v>0</v>
      </c>
      <c r="Q234" t="n">
        <v>0</v>
      </c>
      <c r="R234" s="2" t="inlineStr"/>
    </row>
    <row r="235" ht="15" customHeight="1">
      <c r="A235" t="inlineStr">
        <is>
          <t>A 45815-2020</t>
        </is>
      </c>
      <c r="B235" s="1" t="n">
        <v>44090.9071875</v>
      </c>
      <c r="C235" s="1" t="n">
        <v>45880</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43595-2020</t>
        </is>
      </c>
      <c r="B236" s="1" t="n">
        <v>44082</v>
      </c>
      <c r="C236" s="1" t="n">
        <v>45880</v>
      </c>
      <c r="D236" t="inlineStr">
        <is>
          <t>SKÅNE LÄN</t>
        </is>
      </c>
      <c r="E236" t="inlineStr">
        <is>
          <t>HÄSSLEHOLM</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8177-2022</t>
        </is>
      </c>
      <c r="B237" s="1" t="n">
        <v>44607</v>
      </c>
      <c r="C237" s="1" t="n">
        <v>45880</v>
      </c>
      <c r="D237" t="inlineStr">
        <is>
          <t>SKÅNE LÄN</t>
        </is>
      </c>
      <c r="E237" t="inlineStr">
        <is>
          <t>HÄSSLEHOLM</t>
        </is>
      </c>
      <c r="F237" t="inlineStr">
        <is>
          <t>Kyrkan</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25464-2022</t>
        </is>
      </c>
      <c r="B238" s="1" t="n">
        <v>44729</v>
      </c>
      <c r="C238" s="1" t="n">
        <v>45880</v>
      </c>
      <c r="D238" t="inlineStr">
        <is>
          <t>SKÅNE LÄN</t>
        </is>
      </c>
      <c r="E238" t="inlineStr">
        <is>
          <t>HÄSSLEHOLM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62802-2020</t>
        </is>
      </c>
      <c r="B239" s="1" t="n">
        <v>44161</v>
      </c>
      <c r="C239" s="1" t="n">
        <v>45880</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45880</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57807-2020</t>
        </is>
      </c>
      <c r="B241" s="1" t="n">
        <v>44141</v>
      </c>
      <c r="C241" s="1" t="n">
        <v>45880</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52567-2021</t>
        </is>
      </c>
      <c r="B242" s="1" t="n">
        <v>44466</v>
      </c>
      <c r="C242" s="1" t="n">
        <v>45880</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62782-2020</t>
        </is>
      </c>
      <c r="B243" s="1" t="n">
        <v>44161</v>
      </c>
      <c r="C243" s="1" t="n">
        <v>45880</v>
      </c>
      <c r="D243" t="inlineStr">
        <is>
          <t>SKÅNE LÄN</t>
        </is>
      </c>
      <c r="E243" t="inlineStr">
        <is>
          <t>HÄSSLEHOLM</t>
        </is>
      </c>
      <c r="F243" t="inlineStr">
        <is>
          <t>Kyrkan</t>
        </is>
      </c>
      <c r="G243" t="n">
        <v>1.6</v>
      </c>
      <c r="H243" t="n">
        <v>0</v>
      </c>
      <c r="I243" t="n">
        <v>0</v>
      </c>
      <c r="J243" t="n">
        <v>0</v>
      </c>
      <c r="K243" t="n">
        <v>0</v>
      </c>
      <c r="L243" t="n">
        <v>0</v>
      </c>
      <c r="M243" t="n">
        <v>0</v>
      </c>
      <c r="N243" t="n">
        <v>0</v>
      </c>
      <c r="O243" t="n">
        <v>0</v>
      </c>
      <c r="P243" t="n">
        <v>0</v>
      </c>
      <c r="Q243" t="n">
        <v>0</v>
      </c>
      <c r="R243" s="2" t="inlineStr"/>
    </row>
    <row r="244" ht="15" customHeight="1">
      <c r="A244" t="inlineStr">
        <is>
          <t>A 6965-2021</t>
        </is>
      </c>
      <c r="B244" s="1" t="n">
        <v>44237</v>
      </c>
      <c r="C244" s="1" t="n">
        <v>45880</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30344-2022</t>
        </is>
      </c>
      <c r="B245" s="1" t="n">
        <v>44760.50783564815</v>
      </c>
      <c r="C245" s="1" t="n">
        <v>45880</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61216-2020</t>
        </is>
      </c>
      <c r="B246" s="1" t="n">
        <v>44155</v>
      </c>
      <c r="C246" s="1" t="n">
        <v>45880</v>
      </c>
      <c r="D246" t="inlineStr">
        <is>
          <t>SKÅNE LÄN</t>
        </is>
      </c>
      <c r="E246" t="inlineStr">
        <is>
          <t>HÄSSLEHOLM</t>
        </is>
      </c>
      <c r="G246" t="n">
        <v>1.3</v>
      </c>
      <c r="H246" t="n">
        <v>0</v>
      </c>
      <c r="I246" t="n">
        <v>0</v>
      </c>
      <c r="J246" t="n">
        <v>0</v>
      </c>
      <c r="K246" t="n">
        <v>0</v>
      </c>
      <c r="L246" t="n">
        <v>0</v>
      </c>
      <c r="M246" t="n">
        <v>0</v>
      </c>
      <c r="N246" t="n">
        <v>0</v>
      </c>
      <c r="O246" t="n">
        <v>0</v>
      </c>
      <c r="P246" t="n">
        <v>0</v>
      </c>
      <c r="Q246" t="n">
        <v>0</v>
      </c>
      <c r="R246" s="2" t="inlineStr"/>
    </row>
    <row r="247" ht="15" customHeight="1">
      <c r="A247" t="inlineStr">
        <is>
          <t>A 74297-2021</t>
        </is>
      </c>
      <c r="B247" s="1" t="n">
        <v>44558</v>
      </c>
      <c r="C247" s="1" t="n">
        <v>45880</v>
      </c>
      <c r="D247" t="inlineStr">
        <is>
          <t>SKÅNE LÄN</t>
        </is>
      </c>
      <c r="E247" t="inlineStr">
        <is>
          <t>HÄSSLEHOLM</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2514-2021</t>
        </is>
      </c>
      <c r="B248" s="1" t="n">
        <v>44214</v>
      </c>
      <c r="C248" s="1" t="n">
        <v>45880</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6967-2021</t>
        </is>
      </c>
      <c r="B249" s="1" t="n">
        <v>44237</v>
      </c>
      <c r="C249" s="1" t="n">
        <v>45880</v>
      </c>
      <c r="D249" t="inlineStr">
        <is>
          <t>SKÅNE LÄN</t>
        </is>
      </c>
      <c r="E249" t="inlineStr">
        <is>
          <t>HÄSSLEHOLM</t>
        </is>
      </c>
      <c r="G249" t="n">
        <v>0.7</v>
      </c>
      <c r="H249" t="n">
        <v>0</v>
      </c>
      <c r="I249" t="n">
        <v>0</v>
      </c>
      <c r="J249" t="n">
        <v>0</v>
      </c>
      <c r="K249" t="n">
        <v>0</v>
      </c>
      <c r="L249" t="n">
        <v>0</v>
      </c>
      <c r="M249" t="n">
        <v>0</v>
      </c>
      <c r="N249" t="n">
        <v>0</v>
      </c>
      <c r="O249" t="n">
        <v>0</v>
      </c>
      <c r="P249" t="n">
        <v>0</v>
      </c>
      <c r="Q249" t="n">
        <v>0</v>
      </c>
      <c r="R249" s="2" t="inlineStr"/>
    </row>
    <row r="250" ht="15" customHeight="1">
      <c r="A250" t="inlineStr">
        <is>
          <t>A 25788-2021</t>
        </is>
      </c>
      <c r="B250" s="1" t="n">
        <v>44343</v>
      </c>
      <c r="C250" s="1" t="n">
        <v>45880</v>
      </c>
      <c r="D250" t="inlineStr">
        <is>
          <t>SKÅNE LÄN</t>
        </is>
      </c>
      <c r="E250" t="inlineStr">
        <is>
          <t>HÄSSLEHOLM</t>
        </is>
      </c>
      <c r="G250" t="n">
        <v>4.8</v>
      </c>
      <c r="H250" t="n">
        <v>0</v>
      </c>
      <c r="I250" t="n">
        <v>0</v>
      </c>
      <c r="J250" t="n">
        <v>0</v>
      </c>
      <c r="K250" t="n">
        <v>0</v>
      </c>
      <c r="L250" t="n">
        <v>0</v>
      </c>
      <c r="M250" t="n">
        <v>0</v>
      </c>
      <c r="N250" t="n">
        <v>0</v>
      </c>
      <c r="O250" t="n">
        <v>0</v>
      </c>
      <c r="P250" t="n">
        <v>0</v>
      </c>
      <c r="Q250" t="n">
        <v>0</v>
      </c>
      <c r="R250" s="2" t="inlineStr"/>
    </row>
    <row r="251" ht="15" customHeight="1">
      <c r="A251" t="inlineStr">
        <is>
          <t>A 69505-2020</t>
        </is>
      </c>
      <c r="B251" s="1" t="n">
        <v>44194</v>
      </c>
      <c r="C251" s="1" t="n">
        <v>45880</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56527-2021</t>
        </is>
      </c>
      <c r="B252" s="1" t="n">
        <v>44480</v>
      </c>
      <c r="C252" s="1" t="n">
        <v>45880</v>
      </c>
      <c r="D252" t="inlineStr">
        <is>
          <t>SKÅNE LÄN</t>
        </is>
      </c>
      <c r="E252" t="inlineStr">
        <is>
          <t>HÄSSLEHOLM</t>
        </is>
      </c>
      <c r="F252" t="inlineStr">
        <is>
          <t>Kyrkan</t>
        </is>
      </c>
      <c r="G252" t="n">
        <v>2.7</v>
      </c>
      <c r="H252" t="n">
        <v>0</v>
      </c>
      <c r="I252" t="n">
        <v>0</v>
      </c>
      <c r="J252" t="n">
        <v>0</v>
      </c>
      <c r="K252" t="n">
        <v>0</v>
      </c>
      <c r="L252" t="n">
        <v>0</v>
      </c>
      <c r="M252" t="n">
        <v>0</v>
      </c>
      <c r="N252" t="n">
        <v>0</v>
      </c>
      <c r="O252" t="n">
        <v>0</v>
      </c>
      <c r="P252" t="n">
        <v>0</v>
      </c>
      <c r="Q252" t="n">
        <v>0</v>
      </c>
      <c r="R252" s="2" t="inlineStr"/>
    </row>
    <row r="253" ht="15" customHeight="1">
      <c r="A253" t="inlineStr">
        <is>
          <t>A 47121-2020</t>
        </is>
      </c>
      <c r="B253" s="1" t="n">
        <v>44096</v>
      </c>
      <c r="C253" s="1" t="n">
        <v>45880</v>
      </c>
      <c r="D253" t="inlineStr">
        <is>
          <t>SKÅNE LÄN</t>
        </is>
      </c>
      <c r="E253" t="inlineStr">
        <is>
          <t>HÄSSLEHOLM</t>
        </is>
      </c>
      <c r="G253" t="n">
        <v>3.6</v>
      </c>
      <c r="H253" t="n">
        <v>0</v>
      </c>
      <c r="I253" t="n">
        <v>0</v>
      </c>
      <c r="J253" t="n">
        <v>0</v>
      </c>
      <c r="K253" t="n">
        <v>0</v>
      </c>
      <c r="L253" t="n">
        <v>0</v>
      </c>
      <c r="M253" t="n">
        <v>0</v>
      </c>
      <c r="N253" t="n">
        <v>0</v>
      </c>
      <c r="O253" t="n">
        <v>0</v>
      </c>
      <c r="P253" t="n">
        <v>0</v>
      </c>
      <c r="Q253" t="n">
        <v>0</v>
      </c>
      <c r="R253" s="2" t="inlineStr"/>
    </row>
    <row r="254" ht="15" customHeight="1">
      <c r="A254" t="inlineStr">
        <is>
          <t>A 3992-2022</t>
        </is>
      </c>
      <c r="B254" s="1" t="n">
        <v>44587</v>
      </c>
      <c r="C254" s="1" t="n">
        <v>45880</v>
      </c>
      <c r="D254" t="inlineStr">
        <is>
          <t>SKÅNE LÄN</t>
        </is>
      </c>
      <c r="E254" t="inlineStr">
        <is>
          <t>HÄSSLEHOLM</t>
        </is>
      </c>
      <c r="G254" t="n">
        <v>0.9</v>
      </c>
      <c r="H254" t="n">
        <v>0</v>
      </c>
      <c r="I254" t="n">
        <v>0</v>
      </c>
      <c r="J254" t="n">
        <v>0</v>
      </c>
      <c r="K254" t="n">
        <v>0</v>
      </c>
      <c r="L254" t="n">
        <v>0</v>
      </c>
      <c r="M254" t="n">
        <v>0</v>
      </c>
      <c r="N254" t="n">
        <v>0</v>
      </c>
      <c r="O254" t="n">
        <v>0</v>
      </c>
      <c r="P254" t="n">
        <v>0</v>
      </c>
      <c r="Q254" t="n">
        <v>0</v>
      </c>
      <c r="R254" s="2" t="inlineStr"/>
    </row>
    <row r="255" ht="15" customHeight="1">
      <c r="A255" t="inlineStr">
        <is>
          <t>A 418-2022</t>
        </is>
      </c>
      <c r="B255" s="1" t="n">
        <v>44565.84958333334</v>
      </c>
      <c r="C255" s="1" t="n">
        <v>45880</v>
      </c>
      <c r="D255" t="inlineStr">
        <is>
          <t>SKÅNE LÄN</t>
        </is>
      </c>
      <c r="E255" t="inlineStr">
        <is>
          <t>HÄSSLEHOLM</t>
        </is>
      </c>
      <c r="G255" t="n">
        <v>0</v>
      </c>
      <c r="H255" t="n">
        <v>0</v>
      </c>
      <c r="I255" t="n">
        <v>0</v>
      </c>
      <c r="J255" t="n">
        <v>0</v>
      </c>
      <c r="K255" t="n">
        <v>0</v>
      </c>
      <c r="L255" t="n">
        <v>0</v>
      </c>
      <c r="M255" t="n">
        <v>0</v>
      </c>
      <c r="N255" t="n">
        <v>0</v>
      </c>
      <c r="O255" t="n">
        <v>0</v>
      </c>
      <c r="P255" t="n">
        <v>0</v>
      </c>
      <c r="Q255" t="n">
        <v>0</v>
      </c>
      <c r="R255" s="2" t="inlineStr"/>
    </row>
    <row r="256" ht="15" customHeight="1">
      <c r="A256" t="inlineStr">
        <is>
          <t>A 25955-2022</t>
        </is>
      </c>
      <c r="B256" s="1" t="n">
        <v>44734</v>
      </c>
      <c r="C256" s="1" t="n">
        <v>45880</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52295-2021</t>
        </is>
      </c>
      <c r="B257" s="1" t="n">
        <v>44463</v>
      </c>
      <c r="C257" s="1" t="n">
        <v>45880</v>
      </c>
      <c r="D257" t="inlineStr">
        <is>
          <t>SKÅNE LÄN</t>
        </is>
      </c>
      <c r="E257" t="inlineStr">
        <is>
          <t>HÄSSLEHOLM</t>
        </is>
      </c>
      <c r="G257" t="n">
        <v>0.3</v>
      </c>
      <c r="H257" t="n">
        <v>0</v>
      </c>
      <c r="I257" t="n">
        <v>0</v>
      </c>
      <c r="J257" t="n">
        <v>0</v>
      </c>
      <c r="K257" t="n">
        <v>0</v>
      </c>
      <c r="L257" t="n">
        <v>0</v>
      </c>
      <c r="M257" t="n">
        <v>0</v>
      </c>
      <c r="N257" t="n">
        <v>0</v>
      </c>
      <c r="O257" t="n">
        <v>0</v>
      </c>
      <c r="P257" t="n">
        <v>0</v>
      </c>
      <c r="Q257" t="n">
        <v>0</v>
      </c>
      <c r="R257" s="2" t="inlineStr"/>
    </row>
    <row r="258" ht="15" customHeight="1">
      <c r="A258" t="inlineStr">
        <is>
          <t>A 6973-2021</t>
        </is>
      </c>
      <c r="B258" s="1" t="n">
        <v>44237</v>
      </c>
      <c r="C258" s="1" t="n">
        <v>45880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68909-2021</t>
        </is>
      </c>
      <c r="B259" s="1" t="n">
        <v>44530.46730324074</v>
      </c>
      <c r="C259" s="1" t="n">
        <v>45880</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20657-2022</t>
        </is>
      </c>
      <c r="B260" s="1" t="n">
        <v>44700</v>
      </c>
      <c r="C260" s="1" t="n">
        <v>45880</v>
      </c>
      <c r="D260" t="inlineStr">
        <is>
          <t>SKÅNE LÄN</t>
        </is>
      </c>
      <c r="E260" t="inlineStr">
        <is>
          <t>HÄSSLEHOLM</t>
        </is>
      </c>
      <c r="G260" t="n">
        <v>3.8</v>
      </c>
      <c r="H260" t="n">
        <v>0</v>
      </c>
      <c r="I260" t="n">
        <v>0</v>
      </c>
      <c r="J260" t="n">
        <v>0</v>
      </c>
      <c r="K260" t="n">
        <v>0</v>
      </c>
      <c r="L260" t="n">
        <v>0</v>
      </c>
      <c r="M260" t="n">
        <v>0</v>
      </c>
      <c r="N260" t="n">
        <v>0</v>
      </c>
      <c r="O260" t="n">
        <v>0</v>
      </c>
      <c r="P260" t="n">
        <v>0</v>
      </c>
      <c r="Q260" t="n">
        <v>0</v>
      </c>
      <c r="R260" s="2" t="inlineStr"/>
    </row>
    <row r="261" ht="15" customHeight="1">
      <c r="A261" t="inlineStr">
        <is>
          <t>A 7904-2022</t>
        </is>
      </c>
      <c r="B261" s="1" t="n">
        <v>44607</v>
      </c>
      <c r="C261" s="1" t="n">
        <v>45880</v>
      </c>
      <c r="D261" t="inlineStr">
        <is>
          <t>SKÅNE LÄN</t>
        </is>
      </c>
      <c r="E261" t="inlineStr">
        <is>
          <t>HÄSSLEHOLM</t>
        </is>
      </c>
      <c r="F261" t="inlineStr">
        <is>
          <t>Kyrkan</t>
        </is>
      </c>
      <c r="G261" t="n">
        <v>3.9</v>
      </c>
      <c r="H261" t="n">
        <v>0</v>
      </c>
      <c r="I261" t="n">
        <v>0</v>
      </c>
      <c r="J261" t="n">
        <v>0</v>
      </c>
      <c r="K261" t="n">
        <v>0</v>
      </c>
      <c r="L261" t="n">
        <v>0</v>
      </c>
      <c r="M261" t="n">
        <v>0</v>
      </c>
      <c r="N261" t="n">
        <v>0</v>
      </c>
      <c r="O261" t="n">
        <v>0</v>
      </c>
      <c r="P261" t="n">
        <v>0</v>
      </c>
      <c r="Q261" t="n">
        <v>0</v>
      </c>
      <c r="R261" s="2" t="inlineStr"/>
    </row>
    <row r="262" ht="15" customHeight="1">
      <c r="A262" t="inlineStr">
        <is>
          <t>A 9453-2021</t>
        </is>
      </c>
      <c r="B262" s="1" t="n">
        <v>44251</v>
      </c>
      <c r="C262" s="1" t="n">
        <v>45880</v>
      </c>
      <c r="D262" t="inlineStr">
        <is>
          <t>SKÅNE LÄN</t>
        </is>
      </c>
      <c r="E262" t="inlineStr">
        <is>
          <t>HÄSSLEHOLM</t>
        </is>
      </c>
      <c r="G262" t="n">
        <v>1.4</v>
      </c>
      <c r="H262" t="n">
        <v>0</v>
      </c>
      <c r="I262" t="n">
        <v>0</v>
      </c>
      <c r="J262" t="n">
        <v>0</v>
      </c>
      <c r="K262" t="n">
        <v>0</v>
      </c>
      <c r="L262" t="n">
        <v>0</v>
      </c>
      <c r="M262" t="n">
        <v>0</v>
      </c>
      <c r="N262" t="n">
        <v>0</v>
      </c>
      <c r="O262" t="n">
        <v>0</v>
      </c>
      <c r="P262" t="n">
        <v>0</v>
      </c>
      <c r="Q262" t="n">
        <v>0</v>
      </c>
      <c r="R262" s="2" t="inlineStr"/>
    </row>
    <row r="263" ht="15" customHeight="1">
      <c r="A263" t="inlineStr">
        <is>
          <t>A 7250-2022</t>
        </is>
      </c>
      <c r="B263" s="1" t="n">
        <v>44606</v>
      </c>
      <c r="C263" s="1" t="n">
        <v>45880</v>
      </c>
      <c r="D263" t="inlineStr">
        <is>
          <t>SKÅNE LÄN</t>
        </is>
      </c>
      <c r="E263" t="inlineStr">
        <is>
          <t>HÄSSLEHOLM</t>
        </is>
      </c>
      <c r="F263" t="inlineStr">
        <is>
          <t>Övriga Aktiebolag</t>
        </is>
      </c>
      <c r="G263" t="n">
        <v>2.6</v>
      </c>
      <c r="H263" t="n">
        <v>0</v>
      </c>
      <c r="I263" t="n">
        <v>0</v>
      </c>
      <c r="J263" t="n">
        <v>0</v>
      </c>
      <c r="K263" t="n">
        <v>0</v>
      </c>
      <c r="L263" t="n">
        <v>0</v>
      </c>
      <c r="M263" t="n">
        <v>0</v>
      </c>
      <c r="N263" t="n">
        <v>0</v>
      </c>
      <c r="O263" t="n">
        <v>0</v>
      </c>
      <c r="P263" t="n">
        <v>0</v>
      </c>
      <c r="Q263" t="n">
        <v>0</v>
      </c>
      <c r="R263" s="2" t="inlineStr"/>
    </row>
    <row r="264" ht="15" customHeight="1">
      <c r="A264" t="inlineStr">
        <is>
          <t>A 51895-2021</t>
        </is>
      </c>
      <c r="B264" s="1" t="n">
        <v>44462</v>
      </c>
      <c r="C264" s="1" t="n">
        <v>45880</v>
      </c>
      <c r="D264" t="inlineStr">
        <is>
          <t>SKÅNE LÄN</t>
        </is>
      </c>
      <c r="E264" t="inlineStr">
        <is>
          <t>HÄSSLEHOLM</t>
        </is>
      </c>
      <c r="G264" t="n">
        <v>5.7</v>
      </c>
      <c r="H264" t="n">
        <v>0</v>
      </c>
      <c r="I264" t="n">
        <v>0</v>
      </c>
      <c r="J264" t="n">
        <v>0</v>
      </c>
      <c r="K264" t="n">
        <v>0</v>
      </c>
      <c r="L264" t="n">
        <v>0</v>
      </c>
      <c r="M264" t="n">
        <v>0</v>
      </c>
      <c r="N264" t="n">
        <v>0</v>
      </c>
      <c r="O264" t="n">
        <v>0</v>
      </c>
      <c r="P264" t="n">
        <v>0</v>
      </c>
      <c r="Q264" t="n">
        <v>0</v>
      </c>
      <c r="R264" s="2" t="inlineStr"/>
    </row>
    <row r="265" ht="15" customHeight="1">
      <c r="A265" t="inlineStr">
        <is>
          <t>A 43045-2020</t>
        </is>
      </c>
      <c r="B265" s="1" t="n">
        <v>44078</v>
      </c>
      <c r="C265" s="1" t="n">
        <v>45880</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9556-2025</t>
        </is>
      </c>
      <c r="B266" s="1" t="n">
        <v>45714</v>
      </c>
      <c r="C266" s="1" t="n">
        <v>45880</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46288-2023</t>
        </is>
      </c>
      <c r="B267" s="1" t="n">
        <v>45197.30221064815</v>
      </c>
      <c r="C267" s="1" t="n">
        <v>45880</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36795-2023</t>
        </is>
      </c>
      <c r="B268" s="1" t="n">
        <v>45154.38245370371</v>
      </c>
      <c r="C268" s="1" t="n">
        <v>45880</v>
      </c>
      <c r="D268" t="inlineStr">
        <is>
          <t>SKÅNE LÄN</t>
        </is>
      </c>
      <c r="E268" t="inlineStr">
        <is>
          <t>HÄSSLEHOLM</t>
        </is>
      </c>
      <c r="G268" t="n">
        <v>0.9</v>
      </c>
      <c r="H268" t="n">
        <v>0</v>
      </c>
      <c r="I268" t="n">
        <v>0</v>
      </c>
      <c r="J268" t="n">
        <v>0</v>
      </c>
      <c r="K268" t="n">
        <v>0</v>
      </c>
      <c r="L268" t="n">
        <v>0</v>
      </c>
      <c r="M268" t="n">
        <v>0</v>
      </c>
      <c r="N268" t="n">
        <v>0</v>
      </c>
      <c r="O268" t="n">
        <v>0</v>
      </c>
      <c r="P268" t="n">
        <v>0</v>
      </c>
      <c r="Q268" t="n">
        <v>0</v>
      </c>
      <c r="R268" s="2" t="inlineStr"/>
    </row>
    <row r="269" ht="15" customHeight="1">
      <c r="A269" t="inlineStr">
        <is>
          <t>A 15698-2023</t>
        </is>
      </c>
      <c r="B269" s="1" t="n">
        <v>45021</v>
      </c>
      <c r="C269" s="1" t="n">
        <v>45880</v>
      </c>
      <c r="D269" t="inlineStr">
        <is>
          <t>SKÅNE LÄN</t>
        </is>
      </c>
      <c r="E269" t="inlineStr">
        <is>
          <t>HÄSSLEHOLM</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38138-2020</t>
        </is>
      </c>
      <c r="B270" s="1" t="n">
        <v>44060.3046875</v>
      </c>
      <c r="C270" s="1" t="n">
        <v>45880</v>
      </c>
      <c r="D270" t="inlineStr">
        <is>
          <t>SKÅNE LÄN</t>
        </is>
      </c>
      <c r="E270" t="inlineStr">
        <is>
          <t>HÄSSLEHOLM</t>
        </is>
      </c>
      <c r="G270" t="n">
        <v>0.8</v>
      </c>
      <c r="H270" t="n">
        <v>0</v>
      </c>
      <c r="I270" t="n">
        <v>0</v>
      </c>
      <c r="J270" t="n">
        <v>0</v>
      </c>
      <c r="K270" t="n">
        <v>0</v>
      </c>
      <c r="L270" t="n">
        <v>0</v>
      </c>
      <c r="M270" t="n">
        <v>0</v>
      </c>
      <c r="N270" t="n">
        <v>0</v>
      </c>
      <c r="O270" t="n">
        <v>0</v>
      </c>
      <c r="P270" t="n">
        <v>0</v>
      </c>
      <c r="Q270" t="n">
        <v>0</v>
      </c>
      <c r="R270" s="2" t="inlineStr"/>
    </row>
    <row r="271" ht="15" customHeight="1">
      <c r="A271" t="inlineStr">
        <is>
          <t>A 57967-2023</t>
        </is>
      </c>
      <c r="B271" s="1" t="n">
        <v>45247.57984953704</v>
      </c>
      <c r="C271" s="1" t="n">
        <v>45880</v>
      </c>
      <c r="D271" t="inlineStr">
        <is>
          <t>SKÅNE LÄN</t>
        </is>
      </c>
      <c r="E271" t="inlineStr">
        <is>
          <t>HÄSSLEHOLM</t>
        </is>
      </c>
      <c r="G271" t="n">
        <v>8.6</v>
      </c>
      <c r="H271" t="n">
        <v>0</v>
      </c>
      <c r="I271" t="n">
        <v>0</v>
      </c>
      <c r="J271" t="n">
        <v>0</v>
      </c>
      <c r="K271" t="n">
        <v>0</v>
      </c>
      <c r="L271" t="n">
        <v>0</v>
      </c>
      <c r="M271" t="n">
        <v>0</v>
      </c>
      <c r="N271" t="n">
        <v>0</v>
      </c>
      <c r="O271" t="n">
        <v>0</v>
      </c>
      <c r="P271" t="n">
        <v>0</v>
      </c>
      <c r="Q271" t="n">
        <v>0</v>
      </c>
      <c r="R271" s="2" t="inlineStr"/>
    </row>
    <row r="272" ht="15" customHeight="1">
      <c r="A272" t="inlineStr">
        <is>
          <t>A 12584-2025</t>
        </is>
      </c>
      <c r="B272" s="1" t="n">
        <v>45732</v>
      </c>
      <c r="C272" s="1" t="n">
        <v>45880</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3930-2021</t>
        </is>
      </c>
      <c r="B273" s="1" t="n">
        <v>44222</v>
      </c>
      <c r="C273" s="1" t="n">
        <v>45880</v>
      </c>
      <c r="D273" t="inlineStr">
        <is>
          <t>SKÅNE LÄN</t>
        </is>
      </c>
      <c r="E273" t="inlineStr">
        <is>
          <t>HÄSSLEHOLM</t>
        </is>
      </c>
      <c r="G273" t="n">
        <v>3.4</v>
      </c>
      <c r="H273" t="n">
        <v>0</v>
      </c>
      <c r="I273" t="n">
        <v>0</v>
      </c>
      <c r="J273" t="n">
        <v>0</v>
      </c>
      <c r="K273" t="n">
        <v>0</v>
      </c>
      <c r="L273" t="n">
        <v>0</v>
      </c>
      <c r="M273" t="n">
        <v>0</v>
      </c>
      <c r="N273" t="n">
        <v>0</v>
      </c>
      <c r="O273" t="n">
        <v>0</v>
      </c>
      <c r="P273" t="n">
        <v>0</v>
      </c>
      <c r="Q273" t="n">
        <v>0</v>
      </c>
      <c r="R273" s="2" t="inlineStr"/>
    </row>
    <row r="274" ht="15" customHeight="1">
      <c r="A274" t="inlineStr">
        <is>
          <t>A 7306-2025</t>
        </is>
      </c>
      <c r="B274" s="1" t="n">
        <v>45702</v>
      </c>
      <c r="C274" s="1" t="n">
        <v>45880</v>
      </c>
      <c r="D274" t="inlineStr">
        <is>
          <t>SKÅNE LÄN</t>
        </is>
      </c>
      <c r="E274" t="inlineStr">
        <is>
          <t>HÄSSLEHOLM</t>
        </is>
      </c>
      <c r="F274" t="inlineStr">
        <is>
          <t>Övriga Aktiebolag</t>
        </is>
      </c>
      <c r="G274" t="n">
        <v>3.3</v>
      </c>
      <c r="H274" t="n">
        <v>0</v>
      </c>
      <c r="I274" t="n">
        <v>0</v>
      </c>
      <c r="J274" t="n">
        <v>0</v>
      </c>
      <c r="K274" t="n">
        <v>0</v>
      </c>
      <c r="L274" t="n">
        <v>0</v>
      </c>
      <c r="M274" t="n">
        <v>0</v>
      </c>
      <c r="N274" t="n">
        <v>0</v>
      </c>
      <c r="O274" t="n">
        <v>0</v>
      </c>
      <c r="P274" t="n">
        <v>0</v>
      </c>
      <c r="Q274" t="n">
        <v>0</v>
      </c>
      <c r="R274" s="2" t="inlineStr"/>
    </row>
    <row r="275" ht="15" customHeight="1">
      <c r="A275" t="inlineStr">
        <is>
          <t>A 7308-2025</t>
        </is>
      </c>
      <c r="B275" s="1" t="n">
        <v>45702</v>
      </c>
      <c r="C275" s="1" t="n">
        <v>45880</v>
      </c>
      <c r="D275" t="inlineStr">
        <is>
          <t>SKÅNE LÄN</t>
        </is>
      </c>
      <c r="E275" t="inlineStr">
        <is>
          <t>HÄSSLEHOLM</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7309-2025</t>
        </is>
      </c>
      <c r="B276" s="1" t="n">
        <v>45702</v>
      </c>
      <c r="C276" s="1" t="n">
        <v>45880</v>
      </c>
      <c r="D276" t="inlineStr">
        <is>
          <t>SKÅNE LÄN</t>
        </is>
      </c>
      <c r="E276" t="inlineStr">
        <is>
          <t>HÄSSLEHOLM</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19744-2023</t>
        </is>
      </c>
      <c r="B277" s="1" t="n">
        <v>45051</v>
      </c>
      <c r="C277" s="1" t="n">
        <v>45880</v>
      </c>
      <c r="D277" t="inlineStr">
        <is>
          <t>SKÅNE LÄN</t>
        </is>
      </c>
      <c r="E277" t="inlineStr">
        <is>
          <t>HÄSSLEHOLM</t>
        </is>
      </c>
      <c r="G277" t="n">
        <v>0.4</v>
      </c>
      <c r="H277" t="n">
        <v>0</v>
      </c>
      <c r="I277" t="n">
        <v>0</v>
      </c>
      <c r="J277" t="n">
        <v>0</v>
      </c>
      <c r="K277" t="n">
        <v>0</v>
      </c>
      <c r="L277" t="n">
        <v>0</v>
      </c>
      <c r="M277" t="n">
        <v>0</v>
      </c>
      <c r="N277" t="n">
        <v>0</v>
      </c>
      <c r="O277" t="n">
        <v>0</v>
      </c>
      <c r="P277" t="n">
        <v>0</v>
      </c>
      <c r="Q277" t="n">
        <v>0</v>
      </c>
      <c r="R277" s="2" t="inlineStr"/>
    </row>
    <row r="278" ht="15" customHeight="1">
      <c r="A278" t="inlineStr">
        <is>
          <t>A 7482-2025</t>
        </is>
      </c>
      <c r="B278" s="1" t="n">
        <v>45702</v>
      </c>
      <c r="C278" s="1" t="n">
        <v>45880</v>
      </c>
      <c r="D278" t="inlineStr">
        <is>
          <t>SKÅNE LÄN</t>
        </is>
      </c>
      <c r="E278" t="inlineStr">
        <is>
          <t>HÄSSLEHOLM</t>
        </is>
      </c>
      <c r="F278" t="inlineStr">
        <is>
          <t>Övriga Aktiebolag</t>
        </is>
      </c>
      <c r="G278" t="n">
        <v>1.9</v>
      </c>
      <c r="H278" t="n">
        <v>0</v>
      </c>
      <c r="I278" t="n">
        <v>0</v>
      </c>
      <c r="J278" t="n">
        <v>0</v>
      </c>
      <c r="K278" t="n">
        <v>0</v>
      </c>
      <c r="L278" t="n">
        <v>0</v>
      </c>
      <c r="M278" t="n">
        <v>0</v>
      </c>
      <c r="N278" t="n">
        <v>0</v>
      </c>
      <c r="O278" t="n">
        <v>0</v>
      </c>
      <c r="P278" t="n">
        <v>0</v>
      </c>
      <c r="Q278" t="n">
        <v>0</v>
      </c>
      <c r="R278" s="2" t="inlineStr"/>
    </row>
    <row r="279" ht="15" customHeight="1">
      <c r="A279" t="inlineStr">
        <is>
          <t>A 7489-2025</t>
        </is>
      </c>
      <c r="B279" s="1" t="n">
        <v>45702</v>
      </c>
      <c r="C279" s="1" t="n">
        <v>45880</v>
      </c>
      <c r="D279" t="inlineStr">
        <is>
          <t>SKÅNE LÄN</t>
        </is>
      </c>
      <c r="E279" t="inlineStr">
        <is>
          <t>HÄSSLEHOLM</t>
        </is>
      </c>
      <c r="F279" t="inlineStr">
        <is>
          <t>Övriga Aktiebolag</t>
        </is>
      </c>
      <c r="G279" t="n">
        <v>2.2</v>
      </c>
      <c r="H279" t="n">
        <v>0</v>
      </c>
      <c r="I279" t="n">
        <v>0</v>
      </c>
      <c r="J279" t="n">
        <v>0</v>
      </c>
      <c r="K279" t="n">
        <v>0</v>
      </c>
      <c r="L279" t="n">
        <v>0</v>
      </c>
      <c r="M279" t="n">
        <v>0</v>
      </c>
      <c r="N279" t="n">
        <v>0</v>
      </c>
      <c r="O279" t="n">
        <v>0</v>
      </c>
      <c r="P279" t="n">
        <v>0</v>
      </c>
      <c r="Q279" t="n">
        <v>0</v>
      </c>
      <c r="R279" s="2" t="inlineStr"/>
    </row>
    <row r="280" ht="15" customHeight="1">
      <c r="A280" t="inlineStr">
        <is>
          <t>A 15990-2023</t>
        </is>
      </c>
      <c r="B280" s="1" t="n">
        <v>45023.39584490741</v>
      </c>
      <c r="C280" s="1" t="n">
        <v>45880</v>
      </c>
      <c r="D280" t="inlineStr">
        <is>
          <t>SKÅNE LÄN</t>
        </is>
      </c>
      <c r="E280" t="inlineStr">
        <is>
          <t>HÄSSLEHOLM</t>
        </is>
      </c>
      <c r="G280" t="n">
        <v>0.8</v>
      </c>
      <c r="H280" t="n">
        <v>0</v>
      </c>
      <c r="I280" t="n">
        <v>0</v>
      </c>
      <c r="J280" t="n">
        <v>0</v>
      </c>
      <c r="K280" t="n">
        <v>0</v>
      </c>
      <c r="L280" t="n">
        <v>0</v>
      </c>
      <c r="M280" t="n">
        <v>0</v>
      </c>
      <c r="N280" t="n">
        <v>0</v>
      </c>
      <c r="O280" t="n">
        <v>0</v>
      </c>
      <c r="P280" t="n">
        <v>0</v>
      </c>
      <c r="Q280" t="n">
        <v>0</v>
      </c>
      <c r="R280" s="2" t="inlineStr"/>
    </row>
    <row r="281" ht="15" customHeight="1">
      <c r="A281" t="inlineStr">
        <is>
          <t>A 26642-2023</t>
        </is>
      </c>
      <c r="B281" s="1" t="n">
        <v>45092.8975</v>
      </c>
      <c r="C281" s="1" t="n">
        <v>45880</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47907-2021</t>
        </is>
      </c>
      <c r="B282" s="1" t="n">
        <v>44448</v>
      </c>
      <c r="C282" s="1" t="n">
        <v>45880</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7513-2025</t>
        </is>
      </c>
      <c r="B283" s="1" t="n">
        <v>45702</v>
      </c>
      <c r="C283" s="1" t="n">
        <v>45880</v>
      </c>
      <c r="D283" t="inlineStr">
        <is>
          <t>SKÅNE LÄN</t>
        </is>
      </c>
      <c r="E283" t="inlineStr">
        <is>
          <t>HÄSSLEHOLM</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31998-2023</t>
        </is>
      </c>
      <c r="B284" s="1" t="n">
        <v>45119</v>
      </c>
      <c r="C284" s="1" t="n">
        <v>45880</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4140-2023</t>
        </is>
      </c>
      <c r="B285" s="1" t="n">
        <v>44953</v>
      </c>
      <c r="C285" s="1" t="n">
        <v>45880</v>
      </c>
      <c r="D285" t="inlineStr">
        <is>
          <t>SKÅNE LÄN</t>
        </is>
      </c>
      <c r="E285" t="inlineStr">
        <is>
          <t>HÄSSLEHOLM</t>
        </is>
      </c>
      <c r="G285" t="n">
        <v>10.6</v>
      </c>
      <c r="H285" t="n">
        <v>0</v>
      </c>
      <c r="I285" t="n">
        <v>0</v>
      </c>
      <c r="J285" t="n">
        <v>0</v>
      </c>
      <c r="K285" t="n">
        <v>0</v>
      </c>
      <c r="L285" t="n">
        <v>0</v>
      </c>
      <c r="M285" t="n">
        <v>0</v>
      </c>
      <c r="N285" t="n">
        <v>0</v>
      </c>
      <c r="O285" t="n">
        <v>0</v>
      </c>
      <c r="P285" t="n">
        <v>0</v>
      </c>
      <c r="Q285" t="n">
        <v>0</v>
      </c>
      <c r="R285" s="2" t="inlineStr"/>
    </row>
    <row r="286" ht="15" customHeight="1">
      <c r="A286" t="inlineStr">
        <is>
          <t>A 45400-2022</t>
        </is>
      </c>
      <c r="B286" s="1" t="n">
        <v>44844.713125</v>
      </c>
      <c r="C286" s="1" t="n">
        <v>45880</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25077-2024</t>
        </is>
      </c>
      <c r="B287" s="1" t="n">
        <v>45462</v>
      </c>
      <c r="C287" s="1" t="n">
        <v>45880</v>
      </c>
      <c r="D287" t="inlineStr">
        <is>
          <t>SKÅNE LÄN</t>
        </is>
      </c>
      <c r="E287" t="inlineStr">
        <is>
          <t>HÄSSLEHOLM</t>
        </is>
      </c>
      <c r="G287" t="n">
        <v>1.6</v>
      </c>
      <c r="H287" t="n">
        <v>0</v>
      </c>
      <c r="I287" t="n">
        <v>0</v>
      </c>
      <c r="J287" t="n">
        <v>0</v>
      </c>
      <c r="K287" t="n">
        <v>0</v>
      </c>
      <c r="L287" t="n">
        <v>0</v>
      </c>
      <c r="M287" t="n">
        <v>0</v>
      </c>
      <c r="N287" t="n">
        <v>0</v>
      </c>
      <c r="O287" t="n">
        <v>0</v>
      </c>
      <c r="P287" t="n">
        <v>0</v>
      </c>
      <c r="Q287" t="n">
        <v>0</v>
      </c>
      <c r="R287" s="2" t="inlineStr"/>
    </row>
    <row r="288" ht="15" customHeight="1">
      <c r="A288" t="inlineStr">
        <is>
          <t>A 5016-2024</t>
        </is>
      </c>
      <c r="B288" s="1" t="n">
        <v>45329</v>
      </c>
      <c r="C288" s="1" t="n">
        <v>45880</v>
      </c>
      <c r="D288" t="inlineStr">
        <is>
          <t>SKÅNE LÄN</t>
        </is>
      </c>
      <c r="E288" t="inlineStr">
        <is>
          <t>HÄSSLEHOLM</t>
        </is>
      </c>
      <c r="G288" t="n">
        <v>3.2</v>
      </c>
      <c r="H288" t="n">
        <v>0</v>
      </c>
      <c r="I288" t="n">
        <v>0</v>
      </c>
      <c r="J288" t="n">
        <v>0</v>
      </c>
      <c r="K288" t="n">
        <v>0</v>
      </c>
      <c r="L288" t="n">
        <v>0</v>
      </c>
      <c r="M288" t="n">
        <v>0</v>
      </c>
      <c r="N288" t="n">
        <v>0</v>
      </c>
      <c r="O288" t="n">
        <v>0</v>
      </c>
      <c r="P288" t="n">
        <v>0</v>
      </c>
      <c r="Q288" t="n">
        <v>0</v>
      </c>
      <c r="R288" s="2" t="inlineStr"/>
    </row>
    <row r="289" ht="15" customHeight="1">
      <c r="A289" t="inlineStr">
        <is>
          <t>A 54874-2022</t>
        </is>
      </c>
      <c r="B289" s="1" t="n">
        <v>44881</v>
      </c>
      <c r="C289" s="1" t="n">
        <v>45880</v>
      </c>
      <c r="D289" t="inlineStr">
        <is>
          <t>SKÅNE LÄN</t>
        </is>
      </c>
      <c r="E289" t="inlineStr">
        <is>
          <t>HÄSSLEHOLM</t>
        </is>
      </c>
      <c r="G289" t="n">
        <v>8.1</v>
      </c>
      <c r="H289" t="n">
        <v>0</v>
      </c>
      <c r="I289" t="n">
        <v>0</v>
      </c>
      <c r="J289" t="n">
        <v>0</v>
      </c>
      <c r="K289" t="n">
        <v>0</v>
      </c>
      <c r="L289" t="n">
        <v>0</v>
      </c>
      <c r="M289" t="n">
        <v>0</v>
      </c>
      <c r="N289" t="n">
        <v>0</v>
      </c>
      <c r="O289" t="n">
        <v>0</v>
      </c>
      <c r="P289" t="n">
        <v>0</v>
      </c>
      <c r="Q289" t="n">
        <v>0</v>
      </c>
      <c r="R289" s="2" t="inlineStr"/>
    </row>
    <row r="290" ht="15" customHeight="1">
      <c r="A290" t="inlineStr">
        <is>
          <t>A 4512-2024</t>
        </is>
      </c>
      <c r="B290" s="1" t="n">
        <v>45327.6312962963</v>
      </c>
      <c r="C290" s="1" t="n">
        <v>45880</v>
      </c>
      <c r="D290" t="inlineStr">
        <is>
          <t>SKÅNE LÄN</t>
        </is>
      </c>
      <c r="E290" t="inlineStr">
        <is>
          <t>HÄSSLEHOLM</t>
        </is>
      </c>
      <c r="G290" t="n">
        <v>2</v>
      </c>
      <c r="H290" t="n">
        <v>0</v>
      </c>
      <c r="I290" t="n">
        <v>0</v>
      </c>
      <c r="J290" t="n">
        <v>0</v>
      </c>
      <c r="K290" t="n">
        <v>0</v>
      </c>
      <c r="L290" t="n">
        <v>0</v>
      </c>
      <c r="M290" t="n">
        <v>0</v>
      </c>
      <c r="N290" t="n">
        <v>0</v>
      </c>
      <c r="O290" t="n">
        <v>0</v>
      </c>
      <c r="P290" t="n">
        <v>0</v>
      </c>
      <c r="Q290" t="n">
        <v>0</v>
      </c>
      <c r="R290" s="2" t="inlineStr"/>
    </row>
    <row r="291" ht="15" customHeight="1">
      <c r="A291" t="inlineStr">
        <is>
          <t>A 46942-2024</t>
        </is>
      </c>
      <c r="B291" s="1" t="n">
        <v>45585.6684375</v>
      </c>
      <c r="C291" s="1" t="n">
        <v>45880</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44527-2020</t>
        </is>
      </c>
      <c r="B292" s="1" t="n">
        <v>44085</v>
      </c>
      <c r="C292" s="1" t="n">
        <v>45880</v>
      </c>
      <c r="D292" t="inlineStr">
        <is>
          <t>SKÅNE LÄN</t>
        </is>
      </c>
      <c r="E292" t="inlineStr">
        <is>
          <t>HÄSSLEHOLM</t>
        </is>
      </c>
      <c r="F292" t="inlineStr">
        <is>
          <t>Kommuner</t>
        </is>
      </c>
      <c r="G292" t="n">
        <v>7.7</v>
      </c>
      <c r="H292" t="n">
        <v>0</v>
      </c>
      <c r="I292" t="n">
        <v>0</v>
      </c>
      <c r="J292" t="n">
        <v>0</v>
      </c>
      <c r="K292" t="n">
        <v>0</v>
      </c>
      <c r="L292" t="n">
        <v>0</v>
      </c>
      <c r="M292" t="n">
        <v>0</v>
      </c>
      <c r="N292" t="n">
        <v>0</v>
      </c>
      <c r="O292" t="n">
        <v>0</v>
      </c>
      <c r="P292" t="n">
        <v>0</v>
      </c>
      <c r="Q292" t="n">
        <v>0</v>
      </c>
      <c r="R292" s="2" t="inlineStr"/>
    </row>
    <row r="293" ht="15" customHeight="1">
      <c r="A293" t="inlineStr">
        <is>
          <t>A 4916-2024</t>
        </is>
      </c>
      <c r="B293" s="1" t="n">
        <v>45329</v>
      </c>
      <c r="C293" s="1" t="n">
        <v>45880</v>
      </c>
      <c r="D293" t="inlineStr">
        <is>
          <t>SKÅNE LÄN</t>
        </is>
      </c>
      <c r="E293" t="inlineStr">
        <is>
          <t>HÄSSLEHOLM</t>
        </is>
      </c>
      <c r="G293" t="n">
        <v>1.3</v>
      </c>
      <c r="H293" t="n">
        <v>0</v>
      </c>
      <c r="I293" t="n">
        <v>0</v>
      </c>
      <c r="J293" t="n">
        <v>0</v>
      </c>
      <c r="K293" t="n">
        <v>0</v>
      </c>
      <c r="L293" t="n">
        <v>0</v>
      </c>
      <c r="M293" t="n">
        <v>0</v>
      </c>
      <c r="N293" t="n">
        <v>0</v>
      </c>
      <c r="O293" t="n">
        <v>0</v>
      </c>
      <c r="P293" t="n">
        <v>0</v>
      </c>
      <c r="Q293" t="n">
        <v>0</v>
      </c>
      <c r="R293" s="2" t="inlineStr"/>
    </row>
    <row r="294" ht="15" customHeight="1">
      <c r="A294" t="inlineStr">
        <is>
          <t>A 1706-2025</t>
        </is>
      </c>
      <c r="B294" s="1" t="n">
        <v>45670</v>
      </c>
      <c r="C294" s="1" t="n">
        <v>45880</v>
      </c>
      <c r="D294" t="inlineStr">
        <is>
          <t>SKÅNE LÄN</t>
        </is>
      </c>
      <c r="E294" t="inlineStr">
        <is>
          <t>HÄSSLEHOLM</t>
        </is>
      </c>
      <c r="G294" t="n">
        <v>5</v>
      </c>
      <c r="H294" t="n">
        <v>0</v>
      </c>
      <c r="I294" t="n">
        <v>0</v>
      </c>
      <c r="J294" t="n">
        <v>0</v>
      </c>
      <c r="K294" t="n">
        <v>0</v>
      </c>
      <c r="L294" t="n">
        <v>0</v>
      </c>
      <c r="M294" t="n">
        <v>0</v>
      </c>
      <c r="N294" t="n">
        <v>0</v>
      </c>
      <c r="O294" t="n">
        <v>0</v>
      </c>
      <c r="P294" t="n">
        <v>0</v>
      </c>
      <c r="Q294" t="n">
        <v>0</v>
      </c>
      <c r="R294" s="2" t="inlineStr"/>
    </row>
    <row r="295" ht="15" customHeight="1">
      <c r="A295" t="inlineStr">
        <is>
          <t>A 61625-2022</t>
        </is>
      </c>
      <c r="B295" s="1" t="n">
        <v>44916</v>
      </c>
      <c r="C295" s="1" t="n">
        <v>45880</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28236-2022</t>
        </is>
      </c>
      <c r="B296" s="1" t="n">
        <v>44746</v>
      </c>
      <c r="C296" s="1" t="n">
        <v>45880</v>
      </c>
      <c r="D296" t="inlineStr">
        <is>
          <t>SKÅNE LÄN</t>
        </is>
      </c>
      <c r="E296" t="inlineStr">
        <is>
          <t>HÄSSLEHOLM</t>
        </is>
      </c>
      <c r="G296" t="n">
        <v>3.5</v>
      </c>
      <c r="H296" t="n">
        <v>0</v>
      </c>
      <c r="I296" t="n">
        <v>0</v>
      </c>
      <c r="J296" t="n">
        <v>0</v>
      </c>
      <c r="K296" t="n">
        <v>0</v>
      </c>
      <c r="L296" t="n">
        <v>0</v>
      </c>
      <c r="M296" t="n">
        <v>0</v>
      </c>
      <c r="N296" t="n">
        <v>0</v>
      </c>
      <c r="O296" t="n">
        <v>0</v>
      </c>
      <c r="P296" t="n">
        <v>0</v>
      </c>
      <c r="Q296" t="n">
        <v>0</v>
      </c>
      <c r="R296" s="2" t="inlineStr"/>
    </row>
    <row r="297" ht="15" customHeight="1">
      <c r="A297" t="inlineStr">
        <is>
          <t>A 9541-2025</t>
        </is>
      </c>
      <c r="B297" s="1" t="n">
        <v>45714</v>
      </c>
      <c r="C297" s="1" t="n">
        <v>45880</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31268-2024</t>
        </is>
      </c>
      <c r="B298" s="1" t="n">
        <v>45504</v>
      </c>
      <c r="C298" s="1" t="n">
        <v>45880</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33257-2024</t>
        </is>
      </c>
      <c r="B299" s="1" t="n">
        <v>45518</v>
      </c>
      <c r="C299" s="1" t="n">
        <v>45880</v>
      </c>
      <c r="D299" t="inlineStr">
        <is>
          <t>SKÅNE LÄN</t>
        </is>
      </c>
      <c r="E299" t="inlineStr">
        <is>
          <t>HÄSSLEHOLM</t>
        </is>
      </c>
      <c r="G299" t="n">
        <v>0.4</v>
      </c>
      <c r="H299" t="n">
        <v>0</v>
      </c>
      <c r="I299" t="n">
        <v>0</v>
      </c>
      <c r="J299" t="n">
        <v>0</v>
      </c>
      <c r="K299" t="n">
        <v>0</v>
      </c>
      <c r="L299" t="n">
        <v>0</v>
      </c>
      <c r="M299" t="n">
        <v>0</v>
      </c>
      <c r="N299" t="n">
        <v>0</v>
      </c>
      <c r="O299" t="n">
        <v>0</v>
      </c>
      <c r="P299" t="n">
        <v>0</v>
      </c>
      <c r="Q299" t="n">
        <v>0</v>
      </c>
      <c r="R299" s="2" t="inlineStr"/>
    </row>
    <row r="300" ht="15" customHeight="1">
      <c r="A300" t="inlineStr">
        <is>
          <t>A 13856-2025</t>
        </is>
      </c>
      <c r="B300" s="1" t="n">
        <v>45737.57289351852</v>
      </c>
      <c r="C300" s="1" t="n">
        <v>45880</v>
      </c>
      <c r="D300" t="inlineStr">
        <is>
          <t>SKÅNE LÄN</t>
        </is>
      </c>
      <c r="E300" t="inlineStr">
        <is>
          <t>HÄSSLEHOLM</t>
        </is>
      </c>
      <c r="G300" t="n">
        <v>0.6</v>
      </c>
      <c r="H300" t="n">
        <v>0</v>
      </c>
      <c r="I300" t="n">
        <v>0</v>
      </c>
      <c r="J300" t="n">
        <v>0</v>
      </c>
      <c r="K300" t="n">
        <v>0</v>
      </c>
      <c r="L300" t="n">
        <v>0</v>
      </c>
      <c r="M300" t="n">
        <v>0</v>
      </c>
      <c r="N300" t="n">
        <v>0</v>
      </c>
      <c r="O300" t="n">
        <v>0</v>
      </c>
      <c r="P300" t="n">
        <v>0</v>
      </c>
      <c r="Q300" t="n">
        <v>0</v>
      </c>
      <c r="R300" s="2" t="inlineStr"/>
    </row>
    <row r="301" ht="15" customHeight="1">
      <c r="A301" t="inlineStr">
        <is>
          <t>A 36568-2024</t>
        </is>
      </c>
      <c r="B301" s="1" t="n">
        <v>45537</v>
      </c>
      <c r="C301" s="1" t="n">
        <v>45880</v>
      </c>
      <c r="D301" t="inlineStr">
        <is>
          <t>SKÅNE LÄN</t>
        </is>
      </c>
      <c r="E301" t="inlineStr">
        <is>
          <t>HÄSSLEHOLM</t>
        </is>
      </c>
      <c r="G301" t="n">
        <v>4.3</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45880</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32794-2021</t>
        </is>
      </c>
      <c r="B303" s="1" t="n">
        <v>44375</v>
      </c>
      <c r="C303" s="1" t="n">
        <v>45880</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17492-2025</t>
        </is>
      </c>
      <c r="B304" s="1" t="n">
        <v>45747</v>
      </c>
      <c r="C304" s="1" t="n">
        <v>45880</v>
      </c>
      <c r="D304" t="inlineStr">
        <is>
          <t>SKÅNE LÄN</t>
        </is>
      </c>
      <c r="E304" t="inlineStr">
        <is>
          <t>HÄSSLEHOLM</t>
        </is>
      </c>
      <c r="G304" t="n">
        <v>1.4</v>
      </c>
      <c r="H304" t="n">
        <v>0</v>
      </c>
      <c r="I304" t="n">
        <v>0</v>
      </c>
      <c r="J304" t="n">
        <v>0</v>
      </c>
      <c r="K304" t="n">
        <v>0</v>
      </c>
      <c r="L304" t="n">
        <v>0</v>
      </c>
      <c r="M304" t="n">
        <v>0</v>
      </c>
      <c r="N304" t="n">
        <v>0</v>
      </c>
      <c r="O304" t="n">
        <v>0</v>
      </c>
      <c r="P304" t="n">
        <v>0</v>
      </c>
      <c r="Q304" t="n">
        <v>0</v>
      </c>
      <c r="R304" s="2" t="inlineStr"/>
    </row>
    <row r="305" ht="15" customHeight="1">
      <c r="A305" t="inlineStr">
        <is>
          <t>A 13961-2023</t>
        </is>
      </c>
      <c r="B305" s="1" t="n">
        <v>45008</v>
      </c>
      <c r="C305" s="1" t="n">
        <v>45880</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62199-2022</t>
        </is>
      </c>
      <c r="B306" s="1" t="n">
        <v>44915</v>
      </c>
      <c r="C306" s="1" t="n">
        <v>45880</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3855-2023</t>
        </is>
      </c>
      <c r="B307" s="1" t="n">
        <v>44951.69708333333</v>
      </c>
      <c r="C307" s="1" t="n">
        <v>45880</v>
      </c>
      <c r="D307" t="inlineStr">
        <is>
          <t>SKÅNE LÄN</t>
        </is>
      </c>
      <c r="E307" t="inlineStr">
        <is>
          <t>HÄSSLEHOLM</t>
        </is>
      </c>
      <c r="G307" t="n">
        <v>2.3</v>
      </c>
      <c r="H307" t="n">
        <v>0</v>
      </c>
      <c r="I307" t="n">
        <v>0</v>
      </c>
      <c r="J307" t="n">
        <v>0</v>
      </c>
      <c r="K307" t="n">
        <v>0</v>
      </c>
      <c r="L307" t="n">
        <v>0</v>
      </c>
      <c r="M307" t="n">
        <v>0</v>
      </c>
      <c r="N307" t="n">
        <v>0</v>
      </c>
      <c r="O307" t="n">
        <v>0</v>
      </c>
      <c r="P307" t="n">
        <v>0</v>
      </c>
      <c r="Q307" t="n">
        <v>0</v>
      </c>
      <c r="R307" s="2" t="inlineStr"/>
    </row>
    <row r="308" ht="15" customHeight="1">
      <c r="A308" t="inlineStr">
        <is>
          <t>A 14157-2021</t>
        </is>
      </c>
      <c r="B308" s="1" t="n">
        <v>44278.43246527778</v>
      </c>
      <c r="C308" s="1" t="n">
        <v>45880</v>
      </c>
      <c r="D308" t="inlineStr">
        <is>
          <t>SKÅNE LÄN</t>
        </is>
      </c>
      <c r="E308" t="inlineStr">
        <is>
          <t>HÄSSLEHOLM</t>
        </is>
      </c>
      <c r="G308" t="n">
        <v>10.5</v>
      </c>
      <c r="H308" t="n">
        <v>0</v>
      </c>
      <c r="I308" t="n">
        <v>0</v>
      </c>
      <c r="J308" t="n">
        <v>0</v>
      </c>
      <c r="K308" t="n">
        <v>0</v>
      </c>
      <c r="L308" t="n">
        <v>0</v>
      </c>
      <c r="M308" t="n">
        <v>0</v>
      </c>
      <c r="N308" t="n">
        <v>0</v>
      </c>
      <c r="O308" t="n">
        <v>0</v>
      </c>
      <c r="P308" t="n">
        <v>0</v>
      </c>
      <c r="Q308" t="n">
        <v>0</v>
      </c>
      <c r="R308" s="2" t="inlineStr"/>
    </row>
    <row r="309" ht="15" customHeight="1">
      <c r="A309" t="inlineStr">
        <is>
          <t>A 677-2024</t>
        </is>
      </c>
      <c r="B309" s="1" t="n">
        <v>45300</v>
      </c>
      <c r="C309" s="1" t="n">
        <v>45880</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34301-2024</t>
        </is>
      </c>
      <c r="B310" s="1" t="n">
        <v>45524</v>
      </c>
      <c r="C310" s="1" t="n">
        <v>45880</v>
      </c>
      <c r="D310" t="inlineStr">
        <is>
          <t>SKÅNE LÄN</t>
        </is>
      </c>
      <c r="E310" t="inlineStr">
        <is>
          <t>HÄSSLEHOLM</t>
        </is>
      </c>
      <c r="G310" t="n">
        <v>0.4</v>
      </c>
      <c r="H310" t="n">
        <v>0</v>
      </c>
      <c r="I310" t="n">
        <v>0</v>
      </c>
      <c r="J310" t="n">
        <v>0</v>
      </c>
      <c r="K310" t="n">
        <v>0</v>
      </c>
      <c r="L310" t="n">
        <v>0</v>
      </c>
      <c r="M310" t="n">
        <v>0</v>
      </c>
      <c r="N310" t="n">
        <v>0</v>
      </c>
      <c r="O310" t="n">
        <v>0</v>
      </c>
      <c r="P310" t="n">
        <v>0</v>
      </c>
      <c r="Q310" t="n">
        <v>0</v>
      </c>
      <c r="R310" s="2" t="inlineStr"/>
    </row>
    <row r="311" ht="15" customHeight="1">
      <c r="A311" t="inlineStr">
        <is>
          <t>A 15060-2023</t>
        </is>
      </c>
      <c r="B311" s="1" t="n">
        <v>45015.69832175926</v>
      </c>
      <c r="C311" s="1" t="n">
        <v>45880</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54171-2021</t>
        </is>
      </c>
      <c r="B312" s="1" t="n">
        <v>44470</v>
      </c>
      <c r="C312" s="1" t="n">
        <v>45880</v>
      </c>
      <c r="D312" t="inlineStr">
        <is>
          <t>SKÅNE LÄN</t>
        </is>
      </c>
      <c r="E312" t="inlineStr">
        <is>
          <t>HÄSSLEHOLM</t>
        </is>
      </c>
      <c r="G312" t="n">
        <v>1</v>
      </c>
      <c r="H312" t="n">
        <v>0</v>
      </c>
      <c r="I312" t="n">
        <v>0</v>
      </c>
      <c r="J312" t="n">
        <v>0</v>
      </c>
      <c r="K312" t="n">
        <v>0</v>
      </c>
      <c r="L312" t="n">
        <v>0</v>
      </c>
      <c r="M312" t="n">
        <v>0</v>
      </c>
      <c r="N312" t="n">
        <v>0</v>
      </c>
      <c r="O312" t="n">
        <v>0</v>
      </c>
      <c r="P312" t="n">
        <v>0</v>
      </c>
      <c r="Q312" t="n">
        <v>0</v>
      </c>
      <c r="R312" s="2" t="inlineStr"/>
    </row>
    <row r="313" ht="15" customHeight="1">
      <c r="A313" t="inlineStr">
        <is>
          <t>A 51618-2024</t>
        </is>
      </c>
      <c r="B313" s="1" t="n">
        <v>45604.82615740741</v>
      </c>
      <c r="C313" s="1" t="n">
        <v>45880</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15562-2024</t>
        </is>
      </c>
      <c r="B314" s="1" t="n">
        <v>45401.64975694445</v>
      </c>
      <c r="C314" s="1" t="n">
        <v>45880</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10409-2024</t>
        </is>
      </c>
      <c r="B315" s="1" t="n">
        <v>45365.6978125</v>
      </c>
      <c r="C315" s="1" t="n">
        <v>45880</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9747-2024</t>
        </is>
      </c>
      <c r="B316" s="1" t="n">
        <v>45362</v>
      </c>
      <c r="C316" s="1" t="n">
        <v>45880</v>
      </c>
      <c r="D316" t="inlineStr">
        <is>
          <t>SKÅNE LÄN</t>
        </is>
      </c>
      <c r="E316" t="inlineStr">
        <is>
          <t>HÄSSLEHOLM</t>
        </is>
      </c>
      <c r="G316" t="n">
        <v>1.8</v>
      </c>
      <c r="H316" t="n">
        <v>0</v>
      </c>
      <c r="I316" t="n">
        <v>0</v>
      </c>
      <c r="J316" t="n">
        <v>0</v>
      </c>
      <c r="K316" t="n">
        <v>0</v>
      </c>
      <c r="L316" t="n">
        <v>0</v>
      </c>
      <c r="M316" t="n">
        <v>0</v>
      </c>
      <c r="N316" t="n">
        <v>0</v>
      </c>
      <c r="O316" t="n">
        <v>0</v>
      </c>
      <c r="P316" t="n">
        <v>0</v>
      </c>
      <c r="Q316" t="n">
        <v>0</v>
      </c>
      <c r="R316" s="2" t="inlineStr"/>
    </row>
    <row r="317" ht="15" customHeight="1">
      <c r="A317" t="inlineStr">
        <is>
          <t>A 31995-2023</t>
        </is>
      </c>
      <c r="B317" s="1" t="n">
        <v>45107</v>
      </c>
      <c r="C317" s="1" t="n">
        <v>45880</v>
      </c>
      <c r="D317" t="inlineStr">
        <is>
          <t>SKÅNE LÄN</t>
        </is>
      </c>
      <c r="E317" t="inlineStr">
        <is>
          <t>HÄSSLEHOLM</t>
        </is>
      </c>
      <c r="G317" t="n">
        <v>7.3</v>
      </c>
      <c r="H317" t="n">
        <v>0</v>
      </c>
      <c r="I317" t="n">
        <v>0</v>
      </c>
      <c r="J317" t="n">
        <v>0</v>
      </c>
      <c r="K317" t="n">
        <v>0</v>
      </c>
      <c r="L317" t="n">
        <v>0</v>
      </c>
      <c r="M317" t="n">
        <v>0</v>
      </c>
      <c r="N317" t="n">
        <v>0</v>
      </c>
      <c r="O317" t="n">
        <v>0</v>
      </c>
      <c r="P317" t="n">
        <v>0</v>
      </c>
      <c r="Q317" t="n">
        <v>0</v>
      </c>
      <c r="R317" s="2" t="inlineStr"/>
    </row>
    <row r="318" ht="15" customHeight="1">
      <c r="A318" t="inlineStr">
        <is>
          <t>A 18580-2023</t>
        </is>
      </c>
      <c r="B318" s="1" t="n">
        <v>45043.37037037037</v>
      </c>
      <c r="C318" s="1" t="n">
        <v>45880</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17335-2024</t>
        </is>
      </c>
      <c r="B319" s="1" t="n">
        <v>45414.5687962963</v>
      </c>
      <c r="C319" s="1" t="n">
        <v>45880</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50000-2023</t>
        </is>
      </c>
      <c r="B320" s="1" t="n">
        <v>45215.4434837963</v>
      </c>
      <c r="C320" s="1" t="n">
        <v>45880</v>
      </c>
      <c r="D320" t="inlineStr">
        <is>
          <t>SKÅNE LÄN</t>
        </is>
      </c>
      <c r="E320" t="inlineStr">
        <is>
          <t>HÄSSLEHOLM</t>
        </is>
      </c>
      <c r="G320" t="n">
        <v>1.6</v>
      </c>
      <c r="H320" t="n">
        <v>0</v>
      </c>
      <c r="I320" t="n">
        <v>0</v>
      </c>
      <c r="J320" t="n">
        <v>0</v>
      </c>
      <c r="K320" t="n">
        <v>0</v>
      </c>
      <c r="L320" t="n">
        <v>0</v>
      </c>
      <c r="M320" t="n">
        <v>0</v>
      </c>
      <c r="N320" t="n">
        <v>0</v>
      </c>
      <c r="O320" t="n">
        <v>0</v>
      </c>
      <c r="P320" t="n">
        <v>0</v>
      </c>
      <c r="Q320" t="n">
        <v>0</v>
      </c>
      <c r="R320" s="2" t="inlineStr"/>
    </row>
    <row r="321" ht="15" customHeight="1">
      <c r="A321" t="inlineStr">
        <is>
          <t>A 50607-2023</t>
        </is>
      </c>
      <c r="B321" s="1" t="n">
        <v>45210</v>
      </c>
      <c r="C321" s="1" t="n">
        <v>45880</v>
      </c>
      <c r="D321" t="inlineStr">
        <is>
          <t>SKÅNE LÄN</t>
        </is>
      </c>
      <c r="E321" t="inlineStr">
        <is>
          <t>HÄSSLEHOLM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50616-2023</t>
        </is>
      </c>
      <c r="B322" s="1" t="n">
        <v>45210</v>
      </c>
      <c r="C322" s="1" t="n">
        <v>45880</v>
      </c>
      <c r="D322" t="inlineStr">
        <is>
          <t>SKÅNE LÄN</t>
        </is>
      </c>
      <c r="E322" t="inlineStr">
        <is>
          <t>HÄSSLEHOLM</t>
        </is>
      </c>
      <c r="G322" t="n">
        <v>1.1</v>
      </c>
      <c r="H322" t="n">
        <v>0</v>
      </c>
      <c r="I322" t="n">
        <v>0</v>
      </c>
      <c r="J322" t="n">
        <v>0</v>
      </c>
      <c r="K322" t="n">
        <v>0</v>
      </c>
      <c r="L322" t="n">
        <v>0</v>
      </c>
      <c r="M322" t="n">
        <v>0</v>
      </c>
      <c r="N322" t="n">
        <v>0</v>
      </c>
      <c r="O322" t="n">
        <v>0</v>
      </c>
      <c r="P322" t="n">
        <v>0</v>
      </c>
      <c r="Q322" t="n">
        <v>0</v>
      </c>
      <c r="R322" s="2" t="inlineStr"/>
    </row>
    <row r="323" ht="15" customHeight="1">
      <c r="A323" t="inlineStr">
        <is>
          <t>A 4356-2024</t>
        </is>
      </c>
      <c r="B323" s="1" t="n">
        <v>45325.36195601852</v>
      </c>
      <c r="C323" s="1" t="n">
        <v>45880</v>
      </c>
      <c r="D323" t="inlineStr">
        <is>
          <t>SKÅNE LÄN</t>
        </is>
      </c>
      <c r="E323" t="inlineStr">
        <is>
          <t>HÄSSLEHOLM</t>
        </is>
      </c>
      <c r="G323" t="n">
        <v>3.2</v>
      </c>
      <c r="H323" t="n">
        <v>0</v>
      </c>
      <c r="I323" t="n">
        <v>0</v>
      </c>
      <c r="J323" t="n">
        <v>0</v>
      </c>
      <c r="K323" t="n">
        <v>0</v>
      </c>
      <c r="L323" t="n">
        <v>0</v>
      </c>
      <c r="M323" t="n">
        <v>0</v>
      </c>
      <c r="N323" t="n">
        <v>0</v>
      </c>
      <c r="O323" t="n">
        <v>0</v>
      </c>
      <c r="P323" t="n">
        <v>0</v>
      </c>
      <c r="Q323" t="n">
        <v>0</v>
      </c>
      <c r="R323" s="2" t="inlineStr"/>
    </row>
    <row r="324" ht="15" customHeight="1">
      <c r="A324" t="inlineStr">
        <is>
          <t>A 47840-2023</t>
        </is>
      </c>
      <c r="B324" s="1" t="n">
        <v>45204</v>
      </c>
      <c r="C324" s="1" t="n">
        <v>45880</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9323-2025</t>
        </is>
      </c>
      <c r="B325" s="1" t="n">
        <v>45714.73532407408</v>
      </c>
      <c r="C325" s="1" t="n">
        <v>45880</v>
      </c>
      <c r="D325" t="inlineStr">
        <is>
          <t>SKÅNE LÄN</t>
        </is>
      </c>
      <c r="E325" t="inlineStr">
        <is>
          <t>HÄSSLEHOLM</t>
        </is>
      </c>
      <c r="G325" t="n">
        <v>5.2</v>
      </c>
      <c r="H325" t="n">
        <v>0</v>
      </c>
      <c r="I325" t="n">
        <v>0</v>
      </c>
      <c r="J325" t="n">
        <v>0</v>
      </c>
      <c r="K325" t="n">
        <v>0</v>
      </c>
      <c r="L325" t="n">
        <v>0</v>
      </c>
      <c r="M325" t="n">
        <v>0</v>
      </c>
      <c r="N325" t="n">
        <v>0</v>
      </c>
      <c r="O325" t="n">
        <v>0</v>
      </c>
      <c r="P325" t="n">
        <v>0</v>
      </c>
      <c r="Q325" t="n">
        <v>0</v>
      </c>
      <c r="R325" s="2" t="inlineStr"/>
    </row>
    <row r="326" ht="15" customHeight="1">
      <c r="A326" t="inlineStr">
        <is>
          <t>A 34888-2023</t>
        </is>
      </c>
      <c r="B326" s="1" t="n">
        <v>45142.388125</v>
      </c>
      <c r="C326" s="1" t="n">
        <v>45880</v>
      </c>
      <c r="D326" t="inlineStr">
        <is>
          <t>SKÅNE LÄN</t>
        </is>
      </c>
      <c r="E326" t="inlineStr">
        <is>
          <t>HÄSSLEHOLM</t>
        </is>
      </c>
      <c r="G326" t="n">
        <v>1.4</v>
      </c>
      <c r="H326" t="n">
        <v>0</v>
      </c>
      <c r="I326" t="n">
        <v>0</v>
      </c>
      <c r="J326" t="n">
        <v>0</v>
      </c>
      <c r="K326" t="n">
        <v>0</v>
      </c>
      <c r="L326" t="n">
        <v>0</v>
      </c>
      <c r="M326" t="n">
        <v>0</v>
      </c>
      <c r="N326" t="n">
        <v>0</v>
      </c>
      <c r="O326" t="n">
        <v>0</v>
      </c>
      <c r="P326" t="n">
        <v>0</v>
      </c>
      <c r="Q326" t="n">
        <v>0</v>
      </c>
      <c r="R326" s="2" t="inlineStr"/>
    </row>
    <row r="327" ht="15" customHeight="1">
      <c r="A327" t="inlineStr">
        <is>
          <t>A 20435-2021</t>
        </is>
      </c>
      <c r="B327" s="1" t="n">
        <v>44315.5793287037</v>
      </c>
      <c r="C327" s="1" t="n">
        <v>45880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12898-2025</t>
        </is>
      </c>
      <c r="B328" s="1" t="n">
        <v>45733</v>
      </c>
      <c r="C328" s="1" t="n">
        <v>45880</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53085-2022</t>
        </is>
      </c>
      <c r="B329" s="1" t="n">
        <v>44873</v>
      </c>
      <c r="C329" s="1" t="n">
        <v>45880</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23946-2023</t>
        </is>
      </c>
      <c r="B330" s="1" t="n">
        <v>45078.61601851852</v>
      </c>
      <c r="C330" s="1" t="n">
        <v>45880</v>
      </c>
      <c r="D330" t="inlineStr">
        <is>
          <t>SKÅNE LÄN</t>
        </is>
      </c>
      <c r="E330" t="inlineStr">
        <is>
          <t>HÄSSLEHOLM</t>
        </is>
      </c>
      <c r="G330" t="n">
        <v>0.2</v>
      </c>
      <c r="H330" t="n">
        <v>0</v>
      </c>
      <c r="I330" t="n">
        <v>0</v>
      </c>
      <c r="J330" t="n">
        <v>0</v>
      </c>
      <c r="K330" t="n">
        <v>0</v>
      </c>
      <c r="L330" t="n">
        <v>0</v>
      </c>
      <c r="M330" t="n">
        <v>0</v>
      </c>
      <c r="N330" t="n">
        <v>0</v>
      </c>
      <c r="O330" t="n">
        <v>0</v>
      </c>
      <c r="P330" t="n">
        <v>0</v>
      </c>
      <c r="Q330" t="n">
        <v>0</v>
      </c>
      <c r="R330" s="2" t="inlineStr"/>
    </row>
    <row r="331" ht="15" customHeight="1">
      <c r="A331" t="inlineStr">
        <is>
          <t>A 13347-2025</t>
        </is>
      </c>
      <c r="B331" s="1" t="n">
        <v>45735.63175925926</v>
      </c>
      <c r="C331" s="1" t="n">
        <v>45880</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49250-2022</t>
        </is>
      </c>
      <c r="B332" s="1" t="n">
        <v>44858</v>
      </c>
      <c r="C332" s="1" t="n">
        <v>45880</v>
      </c>
      <c r="D332" t="inlineStr">
        <is>
          <t>SKÅNE LÄN</t>
        </is>
      </c>
      <c r="E332" t="inlineStr">
        <is>
          <t>HÄSSLEHOLM</t>
        </is>
      </c>
      <c r="F332" t="inlineStr">
        <is>
          <t>Kyrkan</t>
        </is>
      </c>
      <c r="G332" t="n">
        <v>1.5</v>
      </c>
      <c r="H332" t="n">
        <v>0</v>
      </c>
      <c r="I332" t="n">
        <v>0</v>
      </c>
      <c r="J332" t="n">
        <v>0</v>
      </c>
      <c r="K332" t="n">
        <v>0</v>
      </c>
      <c r="L332" t="n">
        <v>0</v>
      </c>
      <c r="M332" t="n">
        <v>0</v>
      </c>
      <c r="N332" t="n">
        <v>0</v>
      </c>
      <c r="O332" t="n">
        <v>0</v>
      </c>
      <c r="P332" t="n">
        <v>0</v>
      </c>
      <c r="Q332" t="n">
        <v>0</v>
      </c>
      <c r="R332" s="2" t="inlineStr"/>
    </row>
    <row r="333" ht="15" customHeight="1">
      <c r="A333" t="inlineStr">
        <is>
          <t>A 11260-2021</t>
        </is>
      </c>
      <c r="B333" s="1" t="n">
        <v>44263</v>
      </c>
      <c r="C333" s="1" t="n">
        <v>45880</v>
      </c>
      <c r="D333" t="inlineStr">
        <is>
          <t>SKÅNE LÄN</t>
        </is>
      </c>
      <c r="E333" t="inlineStr">
        <is>
          <t>HÄSSLEHOLM</t>
        </is>
      </c>
      <c r="G333" t="n">
        <v>5.4</v>
      </c>
      <c r="H333" t="n">
        <v>0</v>
      </c>
      <c r="I333" t="n">
        <v>0</v>
      </c>
      <c r="J333" t="n">
        <v>0</v>
      </c>
      <c r="K333" t="n">
        <v>0</v>
      </c>
      <c r="L333" t="n">
        <v>0</v>
      </c>
      <c r="M333" t="n">
        <v>0</v>
      </c>
      <c r="N333" t="n">
        <v>0</v>
      </c>
      <c r="O333" t="n">
        <v>0</v>
      </c>
      <c r="P333" t="n">
        <v>0</v>
      </c>
      <c r="Q333" t="n">
        <v>0</v>
      </c>
      <c r="R333" s="2" t="inlineStr"/>
    </row>
    <row r="334" ht="15" customHeight="1">
      <c r="A334" t="inlineStr">
        <is>
          <t>A 8759-2024</t>
        </is>
      </c>
      <c r="B334" s="1" t="n">
        <v>45356.52271990741</v>
      </c>
      <c r="C334" s="1" t="n">
        <v>45880</v>
      </c>
      <c r="D334" t="inlineStr">
        <is>
          <t>SKÅNE LÄN</t>
        </is>
      </c>
      <c r="E334" t="inlineStr">
        <is>
          <t>HÄSSLEHOLM</t>
        </is>
      </c>
      <c r="G334" t="n">
        <v>5.7</v>
      </c>
      <c r="H334" t="n">
        <v>0</v>
      </c>
      <c r="I334" t="n">
        <v>0</v>
      </c>
      <c r="J334" t="n">
        <v>0</v>
      </c>
      <c r="K334" t="n">
        <v>0</v>
      </c>
      <c r="L334" t="n">
        <v>0</v>
      </c>
      <c r="M334" t="n">
        <v>0</v>
      </c>
      <c r="N334" t="n">
        <v>0</v>
      </c>
      <c r="O334" t="n">
        <v>0</v>
      </c>
      <c r="P334" t="n">
        <v>0</v>
      </c>
      <c r="Q334" t="n">
        <v>0</v>
      </c>
      <c r="R334" s="2" t="inlineStr"/>
    </row>
    <row r="335" ht="15" customHeight="1">
      <c r="A335" t="inlineStr">
        <is>
          <t>A 13198-2025</t>
        </is>
      </c>
      <c r="B335" s="1" t="n">
        <v>45735</v>
      </c>
      <c r="C335" s="1" t="n">
        <v>45880</v>
      </c>
      <c r="D335" t="inlineStr">
        <is>
          <t>SKÅNE LÄN</t>
        </is>
      </c>
      <c r="E335" t="inlineStr">
        <is>
          <t>HÄSSLEHOLM</t>
        </is>
      </c>
      <c r="G335" t="n">
        <v>0.7</v>
      </c>
      <c r="H335" t="n">
        <v>0</v>
      </c>
      <c r="I335" t="n">
        <v>0</v>
      </c>
      <c r="J335" t="n">
        <v>0</v>
      </c>
      <c r="K335" t="n">
        <v>0</v>
      </c>
      <c r="L335" t="n">
        <v>0</v>
      </c>
      <c r="M335" t="n">
        <v>0</v>
      </c>
      <c r="N335" t="n">
        <v>0</v>
      </c>
      <c r="O335" t="n">
        <v>0</v>
      </c>
      <c r="P335" t="n">
        <v>0</v>
      </c>
      <c r="Q335" t="n">
        <v>0</v>
      </c>
      <c r="R335" s="2" t="inlineStr"/>
    </row>
    <row r="336" ht="15" customHeight="1">
      <c r="A336" t="inlineStr">
        <is>
          <t>A 10020-2024</t>
        </is>
      </c>
      <c r="B336" s="1" t="n">
        <v>45363.96944444445</v>
      </c>
      <c r="C336" s="1" t="n">
        <v>45880</v>
      </c>
      <c r="D336" t="inlineStr">
        <is>
          <t>SKÅNE LÄN</t>
        </is>
      </c>
      <c r="E336" t="inlineStr">
        <is>
          <t>HÄSSLEHOLM</t>
        </is>
      </c>
      <c r="G336" t="n">
        <v>5.3</v>
      </c>
      <c r="H336" t="n">
        <v>0</v>
      </c>
      <c r="I336" t="n">
        <v>0</v>
      </c>
      <c r="J336" t="n">
        <v>0</v>
      </c>
      <c r="K336" t="n">
        <v>0</v>
      </c>
      <c r="L336" t="n">
        <v>0</v>
      </c>
      <c r="M336" t="n">
        <v>0</v>
      </c>
      <c r="N336" t="n">
        <v>0</v>
      </c>
      <c r="O336" t="n">
        <v>0</v>
      </c>
      <c r="P336" t="n">
        <v>0</v>
      </c>
      <c r="Q336" t="n">
        <v>0</v>
      </c>
      <c r="R336" s="2" t="inlineStr"/>
    </row>
    <row r="337" ht="15" customHeight="1">
      <c r="A337" t="inlineStr">
        <is>
          <t>A 16388-2025</t>
        </is>
      </c>
      <c r="B337" s="1" t="n">
        <v>45751.42787037037</v>
      </c>
      <c r="C337" s="1" t="n">
        <v>45880</v>
      </c>
      <c r="D337" t="inlineStr">
        <is>
          <t>SKÅNE LÄN</t>
        </is>
      </c>
      <c r="E337" t="inlineStr">
        <is>
          <t>HÄSSLEHOLM</t>
        </is>
      </c>
      <c r="G337" t="n">
        <v>0.6</v>
      </c>
      <c r="H337" t="n">
        <v>0</v>
      </c>
      <c r="I337" t="n">
        <v>0</v>
      </c>
      <c r="J337" t="n">
        <v>0</v>
      </c>
      <c r="K337" t="n">
        <v>0</v>
      </c>
      <c r="L337" t="n">
        <v>0</v>
      </c>
      <c r="M337" t="n">
        <v>0</v>
      </c>
      <c r="N337" t="n">
        <v>0</v>
      </c>
      <c r="O337" t="n">
        <v>0</v>
      </c>
      <c r="P337" t="n">
        <v>0</v>
      </c>
      <c r="Q337" t="n">
        <v>0</v>
      </c>
      <c r="R337" s="2" t="inlineStr"/>
    </row>
    <row r="338" ht="15" customHeight="1">
      <c r="A338" t="inlineStr">
        <is>
          <t>A 16668-2025</t>
        </is>
      </c>
      <c r="B338" s="1" t="n">
        <v>45754.43009259259</v>
      </c>
      <c r="C338" s="1" t="n">
        <v>45880</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3135-2023</t>
        </is>
      </c>
      <c r="B339" s="1" t="n">
        <v>44946.51672453704</v>
      </c>
      <c r="C339" s="1" t="n">
        <v>45880</v>
      </c>
      <c r="D339" t="inlineStr">
        <is>
          <t>SKÅNE LÄN</t>
        </is>
      </c>
      <c r="E339" t="inlineStr">
        <is>
          <t>HÄSSLEHOLM</t>
        </is>
      </c>
      <c r="G339" t="n">
        <v>7.2</v>
      </c>
      <c r="H339" t="n">
        <v>0</v>
      </c>
      <c r="I339" t="n">
        <v>0</v>
      </c>
      <c r="J339" t="n">
        <v>0</v>
      </c>
      <c r="K339" t="n">
        <v>0</v>
      </c>
      <c r="L339" t="n">
        <v>0</v>
      </c>
      <c r="M339" t="n">
        <v>0</v>
      </c>
      <c r="N339" t="n">
        <v>0</v>
      </c>
      <c r="O339" t="n">
        <v>0</v>
      </c>
      <c r="P339" t="n">
        <v>0</v>
      </c>
      <c r="Q339" t="n">
        <v>0</v>
      </c>
      <c r="R339" s="2" t="inlineStr"/>
    </row>
    <row r="340" ht="15" customHeight="1">
      <c r="A340" t="inlineStr">
        <is>
          <t>A 9709-2023</t>
        </is>
      </c>
      <c r="B340" s="1" t="n">
        <v>44984.48376157408</v>
      </c>
      <c r="C340" s="1" t="n">
        <v>45880</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16121-2025</t>
        </is>
      </c>
      <c r="B341" s="1" t="n">
        <v>45750.40384259259</v>
      </c>
      <c r="C341" s="1" t="n">
        <v>45880</v>
      </c>
      <c r="D341" t="inlineStr">
        <is>
          <t>SKÅNE LÄN</t>
        </is>
      </c>
      <c r="E341" t="inlineStr">
        <is>
          <t>HÄSSLEHOLM</t>
        </is>
      </c>
      <c r="G341" t="n">
        <v>1.6</v>
      </c>
      <c r="H341" t="n">
        <v>0</v>
      </c>
      <c r="I341" t="n">
        <v>0</v>
      </c>
      <c r="J341" t="n">
        <v>0</v>
      </c>
      <c r="K341" t="n">
        <v>0</v>
      </c>
      <c r="L341" t="n">
        <v>0</v>
      </c>
      <c r="M341" t="n">
        <v>0</v>
      </c>
      <c r="N341" t="n">
        <v>0</v>
      </c>
      <c r="O341" t="n">
        <v>0</v>
      </c>
      <c r="P341" t="n">
        <v>0</v>
      </c>
      <c r="Q341" t="n">
        <v>0</v>
      </c>
      <c r="R341" s="2" t="inlineStr"/>
    </row>
    <row r="342" ht="15" customHeight="1">
      <c r="A342" t="inlineStr">
        <is>
          <t>A 59429-2023</t>
        </is>
      </c>
      <c r="B342" s="1" t="n">
        <v>45254.2875</v>
      </c>
      <c r="C342" s="1" t="n">
        <v>45880</v>
      </c>
      <c r="D342" t="inlineStr">
        <is>
          <t>SKÅNE LÄN</t>
        </is>
      </c>
      <c r="E342" t="inlineStr">
        <is>
          <t>HÄSSLEHOLM</t>
        </is>
      </c>
      <c r="G342" t="n">
        <v>0</v>
      </c>
      <c r="H342" t="n">
        <v>0</v>
      </c>
      <c r="I342" t="n">
        <v>0</v>
      </c>
      <c r="J342" t="n">
        <v>0</v>
      </c>
      <c r="K342" t="n">
        <v>0</v>
      </c>
      <c r="L342" t="n">
        <v>0</v>
      </c>
      <c r="M342" t="n">
        <v>0</v>
      </c>
      <c r="N342" t="n">
        <v>0</v>
      </c>
      <c r="O342" t="n">
        <v>0</v>
      </c>
      <c r="P342" t="n">
        <v>0</v>
      </c>
      <c r="Q342" t="n">
        <v>0</v>
      </c>
      <c r="R342" s="2" t="inlineStr"/>
    </row>
    <row r="343" ht="15" customHeight="1">
      <c r="A343" t="inlineStr">
        <is>
          <t>A 40202-2022</t>
        </is>
      </c>
      <c r="B343" s="1" t="n">
        <v>44820.60614583334</v>
      </c>
      <c r="C343" s="1" t="n">
        <v>45880</v>
      </c>
      <c r="D343" t="inlineStr">
        <is>
          <t>SKÅNE LÄN</t>
        </is>
      </c>
      <c r="E343" t="inlineStr">
        <is>
          <t>HÄSSLEHOLM</t>
        </is>
      </c>
      <c r="G343" t="n">
        <v>1.1</v>
      </c>
      <c r="H343" t="n">
        <v>0</v>
      </c>
      <c r="I343" t="n">
        <v>0</v>
      </c>
      <c r="J343" t="n">
        <v>0</v>
      </c>
      <c r="K343" t="n">
        <v>0</v>
      </c>
      <c r="L343" t="n">
        <v>0</v>
      </c>
      <c r="M343" t="n">
        <v>0</v>
      </c>
      <c r="N343" t="n">
        <v>0</v>
      </c>
      <c r="O343" t="n">
        <v>0</v>
      </c>
      <c r="P343" t="n">
        <v>0</v>
      </c>
      <c r="Q343" t="n">
        <v>0</v>
      </c>
      <c r="R343" s="2" t="inlineStr"/>
    </row>
    <row r="344" ht="15" customHeight="1">
      <c r="A344" t="inlineStr">
        <is>
          <t>A 12936-2025</t>
        </is>
      </c>
      <c r="B344" s="1" t="n">
        <v>45734</v>
      </c>
      <c r="C344" s="1" t="n">
        <v>45880</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13646-2024</t>
        </is>
      </c>
      <c r="B345" s="1" t="n">
        <v>45387</v>
      </c>
      <c r="C345" s="1" t="n">
        <v>45880</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27481-2023</t>
        </is>
      </c>
      <c r="B346" s="1" t="n">
        <v>45097</v>
      </c>
      <c r="C346" s="1" t="n">
        <v>45880</v>
      </c>
      <c r="D346" t="inlineStr">
        <is>
          <t>SKÅNE LÄN</t>
        </is>
      </c>
      <c r="E346" t="inlineStr">
        <is>
          <t>HÄSSLEHOLM</t>
        </is>
      </c>
      <c r="G346" t="n">
        <v>2.4</v>
      </c>
      <c r="H346" t="n">
        <v>0</v>
      </c>
      <c r="I346" t="n">
        <v>0</v>
      </c>
      <c r="J346" t="n">
        <v>0</v>
      </c>
      <c r="K346" t="n">
        <v>0</v>
      </c>
      <c r="L346" t="n">
        <v>0</v>
      </c>
      <c r="M346" t="n">
        <v>0</v>
      </c>
      <c r="N346" t="n">
        <v>0</v>
      </c>
      <c r="O346" t="n">
        <v>0</v>
      </c>
      <c r="P346" t="n">
        <v>0</v>
      </c>
      <c r="Q346" t="n">
        <v>0</v>
      </c>
      <c r="R346" s="2" t="inlineStr"/>
    </row>
    <row r="347" ht="15" customHeight="1">
      <c r="A347" t="inlineStr">
        <is>
          <t>A 21867-2023</t>
        </is>
      </c>
      <c r="B347" s="1" t="n">
        <v>45063</v>
      </c>
      <c r="C347" s="1" t="n">
        <v>45880</v>
      </c>
      <c r="D347" t="inlineStr">
        <is>
          <t>SKÅNE LÄN</t>
        </is>
      </c>
      <c r="E347" t="inlineStr">
        <is>
          <t>HÄSSLEHOLM</t>
        </is>
      </c>
      <c r="G347" t="n">
        <v>7.6</v>
      </c>
      <c r="H347" t="n">
        <v>0</v>
      </c>
      <c r="I347" t="n">
        <v>0</v>
      </c>
      <c r="J347" t="n">
        <v>0</v>
      </c>
      <c r="K347" t="n">
        <v>0</v>
      </c>
      <c r="L347" t="n">
        <v>0</v>
      </c>
      <c r="M347" t="n">
        <v>0</v>
      </c>
      <c r="N347" t="n">
        <v>0</v>
      </c>
      <c r="O347" t="n">
        <v>0</v>
      </c>
      <c r="P347" t="n">
        <v>0</v>
      </c>
      <c r="Q347" t="n">
        <v>0</v>
      </c>
      <c r="R347" s="2" t="inlineStr"/>
    </row>
    <row r="348" ht="15" customHeight="1">
      <c r="A348" t="inlineStr">
        <is>
          <t>A 54326-2022</t>
        </is>
      </c>
      <c r="B348" s="1" t="n">
        <v>44882.42965277778</v>
      </c>
      <c r="C348" s="1" t="n">
        <v>45880</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41998-2021</t>
        </is>
      </c>
      <c r="B349" s="1" t="n">
        <v>44425</v>
      </c>
      <c r="C349" s="1" t="n">
        <v>45880</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61524-2022</t>
        </is>
      </c>
      <c r="B350" s="1" t="n">
        <v>44910</v>
      </c>
      <c r="C350" s="1" t="n">
        <v>45880</v>
      </c>
      <c r="D350" t="inlineStr">
        <is>
          <t>SKÅNE LÄN</t>
        </is>
      </c>
      <c r="E350" t="inlineStr">
        <is>
          <t>HÄSSLEHOLM</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24904-2025</t>
        </is>
      </c>
      <c r="B351" s="1" t="n">
        <v>45799</v>
      </c>
      <c r="C351" s="1" t="n">
        <v>45880</v>
      </c>
      <c r="D351" t="inlineStr">
        <is>
          <t>SKÅNE LÄN</t>
        </is>
      </c>
      <c r="E351" t="inlineStr">
        <is>
          <t>HÄSSLEHOLM</t>
        </is>
      </c>
      <c r="G351" t="n">
        <v>2.2</v>
      </c>
      <c r="H351" t="n">
        <v>0</v>
      </c>
      <c r="I351" t="n">
        <v>0</v>
      </c>
      <c r="J351" t="n">
        <v>0</v>
      </c>
      <c r="K351" t="n">
        <v>0</v>
      </c>
      <c r="L351" t="n">
        <v>0</v>
      </c>
      <c r="M351" t="n">
        <v>0</v>
      </c>
      <c r="N351" t="n">
        <v>0</v>
      </c>
      <c r="O351" t="n">
        <v>0</v>
      </c>
      <c r="P351" t="n">
        <v>0</v>
      </c>
      <c r="Q351" t="n">
        <v>0</v>
      </c>
      <c r="R351" s="2" t="inlineStr"/>
    </row>
    <row r="352" ht="15" customHeight="1">
      <c r="A352" t="inlineStr">
        <is>
          <t>A 61533-2022</t>
        </is>
      </c>
      <c r="B352" s="1" t="n">
        <v>44910</v>
      </c>
      <c r="C352" s="1" t="n">
        <v>45880</v>
      </c>
      <c r="D352" t="inlineStr">
        <is>
          <t>SKÅNE LÄN</t>
        </is>
      </c>
      <c r="E352" t="inlineStr">
        <is>
          <t>HÄSSLEHOLM</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13087-2023</t>
        </is>
      </c>
      <c r="B353" s="1" t="n">
        <v>45001</v>
      </c>
      <c r="C353" s="1" t="n">
        <v>45880</v>
      </c>
      <c r="D353" t="inlineStr">
        <is>
          <t>SKÅNE LÄN</t>
        </is>
      </c>
      <c r="E353" t="inlineStr">
        <is>
          <t>HÄSSLEHOLM</t>
        </is>
      </c>
      <c r="G353" t="n">
        <v>3.8</v>
      </c>
      <c r="H353" t="n">
        <v>0</v>
      </c>
      <c r="I353" t="n">
        <v>0</v>
      </c>
      <c r="J353" t="n">
        <v>0</v>
      </c>
      <c r="K353" t="n">
        <v>0</v>
      </c>
      <c r="L353" t="n">
        <v>0</v>
      </c>
      <c r="M353" t="n">
        <v>0</v>
      </c>
      <c r="N353" t="n">
        <v>0</v>
      </c>
      <c r="O353" t="n">
        <v>0</v>
      </c>
      <c r="P353" t="n">
        <v>0</v>
      </c>
      <c r="Q353" t="n">
        <v>0</v>
      </c>
      <c r="R353" s="2" t="inlineStr"/>
    </row>
    <row r="354" ht="15" customHeight="1">
      <c r="A354" t="inlineStr">
        <is>
          <t>A 8749-2024</t>
        </is>
      </c>
      <c r="B354" s="1" t="n">
        <v>45356.50387731481</v>
      </c>
      <c r="C354" s="1" t="n">
        <v>45880</v>
      </c>
      <c r="D354" t="inlineStr">
        <is>
          <t>SKÅNE LÄN</t>
        </is>
      </c>
      <c r="E354" t="inlineStr">
        <is>
          <t>HÄSSLEHOLM</t>
        </is>
      </c>
      <c r="G354" t="n">
        <v>2.9</v>
      </c>
      <c r="H354" t="n">
        <v>0</v>
      </c>
      <c r="I354" t="n">
        <v>0</v>
      </c>
      <c r="J354" t="n">
        <v>0</v>
      </c>
      <c r="K354" t="n">
        <v>0</v>
      </c>
      <c r="L354" t="n">
        <v>0</v>
      </c>
      <c r="M354" t="n">
        <v>0</v>
      </c>
      <c r="N354" t="n">
        <v>0</v>
      </c>
      <c r="O354" t="n">
        <v>0</v>
      </c>
      <c r="P354" t="n">
        <v>0</v>
      </c>
      <c r="Q354" t="n">
        <v>0</v>
      </c>
      <c r="R354" s="2" t="inlineStr"/>
    </row>
    <row r="355" ht="15" customHeight="1">
      <c r="A355" t="inlineStr">
        <is>
          <t>A 8752-2024</t>
        </is>
      </c>
      <c r="B355" s="1" t="n">
        <v>45356</v>
      </c>
      <c r="C355" s="1" t="n">
        <v>45880</v>
      </c>
      <c r="D355" t="inlineStr">
        <is>
          <t>SKÅNE LÄN</t>
        </is>
      </c>
      <c r="E355" t="inlineStr">
        <is>
          <t>HÄSSLEHOLM</t>
        </is>
      </c>
      <c r="G355" t="n">
        <v>3.4</v>
      </c>
      <c r="H355" t="n">
        <v>0</v>
      </c>
      <c r="I355" t="n">
        <v>0</v>
      </c>
      <c r="J355" t="n">
        <v>0</v>
      </c>
      <c r="K355" t="n">
        <v>0</v>
      </c>
      <c r="L355" t="n">
        <v>0</v>
      </c>
      <c r="M355" t="n">
        <v>0</v>
      </c>
      <c r="N355" t="n">
        <v>0</v>
      </c>
      <c r="O355" t="n">
        <v>0</v>
      </c>
      <c r="P355" t="n">
        <v>0</v>
      </c>
      <c r="Q355" t="n">
        <v>0</v>
      </c>
      <c r="R355" s="2" t="inlineStr"/>
    </row>
    <row r="356" ht="15" customHeight="1">
      <c r="A356" t="inlineStr">
        <is>
          <t>A 42906-2022</t>
        </is>
      </c>
      <c r="B356" s="1" t="n">
        <v>44833</v>
      </c>
      <c r="C356" s="1" t="n">
        <v>45880</v>
      </c>
      <c r="D356" t="inlineStr">
        <is>
          <t>SKÅNE LÄN</t>
        </is>
      </c>
      <c r="E356" t="inlineStr">
        <is>
          <t>HÄSSLEHOLM</t>
        </is>
      </c>
      <c r="G356" t="n">
        <v>1.1</v>
      </c>
      <c r="H356" t="n">
        <v>0</v>
      </c>
      <c r="I356" t="n">
        <v>0</v>
      </c>
      <c r="J356" t="n">
        <v>0</v>
      </c>
      <c r="K356" t="n">
        <v>0</v>
      </c>
      <c r="L356" t="n">
        <v>0</v>
      </c>
      <c r="M356" t="n">
        <v>0</v>
      </c>
      <c r="N356" t="n">
        <v>0</v>
      </c>
      <c r="O356" t="n">
        <v>0</v>
      </c>
      <c r="P356" t="n">
        <v>0</v>
      </c>
      <c r="Q356" t="n">
        <v>0</v>
      </c>
      <c r="R356" s="2" t="inlineStr"/>
    </row>
    <row r="357" ht="15" customHeight="1">
      <c r="A357" t="inlineStr">
        <is>
          <t>A 15036-2024</t>
        </is>
      </c>
      <c r="B357" s="1" t="n">
        <v>45399.48100694444</v>
      </c>
      <c r="C357" s="1" t="n">
        <v>45880</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52968-2022</t>
        </is>
      </c>
      <c r="B358" s="1" t="n">
        <v>44875</v>
      </c>
      <c r="C358" s="1" t="n">
        <v>45880</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8619-2023</t>
        </is>
      </c>
      <c r="B359" s="1" t="n">
        <v>44977.81979166667</v>
      </c>
      <c r="C359" s="1" t="n">
        <v>45880</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49219-2021</t>
        </is>
      </c>
      <c r="B360" s="1" t="n">
        <v>44454</v>
      </c>
      <c r="C360" s="1" t="n">
        <v>45880</v>
      </c>
      <c r="D360" t="inlineStr">
        <is>
          <t>SKÅNE LÄN</t>
        </is>
      </c>
      <c r="E360" t="inlineStr">
        <is>
          <t>HÄSSLEHOLM</t>
        </is>
      </c>
      <c r="G360" t="n">
        <v>7.8</v>
      </c>
      <c r="H360" t="n">
        <v>0</v>
      </c>
      <c r="I360" t="n">
        <v>0</v>
      </c>
      <c r="J360" t="n">
        <v>0</v>
      </c>
      <c r="K360" t="n">
        <v>0</v>
      </c>
      <c r="L360" t="n">
        <v>0</v>
      </c>
      <c r="M360" t="n">
        <v>0</v>
      </c>
      <c r="N360" t="n">
        <v>0</v>
      </c>
      <c r="O360" t="n">
        <v>0</v>
      </c>
      <c r="P360" t="n">
        <v>0</v>
      </c>
      <c r="Q360" t="n">
        <v>0</v>
      </c>
      <c r="R360" s="2" t="inlineStr"/>
    </row>
    <row r="361" ht="15" customHeight="1">
      <c r="A361" t="inlineStr">
        <is>
          <t>A 46000-2021</t>
        </is>
      </c>
      <c r="B361" s="1" t="n">
        <v>44441</v>
      </c>
      <c r="C361" s="1" t="n">
        <v>45880</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62167-2022</t>
        </is>
      </c>
      <c r="B362" s="1" t="n">
        <v>44915</v>
      </c>
      <c r="C362" s="1" t="n">
        <v>45880</v>
      </c>
      <c r="D362" t="inlineStr">
        <is>
          <t>SKÅNE LÄN</t>
        </is>
      </c>
      <c r="E362" t="inlineStr">
        <is>
          <t>HÄSSLEHOLM</t>
        </is>
      </c>
      <c r="F362" t="inlineStr">
        <is>
          <t>Kyrkan</t>
        </is>
      </c>
      <c r="G362" t="n">
        <v>3.1</v>
      </c>
      <c r="H362" t="n">
        <v>0</v>
      </c>
      <c r="I362" t="n">
        <v>0</v>
      </c>
      <c r="J362" t="n">
        <v>0</v>
      </c>
      <c r="K362" t="n">
        <v>0</v>
      </c>
      <c r="L362" t="n">
        <v>0</v>
      </c>
      <c r="M362" t="n">
        <v>0</v>
      </c>
      <c r="N362" t="n">
        <v>0</v>
      </c>
      <c r="O362" t="n">
        <v>0</v>
      </c>
      <c r="P362" t="n">
        <v>0</v>
      </c>
      <c r="Q362" t="n">
        <v>0</v>
      </c>
      <c r="R362" s="2" t="inlineStr"/>
    </row>
    <row r="363" ht="15" customHeight="1">
      <c r="A363" t="inlineStr">
        <is>
          <t>A 43874-2022</t>
        </is>
      </c>
      <c r="B363" s="1" t="n">
        <v>44838.44738425926</v>
      </c>
      <c r="C363" s="1" t="n">
        <v>45880</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62234-2022</t>
        </is>
      </c>
      <c r="B364" s="1" t="n">
        <v>44922</v>
      </c>
      <c r="C364" s="1" t="n">
        <v>45880</v>
      </c>
      <c r="D364" t="inlineStr">
        <is>
          <t>SKÅNE LÄN</t>
        </is>
      </c>
      <c r="E364" t="inlineStr">
        <is>
          <t>HÄSSLEHOLM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58915-2023</t>
        </is>
      </c>
      <c r="B365" s="1" t="n">
        <v>45250</v>
      </c>
      <c r="C365" s="1" t="n">
        <v>45880</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62171-2022</t>
        </is>
      </c>
      <c r="B366" s="1" t="n">
        <v>44915</v>
      </c>
      <c r="C366" s="1" t="n">
        <v>45880</v>
      </c>
      <c r="D366" t="inlineStr">
        <is>
          <t>SKÅNE LÄN</t>
        </is>
      </c>
      <c r="E366" t="inlineStr">
        <is>
          <t>HÄSSLEHOLM</t>
        </is>
      </c>
      <c r="F366" t="inlineStr">
        <is>
          <t>Kyrkan</t>
        </is>
      </c>
      <c r="G366" t="n">
        <v>9</v>
      </c>
      <c r="H366" t="n">
        <v>0</v>
      </c>
      <c r="I366" t="n">
        <v>0</v>
      </c>
      <c r="J366" t="n">
        <v>0</v>
      </c>
      <c r="K366" t="n">
        <v>0</v>
      </c>
      <c r="L366" t="n">
        <v>0</v>
      </c>
      <c r="M366" t="n">
        <v>0</v>
      </c>
      <c r="N366" t="n">
        <v>0</v>
      </c>
      <c r="O366" t="n">
        <v>0</v>
      </c>
      <c r="P366" t="n">
        <v>0</v>
      </c>
      <c r="Q366" t="n">
        <v>0</v>
      </c>
      <c r="R366" s="2" t="inlineStr"/>
    </row>
    <row r="367" ht="15" customHeight="1">
      <c r="A367" t="inlineStr">
        <is>
          <t>A 44741-2023</t>
        </is>
      </c>
      <c r="B367" s="1" t="n">
        <v>45190.38804398148</v>
      </c>
      <c r="C367" s="1" t="n">
        <v>45880</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18648-2021</t>
        </is>
      </c>
      <c r="B368" s="1" t="n">
        <v>44306.70583333333</v>
      </c>
      <c r="C368" s="1" t="n">
        <v>45880</v>
      </c>
      <c r="D368" t="inlineStr">
        <is>
          <t>SKÅNE LÄN</t>
        </is>
      </c>
      <c r="E368" t="inlineStr">
        <is>
          <t>HÄSSLEHOLM</t>
        </is>
      </c>
      <c r="G368" t="n">
        <v>2.5</v>
      </c>
      <c r="H368" t="n">
        <v>0</v>
      </c>
      <c r="I368" t="n">
        <v>0</v>
      </c>
      <c r="J368" t="n">
        <v>0</v>
      </c>
      <c r="K368" t="n">
        <v>0</v>
      </c>
      <c r="L368" t="n">
        <v>0</v>
      </c>
      <c r="M368" t="n">
        <v>0</v>
      </c>
      <c r="N368" t="n">
        <v>0</v>
      </c>
      <c r="O368" t="n">
        <v>0</v>
      </c>
      <c r="P368" t="n">
        <v>0</v>
      </c>
      <c r="Q368" t="n">
        <v>0</v>
      </c>
      <c r="R368" s="2" t="inlineStr"/>
    </row>
    <row r="369" ht="15" customHeight="1">
      <c r="A369" t="inlineStr">
        <is>
          <t>A 20494-2024</t>
        </is>
      </c>
      <c r="B369" s="1" t="n">
        <v>45435</v>
      </c>
      <c r="C369" s="1" t="n">
        <v>45880</v>
      </c>
      <c r="D369" t="inlineStr">
        <is>
          <t>SKÅNE LÄN</t>
        </is>
      </c>
      <c r="E369" t="inlineStr">
        <is>
          <t>HÄSSLEHOLM</t>
        </is>
      </c>
      <c r="G369" t="n">
        <v>1.4</v>
      </c>
      <c r="H369" t="n">
        <v>0</v>
      </c>
      <c r="I369" t="n">
        <v>0</v>
      </c>
      <c r="J369" t="n">
        <v>0</v>
      </c>
      <c r="K369" t="n">
        <v>0</v>
      </c>
      <c r="L369" t="n">
        <v>0</v>
      </c>
      <c r="M369" t="n">
        <v>0</v>
      </c>
      <c r="N369" t="n">
        <v>0</v>
      </c>
      <c r="O369" t="n">
        <v>0</v>
      </c>
      <c r="P369" t="n">
        <v>0</v>
      </c>
      <c r="Q369" t="n">
        <v>0</v>
      </c>
      <c r="R369" s="2" t="inlineStr"/>
    </row>
    <row r="370" ht="15" customHeight="1">
      <c r="A370" t="inlineStr">
        <is>
          <t>A 32100-2024</t>
        </is>
      </c>
      <c r="B370" s="1" t="n">
        <v>45511.41451388889</v>
      </c>
      <c r="C370" s="1" t="n">
        <v>45880</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33481-2024</t>
        </is>
      </c>
      <c r="B371" s="1" t="n">
        <v>45519</v>
      </c>
      <c r="C371" s="1" t="n">
        <v>45880</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48807-2021</t>
        </is>
      </c>
      <c r="B372" s="1" t="n">
        <v>44452</v>
      </c>
      <c r="C372" s="1" t="n">
        <v>45880</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54176-2022</t>
        </is>
      </c>
      <c r="B373" s="1" t="n">
        <v>44881</v>
      </c>
      <c r="C373" s="1" t="n">
        <v>45880</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9397-2025</t>
        </is>
      </c>
      <c r="B374" s="1" t="n">
        <v>45715.37361111111</v>
      </c>
      <c r="C374" s="1" t="n">
        <v>45880</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16614-2025</t>
        </is>
      </c>
      <c r="B375" s="1" t="n">
        <v>45754.283125</v>
      </c>
      <c r="C375" s="1" t="n">
        <v>45880</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17413-2025</t>
        </is>
      </c>
      <c r="B376" s="1" t="n">
        <v>45757.37480324074</v>
      </c>
      <c r="C376" s="1" t="n">
        <v>45880</v>
      </c>
      <c r="D376" t="inlineStr">
        <is>
          <t>SKÅNE LÄN</t>
        </is>
      </c>
      <c r="E376" t="inlineStr">
        <is>
          <t>HÄSSLEHOLM</t>
        </is>
      </c>
      <c r="G376" t="n">
        <v>0.8</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45880</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6583-2021</t>
        </is>
      </c>
      <c r="B378" s="1" t="n">
        <v>44236</v>
      </c>
      <c r="C378" s="1" t="n">
        <v>45880</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44697-2021</t>
        </is>
      </c>
      <c r="B379" s="1" t="n">
        <v>44438</v>
      </c>
      <c r="C379" s="1" t="n">
        <v>45880</v>
      </c>
      <c r="D379" t="inlineStr">
        <is>
          <t>SKÅNE LÄN</t>
        </is>
      </c>
      <c r="E379" t="inlineStr">
        <is>
          <t>HÄSSLEHOLM</t>
        </is>
      </c>
      <c r="G379" t="n">
        <v>4.8</v>
      </c>
      <c r="H379" t="n">
        <v>0</v>
      </c>
      <c r="I379" t="n">
        <v>0</v>
      </c>
      <c r="J379" t="n">
        <v>0</v>
      </c>
      <c r="K379" t="n">
        <v>0</v>
      </c>
      <c r="L379" t="n">
        <v>0</v>
      </c>
      <c r="M379" t="n">
        <v>0</v>
      </c>
      <c r="N379" t="n">
        <v>0</v>
      </c>
      <c r="O379" t="n">
        <v>0</v>
      </c>
      <c r="P379" t="n">
        <v>0</v>
      </c>
      <c r="Q379" t="n">
        <v>0</v>
      </c>
      <c r="R379" s="2" t="inlineStr"/>
    </row>
    <row r="380" ht="15" customHeight="1">
      <c r="A380" t="inlineStr">
        <is>
          <t>A 53067-2022</t>
        </is>
      </c>
      <c r="B380" s="1" t="n">
        <v>44873</v>
      </c>
      <c r="C380" s="1" t="n">
        <v>45880</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61929-2023</t>
        </is>
      </c>
      <c r="B381" s="1" t="n">
        <v>45266</v>
      </c>
      <c r="C381" s="1" t="n">
        <v>45880</v>
      </c>
      <c r="D381" t="inlineStr">
        <is>
          <t>SKÅNE LÄN</t>
        </is>
      </c>
      <c r="E381" t="inlineStr">
        <is>
          <t>HÄSSLEHOLM</t>
        </is>
      </c>
      <c r="G381" t="n">
        <v>1.9</v>
      </c>
      <c r="H381" t="n">
        <v>0</v>
      </c>
      <c r="I381" t="n">
        <v>0</v>
      </c>
      <c r="J381" t="n">
        <v>0</v>
      </c>
      <c r="K381" t="n">
        <v>0</v>
      </c>
      <c r="L381" t="n">
        <v>0</v>
      </c>
      <c r="M381" t="n">
        <v>0</v>
      </c>
      <c r="N381" t="n">
        <v>0</v>
      </c>
      <c r="O381" t="n">
        <v>0</v>
      </c>
      <c r="P381" t="n">
        <v>0</v>
      </c>
      <c r="Q381" t="n">
        <v>0</v>
      </c>
      <c r="R381" s="2" t="inlineStr"/>
    </row>
    <row r="382" ht="15" customHeight="1">
      <c r="A382" t="inlineStr">
        <is>
          <t>A 23723-2023</t>
        </is>
      </c>
      <c r="B382" s="1" t="n">
        <v>45077</v>
      </c>
      <c r="C382" s="1" t="n">
        <v>45880</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50899-2024</t>
        </is>
      </c>
      <c r="B383" s="1" t="n">
        <v>45602.68584490741</v>
      </c>
      <c r="C383" s="1" t="n">
        <v>45880</v>
      </c>
      <c r="D383" t="inlineStr">
        <is>
          <t>SKÅNE LÄN</t>
        </is>
      </c>
      <c r="E383" t="inlineStr">
        <is>
          <t>HÄSSLEHOLM</t>
        </is>
      </c>
      <c r="G383" t="n">
        <v>1.7</v>
      </c>
      <c r="H383" t="n">
        <v>0</v>
      </c>
      <c r="I383" t="n">
        <v>0</v>
      </c>
      <c r="J383" t="n">
        <v>0</v>
      </c>
      <c r="K383" t="n">
        <v>0</v>
      </c>
      <c r="L383" t="n">
        <v>0</v>
      </c>
      <c r="M383" t="n">
        <v>0</v>
      </c>
      <c r="N383" t="n">
        <v>0</v>
      </c>
      <c r="O383" t="n">
        <v>0</v>
      </c>
      <c r="P383" t="n">
        <v>0</v>
      </c>
      <c r="Q383" t="n">
        <v>0</v>
      </c>
      <c r="R383" s="2" t="inlineStr"/>
    </row>
    <row r="384" ht="15" customHeight="1">
      <c r="A384" t="inlineStr">
        <is>
          <t>A 1120-2024</t>
        </is>
      </c>
      <c r="B384" s="1" t="n">
        <v>45302.4452662037</v>
      </c>
      <c r="C384" s="1" t="n">
        <v>45880</v>
      </c>
      <c r="D384" t="inlineStr">
        <is>
          <t>SKÅNE LÄN</t>
        </is>
      </c>
      <c r="E384" t="inlineStr">
        <is>
          <t>HÄSSLEHOLM</t>
        </is>
      </c>
      <c r="G384" t="n">
        <v>2.7</v>
      </c>
      <c r="H384" t="n">
        <v>0</v>
      </c>
      <c r="I384" t="n">
        <v>0</v>
      </c>
      <c r="J384" t="n">
        <v>0</v>
      </c>
      <c r="K384" t="n">
        <v>0</v>
      </c>
      <c r="L384" t="n">
        <v>0</v>
      </c>
      <c r="M384" t="n">
        <v>0</v>
      </c>
      <c r="N384" t="n">
        <v>0</v>
      </c>
      <c r="O384" t="n">
        <v>0</v>
      </c>
      <c r="P384" t="n">
        <v>0</v>
      </c>
      <c r="Q384" t="n">
        <v>0</v>
      </c>
      <c r="R384" s="2" t="inlineStr"/>
    </row>
    <row r="385" ht="15" customHeight="1">
      <c r="A385" t="inlineStr">
        <is>
          <t>A 4945-2022</t>
        </is>
      </c>
      <c r="B385" s="1" t="n">
        <v>44593</v>
      </c>
      <c r="C385" s="1" t="n">
        <v>45880</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27177-2024</t>
        </is>
      </c>
      <c r="B386" s="1" t="n">
        <v>45471.57201388889</v>
      </c>
      <c r="C386" s="1" t="n">
        <v>45880</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42428-2022</t>
        </is>
      </c>
      <c r="B387" s="1" t="n">
        <v>44831</v>
      </c>
      <c r="C387" s="1" t="n">
        <v>45880</v>
      </c>
      <c r="D387" t="inlineStr">
        <is>
          <t>SKÅNE LÄN</t>
        </is>
      </c>
      <c r="E387" t="inlineStr">
        <is>
          <t>HÄSSLEHOLM</t>
        </is>
      </c>
      <c r="G387" t="n">
        <v>2.8</v>
      </c>
      <c r="H387" t="n">
        <v>0</v>
      </c>
      <c r="I387" t="n">
        <v>0</v>
      </c>
      <c r="J387" t="n">
        <v>0</v>
      </c>
      <c r="K387" t="n">
        <v>0</v>
      </c>
      <c r="L387" t="n">
        <v>0</v>
      </c>
      <c r="M387" t="n">
        <v>0</v>
      </c>
      <c r="N387" t="n">
        <v>0</v>
      </c>
      <c r="O387" t="n">
        <v>0</v>
      </c>
      <c r="P387" t="n">
        <v>0</v>
      </c>
      <c r="Q387" t="n">
        <v>0</v>
      </c>
      <c r="R387" s="2" t="inlineStr"/>
    </row>
    <row r="388" ht="15" customHeight="1">
      <c r="A388" t="inlineStr">
        <is>
          <t>A 22595-2024</t>
        </is>
      </c>
      <c r="B388" s="1" t="n">
        <v>45447.61053240741</v>
      </c>
      <c r="C388" s="1" t="n">
        <v>45880</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38148-2022</t>
        </is>
      </c>
      <c r="B389" s="1" t="n">
        <v>44811</v>
      </c>
      <c r="C389" s="1" t="n">
        <v>45880</v>
      </c>
      <c r="D389" t="inlineStr">
        <is>
          <t>SKÅNE LÄN</t>
        </is>
      </c>
      <c r="E389" t="inlineStr">
        <is>
          <t>HÄSSLEHOLM</t>
        </is>
      </c>
      <c r="G389" t="n">
        <v>0.5</v>
      </c>
      <c r="H389" t="n">
        <v>0</v>
      </c>
      <c r="I389" t="n">
        <v>0</v>
      </c>
      <c r="J389" t="n">
        <v>0</v>
      </c>
      <c r="K389" t="n">
        <v>0</v>
      </c>
      <c r="L389" t="n">
        <v>0</v>
      </c>
      <c r="M389" t="n">
        <v>0</v>
      </c>
      <c r="N389" t="n">
        <v>0</v>
      </c>
      <c r="O389" t="n">
        <v>0</v>
      </c>
      <c r="P389" t="n">
        <v>0</v>
      </c>
      <c r="Q389" t="n">
        <v>0</v>
      </c>
      <c r="R389" s="2" t="inlineStr"/>
    </row>
    <row r="390" ht="15" customHeight="1">
      <c r="A390" t="inlineStr">
        <is>
          <t>A 47248-2023</t>
        </is>
      </c>
      <c r="B390" s="1" t="n">
        <v>45202</v>
      </c>
      <c r="C390" s="1" t="n">
        <v>45880</v>
      </c>
      <c r="D390" t="inlineStr">
        <is>
          <t>SKÅNE LÄN</t>
        </is>
      </c>
      <c r="E390" t="inlineStr">
        <is>
          <t>HÄSSLEHOLM</t>
        </is>
      </c>
      <c r="G390" t="n">
        <v>1.5</v>
      </c>
      <c r="H390" t="n">
        <v>0</v>
      </c>
      <c r="I390" t="n">
        <v>0</v>
      </c>
      <c r="J390" t="n">
        <v>0</v>
      </c>
      <c r="K390" t="n">
        <v>0</v>
      </c>
      <c r="L390" t="n">
        <v>0</v>
      </c>
      <c r="M390" t="n">
        <v>0</v>
      </c>
      <c r="N390" t="n">
        <v>0</v>
      </c>
      <c r="O390" t="n">
        <v>0</v>
      </c>
      <c r="P390" t="n">
        <v>0</v>
      </c>
      <c r="Q390" t="n">
        <v>0</v>
      </c>
      <c r="R390" s="2" t="inlineStr"/>
    </row>
    <row r="391" ht="15" customHeight="1">
      <c r="A391" t="inlineStr">
        <is>
          <t>A 48624-2021</t>
        </is>
      </c>
      <c r="B391" s="1" t="n">
        <v>44452</v>
      </c>
      <c r="C391" s="1" t="n">
        <v>45880</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38306-2022</t>
        </is>
      </c>
      <c r="B392" s="1" t="n">
        <v>44812.57515046297</v>
      </c>
      <c r="C392" s="1" t="n">
        <v>45880</v>
      </c>
      <c r="D392" t="inlineStr">
        <is>
          <t>SKÅNE LÄN</t>
        </is>
      </c>
      <c r="E392" t="inlineStr">
        <is>
          <t>HÄSSLEHOLM</t>
        </is>
      </c>
      <c r="G392" t="n">
        <v>2.2</v>
      </c>
      <c r="H392" t="n">
        <v>0</v>
      </c>
      <c r="I392" t="n">
        <v>0</v>
      </c>
      <c r="J392" t="n">
        <v>0</v>
      </c>
      <c r="K392" t="n">
        <v>0</v>
      </c>
      <c r="L392" t="n">
        <v>0</v>
      </c>
      <c r="M392" t="n">
        <v>0</v>
      </c>
      <c r="N392" t="n">
        <v>0</v>
      </c>
      <c r="O392" t="n">
        <v>0</v>
      </c>
      <c r="P392" t="n">
        <v>0</v>
      </c>
      <c r="Q392" t="n">
        <v>0</v>
      </c>
      <c r="R392" s="2" t="inlineStr"/>
    </row>
    <row r="393" ht="15" customHeight="1">
      <c r="A393" t="inlineStr">
        <is>
          <t>A 61186-2022</t>
        </is>
      </c>
      <c r="B393" s="1" t="n">
        <v>44915.50745370371</v>
      </c>
      <c r="C393" s="1" t="n">
        <v>45880</v>
      </c>
      <c r="D393" t="inlineStr">
        <is>
          <t>SKÅNE LÄN</t>
        </is>
      </c>
      <c r="E393" t="inlineStr">
        <is>
          <t>HÄSSLEHOLM</t>
        </is>
      </c>
      <c r="G393" t="n">
        <v>2.9</v>
      </c>
      <c r="H393" t="n">
        <v>0</v>
      </c>
      <c r="I393" t="n">
        <v>0</v>
      </c>
      <c r="J393" t="n">
        <v>0</v>
      </c>
      <c r="K393" t="n">
        <v>0</v>
      </c>
      <c r="L393" t="n">
        <v>0</v>
      </c>
      <c r="M393" t="n">
        <v>0</v>
      </c>
      <c r="N393" t="n">
        <v>0</v>
      </c>
      <c r="O393" t="n">
        <v>0</v>
      </c>
      <c r="P393" t="n">
        <v>0</v>
      </c>
      <c r="Q393" t="n">
        <v>0</v>
      </c>
      <c r="R393" s="2" t="inlineStr"/>
    </row>
    <row r="394" ht="15" customHeight="1">
      <c r="A394" t="inlineStr">
        <is>
          <t>A 35845-2022</t>
        </is>
      </c>
      <c r="B394" s="1" t="n">
        <v>44802</v>
      </c>
      <c r="C394" s="1" t="n">
        <v>45880</v>
      </c>
      <c r="D394" t="inlineStr">
        <is>
          <t>SKÅNE LÄN</t>
        </is>
      </c>
      <c r="E394" t="inlineStr">
        <is>
          <t>HÄSSLEHOLM</t>
        </is>
      </c>
      <c r="G394" t="n">
        <v>0.9</v>
      </c>
      <c r="H394" t="n">
        <v>0</v>
      </c>
      <c r="I394" t="n">
        <v>0</v>
      </c>
      <c r="J394" t="n">
        <v>0</v>
      </c>
      <c r="K394" t="n">
        <v>0</v>
      </c>
      <c r="L394" t="n">
        <v>0</v>
      </c>
      <c r="M394" t="n">
        <v>0</v>
      </c>
      <c r="N394" t="n">
        <v>0</v>
      </c>
      <c r="O394" t="n">
        <v>0</v>
      </c>
      <c r="P394" t="n">
        <v>0</v>
      </c>
      <c r="Q394" t="n">
        <v>0</v>
      </c>
      <c r="R394" s="2" t="inlineStr"/>
    </row>
    <row r="395" ht="15" customHeight="1">
      <c r="A395" t="inlineStr">
        <is>
          <t>A 13018-2024</t>
        </is>
      </c>
      <c r="B395" s="1" t="n">
        <v>45385.58274305556</v>
      </c>
      <c r="C395" s="1" t="n">
        <v>45880</v>
      </c>
      <c r="D395" t="inlineStr">
        <is>
          <t>SKÅNE LÄN</t>
        </is>
      </c>
      <c r="E395" t="inlineStr">
        <is>
          <t>HÄSSLEHOLM</t>
        </is>
      </c>
      <c r="G395" t="n">
        <v>4.8</v>
      </c>
      <c r="H395" t="n">
        <v>0</v>
      </c>
      <c r="I395" t="n">
        <v>0</v>
      </c>
      <c r="J395" t="n">
        <v>0</v>
      </c>
      <c r="K395" t="n">
        <v>0</v>
      </c>
      <c r="L395" t="n">
        <v>0</v>
      </c>
      <c r="M395" t="n">
        <v>0</v>
      </c>
      <c r="N395" t="n">
        <v>0</v>
      </c>
      <c r="O395" t="n">
        <v>0</v>
      </c>
      <c r="P395" t="n">
        <v>0</v>
      </c>
      <c r="Q395" t="n">
        <v>0</v>
      </c>
      <c r="R395" s="2" t="inlineStr"/>
    </row>
    <row r="396" ht="15" customHeight="1">
      <c r="A396" t="inlineStr">
        <is>
          <t>A 34342-2021</t>
        </is>
      </c>
      <c r="B396" s="1" t="n">
        <v>44379</v>
      </c>
      <c r="C396" s="1" t="n">
        <v>45880</v>
      </c>
      <c r="D396" t="inlineStr">
        <is>
          <t>SKÅNE LÄN</t>
        </is>
      </c>
      <c r="E396" t="inlineStr">
        <is>
          <t>HÄSSLEHOLM</t>
        </is>
      </c>
      <c r="G396" t="n">
        <v>7</v>
      </c>
      <c r="H396" t="n">
        <v>0</v>
      </c>
      <c r="I396" t="n">
        <v>0</v>
      </c>
      <c r="J396" t="n">
        <v>0</v>
      </c>
      <c r="K396" t="n">
        <v>0</v>
      </c>
      <c r="L396" t="n">
        <v>0</v>
      </c>
      <c r="M396" t="n">
        <v>0</v>
      </c>
      <c r="N396" t="n">
        <v>0</v>
      </c>
      <c r="O396" t="n">
        <v>0</v>
      </c>
      <c r="P396" t="n">
        <v>0</v>
      </c>
      <c r="Q396" t="n">
        <v>0</v>
      </c>
      <c r="R396" s="2" t="inlineStr"/>
    </row>
    <row r="397" ht="15" customHeight="1">
      <c r="A397" t="inlineStr">
        <is>
          <t>A 16357-2025</t>
        </is>
      </c>
      <c r="B397" s="1" t="n">
        <v>45751.38916666667</v>
      </c>
      <c r="C397" s="1" t="n">
        <v>45880</v>
      </c>
      <c r="D397" t="inlineStr">
        <is>
          <t>SKÅNE LÄN</t>
        </is>
      </c>
      <c r="E397" t="inlineStr">
        <is>
          <t>HÄSSLEHOLM</t>
        </is>
      </c>
      <c r="G397" t="n">
        <v>5.2</v>
      </c>
      <c r="H397" t="n">
        <v>0</v>
      </c>
      <c r="I397" t="n">
        <v>0</v>
      </c>
      <c r="J397" t="n">
        <v>0</v>
      </c>
      <c r="K397" t="n">
        <v>0</v>
      </c>
      <c r="L397" t="n">
        <v>0</v>
      </c>
      <c r="M397" t="n">
        <v>0</v>
      </c>
      <c r="N397" t="n">
        <v>0</v>
      </c>
      <c r="O397" t="n">
        <v>0</v>
      </c>
      <c r="P397" t="n">
        <v>0</v>
      </c>
      <c r="Q397" t="n">
        <v>0</v>
      </c>
      <c r="R397" s="2" t="inlineStr"/>
    </row>
    <row r="398" ht="15" customHeight="1">
      <c r="A398" t="inlineStr">
        <is>
          <t>A 10802-2024</t>
        </is>
      </c>
      <c r="B398" s="1" t="n">
        <v>45369</v>
      </c>
      <c r="C398" s="1" t="n">
        <v>45880</v>
      </c>
      <c r="D398" t="inlineStr">
        <is>
          <t>SKÅNE LÄN</t>
        </is>
      </c>
      <c r="E398" t="inlineStr">
        <is>
          <t>HÄSSLEHOLM</t>
        </is>
      </c>
      <c r="G398" t="n">
        <v>3.4</v>
      </c>
      <c r="H398" t="n">
        <v>0</v>
      </c>
      <c r="I398" t="n">
        <v>0</v>
      </c>
      <c r="J398" t="n">
        <v>0</v>
      </c>
      <c r="K398" t="n">
        <v>0</v>
      </c>
      <c r="L398" t="n">
        <v>0</v>
      </c>
      <c r="M398" t="n">
        <v>0</v>
      </c>
      <c r="N398" t="n">
        <v>0</v>
      </c>
      <c r="O398" t="n">
        <v>0</v>
      </c>
      <c r="P398" t="n">
        <v>0</v>
      </c>
      <c r="Q398" t="n">
        <v>0</v>
      </c>
      <c r="R398" s="2" t="inlineStr"/>
    </row>
    <row r="399" ht="15" customHeight="1">
      <c r="A399" t="inlineStr">
        <is>
          <t>A 26857-2025</t>
        </is>
      </c>
      <c r="B399" s="1" t="n">
        <v>45810</v>
      </c>
      <c r="C399" s="1" t="n">
        <v>45880</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12503-2022</t>
        </is>
      </c>
      <c r="B400" s="1" t="n">
        <v>44638</v>
      </c>
      <c r="C400" s="1" t="n">
        <v>45880</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16860-2025</t>
        </is>
      </c>
      <c r="B401" s="1" t="n">
        <v>45751</v>
      </c>
      <c r="C401" s="1" t="n">
        <v>45880</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42776-2021</t>
        </is>
      </c>
      <c r="B402" s="1" t="n">
        <v>44428</v>
      </c>
      <c r="C402" s="1" t="n">
        <v>45880</v>
      </c>
      <c r="D402" t="inlineStr">
        <is>
          <t>SKÅNE LÄN</t>
        </is>
      </c>
      <c r="E402" t="inlineStr">
        <is>
          <t>HÄSSLEHOLM</t>
        </is>
      </c>
      <c r="G402" t="n">
        <v>3.2</v>
      </c>
      <c r="H402" t="n">
        <v>0</v>
      </c>
      <c r="I402" t="n">
        <v>0</v>
      </c>
      <c r="J402" t="n">
        <v>0</v>
      </c>
      <c r="K402" t="n">
        <v>0</v>
      </c>
      <c r="L402" t="n">
        <v>0</v>
      </c>
      <c r="M402" t="n">
        <v>0</v>
      </c>
      <c r="N402" t="n">
        <v>0</v>
      </c>
      <c r="O402" t="n">
        <v>0</v>
      </c>
      <c r="P402" t="n">
        <v>0</v>
      </c>
      <c r="Q402" t="n">
        <v>0</v>
      </c>
      <c r="R402" s="2" t="inlineStr"/>
    </row>
    <row r="403" ht="15" customHeight="1">
      <c r="A403" t="inlineStr">
        <is>
          <t>A 48046-2023</t>
        </is>
      </c>
      <c r="B403" s="1" t="n">
        <v>45204.85201388889</v>
      </c>
      <c r="C403" s="1" t="n">
        <v>45880</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11607-2025</t>
        </is>
      </c>
      <c r="B404" s="1" t="n">
        <v>45727</v>
      </c>
      <c r="C404" s="1" t="n">
        <v>45880</v>
      </c>
      <c r="D404" t="inlineStr">
        <is>
          <t>SKÅNE LÄN</t>
        </is>
      </c>
      <c r="E404" t="inlineStr">
        <is>
          <t>HÄSSLEHOLM</t>
        </is>
      </c>
      <c r="G404" t="n">
        <v>4.1</v>
      </c>
      <c r="H404" t="n">
        <v>0</v>
      </c>
      <c r="I404" t="n">
        <v>0</v>
      </c>
      <c r="J404" t="n">
        <v>0</v>
      </c>
      <c r="K404" t="n">
        <v>0</v>
      </c>
      <c r="L404" t="n">
        <v>0</v>
      </c>
      <c r="M404" t="n">
        <v>0</v>
      </c>
      <c r="N404" t="n">
        <v>0</v>
      </c>
      <c r="O404" t="n">
        <v>0</v>
      </c>
      <c r="P404" t="n">
        <v>0</v>
      </c>
      <c r="Q404" t="n">
        <v>0</v>
      </c>
      <c r="R404" s="2" t="inlineStr"/>
    </row>
    <row r="405" ht="15" customHeight="1">
      <c r="A405" t="inlineStr">
        <is>
          <t>A 11609-2025</t>
        </is>
      </c>
      <c r="B405" s="1" t="n">
        <v>45727.44237268518</v>
      </c>
      <c r="C405" s="1" t="n">
        <v>45880</v>
      </c>
      <c r="D405" t="inlineStr">
        <is>
          <t>SKÅNE LÄN</t>
        </is>
      </c>
      <c r="E405" t="inlineStr">
        <is>
          <t>HÄSSLEHOLM</t>
        </is>
      </c>
      <c r="G405" t="n">
        <v>4.4</v>
      </c>
      <c r="H405" t="n">
        <v>0</v>
      </c>
      <c r="I405" t="n">
        <v>0</v>
      </c>
      <c r="J405" t="n">
        <v>0</v>
      </c>
      <c r="K405" t="n">
        <v>0</v>
      </c>
      <c r="L405" t="n">
        <v>0</v>
      </c>
      <c r="M405" t="n">
        <v>0</v>
      </c>
      <c r="N405" t="n">
        <v>0</v>
      </c>
      <c r="O405" t="n">
        <v>0</v>
      </c>
      <c r="P405" t="n">
        <v>0</v>
      </c>
      <c r="Q405" t="n">
        <v>0</v>
      </c>
      <c r="R405" s="2" t="inlineStr"/>
    </row>
    <row r="406" ht="15" customHeight="1">
      <c r="A406" t="inlineStr">
        <is>
          <t>A 23950-2023</t>
        </is>
      </c>
      <c r="B406" s="1" t="n">
        <v>45078.61771990741</v>
      </c>
      <c r="C406" s="1" t="n">
        <v>45880</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23952-2023</t>
        </is>
      </c>
      <c r="B407" s="1" t="n">
        <v>45078.62064814815</v>
      </c>
      <c r="C407" s="1" t="n">
        <v>45880</v>
      </c>
      <c r="D407" t="inlineStr">
        <is>
          <t>SKÅNE LÄN</t>
        </is>
      </c>
      <c r="E407" t="inlineStr">
        <is>
          <t>HÄSSLEHOLM</t>
        </is>
      </c>
      <c r="G407" t="n">
        <v>0.4</v>
      </c>
      <c r="H407" t="n">
        <v>0</v>
      </c>
      <c r="I407" t="n">
        <v>0</v>
      </c>
      <c r="J407" t="n">
        <v>0</v>
      </c>
      <c r="K407" t="n">
        <v>0</v>
      </c>
      <c r="L407" t="n">
        <v>0</v>
      </c>
      <c r="M407" t="n">
        <v>0</v>
      </c>
      <c r="N407" t="n">
        <v>0</v>
      </c>
      <c r="O407" t="n">
        <v>0</v>
      </c>
      <c r="P407" t="n">
        <v>0</v>
      </c>
      <c r="Q407" t="n">
        <v>0</v>
      </c>
      <c r="R407" s="2" t="inlineStr"/>
    </row>
    <row r="408" ht="15" customHeight="1">
      <c r="A408" t="inlineStr">
        <is>
          <t>A 12780-2024</t>
        </is>
      </c>
      <c r="B408" s="1" t="n">
        <v>45384.59726851852</v>
      </c>
      <c r="C408" s="1" t="n">
        <v>45880</v>
      </c>
      <c r="D408" t="inlineStr">
        <is>
          <t>SKÅNE LÄN</t>
        </is>
      </c>
      <c r="E408" t="inlineStr">
        <is>
          <t>HÄSSLEHOLM</t>
        </is>
      </c>
      <c r="G408" t="n">
        <v>0.7</v>
      </c>
      <c r="H408" t="n">
        <v>0</v>
      </c>
      <c r="I408" t="n">
        <v>0</v>
      </c>
      <c r="J408" t="n">
        <v>0</v>
      </c>
      <c r="K408" t="n">
        <v>0</v>
      </c>
      <c r="L408" t="n">
        <v>0</v>
      </c>
      <c r="M408" t="n">
        <v>0</v>
      </c>
      <c r="N408" t="n">
        <v>0</v>
      </c>
      <c r="O408" t="n">
        <v>0</v>
      </c>
      <c r="P408" t="n">
        <v>0</v>
      </c>
      <c r="Q408" t="n">
        <v>0</v>
      </c>
      <c r="R408" s="2" t="inlineStr"/>
    </row>
    <row r="409" ht="15" customHeight="1">
      <c r="A409" t="inlineStr">
        <is>
          <t>A 28457-2024</t>
        </is>
      </c>
      <c r="B409" s="1" t="n">
        <v>45477.68884259259</v>
      </c>
      <c r="C409" s="1" t="n">
        <v>45880</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13808-2021</t>
        </is>
      </c>
      <c r="B410" s="1" t="n">
        <v>44276</v>
      </c>
      <c r="C410" s="1" t="n">
        <v>45880</v>
      </c>
      <c r="D410" t="inlineStr">
        <is>
          <t>SKÅNE LÄN</t>
        </is>
      </c>
      <c r="E410" t="inlineStr">
        <is>
          <t>HÄSSLEHOLM</t>
        </is>
      </c>
      <c r="G410" t="n">
        <v>10.3</v>
      </c>
      <c r="H410" t="n">
        <v>0</v>
      </c>
      <c r="I410" t="n">
        <v>0</v>
      </c>
      <c r="J410" t="n">
        <v>0</v>
      </c>
      <c r="K410" t="n">
        <v>0</v>
      </c>
      <c r="L410" t="n">
        <v>0</v>
      </c>
      <c r="M410" t="n">
        <v>0</v>
      </c>
      <c r="N410" t="n">
        <v>0</v>
      </c>
      <c r="O410" t="n">
        <v>0</v>
      </c>
      <c r="P410" t="n">
        <v>0</v>
      </c>
      <c r="Q410" t="n">
        <v>0</v>
      </c>
      <c r="R410" s="2" t="inlineStr"/>
    </row>
    <row r="411" ht="15" customHeight="1">
      <c r="A411" t="inlineStr">
        <is>
          <t>A 49106-2023</t>
        </is>
      </c>
      <c r="B411" s="1" t="n">
        <v>45210</v>
      </c>
      <c r="C411" s="1" t="n">
        <v>45880</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58815-2023</t>
        </is>
      </c>
      <c r="B412" s="1" t="n">
        <v>45247</v>
      </c>
      <c r="C412" s="1" t="n">
        <v>45880</v>
      </c>
      <c r="D412" t="inlineStr">
        <is>
          <t>SKÅNE LÄN</t>
        </is>
      </c>
      <c r="E412" t="inlineStr">
        <is>
          <t>HÄSSLEHOLM</t>
        </is>
      </c>
      <c r="G412" t="n">
        <v>0.8</v>
      </c>
      <c r="H412" t="n">
        <v>0</v>
      </c>
      <c r="I412" t="n">
        <v>0</v>
      </c>
      <c r="J412" t="n">
        <v>0</v>
      </c>
      <c r="K412" t="n">
        <v>0</v>
      </c>
      <c r="L412" t="n">
        <v>0</v>
      </c>
      <c r="M412" t="n">
        <v>0</v>
      </c>
      <c r="N412" t="n">
        <v>0</v>
      </c>
      <c r="O412" t="n">
        <v>0</v>
      </c>
      <c r="P412" t="n">
        <v>0</v>
      </c>
      <c r="Q412" t="n">
        <v>0</v>
      </c>
      <c r="R412" s="2" t="inlineStr"/>
    </row>
    <row r="413" ht="15" customHeight="1">
      <c r="A413" t="inlineStr">
        <is>
          <t>A 2144-2023</t>
        </is>
      </c>
      <c r="B413" s="1" t="n">
        <v>44940.79054398148</v>
      </c>
      <c r="C413" s="1" t="n">
        <v>45880</v>
      </c>
      <c r="D413" t="inlineStr">
        <is>
          <t>SKÅNE LÄN</t>
        </is>
      </c>
      <c r="E413" t="inlineStr">
        <is>
          <t>HÄSSLEHOLM</t>
        </is>
      </c>
      <c r="G413" t="n">
        <v>0.7</v>
      </c>
      <c r="H413" t="n">
        <v>0</v>
      </c>
      <c r="I413" t="n">
        <v>0</v>
      </c>
      <c r="J413" t="n">
        <v>0</v>
      </c>
      <c r="K413" t="n">
        <v>0</v>
      </c>
      <c r="L413" t="n">
        <v>0</v>
      </c>
      <c r="M413" t="n">
        <v>0</v>
      </c>
      <c r="N413" t="n">
        <v>0</v>
      </c>
      <c r="O413" t="n">
        <v>0</v>
      </c>
      <c r="P413" t="n">
        <v>0</v>
      </c>
      <c r="Q413" t="n">
        <v>0</v>
      </c>
      <c r="R413" s="2" t="inlineStr"/>
    </row>
    <row r="414" ht="15" customHeight="1">
      <c r="A414" t="inlineStr">
        <is>
          <t>A 9697-2023</t>
        </is>
      </c>
      <c r="B414" s="1" t="n">
        <v>44984</v>
      </c>
      <c r="C414" s="1" t="n">
        <v>45880</v>
      </c>
      <c r="D414" t="inlineStr">
        <is>
          <t>SKÅNE LÄN</t>
        </is>
      </c>
      <c r="E414" t="inlineStr">
        <is>
          <t>HÄSSLEHOLM</t>
        </is>
      </c>
      <c r="G414" t="n">
        <v>0.3</v>
      </c>
      <c r="H414" t="n">
        <v>0</v>
      </c>
      <c r="I414" t="n">
        <v>0</v>
      </c>
      <c r="J414" t="n">
        <v>0</v>
      </c>
      <c r="K414" t="n">
        <v>0</v>
      </c>
      <c r="L414" t="n">
        <v>0</v>
      </c>
      <c r="M414" t="n">
        <v>0</v>
      </c>
      <c r="N414" t="n">
        <v>0</v>
      </c>
      <c r="O414" t="n">
        <v>0</v>
      </c>
      <c r="P414" t="n">
        <v>0</v>
      </c>
      <c r="Q414" t="n">
        <v>0</v>
      </c>
      <c r="R414" s="2" t="inlineStr"/>
    </row>
    <row r="415" ht="15" customHeight="1">
      <c r="A415" t="inlineStr">
        <is>
          <t>A 61680-2022</t>
        </is>
      </c>
      <c r="B415" s="1" t="n">
        <v>44917.36372685185</v>
      </c>
      <c r="C415" s="1" t="n">
        <v>45880</v>
      </c>
      <c r="D415" t="inlineStr">
        <is>
          <t>SKÅNE LÄN</t>
        </is>
      </c>
      <c r="E415" t="inlineStr">
        <is>
          <t>HÄSSLEHOLM</t>
        </is>
      </c>
      <c r="G415" t="n">
        <v>2.4</v>
      </c>
      <c r="H415" t="n">
        <v>0</v>
      </c>
      <c r="I415" t="n">
        <v>0</v>
      </c>
      <c r="J415" t="n">
        <v>0</v>
      </c>
      <c r="K415" t="n">
        <v>0</v>
      </c>
      <c r="L415" t="n">
        <v>0</v>
      </c>
      <c r="M415" t="n">
        <v>0</v>
      </c>
      <c r="N415" t="n">
        <v>0</v>
      </c>
      <c r="O415" t="n">
        <v>0</v>
      </c>
      <c r="P415" t="n">
        <v>0</v>
      </c>
      <c r="Q415" t="n">
        <v>0</v>
      </c>
      <c r="R415" s="2" t="inlineStr"/>
    </row>
    <row r="416" ht="15" customHeight="1">
      <c r="A416" t="inlineStr">
        <is>
          <t>A 22594-2024</t>
        </is>
      </c>
      <c r="B416" s="1" t="n">
        <v>45447.60892361111</v>
      </c>
      <c r="C416" s="1" t="n">
        <v>45880</v>
      </c>
      <c r="D416" t="inlineStr">
        <is>
          <t>SKÅNE LÄN</t>
        </is>
      </c>
      <c r="E416" t="inlineStr">
        <is>
          <t>HÄSSLEHOLM</t>
        </is>
      </c>
      <c r="G416" t="n">
        <v>1.1</v>
      </c>
      <c r="H416" t="n">
        <v>0</v>
      </c>
      <c r="I416" t="n">
        <v>0</v>
      </c>
      <c r="J416" t="n">
        <v>0</v>
      </c>
      <c r="K416" t="n">
        <v>0</v>
      </c>
      <c r="L416" t="n">
        <v>0</v>
      </c>
      <c r="M416" t="n">
        <v>0</v>
      </c>
      <c r="N416" t="n">
        <v>0</v>
      </c>
      <c r="O416" t="n">
        <v>0</v>
      </c>
      <c r="P416" t="n">
        <v>0</v>
      </c>
      <c r="Q416" t="n">
        <v>0</v>
      </c>
      <c r="R416" s="2" t="inlineStr"/>
    </row>
    <row r="417" ht="15" customHeight="1">
      <c r="A417" t="inlineStr">
        <is>
          <t>A 55056-2021</t>
        </is>
      </c>
      <c r="B417" s="1" t="n">
        <v>44474.62072916667</v>
      </c>
      <c r="C417" s="1" t="n">
        <v>45880</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16550-2025</t>
        </is>
      </c>
      <c r="B418" s="1" t="n">
        <v>45751.69412037037</v>
      </c>
      <c r="C418" s="1" t="n">
        <v>45880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4042-2023</t>
        </is>
      </c>
      <c r="B419" s="1" t="n">
        <v>44952.59950231481</v>
      </c>
      <c r="C419" s="1" t="n">
        <v>45880</v>
      </c>
      <c r="D419" t="inlineStr">
        <is>
          <t>SKÅNE LÄN</t>
        </is>
      </c>
      <c r="E419" t="inlineStr">
        <is>
          <t>HÄSSLEHOLM</t>
        </is>
      </c>
      <c r="G419" t="n">
        <v>2.7</v>
      </c>
      <c r="H419" t="n">
        <v>0</v>
      </c>
      <c r="I419" t="n">
        <v>0</v>
      </c>
      <c r="J419" t="n">
        <v>0</v>
      </c>
      <c r="K419" t="n">
        <v>0</v>
      </c>
      <c r="L419" t="n">
        <v>0</v>
      </c>
      <c r="M419" t="n">
        <v>0</v>
      </c>
      <c r="N419" t="n">
        <v>0</v>
      </c>
      <c r="O419" t="n">
        <v>0</v>
      </c>
      <c r="P419" t="n">
        <v>0</v>
      </c>
      <c r="Q419" t="n">
        <v>0</v>
      </c>
      <c r="R419" s="2" t="inlineStr"/>
    </row>
    <row r="420" ht="15" customHeight="1">
      <c r="A420" t="inlineStr">
        <is>
          <t>A 27478-2023</t>
        </is>
      </c>
      <c r="B420" s="1" t="n">
        <v>45092</v>
      </c>
      <c r="C420" s="1" t="n">
        <v>45880</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16285-2025</t>
        </is>
      </c>
      <c r="B421" s="1" t="n">
        <v>45751.30045138889</v>
      </c>
      <c r="C421" s="1" t="n">
        <v>45880</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1170-2025</t>
        </is>
      </c>
      <c r="B422" s="1" t="n">
        <v>45667.29226851852</v>
      </c>
      <c r="C422" s="1" t="n">
        <v>45880</v>
      </c>
      <c r="D422" t="inlineStr">
        <is>
          <t>SKÅNE LÄN</t>
        </is>
      </c>
      <c r="E422" t="inlineStr">
        <is>
          <t>HÄSSLEHOLM</t>
        </is>
      </c>
      <c r="G422" t="n">
        <v>4.3</v>
      </c>
      <c r="H422" t="n">
        <v>0</v>
      </c>
      <c r="I422" t="n">
        <v>0</v>
      </c>
      <c r="J422" t="n">
        <v>0</v>
      </c>
      <c r="K422" t="n">
        <v>0</v>
      </c>
      <c r="L422" t="n">
        <v>0</v>
      </c>
      <c r="M422" t="n">
        <v>0</v>
      </c>
      <c r="N422" t="n">
        <v>0</v>
      </c>
      <c r="O422" t="n">
        <v>0</v>
      </c>
      <c r="P422" t="n">
        <v>0</v>
      </c>
      <c r="Q422" t="n">
        <v>0</v>
      </c>
      <c r="R422" s="2" t="inlineStr"/>
    </row>
    <row r="423" ht="15" customHeight="1">
      <c r="A423" t="inlineStr">
        <is>
          <t>A 5780-2024</t>
        </is>
      </c>
      <c r="B423" s="1" t="n">
        <v>45335.41983796296</v>
      </c>
      <c r="C423" s="1" t="n">
        <v>45880</v>
      </c>
      <c r="D423" t="inlineStr">
        <is>
          <t>SKÅNE LÄN</t>
        </is>
      </c>
      <c r="E423" t="inlineStr">
        <is>
          <t>HÄSSLEHOLM</t>
        </is>
      </c>
      <c r="G423" t="n">
        <v>2.5</v>
      </c>
      <c r="H423" t="n">
        <v>0</v>
      </c>
      <c r="I423" t="n">
        <v>0</v>
      </c>
      <c r="J423" t="n">
        <v>0</v>
      </c>
      <c r="K423" t="n">
        <v>0</v>
      </c>
      <c r="L423" t="n">
        <v>0</v>
      </c>
      <c r="M423" t="n">
        <v>0</v>
      </c>
      <c r="N423" t="n">
        <v>0</v>
      </c>
      <c r="O423" t="n">
        <v>0</v>
      </c>
      <c r="P423" t="n">
        <v>0</v>
      </c>
      <c r="Q423" t="n">
        <v>0</v>
      </c>
      <c r="R423" s="2" t="inlineStr"/>
    </row>
    <row r="424" ht="15" customHeight="1">
      <c r="A424" t="inlineStr">
        <is>
          <t>A 57749-2023</t>
        </is>
      </c>
      <c r="B424" s="1" t="n">
        <v>45246</v>
      </c>
      <c r="C424" s="1" t="n">
        <v>45880</v>
      </c>
      <c r="D424" t="inlineStr">
        <is>
          <t>SKÅNE LÄN</t>
        </is>
      </c>
      <c r="E424" t="inlineStr">
        <is>
          <t>HÄSSLEHOLM</t>
        </is>
      </c>
      <c r="G424" t="n">
        <v>2.7</v>
      </c>
      <c r="H424" t="n">
        <v>0</v>
      </c>
      <c r="I424" t="n">
        <v>0</v>
      </c>
      <c r="J424" t="n">
        <v>0</v>
      </c>
      <c r="K424" t="n">
        <v>0</v>
      </c>
      <c r="L424" t="n">
        <v>0</v>
      </c>
      <c r="M424" t="n">
        <v>0</v>
      </c>
      <c r="N424" t="n">
        <v>0</v>
      </c>
      <c r="O424" t="n">
        <v>0</v>
      </c>
      <c r="P424" t="n">
        <v>0</v>
      </c>
      <c r="Q424" t="n">
        <v>0</v>
      </c>
      <c r="R424" s="2" t="inlineStr"/>
    </row>
    <row r="425" ht="15" customHeight="1">
      <c r="A425" t="inlineStr">
        <is>
          <t>A 3123-2023</t>
        </is>
      </c>
      <c r="B425" s="1" t="n">
        <v>44946.4925</v>
      </c>
      <c r="C425" s="1" t="n">
        <v>45880</v>
      </c>
      <c r="D425" t="inlineStr">
        <is>
          <t>SKÅNE LÄN</t>
        </is>
      </c>
      <c r="E425" t="inlineStr">
        <is>
          <t>HÄSSLEHOLM</t>
        </is>
      </c>
      <c r="G425" t="n">
        <v>3.5</v>
      </c>
      <c r="H425" t="n">
        <v>0</v>
      </c>
      <c r="I425" t="n">
        <v>0</v>
      </c>
      <c r="J425" t="n">
        <v>0</v>
      </c>
      <c r="K425" t="n">
        <v>0</v>
      </c>
      <c r="L425" t="n">
        <v>0</v>
      </c>
      <c r="M425" t="n">
        <v>0</v>
      </c>
      <c r="N425" t="n">
        <v>0</v>
      </c>
      <c r="O425" t="n">
        <v>0</v>
      </c>
      <c r="P425" t="n">
        <v>0</v>
      </c>
      <c r="Q425" t="n">
        <v>0</v>
      </c>
      <c r="R425" s="2" t="inlineStr"/>
    </row>
    <row r="426" ht="15" customHeight="1">
      <c r="A426" t="inlineStr">
        <is>
          <t>A 3126-2023</t>
        </is>
      </c>
      <c r="B426" s="1" t="n">
        <v>44946.49570601852</v>
      </c>
      <c r="C426" s="1" t="n">
        <v>45880</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25213-2023</t>
        </is>
      </c>
      <c r="B427" s="1" t="n">
        <v>45086.60010416667</v>
      </c>
      <c r="C427" s="1" t="n">
        <v>45880</v>
      </c>
      <c r="D427" t="inlineStr">
        <is>
          <t>SKÅNE LÄN</t>
        </is>
      </c>
      <c r="E427" t="inlineStr">
        <is>
          <t>HÄSSLEHOLM</t>
        </is>
      </c>
      <c r="G427" t="n">
        <v>7.2</v>
      </c>
      <c r="H427" t="n">
        <v>0</v>
      </c>
      <c r="I427" t="n">
        <v>0</v>
      </c>
      <c r="J427" t="n">
        <v>0</v>
      </c>
      <c r="K427" t="n">
        <v>0</v>
      </c>
      <c r="L427" t="n">
        <v>0</v>
      </c>
      <c r="M427" t="n">
        <v>0</v>
      </c>
      <c r="N427" t="n">
        <v>0</v>
      </c>
      <c r="O427" t="n">
        <v>0</v>
      </c>
      <c r="P427" t="n">
        <v>0</v>
      </c>
      <c r="Q427" t="n">
        <v>0</v>
      </c>
      <c r="R427" s="2" t="inlineStr"/>
    </row>
    <row r="428" ht="15" customHeight="1">
      <c r="A428" t="inlineStr">
        <is>
          <t>A 44940-2023</t>
        </is>
      </c>
      <c r="B428" s="1" t="n">
        <v>45190.68653935185</v>
      </c>
      <c r="C428" s="1" t="n">
        <v>45880</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51287-2022</t>
        </is>
      </c>
      <c r="B429" s="1" t="n">
        <v>44868.83146990741</v>
      </c>
      <c r="C429" s="1" t="n">
        <v>45880</v>
      </c>
      <c r="D429" t="inlineStr">
        <is>
          <t>SKÅNE LÄN</t>
        </is>
      </c>
      <c r="E429" t="inlineStr">
        <is>
          <t>HÄSSLEHOLM</t>
        </is>
      </c>
      <c r="G429" t="n">
        <v>2.2</v>
      </c>
      <c r="H429" t="n">
        <v>0</v>
      </c>
      <c r="I429" t="n">
        <v>0</v>
      </c>
      <c r="J429" t="n">
        <v>0</v>
      </c>
      <c r="K429" t="n">
        <v>0</v>
      </c>
      <c r="L429" t="n">
        <v>0</v>
      </c>
      <c r="M429" t="n">
        <v>0</v>
      </c>
      <c r="N429" t="n">
        <v>0</v>
      </c>
      <c r="O429" t="n">
        <v>0</v>
      </c>
      <c r="P429" t="n">
        <v>0</v>
      </c>
      <c r="Q429" t="n">
        <v>0</v>
      </c>
      <c r="R429" s="2" t="inlineStr"/>
    </row>
    <row r="430" ht="15" customHeight="1">
      <c r="A430" t="inlineStr">
        <is>
          <t>A 18800-2023</t>
        </is>
      </c>
      <c r="B430" s="1" t="n">
        <v>45044</v>
      </c>
      <c r="C430" s="1" t="n">
        <v>45880</v>
      </c>
      <c r="D430" t="inlineStr">
        <is>
          <t>SKÅNE LÄN</t>
        </is>
      </c>
      <c r="E430" t="inlineStr">
        <is>
          <t>HÄSSLEHOLM</t>
        </is>
      </c>
      <c r="G430" t="n">
        <v>1.1</v>
      </c>
      <c r="H430" t="n">
        <v>0</v>
      </c>
      <c r="I430" t="n">
        <v>0</v>
      </c>
      <c r="J430" t="n">
        <v>0</v>
      </c>
      <c r="K430" t="n">
        <v>0</v>
      </c>
      <c r="L430" t="n">
        <v>0</v>
      </c>
      <c r="M430" t="n">
        <v>0</v>
      </c>
      <c r="N430" t="n">
        <v>0</v>
      </c>
      <c r="O430" t="n">
        <v>0</v>
      </c>
      <c r="P430" t="n">
        <v>0</v>
      </c>
      <c r="Q430" t="n">
        <v>0</v>
      </c>
      <c r="R430" s="2" t="inlineStr"/>
    </row>
    <row r="431" ht="15" customHeight="1">
      <c r="A431" t="inlineStr">
        <is>
          <t>A 6791-2021</t>
        </is>
      </c>
      <c r="B431" s="1" t="n">
        <v>44236</v>
      </c>
      <c r="C431" s="1" t="n">
        <v>45880</v>
      </c>
      <c r="D431" t="inlineStr">
        <is>
          <t>SKÅNE LÄN</t>
        </is>
      </c>
      <c r="E431" t="inlineStr">
        <is>
          <t>HÄSSLEHOLM</t>
        </is>
      </c>
      <c r="G431" t="n">
        <v>1.7</v>
      </c>
      <c r="H431" t="n">
        <v>0</v>
      </c>
      <c r="I431" t="n">
        <v>0</v>
      </c>
      <c r="J431" t="n">
        <v>0</v>
      </c>
      <c r="K431" t="n">
        <v>0</v>
      </c>
      <c r="L431" t="n">
        <v>0</v>
      </c>
      <c r="M431" t="n">
        <v>0</v>
      </c>
      <c r="N431" t="n">
        <v>0</v>
      </c>
      <c r="O431" t="n">
        <v>0</v>
      </c>
      <c r="P431" t="n">
        <v>0</v>
      </c>
      <c r="Q431" t="n">
        <v>0</v>
      </c>
      <c r="R431" s="2" t="inlineStr"/>
    </row>
    <row r="432" ht="15" customHeight="1">
      <c r="A432" t="inlineStr">
        <is>
          <t>A 25206-2023</t>
        </is>
      </c>
      <c r="B432" s="1" t="n">
        <v>45086.59318287037</v>
      </c>
      <c r="C432" s="1" t="n">
        <v>45880</v>
      </c>
      <c r="D432" t="inlineStr">
        <is>
          <t>SKÅNE LÄN</t>
        </is>
      </c>
      <c r="E432" t="inlineStr">
        <is>
          <t>HÄSSLEHOLM</t>
        </is>
      </c>
      <c r="G432" t="n">
        <v>2.9</v>
      </c>
      <c r="H432" t="n">
        <v>0</v>
      </c>
      <c r="I432" t="n">
        <v>0</v>
      </c>
      <c r="J432" t="n">
        <v>0</v>
      </c>
      <c r="K432" t="n">
        <v>0</v>
      </c>
      <c r="L432" t="n">
        <v>0</v>
      </c>
      <c r="M432" t="n">
        <v>0</v>
      </c>
      <c r="N432" t="n">
        <v>0</v>
      </c>
      <c r="O432" t="n">
        <v>0</v>
      </c>
      <c r="P432" t="n">
        <v>0</v>
      </c>
      <c r="Q432" t="n">
        <v>0</v>
      </c>
      <c r="R432" s="2" t="inlineStr"/>
    </row>
    <row r="433" ht="15" customHeight="1">
      <c r="A433" t="inlineStr">
        <is>
          <t>A 5116-2023</t>
        </is>
      </c>
      <c r="B433" s="1" t="n">
        <v>44958.67546296296</v>
      </c>
      <c r="C433" s="1" t="n">
        <v>45880</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15897-2025</t>
        </is>
      </c>
      <c r="B434" s="1" t="n">
        <v>45749.41598379629</v>
      </c>
      <c r="C434" s="1" t="n">
        <v>45880</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61504-2022</t>
        </is>
      </c>
      <c r="B435" s="1" t="n">
        <v>44910</v>
      </c>
      <c r="C435" s="1" t="n">
        <v>45880</v>
      </c>
      <c r="D435" t="inlineStr">
        <is>
          <t>SKÅNE LÄN</t>
        </is>
      </c>
      <c r="E435" t="inlineStr">
        <is>
          <t>HÄSSLEHOLM</t>
        </is>
      </c>
      <c r="F435" t="inlineStr">
        <is>
          <t>Kyrkan</t>
        </is>
      </c>
      <c r="G435" t="n">
        <v>2.9</v>
      </c>
      <c r="H435" t="n">
        <v>0</v>
      </c>
      <c r="I435" t="n">
        <v>0</v>
      </c>
      <c r="J435" t="n">
        <v>0</v>
      </c>
      <c r="K435" t="n">
        <v>0</v>
      </c>
      <c r="L435" t="n">
        <v>0</v>
      </c>
      <c r="M435" t="n">
        <v>0</v>
      </c>
      <c r="N435" t="n">
        <v>0</v>
      </c>
      <c r="O435" t="n">
        <v>0</v>
      </c>
      <c r="P435" t="n">
        <v>0</v>
      </c>
      <c r="Q435" t="n">
        <v>0</v>
      </c>
      <c r="R435" s="2" t="inlineStr"/>
    </row>
    <row r="436" ht="15" customHeight="1">
      <c r="A436" t="inlineStr">
        <is>
          <t>A 29275-2023</t>
        </is>
      </c>
      <c r="B436" s="1" t="n">
        <v>45105</v>
      </c>
      <c r="C436" s="1" t="n">
        <v>45880</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24865-2024</t>
        </is>
      </c>
      <c r="B437" s="1" t="n">
        <v>45461.48974537037</v>
      </c>
      <c r="C437" s="1" t="n">
        <v>45880</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10220-2023</t>
        </is>
      </c>
      <c r="B438" s="1" t="n">
        <v>44986.60916666667</v>
      </c>
      <c r="C438" s="1" t="n">
        <v>45880</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27502-2023</t>
        </is>
      </c>
      <c r="B439" s="1" t="n">
        <v>45092</v>
      </c>
      <c r="C439" s="1" t="n">
        <v>45880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54473-2023</t>
        </is>
      </c>
      <c r="B440" s="1" t="n">
        <v>45233</v>
      </c>
      <c r="C440" s="1" t="n">
        <v>45880</v>
      </c>
      <c r="D440" t="inlineStr">
        <is>
          <t>SKÅNE LÄN</t>
        </is>
      </c>
      <c r="E440" t="inlineStr">
        <is>
          <t>HÄSSLEHOLM</t>
        </is>
      </c>
      <c r="G440" t="n">
        <v>24.5</v>
      </c>
      <c r="H440" t="n">
        <v>0</v>
      </c>
      <c r="I440" t="n">
        <v>0</v>
      </c>
      <c r="J440" t="n">
        <v>0</v>
      </c>
      <c r="K440" t="n">
        <v>0</v>
      </c>
      <c r="L440" t="n">
        <v>0</v>
      </c>
      <c r="M440" t="n">
        <v>0</v>
      </c>
      <c r="N440" t="n">
        <v>0</v>
      </c>
      <c r="O440" t="n">
        <v>0</v>
      </c>
      <c r="P440" t="n">
        <v>0</v>
      </c>
      <c r="Q440" t="n">
        <v>0</v>
      </c>
      <c r="R440" s="2" t="inlineStr"/>
    </row>
    <row r="441" ht="15" customHeight="1">
      <c r="A441" t="inlineStr">
        <is>
          <t>A 33927-2021</t>
        </is>
      </c>
      <c r="B441" s="1" t="n">
        <v>44378</v>
      </c>
      <c r="C441" s="1" t="n">
        <v>45880</v>
      </c>
      <c r="D441" t="inlineStr">
        <is>
          <t>SKÅNE LÄN</t>
        </is>
      </c>
      <c r="E441" t="inlineStr">
        <is>
          <t>HÄSSLEHOLM</t>
        </is>
      </c>
      <c r="G441" t="n">
        <v>16.7</v>
      </c>
      <c r="H441" t="n">
        <v>0</v>
      </c>
      <c r="I441" t="n">
        <v>0</v>
      </c>
      <c r="J441" t="n">
        <v>0</v>
      </c>
      <c r="K441" t="n">
        <v>0</v>
      </c>
      <c r="L441" t="n">
        <v>0</v>
      </c>
      <c r="M441" t="n">
        <v>0</v>
      </c>
      <c r="N441" t="n">
        <v>0</v>
      </c>
      <c r="O441" t="n">
        <v>0</v>
      </c>
      <c r="P441" t="n">
        <v>0</v>
      </c>
      <c r="Q441" t="n">
        <v>0</v>
      </c>
      <c r="R441" s="2" t="inlineStr"/>
    </row>
    <row r="442" ht="15" customHeight="1">
      <c r="A442" t="inlineStr">
        <is>
          <t>A 25057-2024</t>
        </is>
      </c>
      <c r="B442" s="1" t="n">
        <v>45462</v>
      </c>
      <c r="C442" s="1" t="n">
        <v>45880</v>
      </c>
      <c r="D442" t="inlineStr">
        <is>
          <t>SKÅNE LÄN</t>
        </is>
      </c>
      <c r="E442" t="inlineStr">
        <is>
          <t>HÄSSLEHOLM</t>
        </is>
      </c>
      <c r="G442" t="n">
        <v>4.3</v>
      </c>
      <c r="H442" t="n">
        <v>0</v>
      </c>
      <c r="I442" t="n">
        <v>0</v>
      </c>
      <c r="J442" t="n">
        <v>0</v>
      </c>
      <c r="K442" t="n">
        <v>0</v>
      </c>
      <c r="L442" t="n">
        <v>0</v>
      </c>
      <c r="M442" t="n">
        <v>0</v>
      </c>
      <c r="N442" t="n">
        <v>0</v>
      </c>
      <c r="O442" t="n">
        <v>0</v>
      </c>
      <c r="P442" t="n">
        <v>0</v>
      </c>
      <c r="Q442" t="n">
        <v>0</v>
      </c>
      <c r="R442" s="2" t="inlineStr"/>
    </row>
    <row r="443" ht="15" customHeight="1">
      <c r="A443" t="inlineStr">
        <is>
          <t>A 26641-2023</t>
        </is>
      </c>
      <c r="B443" s="1" t="n">
        <v>45092.89619212963</v>
      </c>
      <c r="C443" s="1" t="n">
        <v>45880</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10028-2024</t>
        </is>
      </c>
      <c r="B444" s="1" t="n">
        <v>45363.97292824074</v>
      </c>
      <c r="C444" s="1" t="n">
        <v>45880</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61158-2022</t>
        </is>
      </c>
      <c r="B445" s="1" t="n">
        <v>44915.47112268519</v>
      </c>
      <c r="C445" s="1" t="n">
        <v>45880</v>
      </c>
      <c r="D445" t="inlineStr">
        <is>
          <t>SKÅNE LÄN</t>
        </is>
      </c>
      <c r="E445" t="inlineStr">
        <is>
          <t>HÄSSLEHOLM</t>
        </is>
      </c>
      <c r="G445" t="n">
        <v>8.4</v>
      </c>
      <c r="H445" t="n">
        <v>0</v>
      </c>
      <c r="I445" t="n">
        <v>0</v>
      </c>
      <c r="J445" t="n">
        <v>0</v>
      </c>
      <c r="K445" t="n">
        <v>0</v>
      </c>
      <c r="L445" t="n">
        <v>0</v>
      </c>
      <c r="M445" t="n">
        <v>0</v>
      </c>
      <c r="N445" t="n">
        <v>0</v>
      </c>
      <c r="O445" t="n">
        <v>0</v>
      </c>
      <c r="P445" t="n">
        <v>0</v>
      </c>
      <c r="Q445" t="n">
        <v>0</v>
      </c>
      <c r="R445" s="2" t="inlineStr"/>
    </row>
    <row r="446" ht="15" customHeight="1">
      <c r="A446" t="inlineStr">
        <is>
          <t>A 12468-2024</t>
        </is>
      </c>
      <c r="B446" s="1" t="n">
        <v>45379</v>
      </c>
      <c r="C446" s="1" t="n">
        <v>45880</v>
      </c>
      <c r="D446" t="inlineStr">
        <is>
          <t>SKÅNE LÄN</t>
        </is>
      </c>
      <c r="E446" t="inlineStr">
        <is>
          <t>HÄSSLEHOLM</t>
        </is>
      </c>
      <c r="G446" t="n">
        <v>15.5</v>
      </c>
      <c r="H446" t="n">
        <v>0</v>
      </c>
      <c r="I446" t="n">
        <v>0</v>
      </c>
      <c r="J446" t="n">
        <v>0</v>
      </c>
      <c r="K446" t="n">
        <v>0</v>
      </c>
      <c r="L446" t="n">
        <v>0</v>
      </c>
      <c r="M446" t="n">
        <v>0</v>
      </c>
      <c r="N446" t="n">
        <v>0</v>
      </c>
      <c r="O446" t="n">
        <v>0</v>
      </c>
      <c r="P446" t="n">
        <v>0</v>
      </c>
      <c r="Q446" t="n">
        <v>0</v>
      </c>
      <c r="R446" s="2" t="inlineStr"/>
    </row>
    <row r="447" ht="15" customHeight="1">
      <c r="A447" t="inlineStr">
        <is>
          <t>A 25611-2024</t>
        </is>
      </c>
      <c r="B447" s="1" t="n">
        <v>45463</v>
      </c>
      <c r="C447" s="1" t="n">
        <v>45880</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4009-2024</t>
        </is>
      </c>
      <c r="B448" s="1" t="n">
        <v>45323</v>
      </c>
      <c r="C448" s="1" t="n">
        <v>45880</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60848-2022</t>
        </is>
      </c>
      <c r="B449" s="1" t="n">
        <v>44914</v>
      </c>
      <c r="C449" s="1" t="n">
        <v>45880</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26536-2022</t>
        </is>
      </c>
      <c r="B450" s="1" t="n">
        <v>44739.45496527778</v>
      </c>
      <c r="C450" s="1" t="n">
        <v>45880</v>
      </c>
      <c r="D450" t="inlineStr">
        <is>
          <t>SKÅNE LÄN</t>
        </is>
      </c>
      <c r="E450" t="inlineStr">
        <is>
          <t>HÄSSLEHOLM</t>
        </is>
      </c>
      <c r="G450" t="n">
        <v>3.1</v>
      </c>
      <c r="H450" t="n">
        <v>0</v>
      </c>
      <c r="I450" t="n">
        <v>0</v>
      </c>
      <c r="J450" t="n">
        <v>0</v>
      </c>
      <c r="K450" t="n">
        <v>0</v>
      </c>
      <c r="L450" t="n">
        <v>0</v>
      </c>
      <c r="M450" t="n">
        <v>0</v>
      </c>
      <c r="N450" t="n">
        <v>0</v>
      </c>
      <c r="O450" t="n">
        <v>0</v>
      </c>
      <c r="P450" t="n">
        <v>0</v>
      </c>
      <c r="Q450" t="n">
        <v>0</v>
      </c>
      <c r="R450" s="2" t="inlineStr"/>
    </row>
    <row r="451" ht="15" customHeight="1">
      <c r="A451" t="inlineStr">
        <is>
          <t>A 16334-2024</t>
        </is>
      </c>
      <c r="B451" s="1" t="n">
        <v>45407.54856481482</v>
      </c>
      <c r="C451" s="1" t="n">
        <v>45880</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51752-2023</t>
        </is>
      </c>
      <c r="B452" s="1" t="n">
        <v>45222</v>
      </c>
      <c r="C452" s="1" t="n">
        <v>45880</v>
      </c>
      <c r="D452" t="inlineStr">
        <is>
          <t>SKÅNE LÄN</t>
        </is>
      </c>
      <c r="E452" t="inlineStr">
        <is>
          <t>HÄSSLEHOLM</t>
        </is>
      </c>
      <c r="G452" t="n">
        <v>1.8</v>
      </c>
      <c r="H452" t="n">
        <v>0</v>
      </c>
      <c r="I452" t="n">
        <v>0</v>
      </c>
      <c r="J452" t="n">
        <v>0</v>
      </c>
      <c r="K452" t="n">
        <v>0</v>
      </c>
      <c r="L452" t="n">
        <v>0</v>
      </c>
      <c r="M452" t="n">
        <v>0</v>
      </c>
      <c r="N452" t="n">
        <v>0</v>
      </c>
      <c r="O452" t="n">
        <v>0</v>
      </c>
      <c r="P452" t="n">
        <v>0</v>
      </c>
      <c r="Q452" t="n">
        <v>0</v>
      </c>
      <c r="R452" s="2" t="inlineStr"/>
    </row>
    <row r="453" ht="15" customHeight="1">
      <c r="A453" t="inlineStr">
        <is>
          <t>A 57649-2022</t>
        </is>
      </c>
      <c r="B453" s="1" t="n">
        <v>44897.42755787037</v>
      </c>
      <c r="C453" s="1" t="n">
        <v>45880</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57665-2022</t>
        </is>
      </c>
      <c r="B454" s="1" t="n">
        <v>44897.4494212963</v>
      </c>
      <c r="C454" s="1" t="n">
        <v>45880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57676-2022</t>
        </is>
      </c>
      <c r="B455" s="1" t="n">
        <v>44897</v>
      </c>
      <c r="C455" s="1" t="n">
        <v>45880</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54671-2022</t>
        </is>
      </c>
      <c r="B456" s="1" t="n">
        <v>44883</v>
      </c>
      <c r="C456" s="1" t="n">
        <v>45880</v>
      </c>
      <c r="D456" t="inlineStr">
        <is>
          <t>SKÅNE LÄN</t>
        </is>
      </c>
      <c r="E456" t="inlineStr">
        <is>
          <t>HÄSSLEHOLM</t>
        </is>
      </c>
      <c r="G456" t="n">
        <v>1.4</v>
      </c>
      <c r="H456" t="n">
        <v>0</v>
      </c>
      <c r="I456" t="n">
        <v>0</v>
      </c>
      <c r="J456" t="n">
        <v>0</v>
      </c>
      <c r="K456" t="n">
        <v>0</v>
      </c>
      <c r="L456" t="n">
        <v>0</v>
      </c>
      <c r="M456" t="n">
        <v>0</v>
      </c>
      <c r="N456" t="n">
        <v>0</v>
      </c>
      <c r="O456" t="n">
        <v>0</v>
      </c>
      <c r="P456" t="n">
        <v>0</v>
      </c>
      <c r="Q456" t="n">
        <v>0</v>
      </c>
      <c r="R456" s="2" t="inlineStr"/>
    </row>
    <row r="457" ht="15" customHeight="1">
      <c r="A457" t="inlineStr">
        <is>
          <t>A 41873-2023</t>
        </is>
      </c>
      <c r="B457" s="1" t="n">
        <v>45176</v>
      </c>
      <c r="C457" s="1" t="n">
        <v>45880</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60973-2024</t>
        </is>
      </c>
      <c r="B458" s="1" t="n">
        <v>45644</v>
      </c>
      <c r="C458" s="1" t="n">
        <v>45880</v>
      </c>
      <c r="D458" t="inlineStr">
        <is>
          <t>SKÅNE LÄN</t>
        </is>
      </c>
      <c r="E458" t="inlineStr">
        <is>
          <t>HÄSSLEHOLM</t>
        </is>
      </c>
      <c r="G458" t="n">
        <v>3.6</v>
      </c>
      <c r="H458" t="n">
        <v>0</v>
      </c>
      <c r="I458" t="n">
        <v>0</v>
      </c>
      <c r="J458" t="n">
        <v>0</v>
      </c>
      <c r="K458" t="n">
        <v>0</v>
      </c>
      <c r="L458" t="n">
        <v>0</v>
      </c>
      <c r="M458" t="n">
        <v>0</v>
      </c>
      <c r="N458" t="n">
        <v>0</v>
      </c>
      <c r="O458" t="n">
        <v>0</v>
      </c>
      <c r="P458" t="n">
        <v>0</v>
      </c>
      <c r="Q458" t="n">
        <v>0</v>
      </c>
      <c r="R458" s="2" t="inlineStr"/>
    </row>
    <row r="459" ht="15" customHeight="1">
      <c r="A459" t="inlineStr">
        <is>
          <t>A 38228-2021</t>
        </is>
      </c>
      <c r="B459" s="1" t="n">
        <v>44405</v>
      </c>
      <c r="C459" s="1" t="n">
        <v>45880</v>
      </c>
      <c r="D459" t="inlineStr">
        <is>
          <t>SKÅNE LÄN</t>
        </is>
      </c>
      <c r="E459" t="inlineStr">
        <is>
          <t>HÄSSLEHOLM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53887-2023</t>
        </is>
      </c>
      <c r="B460" s="1" t="n">
        <v>45231.52675925926</v>
      </c>
      <c r="C460" s="1" t="n">
        <v>45880</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49167-2022</t>
        </is>
      </c>
      <c r="B461" s="1" t="n">
        <v>44860</v>
      </c>
      <c r="C461" s="1" t="n">
        <v>45880</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28071-2023</t>
        </is>
      </c>
      <c r="B462" s="1" t="n">
        <v>45099.37755787037</v>
      </c>
      <c r="C462" s="1" t="n">
        <v>45880</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3507-2024</t>
        </is>
      </c>
      <c r="B463" s="1" t="n">
        <v>45320.4906712963</v>
      </c>
      <c r="C463" s="1" t="n">
        <v>45880</v>
      </c>
      <c r="D463" t="inlineStr">
        <is>
          <t>SKÅNE LÄN</t>
        </is>
      </c>
      <c r="E463" t="inlineStr">
        <is>
          <t>HÄSSLEHOLM</t>
        </is>
      </c>
      <c r="G463" t="n">
        <v>6.4</v>
      </c>
      <c r="H463" t="n">
        <v>0</v>
      </c>
      <c r="I463" t="n">
        <v>0</v>
      </c>
      <c r="J463" t="n">
        <v>0</v>
      </c>
      <c r="K463" t="n">
        <v>0</v>
      </c>
      <c r="L463" t="n">
        <v>0</v>
      </c>
      <c r="M463" t="n">
        <v>0</v>
      </c>
      <c r="N463" t="n">
        <v>0</v>
      </c>
      <c r="O463" t="n">
        <v>0</v>
      </c>
      <c r="P463" t="n">
        <v>0</v>
      </c>
      <c r="Q463" t="n">
        <v>0</v>
      </c>
      <c r="R463" s="2" t="inlineStr"/>
    </row>
    <row r="464" ht="15" customHeight="1">
      <c r="A464" t="inlineStr">
        <is>
          <t>A 4119-2024</t>
        </is>
      </c>
      <c r="B464" s="1" t="n">
        <v>45323.67920138889</v>
      </c>
      <c r="C464" s="1" t="n">
        <v>45880</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14655-2025</t>
        </is>
      </c>
      <c r="B465" s="1" t="n">
        <v>45742.5072337963</v>
      </c>
      <c r="C465" s="1" t="n">
        <v>45880</v>
      </c>
      <c r="D465" t="inlineStr">
        <is>
          <t>SKÅNE LÄN</t>
        </is>
      </c>
      <c r="E465" t="inlineStr">
        <is>
          <t>HÄSSLEHOLM</t>
        </is>
      </c>
      <c r="G465" t="n">
        <v>4.5</v>
      </c>
      <c r="H465" t="n">
        <v>0</v>
      </c>
      <c r="I465" t="n">
        <v>0</v>
      </c>
      <c r="J465" t="n">
        <v>0</v>
      </c>
      <c r="K465" t="n">
        <v>0</v>
      </c>
      <c r="L465" t="n">
        <v>0</v>
      </c>
      <c r="M465" t="n">
        <v>0</v>
      </c>
      <c r="N465" t="n">
        <v>0</v>
      </c>
      <c r="O465" t="n">
        <v>0</v>
      </c>
      <c r="P465" t="n">
        <v>0</v>
      </c>
      <c r="Q465" t="n">
        <v>0</v>
      </c>
      <c r="R465" s="2" t="inlineStr"/>
    </row>
    <row r="466" ht="15" customHeight="1">
      <c r="A466" t="inlineStr">
        <is>
          <t>A 48877-2024</t>
        </is>
      </c>
      <c r="B466" s="1" t="n">
        <v>45594.31729166667</v>
      </c>
      <c r="C466" s="1" t="n">
        <v>45880</v>
      </c>
      <c r="D466" t="inlineStr">
        <is>
          <t>SKÅNE LÄN</t>
        </is>
      </c>
      <c r="E466" t="inlineStr">
        <is>
          <t>HÄSSLEHOLM</t>
        </is>
      </c>
      <c r="G466" t="n">
        <v>1.8</v>
      </c>
      <c r="H466" t="n">
        <v>0</v>
      </c>
      <c r="I466" t="n">
        <v>0</v>
      </c>
      <c r="J466" t="n">
        <v>0</v>
      </c>
      <c r="K466" t="n">
        <v>0</v>
      </c>
      <c r="L466" t="n">
        <v>0</v>
      </c>
      <c r="M466" t="n">
        <v>0</v>
      </c>
      <c r="N466" t="n">
        <v>0</v>
      </c>
      <c r="O466" t="n">
        <v>0</v>
      </c>
      <c r="P466" t="n">
        <v>0</v>
      </c>
      <c r="Q466" t="n">
        <v>0</v>
      </c>
      <c r="R466" s="2" t="inlineStr"/>
    </row>
    <row r="467" ht="15" customHeight="1">
      <c r="A467" t="inlineStr">
        <is>
          <t>A 47647-2024</t>
        </is>
      </c>
      <c r="B467" s="1" t="n">
        <v>45588</v>
      </c>
      <c r="C467" s="1" t="n">
        <v>45880</v>
      </c>
      <c r="D467" t="inlineStr">
        <is>
          <t>SKÅNE LÄN</t>
        </is>
      </c>
      <c r="E467" t="inlineStr">
        <is>
          <t>HÄSSLEHOLM</t>
        </is>
      </c>
      <c r="G467" t="n">
        <v>6.5</v>
      </c>
      <c r="H467" t="n">
        <v>0</v>
      </c>
      <c r="I467" t="n">
        <v>0</v>
      </c>
      <c r="J467" t="n">
        <v>0</v>
      </c>
      <c r="K467" t="n">
        <v>0</v>
      </c>
      <c r="L467" t="n">
        <v>0</v>
      </c>
      <c r="M467" t="n">
        <v>0</v>
      </c>
      <c r="N467" t="n">
        <v>0</v>
      </c>
      <c r="O467" t="n">
        <v>0</v>
      </c>
      <c r="P467" t="n">
        <v>0</v>
      </c>
      <c r="Q467" t="n">
        <v>0</v>
      </c>
      <c r="R467" s="2" t="inlineStr"/>
    </row>
    <row r="468" ht="15" customHeight="1">
      <c r="A468" t="inlineStr">
        <is>
          <t>A 1619-2022</t>
        </is>
      </c>
      <c r="B468" s="1" t="n">
        <v>44573</v>
      </c>
      <c r="C468" s="1" t="n">
        <v>45880</v>
      </c>
      <c r="D468" t="inlineStr">
        <is>
          <t>SKÅNE LÄN</t>
        </is>
      </c>
      <c r="E468" t="inlineStr">
        <is>
          <t>HÄSSLEHOLM</t>
        </is>
      </c>
      <c r="G468" t="n">
        <v>1.8</v>
      </c>
      <c r="H468" t="n">
        <v>0</v>
      </c>
      <c r="I468" t="n">
        <v>0</v>
      </c>
      <c r="J468" t="n">
        <v>0</v>
      </c>
      <c r="K468" t="n">
        <v>0</v>
      </c>
      <c r="L468" t="n">
        <v>0</v>
      </c>
      <c r="M468" t="n">
        <v>0</v>
      </c>
      <c r="N468" t="n">
        <v>0</v>
      </c>
      <c r="O468" t="n">
        <v>0</v>
      </c>
      <c r="P468" t="n">
        <v>0</v>
      </c>
      <c r="Q468" t="n">
        <v>0</v>
      </c>
      <c r="R468" s="2" t="inlineStr"/>
    </row>
    <row r="469" ht="15" customHeight="1">
      <c r="A469" t="inlineStr">
        <is>
          <t>A 59763-2022</t>
        </is>
      </c>
      <c r="B469" s="1" t="n">
        <v>44900</v>
      </c>
      <c r="C469" s="1" t="n">
        <v>45880</v>
      </c>
      <c r="D469" t="inlineStr">
        <is>
          <t>SKÅNE LÄN</t>
        </is>
      </c>
      <c r="E469" t="inlineStr">
        <is>
          <t>HÄSSLEHOLM</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20800-2023</t>
        </is>
      </c>
      <c r="B470" s="1" t="n">
        <v>45058.61640046296</v>
      </c>
      <c r="C470" s="1" t="n">
        <v>45880</v>
      </c>
      <c r="D470" t="inlineStr">
        <is>
          <t>SKÅNE LÄN</t>
        </is>
      </c>
      <c r="E470" t="inlineStr">
        <is>
          <t>HÄSSLEHOLM</t>
        </is>
      </c>
      <c r="G470" t="n">
        <v>0.4</v>
      </c>
      <c r="H470" t="n">
        <v>0</v>
      </c>
      <c r="I470" t="n">
        <v>0</v>
      </c>
      <c r="J470" t="n">
        <v>0</v>
      </c>
      <c r="K470" t="n">
        <v>0</v>
      </c>
      <c r="L470" t="n">
        <v>0</v>
      </c>
      <c r="M470" t="n">
        <v>0</v>
      </c>
      <c r="N470" t="n">
        <v>0</v>
      </c>
      <c r="O470" t="n">
        <v>0</v>
      </c>
      <c r="P470" t="n">
        <v>0</v>
      </c>
      <c r="Q470" t="n">
        <v>0</v>
      </c>
      <c r="R470" s="2" t="inlineStr"/>
    </row>
    <row r="471" ht="15" customHeight="1">
      <c r="A471" t="inlineStr">
        <is>
          <t>A 49219-2024</t>
        </is>
      </c>
      <c r="B471" s="1" t="n">
        <v>45595.40923611111</v>
      </c>
      <c r="C471" s="1" t="n">
        <v>45880</v>
      </c>
      <c r="D471" t="inlineStr">
        <is>
          <t>SKÅNE LÄN</t>
        </is>
      </c>
      <c r="E471" t="inlineStr">
        <is>
          <t>HÄSSLEHOLM</t>
        </is>
      </c>
      <c r="G471" t="n">
        <v>1.8</v>
      </c>
      <c r="H471" t="n">
        <v>0</v>
      </c>
      <c r="I471" t="n">
        <v>0</v>
      </c>
      <c r="J471" t="n">
        <v>0</v>
      </c>
      <c r="K471" t="n">
        <v>0</v>
      </c>
      <c r="L471" t="n">
        <v>0</v>
      </c>
      <c r="M471" t="n">
        <v>0</v>
      </c>
      <c r="N471" t="n">
        <v>0</v>
      </c>
      <c r="O471" t="n">
        <v>0</v>
      </c>
      <c r="P471" t="n">
        <v>0</v>
      </c>
      <c r="Q471" t="n">
        <v>0</v>
      </c>
      <c r="R471" s="2" t="inlineStr"/>
    </row>
    <row r="472" ht="15" customHeight="1">
      <c r="A472" t="inlineStr">
        <is>
          <t>A 43061-2024</t>
        </is>
      </c>
      <c r="B472" s="1" t="n">
        <v>45567</v>
      </c>
      <c r="C472" s="1" t="n">
        <v>45880</v>
      </c>
      <c r="D472" t="inlineStr">
        <is>
          <t>SKÅNE LÄN</t>
        </is>
      </c>
      <c r="E472" t="inlineStr">
        <is>
          <t>HÄSSLEHOLM</t>
        </is>
      </c>
      <c r="G472" t="n">
        <v>4.5</v>
      </c>
      <c r="H472" t="n">
        <v>0</v>
      </c>
      <c r="I472" t="n">
        <v>0</v>
      </c>
      <c r="J472" t="n">
        <v>0</v>
      </c>
      <c r="K472" t="n">
        <v>0</v>
      </c>
      <c r="L472" t="n">
        <v>0</v>
      </c>
      <c r="M472" t="n">
        <v>0</v>
      </c>
      <c r="N472" t="n">
        <v>0</v>
      </c>
      <c r="O472" t="n">
        <v>0</v>
      </c>
      <c r="P472" t="n">
        <v>0</v>
      </c>
      <c r="Q472" t="n">
        <v>0</v>
      </c>
      <c r="R472" s="2" t="inlineStr"/>
    </row>
    <row r="473" ht="15" customHeight="1">
      <c r="A473" t="inlineStr">
        <is>
          <t>A 7152-2025</t>
        </is>
      </c>
      <c r="B473" s="1" t="n">
        <v>45702.3837037037</v>
      </c>
      <c r="C473" s="1" t="n">
        <v>45880</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7160-2025</t>
        </is>
      </c>
      <c r="B474" s="1" t="n">
        <v>45702.3875462963</v>
      </c>
      <c r="C474" s="1" t="n">
        <v>45880</v>
      </c>
      <c r="D474" t="inlineStr">
        <is>
          <t>SKÅNE LÄN</t>
        </is>
      </c>
      <c r="E474" t="inlineStr">
        <is>
          <t>HÄSSLEHOLM</t>
        </is>
      </c>
      <c r="G474" t="n">
        <v>2.5</v>
      </c>
      <c r="H474" t="n">
        <v>0</v>
      </c>
      <c r="I474" t="n">
        <v>0</v>
      </c>
      <c r="J474" t="n">
        <v>0</v>
      </c>
      <c r="K474" t="n">
        <v>0</v>
      </c>
      <c r="L474" t="n">
        <v>0</v>
      </c>
      <c r="M474" t="n">
        <v>0</v>
      </c>
      <c r="N474" t="n">
        <v>0</v>
      </c>
      <c r="O474" t="n">
        <v>0</v>
      </c>
      <c r="P474" t="n">
        <v>0</v>
      </c>
      <c r="Q474" t="n">
        <v>0</v>
      </c>
      <c r="R474" s="2" t="inlineStr"/>
    </row>
    <row r="475" ht="15" customHeight="1">
      <c r="A475" t="inlineStr">
        <is>
          <t>A 21328-2023</t>
        </is>
      </c>
      <c r="B475" s="1" t="n">
        <v>45062</v>
      </c>
      <c r="C475" s="1" t="n">
        <v>45880</v>
      </c>
      <c r="D475" t="inlineStr">
        <is>
          <t>SKÅNE LÄN</t>
        </is>
      </c>
      <c r="E475" t="inlineStr">
        <is>
          <t>HÄSSLEHOLM</t>
        </is>
      </c>
      <c r="G475" t="n">
        <v>2.1</v>
      </c>
      <c r="H475" t="n">
        <v>0</v>
      </c>
      <c r="I475" t="n">
        <v>0</v>
      </c>
      <c r="J475" t="n">
        <v>0</v>
      </c>
      <c r="K475" t="n">
        <v>0</v>
      </c>
      <c r="L475" t="n">
        <v>0</v>
      </c>
      <c r="M475" t="n">
        <v>0</v>
      </c>
      <c r="N475" t="n">
        <v>0</v>
      </c>
      <c r="O475" t="n">
        <v>0</v>
      </c>
      <c r="P475" t="n">
        <v>0</v>
      </c>
      <c r="Q475" t="n">
        <v>0</v>
      </c>
      <c r="R475" s="2" t="inlineStr"/>
    </row>
    <row r="476" ht="15" customHeight="1">
      <c r="A476" t="inlineStr">
        <is>
          <t>A 14939-2023</t>
        </is>
      </c>
      <c r="B476" s="1" t="n">
        <v>45014</v>
      </c>
      <c r="C476" s="1" t="n">
        <v>45880</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10277-2023</t>
        </is>
      </c>
      <c r="B477" s="1" t="n">
        <v>44986</v>
      </c>
      <c r="C477" s="1" t="n">
        <v>45880</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10290-2023</t>
        </is>
      </c>
      <c r="B478" s="1" t="n">
        <v>44986</v>
      </c>
      <c r="C478" s="1" t="n">
        <v>45880</v>
      </c>
      <c r="D478" t="inlineStr">
        <is>
          <t>SKÅNE LÄN</t>
        </is>
      </c>
      <c r="E478" t="inlineStr">
        <is>
          <t>HÄSSLEHOLM</t>
        </is>
      </c>
      <c r="G478" t="n">
        <v>1</v>
      </c>
      <c r="H478" t="n">
        <v>0</v>
      </c>
      <c r="I478" t="n">
        <v>0</v>
      </c>
      <c r="J478" t="n">
        <v>0</v>
      </c>
      <c r="K478" t="n">
        <v>0</v>
      </c>
      <c r="L478" t="n">
        <v>0</v>
      </c>
      <c r="M478" t="n">
        <v>0</v>
      </c>
      <c r="N478" t="n">
        <v>0</v>
      </c>
      <c r="O478" t="n">
        <v>0</v>
      </c>
      <c r="P478" t="n">
        <v>0</v>
      </c>
      <c r="Q478" t="n">
        <v>0</v>
      </c>
      <c r="R478" s="2" t="inlineStr"/>
    </row>
    <row r="479" ht="15" customHeight="1">
      <c r="A479" t="inlineStr">
        <is>
          <t>A 16024-2025</t>
        </is>
      </c>
      <c r="B479" s="1" t="n">
        <v>45749.61296296296</v>
      </c>
      <c r="C479" s="1" t="n">
        <v>45880</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6619-2024</t>
        </is>
      </c>
      <c r="B480" s="1" t="n">
        <v>45341.6021412037</v>
      </c>
      <c r="C480" s="1" t="n">
        <v>45880</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15104-2023</t>
        </is>
      </c>
      <c r="B481" s="1" t="n">
        <v>45016.40576388889</v>
      </c>
      <c r="C481" s="1" t="n">
        <v>45880</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20666-2023</t>
        </is>
      </c>
      <c r="B482" s="1" t="n">
        <v>45058.35664351852</v>
      </c>
      <c r="C482" s="1" t="n">
        <v>45880</v>
      </c>
      <c r="D482" t="inlineStr">
        <is>
          <t>SKÅNE LÄN</t>
        </is>
      </c>
      <c r="E482" t="inlineStr">
        <is>
          <t>HÄSSLEHOLM</t>
        </is>
      </c>
      <c r="F482" t="inlineStr">
        <is>
          <t>Kyrkan</t>
        </is>
      </c>
      <c r="G482" t="n">
        <v>1.3</v>
      </c>
      <c r="H482" t="n">
        <v>0</v>
      </c>
      <c r="I482" t="n">
        <v>0</v>
      </c>
      <c r="J482" t="n">
        <v>0</v>
      </c>
      <c r="K482" t="n">
        <v>0</v>
      </c>
      <c r="L482" t="n">
        <v>0</v>
      </c>
      <c r="M482" t="n">
        <v>0</v>
      </c>
      <c r="N482" t="n">
        <v>0</v>
      </c>
      <c r="O482" t="n">
        <v>0</v>
      </c>
      <c r="P482" t="n">
        <v>0</v>
      </c>
      <c r="Q482" t="n">
        <v>0</v>
      </c>
      <c r="R482" s="2" t="inlineStr"/>
    </row>
    <row r="483" ht="15" customHeight="1">
      <c r="A483" t="inlineStr">
        <is>
          <t>A 66321-2021</t>
        </is>
      </c>
      <c r="B483" s="1" t="n">
        <v>44518</v>
      </c>
      <c r="C483" s="1" t="n">
        <v>45880</v>
      </c>
      <c r="D483" t="inlineStr">
        <is>
          <t>SKÅNE LÄN</t>
        </is>
      </c>
      <c r="E483" t="inlineStr">
        <is>
          <t>HÄSSLEHOLM</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21494-2023</t>
        </is>
      </c>
      <c r="B484" s="1" t="n">
        <v>45063</v>
      </c>
      <c r="C484" s="1" t="n">
        <v>45880</v>
      </c>
      <c r="D484" t="inlineStr">
        <is>
          <t>SKÅNE LÄN</t>
        </is>
      </c>
      <c r="E484" t="inlineStr">
        <is>
          <t>HÄSSLEHOLM</t>
        </is>
      </c>
      <c r="G484" t="n">
        <v>3.7</v>
      </c>
      <c r="H484" t="n">
        <v>0</v>
      </c>
      <c r="I484" t="n">
        <v>0</v>
      </c>
      <c r="J484" t="n">
        <v>0</v>
      </c>
      <c r="K484" t="n">
        <v>0</v>
      </c>
      <c r="L484" t="n">
        <v>0</v>
      </c>
      <c r="M484" t="n">
        <v>0</v>
      </c>
      <c r="N484" t="n">
        <v>0</v>
      </c>
      <c r="O484" t="n">
        <v>0</v>
      </c>
      <c r="P484" t="n">
        <v>0</v>
      </c>
      <c r="Q484" t="n">
        <v>0</v>
      </c>
      <c r="R484" s="2" t="inlineStr"/>
    </row>
    <row r="485" ht="15" customHeight="1">
      <c r="A485" t="inlineStr">
        <is>
          <t>A 21495-2023</t>
        </is>
      </c>
      <c r="B485" s="1" t="n">
        <v>45063</v>
      </c>
      <c r="C485" s="1" t="n">
        <v>45880</v>
      </c>
      <c r="D485" t="inlineStr">
        <is>
          <t>SKÅNE LÄN</t>
        </is>
      </c>
      <c r="E485" t="inlineStr">
        <is>
          <t>HÄSSLEHOLM</t>
        </is>
      </c>
      <c r="G485" t="n">
        <v>1.2</v>
      </c>
      <c r="H485" t="n">
        <v>0</v>
      </c>
      <c r="I485" t="n">
        <v>0</v>
      </c>
      <c r="J485" t="n">
        <v>0</v>
      </c>
      <c r="K485" t="n">
        <v>0</v>
      </c>
      <c r="L485" t="n">
        <v>0</v>
      </c>
      <c r="M485" t="n">
        <v>0</v>
      </c>
      <c r="N485" t="n">
        <v>0</v>
      </c>
      <c r="O485" t="n">
        <v>0</v>
      </c>
      <c r="P485" t="n">
        <v>0</v>
      </c>
      <c r="Q485" t="n">
        <v>0</v>
      </c>
      <c r="R485" s="2" t="inlineStr"/>
    </row>
    <row r="486" ht="15" customHeight="1">
      <c r="A486" t="inlineStr">
        <is>
          <t>A 19593-2023</t>
        </is>
      </c>
      <c r="B486" s="1" t="n">
        <v>45050.75895833333</v>
      </c>
      <c r="C486" s="1" t="n">
        <v>45880</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40739-2024</t>
        </is>
      </c>
      <c r="B487" s="1" t="n">
        <v>45558</v>
      </c>
      <c r="C487" s="1" t="n">
        <v>45880</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7494-2023</t>
        </is>
      </c>
      <c r="B488" s="1" t="n">
        <v>44971.70835648148</v>
      </c>
      <c r="C488" s="1" t="n">
        <v>45880</v>
      </c>
      <c r="D488" t="inlineStr">
        <is>
          <t>SKÅNE LÄN</t>
        </is>
      </c>
      <c r="E488" t="inlineStr">
        <is>
          <t>HÄSSLEHOLM</t>
        </is>
      </c>
      <c r="G488" t="n">
        <v>0.9</v>
      </c>
      <c r="H488" t="n">
        <v>0</v>
      </c>
      <c r="I488" t="n">
        <v>0</v>
      </c>
      <c r="J488" t="n">
        <v>0</v>
      </c>
      <c r="K488" t="n">
        <v>0</v>
      </c>
      <c r="L488" t="n">
        <v>0</v>
      </c>
      <c r="M488" t="n">
        <v>0</v>
      </c>
      <c r="N488" t="n">
        <v>0</v>
      </c>
      <c r="O488" t="n">
        <v>0</v>
      </c>
      <c r="P488" t="n">
        <v>0</v>
      </c>
      <c r="Q488" t="n">
        <v>0</v>
      </c>
      <c r="R488" s="2" t="inlineStr"/>
    </row>
    <row r="489" ht="15" customHeight="1">
      <c r="A489" t="inlineStr">
        <is>
          <t>A 6087-2025</t>
        </is>
      </c>
      <c r="B489" s="1" t="n">
        <v>45697.69782407407</v>
      </c>
      <c r="C489" s="1" t="n">
        <v>45880</v>
      </c>
      <c r="D489" t="inlineStr">
        <is>
          <t>SKÅNE LÄN</t>
        </is>
      </c>
      <c r="E489" t="inlineStr">
        <is>
          <t>HÄSSLEHOLM</t>
        </is>
      </c>
      <c r="G489" t="n">
        <v>1.4</v>
      </c>
      <c r="H489" t="n">
        <v>0</v>
      </c>
      <c r="I489" t="n">
        <v>0</v>
      </c>
      <c r="J489" t="n">
        <v>0</v>
      </c>
      <c r="K489" t="n">
        <v>0</v>
      </c>
      <c r="L489" t="n">
        <v>0</v>
      </c>
      <c r="M489" t="n">
        <v>0</v>
      </c>
      <c r="N489" t="n">
        <v>0</v>
      </c>
      <c r="O489" t="n">
        <v>0</v>
      </c>
      <c r="P489" t="n">
        <v>0</v>
      </c>
      <c r="Q489" t="n">
        <v>0</v>
      </c>
      <c r="R489" s="2" t="inlineStr"/>
    </row>
    <row r="490" ht="15" customHeight="1">
      <c r="A490" t="inlineStr">
        <is>
          <t>A 25323-2024</t>
        </is>
      </c>
      <c r="B490" s="1" t="n">
        <v>45462.79613425926</v>
      </c>
      <c r="C490" s="1" t="n">
        <v>45880</v>
      </c>
      <c r="D490" t="inlineStr">
        <is>
          <t>SKÅNE LÄN</t>
        </is>
      </c>
      <c r="E490" t="inlineStr">
        <is>
          <t>HÄSSLEHOLM</t>
        </is>
      </c>
      <c r="G490" t="n">
        <v>6.1</v>
      </c>
      <c r="H490" t="n">
        <v>0</v>
      </c>
      <c r="I490" t="n">
        <v>0</v>
      </c>
      <c r="J490" t="n">
        <v>0</v>
      </c>
      <c r="K490" t="n">
        <v>0</v>
      </c>
      <c r="L490" t="n">
        <v>0</v>
      </c>
      <c r="M490" t="n">
        <v>0</v>
      </c>
      <c r="N490" t="n">
        <v>0</v>
      </c>
      <c r="O490" t="n">
        <v>0</v>
      </c>
      <c r="P490" t="n">
        <v>0</v>
      </c>
      <c r="Q490" t="n">
        <v>0</v>
      </c>
      <c r="R490" s="2" t="inlineStr"/>
    </row>
    <row r="491" ht="15" customHeight="1">
      <c r="A491" t="inlineStr">
        <is>
          <t>A 50571-2023</t>
        </is>
      </c>
      <c r="B491" s="1" t="n">
        <v>45217.38359953704</v>
      </c>
      <c r="C491" s="1" t="n">
        <v>45880</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64884-2023</t>
        </is>
      </c>
      <c r="B492" s="1" t="n">
        <v>45282.57809027778</v>
      </c>
      <c r="C492" s="1" t="n">
        <v>45880</v>
      </c>
      <c r="D492" t="inlineStr">
        <is>
          <t>SKÅNE LÄN</t>
        </is>
      </c>
      <c r="E492" t="inlineStr">
        <is>
          <t>HÄSSLEHOLM</t>
        </is>
      </c>
      <c r="G492" t="n">
        <v>4.6</v>
      </c>
      <c r="H492" t="n">
        <v>0</v>
      </c>
      <c r="I492" t="n">
        <v>0</v>
      </c>
      <c r="J492" t="n">
        <v>0</v>
      </c>
      <c r="K492" t="n">
        <v>0</v>
      </c>
      <c r="L492" t="n">
        <v>0</v>
      </c>
      <c r="M492" t="n">
        <v>0</v>
      </c>
      <c r="N492" t="n">
        <v>0</v>
      </c>
      <c r="O492" t="n">
        <v>0</v>
      </c>
      <c r="P492" t="n">
        <v>0</v>
      </c>
      <c r="Q492" t="n">
        <v>0</v>
      </c>
      <c r="R492" s="2" t="inlineStr"/>
    </row>
    <row r="493" ht="15" customHeight="1">
      <c r="A493" t="inlineStr">
        <is>
          <t>A 22140-2023</t>
        </is>
      </c>
      <c r="B493" s="1" t="n">
        <v>45065</v>
      </c>
      <c r="C493" s="1" t="n">
        <v>45880</v>
      </c>
      <c r="D493" t="inlineStr">
        <is>
          <t>SKÅNE LÄN</t>
        </is>
      </c>
      <c r="E493" t="inlineStr">
        <is>
          <t>HÄSSLEHOLM</t>
        </is>
      </c>
      <c r="G493" t="n">
        <v>6.7</v>
      </c>
      <c r="H493" t="n">
        <v>0</v>
      </c>
      <c r="I493" t="n">
        <v>0</v>
      </c>
      <c r="J493" t="n">
        <v>0</v>
      </c>
      <c r="K493" t="n">
        <v>0</v>
      </c>
      <c r="L493" t="n">
        <v>0</v>
      </c>
      <c r="M493" t="n">
        <v>0</v>
      </c>
      <c r="N493" t="n">
        <v>0</v>
      </c>
      <c r="O493" t="n">
        <v>0</v>
      </c>
      <c r="P493" t="n">
        <v>0</v>
      </c>
      <c r="Q493" t="n">
        <v>0</v>
      </c>
      <c r="R493" s="2" t="inlineStr"/>
    </row>
    <row r="494" ht="15" customHeight="1">
      <c r="A494" t="inlineStr">
        <is>
          <t>A 22132-2024</t>
        </is>
      </c>
      <c r="B494" s="1" t="n">
        <v>45444.37234953704</v>
      </c>
      <c r="C494" s="1" t="n">
        <v>45880</v>
      </c>
      <c r="D494" t="inlineStr">
        <is>
          <t>SKÅNE LÄN</t>
        </is>
      </c>
      <c r="E494" t="inlineStr">
        <is>
          <t>HÄSSLEHOLM</t>
        </is>
      </c>
      <c r="G494" t="n">
        <v>3.1</v>
      </c>
      <c r="H494" t="n">
        <v>0</v>
      </c>
      <c r="I494" t="n">
        <v>0</v>
      </c>
      <c r="J494" t="n">
        <v>0</v>
      </c>
      <c r="K494" t="n">
        <v>0</v>
      </c>
      <c r="L494" t="n">
        <v>0</v>
      </c>
      <c r="M494" t="n">
        <v>0</v>
      </c>
      <c r="N494" t="n">
        <v>0</v>
      </c>
      <c r="O494" t="n">
        <v>0</v>
      </c>
      <c r="P494" t="n">
        <v>0</v>
      </c>
      <c r="Q494" t="n">
        <v>0</v>
      </c>
      <c r="R494" s="2" t="inlineStr"/>
    </row>
    <row r="495" ht="15" customHeight="1">
      <c r="A495" t="inlineStr">
        <is>
          <t>A 54171-2022</t>
        </is>
      </c>
      <c r="B495" s="1" t="n">
        <v>44881</v>
      </c>
      <c r="C495" s="1" t="n">
        <v>45880</v>
      </c>
      <c r="D495" t="inlineStr">
        <is>
          <t>SKÅNE LÄN</t>
        </is>
      </c>
      <c r="E495" t="inlineStr">
        <is>
          <t>HÄSSLEHOLM</t>
        </is>
      </c>
      <c r="G495" t="n">
        <v>0.5</v>
      </c>
      <c r="H495" t="n">
        <v>0</v>
      </c>
      <c r="I495" t="n">
        <v>0</v>
      </c>
      <c r="J495" t="n">
        <v>0</v>
      </c>
      <c r="K495" t="n">
        <v>0</v>
      </c>
      <c r="L495" t="n">
        <v>0</v>
      </c>
      <c r="M495" t="n">
        <v>0</v>
      </c>
      <c r="N495" t="n">
        <v>0</v>
      </c>
      <c r="O495" t="n">
        <v>0</v>
      </c>
      <c r="P495" t="n">
        <v>0</v>
      </c>
      <c r="Q495" t="n">
        <v>0</v>
      </c>
      <c r="R495" s="2" t="inlineStr"/>
    </row>
    <row r="496" ht="15" customHeight="1">
      <c r="A496" t="inlineStr">
        <is>
          <t>A 31944-2023</t>
        </is>
      </c>
      <c r="B496" s="1" t="n">
        <v>45119.34895833334</v>
      </c>
      <c r="C496" s="1" t="n">
        <v>45880</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7890-2024</t>
        </is>
      </c>
      <c r="B497" s="1" t="n">
        <v>45350.40780092592</v>
      </c>
      <c r="C497" s="1" t="n">
        <v>45880</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31946-2023</t>
        </is>
      </c>
      <c r="B498" s="1" t="n">
        <v>45119.35158564815</v>
      </c>
      <c r="C498" s="1" t="n">
        <v>45880</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8755-2024</t>
        </is>
      </c>
      <c r="B499" s="1" t="n">
        <v>45356</v>
      </c>
      <c r="C499" s="1" t="n">
        <v>45880</v>
      </c>
      <c r="D499" t="inlineStr">
        <is>
          <t>SKÅNE LÄN</t>
        </is>
      </c>
      <c r="E499" t="inlineStr">
        <is>
          <t>HÄSSLEHOLM</t>
        </is>
      </c>
      <c r="G499" t="n">
        <v>1.4</v>
      </c>
      <c r="H499" t="n">
        <v>0</v>
      </c>
      <c r="I499" t="n">
        <v>0</v>
      </c>
      <c r="J499" t="n">
        <v>0</v>
      </c>
      <c r="K499" t="n">
        <v>0</v>
      </c>
      <c r="L499" t="n">
        <v>0</v>
      </c>
      <c r="M499" t="n">
        <v>0</v>
      </c>
      <c r="N499" t="n">
        <v>0</v>
      </c>
      <c r="O499" t="n">
        <v>0</v>
      </c>
      <c r="P499" t="n">
        <v>0</v>
      </c>
      <c r="Q499" t="n">
        <v>0</v>
      </c>
      <c r="R499" s="2" t="inlineStr"/>
    </row>
    <row r="500" ht="15" customHeight="1">
      <c r="A500" t="inlineStr">
        <is>
          <t>A 3245-2022</t>
        </is>
      </c>
      <c r="B500" s="1" t="n">
        <v>44583.39136574074</v>
      </c>
      <c r="C500" s="1" t="n">
        <v>45880</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18041-2023</t>
        </is>
      </c>
      <c r="B501" s="1" t="n">
        <v>45040</v>
      </c>
      <c r="C501" s="1" t="n">
        <v>45880</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31255-2024</t>
        </is>
      </c>
      <c r="B502" s="1" t="n">
        <v>45503.69114583333</v>
      </c>
      <c r="C502" s="1" t="n">
        <v>45880</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61178-2022</t>
        </is>
      </c>
      <c r="B503" s="1" t="n">
        <v>44915</v>
      </c>
      <c r="C503" s="1" t="n">
        <v>45880</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61185-2022</t>
        </is>
      </c>
      <c r="B504" s="1" t="n">
        <v>44915</v>
      </c>
      <c r="C504" s="1" t="n">
        <v>45880</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16950-2025</t>
        </is>
      </c>
      <c r="B505" s="1" t="n">
        <v>45755</v>
      </c>
      <c r="C505" s="1" t="n">
        <v>45880</v>
      </c>
      <c r="D505" t="inlineStr">
        <is>
          <t>SKÅNE LÄN</t>
        </is>
      </c>
      <c r="E505" t="inlineStr">
        <is>
          <t>HÄSSLEHOLM</t>
        </is>
      </c>
      <c r="G505" t="n">
        <v>0.7</v>
      </c>
      <c r="H505" t="n">
        <v>0</v>
      </c>
      <c r="I505" t="n">
        <v>0</v>
      </c>
      <c r="J505" t="n">
        <v>0</v>
      </c>
      <c r="K505" t="n">
        <v>0</v>
      </c>
      <c r="L505" t="n">
        <v>0</v>
      </c>
      <c r="M505" t="n">
        <v>0</v>
      </c>
      <c r="N505" t="n">
        <v>0</v>
      </c>
      <c r="O505" t="n">
        <v>0</v>
      </c>
      <c r="P505" t="n">
        <v>0</v>
      </c>
      <c r="Q505" t="n">
        <v>0</v>
      </c>
      <c r="R505" s="2" t="inlineStr"/>
    </row>
    <row r="506" ht="15" customHeight="1">
      <c r="A506" t="inlineStr">
        <is>
          <t>A 61691-2021</t>
        </is>
      </c>
      <c r="B506" s="1" t="n">
        <v>44501</v>
      </c>
      <c r="C506" s="1" t="n">
        <v>45880</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58618-2024</t>
        </is>
      </c>
      <c r="B507" s="1" t="n">
        <v>45635.56150462963</v>
      </c>
      <c r="C507" s="1" t="n">
        <v>45880</v>
      </c>
      <c r="D507" t="inlineStr">
        <is>
          <t>SKÅNE LÄN</t>
        </is>
      </c>
      <c r="E507" t="inlineStr">
        <is>
          <t>HÄSSLEHOLM</t>
        </is>
      </c>
      <c r="G507" t="n">
        <v>2.3</v>
      </c>
      <c r="H507" t="n">
        <v>0</v>
      </c>
      <c r="I507" t="n">
        <v>0</v>
      </c>
      <c r="J507" t="n">
        <v>0</v>
      </c>
      <c r="K507" t="n">
        <v>0</v>
      </c>
      <c r="L507" t="n">
        <v>0</v>
      </c>
      <c r="M507" t="n">
        <v>0</v>
      </c>
      <c r="N507" t="n">
        <v>0</v>
      </c>
      <c r="O507" t="n">
        <v>0</v>
      </c>
      <c r="P507" t="n">
        <v>0</v>
      </c>
      <c r="Q507" t="n">
        <v>0</v>
      </c>
      <c r="R507" s="2" t="inlineStr"/>
    </row>
    <row r="508" ht="15" customHeight="1">
      <c r="A508" t="inlineStr">
        <is>
          <t>A 25221-2023</t>
        </is>
      </c>
      <c r="B508" s="1" t="n">
        <v>45086.60842592592</v>
      </c>
      <c r="C508" s="1" t="n">
        <v>45880</v>
      </c>
      <c r="D508" t="inlineStr">
        <is>
          <t>SKÅNE LÄN</t>
        </is>
      </c>
      <c r="E508" t="inlineStr">
        <is>
          <t>HÄSSLEHOLM</t>
        </is>
      </c>
      <c r="G508" t="n">
        <v>2.5</v>
      </c>
      <c r="H508" t="n">
        <v>0</v>
      </c>
      <c r="I508" t="n">
        <v>0</v>
      </c>
      <c r="J508" t="n">
        <v>0</v>
      </c>
      <c r="K508" t="n">
        <v>0</v>
      </c>
      <c r="L508" t="n">
        <v>0</v>
      </c>
      <c r="M508" t="n">
        <v>0</v>
      </c>
      <c r="N508" t="n">
        <v>0</v>
      </c>
      <c r="O508" t="n">
        <v>0</v>
      </c>
      <c r="P508" t="n">
        <v>0</v>
      </c>
      <c r="Q508" t="n">
        <v>0</v>
      </c>
      <c r="R508" s="2" t="inlineStr"/>
    </row>
    <row r="509" ht="15" customHeight="1">
      <c r="A509" t="inlineStr">
        <is>
          <t>A 59390-2021</t>
        </is>
      </c>
      <c r="B509" s="1" t="n">
        <v>44490</v>
      </c>
      <c r="C509" s="1" t="n">
        <v>45880</v>
      </c>
      <c r="D509" t="inlineStr">
        <is>
          <t>SKÅNE LÄN</t>
        </is>
      </c>
      <c r="E509" t="inlineStr">
        <is>
          <t>HÄSSLEHOLM</t>
        </is>
      </c>
      <c r="G509" t="n">
        <v>7.1</v>
      </c>
      <c r="H509" t="n">
        <v>0</v>
      </c>
      <c r="I509" t="n">
        <v>0</v>
      </c>
      <c r="J509" t="n">
        <v>0</v>
      </c>
      <c r="K509" t="n">
        <v>0</v>
      </c>
      <c r="L509" t="n">
        <v>0</v>
      </c>
      <c r="M509" t="n">
        <v>0</v>
      </c>
      <c r="N509" t="n">
        <v>0</v>
      </c>
      <c r="O509" t="n">
        <v>0</v>
      </c>
      <c r="P509" t="n">
        <v>0</v>
      </c>
      <c r="Q509" t="n">
        <v>0</v>
      </c>
      <c r="R509" s="2" t="inlineStr"/>
    </row>
    <row r="510" ht="15" customHeight="1">
      <c r="A510" t="inlineStr">
        <is>
          <t>A 52337-2023</t>
        </is>
      </c>
      <c r="B510" s="1" t="n">
        <v>45224.66359953704</v>
      </c>
      <c r="C510" s="1" t="n">
        <v>45880</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4787-2023</t>
        </is>
      </c>
      <c r="B511" s="1" t="n">
        <v>44957.60079861111</v>
      </c>
      <c r="C511" s="1" t="n">
        <v>45880</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4788-2023</t>
        </is>
      </c>
      <c r="B512" s="1" t="n">
        <v>44957.60130787037</v>
      </c>
      <c r="C512" s="1" t="n">
        <v>45880</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50564-2023</t>
        </is>
      </c>
      <c r="B513" s="1" t="n">
        <v>45217.37957175926</v>
      </c>
      <c r="C513" s="1" t="n">
        <v>45880</v>
      </c>
      <c r="D513" t="inlineStr">
        <is>
          <t>SKÅNE LÄN</t>
        </is>
      </c>
      <c r="E513" t="inlineStr">
        <is>
          <t>HÄSSLEHOLM</t>
        </is>
      </c>
      <c r="G513" t="n">
        <v>1.2</v>
      </c>
      <c r="H513" t="n">
        <v>0</v>
      </c>
      <c r="I513" t="n">
        <v>0</v>
      </c>
      <c r="J513" t="n">
        <v>0</v>
      </c>
      <c r="K513" t="n">
        <v>0</v>
      </c>
      <c r="L513" t="n">
        <v>0</v>
      </c>
      <c r="M513" t="n">
        <v>0</v>
      </c>
      <c r="N513" t="n">
        <v>0</v>
      </c>
      <c r="O513" t="n">
        <v>0</v>
      </c>
      <c r="P513" t="n">
        <v>0</v>
      </c>
      <c r="Q513" t="n">
        <v>0</v>
      </c>
      <c r="R513" s="2" t="inlineStr"/>
    </row>
    <row r="514" ht="15" customHeight="1">
      <c r="A514" t="inlineStr">
        <is>
          <t>A 13084-2025</t>
        </is>
      </c>
      <c r="B514" s="1" t="n">
        <v>45734</v>
      </c>
      <c r="C514" s="1" t="n">
        <v>45880</v>
      </c>
      <c r="D514" t="inlineStr">
        <is>
          <t>SKÅNE LÄN</t>
        </is>
      </c>
      <c r="E514" t="inlineStr">
        <is>
          <t>HÄSSLEHOLM</t>
        </is>
      </c>
      <c r="G514" t="n">
        <v>2.3</v>
      </c>
      <c r="H514" t="n">
        <v>0</v>
      </c>
      <c r="I514" t="n">
        <v>0</v>
      </c>
      <c r="J514" t="n">
        <v>0</v>
      </c>
      <c r="K514" t="n">
        <v>0</v>
      </c>
      <c r="L514" t="n">
        <v>0</v>
      </c>
      <c r="M514" t="n">
        <v>0</v>
      </c>
      <c r="N514" t="n">
        <v>0</v>
      </c>
      <c r="O514" t="n">
        <v>0</v>
      </c>
      <c r="P514" t="n">
        <v>0</v>
      </c>
      <c r="Q514" t="n">
        <v>0</v>
      </c>
      <c r="R514" s="2" t="inlineStr"/>
    </row>
    <row r="515" ht="15" customHeight="1">
      <c r="A515" t="inlineStr">
        <is>
          <t>A 15133-2023</t>
        </is>
      </c>
      <c r="B515" s="1" t="n">
        <v>45016</v>
      </c>
      <c r="C515" s="1" t="n">
        <v>45880</v>
      </c>
      <c r="D515" t="inlineStr">
        <is>
          <t>SKÅNE LÄN</t>
        </is>
      </c>
      <c r="E515" t="inlineStr">
        <is>
          <t>HÄSSLEHOLM</t>
        </is>
      </c>
      <c r="G515" t="n">
        <v>7.8</v>
      </c>
      <c r="H515" t="n">
        <v>0</v>
      </c>
      <c r="I515" t="n">
        <v>0</v>
      </c>
      <c r="J515" t="n">
        <v>0</v>
      </c>
      <c r="K515" t="n">
        <v>0</v>
      </c>
      <c r="L515" t="n">
        <v>0</v>
      </c>
      <c r="M515" t="n">
        <v>0</v>
      </c>
      <c r="N515" t="n">
        <v>0</v>
      </c>
      <c r="O515" t="n">
        <v>0</v>
      </c>
      <c r="P515" t="n">
        <v>0</v>
      </c>
      <c r="Q515" t="n">
        <v>0</v>
      </c>
      <c r="R515" s="2" t="inlineStr"/>
    </row>
    <row r="516" ht="15" customHeight="1">
      <c r="A516" t="inlineStr">
        <is>
          <t>A 32210-2024</t>
        </is>
      </c>
      <c r="B516" s="1" t="n">
        <v>45511.67777777778</v>
      </c>
      <c r="C516" s="1" t="n">
        <v>45880</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59431-2023</t>
        </is>
      </c>
      <c r="B517" s="1" t="n">
        <v>45254.29207175926</v>
      </c>
      <c r="C517" s="1" t="n">
        <v>45880</v>
      </c>
      <c r="D517" t="inlineStr">
        <is>
          <t>SKÅNE LÄN</t>
        </is>
      </c>
      <c r="E517" t="inlineStr">
        <is>
          <t>HÄSSLEHOLM</t>
        </is>
      </c>
      <c r="G517" t="n">
        <v>1.7</v>
      </c>
      <c r="H517" t="n">
        <v>0</v>
      </c>
      <c r="I517" t="n">
        <v>0</v>
      </c>
      <c r="J517" t="n">
        <v>0</v>
      </c>
      <c r="K517" t="n">
        <v>0</v>
      </c>
      <c r="L517" t="n">
        <v>0</v>
      </c>
      <c r="M517" t="n">
        <v>0</v>
      </c>
      <c r="N517" t="n">
        <v>0</v>
      </c>
      <c r="O517" t="n">
        <v>0</v>
      </c>
      <c r="P517" t="n">
        <v>0</v>
      </c>
      <c r="Q517" t="n">
        <v>0</v>
      </c>
      <c r="R517" s="2" t="inlineStr"/>
    </row>
    <row r="518" ht="15" customHeight="1">
      <c r="A518" t="inlineStr">
        <is>
          <t>A 59433-2023</t>
        </is>
      </c>
      <c r="B518" s="1" t="n">
        <v>45254.29768518519</v>
      </c>
      <c r="C518" s="1" t="n">
        <v>45880</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23864-2024</t>
        </is>
      </c>
      <c r="B519" s="1" t="n">
        <v>45455</v>
      </c>
      <c r="C519" s="1" t="n">
        <v>45880</v>
      </c>
      <c r="D519" t="inlineStr">
        <is>
          <t>SKÅNE LÄN</t>
        </is>
      </c>
      <c r="E519" t="inlineStr">
        <is>
          <t>HÄSSLEHOLM</t>
        </is>
      </c>
      <c r="G519" t="n">
        <v>6.2</v>
      </c>
      <c r="H519" t="n">
        <v>0</v>
      </c>
      <c r="I519" t="n">
        <v>0</v>
      </c>
      <c r="J519" t="n">
        <v>0</v>
      </c>
      <c r="K519" t="n">
        <v>0</v>
      </c>
      <c r="L519" t="n">
        <v>0</v>
      </c>
      <c r="M519" t="n">
        <v>0</v>
      </c>
      <c r="N519" t="n">
        <v>0</v>
      </c>
      <c r="O519" t="n">
        <v>0</v>
      </c>
      <c r="P519" t="n">
        <v>0</v>
      </c>
      <c r="Q519" t="n">
        <v>0</v>
      </c>
      <c r="R519" s="2" t="inlineStr"/>
    </row>
    <row r="520" ht="15" customHeight="1">
      <c r="A520" t="inlineStr">
        <is>
          <t>A 40319-2020</t>
        </is>
      </c>
      <c r="B520" s="1" t="n">
        <v>44068</v>
      </c>
      <c r="C520" s="1" t="n">
        <v>45880</v>
      </c>
      <c r="D520" t="inlineStr">
        <is>
          <t>SKÅNE LÄN</t>
        </is>
      </c>
      <c r="E520" t="inlineStr">
        <is>
          <t>HÄSSLEHOLM</t>
        </is>
      </c>
      <c r="G520" t="n">
        <v>2.6</v>
      </c>
      <c r="H520" t="n">
        <v>0</v>
      </c>
      <c r="I520" t="n">
        <v>0</v>
      </c>
      <c r="J520" t="n">
        <v>0</v>
      </c>
      <c r="K520" t="n">
        <v>0</v>
      </c>
      <c r="L520" t="n">
        <v>0</v>
      </c>
      <c r="M520" t="n">
        <v>0</v>
      </c>
      <c r="N520" t="n">
        <v>0</v>
      </c>
      <c r="O520" t="n">
        <v>0</v>
      </c>
      <c r="P520" t="n">
        <v>0</v>
      </c>
      <c r="Q520" t="n">
        <v>0</v>
      </c>
      <c r="R520" s="2" t="inlineStr"/>
    </row>
    <row r="521" ht="15" customHeight="1">
      <c r="A521" t="inlineStr">
        <is>
          <t>A 15053-2023</t>
        </is>
      </c>
      <c r="B521" s="1" t="n">
        <v>45015</v>
      </c>
      <c r="C521" s="1" t="n">
        <v>45880</v>
      </c>
      <c r="D521" t="inlineStr">
        <is>
          <t>SKÅNE LÄN</t>
        </is>
      </c>
      <c r="E521" t="inlineStr">
        <is>
          <t>HÄSSLEHOLM</t>
        </is>
      </c>
      <c r="G521" t="n">
        <v>1</v>
      </c>
      <c r="H521" t="n">
        <v>0</v>
      </c>
      <c r="I521" t="n">
        <v>0</v>
      </c>
      <c r="J521" t="n">
        <v>0</v>
      </c>
      <c r="K521" t="n">
        <v>0</v>
      </c>
      <c r="L521" t="n">
        <v>0</v>
      </c>
      <c r="M521" t="n">
        <v>0</v>
      </c>
      <c r="N521" t="n">
        <v>0</v>
      </c>
      <c r="O521" t="n">
        <v>0</v>
      </c>
      <c r="P521" t="n">
        <v>0</v>
      </c>
      <c r="Q521" t="n">
        <v>0</v>
      </c>
      <c r="R521" s="2" t="inlineStr"/>
    </row>
    <row r="522" ht="15" customHeight="1">
      <c r="A522" t="inlineStr">
        <is>
          <t>A 49389-2020</t>
        </is>
      </c>
      <c r="B522" s="1" t="n">
        <v>44105</v>
      </c>
      <c r="C522" s="1" t="n">
        <v>45880</v>
      </c>
      <c r="D522" t="inlineStr">
        <is>
          <t>SKÅNE LÄN</t>
        </is>
      </c>
      <c r="E522" t="inlineStr">
        <is>
          <t>HÄSSLEHOLM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23857-2024</t>
        </is>
      </c>
      <c r="B523" s="1" t="n">
        <v>45455</v>
      </c>
      <c r="C523" s="1" t="n">
        <v>45880</v>
      </c>
      <c r="D523" t="inlineStr">
        <is>
          <t>SKÅNE LÄN</t>
        </is>
      </c>
      <c r="E523" t="inlineStr">
        <is>
          <t>HÄSSLEHOLM</t>
        </is>
      </c>
      <c r="G523" t="n">
        <v>3</v>
      </c>
      <c r="H523" t="n">
        <v>0</v>
      </c>
      <c r="I523" t="n">
        <v>0</v>
      </c>
      <c r="J523" t="n">
        <v>0</v>
      </c>
      <c r="K523" t="n">
        <v>0</v>
      </c>
      <c r="L523" t="n">
        <v>0</v>
      </c>
      <c r="M523" t="n">
        <v>0</v>
      </c>
      <c r="N523" t="n">
        <v>0</v>
      </c>
      <c r="O523" t="n">
        <v>0</v>
      </c>
      <c r="P523" t="n">
        <v>0</v>
      </c>
      <c r="Q523" t="n">
        <v>0</v>
      </c>
      <c r="R523" s="2" t="inlineStr"/>
    </row>
    <row r="524" ht="15" customHeight="1">
      <c r="A524" t="inlineStr">
        <is>
          <t>A 35644-2023</t>
        </is>
      </c>
      <c r="B524" s="1" t="n">
        <v>45147</v>
      </c>
      <c r="C524" s="1" t="n">
        <v>45880</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27991-2024</t>
        </is>
      </c>
      <c r="B525" s="1" t="n">
        <v>45476</v>
      </c>
      <c r="C525" s="1" t="n">
        <v>45880</v>
      </c>
      <c r="D525" t="inlineStr">
        <is>
          <t>SKÅNE LÄN</t>
        </is>
      </c>
      <c r="E525" t="inlineStr">
        <is>
          <t>HÄSSLEHOLM</t>
        </is>
      </c>
      <c r="G525" t="n">
        <v>5.8</v>
      </c>
      <c r="H525" t="n">
        <v>0</v>
      </c>
      <c r="I525" t="n">
        <v>0</v>
      </c>
      <c r="J525" t="n">
        <v>0</v>
      </c>
      <c r="K525" t="n">
        <v>0</v>
      </c>
      <c r="L525" t="n">
        <v>0</v>
      </c>
      <c r="M525" t="n">
        <v>0</v>
      </c>
      <c r="N525" t="n">
        <v>0</v>
      </c>
      <c r="O525" t="n">
        <v>0</v>
      </c>
      <c r="P525" t="n">
        <v>0</v>
      </c>
      <c r="Q525" t="n">
        <v>0</v>
      </c>
      <c r="R525" s="2" t="inlineStr"/>
    </row>
    <row r="526" ht="15" customHeight="1">
      <c r="A526" t="inlineStr">
        <is>
          <t>A 46185-2022</t>
        </is>
      </c>
      <c r="B526" s="1" t="n">
        <v>44847</v>
      </c>
      <c r="C526" s="1" t="n">
        <v>45880</v>
      </c>
      <c r="D526" t="inlineStr">
        <is>
          <t>SKÅNE LÄN</t>
        </is>
      </c>
      <c r="E526" t="inlineStr">
        <is>
          <t>HÄSSLEHOLM</t>
        </is>
      </c>
      <c r="G526" t="n">
        <v>16.8</v>
      </c>
      <c r="H526" t="n">
        <v>0</v>
      </c>
      <c r="I526" t="n">
        <v>0</v>
      </c>
      <c r="J526" t="n">
        <v>0</v>
      </c>
      <c r="K526" t="n">
        <v>0</v>
      </c>
      <c r="L526" t="n">
        <v>0</v>
      </c>
      <c r="M526" t="n">
        <v>0</v>
      </c>
      <c r="N526" t="n">
        <v>0</v>
      </c>
      <c r="O526" t="n">
        <v>0</v>
      </c>
      <c r="P526" t="n">
        <v>0</v>
      </c>
      <c r="Q526" t="n">
        <v>0</v>
      </c>
      <c r="R526" s="2" t="inlineStr"/>
    </row>
    <row r="527" ht="15" customHeight="1">
      <c r="A527" t="inlineStr">
        <is>
          <t>A 6612-2024</t>
        </is>
      </c>
      <c r="B527" s="1" t="n">
        <v>45341.58859953703</v>
      </c>
      <c r="C527" s="1" t="n">
        <v>45880</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8433-2024</t>
        </is>
      </c>
      <c r="B528" s="1" t="n">
        <v>45353.48434027778</v>
      </c>
      <c r="C528" s="1" t="n">
        <v>45880</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54174-2022</t>
        </is>
      </c>
      <c r="B529" s="1" t="n">
        <v>44881</v>
      </c>
      <c r="C529" s="1" t="n">
        <v>45880</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5887-2025</t>
        </is>
      </c>
      <c r="B530" s="1" t="n">
        <v>45695.37925925926</v>
      </c>
      <c r="C530" s="1" t="n">
        <v>45880</v>
      </c>
      <c r="D530" t="inlineStr">
        <is>
          <t>SKÅNE LÄN</t>
        </is>
      </c>
      <c r="E530" t="inlineStr">
        <is>
          <t>HÄSSLEHOLM</t>
        </is>
      </c>
      <c r="G530" t="n">
        <v>4.8</v>
      </c>
      <c r="H530" t="n">
        <v>0</v>
      </c>
      <c r="I530" t="n">
        <v>0</v>
      </c>
      <c r="J530" t="n">
        <v>0</v>
      </c>
      <c r="K530" t="n">
        <v>0</v>
      </c>
      <c r="L530" t="n">
        <v>0</v>
      </c>
      <c r="M530" t="n">
        <v>0</v>
      </c>
      <c r="N530" t="n">
        <v>0</v>
      </c>
      <c r="O530" t="n">
        <v>0</v>
      </c>
      <c r="P530" t="n">
        <v>0</v>
      </c>
      <c r="Q530" t="n">
        <v>0</v>
      </c>
      <c r="R530" s="2" t="inlineStr"/>
    </row>
    <row r="531" ht="15" customHeight="1">
      <c r="A531" t="inlineStr">
        <is>
          <t>A 52235-2021</t>
        </is>
      </c>
      <c r="B531" s="1" t="n">
        <v>44463.60085648148</v>
      </c>
      <c r="C531" s="1" t="n">
        <v>45880</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62055-2023</t>
        </is>
      </c>
      <c r="B532" s="1" t="n">
        <v>45266.70287037037</v>
      </c>
      <c r="C532" s="1" t="n">
        <v>45880</v>
      </c>
      <c r="D532" t="inlineStr">
        <is>
          <t>SKÅNE LÄN</t>
        </is>
      </c>
      <c r="E532" t="inlineStr">
        <is>
          <t>HÄSSLEHOLM</t>
        </is>
      </c>
      <c r="G532" t="n">
        <v>5.2</v>
      </c>
      <c r="H532" t="n">
        <v>0</v>
      </c>
      <c r="I532" t="n">
        <v>0</v>
      </c>
      <c r="J532" t="n">
        <v>0</v>
      </c>
      <c r="K532" t="n">
        <v>0</v>
      </c>
      <c r="L532" t="n">
        <v>0</v>
      </c>
      <c r="M532" t="n">
        <v>0</v>
      </c>
      <c r="N532" t="n">
        <v>0</v>
      </c>
      <c r="O532" t="n">
        <v>0</v>
      </c>
      <c r="P532" t="n">
        <v>0</v>
      </c>
      <c r="Q532" t="n">
        <v>0</v>
      </c>
      <c r="R532" s="2" t="inlineStr"/>
    </row>
    <row r="533" ht="15" customHeight="1">
      <c r="A533" t="inlineStr">
        <is>
          <t>A 53302-2022</t>
        </is>
      </c>
      <c r="B533" s="1" t="n">
        <v>44877</v>
      </c>
      <c r="C533" s="1" t="n">
        <v>45880</v>
      </c>
      <c r="D533" t="inlineStr">
        <is>
          <t>SKÅNE LÄN</t>
        </is>
      </c>
      <c r="E533" t="inlineStr">
        <is>
          <t>HÄSSLEHOLM</t>
        </is>
      </c>
      <c r="G533" t="n">
        <v>0.1</v>
      </c>
      <c r="H533" t="n">
        <v>0</v>
      </c>
      <c r="I533" t="n">
        <v>0</v>
      </c>
      <c r="J533" t="n">
        <v>0</v>
      </c>
      <c r="K533" t="n">
        <v>0</v>
      </c>
      <c r="L533" t="n">
        <v>0</v>
      </c>
      <c r="M533" t="n">
        <v>0</v>
      </c>
      <c r="N533" t="n">
        <v>0</v>
      </c>
      <c r="O533" t="n">
        <v>0</v>
      </c>
      <c r="P533" t="n">
        <v>0</v>
      </c>
      <c r="Q533" t="n">
        <v>0</v>
      </c>
      <c r="R533" s="2" t="inlineStr"/>
    </row>
    <row r="534" ht="15" customHeight="1">
      <c r="A534" t="inlineStr">
        <is>
          <t>A 52642-2021</t>
        </is>
      </c>
      <c r="B534" s="1" t="n">
        <v>44466.64298611111</v>
      </c>
      <c r="C534" s="1" t="n">
        <v>45880</v>
      </c>
      <c r="D534" t="inlineStr">
        <is>
          <t>SKÅNE LÄN</t>
        </is>
      </c>
      <c r="E534" t="inlineStr">
        <is>
          <t>HÄSSLEHOLM</t>
        </is>
      </c>
      <c r="G534" t="n">
        <v>3.7</v>
      </c>
      <c r="H534" t="n">
        <v>0</v>
      </c>
      <c r="I534" t="n">
        <v>0</v>
      </c>
      <c r="J534" t="n">
        <v>0</v>
      </c>
      <c r="K534" t="n">
        <v>0</v>
      </c>
      <c r="L534" t="n">
        <v>0</v>
      </c>
      <c r="M534" t="n">
        <v>0</v>
      </c>
      <c r="N534" t="n">
        <v>0</v>
      </c>
      <c r="O534" t="n">
        <v>0</v>
      </c>
      <c r="P534" t="n">
        <v>0</v>
      </c>
      <c r="Q534" t="n">
        <v>0</v>
      </c>
      <c r="R534" s="2" t="inlineStr"/>
    </row>
    <row r="535" ht="15" customHeight="1">
      <c r="A535" t="inlineStr">
        <is>
          <t>A 29850-2024</t>
        </is>
      </c>
      <c r="B535" s="1" t="n">
        <v>45485.64620370371</v>
      </c>
      <c r="C535" s="1" t="n">
        <v>45880</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8760-2024</t>
        </is>
      </c>
      <c r="B536" s="1" t="n">
        <v>45356.53420138889</v>
      </c>
      <c r="C536" s="1" t="n">
        <v>45880</v>
      </c>
      <c r="D536" t="inlineStr">
        <is>
          <t>SKÅNE LÄN</t>
        </is>
      </c>
      <c r="E536" t="inlineStr">
        <is>
          <t>HÄSSLEHOLM</t>
        </is>
      </c>
      <c r="G536" t="n">
        <v>6.1</v>
      </c>
      <c r="H536" t="n">
        <v>0</v>
      </c>
      <c r="I536" t="n">
        <v>0</v>
      </c>
      <c r="J536" t="n">
        <v>0</v>
      </c>
      <c r="K536" t="n">
        <v>0</v>
      </c>
      <c r="L536" t="n">
        <v>0</v>
      </c>
      <c r="M536" t="n">
        <v>0</v>
      </c>
      <c r="N536" t="n">
        <v>0</v>
      </c>
      <c r="O536" t="n">
        <v>0</v>
      </c>
      <c r="P536" t="n">
        <v>0</v>
      </c>
      <c r="Q536" t="n">
        <v>0</v>
      </c>
      <c r="R536" s="2" t="inlineStr"/>
    </row>
    <row r="537" ht="15" customHeight="1">
      <c r="A537" t="inlineStr">
        <is>
          <t>A 35711-2024</t>
        </is>
      </c>
      <c r="B537" s="1" t="n">
        <v>45532</v>
      </c>
      <c r="C537" s="1" t="n">
        <v>45880</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48889-2024</t>
        </is>
      </c>
      <c r="B538" s="1" t="n">
        <v>45594.33754629629</v>
      </c>
      <c r="C538" s="1" t="n">
        <v>45880</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62041-2022</t>
        </is>
      </c>
      <c r="B539" s="1" t="n">
        <v>44918.55743055556</v>
      </c>
      <c r="C539" s="1" t="n">
        <v>45880</v>
      </c>
      <c r="D539" t="inlineStr">
        <is>
          <t>SKÅNE LÄN</t>
        </is>
      </c>
      <c r="E539" t="inlineStr">
        <is>
          <t>HÄSSLEHOLM</t>
        </is>
      </c>
      <c r="G539" t="n">
        <v>2.8</v>
      </c>
      <c r="H539" t="n">
        <v>0</v>
      </c>
      <c r="I539" t="n">
        <v>0</v>
      </c>
      <c r="J539" t="n">
        <v>0</v>
      </c>
      <c r="K539" t="n">
        <v>0</v>
      </c>
      <c r="L539" t="n">
        <v>0</v>
      </c>
      <c r="M539" t="n">
        <v>0</v>
      </c>
      <c r="N539" t="n">
        <v>0</v>
      </c>
      <c r="O539" t="n">
        <v>0</v>
      </c>
      <c r="P539" t="n">
        <v>0</v>
      </c>
      <c r="Q539" t="n">
        <v>0</v>
      </c>
      <c r="R539" s="2" t="inlineStr"/>
    </row>
    <row r="540" ht="15" customHeight="1">
      <c r="A540" t="inlineStr">
        <is>
          <t>A 2567-2024</t>
        </is>
      </c>
      <c r="B540" s="1" t="n">
        <v>45313.62460648148</v>
      </c>
      <c r="C540" s="1" t="n">
        <v>45880</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40734-2024</t>
        </is>
      </c>
      <c r="B541" s="1" t="n">
        <v>45558</v>
      </c>
      <c r="C541" s="1" t="n">
        <v>45880</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40738-2024</t>
        </is>
      </c>
      <c r="B542" s="1" t="n">
        <v>45558</v>
      </c>
      <c r="C542" s="1" t="n">
        <v>45880</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13555-2025</t>
        </is>
      </c>
      <c r="B543" s="1" t="n">
        <v>45736</v>
      </c>
      <c r="C543" s="1" t="n">
        <v>45880</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28632-2024</t>
        </is>
      </c>
      <c r="B544" s="1" t="n">
        <v>45478</v>
      </c>
      <c r="C544" s="1" t="n">
        <v>45880</v>
      </c>
      <c r="D544" t="inlineStr">
        <is>
          <t>SKÅNE LÄN</t>
        </is>
      </c>
      <c r="E544" t="inlineStr">
        <is>
          <t>HÄSSLEHOLM</t>
        </is>
      </c>
      <c r="G544" t="n">
        <v>4</v>
      </c>
      <c r="H544" t="n">
        <v>0</v>
      </c>
      <c r="I544" t="n">
        <v>0</v>
      </c>
      <c r="J544" t="n">
        <v>0</v>
      </c>
      <c r="K544" t="n">
        <v>0</v>
      </c>
      <c r="L544" t="n">
        <v>0</v>
      </c>
      <c r="M544" t="n">
        <v>0</v>
      </c>
      <c r="N544" t="n">
        <v>0</v>
      </c>
      <c r="O544" t="n">
        <v>0</v>
      </c>
      <c r="P544" t="n">
        <v>0</v>
      </c>
      <c r="Q544" t="n">
        <v>0</v>
      </c>
      <c r="R544" s="2" t="inlineStr"/>
    </row>
    <row r="545" ht="15" customHeight="1">
      <c r="A545" t="inlineStr">
        <is>
          <t>A 28599-2024</t>
        </is>
      </c>
      <c r="B545" s="1" t="n">
        <v>45478.4247800926</v>
      </c>
      <c r="C545" s="1" t="n">
        <v>45880</v>
      </c>
      <c r="D545" t="inlineStr">
        <is>
          <t>SKÅNE LÄN</t>
        </is>
      </c>
      <c r="E545" t="inlineStr">
        <is>
          <t>HÄSSLEHOLM</t>
        </is>
      </c>
      <c r="G545" t="n">
        <v>8.6</v>
      </c>
      <c r="H545" t="n">
        <v>0</v>
      </c>
      <c r="I545" t="n">
        <v>0</v>
      </c>
      <c r="J545" t="n">
        <v>0</v>
      </c>
      <c r="K545" t="n">
        <v>0</v>
      </c>
      <c r="L545" t="n">
        <v>0</v>
      </c>
      <c r="M545" t="n">
        <v>0</v>
      </c>
      <c r="N545" t="n">
        <v>0</v>
      </c>
      <c r="O545" t="n">
        <v>0</v>
      </c>
      <c r="P545" t="n">
        <v>0</v>
      </c>
      <c r="Q545" t="n">
        <v>0</v>
      </c>
      <c r="R545" s="2" t="inlineStr"/>
    </row>
    <row r="546" ht="15" customHeight="1">
      <c r="A546" t="inlineStr">
        <is>
          <t>A 37141-2021</t>
        </is>
      </c>
      <c r="B546" s="1" t="n">
        <v>44396</v>
      </c>
      <c r="C546" s="1" t="n">
        <v>45880</v>
      </c>
      <c r="D546" t="inlineStr">
        <is>
          <t>SKÅNE LÄN</t>
        </is>
      </c>
      <c r="E546" t="inlineStr">
        <is>
          <t>HÄSSLEHOLM</t>
        </is>
      </c>
      <c r="G546" t="n">
        <v>12.8</v>
      </c>
      <c r="H546" t="n">
        <v>0</v>
      </c>
      <c r="I546" t="n">
        <v>0</v>
      </c>
      <c r="J546" t="n">
        <v>0</v>
      </c>
      <c r="K546" t="n">
        <v>0</v>
      </c>
      <c r="L546" t="n">
        <v>0</v>
      </c>
      <c r="M546" t="n">
        <v>0</v>
      </c>
      <c r="N546" t="n">
        <v>0</v>
      </c>
      <c r="O546" t="n">
        <v>0</v>
      </c>
      <c r="P546" t="n">
        <v>0</v>
      </c>
      <c r="Q546" t="n">
        <v>0</v>
      </c>
      <c r="R546" s="2" t="inlineStr"/>
    </row>
    <row r="547" ht="15" customHeight="1">
      <c r="A547" t="inlineStr">
        <is>
          <t>A 35712-2024</t>
        </is>
      </c>
      <c r="B547" s="1" t="n">
        <v>45532</v>
      </c>
      <c r="C547" s="1" t="n">
        <v>45880</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45399-2022</t>
        </is>
      </c>
      <c r="B548" s="1" t="n">
        <v>44844.70513888889</v>
      </c>
      <c r="C548" s="1" t="n">
        <v>45880</v>
      </c>
      <c r="D548" t="inlineStr">
        <is>
          <t>SKÅNE LÄN</t>
        </is>
      </c>
      <c r="E548" t="inlineStr">
        <is>
          <t>HÄSSLEHOLM</t>
        </is>
      </c>
      <c r="G548" t="n">
        <v>0</v>
      </c>
      <c r="H548" t="n">
        <v>0</v>
      </c>
      <c r="I548" t="n">
        <v>0</v>
      </c>
      <c r="J548" t="n">
        <v>0</v>
      </c>
      <c r="K548" t="n">
        <v>0</v>
      </c>
      <c r="L548" t="n">
        <v>0</v>
      </c>
      <c r="M548" t="n">
        <v>0</v>
      </c>
      <c r="N548" t="n">
        <v>0</v>
      </c>
      <c r="O548" t="n">
        <v>0</v>
      </c>
      <c r="P548" t="n">
        <v>0</v>
      </c>
      <c r="Q548" t="n">
        <v>0</v>
      </c>
      <c r="R548" s="2" t="inlineStr"/>
    </row>
    <row r="549" ht="15" customHeight="1">
      <c r="A549" t="inlineStr">
        <is>
          <t>A 33466-2024</t>
        </is>
      </c>
      <c r="B549" s="1" t="n">
        <v>45519</v>
      </c>
      <c r="C549" s="1" t="n">
        <v>45880</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49379-2021</t>
        </is>
      </c>
      <c r="B550" s="1" t="n">
        <v>44454</v>
      </c>
      <c r="C550" s="1" t="n">
        <v>45880</v>
      </c>
      <c r="D550" t="inlineStr">
        <is>
          <t>SKÅNE LÄN</t>
        </is>
      </c>
      <c r="E550" t="inlineStr">
        <is>
          <t>HÄSSLEHOLM</t>
        </is>
      </c>
      <c r="G550" t="n">
        <v>1.4</v>
      </c>
      <c r="H550" t="n">
        <v>0</v>
      </c>
      <c r="I550" t="n">
        <v>0</v>
      </c>
      <c r="J550" t="n">
        <v>0</v>
      </c>
      <c r="K550" t="n">
        <v>0</v>
      </c>
      <c r="L550" t="n">
        <v>0</v>
      </c>
      <c r="M550" t="n">
        <v>0</v>
      </c>
      <c r="N550" t="n">
        <v>0</v>
      </c>
      <c r="O550" t="n">
        <v>0</v>
      </c>
      <c r="P550" t="n">
        <v>0</v>
      </c>
      <c r="Q550" t="n">
        <v>0</v>
      </c>
      <c r="R550" s="2" t="inlineStr"/>
    </row>
    <row r="551" ht="15" customHeight="1">
      <c r="A551" t="inlineStr">
        <is>
          <t>A 32881-2024</t>
        </is>
      </c>
      <c r="B551" s="1" t="n">
        <v>45516</v>
      </c>
      <c r="C551" s="1" t="n">
        <v>45880</v>
      </c>
      <c r="D551" t="inlineStr">
        <is>
          <t>SKÅNE LÄN</t>
        </is>
      </c>
      <c r="E551" t="inlineStr">
        <is>
          <t>HÄSSLEHOLM</t>
        </is>
      </c>
      <c r="G551" t="n">
        <v>6.3</v>
      </c>
      <c r="H551" t="n">
        <v>0</v>
      </c>
      <c r="I551" t="n">
        <v>0</v>
      </c>
      <c r="J551" t="n">
        <v>0</v>
      </c>
      <c r="K551" t="n">
        <v>0</v>
      </c>
      <c r="L551" t="n">
        <v>0</v>
      </c>
      <c r="M551" t="n">
        <v>0</v>
      </c>
      <c r="N551" t="n">
        <v>0</v>
      </c>
      <c r="O551" t="n">
        <v>0</v>
      </c>
      <c r="P551" t="n">
        <v>0</v>
      </c>
      <c r="Q551" t="n">
        <v>0</v>
      </c>
      <c r="R551" s="2" t="inlineStr"/>
    </row>
    <row r="552" ht="15" customHeight="1">
      <c r="A552" t="inlineStr">
        <is>
          <t>A 2743-2023</t>
        </is>
      </c>
      <c r="B552" s="1" t="n">
        <v>44944</v>
      </c>
      <c r="C552" s="1" t="n">
        <v>45880</v>
      </c>
      <c r="D552" t="inlineStr">
        <is>
          <t>SKÅNE LÄN</t>
        </is>
      </c>
      <c r="E552" t="inlineStr">
        <is>
          <t>HÄSSLEHOLM</t>
        </is>
      </c>
      <c r="F552" t="inlineStr">
        <is>
          <t>Sveaskog</t>
        </is>
      </c>
      <c r="G552" t="n">
        <v>1.9</v>
      </c>
      <c r="H552" t="n">
        <v>0</v>
      </c>
      <c r="I552" t="n">
        <v>0</v>
      </c>
      <c r="J552" t="n">
        <v>0</v>
      </c>
      <c r="K552" t="n">
        <v>0</v>
      </c>
      <c r="L552" t="n">
        <v>0</v>
      </c>
      <c r="M552" t="n">
        <v>0</v>
      </c>
      <c r="N552" t="n">
        <v>0</v>
      </c>
      <c r="O552" t="n">
        <v>0</v>
      </c>
      <c r="P552" t="n">
        <v>0</v>
      </c>
      <c r="Q552" t="n">
        <v>0</v>
      </c>
      <c r="R552" s="2" t="inlineStr"/>
    </row>
    <row r="553" ht="15" customHeight="1">
      <c r="A553" t="inlineStr">
        <is>
          <t>A 26397-2023</t>
        </is>
      </c>
      <c r="B553" s="1" t="n">
        <v>45087</v>
      </c>
      <c r="C553" s="1" t="n">
        <v>45880</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27175-2024</t>
        </is>
      </c>
      <c r="B554" s="1" t="n">
        <v>45471.57111111111</v>
      </c>
      <c r="C554" s="1" t="n">
        <v>45880</v>
      </c>
      <c r="D554" t="inlineStr">
        <is>
          <t>SKÅNE LÄN</t>
        </is>
      </c>
      <c r="E554" t="inlineStr">
        <is>
          <t>HÄSSLEHOLM</t>
        </is>
      </c>
      <c r="G554" t="n">
        <v>1</v>
      </c>
      <c r="H554" t="n">
        <v>0</v>
      </c>
      <c r="I554" t="n">
        <v>0</v>
      </c>
      <c r="J554" t="n">
        <v>0</v>
      </c>
      <c r="K554" t="n">
        <v>0</v>
      </c>
      <c r="L554" t="n">
        <v>0</v>
      </c>
      <c r="M554" t="n">
        <v>0</v>
      </c>
      <c r="N554" t="n">
        <v>0</v>
      </c>
      <c r="O554" t="n">
        <v>0</v>
      </c>
      <c r="P554" t="n">
        <v>0</v>
      </c>
      <c r="Q554" t="n">
        <v>0</v>
      </c>
      <c r="R554" s="2" t="inlineStr"/>
    </row>
    <row r="555" ht="15" customHeight="1">
      <c r="A555" t="inlineStr">
        <is>
          <t>A 1197-2024</t>
        </is>
      </c>
      <c r="B555" s="1" t="n">
        <v>45302</v>
      </c>
      <c r="C555" s="1" t="n">
        <v>45880</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48097-2024</t>
        </is>
      </c>
      <c r="B556" s="1" t="n">
        <v>45589.61413194444</v>
      </c>
      <c r="C556" s="1" t="n">
        <v>45880</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29994-2023</t>
        </is>
      </c>
      <c r="B557" s="1" t="n">
        <v>45109.60038194444</v>
      </c>
      <c r="C557" s="1" t="n">
        <v>45880</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20872-2025</t>
        </is>
      </c>
      <c r="B558" s="1" t="n">
        <v>45777.34688657407</v>
      </c>
      <c r="C558" s="1" t="n">
        <v>45880</v>
      </c>
      <c r="D558" t="inlineStr">
        <is>
          <t>SKÅNE LÄN</t>
        </is>
      </c>
      <c r="E558" t="inlineStr">
        <is>
          <t>HÄSSLEHOLM</t>
        </is>
      </c>
      <c r="G558" t="n">
        <v>1.5</v>
      </c>
      <c r="H558" t="n">
        <v>0</v>
      </c>
      <c r="I558" t="n">
        <v>0</v>
      </c>
      <c r="J558" t="n">
        <v>0</v>
      </c>
      <c r="K558" t="n">
        <v>0</v>
      </c>
      <c r="L558" t="n">
        <v>0</v>
      </c>
      <c r="M558" t="n">
        <v>0</v>
      </c>
      <c r="N558" t="n">
        <v>0</v>
      </c>
      <c r="O558" t="n">
        <v>0</v>
      </c>
      <c r="P558" t="n">
        <v>0</v>
      </c>
      <c r="Q558" t="n">
        <v>0</v>
      </c>
      <c r="R558" s="2" t="inlineStr"/>
    </row>
    <row r="559" ht="15" customHeight="1">
      <c r="A559" t="inlineStr">
        <is>
          <t>A 20970-2025</t>
        </is>
      </c>
      <c r="B559" s="1" t="n">
        <v>45777.45417824074</v>
      </c>
      <c r="C559" s="1" t="n">
        <v>45880</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53077-2022</t>
        </is>
      </c>
      <c r="B560" s="1" t="n">
        <v>44873</v>
      </c>
      <c r="C560" s="1" t="n">
        <v>45880</v>
      </c>
      <c r="D560" t="inlineStr">
        <is>
          <t>SKÅNE LÄN</t>
        </is>
      </c>
      <c r="E560" t="inlineStr">
        <is>
          <t>HÄSSLEHOLM</t>
        </is>
      </c>
      <c r="G560" t="n">
        <v>3</v>
      </c>
      <c r="H560" t="n">
        <v>0</v>
      </c>
      <c r="I560" t="n">
        <v>0</v>
      </c>
      <c r="J560" t="n">
        <v>0</v>
      </c>
      <c r="K560" t="n">
        <v>0</v>
      </c>
      <c r="L560" t="n">
        <v>0</v>
      </c>
      <c r="M560" t="n">
        <v>0</v>
      </c>
      <c r="N560" t="n">
        <v>0</v>
      </c>
      <c r="O560" t="n">
        <v>0</v>
      </c>
      <c r="P560" t="n">
        <v>0</v>
      </c>
      <c r="Q560" t="n">
        <v>0</v>
      </c>
      <c r="R560" s="2" t="inlineStr"/>
    </row>
    <row r="561" ht="15" customHeight="1">
      <c r="A561" t="inlineStr">
        <is>
          <t>A 62044-2022</t>
        </is>
      </c>
      <c r="B561" s="1" t="n">
        <v>44918.55976851852</v>
      </c>
      <c r="C561" s="1" t="n">
        <v>45880</v>
      </c>
      <c r="D561" t="inlineStr">
        <is>
          <t>SKÅNE LÄN</t>
        </is>
      </c>
      <c r="E561" t="inlineStr">
        <is>
          <t>HÄSSLEHOLM</t>
        </is>
      </c>
      <c r="G561" t="n">
        <v>2.1</v>
      </c>
      <c r="H561" t="n">
        <v>0</v>
      </c>
      <c r="I561" t="n">
        <v>0</v>
      </c>
      <c r="J561" t="n">
        <v>0</v>
      </c>
      <c r="K561" t="n">
        <v>0</v>
      </c>
      <c r="L561" t="n">
        <v>0</v>
      </c>
      <c r="M561" t="n">
        <v>0</v>
      </c>
      <c r="N561" t="n">
        <v>0</v>
      </c>
      <c r="O561" t="n">
        <v>0</v>
      </c>
      <c r="P561" t="n">
        <v>0</v>
      </c>
      <c r="Q561" t="n">
        <v>0</v>
      </c>
      <c r="R561" s="2" t="inlineStr"/>
    </row>
    <row r="562" ht="15" customHeight="1">
      <c r="A562" t="inlineStr">
        <is>
          <t>A 6164-2023</t>
        </is>
      </c>
      <c r="B562" s="1" t="n">
        <v>44964.66871527778</v>
      </c>
      <c r="C562" s="1" t="n">
        <v>45880</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37318-2024</t>
        </is>
      </c>
      <c r="B563" s="1" t="n">
        <v>45540</v>
      </c>
      <c r="C563" s="1" t="n">
        <v>45880</v>
      </c>
      <c r="D563" t="inlineStr">
        <is>
          <t>SKÅNE LÄN</t>
        </is>
      </c>
      <c r="E563" t="inlineStr">
        <is>
          <t>HÄSSLEHOLM</t>
        </is>
      </c>
      <c r="G563" t="n">
        <v>3.9</v>
      </c>
      <c r="H563" t="n">
        <v>0</v>
      </c>
      <c r="I563" t="n">
        <v>0</v>
      </c>
      <c r="J563" t="n">
        <v>0</v>
      </c>
      <c r="K563" t="n">
        <v>0</v>
      </c>
      <c r="L563" t="n">
        <v>0</v>
      </c>
      <c r="M563" t="n">
        <v>0</v>
      </c>
      <c r="N563" t="n">
        <v>0</v>
      </c>
      <c r="O563" t="n">
        <v>0</v>
      </c>
      <c r="P563" t="n">
        <v>0</v>
      </c>
      <c r="Q563" t="n">
        <v>0</v>
      </c>
      <c r="R563" s="2" t="inlineStr"/>
    </row>
    <row r="564" ht="15" customHeight="1">
      <c r="A564" t="inlineStr">
        <is>
          <t>A 58891-2022</t>
        </is>
      </c>
      <c r="B564" s="1" t="n">
        <v>44896</v>
      </c>
      <c r="C564" s="1" t="n">
        <v>45880</v>
      </c>
      <c r="D564" t="inlineStr">
        <is>
          <t>SKÅNE LÄN</t>
        </is>
      </c>
      <c r="E564" t="inlineStr">
        <is>
          <t>HÄSSLEHOLM</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37324-2024</t>
        </is>
      </c>
      <c r="B565" s="1" t="n">
        <v>45540.50104166667</v>
      </c>
      <c r="C565" s="1" t="n">
        <v>45880</v>
      </c>
      <c r="D565" t="inlineStr">
        <is>
          <t>SKÅNE LÄN</t>
        </is>
      </c>
      <c r="E565" t="inlineStr">
        <is>
          <t>HÄSSLEHOLM</t>
        </is>
      </c>
      <c r="G565" t="n">
        <v>1.5</v>
      </c>
      <c r="H565" t="n">
        <v>0</v>
      </c>
      <c r="I565" t="n">
        <v>0</v>
      </c>
      <c r="J565" t="n">
        <v>0</v>
      </c>
      <c r="K565" t="n">
        <v>0</v>
      </c>
      <c r="L565" t="n">
        <v>0</v>
      </c>
      <c r="M565" t="n">
        <v>0</v>
      </c>
      <c r="N565" t="n">
        <v>0</v>
      </c>
      <c r="O565" t="n">
        <v>0</v>
      </c>
      <c r="P565" t="n">
        <v>0</v>
      </c>
      <c r="Q565" t="n">
        <v>0</v>
      </c>
      <c r="R565" s="2" t="inlineStr"/>
    </row>
    <row r="566" ht="15" customHeight="1">
      <c r="A566" t="inlineStr">
        <is>
          <t>A 25176-2024</t>
        </is>
      </c>
      <c r="B566" s="1" t="n">
        <v>45462.54582175926</v>
      </c>
      <c r="C566" s="1" t="n">
        <v>45880</v>
      </c>
      <c r="D566" t="inlineStr">
        <is>
          <t>SKÅNE LÄN</t>
        </is>
      </c>
      <c r="E566" t="inlineStr">
        <is>
          <t>HÄSSLEHOLM</t>
        </is>
      </c>
      <c r="G566" t="n">
        <v>3.8</v>
      </c>
      <c r="H566" t="n">
        <v>0</v>
      </c>
      <c r="I566" t="n">
        <v>0</v>
      </c>
      <c r="J566" t="n">
        <v>0</v>
      </c>
      <c r="K566" t="n">
        <v>0</v>
      </c>
      <c r="L566" t="n">
        <v>0</v>
      </c>
      <c r="M566" t="n">
        <v>0</v>
      </c>
      <c r="N566" t="n">
        <v>0</v>
      </c>
      <c r="O566" t="n">
        <v>0</v>
      </c>
      <c r="P566" t="n">
        <v>0</v>
      </c>
      <c r="Q566" t="n">
        <v>0</v>
      </c>
      <c r="R566" s="2" t="inlineStr"/>
    </row>
    <row r="567" ht="15" customHeight="1">
      <c r="A567" t="inlineStr">
        <is>
          <t>A 21091-2025</t>
        </is>
      </c>
      <c r="B567" s="1" t="n">
        <v>45777</v>
      </c>
      <c r="C567" s="1" t="n">
        <v>45880</v>
      </c>
      <c r="D567" t="inlineStr">
        <is>
          <t>SKÅNE LÄN</t>
        </is>
      </c>
      <c r="E567" t="inlineStr">
        <is>
          <t>HÄSSLEHOLM</t>
        </is>
      </c>
      <c r="G567" t="n">
        <v>3.4</v>
      </c>
      <c r="H567" t="n">
        <v>0</v>
      </c>
      <c r="I567" t="n">
        <v>0</v>
      </c>
      <c r="J567" t="n">
        <v>0</v>
      </c>
      <c r="K567" t="n">
        <v>0</v>
      </c>
      <c r="L567" t="n">
        <v>0</v>
      </c>
      <c r="M567" t="n">
        <v>0</v>
      </c>
      <c r="N567" t="n">
        <v>0</v>
      </c>
      <c r="O567" t="n">
        <v>0</v>
      </c>
      <c r="P567" t="n">
        <v>0</v>
      </c>
      <c r="Q567" t="n">
        <v>0</v>
      </c>
      <c r="R567" s="2" t="inlineStr"/>
    </row>
    <row r="568" ht="15" customHeight="1">
      <c r="A568" t="inlineStr">
        <is>
          <t>A 21206-2025</t>
        </is>
      </c>
      <c r="B568" s="1" t="n">
        <v>45779.48318287037</v>
      </c>
      <c r="C568" s="1" t="n">
        <v>45880</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11446-2025</t>
        </is>
      </c>
      <c r="B569" s="1" t="n">
        <v>45726</v>
      </c>
      <c r="C569" s="1" t="n">
        <v>45880</v>
      </c>
      <c r="D569" t="inlineStr">
        <is>
          <t>SKÅNE LÄN</t>
        </is>
      </c>
      <c r="E569" t="inlineStr">
        <is>
          <t>HÄSSLEHOLM</t>
        </is>
      </c>
      <c r="G569" t="n">
        <v>1.9</v>
      </c>
      <c r="H569" t="n">
        <v>0</v>
      </c>
      <c r="I569" t="n">
        <v>0</v>
      </c>
      <c r="J569" t="n">
        <v>0</v>
      </c>
      <c r="K569" t="n">
        <v>0</v>
      </c>
      <c r="L569" t="n">
        <v>0</v>
      </c>
      <c r="M569" t="n">
        <v>0</v>
      </c>
      <c r="N569" t="n">
        <v>0</v>
      </c>
      <c r="O569" t="n">
        <v>0</v>
      </c>
      <c r="P569" t="n">
        <v>0</v>
      </c>
      <c r="Q569" t="n">
        <v>0</v>
      </c>
      <c r="R569" s="2" t="inlineStr"/>
    </row>
    <row r="570" ht="15" customHeight="1">
      <c r="A570" t="inlineStr">
        <is>
          <t>A 19020-2024</t>
        </is>
      </c>
      <c r="B570" s="1" t="n">
        <v>45427.66167824074</v>
      </c>
      <c r="C570" s="1" t="n">
        <v>45880</v>
      </c>
      <c r="D570" t="inlineStr">
        <is>
          <t>SKÅNE LÄN</t>
        </is>
      </c>
      <c r="E570" t="inlineStr">
        <is>
          <t>HÄSSLEHOLM</t>
        </is>
      </c>
      <c r="G570" t="n">
        <v>2.3</v>
      </c>
      <c r="H570" t="n">
        <v>0</v>
      </c>
      <c r="I570" t="n">
        <v>0</v>
      </c>
      <c r="J570" t="n">
        <v>0</v>
      </c>
      <c r="K570" t="n">
        <v>0</v>
      </c>
      <c r="L570" t="n">
        <v>0</v>
      </c>
      <c r="M570" t="n">
        <v>0</v>
      </c>
      <c r="N570" t="n">
        <v>0</v>
      </c>
      <c r="O570" t="n">
        <v>0</v>
      </c>
      <c r="P570" t="n">
        <v>0</v>
      </c>
      <c r="Q570" t="n">
        <v>0</v>
      </c>
      <c r="R570" s="2" t="inlineStr"/>
    </row>
    <row r="571" ht="15" customHeight="1">
      <c r="A571" t="inlineStr">
        <is>
          <t>A 52912-2022</t>
        </is>
      </c>
      <c r="B571" s="1" t="n">
        <v>44872</v>
      </c>
      <c r="C571" s="1" t="n">
        <v>45880</v>
      </c>
      <c r="D571" t="inlineStr">
        <is>
          <t>SKÅNE LÄN</t>
        </is>
      </c>
      <c r="E571" t="inlineStr">
        <is>
          <t>HÄSSLEHOLM</t>
        </is>
      </c>
      <c r="G571" t="n">
        <v>4.7</v>
      </c>
      <c r="H571" t="n">
        <v>0</v>
      </c>
      <c r="I571" t="n">
        <v>0</v>
      </c>
      <c r="J571" t="n">
        <v>0</v>
      </c>
      <c r="K571" t="n">
        <v>0</v>
      </c>
      <c r="L571" t="n">
        <v>0</v>
      </c>
      <c r="M571" t="n">
        <v>0</v>
      </c>
      <c r="N571" t="n">
        <v>0</v>
      </c>
      <c r="O571" t="n">
        <v>0</v>
      </c>
      <c r="P571" t="n">
        <v>0</v>
      </c>
      <c r="Q571" t="n">
        <v>0</v>
      </c>
      <c r="R571" s="2" t="inlineStr"/>
    </row>
    <row r="572" ht="15" customHeight="1">
      <c r="A572" t="inlineStr">
        <is>
          <t>A 24640-2023</t>
        </is>
      </c>
      <c r="B572" s="1" t="n">
        <v>45084.43181712963</v>
      </c>
      <c r="C572" s="1" t="n">
        <v>45880</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22535-2024</t>
        </is>
      </c>
      <c r="B573" s="1" t="n">
        <v>45447</v>
      </c>
      <c r="C573" s="1" t="n">
        <v>45880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30007-2023</t>
        </is>
      </c>
      <c r="B574" s="1" t="n">
        <v>45109.80349537037</v>
      </c>
      <c r="C574" s="1" t="n">
        <v>45880</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29845-2024</t>
        </is>
      </c>
      <c r="B575" s="1" t="n">
        <v>45485.6212037037</v>
      </c>
      <c r="C575" s="1" t="n">
        <v>45880</v>
      </c>
      <c r="D575" t="inlineStr">
        <is>
          <t>SKÅNE LÄN</t>
        </is>
      </c>
      <c r="E575" t="inlineStr">
        <is>
          <t>HÄSSLEHOLM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20006-2025</t>
        </is>
      </c>
      <c r="B576" s="1" t="n">
        <v>45772.05032407407</v>
      </c>
      <c r="C576" s="1" t="n">
        <v>45880</v>
      </c>
      <c r="D576" t="inlineStr">
        <is>
          <t>SKÅNE LÄN</t>
        </is>
      </c>
      <c r="E576" t="inlineStr">
        <is>
          <t>HÄSSLEHOLM</t>
        </is>
      </c>
      <c r="G576" t="n">
        <v>3.9</v>
      </c>
      <c r="H576" t="n">
        <v>0</v>
      </c>
      <c r="I576" t="n">
        <v>0</v>
      </c>
      <c r="J576" t="n">
        <v>0</v>
      </c>
      <c r="K576" t="n">
        <v>0</v>
      </c>
      <c r="L576" t="n">
        <v>0</v>
      </c>
      <c r="M576" t="n">
        <v>0</v>
      </c>
      <c r="N576" t="n">
        <v>0</v>
      </c>
      <c r="O576" t="n">
        <v>0</v>
      </c>
      <c r="P576" t="n">
        <v>0</v>
      </c>
      <c r="Q576" t="n">
        <v>0</v>
      </c>
      <c r="R576" s="2" t="inlineStr"/>
    </row>
    <row r="577" ht="15" customHeight="1">
      <c r="A577" t="inlineStr">
        <is>
          <t>A 61533-2024</t>
        </is>
      </c>
      <c r="B577" s="1" t="n">
        <v>45646</v>
      </c>
      <c r="C577" s="1" t="n">
        <v>45880</v>
      </c>
      <c r="D577" t="inlineStr">
        <is>
          <t>SKÅNE LÄN</t>
        </is>
      </c>
      <c r="E577" t="inlineStr">
        <is>
          <t>HÄSSLEHOLM</t>
        </is>
      </c>
      <c r="G577" t="n">
        <v>4.5</v>
      </c>
      <c r="H577" t="n">
        <v>0</v>
      </c>
      <c r="I577" t="n">
        <v>0</v>
      </c>
      <c r="J577" t="n">
        <v>0</v>
      </c>
      <c r="K577" t="n">
        <v>0</v>
      </c>
      <c r="L577" t="n">
        <v>0</v>
      </c>
      <c r="M577" t="n">
        <v>0</v>
      </c>
      <c r="N577" t="n">
        <v>0</v>
      </c>
      <c r="O577" t="n">
        <v>0</v>
      </c>
      <c r="P577" t="n">
        <v>0</v>
      </c>
      <c r="Q577" t="n">
        <v>0</v>
      </c>
      <c r="R577" s="2" t="inlineStr"/>
    </row>
    <row r="578" ht="15" customHeight="1">
      <c r="A578" t="inlineStr">
        <is>
          <t>A 1289-2024</t>
        </is>
      </c>
      <c r="B578" s="1" t="n">
        <v>45303.32234953704</v>
      </c>
      <c r="C578" s="1" t="n">
        <v>45880</v>
      </c>
      <c r="D578" t="inlineStr">
        <is>
          <t>SKÅNE LÄN</t>
        </is>
      </c>
      <c r="E578" t="inlineStr">
        <is>
          <t>HÄSSLEHOLM</t>
        </is>
      </c>
      <c r="G578" t="n">
        <v>4.6</v>
      </c>
      <c r="H578" t="n">
        <v>0</v>
      </c>
      <c r="I578" t="n">
        <v>0</v>
      </c>
      <c r="J578" t="n">
        <v>0</v>
      </c>
      <c r="K578" t="n">
        <v>0</v>
      </c>
      <c r="L578" t="n">
        <v>0</v>
      </c>
      <c r="M578" t="n">
        <v>0</v>
      </c>
      <c r="N578" t="n">
        <v>0</v>
      </c>
      <c r="O578" t="n">
        <v>0</v>
      </c>
      <c r="P578" t="n">
        <v>0</v>
      </c>
      <c r="Q578" t="n">
        <v>0</v>
      </c>
      <c r="R578" s="2" t="inlineStr"/>
    </row>
    <row r="579" ht="15" customHeight="1">
      <c r="A579" t="inlineStr">
        <is>
          <t>A 61537-2024</t>
        </is>
      </c>
      <c r="B579" s="1" t="n">
        <v>45646</v>
      </c>
      <c r="C579" s="1" t="n">
        <v>45880</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21638-2025</t>
        </is>
      </c>
      <c r="B580" s="1" t="n">
        <v>45783.43087962963</v>
      </c>
      <c r="C580" s="1" t="n">
        <v>45880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7818-2024</t>
        </is>
      </c>
      <c r="B581" s="1" t="n">
        <v>45349.68872685185</v>
      </c>
      <c r="C581" s="1" t="n">
        <v>45880</v>
      </c>
      <c r="D581" t="inlineStr">
        <is>
          <t>SKÅNE LÄN</t>
        </is>
      </c>
      <c r="E581" t="inlineStr">
        <is>
          <t>HÄSSLEHOLM</t>
        </is>
      </c>
      <c r="G581" t="n">
        <v>2.5</v>
      </c>
      <c r="H581" t="n">
        <v>0</v>
      </c>
      <c r="I581" t="n">
        <v>0</v>
      </c>
      <c r="J581" t="n">
        <v>0</v>
      </c>
      <c r="K581" t="n">
        <v>0</v>
      </c>
      <c r="L581" t="n">
        <v>0</v>
      </c>
      <c r="M581" t="n">
        <v>0</v>
      </c>
      <c r="N581" t="n">
        <v>0</v>
      </c>
      <c r="O581" t="n">
        <v>0</v>
      </c>
      <c r="P581" t="n">
        <v>0</v>
      </c>
      <c r="Q581" t="n">
        <v>0</v>
      </c>
      <c r="R581" s="2" t="inlineStr"/>
    </row>
    <row r="582" ht="15" customHeight="1">
      <c r="A582" t="inlineStr">
        <is>
          <t>A 11715-2023</t>
        </is>
      </c>
      <c r="B582" s="1" t="n">
        <v>44992</v>
      </c>
      <c r="C582" s="1" t="n">
        <v>45880</v>
      </c>
      <c r="D582" t="inlineStr">
        <is>
          <t>SKÅNE LÄN</t>
        </is>
      </c>
      <c r="E582" t="inlineStr">
        <is>
          <t>HÄSSLEHOLM</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25606-2024</t>
        </is>
      </c>
      <c r="B583" s="1" t="n">
        <v>45463.63179398148</v>
      </c>
      <c r="C583" s="1" t="n">
        <v>45880</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3726-2024</t>
        </is>
      </c>
      <c r="B584" s="1" t="n">
        <v>45321</v>
      </c>
      <c r="C584" s="1" t="n">
        <v>45880</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39044-2024</t>
        </is>
      </c>
      <c r="B585" s="1" t="n">
        <v>45548.47707175926</v>
      </c>
      <c r="C585" s="1" t="n">
        <v>45880</v>
      </c>
      <c r="D585" t="inlineStr">
        <is>
          <t>SKÅNE LÄN</t>
        </is>
      </c>
      <c r="E585" t="inlineStr">
        <is>
          <t>HÄSSLEHOLM</t>
        </is>
      </c>
      <c r="G585" t="n">
        <v>2.8</v>
      </c>
      <c r="H585" t="n">
        <v>0</v>
      </c>
      <c r="I585" t="n">
        <v>0</v>
      </c>
      <c r="J585" t="n">
        <v>0</v>
      </c>
      <c r="K585" t="n">
        <v>0</v>
      </c>
      <c r="L585" t="n">
        <v>0</v>
      </c>
      <c r="M585" t="n">
        <v>0</v>
      </c>
      <c r="N585" t="n">
        <v>0</v>
      </c>
      <c r="O585" t="n">
        <v>0</v>
      </c>
      <c r="P585" t="n">
        <v>0</v>
      </c>
      <c r="Q585" t="n">
        <v>0</v>
      </c>
      <c r="R585" s="2" t="inlineStr"/>
    </row>
    <row r="586" ht="15" customHeight="1">
      <c r="A586" t="inlineStr">
        <is>
          <t>A 1538-2024</t>
        </is>
      </c>
      <c r="B586" s="1" t="n">
        <v>45306</v>
      </c>
      <c r="C586" s="1" t="n">
        <v>45880</v>
      </c>
      <c r="D586" t="inlineStr">
        <is>
          <t>SKÅNE LÄN</t>
        </is>
      </c>
      <c r="E586" t="inlineStr">
        <is>
          <t>HÄSSLEHOLM</t>
        </is>
      </c>
      <c r="G586" t="n">
        <v>4.8</v>
      </c>
      <c r="H586" t="n">
        <v>0</v>
      </c>
      <c r="I586" t="n">
        <v>0</v>
      </c>
      <c r="J586" t="n">
        <v>0</v>
      </c>
      <c r="K586" t="n">
        <v>0</v>
      </c>
      <c r="L586" t="n">
        <v>0</v>
      </c>
      <c r="M586" t="n">
        <v>0</v>
      </c>
      <c r="N586" t="n">
        <v>0</v>
      </c>
      <c r="O586" t="n">
        <v>0</v>
      </c>
      <c r="P586" t="n">
        <v>0</v>
      </c>
      <c r="Q586" t="n">
        <v>0</v>
      </c>
      <c r="R586" s="2" t="inlineStr"/>
    </row>
    <row r="587" ht="15" customHeight="1">
      <c r="A587" t="inlineStr">
        <is>
          <t>A 39111-2023</t>
        </is>
      </c>
      <c r="B587" s="1" t="n">
        <v>45164.87140046297</v>
      </c>
      <c r="C587" s="1" t="n">
        <v>45880</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25533-2024</t>
        </is>
      </c>
      <c r="B588" s="1" t="n">
        <v>45463</v>
      </c>
      <c r="C588" s="1" t="n">
        <v>45880</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60851-2024</t>
        </is>
      </c>
      <c r="B589" s="1" t="n">
        <v>45644.66182870371</v>
      </c>
      <c r="C589" s="1" t="n">
        <v>45880</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317-2025</t>
        </is>
      </c>
      <c r="B590" s="1" t="n">
        <v>45660</v>
      </c>
      <c r="C590" s="1" t="n">
        <v>45880</v>
      </c>
      <c r="D590" t="inlineStr">
        <is>
          <t>SKÅNE LÄN</t>
        </is>
      </c>
      <c r="E590" t="inlineStr">
        <is>
          <t>HÄSSLEHOLM</t>
        </is>
      </c>
      <c r="G590" t="n">
        <v>1.6</v>
      </c>
      <c r="H590" t="n">
        <v>0</v>
      </c>
      <c r="I590" t="n">
        <v>0</v>
      </c>
      <c r="J590" t="n">
        <v>0</v>
      </c>
      <c r="K590" t="n">
        <v>0</v>
      </c>
      <c r="L590" t="n">
        <v>0</v>
      </c>
      <c r="M590" t="n">
        <v>0</v>
      </c>
      <c r="N590" t="n">
        <v>0</v>
      </c>
      <c r="O590" t="n">
        <v>0</v>
      </c>
      <c r="P590" t="n">
        <v>0</v>
      </c>
      <c r="Q590" t="n">
        <v>0</v>
      </c>
      <c r="R590" s="2" t="inlineStr"/>
    </row>
    <row r="591" ht="15" customHeight="1">
      <c r="A591" t="inlineStr">
        <is>
          <t>A 21625-2025</t>
        </is>
      </c>
      <c r="B591" s="1" t="n">
        <v>45783.41252314814</v>
      </c>
      <c r="C591" s="1" t="n">
        <v>45880</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14255-2024</t>
        </is>
      </c>
      <c r="B592" s="1" t="n">
        <v>45393</v>
      </c>
      <c r="C592" s="1" t="n">
        <v>45880</v>
      </c>
      <c r="D592" t="inlineStr">
        <is>
          <t>SKÅNE LÄN</t>
        </is>
      </c>
      <c r="E592" t="inlineStr">
        <is>
          <t>HÄSSLEHOLM</t>
        </is>
      </c>
      <c r="G592" t="n">
        <v>11.9</v>
      </c>
      <c r="H592" t="n">
        <v>0</v>
      </c>
      <c r="I592" t="n">
        <v>0</v>
      </c>
      <c r="J592" t="n">
        <v>0</v>
      </c>
      <c r="K592" t="n">
        <v>0</v>
      </c>
      <c r="L592" t="n">
        <v>0</v>
      </c>
      <c r="M592" t="n">
        <v>0</v>
      </c>
      <c r="N592" t="n">
        <v>0</v>
      </c>
      <c r="O592" t="n">
        <v>0</v>
      </c>
      <c r="P592" t="n">
        <v>0</v>
      </c>
      <c r="Q592" t="n">
        <v>0</v>
      </c>
      <c r="R592" s="2" t="inlineStr"/>
    </row>
    <row r="593" ht="15" customHeight="1">
      <c r="A593" t="inlineStr">
        <is>
          <t>A 31934-2024</t>
        </is>
      </c>
      <c r="B593" s="1" t="n">
        <v>45510.41177083334</v>
      </c>
      <c r="C593" s="1" t="n">
        <v>45880</v>
      </c>
      <c r="D593" t="inlineStr">
        <is>
          <t>SKÅNE LÄN</t>
        </is>
      </c>
      <c r="E593" t="inlineStr">
        <is>
          <t>HÄSSLEHOLM</t>
        </is>
      </c>
      <c r="G593" t="n">
        <v>1.9</v>
      </c>
      <c r="H593" t="n">
        <v>0</v>
      </c>
      <c r="I593" t="n">
        <v>0</v>
      </c>
      <c r="J593" t="n">
        <v>0</v>
      </c>
      <c r="K593" t="n">
        <v>0</v>
      </c>
      <c r="L593" t="n">
        <v>0</v>
      </c>
      <c r="M593" t="n">
        <v>0</v>
      </c>
      <c r="N593" t="n">
        <v>0</v>
      </c>
      <c r="O593" t="n">
        <v>0</v>
      </c>
      <c r="P593" t="n">
        <v>0</v>
      </c>
      <c r="Q593" t="n">
        <v>0</v>
      </c>
      <c r="R593" s="2" t="inlineStr"/>
    </row>
    <row r="594" ht="15" customHeight="1">
      <c r="A594" t="inlineStr">
        <is>
          <t>A 29847-2024</t>
        </is>
      </c>
      <c r="B594" s="1" t="n">
        <v>45485.6278587963</v>
      </c>
      <c r="C594" s="1" t="n">
        <v>45880</v>
      </c>
      <c r="D594" t="inlineStr">
        <is>
          <t>SKÅNE LÄN</t>
        </is>
      </c>
      <c r="E594" t="inlineStr">
        <is>
          <t>HÄSSLEHOLM</t>
        </is>
      </c>
      <c r="G594" t="n">
        <v>1.2</v>
      </c>
      <c r="H594" t="n">
        <v>0</v>
      </c>
      <c r="I594" t="n">
        <v>0</v>
      </c>
      <c r="J594" t="n">
        <v>0</v>
      </c>
      <c r="K594" t="n">
        <v>0</v>
      </c>
      <c r="L594" t="n">
        <v>0</v>
      </c>
      <c r="M594" t="n">
        <v>0</v>
      </c>
      <c r="N594" t="n">
        <v>0</v>
      </c>
      <c r="O594" t="n">
        <v>0</v>
      </c>
      <c r="P594" t="n">
        <v>0</v>
      </c>
      <c r="Q594" t="n">
        <v>0</v>
      </c>
      <c r="R594" s="2" t="inlineStr"/>
    </row>
    <row r="595" ht="15" customHeight="1">
      <c r="A595" t="inlineStr">
        <is>
          <t>A 60920-2024</t>
        </is>
      </c>
      <c r="B595" s="1" t="n">
        <v>45645.34442129629</v>
      </c>
      <c r="C595" s="1" t="n">
        <v>45880</v>
      </c>
      <c r="D595" t="inlineStr">
        <is>
          <t>SKÅNE LÄN</t>
        </is>
      </c>
      <c r="E595" t="inlineStr">
        <is>
          <t>HÄSSLEHOLM</t>
        </is>
      </c>
      <c r="G595" t="n">
        <v>2.6</v>
      </c>
      <c r="H595" t="n">
        <v>0</v>
      </c>
      <c r="I595" t="n">
        <v>0</v>
      </c>
      <c r="J595" t="n">
        <v>0</v>
      </c>
      <c r="K595" t="n">
        <v>0</v>
      </c>
      <c r="L595" t="n">
        <v>0</v>
      </c>
      <c r="M595" t="n">
        <v>0</v>
      </c>
      <c r="N595" t="n">
        <v>0</v>
      </c>
      <c r="O595" t="n">
        <v>0</v>
      </c>
      <c r="P595" t="n">
        <v>0</v>
      </c>
      <c r="Q595" t="n">
        <v>0</v>
      </c>
      <c r="R595" s="2" t="inlineStr"/>
    </row>
    <row r="596" ht="15" customHeight="1">
      <c r="A596" t="inlineStr">
        <is>
          <t>A 30092-2025</t>
        </is>
      </c>
      <c r="B596" s="1" t="n">
        <v>45826</v>
      </c>
      <c r="C596" s="1" t="n">
        <v>45880</v>
      </c>
      <c r="D596" t="inlineStr">
        <is>
          <t>SKÅNE LÄN</t>
        </is>
      </c>
      <c r="E596" t="inlineStr">
        <is>
          <t>HÄSSLEHOLM</t>
        </is>
      </c>
      <c r="G596" t="n">
        <v>1.4</v>
      </c>
      <c r="H596" t="n">
        <v>0</v>
      </c>
      <c r="I596" t="n">
        <v>0</v>
      </c>
      <c r="J596" t="n">
        <v>0</v>
      </c>
      <c r="K596" t="n">
        <v>0</v>
      </c>
      <c r="L596" t="n">
        <v>0</v>
      </c>
      <c r="M596" t="n">
        <v>0</v>
      </c>
      <c r="N596" t="n">
        <v>0</v>
      </c>
      <c r="O596" t="n">
        <v>0</v>
      </c>
      <c r="P596" t="n">
        <v>0</v>
      </c>
      <c r="Q596" t="n">
        <v>0</v>
      </c>
      <c r="R596" s="2" t="inlineStr"/>
    </row>
    <row r="597" ht="15" customHeight="1">
      <c r="A597" t="inlineStr">
        <is>
          <t>A 7653-2024</t>
        </is>
      </c>
      <c r="B597" s="1" t="n">
        <v>45348.69043981482</v>
      </c>
      <c r="C597" s="1" t="n">
        <v>45880</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1703-2025</t>
        </is>
      </c>
      <c r="B598" s="1" t="n">
        <v>45670.80732638889</v>
      </c>
      <c r="C598" s="1" t="n">
        <v>45880</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22024-2025</t>
        </is>
      </c>
      <c r="B599" s="1" t="n">
        <v>45784.85322916666</v>
      </c>
      <c r="C599" s="1" t="n">
        <v>45880</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20058-2023</t>
        </is>
      </c>
      <c r="B600" s="1" t="n">
        <v>45054.68476851852</v>
      </c>
      <c r="C600" s="1" t="n">
        <v>45880</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10897-2023</t>
        </is>
      </c>
      <c r="B601" s="1" t="n">
        <v>44985</v>
      </c>
      <c r="C601" s="1" t="n">
        <v>45880</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29274-2023</t>
        </is>
      </c>
      <c r="B602" s="1" t="n">
        <v>45105</v>
      </c>
      <c r="C602" s="1" t="n">
        <v>45880</v>
      </c>
      <c r="D602" t="inlineStr">
        <is>
          <t>SKÅNE LÄN</t>
        </is>
      </c>
      <c r="E602" t="inlineStr">
        <is>
          <t>HÄSSLEHOLM</t>
        </is>
      </c>
      <c r="G602" t="n">
        <v>3.4</v>
      </c>
      <c r="H602" t="n">
        <v>0</v>
      </c>
      <c r="I602" t="n">
        <v>0</v>
      </c>
      <c r="J602" t="n">
        <v>0</v>
      </c>
      <c r="K602" t="n">
        <v>0</v>
      </c>
      <c r="L602" t="n">
        <v>0</v>
      </c>
      <c r="M602" t="n">
        <v>0</v>
      </c>
      <c r="N602" t="n">
        <v>0</v>
      </c>
      <c r="O602" t="n">
        <v>0</v>
      </c>
      <c r="P602" t="n">
        <v>0</v>
      </c>
      <c r="Q602" t="n">
        <v>0</v>
      </c>
      <c r="R602" s="2" t="inlineStr"/>
    </row>
    <row r="603" ht="15" customHeight="1">
      <c r="A603" t="inlineStr">
        <is>
          <t>A 16108-2025</t>
        </is>
      </c>
      <c r="B603" s="1" t="n">
        <v>45750.34667824074</v>
      </c>
      <c r="C603" s="1" t="n">
        <v>45880</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34890-2023</t>
        </is>
      </c>
      <c r="B604" s="1" t="n">
        <v>45142.39475694444</v>
      </c>
      <c r="C604" s="1" t="n">
        <v>45880</v>
      </c>
      <c r="D604" t="inlineStr">
        <is>
          <t>SKÅNE LÄN</t>
        </is>
      </c>
      <c r="E604" t="inlineStr">
        <is>
          <t>HÄSSLEHOLM</t>
        </is>
      </c>
      <c r="G604" t="n">
        <v>4</v>
      </c>
      <c r="H604" t="n">
        <v>0</v>
      </c>
      <c r="I604" t="n">
        <v>0</v>
      </c>
      <c r="J604" t="n">
        <v>0</v>
      </c>
      <c r="K604" t="n">
        <v>0</v>
      </c>
      <c r="L604" t="n">
        <v>0</v>
      </c>
      <c r="M604" t="n">
        <v>0</v>
      </c>
      <c r="N604" t="n">
        <v>0</v>
      </c>
      <c r="O604" t="n">
        <v>0</v>
      </c>
      <c r="P604" t="n">
        <v>0</v>
      </c>
      <c r="Q604" t="n">
        <v>0</v>
      </c>
      <c r="R604" s="2" t="inlineStr"/>
    </row>
    <row r="605" ht="15" customHeight="1">
      <c r="A605" t="inlineStr">
        <is>
          <t>A 3886-2024</t>
        </is>
      </c>
      <c r="B605" s="1" t="n">
        <v>45322.44539351852</v>
      </c>
      <c r="C605" s="1" t="n">
        <v>45880</v>
      </c>
      <c r="D605" t="inlineStr">
        <is>
          <t>SKÅNE LÄN</t>
        </is>
      </c>
      <c r="E605" t="inlineStr">
        <is>
          <t>HÄSSLEHOLM</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56986-2024</t>
        </is>
      </c>
      <c r="B606" s="1" t="n">
        <v>45626</v>
      </c>
      <c r="C606" s="1" t="n">
        <v>45880</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49111-2023</t>
        </is>
      </c>
      <c r="B607" s="1" t="n">
        <v>45210.44464120371</v>
      </c>
      <c r="C607" s="1" t="n">
        <v>45880</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12570-2023</t>
        </is>
      </c>
      <c r="B608" s="1" t="n">
        <v>44999</v>
      </c>
      <c r="C608" s="1" t="n">
        <v>45880</v>
      </c>
      <c r="D608" t="inlineStr">
        <is>
          <t>SKÅNE LÄN</t>
        </is>
      </c>
      <c r="E608" t="inlineStr">
        <is>
          <t>HÄSSLEHOLM</t>
        </is>
      </c>
      <c r="G608" t="n">
        <v>3.4</v>
      </c>
      <c r="H608" t="n">
        <v>0</v>
      </c>
      <c r="I608" t="n">
        <v>0</v>
      </c>
      <c r="J608" t="n">
        <v>0</v>
      </c>
      <c r="K608" t="n">
        <v>0</v>
      </c>
      <c r="L608" t="n">
        <v>0</v>
      </c>
      <c r="M608" t="n">
        <v>0</v>
      </c>
      <c r="N608" t="n">
        <v>0</v>
      </c>
      <c r="O608" t="n">
        <v>0</v>
      </c>
      <c r="P608" t="n">
        <v>0</v>
      </c>
      <c r="Q608" t="n">
        <v>0</v>
      </c>
      <c r="R608" s="2" t="inlineStr"/>
    </row>
    <row r="609" ht="15" customHeight="1">
      <c r="A609" t="inlineStr">
        <is>
          <t>A 61932-2023</t>
        </is>
      </c>
      <c r="B609" s="1" t="n">
        <v>45266.53761574074</v>
      </c>
      <c r="C609" s="1" t="n">
        <v>45880</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13149-2024</t>
        </is>
      </c>
      <c r="B610" s="1" t="n">
        <v>45386</v>
      </c>
      <c r="C610" s="1" t="n">
        <v>45880</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14926-2024</t>
        </is>
      </c>
      <c r="B611" s="1" t="n">
        <v>45398</v>
      </c>
      <c r="C611" s="1" t="n">
        <v>45880</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2688-2024</t>
        </is>
      </c>
      <c r="B612" s="1" t="n">
        <v>45314</v>
      </c>
      <c r="C612" s="1" t="n">
        <v>45880</v>
      </c>
      <c r="D612" t="inlineStr">
        <is>
          <t>SKÅNE LÄN</t>
        </is>
      </c>
      <c r="E612" t="inlineStr">
        <is>
          <t>HÄSSLEHOLM</t>
        </is>
      </c>
      <c r="F612" t="inlineStr">
        <is>
          <t>Övriga Aktiebolag</t>
        </is>
      </c>
      <c r="G612" t="n">
        <v>2.8</v>
      </c>
      <c r="H612" t="n">
        <v>0</v>
      </c>
      <c r="I612" t="n">
        <v>0</v>
      </c>
      <c r="J612" t="n">
        <v>0</v>
      </c>
      <c r="K612" t="n">
        <v>0</v>
      </c>
      <c r="L612" t="n">
        <v>0</v>
      </c>
      <c r="M612" t="n">
        <v>0</v>
      </c>
      <c r="N612" t="n">
        <v>0</v>
      </c>
      <c r="O612" t="n">
        <v>0</v>
      </c>
      <c r="P612" t="n">
        <v>0</v>
      </c>
      <c r="Q612" t="n">
        <v>0</v>
      </c>
      <c r="R612" s="2" t="inlineStr"/>
    </row>
    <row r="613" ht="15" customHeight="1">
      <c r="A613" t="inlineStr">
        <is>
          <t>A 36733-2023</t>
        </is>
      </c>
      <c r="B613" s="1" t="n">
        <v>45153.69989583334</v>
      </c>
      <c r="C613" s="1" t="n">
        <v>45880</v>
      </c>
      <c r="D613" t="inlineStr">
        <is>
          <t>SKÅNE LÄN</t>
        </is>
      </c>
      <c r="E613" t="inlineStr">
        <is>
          <t>HÄSSLEHOLM</t>
        </is>
      </c>
      <c r="G613" t="n">
        <v>4.8</v>
      </c>
      <c r="H613" t="n">
        <v>0</v>
      </c>
      <c r="I613" t="n">
        <v>0</v>
      </c>
      <c r="J613" t="n">
        <v>0</v>
      </c>
      <c r="K613" t="n">
        <v>0</v>
      </c>
      <c r="L613" t="n">
        <v>0</v>
      </c>
      <c r="M613" t="n">
        <v>0</v>
      </c>
      <c r="N613" t="n">
        <v>0</v>
      </c>
      <c r="O613" t="n">
        <v>0</v>
      </c>
      <c r="P613" t="n">
        <v>0</v>
      </c>
      <c r="Q613" t="n">
        <v>0</v>
      </c>
      <c r="R613" s="2" t="inlineStr"/>
    </row>
    <row r="614" ht="15" customHeight="1">
      <c r="A614" t="inlineStr">
        <is>
          <t>A 54359-2020</t>
        </is>
      </c>
      <c r="B614" s="1" t="n">
        <v>44126</v>
      </c>
      <c r="C614" s="1" t="n">
        <v>45880</v>
      </c>
      <c r="D614" t="inlineStr">
        <is>
          <t>SKÅNE LÄN</t>
        </is>
      </c>
      <c r="E614" t="inlineStr">
        <is>
          <t>HÄSSLEHOLM</t>
        </is>
      </c>
      <c r="G614" t="n">
        <v>1.2</v>
      </c>
      <c r="H614" t="n">
        <v>0</v>
      </c>
      <c r="I614" t="n">
        <v>0</v>
      </c>
      <c r="J614" t="n">
        <v>0</v>
      </c>
      <c r="K614" t="n">
        <v>0</v>
      </c>
      <c r="L614" t="n">
        <v>0</v>
      </c>
      <c r="M614" t="n">
        <v>0</v>
      </c>
      <c r="N614" t="n">
        <v>0</v>
      </c>
      <c r="O614" t="n">
        <v>0</v>
      </c>
      <c r="P614" t="n">
        <v>0</v>
      </c>
      <c r="Q614" t="n">
        <v>0</v>
      </c>
      <c r="R614" s="2" t="inlineStr"/>
    </row>
    <row r="615" ht="15" customHeight="1">
      <c r="A615" t="inlineStr">
        <is>
          <t>A 54374-2020</t>
        </is>
      </c>
      <c r="B615" s="1" t="n">
        <v>44126</v>
      </c>
      <c r="C615" s="1" t="n">
        <v>45880</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53466-2024</t>
        </is>
      </c>
      <c r="B616" s="1" t="n">
        <v>45614.55304398148</v>
      </c>
      <c r="C616" s="1" t="n">
        <v>45880</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8244-2023</t>
        </is>
      </c>
      <c r="B617" s="1" t="n">
        <v>44974</v>
      </c>
      <c r="C617" s="1" t="n">
        <v>45880</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8246-2023</t>
        </is>
      </c>
      <c r="B618" s="1" t="n">
        <v>44974</v>
      </c>
      <c r="C618" s="1" t="n">
        <v>45880</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10230-2025</t>
        </is>
      </c>
      <c r="B619" s="1" t="n">
        <v>45720</v>
      </c>
      <c r="C619" s="1" t="n">
        <v>45880</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30109-2025</t>
        </is>
      </c>
      <c r="B620" s="1" t="n">
        <v>45826</v>
      </c>
      <c r="C620" s="1" t="n">
        <v>45880</v>
      </c>
      <c r="D620" t="inlineStr">
        <is>
          <t>SKÅNE LÄN</t>
        </is>
      </c>
      <c r="E620" t="inlineStr">
        <is>
          <t>HÄSSLEHOLM</t>
        </is>
      </c>
      <c r="G620" t="n">
        <v>2.4</v>
      </c>
      <c r="H620" t="n">
        <v>0</v>
      </c>
      <c r="I620" t="n">
        <v>0</v>
      </c>
      <c r="J620" t="n">
        <v>0</v>
      </c>
      <c r="K620" t="n">
        <v>0</v>
      </c>
      <c r="L620" t="n">
        <v>0</v>
      </c>
      <c r="M620" t="n">
        <v>0</v>
      </c>
      <c r="N620" t="n">
        <v>0</v>
      </c>
      <c r="O620" t="n">
        <v>0</v>
      </c>
      <c r="P620" t="n">
        <v>0</v>
      </c>
      <c r="Q620" t="n">
        <v>0</v>
      </c>
      <c r="R620" s="2" t="inlineStr"/>
    </row>
    <row r="621" ht="15" customHeight="1">
      <c r="A621" t="inlineStr">
        <is>
          <t>A 34834-2023</t>
        </is>
      </c>
      <c r="B621" s="1" t="n">
        <v>45141.7199537037</v>
      </c>
      <c r="C621" s="1" t="n">
        <v>45880</v>
      </c>
      <c r="D621" t="inlineStr">
        <is>
          <t>SKÅNE LÄN</t>
        </is>
      </c>
      <c r="E621" t="inlineStr">
        <is>
          <t>HÄSSLEHOLM</t>
        </is>
      </c>
      <c r="G621" t="n">
        <v>1</v>
      </c>
      <c r="H621" t="n">
        <v>0</v>
      </c>
      <c r="I621" t="n">
        <v>0</v>
      </c>
      <c r="J621" t="n">
        <v>0</v>
      </c>
      <c r="K621" t="n">
        <v>0</v>
      </c>
      <c r="L621" t="n">
        <v>0</v>
      </c>
      <c r="M621" t="n">
        <v>0</v>
      </c>
      <c r="N621" t="n">
        <v>0</v>
      </c>
      <c r="O621" t="n">
        <v>0</v>
      </c>
      <c r="P621" t="n">
        <v>0</v>
      </c>
      <c r="Q621" t="n">
        <v>0</v>
      </c>
      <c r="R621" s="2" t="inlineStr"/>
    </row>
    <row r="622" ht="15" customHeight="1">
      <c r="A622" t="inlineStr">
        <is>
          <t>A 24679-2023</t>
        </is>
      </c>
      <c r="B622" s="1" t="n">
        <v>45084</v>
      </c>
      <c r="C622" s="1" t="n">
        <v>45880</v>
      </c>
      <c r="D622" t="inlineStr">
        <is>
          <t>SKÅNE LÄN</t>
        </is>
      </c>
      <c r="E622" t="inlineStr">
        <is>
          <t>HÄSSLEHOLM</t>
        </is>
      </c>
      <c r="G622" t="n">
        <v>7.1</v>
      </c>
      <c r="H622" t="n">
        <v>0</v>
      </c>
      <c r="I622" t="n">
        <v>0</v>
      </c>
      <c r="J622" t="n">
        <v>0</v>
      </c>
      <c r="K622" t="n">
        <v>0</v>
      </c>
      <c r="L622" t="n">
        <v>0</v>
      </c>
      <c r="M622" t="n">
        <v>0</v>
      </c>
      <c r="N622" t="n">
        <v>0</v>
      </c>
      <c r="O622" t="n">
        <v>0</v>
      </c>
      <c r="P622" t="n">
        <v>0</v>
      </c>
      <c r="Q622" t="n">
        <v>0</v>
      </c>
      <c r="R622" s="2" t="inlineStr"/>
    </row>
    <row r="623" ht="15" customHeight="1">
      <c r="A623" t="inlineStr">
        <is>
          <t>A 69109-2020</t>
        </is>
      </c>
      <c r="B623" s="1" t="n">
        <v>44188</v>
      </c>
      <c r="C623" s="1" t="n">
        <v>45880</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34299-2024</t>
        </is>
      </c>
      <c r="B624" s="1" t="n">
        <v>45524</v>
      </c>
      <c r="C624" s="1" t="n">
        <v>45880</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19735-2023</t>
        </is>
      </c>
      <c r="B625" s="1" t="n">
        <v>45051.52199074074</v>
      </c>
      <c r="C625" s="1" t="n">
        <v>45880</v>
      </c>
      <c r="D625" t="inlineStr">
        <is>
          <t>SKÅNE LÄN</t>
        </is>
      </c>
      <c r="E625" t="inlineStr">
        <is>
          <t>HÄSSLEHOLM</t>
        </is>
      </c>
      <c r="G625" t="n">
        <v>4</v>
      </c>
      <c r="H625" t="n">
        <v>0</v>
      </c>
      <c r="I625" t="n">
        <v>0</v>
      </c>
      <c r="J625" t="n">
        <v>0</v>
      </c>
      <c r="K625" t="n">
        <v>0</v>
      </c>
      <c r="L625" t="n">
        <v>0</v>
      </c>
      <c r="M625" t="n">
        <v>0</v>
      </c>
      <c r="N625" t="n">
        <v>0</v>
      </c>
      <c r="O625" t="n">
        <v>0</v>
      </c>
      <c r="P625" t="n">
        <v>0</v>
      </c>
      <c r="Q625" t="n">
        <v>0</v>
      </c>
      <c r="R625" s="2" t="inlineStr"/>
    </row>
    <row r="626" ht="15" customHeight="1">
      <c r="A626" t="inlineStr">
        <is>
          <t>A 60846-2022</t>
        </is>
      </c>
      <c r="B626" s="1" t="n">
        <v>44914</v>
      </c>
      <c r="C626" s="1" t="n">
        <v>45880</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48797-2023</t>
        </is>
      </c>
      <c r="B627" s="1" t="n">
        <v>45209.24986111111</v>
      </c>
      <c r="C627" s="1" t="n">
        <v>45880</v>
      </c>
      <c r="D627" t="inlineStr">
        <is>
          <t>SKÅNE LÄN</t>
        </is>
      </c>
      <c r="E627" t="inlineStr">
        <is>
          <t>HÄSSLEHOLM</t>
        </is>
      </c>
      <c r="G627" t="n">
        <v>1.2</v>
      </c>
      <c r="H627" t="n">
        <v>0</v>
      </c>
      <c r="I627" t="n">
        <v>0</v>
      </c>
      <c r="J627" t="n">
        <v>0</v>
      </c>
      <c r="K627" t="n">
        <v>0</v>
      </c>
      <c r="L627" t="n">
        <v>0</v>
      </c>
      <c r="M627" t="n">
        <v>0</v>
      </c>
      <c r="N627" t="n">
        <v>0</v>
      </c>
      <c r="O627" t="n">
        <v>0</v>
      </c>
      <c r="P627" t="n">
        <v>0</v>
      </c>
      <c r="Q627" t="n">
        <v>0</v>
      </c>
      <c r="R627" s="2" t="inlineStr"/>
    </row>
    <row r="628" ht="15" customHeight="1">
      <c r="A628" t="inlineStr">
        <is>
          <t>A 5532-2025</t>
        </is>
      </c>
      <c r="B628" s="1" t="n">
        <v>45693</v>
      </c>
      <c r="C628" s="1" t="n">
        <v>45880</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55662-2022</t>
        </is>
      </c>
      <c r="B629" s="1" t="n">
        <v>44883</v>
      </c>
      <c r="C629" s="1" t="n">
        <v>45880</v>
      </c>
      <c r="D629" t="inlineStr">
        <is>
          <t>SKÅNE LÄN</t>
        </is>
      </c>
      <c r="E629" t="inlineStr">
        <is>
          <t>HÄSSLEHOLM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16016-2025</t>
        </is>
      </c>
      <c r="B630" s="1" t="n">
        <v>45749.60505787037</v>
      </c>
      <c r="C630" s="1" t="n">
        <v>45880</v>
      </c>
      <c r="D630" t="inlineStr">
        <is>
          <t>SKÅNE LÄN</t>
        </is>
      </c>
      <c r="E630" t="inlineStr">
        <is>
          <t>HÄSSLEHOLM</t>
        </is>
      </c>
      <c r="G630" t="n">
        <v>1.6</v>
      </c>
      <c r="H630" t="n">
        <v>0</v>
      </c>
      <c r="I630" t="n">
        <v>0</v>
      </c>
      <c r="J630" t="n">
        <v>0</v>
      </c>
      <c r="K630" t="n">
        <v>0</v>
      </c>
      <c r="L630" t="n">
        <v>0</v>
      </c>
      <c r="M630" t="n">
        <v>0</v>
      </c>
      <c r="N630" t="n">
        <v>0</v>
      </c>
      <c r="O630" t="n">
        <v>0</v>
      </c>
      <c r="P630" t="n">
        <v>0</v>
      </c>
      <c r="Q630" t="n">
        <v>0</v>
      </c>
      <c r="R630" s="2" t="inlineStr"/>
    </row>
    <row r="631" ht="15" customHeight="1">
      <c r="A631" t="inlineStr">
        <is>
          <t>A 16019-2025</t>
        </is>
      </c>
      <c r="B631" s="1" t="n">
        <v>45749.60795138889</v>
      </c>
      <c r="C631" s="1" t="n">
        <v>45880</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54408-2024</t>
        </is>
      </c>
      <c r="B632" s="1" t="n">
        <v>45617.47263888889</v>
      </c>
      <c r="C632" s="1" t="n">
        <v>45880</v>
      </c>
      <c r="D632" t="inlineStr">
        <is>
          <t>SKÅNE LÄN</t>
        </is>
      </c>
      <c r="E632" t="inlineStr">
        <is>
          <t>HÄSSLEHOLM</t>
        </is>
      </c>
      <c r="G632" t="n">
        <v>1.5</v>
      </c>
      <c r="H632" t="n">
        <v>0</v>
      </c>
      <c r="I632" t="n">
        <v>0</v>
      </c>
      <c r="J632" t="n">
        <v>0</v>
      </c>
      <c r="K632" t="n">
        <v>0</v>
      </c>
      <c r="L632" t="n">
        <v>0</v>
      </c>
      <c r="M632" t="n">
        <v>0</v>
      </c>
      <c r="N632" t="n">
        <v>0</v>
      </c>
      <c r="O632" t="n">
        <v>0</v>
      </c>
      <c r="P632" t="n">
        <v>0</v>
      </c>
      <c r="Q632" t="n">
        <v>0</v>
      </c>
      <c r="R632" s="2" t="inlineStr"/>
    </row>
    <row r="633" ht="15" customHeight="1">
      <c r="A633" t="inlineStr">
        <is>
          <t>A 18109-2025</t>
        </is>
      </c>
      <c r="B633" s="1" t="n">
        <v>45761</v>
      </c>
      <c r="C633" s="1" t="n">
        <v>45880</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14008-2023</t>
        </is>
      </c>
      <c r="B634" s="1" t="n">
        <v>45008.56725694444</v>
      </c>
      <c r="C634" s="1" t="n">
        <v>45880</v>
      </c>
      <c r="D634" t="inlineStr">
        <is>
          <t>SKÅNE LÄN</t>
        </is>
      </c>
      <c r="E634" t="inlineStr">
        <is>
          <t>HÄSSLEHOLM</t>
        </is>
      </c>
      <c r="G634" t="n">
        <v>3.3</v>
      </c>
      <c r="H634" t="n">
        <v>0</v>
      </c>
      <c r="I634" t="n">
        <v>0</v>
      </c>
      <c r="J634" t="n">
        <v>0</v>
      </c>
      <c r="K634" t="n">
        <v>0</v>
      </c>
      <c r="L634" t="n">
        <v>0</v>
      </c>
      <c r="M634" t="n">
        <v>0</v>
      </c>
      <c r="N634" t="n">
        <v>0</v>
      </c>
      <c r="O634" t="n">
        <v>0</v>
      </c>
      <c r="P634" t="n">
        <v>0</v>
      </c>
      <c r="Q634" t="n">
        <v>0</v>
      </c>
      <c r="R634" s="2" t="inlineStr"/>
    </row>
    <row r="635" ht="15" customHeight="1">
      <c r="A635" t="inlineStr">
        <is>
          <t>A 20493-2024</t>
        </is>
      </c>
      <c r="B635" s="1" t="n">
        <v>45435</v>
      </c>
      <c r="C635" s="1" t="n">
        <v>45880</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13851-2025</t>
        </is>
      </c>
      <c r="B636" s="1" t="n">
        <v>45737.56777777777</v>
      </c>
      <c r="C636" s="1" t="n">
        <v>45880</v>
      </c>
      <c r="D636" t="inlineStr">
        <is>
          <t>SKÅNE LÄN</t>
        </is>
      </c>
      <c r="E636" t="inlineStr">
        <is>
          <t>HÄSSLEHOLM</t>
        </is>
      </c>
      <c r="G636" t="n">
        <v>3</v>
      </c>
      <c r="H636" t="n">
        <v>0</v>
      </c>
      <c r="I636" t="n">
        <v>0</v>
      </c>
      <c r="J636" t="n">
        <v>0</v>
      </c>
      <c r="K636" t="n">
        <v>0</v>
      </c>
      <c r="L636" t="n">
        <v>0</v>
      </c>
      <c r="M636" t="n">
        <v>0</v>
      </c>
      <c r="N636" t="n">
        <v>0</v>
      </c>
      <c r="O636" t="n">
        <v>0</v>
      </c>
      <c r="P636" t="n">
        <v>0</v>
      </c>
      <c r="Q636" t="n">
        <v>0</v>
      </c>
      <c r="R636" s="2" t="inlineStr"/>
    </row>
    <row r="637" ht="15" customHeight="1">
      <c r="A637" t="inlineStr">
        <is>
          <t>A 29844-2024</t>
        </is>
      </c>
      <c r="B637" s="1" t="n">
        <v>45485</v>
      </c>
      <c r="C637" s="1" t="n">
        <v>45880</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40536-2024</t>
        </is>
      </c>
      <c r="B638" s="1" t="n">
        <v>45555.61314814815</v>
      </c>
      <c r="C638" s="1" t="n">
        <v>45880</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15508-2023</t>
        </is>
      </c>
      <c r="B639" s="1" t="n">
        <v>45020.50045138889</v>
      </c>
      <c r="C639" s="1" t="n">
        <v>45880</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41874-2024</t>
        </is>
      </c>
      <c r="B640" s="1" t="n">
        <v>45561</v>
      </c>
      <c r="C640" s="1" t="n">
        <v>45880</v>
      </c>
      <c r="D640" t="inlineStr">
        <is>
          <t>SKÅNE LÄN</t>
        </is>
      </c>
      <c r="E640" t="inlineStr">
        <is>
          <t>HÄSSLEHOLM</t>
        </is>
      </c>
      <c r="G640" t="n">
        <v>1</v>
      </c>
      <c r="H640" t="n">
        <v>0</v>
      </c>
      <c r="I640" t="n">
        <v>0</v>
      </c>
      <c r="J640" t="n">
        <v>0</v>
      </c>
      <c r="K640" t="n">
        <v>0</v>
      </c>
      <c r="L640" t="n">
        <v>0</v>
      </c>
      <c r="M640" t="n">
        <v>0</v>
      </c>
      <c r="N640" t="n">
        <v>0</v>
      </c>
      <c r="O640" t="n">
        <v>0</v>
      </c>
      <c r="P640" t="n">
        <v>0</v>
      </c>
      <c r="Q640" t="n">
        <v>0</v>
      </c>
      <c r="R640" s="2" t="inlineStr"/>
    </row>
    <row r="641" ht="15" customHeight="1">
      <c r="A641" t="inlineStr">
        <is>
          <t>A 11798-2022</t>
        </is>
      </c>
      <c r="B641" s="1" t="n">
        <v>44634.64900462963</v>
      </c>
      <c r="C641" s="1" t="n">
        <v>45880</v>
      </c>
      <c r="D641" t="inlineStr">
        <is>
          <t>SKÅNE LÄN</t>
        </is>
      </c>
      <c r="E641" t="inlineStr">
        <is>
          <t>HÄSSLEHOLM</t>
        </is>
      </c>
      <c r="G641" t="n">
        <v>2.8</v>
      </c>
      <c r="H641" t="n">
        <v>0</v>
      </c>
      <c r="I641" t="n">
        <v>0</v>
      </c>
      <c r="J641" t="n">
        <v>0</v>
      </c>
      <c r="K641" t="n">
        <v>0</v>
      </c>
      <c r="L641" t="n">
        <v>0</v>
      </c>
      <c r="M641" t="n">
        <v>0</v>
      </c>
      <c r="N641" t="n">
        <v>0</v>
      </c>
      <c r="O641" t="n">
        <v>0</v>
      </c>
      <c r="P641" t="n">
        <v>0</v>
      </c>
      <c r="Q641" t="n">
        <v>0</v>
      </c>
      <c r="R641" s="2" t="inlineStr"/>
    </row>
    <row r="642" ht="15" customHeight="1">
      <c r="A642" t="inlineStr">
        <is>
          <t>A 33266-2024</t>
        </is>
      </c>
      <c r="B642" s="1" t="n">
        <v>45518</v>
      </c>
      <c r="C642" s="1" t="n">
        <v>45880</v>
      </c>
      <c r="D642" t="inlineStr">
        <is>
          <t>SKÅNE LÄN</t>
        </is>
      </c>
      <c r="E642" t="inlineStr">
        <is>
          <t>HÄSSLEHOLM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34187-2023</t>
        </is>
      </c>
      <c r="B643" s="1" t="n">
        <v>45138</v>
      </c>
      <c r="C643" s="1" t="n">
        <v>45880</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56386-2023</t>
        </is>
      </c>
      <c r="B644" s="1" t="n">
        <v>45243</v>
      </c>
      <c r="C644" s="1" t="n">
        <v>45880</v>
      </c>
      <c r="D644" t="inlineStr">
        <is>
          <t>SKÅNE LÄN</t>
        </is>
      </c>
      <c r="E644" t="inlineStr">
        <is>
          <t>HÄSSLEHOLM</t>
        </is>
      </c>
      <c r="G644" t="n">
        <v>2</v>
      </c>
      <c r="H644" t="n">
        <v>0</v>
      </c>
      <c r="I644" t="n">
        <v>0</v>
      </c>
      <c r="J644" t="n">
        <v>0</v>
      </c>
      <c r="K644" t="n">
        <v>0</v>
      </c>
      <c r="L644" t="n">
        <v>0</v>
      </c>
      <c r="M644" t="n">
        <v>0</v>
      </c>
      <c r="N644" t="n">
        <v>0</v>
      </c>
      <c r="O644" t="n">
        <v>0</v>
      </c>
      <c r="P644" t="n">
        <v>0</v>
      </c>
      <c r="Q644" t="n">
        <v>0</v>
      </c>
      <c r="R644" s="2" t="inlineStr"/>
    </row>
    <row r="645" ht="15" customHeight="1">
      <c r="A645" t="inlineStr">
        <is>
          <t>A 13890-2024</t>
        </is>
      </c>
      <c r="B645" s="1" t="n">
        <v>45391</v>
      </c>
      <c r="C645" s="1" t="n">
        <v>45880</v>
      </c>
      <c r="D645" t="inlineStr">
        <is>
          <t>SKÅNE LÄN</t>
        </is>
      </c>
      <c r="E645" t="inlineStr">
        <is>
          <t>HÄSSLEHOLM</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39223-2024</t>
        </is>
      </c>
      <c r="B646" s="1" t="n">
        <v>45550</v>
      </c>
      <c r="C646" s="1" t="n">
        <v>45880</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2490-2024</t>
        </is>
      </c>
      <c r="B647" s="1" t="n">
        <v>45313.43649305555</v>
      </c>
      <c r="C647" s="1" t="n">
        <v>45880</v>
      </c>
      <c r="D647" t="inlineStr">
        <is>
          <t>SKÅNE LÄN</t>
        </is>
      </c>
      <c r="E647" t="inlineStr">
        <is>
          <t>HÄSSLEHOLM</t>
        </is>
      </c>
      <c r="G647" t="n">
        <v>4</v>
      </c>
      <c r="H647" t="n">
        <v>0</v>
      </c>
      <c r="I647" t="n">
        <v>0</v>
      </c>
      <c r="J647" t="n">
        <v>0</v>
      </c>
      <c r="K647" t="n">
        <v>0</v>
      </c>
      <c r="L647" t="n">
        <v>0</v>
      </c>
      <c r="M647" t="n">
        <v>0</v>
      </c>
      <c r="N647" t="n">
        <v>0</v>
      </c>
      <c r="O647" t="n">
        <v>0</v>
      </c>
      <c r="P647" t="n">
        <v>0</v>
      </c>
      <c r="Q647" t="n">
        <v>0</v>
      </c>
      <c r="R647" s="2" t="inlineStr"/>
    </row>
    <row r="648" ht="15" customHeight="1">
      <c r="A648" t="inlineStr">
        <is>
          <t>A 50244-2024</t>
        </is>
      </c>
      <c r="B648" s="1" t="n">
        <v>45600.56502314815</v>
      </c>
      <c r="C648" s="1" t="n">
        <v>45880</v>
      </c>
      <c r="D648" t="inlineStr">
        <is>
          <t>SKÅNE LÄN</t>
        </is>
      </c>
      <c r="E648" t="inlineStr">
        <is>
          <t>HÄSSLEHOLM</t>
        </is>
      </c>
      <c r="G648" t="n">
        <v>1.9</v>
      </c>
      <c r="H648" t="n">
        <v>0</v>
      </c>
      <c r="I648" t="n">
        <v>0</v>
      </c>
      <c r="J648" t="n">
        <v>0</v>
      </c>
      <c r="K648" t="n">
        <v>0</v>
      </c>
      <c r="L648" t="n">
        <v>0</v>
      </c>
      <c r="M648" t="n">
        <v>0</v>
      </c>
      <c r="N648" t="n">
        <v>0</v>
      </c>
      <c r="O648" t="n">
        <v>0</v>
      </c>
      <c r="P648" t="n">
        <v>0</v>
      </c>
      <c r="Q648" t="n">
        <v>0</v>
      </c>
      <c r="R648" s="2" t="inlineStr"/>
    </row>
    <row r="649" ht="15" customHeight="1">
      <c r="A649" t="inlineStr">
        <is>
          <t>A 11019-2025</t>
        </is>
      </c>
      <c r="B649" s="1" t="n">
        <v>45723</v>
      </c>
      <c r="C649" s="1" t="n">
        <v>45880</v>
      </c>
      <c r="D649" t="inlineStr">
        <is>
          <t>SKÅNE LÄN</t>
        </is>
      </c>
      <c r="E649" t="inlineStr">
        <is>
          <t>HÄSSLEHOLM</t>
        </is>
      </c>
      <c r="G649" t="n">
        <v>3.2</v>
      </c>
      <c r="H649" t="n">
        <v>0</v>
      </c>
      <c r="I649" t="n">
        <v>0</v>
      </c>
      <c r="J649" t="n">
        <v>0</v>
      </c>
      <c r="K649" t="n">
        <v>0</v>
      </c>
      <c r="L649" t="n">
        <v>0</v>
      </c>
      <c r="M649" t="n">
        <v>0</v>
      </c>
      <c r="N649" t="n">
        <v>0</v>
      </c>
      <c r="O649" t="n">
        <v>0</v>
      </c>
      <c r="P649" t="n">
        <v>0</v>
      </c>
      <c r="Q649" t="n">
        <v>0</v>
      </c>
      <c r="R649" s="2" t="inlineStr"/>
    </row>
    <row r="650" ht="15" customHeight="1">
      <c r="A650" t="inlineStr">
        <is>
          <t>A 56062-2024</t>
        </is>
      </c>
      <c r="B650" s="1" t="n">
        <v>45624.37105324074</v>
      </c>
      <c r="C650" s="1" t="n">
        <v>45880</v>
      </c>
      <c r="D650" t="inlineStr">
        <is>
          <t>SKÅNE LÄN</t>
        </is>
      </c>
      <c r="E650" t="inlineStr">
        <is>
          <t>HÄSSLEHOLM</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6122-2021</t>
        </is>
      </c>
      <c r="B651" s="1" t="n">
        <v>44232.55091435185</v>
      </c>
      <c r="C651" s="1" t="n">
        <v>45880</v>
      </c>
      <c r="D651" t="inlineStr">
        <is>
          <t>SKÅNE LÄN</t>
        </is>
      </c>
      <c r="E651" t="inlineStr">
        <is>
          <t>HÄSSLEHOLM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45299-2024</t>
        </is>
      </c>
      <c r="B652" s="1" t="n">
        <v>45576.40599537037</v>
      </c>
      <c r="C652" s="1" t="n">
        <v>45880</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9924-2025</t>
        </is>
      </c>
      <c r="B653" s="1" t="n">
        <v>45717.72505787037</v>
      </c>
      <c r="C653" s="1" t="n">
        <v>45880</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34369-2023</t>
        </is>
      </c>
      <c r="B654" s="1" t="n">
        <v>45139.47817129629</v>
      </c>
      <c r="C654" s="1" t="n">
        <v>45880</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13932-2023</t>
        </is>
      </c>
      <c r="B655" s="1" t="n">
        <v>45008.43935185186</v>
      </c>
      <c r="C655" s="1" t="n">
        <v>45880</v>
      </c>
      <c r="D655" t="inlineStr">
        <is>
          <t>SKÅNE LÄN</t>
        </is>
      </c>
      <c r="E655" t="inlineStr">
        <is>
          <t>HÄSSLEHOLM</t>
        </is>
      </c>
      <c r="G655" t="n">
        <v>3.3</v>
      </c>
      <c r="H655" t="n">
        <v>0</v>
      </c>
      <c r="I655" t="n">
        <v>0</v>
      </c>
      <c r="J655" t="n">
        <v>0</v>
      </c>
      <c r="K655" t="n">
        <v>0</v>
      </c>
      <c r="L655" t="n">
        <v>0</v>
      </c>
      <c r="M655" t="n">
        <v>0</v>
      </c>
      <c r="N655" t="n">
        <v>0</v>
      </c>
      <c r="O655" t="n">
        <v>0</v>
      </c>
      <c r="P655" t="n">
        <v>0</v>
      </c>
      <c r="Q655" t="n">
        <v>0</v>
      </c>
      <c r="R655" s="2" t="inlineStr"/>
    </row>
    <row r="656" ht="15" customHeight="1">
      <c r="A656" t="inlineStr">
        <is>
          <t>A 27297-2023</t>
        </is>
      </c>
      <c r="B656" s="1" t="n">
        <v>45096</v>
      </c>
      <c r="C656" s="1" t="n">
        <v>45880</v>
      </c>
      <c r="D656" t="inlineStr">
        <is>
          <t>SKÅNE LÄN</t>
        </is>
      </c>
      <c r="E656" t="inlineStr">
        <is>
          <t>HÄSSLEHOLM</t>
        </is>
      </c>
      <c r="G656" t="n">
        <v>1.3</v>
      </c>
      <c r="H656" t="n">
        <v>0</v>
      </c>
      <c r="I656" t="n">
        <v>0</v>
      </c>
      <c r="J656" t="n">
        <v>0</v>
      </c>
      <c r="K656" t="n">
        <v>0</v>
      </c>
      <c r="L656" t="n">
        <v>0</v>
      </c>
      <c r="M656" t="n">
        <v>0</v>
      </c>
      <c r="N656" t="n">
        <v>0</v>
      </c>
      <c r="O656" t="n">
        <v>0</v>
      </c>
      <c r="P656" t="n">
        <v>0</v>
      </c>
      <c r="Q656" t="n">
        <v>0</v>
      </c>
      <c r="R656" s="2" t="inlineStr"/>
    </row>
    <row r="657" ht="15" customHeight="1">
      <c r="A657" t="inlineStr">
        <is>
          <t>A 22678-2025</t>
        </is>
      </c>
      <c r="B657" s="1" t="n">
        <v>45789.49725694444</v>
      </c>
      <c r="C657" s="1" t="n">
        <v>45880</v>
      </c>
      <c r="D657" t="inlineStr">
        <is>
          <t>SKÅNE LÄN</t>
        </is>
      </c>
      <c r="E657" t="inlineStr">
        <is>
          <t>HÄSSLEHOLM</t>
        </is>
      </c>
      <c r="G657" t="n">
        <v>2.2</v>
      </c>
      <c r="H657" t="n">
        <v>0</v>
      </c>
      <c r="I657" t="n">
        <v>0</v>
      </c>
      <c r="J657" t="n">
        <v>0</v>
      </c>
      <c r="K657" t="n">
        <v>0</v>
      </c>
      <c r="L657" t="n">
        <v>0</v>
      </c>
      <c r="M657" t="n">
        <v>0</v>
      </c>
      <c r="N657" t="n">
        <v>0</v>
      </c>
      <c r="O657" t="n">
        <v>0</v>
      </c>
      <c r="P657" t="n">
        <v>0</v>
      </c>
      <c r="Q657" t="n">
        <v>0</v>
      </c>
      <c r="R657" s="2" t="inlineStr"/>
    </row>
    <row r="658" ht="15" customHeight="1">
      <c r="A658" t="inlineStr">
        <is>
          <t>A 32008-2024</t>
        </is>
      </c>
      <c r="B658" s="1" t="n">
        <v>45510</v>
      </c>
      <c r="C658" s="1" t="n">
        <v>45880</v>
      </c>
      <c r="D658" t="inlineStr">
        <is>
          <t>SKÅNE LÄN</t>
        </is>
      </c>
      <c r="E658" t="inlineStr">
        <is>
          <t>HÄSSLEHOLM</t>
        </is>
      </c>
      <c r="G658" t="n">
        <v>5.1</v>
      </c>
      <c r="H658" t="n">
        <v>0</v>
      </c>
      <c r="I658" t="n">
        <v>0</v>
      </c>
      <c r="J658" t="n">
        <v>0</v>
      </c>
      <c r="K658" t="n">
        <v>0</v>
      </c>
      <c r="L658" t="n">
        <v>0</v>
      </c>
      <c r="M658" t="n">
        <v>0</v>
      </c>
      <c r="N658" t="n">
        <v>0</v>
      </c>
      <c r="O658" t="n">
        <v>0</v>
      </c>
      <c r="P658" t="n">
        <v>0</v>
      </c>
      <c r="Q658" t="n">
        <v>0</v>
      </c>
      <c r="R658" s="2" t="inlineStr"/>
    </row>
    <row r="659" ht="15" customHeight="1">
      <c r="A659" t="inlineStr">
        <is>
          <t>A 13007-2024</t>
        </is>
      </c>
      <c r="B659" s="1" t="n">
        <v>45385.57092592592</v>
      </c>
      <c r="C659" s="1" t="n">
        <v>45880</v>
      </c>
      <c r="D659" t="inlineStr">
        <is>
          <t>SKÅNE LÄN</t>
        </is>
      </c>
      <c r="E659" t="inlineStr">
        <is>
          <t>HÄSSLEHOLM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17138-2025</t>
        </is>
      </c>
      <c r="B660" s="1" t="n">
        <v>45755.80378472222</v>
      </c>
      <c r="C660" s="1" t="n">
        <v>45880</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15512-2025</t>
        </is>
      </c>
      <c r="B661" s="1" t="n">
        <v>45747</v>
      </c>
      <c r="C661" s="1" t="n">
        <v>45880</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23007-2025</t>
        </is>
      </c>
      <c r="B662" s="1" t="n">
        <v>45790</v>
      </c>
      <c r="C662" s="1" t="n">
        <v>45880</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8378-2023</t>
        </is>
      </c>
      <c r="B663" s="1" t="n">
        <v>44971</v>
      </c>
      <c r="C663" s="1" t="n">
        <v>45880</v>
      </c>
      <c r="D663" t="inlineStr">
        <is>
          <t>SKÅNE LÄN</t>
        </is>
      </c>
      <c r="E663" t="inlineStr">
        <is>
          <t>HÄSSLEHOLM</t>
        </is>
      </c>
      <c r="G663" t="n">
        <v>1.2</v>
      </c>
      <c r="H663" t="n">
        <v>0</v>
      </c>
      <c r="I663" t="n">
        <v>0</v>
      </c>
      <c r="J663" t="n">
        <v>0</v>
      </c>
      <c r="K663" t="n">
        <v>0</v>
      </c>
      <c r="L663" t="n">
        <v>0</v>
      </c>
      <c r="M663" t="n">
        <v>0</v>
      </c>
      <c r="N663" t="n">
        <v>0</v>
      </c>
      <c r="O663" t="n">
        <v>0</v>
      </c>
      <c r="P663" t="n">
        <v>0</v>
      </c>
      <c r="Q663" t="n">
        <v>0</v>
      </c>
      <c r="R663" s="2" t="inlineStr"/>
    </row>
    <row r="664" ht="15" customHeight="1">
      <c r="A664" t="inlineStr">
        <is>
          <t>A 7221-2025</t>
        </is>
      </c>
      <c r="B664" s="1" t="n">
        <v>45701</v>
      </c>
      <c r="C664" s="1" t="n">
        <v>45880</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74030-2021</t>
        </is>
      </c>
      <c r="B665" s="1" t="n">
        <v>44553</v>
      </c>
      <c r="C665" s="1" t="n">
        <v>45880</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27606-2024</t>
        </is>
      </c>
      <c r="B666" s="1" t="n">
        <v>45474</v>
      </c>
      <c r="C666" s="1" t="n">
        <v>45880</v>
      </c>
      <c r="D666" t="inlineStr">
        <is>
          <t>SKÅNE LÄN</t>
        </is>
      </c>
      <c r="E666" t="inlineStr">
        <is>
          <t>HÄSSLEHOLM</t>
        </is>
      </c>
      <c r="G666" t="n">
        <v>3.6</v>
      </c>
      <c r="H666" t="n">
        <v>0</v>
      </c>
      <c r="I666" t="n">
        <v>0</v>
      </c>
      <c r="J666" t="n">
        <v>0</v>
      </c>
      <c r="K666" t="n">
        <v>0</v>
      </c>
      <c r="L666" t="n">
        <v>0</v>
      </c>
      <c r="M666" t="n">
        <v>0</v>
      </c>
      <c r="N666" t="n">
        <v>0</v>
      </c>
      <c r="O666" t="n">
        <v>0</v>
      </c>
      <c r="P666" t="n">
        <v>0</v>
      </c>
      <c r="Q666" t="n">
        <v>0</v>
      </c>
      <c r="R666" s="2" t="inlineStr"/>
    </row>
    <row r="667" ht="15" customHeight="1">
      <c r="A667" t="inlineStr">
        <is>
          <t>A 60704-2023</t>
        </is>
      </c>
      <c r="B667" s="1" t="n">
        <v>45260.51340277777</v>
      </c>
      <c r="C667" s="1" t="n">
        <v>45880</v>
      </c>
      <c r="D667" t="inlineStr">
        <is>
          <t>SKÅNE LÄN</t>
        </is>
      </c>
      <c r="E667" t="inlineStr">
        <is>
          <t>HÄSSLEHOLM</t>
        </is>
      </c>
      <c r="G667" t="n">
        <v>2.1</v>
      </c>
      <c r="H667" t="n">
        <v>0</v>
      </c>
      <c r="I667" t="n">
        <v>0</v>
      </c>
      <c r="J667" t="n">
        <v>0</v>
      </c>
      <c r="K667" t="n">
        <v>0</v>
      </c>
      <c r="L667" t="n">
        <v>0</v>
      </c>
      <c r="M667" t="n">
        <v>0</v>
      </c>
      <c r="N667" t="n">
        <v>0</v>
      </c>
      <c r="O667" t="n">
        <v>0</v>
      </c>
      <c r="P667" t="n">
        <v>0</v>
      </c>
      <c r="Q667" t="n">
        <v>0</v>
      </c>
      <c r="R667" s="2" t="inlineStr"/>
    </row>
    <row r="668" ht="15" customHeight="1">
      <c r="A668" t="inlineStr">
        <is>
          <t>A 61569-2023</t>
        </is>
      </c>
      <c r="B668" s="1" t="n">
        <v>45265</v>
      </c>
      <c r="C668" s="1" t="n">
        <v>45880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14700-2023</t>
        </is>
      </c>
      <c r="B669" s="1" t="n">
        <v>45014.38376157408</v>
      </c>
      <c r="C669" s="1" t="n">
        <v>45880</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3531-2023</t>
        </is>
      </c>
      <c r="B670" s="1" t="n">
        <v>44950</v>
      </c>
      <c r="C670" s="1" t="n">
        <v>45880</v>
      </c>
      <c r="D670" t="inlineStr">
        <is>
          <t>SKÅNE LÄN</t>
        </is>
      </c>
      <c r="E670" t="inlineStr">
        <is>
          <t>HÄSSLEHOLM</t>
        </is>
      </c>
      <c r="G670" t="n">
        <v>10.1</v>
      </c>
      <c r="H670" t="n">
        <v>0</v>
      </c>
      <c r="I670" t="n">
        <v>0</v>
      </c>
      <c r="J670" t="n">
        <v>0</v>
      </c>
      <c r="K670" t="n">
        <v>0</v>
      </c>
      <c r="L670" t="n">
        <v>0</v>
      </c>
      <c r="M670" t="n">
        <v>0</v>
      </c>
      <c r="N670" t="n">
        <v>0</v>
      </c>
      <c r="O670" t="n">
        <v>0</v>
      </c>
      <c r="P670" t="n">
        <v>0</v>
      </c>
      <c r="Q670" t="n">
        <v>0</v>
      </c>
      <c r="R670" s="2" t="inlineStr"/>
    </row>
    <row r="671" ht="15" customHeight="1">
      <c r="A671" t="inlineStr">
        <is>
          <t>A 315-2022</t>
        </is>
      </c>
      <c r="B671" s="1" t="n">
        <v>44565.55630787037</v>
      </c>
      <c r="C671" s="1" t="n">
        <v>45880</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4579-2025</t>
        </is>
      </c>
      <c r="B672" s="1" t="n">
        <v>45687.5009375</v>
      </c>
      <c r="C672" s="1" t="n">
        <v>45880</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56735-2024</t>
        </is>
      </c>
      <c r="B673" s="1" t="n">
        <v>45628.36234953703</v>
      </c>
      <c r="C673" s="1" t="n">
        <v>45880</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1344-2021</t>
        </is>
      </c>
      <c r="B674" s="1" t="n">
        <v>44208</v>
      </c>
      <c r="C674" s="1" t="n">
        <v>45880</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2621-2025</t>
        </is>
      </c>
      <c r="B675" s="1" t="n">
        <v>45675.60765046296</v>
      </c>
      <c r="C675" s="1" t="n">
        <v>45880</v>
      </c>
      <c r="D675" t="inlineStr">
        <is>
          <t>SKÅNE LÄN</t>
        </is>
      </c>
      <c r="E675" t="inlineStr">
        <is>
          <t>HÄSSLEHOLM</t>
        </is>
      </c>
      <c r="F675" t="inlineStr">
        <is>
          <t>Kommuner</t>
        </is>
      </c>
      <c r="G675" t="n">
        <v>3</v>
      </c>
      <c r="H675" t="n">
        <v>0</v>
      </c>
      <c r="I675" t="n">
        <v>0</v>
      </c>
      <c r="J675" t="n">
        <v>0</v>
      </c>
      <c r="K675" t="n">
        <v>0</v>
      </c>
      <c r="L675" t="n">
        <v>0</v>
      </c>
      <c r="M675" t="n">
        <v>0</v>
      </c>
      <c r="N675" t="n">
        <v>0</v>
      </c>
      <c r="O675" t="n">
        <v>0</v>
      </c>
      <c r="P675" t="n">
        <v>0</v>
      </c>
      <c r="Q675" t="n">
        <v>0</v>
      </c>
      <c r="R675" s="2" t="inlineStr"/>
    </row>
    <row r="676" ht="15" customHeight="1">
      <c r="A676" t="inlineStr">
        <is>
          <t>A 18623-2023</t>
        </is>
      </c>
      <c r="B676" s="1" t="n">
        <v>45043</v>
      </c>
      <c r="C676" s="1" t="n">
        <v>45880</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31161-2024</t>
        </is>
      </c>
      <c r="B677" s="1" t="n">
        <v>45503</v>
      </c>
      <c r="C677" s="1" t="n">
        <v>45880</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33067-2024</t>
        </is>
      </c>
      <c r="B678" s="1" t="n">
        <v>45517.6520949074</v>
      </c>
      <c r="C678" s="1" t="n">
        <v>45880</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10115-2024</t>
        </is>
      </c>
      <c r="B679" s="1" t="n">
        <v>45364.55339120371</v>
      </c>
      <c r="C679" s="1" t="n">
        <v>45880</v>
      </c>
      <c r="D679" t="inlineStr">
        <is>
          <t>SKÅNE LÄN</t>
        </is>
      </c>
      <c r="E679" t="inlineStr">
        <is>
          <t>HÄSSLEHOLM</t>
        </is>
      </c>
      <c r="G679" t="n">
        <v>7</v>
      </c>
      <c r="H679" t="n">
        <v>0</v>
      </c>
      <c r="I679" t="n">
        <v>0</v>
      </c>
      <c r="J679" t="n">
        <v>0</v>
      </c>
      <c r="K679" t="n">
        <v>0</v>
      </c>
      <c r="L679" t="n">
        <v>0</v>
      </c>
      <c r="M679" t="n">
        <v>0</v>
      </c>
      <c r="N679" t="n">
        <v>0</v>
      </c>
      <c r="O679" t="n">
        <v>0</v>
      </c>
      <c r="P679" t="n">
        <v>0</v>
      </c>
      <c r="Q679" t="n">
        <v>0</v>
      </c>
      <c r="R679" s="2" t="inlineStr"/>
    </row>
    <row r="680" ht="15" customHeight="1">
      <c r="A680" t="inlineStr">
        <is>
          <t>A 3663-2024</t>
        </is>
      </c>
      <c r="B680" s="1" t="n">
        <v>45321.34775462963</v>
      </c>
      <c r="C680" s="1" t="n">
        <v>45880</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23005-2025</t>
        </is>
      </c>
      <c r="B681" s="1" t="n">
        <v>45790</v>
      </c>
      <c r="C681" s="1" t="n">
        <v>45880</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38888-2023</t>
        </is>
      </c>
      <c r="B682" s="1" t="n">
        <v>45161</v>
      </c>
      <c r="C682" s="1" t="n">
        <v>45880</v>
      </c>
      <c r="D682" t="inlineStr">
        <is>
          <t>SKÅNE LÄN</t>
        </is>
      </c>
      <c r="E682" t="inlineStr">
        <is>
          <t>HÄSSLEHOLM</t>
        </is>
      </c>
      <c r="G682" t="n">
        <v>1.6</v>
      </c>
      <c r="H682" t="n">
        <v>0</v>
      </c>
      <c r="I682" t="n">
        <v>0</v>
      </c>
      <c r="J682" t="n">
        <v>0</v>
      </c>
      <c r="K682" t="n">
        <v>0</v>
      </c>
      <c r="L682" t="n">
        <v>0</v>
      </c>
      <c r="M682" t="n">
        <v>0</v>
      </c>
      <c r="N682" t="n">
        <v>0</v>
      </c>
      <c r="O682" t="n">
        <v>0</v>
      </c>
      <c r="P682" t="n">
        <v>0</v>
      </c>
      <c r="Q682" t="n">
        <v>0</v>
      </c>
      <c r="R682" s="2" t="inlineStr"/>
    </row>
    <row r="683" ht="15" customHeight="1">
      <c r="A683" t="inlineStr">
        <is>
          <t>A 67801-2021</t>
        </is>
      </c>
      <c r="B683" s="1" t="n">
        <v>44525</v>
      </c>
      <c r="C683" s="1" t="n">
        <v>45880</v>
      </c>
      <c r="D683" t="inlineStr">
        <is>
          <t>SKÅNE LÄN</t>
        </is>
      </c>
      <c r="E683" t="inlineStr">
        <is>
          <t>HÄSSLEHOLM</t>
        </is>
      </c>
      <c r="G683" t="n">
        <v>2.2</v>
      </c>
      <c r="H683" t="n">
        <v>0</v>
      </c>
      <c r="I683" t="n">
        <v>0</v>
      </c>
      <c r="J683" t="n">
        <v>0</v>
      </c>
      <c r="K683" t="n">
        <v>0</v>
      </c>
      <c r="L683" t="n">
        <v>0</v>
      </c>
      <c r="M683" t="n">
        <v>0</v>
      </c>
      <c r="N683" t="n">
        <v>0</v>
      </c>
      <c r="O683" t="n">
        <v>0</v>
      </c>
      <c r="P683" t="n">
        <v>0</v>
      </c>
      <c r="Q683" t="n">
        <v>0</v>
      </c>
      <c r="R683" s="2" t="inlineStr"/>
    </row>
    <row r="684" ht="15" customHeight="1">
      <c r="A684" t="inlineStr">
        <is>
          <t>A 7771-2021</t>
        </is>
      </c>
      <c r="B684" s="1" t="n">
        <v>44242</v>
      </c>
      <c r="C684" s="1" t="n">
        <v>45880</v>
      </c>
      <c r="D684" t="inlineStr">
        <is>
          <t>SKÅNE LÄN</t>
        </is>
      </c>
      <c r="E684" t="inlineStr">
        <is>
          <t>HÄSSLEHOLM</t>
        </is>
      </c>
      <c r="G684" t="n">
        <v>4.2</v>
      </c>
      <c r="H684" t="n">
        <v>0</v>
      </c>
      <c r="I684" t="n">
        <v>0</v>
      </c>
      <c r="J684" t="n">
        <v>0</v>
      </c>
      <c r="K684" t="n">
        <v>0</v>
      </c>
      <c r="L684" t="n">
        <v>0</v>
      </c>
      <c r="M684" t="n">
        <v>0</v>
      </c>
      <c r="N684" t="n">
        <v>0</v>
      </c>
      <c r="O684" t="n">
        <v>0</v>
      </c>
      <c r="P684" t="n">
        <v>0</v>
      </c>
      <c r="Q684" t="n">
        <v>0</v>
      </c>
      <c r="R684" s="2" t="inlineStr"/>
    </row>
    <row r="685" ht="15" customHeight="1">
      <c r="A685" t="inlineStr">
        <is>
          <t>A 8737-2025</t>
        </is>
      </c>
      <c r="B685" s="1" t="n">
        <v>45712.54578703704</v>
      </c>
      <c r="C685" s="1" t="n">
        <v>45880</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22587-2025</t>
        </is>
      </c>
      <c r="B686" s="1" t="n">
        <v>45789.39974537037</v>
      </c>
      <c r="C686" s="1" t="n">
        <v>45880</v>
      </c>
      <c r="D686" t="inlineStr">
        <is>
          <t>SKÅNE LÄN</t>
        </is>
      </c>
      <c r="E686" t="inlineStr">
        <is>
          <t>HÄSSLEHOLM</t>
        </is>
      </c>
      <c r="G686" t="n">
        <v>5.7</v>
      </c>
      <c r="H686" t="n">
        <v>0</v>
      </c>
      <c r="I686" t="n">
        <v>0</v>
      </c>
      <c r="J686" t="n">
        <v>0</v>
      </c>
      <c r="K686" t="n">
        <v>0</v>
      </c>
      <c r="L686" t="n">
        <v>0</v>
      </c>
      <c r="M686" t="n">
        <v>0</v>
      </c>
      <c r="N686" t="n">
        <v>0</v>
      </c>
      <c r="O686" t="n">
        <v>0</v>
      </c>
      <c r="P686" t="n">
        <v>0</v>
      </c>
      <c r="Q686" t="n">
        <v>0</v>
      </c>
      <c r="R686" s="2" t="inlineStr"/>
    </row>
    <row r="687" ht="15" customHeight="1">
      <c r="A687" t="inlineStr">
        <is>
          <t>A 22592-2025</t>
        </is>
      </c>
      <c r="B687" s="1" t="n">
        <v>45789.40502314815</v>
      </c>
      <c r="C687" s="1" t="n">
        <v>45880</v>
      </c>
      <c r="D687" t="inlineStr">
        <is>
          <t>SKÅNE LÄN</t>
        </is>
      </c>
      <c r="E687" t="inlineStr">
        <is>
          <t>HÄSSLEHOLM</t>
        </is>
      </c>
      <c r="G687" t="n">
        <v>7.1</v>
      </c>
      <c r="H687" t="n">
        <v>0</v>
      </c>
      <c r="I687" t="n">
        <v>0</v>
      </c>
      <c r="J687" t="n">
        <v>0</v>
      </c>
      <c r="K687" t="n">
        <v>0</v>
      </c>
      <c r="L687" t="n">
        <v>0</v>
      </c>
      <c r="M687" t="n">
        <v>0</v>
      </c>
      <c r="N687" t="n">
        <v>0</v>
      </c>
      <c r="O687" t="n">
        <v>0</v>
      </c>
      <c r="P687" t="n">
        <v>0</v>
      </c>
      <c r="Q687" t="n">
        <v>0</v>
      </c>
      <c r="R687" s="2" t="inlineStr"/>
    </row>
    <row r="688" ht="15" customHeight="1">
      <c r="A688" t="inlineStr">
        <is>
          <t>A 45398-2024</t>
        </is>
      </c>
      <c r="B688" s="1" t="n">
        <v>45576.56260416667</v>
      </c>
      <c r="C688" s="1" t="n">
        <v>45880</v>
      </c>
      <c r="D688" t="inlineStr">
        <is>
          <t>SKÅNE LÄN</t>
        </is>
      </c>
      <c r="E688" t="inlineStr">
        <is>
          <t>HÄSSLEHOLM</t>
        </is>
      </c>
      <c r="G688" t="n">
        <v>4.2</v>
      </c>
      <c r="H688" t="n">
        <v>0</v>
      </c>
      <c r="I688" t="n">
        <v>0</v>
      </c>
      <c r="J688" t="n">
        <v>0</v>
      </c>
      <c r="K688" t="n">
        <v>0</v>
      </c>
      <c r="L688" t="n">
        <v>0</v>
      </c>
      <c r="M688" t="n">
        <v>0</v>
      </c>
      <c r="N688" t="n">
        <v>0</v>
      </c>
      <c r="O688" t="n">
        <v>0</v>
      </c>
      <c r="P688" t="n">
        <v>0</v>
      </c>
      <c r="Q688" t="n">
        <v>0</v>
      </c>
      <c r="R688" s="2" t="inlineStr"/>
    </row>
    <row r="689" ht="15" customHeight="1">
      <c r="A689" t="inlineStr">
        <is>
          <t>A 4809-2025</t>
        </is>
      </c>
      <c r="B689" s="1" t="n">
        <v>45688.60148148148</v>
      </c>
      <c r="C689" s="1" t="n">
        <v>45880</v>
      </c>
      <c r="D689" t="inlineStr">
        <is>
          <t>SKÅNE LÄN</t>
        </is>
      </c>
      <c r="E689" t="inlineStr">
        <is>
          <t>HÄSSLEHOLM</t>
        </is>
      </c>
      <c r="G689" t="n">
        <v>0.7</v>
      </c>
      <c r="H689" t="n">
        <v>0</v>
      </c>
      <c r="I689" t="n">
        <v>0</v>
      </c>
      <c r="J689" t="n">
        <v>0</v>
      </c>
      <c r="K689" t="n">
        <v>0</v>
      </c>
      <c r="L689" t="n">
        <v>0</v>
      </c>
      <c r="M689" t="n">
        <v>0</v>
      </c>
      <c r="N689" t="n">
        <v>0</v>
      </c>
      <c r="O689" t="n">
        <v>0</v>
      </c>
      <c r="P689" t="n">
        <v>0</v>
      </c>
      <c r="Q689" t="n">
        <v>0</v>
      </c>
      <c r="R689" s="2" t="inlineStr"/>
    </row>
    <row r="690" ht="15" customHeight="1">
      <c r="A690" t="inlineStr">
        <is>
          <t>A 5992-2022</t>
        </is>
      </c>
      <c r="B690" s="1" t="n">
        <v>44599</v>
      </c>
      <c r="C690" s="1" t="n">
        <v>45880</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59030-2024</t>
        </is>
      </c>
      <c r="B691" s="1" t="n">
        <v>45636.68916666666</v>
      </c>
      <c r="C691" s="1" t="n">
        <v>45880</v>
      </c>
      <c r="D691" t="inlineStr">
        <is>
          <t>SKÅNE LÄN</t>
        </is>
      </c>
      <c r="E691" t="inlineStr">
        <is>
          <t>HÄSSLEHOLM</t>
        </is>
      </c>
      <c r="G691" t="n">
        <v>1.5</v>
      </c>
      <c r="H691" t="n">
        <v>0</v>
      </c>
      <c r="I691" t="n">
        <v>0</v>
      </c>
      <c r="J691" t="n">
        <v>0</v>
      </c>
      <c r="K691" t="n">
        <v>0</v>
      </c>
      <c r="L691" t="n">
        <v>0</v>
      </c>
      <c r="M691" t="n">
        <v>0</v>
      </c>
      <c r="N691" t="n">
        <v>0</v>
      </c>
      <c r="O691" t="n">
        <v>0</v>
      </c>
      <c r="P691" t="n">
        <v>0</v>
      </c>
      <c r="Q691" t="n">
        <v>0</v>
      </c>
      <c r="R691" s="2" t="inlineStr"/>
    </row>
    <row r="692" ht="15" customHeight="1">
      <c r="A692" t="inlineStr">
        <is>
          <t>A 11240-2023</t>
        </is>
      </c>
      <c r="B692" s="1" t="n">
        <v>44992</v>
      </c>
      <c r="C692" s="1" t="n">
        <v>45880</v>
      </c>
      <c r="D692" t="inlineStr">
        <is>
          <t>SKÅNE LÄN</t>
        </is>
      </c>
      <c r="E692" t="inlineStr">
        <is>
          <t>HÄSSLEHOLM</t>
        </is>
      </c>
      <c r="G692" t="n">
        <v>2.1</v>
      </c>
      <c r="H692" t="n">
        <v>0</v>
      </c>
      <c r="I692" t="n">
        <v>0</v>
      </c>
      <c r="J692" t="n">
        <v>0</v>
      </c>
      <c r="K692" t="n">
        <v>0</v>
      </c>
      <c r="L692" t="n">
        <v>0</v>
      </c>
      <c r="M692" t="n">
        <v>0</v>
      </c>
      <c r="N692" t="n">
        <v>0</v>
      </c>
      <c r="O692" t="n">
        <v>0</v>
      </c>
      <c r="P692" t="n">
        <v>0</v>
      </c>
      <c r="Q692" t="n">
        <v>0</v>
      </c>
      <c r="R692" s="2" t="inlineStr"/>
    </row>
    <row r="693" ht="15" customHeight="1">
      <c r="A693" t="inlineStr">
        <is>
          <t>A 3248-2022</t>
        </is>
      </c>
      <c r="B693" s="1" t="n">
        <v>44583</v>
      </c>
      <c r="C693" s="1" t="n">
        <v>45880</v>
      </c>
      <c r="D693" t="inlineStr">
        <is>
          <t>SKÅNE LÄN</t>
        </is>
      </c>
      <c r="E693" t="inlineStr">
        <is>
          <t>HÄSSLEHOLM</t>
        </is>
      </c>
      <c r="G693" t="n">
        <v>3</v>
      </c>
      <c r="H693" t="n">
        <v>0</v>
      </c>
      <c r="I693" t="n">
        <v>0</v>
      </c>
      <c r="J693" t="n">
        <v>0</v>
      </c>
      <c r="K693" t="n">
        <v>0</v>
      </c>
      <c r="L693" t="n">
        <v>0</v>
      </c>
      <c r="M693" t="n">
        <v>0</v>
      </c>
      <c r="N693" t="n">
        <v>0</v>
      </c>
      <c r="O693" t="n">
        <v>0</v>
      </c>
      <c r="P693" t="n">
        <v>0</v>
      </c>
      <c r="Q693" t="n">
        <v>0</v>
      </c>
      <c r="R693" s="2" t="inlineStr"/>
    </row>
    <row r="694" ht="15" customHeight="1">
      <c r="A694" t="inlineStr">
        <is>
          <t>A 17171-2025</t>
        </is>
      </c>
      <c r="B694" s="1" t="n">
        <v>45755</v>
      </c>
      <c r="C694" s="1" t="n">
        <v>45880</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6310-2025</t>
        </is>
      </c>
      <c r="B695" s="1" t="n">
        <v>45698</v>
      </c>
      <c r="C695" s="1" t="n">
        <v>45880</v>
      </c>
      <c r="D695" t="inlineStr">
        <is>
          <t>SKÅNE LÄN</t>
        </is>
      </c>
      <c r="E695" t="inlineStr">
        <is>
          <t>HÄSSLEHOLM</t>
        </is>
      </c>
      <c r="G695" t="n">
        <v>2.7</v>
      </c>
      <c r="H695" t="n">
        <v>0</v>
      </c>
      <c r="I695" t="n">
        <v>0</v>
      </c>
      <c r="J695" t="n">
        <v>0</v>
      </c>
      <c r="K695" t="n">
        <v>0</v>
      </c>
      <c r="L695" t="n">
        <v>0</v>
      </c>
      <c r="M695" t="n">
        <v>0</v>
      </c>
      <c r="N695" t="n">
        <v>0</v>
      </c>
      <c r="O695" t="n">
        <v>0</v>
      </c>
      <c r="P695" t="n">
        <v>0</v>
      </c>
      <c r="Q695" t="n">
        <v>0</v>
      </c>
      <c r="R695" s="2" t="inlineStr"/>
    </row>
    <row r="696" ht="15" customHeight="1">
      <c r="A696" t="inlineStr">
        <is>
          <t>A 13954-2023</t>
        </is>
      </c>
      <c r="B696" s="1" t="n">
        <v>45008</v>
      </c>
      <c r="C696" s="1" t="n">
        <v>45880</v>
      </c>
      <c r="D696" t="inlineStr">
        <is>
          <t>SKÅNE LÄN</t>
        </is>
      </c>
      <c r="E696" t="inlineStr">
        <is>
          <t>HÄSSLEHOLM</t>
        </is>
      </c>
      <c r="G696" t="n">
        <v>1.9</v>
      </c>
      <c r="H696" t="n">
        <v>0</v>
      </c>
      <c r="I696" t="n">
        <v>0</v>
      </c>
      <c r="J696" t="n">
        <v>0</v>
      </c>
      <c r="K696" t="n">
        <v>0</v>
      </c>
      <c r="L696" t="n">
        <v>0</v>
      </c>
      <c r="M696" t="n">
        <v>0</v>
      </c>
      <c r="N696" t="n">
        <v>0</v>
      </c>
      <c r="O696" t="n">
        <v>0</v>
      </c>
      <c r="P696" t="n">
        <v>0</v>
      </c>
      <c r="Q696" t="n">
        <v>0</v>
      </c>
      <c r="R696" s="2" t="inlineStr"/>
    </row>
    <row r="697" ht="15" customHeight="1">
      <c r="A697" t="inlineStr">
        <is>
          <t>A 7481-2023</t>
        </is>
      </c>
      <c r="B697" s="1" t="n">
        <v>44971</v>
      </c>
      <c r="C697" s="1" t="n">
        <v>45880</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16474-2025</t>
        </is>
      </c>
      <c r="B698" s="1" t="n">
        <v>45751.56834490741</v>
      </c>
      <c r="C698" s="1" t="n">
        <v>45880</v>
      </c>
      <c r="D698" t="inlineStr">
        <is>
          <t>SKÅNE LÄN</t>
        </is>
      </c>
      <c r="E698" t="inlineStr">
        <is>
          <t>HÄSSLEHOLM</t>
        </is>
      </c>
      <c r="G698" t="n">
        <v>5.9</v>
      </c>
      <c r="H698" t="n">
        <v>0</v>
      </c>
      <c r="I698" t="n">
        <v>0</v>
      </c>
      <c r="J698" t="n">
        <v>0</v>
      </c>
      <c r="K698" t="n">
        <v>0</v>
      </c>
      <c r="L698" t="n">
        <v>0</v>
      </c>
      <c r="M698" t="n">
        <v>0</v>
      </c>
      <c r="N698" t="n">
        <v>0</v>
      </c>
      <c r="O698" t="n">
        <v>0</v>
      </c>
      <c r="P698" t="n">
        <v>0</v>
      </c>
      <c r="Q698" t="n">
        <v>0</v>
      </c>
      <c r="R698" s="2" t="inlineStr"/>
    </row>
    <row r="699" ht="15" customHeight="1">
      <c r="A699" t="inlineStr">
        <is>
          <t>A 8524-2024</t>
        </is>
      </c>
      <c r="B699" s="1" t="n">
        <v>45355.48570601852</v>
      </c>
      <c r="C699" s="1" t="n">
        <v>45880</v>
      </c>
      <c r="D699" t="inlineStr">
        <is>
          <t>SKÅNE LÄN</t>
        </is>
      </c>
      <c r="E699" t="inlineStr">
        <is>
          <t>HÄSSLEHOLM</t>
        </is>
      </c>
      <c r="G699" t="n">
        <v>4</v>
      </c>
      <c r="H699" t="n">
        <v>0</v>
      </c>
      <c r="I699" t="n">
        <v>0</v>
      </c>
      <c r="J699" t="n">
        <v>0</v>
      </c>
      <c r="K699" t="n">
        <v>0</v>
      </c>
      <c r="L699" t="n">
        <v>0</v>
      </c>
      <c r="M699" t="n">
        <v>0</v>
      </c>
      <c r="N699" t="n">
        <v>0</v>
      </c>
      <c r="O699" t="n">
        <v>0</v>
      </c>
      <c r="P699" t="n">
        <v>0</v>
      </c>
      <c r="Q699" t="n">
        <v>0</v>
      </c>
      <c r="R699" s="2" t="inlineStr"/>
    </row>
    <row r="700" ht="15" customHeight="1">
      <c r="A700" t="inlineStr">
        <is>
          <t>A 22157-2024</t>
        </is>
      </c>
      <c r="B700" s="1" t="n">
        <v>45445.85290509259</v>
      </c>
      <c r="C700" s="1" t="n">
        <v>45880</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51018-2023</t>
        </is>
      </c>
      <c r="B701" s="1" t="n">
        <v>45218</v>
      </c>
      <c r="C701" s="1" t="n">
        <v>45880</v>
      </c>
      <c r="D701" t="inlineStr">
        <is>
          <t>SKÅNE LÄN</t>
        </is>
      </c>
      <c r="E701" t="inlineStr">
        <is>
          <t>HÄSSLEHOLM</t>
        </is>
      </c>
      <c r="G701" t="n">
        <v>3.1</v>
      </c>
      <c r="H701" t="n">
        <v>0</v>
      </c>
      <c r="I701" t="n">
        <v>0</v>
      </c>
      <c r="J701" t="n">
        <v>0</v>
      </c>
      <c r="K701" t="n">
        <v>0</v>
      </c>
      <c r="L701" t="n">
        <v>0</v>
      </c>
      <c r="M701" t="n">
        <v>0</v>
      </c>
      <c r="N701" t="n">
        <v>0</v>
      </c>
      <c r="O701" t="n">
        <v>0</v>
      </c>
      <c r="P701" t="n">
        <v>0</v>
      </c>
      <c r="Q701" t="n">
        <v>0</v>
      </c>
      <c r="R701" s="2" t="inlineStr"/>
    </row>
    <row r="702" ht="15" customHeight="1">
      <c r="A702" t="inlineStr">
        <is>
          <t>A 40152-2024</t>
        </is>
      </c>
      <c r="B702" s="1" t="n">
        <v>45554</v>
      </c>
      <c r="C702" s="1" t="n">
        <v>45880</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31254-2024</t>
        </is>
      </c>
      <c r="B703" s="1" t="n">
        <v>45503</v>
      </c>
      <c r="C703" s="1" t="n">
        <v>45880</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27825-2024</t>
        </is>
      </c>
      <c r="B704" s="1" t="n">
        <v>45475</v>
      </c>
      <c r="C704" s="1" t="n">
        <v>45880</v>
      </c>
      <c r="D704" t="inlineStr">
        <is>
          <t>SKÅNE LÄN</t>
        </is>
      </c>
      <c r="E704" t="inlineStr">
        <is>
          <t>HÄSSLEHOLM</t>
        </is>
      </c>
      <c r="F704" t="inlineStr">
        <is>
          <t>Kommuner</t>
        </is>
      </c>
      <c r="G704" t="n">
        <v>1.1</v>
      </c>
      <c r="H704" t="n">
        <v>0</v>
      </c>
      <c r="I704" t="n">
        <v>0</v>
      </c>
      <c r="J704" t="n">
        <v>0</v>
      </c>
      <c r="K704" t="n">
        <v>0</v>
      </c>
      <c r="L704" t="n">
        <v>0</v>
      </c>
      <c r="M704" t="n">
        <v>0</v>
      </c>
      <c r="N704" t="n">
        <v>0</v>
      </c>
      <c r="O704" t="n">
        <v>0</v>
      </c>
      <c r="P704" t="n">
        <v>0</v>
      </c>
      <c r="Q704" t="n">
        <v>0</v>
      </c>
      <c r="R704" s="2" t="inlineStr"/>
    </row>
    <row r="705" ht="15" customHeight="1">
      <c r="A705" t="inlineStr">
        <is>
          <t>A 35150-2023</t>
        </is>
      </c>
      <c r="B705" s="1" t="n">
        <v>45145</v>
      </c>
      <c r="C705" s="1" t="n">
        <v>45880</v>
      </c>
      <c r="D705" t="inlineStr">
        <is>
          <t>SKÅNE LÄN</t>
        </is>
      </c>
      <c r="E705" t="inlineStr">
        <is>
          <t>HÄSSLEHOLM</t>
        </is>
      </c>
      <c r="G705" t="n">
        <v>4.9</v>
      </c>
      <c r="H705" t="n">
        <v>0</v>
      </c>
      <c r="I705" t="n">
        <v>0</v>
      </c>
      <c r="J705" t="n">
        <v>0</v>
      </c>
      <c r="K705" t="n">
        <v>0</v>
      </c>
      <c r="L705" t="n">
        <v>0</v>
      </c>
      <c r="M705" t="n">
        <v>0</v>
      </c>
      <c r="N705" t="n">
        <v>0</v>
      </c>
      <c r="O705" t="n">
        <v>0</v>
      </c>
      <c r="P705" t="n">
        <v>0</v>
      </c>
      <c r="Q705" t="n">
        <v>0</v>
      </c>
      <c r="R705" s="2" t="inlineStr"/>
    </row>
    <row r="706" ht="15" customHeight="1">
      <c r="A706" t="inlineStr">
        <is>
          <t>A 14145-2023</t>
        </is>
      </c>
      <c r="B706" s="1" t="n">
        <v>45009</v>
      </c>
      <c r="C706" s="1" t="n">
        <v>45880</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11753-2025</t>
        </is>
      </c>
      <c r="B707" s="1" t="n">
        <v>45727</v>
      </c>
      <c r="C707" s="1" t="n">
        <v>45880</v>
      </c>
      <c r="D707" t="inlineStr">
        <is>
          <t>SKÅNE LÄN</t>
        </is>
      </c>
      <c r="E707" t="inlineStr">
        <is>
          <t>HÄSSLEHOLM</t>
        </is>
      </c>
      <c r="G707" t="n">
        <v>2.7</v>
      </c>
      <c r="H707" t="n">
        <v>0</v>
      </c>
      <c r="I707" t="n">
        <v>0</v>
      </c>
      <c r="J707" t="n">
        <v>0</v>
      </c>
      <c r="K707" t="n">
        <v>0</v>
      </c>
      <c r="L707" t="n">
        <v>0</v>
      </c>
      <c r="M707" t="n">
        <v>0</v>
      </c>
      <c r="N707" t="n">
        <v>0</v>
      </c>
      <c r="O707" t="n">
        <v>0</v>
      </c>
      <c r="P707" t="n">
        <v>0</v>
      </c>
      <c r="Q707" t="n">
        <v>0</v>
      </c>
      <c r="R707" s="2" t="inlineStr"/>
    </row>
    <row r="708" ht="15" customHeight="1">
      <c r="A708" t="inlineStr">
        <is>
          <t>A 37764-2022</t>
        </is>
      </c>
      <c r="B708" s="1" t="n">
        <v>44810</v>
      </c>
      <c r="C708" s="1" t="n">
        <v>45880</v>
      </c>
      <c r="D708" t="inlineStr">
        <is>
          <t>SKÅNE LÄN</t>
        </is>
      </c>
      <c r="E708" t="inlineStr">
        <is>
          <t>HÄSSLEHOLM</t>
        </is>
      </c>
      <c r="F708" t="inlineStr">
        <is>
          <t>Kyrkan</t>
        </is>
      </c>
      <c r="G708" t="n">
        <v>9.4</v>
      </c>
      <c r="H708" t="n">
        <v>0</v>
      </c>
      <c r="I708" t="n">
        <v>0</v>
      </c>
      <c r="J708" t="n">
        <v>0</v>
      </c>
      <c r="K708" t="n">
        <v>0</v>
      </c>
      <c r="L708" t="n">
        <v>0</v>
      </c>
      <c r="M708" t="n">
        <v>0</v>
      </c>
      <c r="N708" t="n">
        <v>0</v>
      </c>
      <c r="O708" t="n">
        <v>0</v>
      </c>
      <c r="P708" t="n">
        <v>0</v>
      </c>
      <c r="Q708" t="n">
        <v>0</v>
      </c>
      <c r="R708" s="2" t="inlineStr"/>
    </row>
    <row r="709" ht="15" customHeight="1">
      <c r="A709" t="inlineStr">
        <is>
          <t>A 6309-2025</t>
        </is>
      </c>
      <c r="B709" s="1" t="n">
        <v>45698</v>
      </c>
      <c r="C709" s="1" t="n">
        <v>45880</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12344-2023</t>
        </is>
      </c>
      <c r="B710" s="1" t="n">
        <v>44999</v>
      </c>
      <c r="C710" s="1" t="n">
        <v>45880</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58272-2024</t>
        </is>
      </c>
      <c r="B711" s="1" t="n">
        <v>45632.57025462963</v>
      </c>
      <c r="C711" s="1" t="n">
        <v>45880</v>
      </c>
      <c r="D711" t="inlineStr">
        <is>
          <t>SKÅNE LÄN</t>
        </is>
      </c>
      <c r="E711" t="inlineStr">
        <is>
          <t>HÄSSLEHOLM</t>
        </is>
      </c>
      <c r="G711" t="n">
        <v>2.3</v>
      </c>
      <c r="H711" t="n">
        <v>0</v>
      </c>
      <c r="I711" t="n">
        <v>0</v>
      </c>
      <c r="J711" t="n">
        <v>0</v>
      </c>
      <c r="K711" t="n">
        <v>0</v>
      </c>
      <c r="L711" t="n">
        <v>0</v>
      </c>
      <c r="M711" t="n">
        <v>0</v>
      </c>
      <c r="N711" t="n">
        <v>0</v>
      </c>
      <c r="O711" t="n">
        <v>0</v>
      </c>
      <c r="P711" t="n">
        <v>0</v>
      </c>
      <c r="Q711" t="n">
        <v>0</v>
      </c>
      <c r="R711" s="2" t="inlineStr"/>
    </row>
    <row r="712" ht="15" customHeight="1">
      <c r="A712" t="inlineStr">
        <is>
          <t>A 12507-2022</t>
        </is>
      </c>
      <c r="B712" s="1" t="n">
        <v>44638</v>
      </c>
      <c r="C712" s="1" t="n">
        <v>45880</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37486-2024</t>
        </is>
      </c>
      <c r="B713" s="1" t="n">
        <v>45541</v>
      </c>
      <c r="C713" s="1" t="n">
        <v>45880</v>
      </c>
      <c r="D713" t="inlineStr">
        <is>
          <t>SKÅNE LÄN</t>
        </is>
      </c>
      <c r="E713" t="inlineStr">
        <is>
          <t>HÄSSLEHOLM</t>
        </is>
      </c>
      <c r="G713" t="n">
        <v>8.5</v>
      </c>
      <c r="H713" t="n">
        <v>0</v>
      </c>
      <c r="I713" t="n">
        <v>0</v>
      </c>
      <c r="J713" t="n">
        <v>0</v>
      </c>
      <c r="K713" t="n">
        <v>0</v>
      </c>
      <c r="L713" t="n">
        <v>0</v>
      </c>
      <c r="M713" t="n">
        <v>0</v>
      </c>
      <c r="N713" t="n">
        <v>0</v>
      </c>
      <c r="O713" t="n">
        <v>0</v>
      </c>
      <c r="P713" t="n">
        <v>0</v>
      </c>
      <c r="Q713" t="n">
        <v>0</v>
      </c>
      <c r="R713" s="2" t="inlineStr"/>
    </row>
    <row r="714" ht="15" customHeight="1">
      <c r="A714" t="inlineStr">
        <is>
          <t>A 44838-2023</t>
        </is>
      </c>
      <c r="B714" s="1" t="n">
        <v>45190</v>
      </c>
      <c r="C714" s="1" t="n">
        <v>45880</v>
      </c>
      <c r="D714" t="inlineStr">
        <is>
          <t>SKÅNE LÄN</t>
        </is>
      </c>
      <c r="E714" t="inlineStr">
        <is>
          <t>HÄSSLEHOLM</t>
        </is>
      </c>
      <c r="F714" t="inlineStr">
        <is>
          <t>Kommuner</t>
        </is>
      </c>
      <c r="G714" t="n">
        <v>2</v>
      </c>
      <c r="H714" t="n">
        <v>0</v>
      </c>
      <c r="I714" t="n">
        <v>0</v>
      </c>
      <c r="J714" t="n">
        <v>0</v>
      </c>
      <c r="K714" t="n">
        <v>0</v>
      </c>
      <c r="L714" t="n">
        <v>0</v>
      </c>
      <c r="M714" t="n">
        <v>0</v>
      </c>
      <c r="N714" t="n">
        <v>0</v>
      </c>
      <c r="O714" t="n">
        <v>0</v>
      </c>
      <c r="P714" t="n">
        <v>0</v>
      </c>
      <c r="Q714" t="n">
        <v>0</v>
      </c>
      <c r="R714" s="2" t="inlineStr"/>
    </row>
    <row r="715" ht="15" customHeight="1">
      <c r="A715" t="inlineStr">
        <is>
          <t>A 10594-2025</t>
        </is>
      </c>
      <c r="B715" s="1" t="n">
        <v>45721</v>
      </c>
      <c r="C715" s="1" t="n">
        <v>45880</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22690-2022</t>
        </is>
      </c>
      <c r="B716" s="1" t="n">
        <v>44714.5421875</v>
      </c>
      <c r="C716" s="1" t="n">
        <v>45880</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15072-2024</t>
        </is>
      </c>
      <c r="B717" s="1" t="n">
        <v>45399.5996875</v>
      </c>
      <c r="C717" s="1" t="n">
        <v>45880</v>
      </c>
      <c r="D717" t="inlineStr">
        <is>
          <t>SKÅNE LÄN</t>
        </is>
      </c>
      <c r="E717" t="inlineStr">
        <is>
          <t>HÄSSLEHOLM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31391-2023</t>
        </is>
      </c>
      <c r="B718" s="1" t="n">
        <v>45114.56143518518</v>
      </c>
      <c r="C718" s="1" t="n">
        <v>45880</v>
      </c>
      <c r="D718" t="inlineStr">
        <is>
          <t>SKÅNE LÄN</t>
        </is>
      </c>
      <c r="E718" t="inlineStr">
        <is>
          <t>HÄSSLEHOLM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16930-2024</t>
        </is>
      </c>
      <c r="B719" s="1" t="n">
        <v>45411</v>
      </c>
      <c r="C719" s="1" t="n">
        <v>45880</v>
      </c>
      <c r="D719" t="inlineStr">
        <is>
          <t>SKÅNE LÄN</t>
        </is>
      </c>
      <c r="E719" t="inlineStr">
        <is>
          <t>HÄSSLEHOLM</t>
        </is>
      </c>
      <c r="G719" t="n">
        <v>1</v>
      </c>
      <c r="H719" t="n">
        <v>0</v>
      </c>
      <c r="I719" t="n">
        <v>0</v>
      </c>
      <c r="J719" t="n">
        <v>0</v>
      </c>
      <c r="K719" t="n">
        <v>0</v>
      </c>
      <c r="L719" t="n">
        <v>0</v>
      </c>
      <c r="M719" t="n">
        <v>0</v>
      </c>
      <c r="N719" t="n">
        <v>0</v>
      </c>
      <c r="O719" t="n">
        <v>0</v>
      </c>
      <c r="P719" t="n">
        <v>0</v>
      </c>
      <c r="Q719" t="n">
        <v>0</v>
      </c>
      <c r="R719" s="2" t="inlineStr"/>
    </row>
    <row r="720" ht="15" customHeight="1">
      <c r="A720" t="inlineStr">
        <is>
          <t>A 45361-2023</t>
        </is>
      </c>
      <c r="B720" s="1" t="n">
        <v>45192.49068287037</v>
      </c>
      <c r="C720" s="1" t="n">
        <v>45880</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57079-2022</t>
        </is>
      </c>
      <c r="B721" s="1" t="n">
        <v>44895</v>
      </c>
      <c r="C721" s="1" t="n">
        <v>45880</v>
      </c>
      <c r="D721" t="inlineStr">
        <is>
          <t>SKÅNE LÄN</t>
        </is>
      </c>
      <c r="E721" t="inlineStr">
        <is>
          <t>HÄSSLEHOLM</t>
        </is>
      </c>
      <c r="G721" t="n">
        <v>2.6</v>
      </c>
      <c r="H721" t="n">
        <v>0</v>
      </c>
      <c r="I721" t="n">
        <v>0</v>
      </c>
      <c r="J721" t="n">
        <v>0</v>
      </c>
      <c r="K721" t="n">
        <v>0</v>
      </c>
      <c r="L721" t="n">
        <v>0</v>
      </c>
      <c r="M721" t="n">
        <v>0</v>
      </c>
      <c r="N721" t="n">
        <v>0</v>
      </c>
      <c r="O721" t="n">
        <v>0</v>
      </c>
      <c r="P721" t="n">
        <v>0</v>
      </c>
      <c r="Q721" t="n">
        <v>0</v>
      </c>
      <c r="R721" s="2" t="inlineStr"/>
    </row>
    <row r="722" ht="15" customHeight="1">
      <c r="A722" t="inlineStr">
        <is>
          <t>A 11262-2025</t>
        </is>
      </c>
      <c r="B722" s="1" t="n">
        <v>45726</v>
      </c>
      <c r="C722" s="1" t="n">
        <v>45880</v>
      </c>
      <c r="D722" t="inlineStr">
        <is>
          <t>SKÅNE LÄN</t>
        </is>
      </c>
      <c r="E722" t="inlineStr">
        <is>
          <t>HÄSSLEHOLM</t>
        </is>
      </c>
      <c r="G722" t="n">
        <v>1.9</v>
      </c>
      <c r="H722" t="n">
        <v>0</v>
      </c>
      <c r="I722" t="n">
        <v>0</v>
      </c>
      <c r="J722" t="n">
        <v>0</v>
      </c>
      <c r="K722" t="n">
        <v>0</v>
      </c>
      <c r="L722" t="n">
        <v>0</v>
      </c>
      <c r="M722" t="n">
        <v>0</v>
      </c>
      <c r="N722" t="n">
        <v>0</v>
      </c>
      <c r="O722" t="n">
        <v>0</v>
      </c>
      <c r="P722" t="n">
        <v>0</v>
      </c>
      <c r="Q722" t="n">
        <v>0</v>
      </c>
      <c r="R722" s="2" t="inlineStr"/>
    </row>
    <row r="723" ht="15" customHeight="1">
      <c r="A723" t="inlineStr">
        <is>
          <t>A 5395-2024</t>
        </is>
      </c>
      <c r="B723" s="1" t="n">
        <v>45331</v>
      </c>
      <c r="C723" s="1" t="n">
        <v>45880</v>
      </c>
      <c r="D723" t="inlineStr">
        <is>
          <t>SKÅNE LÄN</t>
        </is>
      </c>
      <c r="E723" t="inlineStr">
        <is>
          <t>HÄSSLEHOLM</t>
        </is>
      </c>
      <c r="G723" t="n">
        <v>2.6</v>
      </c>
      <c r="H723" t="n">
        <v>0</v>
      </c>
      <c r="I723" t="n">
        <v>0</v>
      </c>
      <c r="J723" t="n">
        <v>0</v>
      </c>
      <c r="K723" t="n">
        <v>0</v>
      </c>
      <c r="L723" t="n">
        <v>0</v>
      </c>
      <c r="M723" t="n">
        <v>0</v>
      </c>
      <c r="N723" t="n">
        <v>0</v>
      </c>
      <c r="O723" t="n">
        <v>0</v>
      </c>
      <c r="P723" t="n">
        <v>0</v>
      </c>
      <c r="Q723" t="n">
        <v>0</v>
      </c>
      <c r="R723" s="2" t="inlineStr"/>
    </row>
    <row r="724" ht="15" customHeight="1">
      <c r="A724" t="inlineStr">
        <is>
          <t>A 56069-2024</t>
        </is>
      </c>
      <c r="B724" s="1" t="n">
        <v>45624.38006944444</v>
      </c>
      <c r="C724" s="1" t="n">
        <v>45880</v>
      </c>
      <c r="D724" t="inlineStr">
        <is>
          <t>SKÅNE LÄN</t>
        </is>
      </c>
      <c r="E724" t="inlineStr">
        <is>
          <t>HÄSSLEHOLM</t>
        </is>
      </c>
      <c r="F724" t="inlineStr">
        <is>
          <t>Övriga Aktiebolag</t>
        </is>
      </c>
      <c r="G724" t="n">
        <v>2.3</v>
      </c>
      <c r="H724" t="n">
        <v>0</v>
      </c>
      <c r="I724" t="n">
        <v>0</v>
      </c>
      <c r="J724" t="n">
        <v>0</v>
      </c>
      <c r="K724" t="n">
        <v>0</v>
      </c>
      <c r="L724" t="n">
        <v>0</v>
      </c>
      <c r="M724" t="n">
        <v>0</v>
      </c>
      <c r="N724" t="n">
        <v>0</v>
      </c>
      <c r="O724" t="n">
        <v>0</v>
      </c>
      <c r="P724" t="n">
        <v>0</v>
      </c>
      <c r="Q724" t="n">
        <v>0</v>
      </c>
      <c r="R724" s="2" t="inlineStr"/>
    </row>
    <row r="725" ht="15" customHeight="1">
      <c r="A725" t="inlineStr">
        <is>
          <t>A 45220-2023</t>
        </is>
      </c>
      <c r="B725" s="1" t="n">
        <v>45191</v>
      </c>
      <c r="C725" s="1" t="n">
        <v>45880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38712-2024</t>
        </is>
      </c>
      <c r="B726" s="1" t="n">
        <v>45547</v>
      </c>
      <c r="C726" s="1" t="n">
        <v>45880</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57647-2024</t>
        </is>
      </c>
      <c r="B727" s="1" t="n">
        <v>45630</v>
      </c>
      <c r="C727" s="1" t="n">
        <v>45880</v>
      </c>
      <c r="D727" t="inlineStr">
        <is>
          <t>SKÅNE LÄN</t>
        </is>
      </c>
      <c r="E727" t="inlineStr">
        <is>
          <t>HÄSSLEHOLM</t>
        </is>
      </c>
      <c r="G727" t="n">
        <v>2.9</v>
      </c>
      <c r="H727" t="n">
        <v>0</v>
      </c>
      <c r="I727" t="n">
        <v>0</v>
      </c>
      <c r="J727" t="n">
        <v>0</v>
      </c>
      <c r="K727" t="n">
        <v>0</v>
      </c>
      <c r="L727" t="n">
        <v>0</v>
      </c>
      <c r="M727" t="n">
        <v>0</v>
      </c>
      <c r="N727" t="n">
        <v>0</v>
      </c>
      <c r="O727" t="n">
        <v>0</v>
      </c>
      <c r="P727" t="n">
        <v>0</v>
      </c>
      <c r="Q727" t="n">
        <v>0</v>
      </c>
      <c r="R727" s="2" t="inlineStr"/>
    </row>
    <row r="728" ht="15" customHeight="1">
      <c r="A728" t="inlineStr">
        <is>
          <t>A 60797-2024</t>
        </is>
      </c>
      <c r="B728" s="1" t="n">
        <v>45644</v>
      </c>
      <c r="C728" s="1" t="n">
        <v>45880</v>
      </c>
      <c r="D728" t="inlineStr">
        <is>
          <t>SKÅNE LÄN</t>
        </is>
      </c>
      <c r="E728" t="inlineStr">
        <is>
          <t>HÄSSLEHOLM</t>
        </is>
      </c>
      <c r="G728" t="n">
        <v>3.4</v>
      </c>
      <c r="H728" t="n">
        <v>0</v>
      </c>
      <c r="I728" t="n">
        <v>0</v>
      </c>
      <c r="J728" t="n">
        <v>0</v>
      </c>
      <c r="K728" t="n">
        <v>0</v>
      </c>
      <c r="L728" t="n">
        <v>0</v>
      </c>
      <c r="M728" t="n">
        <v>0</v>
      </c>
      <c r="N728" t="n">
        <v>0</v>
      </c>
      <c r="O728" t="n">
        <v>0</v>
      </c>
      <c r="P728" t="n">
        <v>0</v>
      </c>
      <c r="Q728" t="n">
        <v>0</v>
      </c>
      <c r="R728" s="2" t="inlineStr"/>
    </row>
    <row r="729" ht="15" customHeight="1">
      <c r="A729" t="inlineStr">
        <is>
          <t>A 61182-2024</t>
        </is>
      </c>
      <c r="B729" s="1" t="n">
        <v>45645</v>
      </c>
      <c r="C729" s="1" t="n">
        <v>45880</v>
      </c>
      <c r="D729" t="inlineStr">
        <is>
          <t>SKÅNE LÄN</t>
        </is>
      </c>
      <c r="E729" t="inlineStr">
        <is>
          <t>HÄSSLEHOLM</t>
        </is>
      </c>
      <c r="G729" t="n">
        <v>3.2</v>
      </c>
      <c r="H729" t="n">
        <v>0</v>
      </c>
      <c r="I729" t="n">
        <v>0</v>
      </c>
      <c r="J729" t="n">
        <v>0</v>
      </c>
      <c r="K729" t="n">
        <v>0</v>
      </c>
      <c r="L729" t="n">
        <v>0</v>
      </c>
      <c r="M729" t="n">
        <v>0</v>
      </c>
      <c r="N729" t="n">
        <v>0</v>
      </c>
      <c r="O729" t="n">
        <v>0</v>
      </c>
      <c r="P729" t="n">
        <v>0</v>
      </c>
      <c r="Q729" t="n">
        <v>0</v>
      </c>
      <c r="R729" s="2" t="inlineStr"/>
    </row>
    <row r="730" ht="15" customHeight="1">
      <c r="A730" t="inlineStr">
        <is>
          <t>A 61498-2022</t>
        </is>
      </c>
      <c r="B730" s="1" t="n">
        <v>44910</v>
      </c>
      <c r="C730" s="1" t="n">
        <v>45880</v>
      </c>
      <c r="D730" t="inlineStr">
        <is>
          <t>SKÅNE LÄN</t>
        </is>
      </c>
      <c r="E730" t="inlineStr">
        <is>
          <t>HÄSSLEHOLM</t>
        </is>
      </c>
      <c r="F730" t="inlineStr">
        <is>
          <t>Kyrkan</t>
        </is>
      </c>
      <c r="G730" t="n">
        <v>3.2</v>
      </c>
      <c r="H730" t="n">
        <v>0</v>
      </c>
      <c r="I730" t="n">
        <v>0</v>
      </c>
      <c r="J730" t="n">
        <v>0</v>
      </c>
      <c r="K730" t="n">
        <v>0</v>
      </c>
      <c r="L730" t="n">
        <v>0</v>
      </c>
      <c r="M730" t="n">
        <v>0</v>
      </c>
      <c r="N730" t="n">
        <v>0</v>
      </c>
      <c r="O730" t="n">
        <v>0</v>
      </c>
      <c r="P730" t="n">
        <v>0</v>
      </c>
      <c r="Q730" t="n">
        <v>0</v>
      </c>
      <c r="R730" s="2" t="inlineStr"/>
    </row>
    <row r="731" ht="15" customHeight="1">
      <c r="A731" t="inlineStr">
        <is>
          <t>A 15417-2022</t>
        </is>
      </c>
      <c r="B731" s="1" t="n">
        <v>44659</v>
      </c>
      <c r="C731" s="1" t="n">
        <v>45880</v>
      </c>
      <c r="D731" t="inlineStr">
        <is>
          <t>SKÅNE LÄN</t>
        </is>
      </c>
      <c r="E731" t="inlineStr">
        <is>
          <t>HÄSSLEHOLM</t>
        </is>
      </c>
      <c r="F731" t="inlineStr">
        <is>
          <t>Kyrkan</t>
        </is>
      </c>
      <c r="G731" t="n">
        <v>2.9</v>
      </c>
      <c r="H731" t="n">
        <v>0</v>
      </c>
      <c r="I731" t="n">
        <v>0</v>
      </c>
      <c r="J731" t="n">
        <v>0</v>
      </c>
      <c r="K731" t="n">
        <v>0</v>
      </c>
      <c r="L731" t="n">
        <v>0</v>
      </c>
      <c r="M731" t="n">
        <v>0</v>
      </c>
      <c r="N731" t="n">
        <v>0</v>
      </c>
      <c r="O731" t="n">
        <v>0</v>
      </c>
      <c r="P731" t="n">
        <v>0</v>
      </c>
      <c r="Q731" t="n">
        <v>0</v>
      </c>
      <c r="R731" s="2" t="inlineStr"/>
    </row>
    <row r="732" ht="15" customHeight="1">
      <c r="A732" t="inlineStr">
        <is>
          <t>A 36240-2023</t>
        </is>
      </c>
      <c r="B732" s="1" t="n">
        <v>45150.89295138889</v>
      </c>
      <c r="C732" s="1" t="n">
        <v>45880</v>
      </c>
      <c r="D732" t="inlineStr">
        <is>
          <t>SKÅNE LÄN</t>
        </is>
      </c>
      <c r="E732" t="inlineStr">
        <is>
          <t>HÄSSLEHOLM</t>
        </is>
      </c>
      <c r="G732" t="n">
        <v>1.5</v>
      </c>
      <c r="H732" t="n">
        <v>0</v>
      </c>
      <c r="I732" t="n">
        <v>0</v>
      </c>
      <c r="J732" t="n">
        <v>0</v>
      </c>
      <c r="K732" t="n">
        <v>0</v>
      </c>
      <c r="L732" t="n">
        <v>0</v>
      </c>
      <c r="M732" t="n">
        <v>0</v>
      </c>
      <c r="N732" t="n">
        <v>0</v>
      </c>
      <c r="O732" t="n">
        <v>0</v>
      </c>
      <c r="P732" t="n">
        <v>0</v>
      </c>
      <c r="Q732" t="n">
        <v>0</v>
      </c>
      <c r="R732" s="2" t="inlineStr"/>
    </row>
    <row r="733" ht="15" customHeight="1">
      <c r="A733" t="inlineStr">
        <is>
          <t>A 13990-2022</t>
        </is>
      </c>
      <c r="B733" s="1" t="n">
        <v>44650</v>
      </c>
      <c r="C733" s="1" t="n">
        <v>45880</v>
      </c>
      <c r="D733" t="inlineStr">
        <is>
          <t>SKÅNE LÄN</t>
        </is>
      </c>
      <c r="E733" t="inlineStr">
        <is>
          <t>HÄSSLEHOLM</t>
        </is>
      </c>
      <c r="G733" t="n">
        <v>3.6</v>
      </c>
      <c r="H733" t="n">
        <v>0</v>
      </c>
      <c r="I733" t="n">
        <v>0</v>
      </c>
      <c r="J733" t="n">
        <v>0</v>
      </c>
      <c r="K733" t="n">
        <v>0</v>
      </c>
      <c r="L733" t="n">
        <v>0</v>
      </c>
      <c r="M733" t="n">
        <v>0</v>
      </c>
      <c r="N733" t="n">
        <v>0</v>
      </c>
      <c r="O733" t="n">
        <v>0</v>
      </c>
      <c r="P733" t="n">
        <v>0</v>
      </c>
      <c r="Q733" t="n">
        <v>0</v>
      </c>
      <c r="R733" s="2" t="inlineStr"/>
    </row>
    <row r="734" ht="15" customHeight="1">
      <c r="A734" t="inlineStr">
        <is>
          <t>A 25219-2023</t>
        </is>
      </c>
      <c r="B734" s="1" t="n">
        <v>45086.60541666667</v>
      </c>
      <c r="C734" s="1" t="n">
        <v>45880</v>
      </c>
      <c r="D734" t="inlineStr">
        <is>
          <t>SKÅNE LÄN</t>
        </is>
      </c>
      <c r="E734" t="inlineStr">
        <is>
          <t>HÄSSLEHOLM</t>
        </is>
      </c>
      <c r="G734" t="n">
        <v>6.9</v>
      </c>
      <c r="H734" t="n">
        <v>0</v>
      </c>
      <c r="I734" t="n">
        <v>0</v>
      </c>
      <c r="J734" t="n">
        <v>0</v>
      </c>
      <c r="K734" t="n">
        <v>0</v>
      </c>
      <c r="L734" t="n">
        <v>0</v>
      </c>
      <c r="M734" t="n">
        <v>0</v>
      </c>
      <c r="N734" t="n">
        <v>0</v>
      </c>
      <c r="O734" t="n">
        <v>0</v>
      </c>
      <c r="P734" t="n">
        <v>0</v>
      </c>
      <c r="Q734" t="n">
        <v>0</v>
      </c>
      <c r="R734" s="2" t="inlineStr"/>
    </row>
    <row r="735" ht="15" customHeight="1">
      <c r="A735" t="inlineStr">
        <is>
          <t>A 20564-2023</t>
        </is>
      </c>
      <c r="B735" s="1" t="n">
        <v>45057</v>
      </c>
      <c r="C735" s="1" t="n">
        <v>45880</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9302-2025</t>
        </is>
      </c>
      <c r="B736" s="1" t="n">
        <v>45714.67233796296</v>
      </c>
      <c r="C736" s="1" t="n">
        <v>45880</v>
      </c>
      <c r="D736" t="inlineStr">
        <is>
          <t>SKÅNE LÄN</t>
        </is>
      </c>
      <c r="E736" t="inlineStr">
        <is>
          <t>HÄSSLEHOLM</t>
        </is>
      </c>
      <c r="G736" t="n">
        <v>2.6</v>
      </c>
      <c r="H736" t="n">
        <v>0</v>
      </c>
      <c r="I736" t="n">
        <v>0</v>
      </c>
      <c r="J736" t="n">
        <v>0</v>
      </c>
      <c r="K736" t="n">
        <v>0</v>
      </c>
      <c r="L736" t="n">
        <v>0</v>
      </c>
      <c r="M736" t="n">
        <v>0</v>
      </c>
      <c r="N736" t="n">
        <v>0</v>
      </c>
      <c r="O736" t="n">
        <v>0</v>
      </c>
      <c r="P736" t="n">
        <v>0</v>
      </c>
      <c r="Q736" t="n">
        <v>0</v>
      </c>
      <c r="R736" s="2" t="inlineStr"/>
    </row>
    <row r="737" ht="15" customHeight="1">
      <c r="A737" t="inlineStr">
        <is>
          <t>A 24034-2025</t>
        </is>
      </c>
      <c r="B737" s="1" t="n">
        <v>45796.48251157408</v>
      </c>
      <c r="C737" s="1" t="n">
        <v>45880</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9322-2025</t>
        </is>
      </c>
      <c r="B738" s="1" t="n">
        <v>45714.72241898148</v>
      </c>
      <c r="C738" s="1" t="n">
        <v>45880</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41694-2024</t>
        </is>
      </c>
      <c r="B739" s="1" t="n">
        <v>45560.68341435185</v>
      </c>
      <c r="C739" s="1" t="n">
        <v>45880</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37300-2023</t>
        </is>
      </c>
      <c r="B740" s="1" t="n">
        <v>45156</v>
      </c>
      <c r="C740" s="1" t="n">
        <v>45880</v>
      </c>
      <c r="D740" t="inlineStr">
        <is>
          <t>SKÅNE LÄN</t>
        </is>
      </c>
      <c r="E740" t="inlineStr">
        <is>
          <t>HÄSSLEHOLM</t>
        </is>
      </c>
      <c r="G740" t="n">
        <v>1.5</v>
      </c>
      <c r="H740" t="n">
        <v>0</v>
      </c>
      <c r="I740" t="n">
        <v>0</v>
      </c>
      <c r="J740" t="n">
        <v>0</v>
      </c>
      <c r="K740" t="n">
        <v>0</v>
      </c>
      <c r="L740" t="n">
        <v>0</v>
      </c>
      <c r="M740" t="n">
        <v>0</v>
      </c>
      <c r="N740" t="n">
        <v>0</v>
      </c>
      <c r="O740" t="n">
        <v>0</v>
      </c>
      <c r="P740" t="n">
        <v>0</v>
      </c>
      <c r="Q740" t="n">
        <v>0</v>
      </c>
      <c r="R740" s="2" t="inlineStr"/>
    </row>
    <row r="741" ht="15" customHeight="1">
      <c r="A741" t="inlineStr">
        <is>
          <t>A 24039-2025</t>
        </is>
      </c>
      <c r="B741" s="1" t="n">
        <v>45796.48675925926</v>
      </c>
      <c r="C741" s="1" t="n">
        <v>45880</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47757-2024</t>
        </is>
      </c>
      <c r="B742" s="1" t="n">
        <v>45588.55075231481</v>
      </c>
      <c r="C742" s="1" t="n">
        <v>45880</v>
      </c>
      <c r="D742" t="inlineStr">
        <is>
          <t>SKÅNE LÄN</t>
        </is>
      </c>
      <c r="E742" t="inlineStr">
        <is>
          <t>HÄSSLEHOLM</t>
        </is>
      </c>
      <c r="G742" t="n">
        <v>5.5</v>
      </c>
      <c r="H742" t="n">
        <v>0</v>
      </c>
      <c r="I742" t="n">
        <v>0</v>
      </c>
      <c r="J742" t="n">
        <v>0</v>
      </c>
      <c r="K742" t="n">
        <v>0</v>
      </c>
      <c r="L742" t="n">
        <v>0</v>
      </c>
      <c r="M742" t="n">
        <v>0</v>
      </c>
      <c r="N742" t="n">
        <v>0</v>
      </c>
      <c r="O742" t="n">
        <v>0</v>
      </c>
      <c r="P742" t="n">
        <v>0</v>
      </c>
      <c r="Q742" t="n">
        <v>0</v>
      </c>
      <c r="R742" s="2" t="inlineStr"/>
    </row>
    <row r="743" ht="15" customHeight="1">
      <c r="A743" t="inlineStr">
        <is>
          <t>A 32585-2025</t>
        </is>
      </c>
      <c r="B743" s="1" t="n">
        <v>45838.60021990741</v>
      </c>
      <c r="C743" s="1" t="n">
        <v>45880</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32592-2025</t>
        </is>
      </c>
      <c r="B744" s="1" t="n">
        <v>45838.61020833333</v>
      </c>
      <c r="C744" s="1" t="n">
        <v>45880</v>
      </c>
      <c r="D744" t="inlineStr">
        <is>
          <t>SKÅNE LÄN</t>
        </is>
      </c>
      <c r="E744" t="inlineStr">
        <is>
          <t>HÄSSLEHOLM</t>
        </is>
      </c>
      <c r="G744" t="n">
        <v>2.1</v>
      </c>
      <c r="H744" t="n">
        <v>0</v>
      </c>
      <c r="I744" t="n">
        <v>0</v>
      </c>
      <c r="J744" t="n">
        <v>0</v>
      </c>
      <c r="K744" t="n">
        <v>0</v>
      </c>
      <c r="L744" t="n">
        <v>0</v>
      </c>
      <c r="M744" t="n">
        <v>0</v>
      </c>
      <c r="N744" t="n">
        <v>0</v>
      </c>
      <c r="O744" t="n">
        <v>0</v>
      </c>
      <c r="P744" t="n">
        <v>0</v>
      </c>
      <c r="Q744" t="n">
        <v>0</v>
      </c>
      <c r="R744" s="2" t="inlineStr"/>
    </row>
    <row r="745" ht="15" customHeight="1">
      <c r="A745" t="inlineStr">
        <is>
          <t>A 2663-2023</t>
        </is>
      </c>
      <c r="B745" s="1" t="n">
        <v>44942</v>
      </c>
      <c r="C745" s="1" t="n">
        <v>45880</v>
      </c>
      <c r="D745" t="inlineStr">
        <is>
          <t>SKÅNE LÄN</t>
        </is>
      </c>
      <c r="E745" t="inlineStr">
        <is>
          <t>HÄSSLEHOLM</t>
        </is>
      </c>
      <c r="F745" t="inlineStr">
        <is>
          <t>Kyrkan</t>
        </is>
      </c>
      <c r="G745" t="n">
        <v>0.8</v>
      </c>
      <c r="H745" t="n">
        <v>0</v>
      </c>
      <c r="I745" t="n">
        <v>0</v>
      </c>
      <c r="J745" t="n">
        <v>0</v>
      </c>
      <c r="K745" t="n">
        <v>0</v>
      </c>
      <c r="L745" t="n">
        <v>0</v>
      </c>
      <c r="M745" t="n">
        <v>0</v>
      </c>
      <c r="N745" t="n">
        <v>0</v>
      </c>
      <c r="O745" t="n">
        <v>0</v>
      </c>
      <c r="P745" t="n">
        <v>0</v>
      </c>
      <c r="Q745" t="n">
        <v>0</v>
      </c>
      <c r="R745" s="2" t="inlineStr"/>
    </row>
    <row r="746" ht="15" customHeight="1">
      <c r="A746" t="inlineStr">
        <is>
          <t>A 39915-2023</t>
        </is>
      </c>
      <c r="B746" s="1" t="n">
        <v>45168.4684375</v>
      </c>
      <c r="C746" s="1" t="n">
        <v>45880</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3925-2021</t>
        </is>
      </c>
      <c r="B747" s="1" t="n">
        <v>44222</v>
      </c>
      <c r="C747" s="1" t="n">
        <v>45880</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7192-2025</t>
        </is>
      </c>
      <c r="B748" s="1" t="n">
        <v>45702.44746527778</v>
      </c>
      <c r="C748" s="1" t="n">
        <v>45880</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6596-2021</t>
        </is>
      </c>
      <c r="B749" s="1" t="n">
        <v>44236</v>
      </c>
      <c r="C749" s="1" t="n">
        <v>45880</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41680-2024</t>
        </is>
      </c>
      <c r="B750" s="1" t="n">
        <v>45560</v>
      </c>
      <c r="C750" s="1" t="n">
        <v>45880</v>
      </c>
      <c r="D750" t="inlineStr">
        <is>
          <t>SKÅNE LÄN</t>
        </is>
      </c>
      <c r="E750" t="inlineStr">
        <is>
          <t>HÄSSLEHOLM</t>
        </is>
      </c>
      <c r="G750" t="n">
        <v>0.2</v>
      </c>
      <c r="H750" t="n">
        <v>0</v>
      </c>
      <c r="I750" t="n">
        <v>0</v>
      </c>
      <c r="J750" t="n">
        <v>0</v>
      </c>
      <c r="K750" t="n">
        <v>0</v>
      </c>
      <c r="L750" t="n">
        <v>0</v>
      </c>
      <c r="M750" t="n">
        <v>0</v>
      </c>
      <c r="N750" t="n">
        <v>0</v>
      </c>
      <c r="O750" t="n">
        <v>0</v>
      </c>
      <c r="P750" t="n">
        <v>0</v>
      </c>
      <c r="Q750" t="n">
        <v>0</v>
      </c>
      <c r="R750" s="2" t="inlineStr"/>
    </row>
    <row r="751" ht="15" customHeight="1">
      <c r="A751" t="inlineStr">
        <is>
          <t>A 27954-2022</t>
        </is>
      </c>
      <c r="B751" s="1" t="n">
        <v>44743</v>
      </c>
      <c r="C751" s="1" t="n">
        <v>45880</v>
      </c>
      <c r="D751" t="inlineStr">
        <is>
          <t>SKÅNE LÄN</t>
        </is>
      </c>
      <c r="E751" t="inlineStr">
        <is>
          <t>HÄSSLEHOLM</t>
        </is>
      </c>
      <c r="G751" t="n">
        <v>9.4</v>
      </c>
      <c r="H751" t="n">
        <v>0</v>
      </c>
      <c r="I751" t="n">
        <v>0</v>
      </c>
      <c r="J751" t="n">
        <v>0</v>
      </c>
      <c r="K751" t="n">
        <v>0</v>
      </c>
      <c r="L751" t="n">
        <v>0</v>
      </c>
      <c r="M751" t="n">
        <v>0</v>
      </c>
      <c r="N751" t="n">
        <v>0</v>
      </c>
      <c r="O751" t="n">
        <v>0</v>
      </c>
      <c r="P751" t="n">
        <v>0</v>
      </c>
      <c r="Q751" t="n">
        <v>0</v>
      </c>
      <c r="R751" s="2" t="inlineStr"/>
    </row>
    <row r="752" ht="15" customHeight="1">
      <c r="A752" t="inlineStr">
        <is>
          <t>A 7681-2025</t>
        </is>
      </c>
      <c r="B752" s="1" t="n">
        <v>45706.36758101852</v>
      </c>
      <c r="C752" s="1" t="n">
        <v>45880</v>
      </c>
      <c r="D752" t="inlineStr">
        <is>
          <t>SKÅNE LÄN</t>
        </is>
      </c>
      <c r="E752" t="inlineStr">
        <is>
          <t>HÄSSLEHOLM</t>
        </is>
      </c>
      <c r="G752" t="n">
        <v>1.9</v>
      </c>
      <c r="H752" t="n">
        <v>0</v>
      </c>
      <c r="I752" t="n">
        <v>0</v>
      </c>
      <c r="J752" t="n">
        <v>0</v>
      </c>
      <c r="K752" t="n">
        <v>0</v>
      </c>
      <c r="L752" t="n">
        <v>0</v>
      </c>
      <c r="M752" t="n">
        <v>0</v>
      </c>
      <c r="N752" t="n">
        <v>0</v>
      </c>
      <c r="O752" t="n">
        <v>0</v>
      </c>
      <c r="P752" t="n">
        <v>0</v>
      </c>
      <c r="Q752" t="n">
        <v>0</v>
      </c>
      <c r="R752" s="2" t="inlineStr"/>
    </row>
    <row r="753" ht="15" customHeight="1">
      <c r="A753" t="inlineStr">
        <is>
          <t>A 24032-2025</t>
        </is>
      </c>
      <c r="B753" s="1" t="n">
        <v>45796.478125</v>
      </c>
      <c r="C753" s="1" t="n">
        <v>45880</v>
      </c>
      <c r="D753" t="inlineStr">
        <is>
          <t>SKÅNE LÄN</t>
        </is>
      </c>
      <c r="E753" t="inlineStr">
        <is>
          <t>HÄSSLEHOLM</t>
        </is>
      </c>
      <c r="G753" t="n">
        <v>2.2</v>
      </c>
      <c r="H753" t="n">
        <v>0</v>
      </c>
      <c r="I753" t="n">
        <v>0</v>
      </c>
      <c r="J753" t="n">
        <v>0</v>
      </c>
      <c r="K753" t="n">
        <v>0</v>
      </c>
      <c r="L753" t="n">
        <v>0</v>
      </c>
      <c r="M753" t="n">
        <v>0</v>
      </c>
      <c r="N753" t="n">
        <v>0</v>
      </c>
      <c r="O753" t="n">
        <v>0</v>
      </c>
      <c r="P753" t="n">
        <v>0</v>
      </c>
      <c r="Q753" t="n">
        <v>0</v>
      </c>
      <c r="R753" s="2" t="inlineStr"/>
    </row>
    <row r="754" ht="15" customHeight="1">
      <c r="A754" t="inlineStr">
        <is>
          <t>A 35890-2023</t>
        </is>
      </c>
      <c r="B754" s="1" t="n">
        <v>45148</v>
      </c>
      <c r="C754" s="1" t="n">
        <v>45880</v>
      </c>
      <c r="D754" t="inlineStr">
        <is>
          <t>SKÅNE LÄN</t>
        </is>
      </c>
      <c r="E754" t="inlineStr">
        <is>
          <t>HÄSSLEHOLM</t>
        </is>
      </c>
      <c r="G754" t="n">
        <v>2</v>
      </c>
      <c r="H754" t="n">
        <v>0</v>
      </c>
      <c r="I754" t="n">
        <v>0</v>
      </c>
      <c r="J754" t="n">
        <v>0</v>
      </c>
      <c r="K754" t="n">
        <v>0</v>
      </c>
      <c r="L754" t="n">
        <v>0</v>
      </c>
      <c r="M754" t="n">
        <v>0</v>
      </c>
      <c r="N754" t="n">
        <v>0</v>
      </c>
      <c r="O754" t="n">
        <v>0</v>
      </c>
      <c r="P754" t="n">
        <v>0</v>
      </c>
      <c r="Q754" t="n">
        <v>0</v>
      </c>
      <c r="R754" s="2" t="inlineStr"/>
    </row>
    <row r="755" ht="15" customHeight="1">
      <c r="A755" t="inlineStr">
        <is>
          <t>A 35895-2023</t>
        </is>
      </c>
      <c r="B755" s="1" t="n">
        <v>45148</v>
      </c>
      <c r="C755" s="1" t="n">
        <v>45880</v>
      </c>
      <c r="D755" t="inlineStr">
        <is>
          <t>SKÅNE LÄN</t>
        </is>
      </c>
      <c r="E755" t="inlineStr">
        <is>
          <t>HÄSSLEHOLM</t>
        </is>
      </c>
      <c r="G755" t="n">
        <v>0.4</v>
      </c>
      <c r="H755" t="n">
        <v>0</v>
      </c>
      <c r="I755" t="n">
        <v>0</v>
      </c>
      <c r="J755" t="n">
        <v>0</v>
      </c>
      <c r="K755" t="n">
        <v>0</v>
      </c>
      <c r="L755" t="n">
        <v>0</v>
      </c>
      <c r="M755" t="n">
        <v>0</v>
      </c>
      <c r="N755" t="n">
        <v>0</v>
      </c>
      <c r="O755" t="n">
        <v>0</v>
      </c>
      <c r="P755" t="n">
        <v>0</v>
      </c>
      <c r="Q755" t="n">
        <v>0</v>
      </c>
      <c r="R755" s="2" t="inlineStr"/>
    </row>
    <row r="756" ht="15" customHeight="1">
      <c r="A756" t="inlineStr">
        <is>
          <t>A 56158-2020</t>
        </is>
      </c>
      <c r="B756" s="1" t="n">
        <v>44133</v>
      </c>
      <c r="C756" s="1" t="n">
        <v>45880</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45984-2021</t>
        </is>
      </c>
      <c r="B757" s="1" t="n">
        <v>44441</v>
      </c>
      <c r="C757" s="1" t="n">
        <v>45880</v>
      </c>
      <c r="D757" t="inlineStr">
        <is>
          <t>SKÅNE LÄN</t>
        </is>
      </c>
      <c r="E757" t="inlineStr">
        <is>
          <t>HÄSSLEHOLM</t>
        </is>
      </c>
      <c r="G757" t="n">
        <v>2.1</v>
      </c>
      <c r="H757" t="n">
        <v>0</v>
      </c>
      <c r="I757" t="n">
        <v>0</v>
      </c>
      <c r="J757" t="n">
        <v>0</v>
      </c>
      <c r="K757" t="n">
        <v>0</v>
      </c>
      <c r="L757" t="n">
        <v>0</v>
      </c>
      <c r="M757" t="n">
        <v>0</v>
      </c>
      <c r="N757" t="n">
        <v>0</v>
      </c>
      <c r="O757" t="n">
        <v>0</v>
      </c>
      <c r="P757" t="n">
        <v>0</v>
      </c>
      <c r="Q757" t="n">
        <v>0</v>
      </c>
      <c r="R757" s="2" t="inlineStr"/>
    </row>
    <row r="758" ht="15" customHeight="1">
      <c r="A758" t="inlineStr">
        <is>
          <t>A 8209-2025</t>
        </is>
      </c>
      <c r="B758" s="1" t="n">
        <v>45708.44244212963</v>
      </c>
      <c r="C758" s="1" t="n">
        <v>45880</v>
      </c>
      <c r="D758" t="inlineStr">
        <is>
          <t>SKÅNE LÄN</t>
        </is>
      </c>
      <c r="E758" t="inlineStr">
        <is>
          <t>HÄSSLEHOLM</t>
        </is>
      </c>
      <c r="G758" t="n">
        <v>1.5</v>
      </c>
      <c r="H758" t="n">
        <v>0</v>
      </c>
      <c r="I758" t="n">
        <v>0</v>
      </c>
      <c r="J758" t="n">
        <v>0</v>
      </c>
      <c r="K758" t="n">
        <v>0</v>
      </c>
      <c r="L758" t="n">
        <v>0</v>
      </c>
      <c r="M758" t="n">
        <v>0</v>
      </c>
      <c r="N758" t="n">
        <v>0</v>
      </c>
      <c r="O758" t="n">
        <v>0</v>
      </c>
      <c r="P758" t="n">
        <v>0</v>
      </c>
      <c r="Q758" t="n">
        <v>0</v>
      </c>
      <c r="R758" s="2" t="inlineStr"/>
    </row>
    <row r="759" ht="15" customHeight="1">
      <c r="A759" t="inlineStr">
        <is>
          <t>A 46813-2024</t>
        </is>
      </c>
      <c r="B759" s="1" t="n">
        <v>45583</v>
      </c>
      <c r="C759" s="1" t="n">
        <v>45880</v>
      </c>
      <c r="D759" t="inlineStr">
        <is>
          <t>SKÅNE LÄN</t>
        </is>
      </c>
      <c r="E759" t="inlineStr">
        <is>
          <t>HÄSSLEHOLM</t>
        </is>
      </c>
      <c r="G759" t="n">
        <v>14.9</v>
      </c>
      <c r="H759" t="n">
        <v>0</v>
      </c>
      <c r="I759" t="n">
        <v>0</v>
      </c>
      <c r="J759" t="n">
        <v>0</v>
      </c>
      <c r="K759" t="n">
        <v>0</v>
      </c>
      <c r="L759" t="n">
        <v>0</v>
      </c>
      <c r="M759" t="n">
        <v>0</v>
      </c>
      <c r="N759" t="n">
        <v>0</v>
      </c>
      <c r="O759" t="n">
        <v>0</v>
      </c>
      <c r="P759" t="n">
        <v>0</v>
      </c>
      <c r="Q759" t="n">
        <v>0</v>
      </c>
      <c r="R759" s="2" t="inlineStr"/>
    </row>
    <row r="760" ht="15" customHeight="1">
      <c r="A760" t="inlineStr">
        <is>
          <t>A 61170-2022</t>
        </is>
      </c>
      <c r="B760" s="1" t="n">
        <v>44915.48543981482</v>
      </c>
      <c r="C760" s="1" t="n">
        <v>45880</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5252-2025</t>
        </is>
      </c>
      <c r="B761" s="1" t="n">
        <v>45692.3449537037</v>
      </c>
      <c r="C761" s="1" t="n">
        <v>45880</v>
      </c>
      <c r="D761" t="inlineStr">
        <is>
          <t>SKÅNE LÄN</t>
        </is>
      </c>
      <c r="E761" t="inlineStr">
        <is>
          <t>HÄSSLEHOLM</t>
        </is>
      </c>
      <c r="G761" t="n">
        <v>2.1</v>
      </c>
      <c r="H761" t="n">
        <v>0</v>
      </c>
      <c r="I761" t="n">
        <v>0</v>
      </c>
      <c r="J761" t="n">
        <v>0</v>
      </c>
      <c r="K761" t="n">
        <v>0</v>
      </c>
      <c r="L761" t="n">
        <v>0</v>
      </c>
      <c r="M761" t="n">
        <v>0</v>
      </c>
      <c r="N761" t="n">
        <v>0</v>
      </c>
      <c r="O761" t="n">
        <v>0</v>
      </c>
      <c r="P761" t="n">
        <v>0</v>
      </c>
      <c r="Q761" t="n">
        <v>0</v>
      </c>
      <c r="R761" s="2" t="inlineStr"/>
    </row>
    <row r="762" ht="15" customHeight="1">
      <c r="A762" t="inlineStr">
        <is>
          <t>A 4750-2024</t>
        </is>
      </c>
      <c r="B762" s="1" t="n">
        <v>45328</v>
      </c>
      <c r="C762" s="1" t="n">
        <v>45880</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23956-2023</t>
        </is>
      </c>
      <c r="B763" s="1" t="n">
        <v>45078.62302083334</v>
      </c>
      <c r="C763" s="1" t="n">
        <v>45880</v>
      </c>
      <c r="D763" t="inlineStr">
        <is>
          <t>SKÅNE LÄN</t>
        </is>
      </c>
      <c r="E763" t="inlineStr">
        <is>
          <t>HÄSSLEHOLM</t>
        </is>
      </c>
      <c r="G763" t="n">
        <v>0.1</v>
      </c>
      <c r="H763" t="n">
        <v>0</v>
      </c>
      <c r="I763" t="n">
        <v>0</v>
      </c>
      <c r="J763" t="n">
        <v>0</v>
      </c>
      <c r="K763" t="n">
        <v>0</v>
      </c>
      <c r="L763" t="n">
        <v>0</v>
      </c>
      <c r="M763" t="n">
        <v>0</v>
      </c>
      <c r="N763" t="n">
        <v>0</v>
      </c>
      <c r="O763" t="n">
        <v>0</v>
      </c>
      <c r="P763" t="n">
        <v>0</v>
      </c>
      <c r="Q763" t="n">
        <v>0</v>
      </c>
      <c r="R763" s="2" t="inlineStr"/>
    </row>
    <row r="764" ht="15" customHeight="1">
      <c r="A764" t="inlineStr">
        <is>
          <t>A 6835-2023</t>
        </is>
      </c>
      <c r="B764" s="1" t="n">
        <v>44967</v>
      </c>
      <c r="C764" s="1" t="n">
        <v>45880</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11708-2025</t>
        </is>
      </c>
      <c r="B765" s="1" t="n">
        <v>45727.58626157408</v>
      </c>
      <c r="C765" s="1" t="n">
        <v>45880</v>
      </c>
      <c r="D765" t="inlineStr">
        <is>
          <t>SKÅNE LÄN</t>
        </is>
      </c>
      <c r="E765" t="inlineStr">
        <is>
          <t>HÄSSLEHOLM</t>
        </is>
      </c>
      <c r="G765" t="n">
        <v>1.3</v>
      </c>
      <c r="H765" t="n">
        <v>0</v>
      </c>
      <c r="I765" t="n">
        <v>0</v>
      </c>
      <c r="J765" t="n">
        <v>0</v>
      </c>
      <c r="K765" t="n">
        <v>0</v>
      </c>
      <c r="L765" t="n">
        <v>0</v>
      </c>
      <c r="M765" t="n">
        <v>0</v>
      </c>
      <c r="N765" t="n">
        <v>0</v>
      </c>
      <c r="O765" t="n">
        <v>0</v>
      </c>
      <c r="P765" t="n">
        <v>0</v>
      </c>
      <c r="Q765" t="n">
        <v>0</v>
      </c>
      <c r="R765" s="2" t="inlineStr"/>
    </row>
    <row r="766" ht="15" customHeight="1">
      <c r="A766" t="inlineStr">
        <is>
          <t>A 24047-2025</t>
        </is>
      </c>
      <c r="B766" s="1" t="n">
        <v>45796.49528935185</v>
      </c>
      <c r="C766" s="1" t="n">
        <v>45880</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9885-2021</t>
        </is>
      </c>
      <c r="B767" s="1" t="n">
        <v>44253</v>
      </c>
      <c r="C767" s="1" t="n">
        <v>45880</v>
      </c>
      <c r="D767" t="inlineStr">
        <is>
          <t>SKÅNE LÄN</t>
        </is>
      </c>
      <c r="E767" t="inlineStr">
        <is>
          <t>HÄSSLEHOLM</t>
        </is>
      </c>
      <c r="G767" t="n">
        <v>2.4</v>
      </c>
      <c r="H767" t="n">
        <v>0</v>
      </c>
      <c r="I767" t="n">
        <v>0</v>
      </c>
      <c r="J767" t="n">
        <v>0</v>
      </c>
      <c r="K767" t="n">
        <v>0</v>
      </c>
      <c r="L767" t="n">
        <v>0</v>
      </c>
      <c r="M767" t="n">
        <v>0</v>
      </c>
      <c r="N767" t="n">
        <v>0</v>
      </c>
      <c r="O767" t="n">
        <v>0</v>
      </c>
      <c r="P767" t="n">
        <v>0</v>
      </c>
      <c r="Q767" t="n">
        <v>0</v>
      </c>
      <c r="R767" s="2" t="inlineStr"/>
    </row>
    <row r="768" ht="15" customHeight="1">
      <c r="A768" t="inlineStr">
        <is>
          <t>A 60789-2024</t>
        </is>
      </c>
      <c r="B768" s="1" t="n">
        <v>45644</v>
      </c>
      <c r="C768" s="1" t="n">
        <v>45880</v>
      </c>
      <c r="D768" t="inlineStr">
        <is>
          <t>SKÅNE LÄN</t>
        </is>
      </c>
      <c r="E768" t="inlineStr">
        <is>
          <t>HÄSSLEHOLM</t>
        </is>
      </c>
      <c r="G768" t="n">
        <v>3</v>
      </c>
      <c r="H768" t="n">
        <v>0</v>
      </c>
      <c r="I768" t="n">
        <v>0</v>
      </c>
      <c r="J768" t="n">
        <v>0</v>
      </c>
      <c r="K768" t="n">
        <v>0</v>
      </c>
      <c r="L768" t="n">
        <v>0</v>
      </c>
      <c r="M768" t="n">
        <v>0</v>
      </c>
      <c r="N768" t="n">
        <v>0</v>
      </c>
      <c r="O768" t="n">
        <v>0</v>
      </c>
      <c r="P768" t="n">
        <v>0</v>
      </c>
      <c r="Q768" t="n">
        <v>0</v>
      </c>
      <c r="R768" s="2" t="inlineStr"/>
    </row>
    <row r="769" ht="15" customHeight="1">
      <c r="A769" t="inlineStr">
        <is>
          <t>A 31933-2024</t>
        </is>
      </c>
      <c r="B769" s="1" t="n">
        <v>45510.41123842593</v>
      </c>
      <c r="C769" s="1" t="n">
        <v>45880</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9098-2022</t>
        </is>
      </c>
      <c r="B770" s="1" t="n">
        <v>44615</v>
      </c>
      <c r="C770" s="1" t="n">
        <v>45880</v>
      </c>
      <c r="D770" t="inlineStr">
        <is>
          <t>SKÅNE LÄN</t>
        </is>
      </c>
      <c r="E770" t="inlineStr">
        <is>
          <t>HÄSSLEHOLM</t>
        </is>
      </c>
      <c r="G770" t="n">
        <v>2.1</v>
      </c>
      <c r="H770" t="n">
        <v>0</v>
      </c>
      <c r="I770" t="n">
        <v>0</v>
      </c>
      <c r="J770" t="n">
        <v>0</v>
      </c>
      <c r="K770" t="n">
        <v>0</v>
      </c>
      <c r="L770" t="n">
        <v>0</v>
      </c>
      <c r="M770" t="n">
        <v>0</v>
      </c>
      <c r="N770" t="n">
        <v>0</v>
      </c>
      <c r="O770" t="n">
        <v>0</v>
      </c>
      <c r="P770" t="n">
        <v>0</v>
      </c>
      <c r="Q770" t="n">
        <v>0</v>
      </c>
      <c r="R770" s="2" t="inlineStr"/>
    </row>
    <row r="771" ht="15" customHeight="1">
      <c r="A771" t="inlineStr">
        <is>
          <t>A 12338-2024</t>
        </is>
      </c>
      <c r="B771" s="1" t="n">
        <v>45378.72869212963</v>
      </c>
      <c r="C771" s="1" t="n">
        <v>45880</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48112-2024</t>
        </is>
      </c>
      <c r="B772" s="1" t="n">
        <v>45589.6295949074</v>
      </c>
      <c r="C772" s="1" t="n">
        <v>45880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34883-2023</t>
        </is>
      </c>
      <c r="B773" s="1" t="n">
        <v>45142.37902777778</v>
      </c>
      <c r="C773" s="1" t="n">
        <v>45880</v>
      </c>
      <c r="D773" t="inlineStr">
        <is>
          <t>SKÅNE LÄN</t>
        </is>
      </c>
      <c r="E773" t="inlineStr">
        <is>
          <t>HÄSSLEHOLM</t>
        </is>
      </c>
      <c r="G773" t="n">
        <v>2.5</v>
      </c>
      <c r="H773" t="n">
        <v>0</v>
      </c>
      <c r="I773" t="n">
        <v>0</v>
      </c>
      <c r="J773" t="n">
        <v>0</v>
      </c>
      <c r="K773" t="n">
        <v>0</v>
      </c>
      <c r="L773" t="n">
        <v>0</v>
      </c>
      <c r="M773" t="n">
        <v>0</v>
      </c>
      <c r="N773" t="n">
        <v>0</v>
      </c>
      <c r="O773" t="n">
        <v>0</v>
      </c>
      <c r="P773" t="n">
        <v>0</v>
      </c>
      <c r="Q773" t="n">
        <v>0</v>
      </c>
      <c r="R773" s="2" t="inlineStr"/>
    </row>
    <row r="774" ht="15" customHeight="1">
      <c r="A774" t="inlineStr">
        <is>
          <t>A 34886-2023</t>
        </is>
      </c>
      <c r="B774" s="1" t="n">
        <v>45142.38450231482</v>
      </c>
      <c r="C774" s="1" t="n">
        <v>45880</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24029-2025</t>
        </is>
      </c>
      <c r="B775" s="1" t="n">
        <v>45796.47552083333</v>
      </c>
      <c r="C775" s="1" t="n">
        <v>45880</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7476-2025</t>
        </is>
      </c>
      <c r="B776" s="1" t="n">
        <v>45702</v>
      </c>
      <c r="C776" s="1" t="n">
        <v>45880</v>
      </c>
      <c r="D776" t="inlineStr">
        <is>
          <t>SKÅNE LÄN</t>
        </is>
      </c>
      <c r="E776" t="inlineStr">
        <is>
          <t>HÄSSLEHOLM</t>
        </is>
      </c>
      <c r="F776" t="inlineStr">
        <is>
          <t>Övriga Aktiebolag</t>
        </is>
      </c>
      <c r="G776" t="n">
        <v>2.1</v>
      </c>
      <c r="H776" t="n">
        <v>0</v>
      </c>
      <c r="I776" t="n">
        <v>0</v>
      </c>
      <c r="J776" t="n">
        <v>0</v>
      </c>
      <c r="K776" t="n">
        <v>0</v>
      </c>
      <c r="L776" t="n">
        <v>0</v>
      </c>
      <c r="M776" t="n">
        <v>0</v>
      </c>
      <c r="N776" t="n">
        <v>0</v>
      </c>
      <c r="O776" t="n">
        <v>0</v>
      </c>
      <c r="P776" t="n">
        <v>0</v>
      </c>
      <c r="Q776" t="n">
        <v>0</v>
      </c>
      <c r="R776" s="2" t="inlineStr"/>
    </row>
    <row r="777" ht="15" customHeight="1">
      <c r="A777" t="inlineStr">
        <is>
          <t>A 54659-2023</t>
        </is>
      </c>
      <c r="B777" s="1" t="n">
        <v>45235</v>
      </c>
      <c r="C777" s="1" t="n">
        <v>45880</v>
      </c>
      <c r="D777" t="inlineStr">
        <is>
          <t>SKÅNE LÄN</t>
        </is>
      </c>
      <c r="E777" t="inlineStr">
        <is>
          <t>HÄSSLEHOLM</t>
        </is>
      </c>
      <c r="G777" t="n">
        <v>5</v>
      </c>
      <c r="H777" t="n">
        <v>0</v>
      </c>
      <c r="I777" t="n">
        <v>0</v>
      </c>
      <c r="J777" t="n">
        <v>0</v>
      </c>
      <c r="K777" t="n">
        <v>0</v>
      </c>
      <c r="L777" t="n">
        <v>0</v>
      </c>
      <c r="M777" t="n">
        <v>0</v>
      </c>
      <c r="N777" t="n">
        <v>0</v>
      </c>
      <c r="O777" t="n">
        <v>0</v>
      </c>
      <c r="P777" t="n">
        <v>0</v>
      </c>
      <c r="Q777" t="n">
        <v>0</v>
      </c>
      <c r="R777" s="2" t="inlineStr"/>
    </row>
    <row r="778" ht="15" customHeight="1">
      <c r="A778" t="inlineStr">
        <is>
          <t>A 12558-2023</t>
        </is>
      </c>
      <c r="B778" s="1" t="n">
        <v>45000.36103009259</v>
      </c>
      <c r="C778" s="1" t="n">
        <v>45880</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13673-2023</t>
        </is>
      </c>
      <c r="B779" s="1" t="n">
        <v>45006.87957175926</v>
      </c>
      <c r="C779" s="1" t="n">
        <v>45880</v>
      </c>
      <c r="D779" t="inlineStr">
        <is>
          <t>SKÅNE LÄN</t>
        </is>
      </c>
      <c r="E779" t="inlineStr">
        <is>
          <t>HÄSSLEHOLM</t>
        </is>
      </c>
      <c r="G779" t="n">
        <v>3.2</v>
      </c>
      <c r="H779" t="n">
        <v>0</v>
      </c>
      <c r="I779" t="n">
        <v>0</v>
      </c>
      <c r="J779" t="n">
        <v>0</v>
      </c>
      <c r="K779" t="n">
        <v>0</v>
      </c>
      <c r="L779" t="n">
        <v>0</v>
      </c>
      <c r="M779" t="n">
        <v>0</v>
      </c>
      <c r="N779" t="n">
        <v>0</v>
      </c>
      <c r="O779" t="n">
        <v>0</v>
      </c>
      <c r="P779" t="n">
        <v>0</v>
      </c>
      <c r="Q779" t="n">
        <v>0</v>
      </c>
      <c r="R779" s="2" t="inlineStr"/>
    </row>
    <row r="780" ht="15" customHeight="1">
      <c r="A780" t="inlineStr">
        <is>
          <t>A 24246-2023</t>
        </is>
      </c>
      <c r="B780" s="1" t="n">
        <v>45079</v>
      </c>
      <c r="C780" s="1" t="n">
        <v>45880</v>
      </c>
      <c r="D780" t="inlineStr">
        <is>
          <t>SKÅNE LÄN</t>
        </is>
      </c>
      <c r="E780" t="inlineStr">
        <is>
          <t>HÄSSLEHOLM</t>
        </is>
      </c>
      <c r="G780" t="n">
        <v>0.9</v>
      </c>
      <c r="H780" t="n">
        <v>0</v>
      </c>
      <c r="I780" t="n">
        <v>0</v>
      </c>
      <c r="J780" t="n">
        <v>0</v>
      </c>
      <c r="K780" t="n">
        <v>0</v>
      </c>
      <c r="L780" t="n">
        <v>0</v>
      </c>
      <c r="M780" t="n">
        <v>0</v>
      </c>
      <c r="N780" t="n">
        <v>0</v>
      </c>
      <c r="O780" t="n">
        <v>0</v>
      </c>
      <c r="P780" t="n">
        <v>0</v>
      </c>
      <c r="Q780" t="n">
        <v>0</v>
      </c>
      <c r="R780" s="2" t="inlineStr"/>
    </row>
    <row r="781" ht="15" customHeight="1">
      <c r="A781" t="inlineStr">
        <is>
          <t>A 24249-2023</t>
        </is>
      </c>
      <c r="B781" s="1" t="n">
        <v>45079.62466435185</v>
      </c>
      <c r="C781" s="1" t="n">
        <v>45880</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48844-2023</t>
        </is>
      </c>
      <c r="B782" s="1" t="n">
        <v>45209</v>
      </c>
      <c r="C782" s="1" t="n">
        <v>45880</v>
      </c>
      <c r="D782" t="inlineStr">
        <is>
          <t>SKÅNE LÄN</t>
        </is>
      </c>
      <c r="E782" t="inlineStr">
        <is>
          <t>HÄSSLEHOLM</t>
        </is>
      </c>
      <c r="G782" t="n">
        <v>4</v>
      </c>
      <c r="H782" t="n">
        <v>0</v>
      </c>
      <c r="I782" t="n">
        <v>0</v>
      </c>
      <c r="J782" t="n">
        <v>0</v>
      </c>
      <c r="K782" t="n">
        <v>0</v>
      </c>
      <c r="L782" t="n">
        <v>0</v>
      </c>
      <c r="M782" t="n">
        <v>0</v>
      </c>
      <c r="N782" t="n">
        <v>0</v>
      </c>
      <c r="O782" t="n">
        <v>0</v>
      </c>
      <c r="P782" t="n">
        <v>0</v>
      </c>
      <c r="Q782" t="n">
        <v>0</v>
      </c>
      <c r="R782" s="2" t="inlineStr"/>
    </row>
    <row r="783" ht="15" customHeight="1">
      <c r="A783" t="inlineStr">
        <is>
          <t>A 52548-2023</t>
        </is>
      </c>
      <c r="B783" s="1" t="n">
        <v>45218</v>
      </c>
      <c r="C783" s="1" t="n">
        <v>45880</v>
      </c>
      <c r="D783" t="inlineStr">
        <is>
          <t>SKÅNE LÄN</t>
        </is>
      </c>
      <c r="E783" t="inlineStr">
        <is>
          <t>HÄSSLEHOLM</t>
        </is>
      </c>
      <c r="G783" t="n">
        <v>0.8</v>
      </c>
      <c r="H783" t="n">
        <v>0</v>
      </c>
      <c r="I783" t="n">
        <v>0</v>
      </c>
      <c r="J783" t="n">
        <v>0</v>
      </c>
      <c r="K783" t="n">
        <v>0</v>
      </c>
      <c r="L783" t="n">
        <v>0</v>
      </c>
      <c r="M783" t="n">
        <v>0</v>
      </c>
      <c r="N783" t="n">
        <v>0</v>
      </c>
      <c r="O783" t="n">
        <v>0</v>
      </c>
      <c r="P783" t="n">
        <v>0</v>
      </c>
      <c r="Q783" t="n">
        <v>0</v>
      </c>
      <c r="R783" s="2" t="inlineStr"/>
    </row>
    <row r="784" ht="15" customHeight="1">
      <c r="A784" t="inlineStr">
        <is>
          <t>A 2813-2021</t>
        </is>
      </c>
      <c r="B784" s="1" t="n">
        <v>44215</v>
      </c>
      <c r="C784" s="1" t="n">
        <v>45880</v>
      </c>
      <c r="D784" t="inlineStr">
        <is>
          <t>SKÅNE LÄN</t>
        </is>
      </c>
      <c r="E784" t="inlineStr">
        <is>
          <t>HÄSSLEHOLM</t>
        </is>
      </c>
      <c r="G784" t="n">
        <v>7.1</v>
      </c>
      <c r="H784" t="n">
        <v>0</v>
      </c>
      <c r="I784" t="n">
        <v>0</v>
      </c>
      <c r="J784" t="n">
        <v>0</v>
      </c>
      <c r="K784" t="n">
        <v>0</v>
      </c>
      <c r="L784" t="n">
        <v>0</v>
      </c>
      <c r="M784" t="n">
        <v>0</v>
      </c>
      <c r="N784" t="n">
        <v>0</v>
      </c>
      <c r="O784" t="n">
        <v>0</v>
      </c>
      <c r="P784" t="n">
        <v>0</v>
      </c>
      <c r="Q784" t="n">
        <v>0</v>
      </c>
      <c r="R784" s="2" t="inlineStr"/>
    </row>
    <row r="785" ht="15" customHeight="1">
      <c r="A785" t="inlineStr">
        <is>
          <t>A 24675-2025</t>
        </is>
      </c>
      <c r="B785" s="1" t="n">
        <v>45798.653125</v>
      </c>
      <c r="C785" s="1" t="n">
        <v>45880</v>
      </c>
      <c r="D785" t="inlineStr">
        <is>
          <t>SKÅNE LÄN</t>
        </is>
      </c>
      <c r="E785" t="inlineStr">
        <is>
          <t>HÄSSLEHOLM</t>
        </is>
      </c>
      <c r="G785" t="n">
        <v>1.8</v>
      </c>
      <c r="H785" t="n">
        <v>0</v>
      </c>
      <c r="I785" t="n">
        <v>0</v>
      </c>
      <c r="J785" t="n">
        <v>0</v>
      </c>
      <c r="K785" t="n">
        <v>0</v>
      </c>
      <c r="L785" t="n">
        <v>0</v>
      </c>
      <c r="M785" t="n">
        <v>0</v>
      </c>
      <c r="N785" t="n">
        <v>0</v>
      </c>
      <c r="O785" t="n">
        <v>0</v>
      </c>
      <c r="P785" t="n">
        <v>0</v>
      </c>
      <c r="Q785" t="n">
        <v>0</v>
      </c>
      <c r="R785" s="2" t="inlineStr"/>
    </row>
    <row r="786" ht="15" customHeight="1">
      <c r="A786" t="inlineStr">
        <is>
          <t>A 32981-2025</t>
        </is>
      </c>
      <c r="B786" s="1" t="n">
        <v>45839.86820601852</v>
      </c>
      <c r="C786" s="1" t="n">
        <v>45880</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21329-2023</t>
        </is>
      </c>
      <c r="B787" s="1" t="n">
        <v>45062</v>
      </c>
      <c r="C787" s="1" t="n">
        <v>45880</v>
      </c>
      <c r="D787" t="inlineStr">
        <is>
          <t>SKÅNE LÄN</t>
        </is>
      </c>
      <c r="E787" t="inlineStr">
        <is>
          <t>HÄSSLEHOLM</t>
        </is>
      </c>
      <c r="G787" t="n">
        <v>1.1</v>
      </c>
      <c r="H787" t="n">
        <v>0</v>
      </c>
      <c r="I787" t="n">
        <v>0</v>
      </c>
      <c r="J787" t="n">
        <v>0</v>
      </c>
      <c r="K787" t="n">
        <v>0</v>
      </c>
      <c r="L787" t="n">
        <v>0</v>
      </c>
      <c r="M787" t="n">
        <v>0</v>
      </c>
      <c r="N787" t="n">
        <v>0</v>
      </c>
      <c r="O787" t="n">
        <v>0</v>
      </c>
      <c r="P787" t="n">
        <v>0</v>
      </c>
      <c r="Q787" t="n">
        <v>0</v>
      </c>
      <c r="R787" s="2" t="inlineStr"/>
    </row>
    <row r="788" ht="15" customHeight="1">
      <c r="A788" t="inlineStr">
        <is>
          <t>A 10562-2025</t>
        </is>
      </c>
      <c r="B788" s="1" t="n">
        <v>45721.52913194444</v>
      </c>
      <c r="C788" s="1" t="n">
        <v>45880</v>
      </c>
      <c r="D788" t="inlineStr">
        <is>
          <t>SKÅNE LÄN</t>
        </is>
      </c>
      <c r="E788" t="inlineStr">
        <is>
          <t>HÄSSLEHOLM</t>
        </is>
      </c>
      <c r="G788" t="n">
        <v>1.4</v>
      </c>
      <c r="H788" t="n">
        <v>0</v>
      </c>
      <c r="I788" t="n">
        <v>0</v>
      </c>
      <c r="J788" t="n">
        <v>0</v>
      </c>
      <c r="K788" t="n">
        <v>0</v>
      </c>
      <c r="L788" t="n">
        <v>0</v>
      </c>
      <c r="M788" t="n">
        <v>0</v>
      </c>
      <c r="N788" t="n">
        <v>0</v>
      </c>
      <c r="O788" t="n">
        <v>0</v>
      </c>
      <c r="P788" t="n">
        <v>0</v>
      </c>
      <c r="Q788" t="n">
        <v>0</v>
      </c>
      <c r="R788" s="2" t="inlineStr"/>
    </row>
    <row r="789" ht="15" customHeight="1">
      <c r="A789" t="inlineStr">
        <is>
          <t>A 8160-2024</t>
        </is>
      </c>
      <c r="B789" s="1" t="n">
        <v>45351</v>
      </c>
      <c r="C789" s="1" t="n">
        <v>45880</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32512-2024</t>
        </is>
      </c>
      <c r="B790" s="1" t="n">
        <v>45513.45613425926</v>
      </c>
      <c r="C790" s="1" t="n">
        <v>45880</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26403-2024</t>
        </is>
      </c>
      <c r="B791" s="1" t="n">
        <v>45469.44505787037</v>
      </c>
      <c r="C791" s="1" t="n">
        <v>45880</v>
      </c>
      <c r="D791" t="inlineStr">
        <is>
          <t>SKÅNE LÄN</t>
        </is>
      </c>
      <c r="E791" t="inlineStr">
        <is>
          <t>HÄSSLEHOLM</t>
        </is>
      </c>
      <c r="G791" t="n">
        <v>2.6</v>
      </c>
      <c r="H791" t="n">
        <v>0</v>
      </c>
      <c r="I791" t="n">
        <v>0</v>
      </c>
      <c r="J791" t="n">
        <v>0</v>
      </c>
      <c r="K791" t="n">
        <v>0</v>
      </c>
      <c r="L791" t="n">
        <v>0</v>
      </c>
      <c r="M791" t="n">
        <v>0</v>
      </c>
      <c r="N791" t="n">
        <v>0</v>
      </c>
      <c r="O791" t="n">
        <v>0</v>
      </c>
      <c r="P791" t="n">
        <v>0</v>
      </c>
      <c r="Q791" t="n">
        <v>0</v>
      </c>
      <c r="R791" s="2" t="inlineStr"/>
    </row>
    <row r="792" ht="15" customHeight="1">
      <c r="A792" t="inlineStr">
        <is>
          <t>A 55522-2024</t>
        </is>
      </c>
      <c r="B792" s="1" t="n">
        <v>45622</v>
      </c>
      <c r="C792" s="1" t="n">
        <v>45880</v>
      </c>
      <c r="D792" t="inlineStr">
        <is>
          <t>SKÅNE LÄN</t>
        </is>
      </c>
      <c r="E792" t="inlineStr">
        <is>
          <t>HÄSSLEHOLM</t>
        </is>
      </c>
      <c r="G792" t="n">
        <v>5.6</v>
      </c>
      <c r="H792" t="n">
        <v>0</v>
      </c>
      <c r="I792" t="n">
        <v>0</v>
      </c>
      <c r="J792" t="n">
        <v>0</v>
      </c>
      <c r="K792" t="n">
        <v>0</v>
      </c>
      <c r="L792" t="n">
        <v>0</v>
      </c>
      <c r="M792" t="n">
        <v>0</v>
      </c>
      <c r="N792" t="n">
        <v>0</v>
      </c>
      <c r="O792" t="n">
        <v>0</v>
      </c>
      <c r="P792" t="n">
        <v>0</v>
      </c>
      <c r="Q792" t="n">
        <v>0</v>
      </c>
      <c r="R792" s="2" t="inlineStr"/>
    </row>
    <row r="793" ht="15" customHeight="1">
      <c r="A793" t="inlineStr">
        <is>
          <t>A 45222-2023</t>
        </is>
      </c>
      <c r="B793" s="1" t="n">
        <v>45191</v>
      </c>
      <c r="C793" s="1" t="n">
        <v>45880</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43696-2024</t>
        </is>
      </c>
      <c r="B794" s="1" t="n">
        <v>45569.58855324074</v>
      </c>
      <c r="C794" s="1" t="n">
        <v>45880</v>
      </c>
      <c r="D794" t="inlineStr">
        <is>
          <t>SKÅNE LÄN</t>
        </is>
      </c>
      <c r="E794" t="inlineStr">
        <is>
          <t>HÄSSLEHOLM</t>
        </is>
      </c>
      <c r="G794" t="n">
        <v>2.9</v>
      </c>
      <c r="H794" t="n">
        <v>0</v>
      </c>
      <c r="I794" t="n">
        <v>0</v>
      </c>
      <c r="J794" t="n">
        <v>0</v>
      </c>
      <c r="K794" t="n">
        <v>0</v>
      </c>
      <c r="L794" t="n">
        <v>0</v>
      </c>
      <c r="M794" t="n">
        <v>0</v>
      </c>
      <c r="N794" t="n">
        <v>0</v>
      </c>
      <c r="O794" t="n">
        <v>0</v>
      </c>
      <c r="P794" t="n">
        <v>0</v>
      </c>
      <c r="Q794" t="n">
        <v>0</v>
      </c>
      <c r="R794" s="2" t="inlineStr"/>
    </row>
    <row r="795" ht="15" customHeight="1">
      <c r="A795" t="inlineStr">
        <is>
          <t>A 13310-2025</t>
        </is>
      </c>
      <c r="B795" s="1" t="n">
        <v>45735.58814814815</v>
      </c>
      <c r="C795" s="1" t="n">
        <v>45880</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12182-2025</t>
        </is>
      </c>
      <c r="B796" s="1" t="n">
        <v>45729</v>
      </c>
      <c r="C796" s="1" t="n">
        <v>45880</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20185-2023</t>
        </is>
      </c>
      <c r="B797" s="1" t="n">
        <v>45055.56795138889</v>
      </c>
      <c r="C797" s="1" t="n">
        <v>45880</v>
      </c>
      <c r="D797" t="inlineStr">
        <is>
          <t>SKÅNE LÄN</t>
        </is>
      </c>
      <c r="E797" t="inlineStr">
        <is>
          <t>HÄSSLEHOLM</t>
        </is>
      </c>
      <c r="G797" t="n">
        <v>3.5</v>
      </c>
      <c r="H797" t="n">
        <v>0</v>
      </c>
      <c r="I797" t="n">
        <v>0</v>
      </c>
      <c r="J797" t="n">
        <v>0</v>
      </c>
      <c r="K797" t="n">
        <v>0</v>
      </c>
      <c r="L797" t="n">
        <v>0</v>
      </c>
      <c r="M797" t="n">
        <v>0</v>
      </c>
      <c r="N797" t="n">
        <v>0</v>
      </c>
      <c r="O797" t="n">
        <v>0</v>
      </c>
      <c r="P797" t="n">
        <v>0</v>
      </c>
      <c r="Q797" t="n">
        <v>0</v>
      </c>
      <c r="R797" s="2" t="inlineStr"/>
    </row>
    <row r="798" ht="15" customHeight="1">
      <c r="A798" t="inlineStr">
        <is>
          <t>A 5242-2025</t>
        </is>
      </c>
      <c r="B798" s="1" t="n">
        <v>45692.32883101852</v>
      </c>
      <c r="C798" s="1" t="n">
        <v>45880</v>
      </c>
      <c r="D798" t="inlineStr">
        <is>
          <t>SKÅNE LÄN</t>
        </is>
      </c>
      <c r="E798" t="inlineStr">
        <is>
          <t>HÄSSLEHOLM</t>
        </is>
      </c>
      <c r="G798" t="n">
        <v>1.1</v>
      </c>
      <c r="H798" t="n">
        <v>0</v>
      </c>
      <c r="I798" t="n">
        <v>0</v>
      </c>
      <c r="J798" t="n">
        <v>0</v>
      </c>
      <c r="K798" t="n">
        <v>0</v>
      </c>
      <c r="L798" t="n">
        <v>0</v>
      </c>
      <c r="M798" t="n">
        <v>0</v>
      </c>
      <c r="N798" t="n">
        <v>0</v>
      </c>
      <c r="O798" t="n">
        <v>0</v>
      </c>
      <c r="P798" t="n">
        <v>0</v>
      </c>
      <c r="Q798" t="n">
        <v>0</v>
      </c>
      <c r="R798" s="2" t="inlineStr"/>
    </row>
    <row r="799" ht="15" customHeight="1">
      <c r="A799" t="inlineStr">
        <is>
          <t>A 38376-2022</t>
        </is>
      </c>
      <c r="B799" s="1" t="n">
        <v>44812</v>
      </c>
      <c r="C799" s="1" t="n">
        <v>45880</v>
      </c>
      <c r="D799" t="inlineStr">
        <is>
          <t>SKÅNE LÄN</t>
        </is>
      </c>
      <c r="E799" t="inlineStr">
        <is>
          <t>HÄSSLEHOLM</t>
        </is>
      </c>
      <c r="G799" t="n">
        <v>1.9</v>
      </c>
      <c r="H799" t="n">
        <v>0</v>
      </c>
      <c r="I799" t="n">
        <v>0</v>
      </c>
      <c r="J799" t="n">
        <v>0</v>
      </c>
      <c r="K799" t="n">
        <v>0</v>
      </c>
      <c r="L799" t="n">
        <v>0</v>
      </c>
      <c r="M799" t="n">
        <v>0</v>
      </c>
      <c r="N799" t="n">
        <v>0</v>
      </c>
      <c r="O799" t="n">
        <v>0</v>
      </c>
      <c r="P799" t="n">
        <v>0</v>
      </c>
      <c r="Q799" t="n">
        <v>0</v>
      </c>
      <c r="R799" s="2" t="inlineStr"/>
    </row>
    <row r="800" ht="15" customHeight="1">
      <c r="A800" t="inlineStr">
        <is>
          <t>A 25538-2024</t>
        </is>
      </c>
      <c r="B800" s="1" t="n">
        <v>45463</v>
      </c>
      <c r="C800" s="1" t="n">
        <v>45880</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15055-2023</t>
        </is>
      </c>
      <c r="B801" s="1" t="n">
        <v>45015</v>
      </c>
      <c r="C801" s="1" t="n">
        <v>45880</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42735-2024</t>
        </is>
      </c>
      <c r="B802" s="1" t="n">
        <v>45566.47274305556</v>
      </c>
      <c r="C802" s="1" t="n">
        <v>45880</v>
      </c>
      <c r="D802" t="inlineStr">
        <is>
          <t>SKÅNE LÄN</t>
        </is>
      </c>
      <c r="E802" t="inlineStr">
        <is>
          <t>HÄSSLEHOLM</t>
        </is>
      </c>
      <c r="G802" t="n">
        <v>3.7</v>
      </c>
      <c r="H802" t="n">
        <v>0</v>
      </c>
      <c r="I802" t="n">
        <v>0</v>
      </c>
      <c r="J802" t="n">
        <v>0</v>
      </c>
      <c r="K802" t="n">
        <v>0</v>
      </c>
      <c r="L802" t="n">
        <v>0</v>
      </c>
      <c r="M802" t="n">
        <v>0</v>
      </c>
      <c r="N802" t="n">
        <v>0</v>
      </c>
      <c r="O802" t="n">
        <v>0</v>
      </c>
      <c r="P802" t="n">
        <v>0</v>
      </c>
      <c r="Q802" t="n">
        <v>0</v>
      </c>
      <c r="R802" s="2" t="inlineStr"/>
    </row>
    <row r="803" ht="15" customHeight="1">
      <c r="A803" t="inlineStr">
        <is>
          <t>A 18908-2023</t>
        </is>
      </c>
      <c r="B803" s="1" t="n">
        <v>45044</v>
      </c>
      <c r="C803" s="1" t="n">
        <v>45880</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24658-2025</t>
        </is>
      </c>
      <c r="B804" s="1" t="n">
        <v>45798.64134259259</v>
      </c>
      <c r="C804" s="1" t="n">
        <v>45880</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61436-2024</t>
        </is>
      </c>
      <c r="B805" s="1" t="n">
        <v>45646.46329861111</v>
      </c>
      <c r="C805" s="1" t="n">
        <v>45880</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24250-2025</t>
        </is>
      </c>
      <c r="B806" s="1" t="n">
        <v>45797.40260416667</v>
      </c>
      <c r="C806" s="1" t="n">
        <v>45880</v>
      </c>
      <c r="D806" t="inlineStr">
        <is>
          <t>SKÅNE LÄN</t>
        </is>
      </c>
      <c r="E806" t="inlineStr">
        <is>
          <t>HÄSSLEHOLM</t>
        </is>
      </c>
      <c r="G806" t="n">
        <v>2.3</v>
      </c>
      <c r="H806" t="n">
        <v>0</v>
      </c>
      <c r="I806" t="n">
        <v>0</v>
      </c>
      <c r="J806" t="n">
        <v>0</v>
      </c>
      <c r="K806" t="n">
        <v>0</v>
      </c>
      <c r="L806" t="n">
        <v>0</v>
      </c>
      <c r="M806" t="n">
        <v>0</v>
      </c>
      <c r="N806" t="n">
        <v>0</v>
      </c>
      <c r="O806" t="n">
        <v>0</v>
      </c>
      <c r="P806" t="n">
        <v>0</v>
      </c>
      <c r="Q806" t="n">
        <v>0</v>
      </c>
      <c r="R806" s="2" t="inlineStr"/>
    </row>
    <row r="807" ht="15" customHeight="1">
      <c r="A807" t="inlineStr">
        <is>
          <t>A 32826-2024</t>
        </is>
      </c>
      <c r="B807" s="1" t="n">
        <v>45516.59056712963</v>
      </c>
      <c r="C807" s="1" t="n">
        <v>45880</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25324-2024</t>
        </is>
      </c>
      <c r="B808" s="1" t="n">
        <v>45462.804375</v>
      </c>
      <c r="C808" s="1" t="n">
        <v>45880</v>
      </c>
      <c r="D808" t="inlineStr">
        <is>
          <t>SKÅNE LÄN</t>
        </is>
      </c>
      <c r="E808" t="inlineStr">
        <is>
          <t>HÄSSLEHOLM</t>
        </is>
      </c>
      <c r="G808" t="n">
        <v>0.2</v>
      </c>
      <c r="H808" t="n">
        <v>0</v>
      </c>
      <c r="I808" t="n">
        <v>0</v>
      </c>
      <c r="J808" t="n">
        <v>0</v>
      </c>
      <c r="K808" t="n">
        <v>0</v>
      </c>
      <c r="L808" t="n">
        <v>0</v>
      </c>
      <c r="M808" t="n">
        <v>0</v>
      </c>
      <c r="N808" t="n">
        <v>0</v>
      </c>
      <c r="O808" t="n">
        <v>0</v>
      </c>
      <c r="P808" t="n">
        <v>0</v>
      </c>
      <c r="Q808" t="n">
        <v>0</v>
      </c>
      <c r="R808" s="2" t="inlineStr"/>
    </row>
    <row r="809" ht="15" customHeight="1">
      <c r="A809" t="inlineStr">
        <is>
          <t>A 24985-2025</t>
        </is>
      </c>
      <c r="B809" s="1" t="n">
        <v>45799.60256944445</v>
      </c>
      <c r="C809" s="1" t="n">
        <v>45880</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6327-2021</t>
        </is>
      </c>
      <c r="B810" s="1" t="n">
        <v>44235</v>
      </c>
      <c r="C810" s="1" t="n">
        <v>45880</v>
      </c>
      <c r="D810" t="inlineStr">
        <is>
          <t>SKÅNE LÄN</t>
        </is>
      </c>
      <c r="E810" t="inlineStr">
        <is>
          <t>HÄSSLEHOLM</t>
        </is>
      </c>
      <c r="G810" t="n">
        <v>1.6</v>
      </c>
      <c r="H810" t="n">
        <v>0</v>
      </c>
      <c r="I810" t="n">
        <v>0</v>
      </c>
      <c r="J810" t="n">
        <v>0</v>
      </c>
      <c r="K810" t="n">
        <v>0</v>
      </c>
      <c r="L810" t="n">
        <v>0</v>
      </c>
      <c r="M810" t="n">
        <v>0</v>
      </c>
      <c r="N810" t="n">
        <v>0</v>
      </c>
      <c r="O810" t="n">
        <v>0</v>
      </c>
      <c r="P810" t="n">
        <v>0</v>
      </c>
      <c r="Q810" t="n">
        <v>0</v>
      </c>
      <c r="R810" s="2" t="inlineStr"/>
    </row>
    <row r="811" ht="15" customHeight="1">
      <c r="A811" t="inlineStr">
        <is>
          <t>A 33875-2025</t>
        </is>
      </c>
      <c r="B811" s="1" t="n">
        <v>45842.55300925926</v>
      </c>
      <c r="C811" s="1" t="n">
        <v>45880</v>
      </c>
      <c r="D811" t="inlineStr">
        <is>
          <t>SKÅNE LÄN</t>
        </is>
      </c>
      <c r="E811" t="inlineStr">
        <is>
          <t>HÄSSLEHOLM</t>
        </is>
      </c>
      <c r="G811" t="n">
        <v>1.9</v>
      </c>
      <c r="H811" t="n">
        <v>0</v>
      </c>
      <c r="I811" t="n">
        <v>0</v>
      </c>
      <c r="J811" t="n">
        <v>0</v>
      </c>
      <c r="K811" t="n">
        <v>0</v>
      </c>
      <c r="L811" t="n">
        <v>0</v>
      </c>
      <c r="M811" t="n">
        <v>0</v>
      </c>
      <c r="N811" t="n">
        <v>0</v>
      </c>
      <c r="O811" t="n">
        <v>0</v>
      </c>
      <c r="P811" t="n">
        <v>0</v>
      </c>
      <c r="Q811" t="n">
        <v>0</v>
      </c>
      <c r="R811" s="2" t="inlineStr"/>
    </row>
    <row r="812" ht="15" customHeight="1">
      <c r="A812" t="inlineStr">
        <is>
          <t>A 27837-2024</t>
        </is>
      </c>
      <c r="B812" s="1" t="n">
        <v>45475</v>
      </c>
      <c r="C812" s="1" t="n">
        <v>45880</v>
      </c>
      <c r="D812" t="inlineStr">
        <is>
          <t>SKÅNE LÄN</t>
        </is>
      </c>
      <c r="E812" t="inlineStr">
        <is>
          <t>HÄSSLEHOLM</t>
        </is>
      </c>
      <c r="F812" t="inlineStr">
        <is>
          <t>Kommuner</t>
        </is>
      </c>
      <c r="G812" t="n">
        <v>2.3</v>
      </c>
      <c r="H812" t="n">
        <v>0</v>
      </c>
      <c r="I812" t="n">
        <v>0</v>
      </c>
      <c r="J812" t="n">
        <v>0</v>
      </c>
      <c r="K812" t="n">
        <v>0</v>
      </c>
      <c r="L812" t="n">
        <v>0</v>
      </c>
      <c r="M812" t="n">
        <v>0</v>
      </c>
      <c r="N812" t="n">
        <v>0</v>
      </c>
      <c r="O812" t="n">
        <v>0</v>
      </c>
      <c r="P812" t="n">
        <v>0</v>
      </c>
      <c r="Q812" t="n">
        <v>0</v>
      </c>
      <c r="R812" s="2" t="inlineStr"/>
    </row>
    <row r="813" ht="15" customHeight="1">
      <c r="A813" t="inlineStr">
        <is>
          <t>A 29659-2024</t>
        </is>
      </c>
      <c r="B813" s="1" t="n">
        <v>45484.92587962963</v>
      </c>
      <c r="C813" s="1" t="n">
        <v>45880</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5478-2021</t>
        </is>
      </c>
      <c r="B814" s="1" t="n">
        <v>44230</v>
      </c>
      <c r="C814" s="1" t="n">
        <v>45880</v>
      </c>
      <c r="D814" t="inlineStr">
        <is>
          <t>SKÅNE LÄN</t>
        </is>
      </c>
      <c r="E814" t="inlineStr">
        <is>
          <t>HÄSSLEHOLM</t>
        </is>
      </c>
      <c r="G814" t="n">
        <v>0.1</v>
      </c>
      <c r="H814" t="n">
        <v>0</v>
      </c>
      <c r="I814" t="n">
        <v>0</v>
      </c>
      <c r="J814" t="n">
        <v>0</v>
      </c>
      <c r="K814" t="n">
        <v>0</v>
      </c>
      <c r="L814" t="n">
        <v>0</v>
      </c>
      <c r="M814" t="n">
        <v>0</v>
      </c>
      <c r="N814" t="n">
        <v>0</v>
      </c>
      <c r="O814" t="n">
        <v>0</v>
      </c>
      <c r="P814" t="n">
        <v>0</v>
      </c>
      <c r="Q814" t="n">
        <v>0</v>
      </c>
      <c r="R814" s="2" t="inlineStr"/>
    </row>
    <row r="815" ht="15" customHeight="1">
      <c r="A815" t="inlineStr">
        <is>
          <t>A 2290-2024</t>
        </is>
      </c>
      <c r="B815" s="1" t="n">
        <v>45310</v>
      </c>
      <c r="C815" s="1" t="n">
        <v>45880</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49865-2020</t>
        </is>
      </c>
      <c r="B816" s="1" t="n">
        <v>44107</v>
      </c>
      <c r="C816" s="1" t="n">
        <v>45880</v>
      </c>
      <c r="D816" t="inlineStr">
        <is>
          <t>SKÅNE LÄN</t>
        </is>
      </c>
      <c r="E816" t="inlineStr">
        <is>
          <t>HÄSSLEHOLM</t>
        </is>
      </c>
      <c r="G816" t="n">
        <v>1.4</v>
      </c>
      <c r="H816" t="n">
        <v>0</v>
      </c>
      <c r="I816" t="n">
        <v>0</v>
      </c>
      <c r="J816" t="n">
        <v>0</v>
      </c>
      <c r="K816" t="n">
        <v>0</v>
      </c>
      <c r="L816" t="n">
        <v>0</v>
      </c>
      <c r="M816" t="n">
        <v>0</v>
      </c>
      <c r="N816" t="n">
        <v>0</v>
      </c>
      <c r="O816" t="n">
        <v>0</v>
      </c>
      <c r="P816" t="n">
        <v>0</v>
      </c>
      <c r="Q816" t="n">
        <v>0</v>
      </c>
      <c r="R816" s="2" t="inlineStr"/>
    </row>
    <row r="817" ht="15" customHeight="1">
      <c r="A817" t="inlineStr">
        <is>
          <t>A 1679-2022</t>
        </is>
      </c>
      <c r="B817" s="1" t="n">
        <v>44573</v>
      </c>
      <c r="C817" s="1" t="n">
        <v>45880</v>
      </c>
      <c r="D817" t="inlineStr">
        <is>
          <t>SKÅNE LÄN</t>
        </is>
      </c>
      <c r="E817" t="inlineStr">
        <is>
          <t>HÄSSLEHOLM</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11116-2023</t>
        </is>
      </c>
      <c r="B818" s="1" t="n">
        <v>44986</v>
      </c>
      <c r="C818" s="1" t="n">
        <v>45880</v>
      </c>
      <c r="D818" t="inlineStr">
        <is>
          <t>SKÅNE LÄN</t>
        </is>
      </c>
      <c r="E818" t="inlineStr">
        <is>
          <t>HÄSSLEHOLM</t>
        </is>
      </c>
      <c r="F818" t="inlineStr">
        <is>
          <t>Kommuner</t>
        </is>
      </c>
      <c r="G818" t="n">
        <v>15.1</v>
      </c>
      <c r="H818" t="n">
        <v>0</v>
      </c>
      <c r="I818" t="n">
        <v>0</v>
      </c>
      <c r="J818" t="n">
        <v>0</v>
      </c>
      <c r="K818" t="n">
        <v>0</v>
      </c>
      <c r="L818" t="n">
        <v>0</v>
      </c>
      <c r="M818" t="n">
        <v>0</v>
      </c>
      <c r="N818" t="n">
        <v>0</v>
      </c>
      <c r="O818" t="n">
        <v>0</v>
      </c>
      <c r="P818" t="n">
        <v>0</v>
      </c>
      <c r="Q818" t="n">
        <v>0</v>
      </c>
      <c r="R818" s="2" t="inlineStr"/>
    </row>
    <row r="819" ht="15" customHeight="1">
      <c r="A819" t="inlineStr">
        <is>
          <t>A 11121-2023</t>
        </is>
      </c>
      <c r="B819" s="1" t="n">
        <v>44986</v>
      </c>
      <c r="C819" s="1" t="n">
        <v>45880</v>
      </c>
      <c r="D819" t="inlineStr">
        <is>
          <t>SKÅNE LÄN</t>
        </is>
      </c>
      <c r="E819" t="inlineStr">
        <is>
          <t>HÄSSLEHOLM</t>
        </is>
      </c>
      <c r="F819" t="inlineStr">
        <is>
          <t>Kommuner</t>
        </is>
      </c>
      <c r="G819" t="n">
        <v>5.8</v>
      </c>
      <c r="H819" t="n">
        <v>0</v>
      </c>
      <c r="I819" t="n">
        <v>0</v>
      </c>
      <c r="J819" t="n">
        <v>0</v>
      </c>
      <c r="K819" t="n">
        <v>0</v>
      </c>
      <c r="L819" t="n">
        <v>0</v>
      </c>
      <c r="M819" t="n">
        <v>0</v>
      </c>
      <c r="N819" t="n">
        <v>0</v>
      </c>
      <c r="O819" t="n">
        <v>0</v>
      </c>
      <c r="P819" t="n">
        <v>0</v>
      </c>
      <c r="Q819" t="n">
        <v>0</v>
      </c>
      <c r="R819" s="2" t="inlineStr"/>
    </row>
    <row r="820" ht="15" customHeight="1">
      <c r="A820" t="inlineStr">
        <is>
          <t>A 33877-2025</t>
        </is>
      </c>
      <c r="B820" s="1" t="n">
        <v>45842.55564814815</v>
      </c>
      <c r="C820" s="1" t="n">
        <v>45880</v>
      </c>
      <c r="D820" t="inlineStr">
        <is>
          <t>SKÅNE LÄN</t>
        </is>
      </c>
      <c r="E820" t="inlineStr">
        <is>
          <t>HÄSSLEHOLM</t>
        </is>
      </c>
      <c r="G820" t="n">
        <v>3.9</v>
      </c>
      <c r="H820" t="n">
        <v>0</v>
      </c>
      <c r="I820" t="n">
        <v>0</v>
      </c>
      <c r="J820" t="n">
        <v>0</v>
      </c>
      <c r="K820" t="n">
        <v>0</v>
      </c>
      <c r="L820" t="n">
        <v>0</v>
      </c>
      <c r="M820" t="n">
        <v>0</v>
      </c>
      <c r="N820" t="n">
        <v>0</v>
      </c>
      <c r="O820" t="n">
        <v>0</v>
      </c>
      <c r="P820" t="n">
        <v>0</v>
      </c>
      <c r="Q820" t="n">
        <v>0</v>
      </c>
      <c r="R820" s="2" t="inlineStr"/>
    </row>
    <row r="821" ht="15" customHeight="1">
      <c r="A821" t="inlineStr">
        <is>
          <t>A 1616-2025</t>
        </is>
      </c>
      <c r="B821" s="1" t="n">
        <v>45670</v>
      </c>
      <c r="C821" s="1" t="n">
        <v>45880</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9668-2025</t>
        </is>
      </c>
      <c r="B822" s="1" t="n">
        <v>45716.3278587963</v>
      </c>
      <c r="C822" s="1" t="n">
        <v>45880</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33879-2025</t>
        </is>
      </c>
      <c r="B823" s="1" t="n">
        <v>45842.55766203703</v>
      </c>
      <c r="C823" s="1" t="n">
        <v>45880</v>
      </c>
      <c r="D823" t="inlineStr">
        <is>
          <t>SKÅNE LÄN</t>
        </is>
      </c>
      <c r="E823" t="inlineStr">
        <is>
          <t>HÄSSLEHOLM</t>
        </is>
      </c>
      <c r="G823" t="n">
        <v>6.1</v>
      </c>
      <c r="H823" t="n">
        <v>0</v>
      </c>
      <c r="I823" t="n">
        <v>0</v>
      </c>
      <c r="J823" t="n">
        <v>0</v>
      </c>
      <c r="K823" t="n">
        <v>0</v>
      </c>
      <c r="L823" t="n">
        <v>0</v>
      </c>
      <c r="M823" t="n">
        <v>0</v>
      </c>
      <c r="N823" t="n">
        <v>0</v>
      </c>
      <c r="O823" t="n">
        <v>0</v>
      </c>
      <c r="P823" t="n">
        <v>0</v>
      </c>
      <c r="Q823" t="n">
        <v>0</v>
      </c>
      <c r="R823" s="2" t="inlineStr"/>
    </row>
    <row r="824" ht="15" customHeight="1">
      <c r="A824" t="inlineStr">
        <is>
          <t>A 13316-2023</t>
        </is>
      </c>
      <c r="B824" s="1" t="n">
        <v>45005.39013888889</v>
      </c>
      <c r="C824" s="1" t="n">
        <v>45880</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33562-2025</t>
        </is>
      </c>
      <c r="B825" s="1" t="n">
        <v>45841.57803240741</v>
      </c>
      <c r="C825" s="1" t="n">
        <v>45880</v>
      </c>
      <c r="D825" t="inlineStr">
        <is>
          <t>SKÅNE LÄN</t>
        </is>
      </c>
      <c r="E825" t="inlineStr">
        <is>
          <t>HÄSSLEHOLM</t>
        </is>
      </c>
      <c r="G825" t="n">
        <v>2.8</v>
      </c>
      <c r="H825" t="n">
        <v>0</v>
      </c>
      <c r="I825" t="n">
        <v>0</v>
      </c>
      <c r="J825" t="n">
        <v>0</v>
      </c>
      <c r="K825" t="n">
        <v>0</v>
      </c>
      <c r="L825" t="n">
        <v>0</v>
      </c>
      <c r="M825" t="n">
        <v>0</v>
      </c>
      <c r="N825" t="n">
        <v>0</v>
      </c>
      <c r="O825" t="n">
        <v>0</v>
      </c>
      <c r="P825" t="n">
        <v>0</v>
      </c>
      <c r="Q825" t="n">
        <v>0</v>
      </c>
      <c r="R825" s="2" t="inlineStr"/>
    </row>
    <row r="826" ht="15" customHeight="1">
      <c r="A826" t="inlineStr">
        <is>
          <t>A 259-2024</t>
        </is>
      </c>
      <c r="B826" s="1" t="n">
        <v>45294</v>
      </c>
      <c r="C826" s="1" t="n">
        <v>45880</v>
      </c>
      <c r="D826" t="inlineStr">
        <is>
          <t>SKÅNE LÄN</t>
        </is>
      </c>
      <c r="E826" t="inlineStr">
        <is>
          <t>HÄSSLEHOLM</t>
        </is>
      </c>
      <c r="G826" t="n">
        <v>8</v>
      </c>
      <c r="H826" t="n">
        <v>0</v>
      </c>
      <c r="I826" t="n">
        <v>0</v>
      </c>
      <c r="J826" t="n">
        <v>0</v>
      </c>
      <c r="K826" t="n">
        <v>0</v>
      </c>
      <c r="L826" t="n">
        <v>0</v>
      </c>
      <c r="M826" t="n">
        <v>0</v>
      </c>
      <c r="N826" t="n">
        <v>0</v>
      </c>
      <c r="O826" t="n">
        <v>0</v>
      </c>
      <c r="P826" t="n">
        <v>0</v>
      </c>
      <c r="Q826" t="n">
        <v>0</v>
      </c>
      <c r="R826" s="2" t="inlineStr"/>
    </row>
    <row r="827" ht="15" customHeight="1">
      <c r="A827" t="inlineStr">
        <is>
          <t>A 24776-2025</t>
        </is>
      </c>
      <c r="B827" s="1" t="n">
        <v>45799.40640046296</v>
      </c>
      <c r="C827" s="1" t="n">
        <v>45880</v>
      </c>
      <c r="D827" t="inlineStr">
        <is>
          <t>SKÅNE LÄN</t>
        </is>
      </c>
      <c r="E827" t="inlineStr">
        <is>
          <t>HÄSSLEHOLM</t>
        </is>
      </c>
      <c r="G827" t="n">
        <v>5.4</v>
      </c>
      <c r="H827" t="n">
        <v>0</v>
      </c>
      <c r="I827" t="n">
        <v>0</v>
      </c>
      <c r="J827" t="n">
        <v>0</v>
      </c>
      <c r="K827" t="n">
        <v>0</v>
      </c>
      <c r="L827" t="n">
        <v>0</v>
      </c>
      <c r="M827" t="n">
        <v>0</v>
      </c>
      <c r="N827" t="n">
        <v>0</v>
      </c>
      <c r="O827" t="n">
        <v>0</v>
      </c>
      <c r="P827" t="n">
        <v>0</v>
      </c>
      <c r="Q827" t="n">
        <v>0</v>
      </c>
      <c r="R827" s="2" t="inlineStr"/>
    </row>
    <row r="828" ht="15" customHeight="1">
      <c r="A828" t="inlineStr">
        <is>
          <t>A 65235-2021</t>
        </is>
      </c>
      <c r="B828" s="1" t="n">
        <v>44515</v>
      </c>
      <c r="C828" s="1" t="n">
        <v>45880</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13358-2023</t>
        </is>
      </c>
      <c r="B829" s="1" t="n">
        <v>45005</v>
      </c>
      <c r="C829" s="1" t="n">
        <v>45880</v>
      </c>
      <c r="D829" t="inlineStr">
        <is>
          <t>SKÅNE LÄN</t>
        </is>
      </c>
      <c r="E829" t="inlineStr">
        <is>
          <t>HÄSSLEHOLM</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5316-2023</t>
        </is>
      </c>
      <c r="B830" s="1" t="n">
        <v>44959</v>
      </c>
      <c r="C830" s="1" t="n">
        <v>45880</v>
      </c>
      <c r="D830" t="inlineStr">
        <is>
          <t>SKÅNE LÄN</t>
        </is>
      </c>
      <c r="E830" t="inlineStr">
        <is>
          <t>HÄSSLEHOLM</t>
        </is>
      </c>
      <c r="G830" t="n">
        <v>2.1</v>
      </c>
      <c r="H830" t="n">
        <v>0</v>
      </c>
      <c r="I830" t="n">
        <v>0</v>
      </c>
      <c r="J830" t="n">
        <v>0</v>
      </c>
      <c r="K830" t="n">
        <v>0</v>
      </c>
      <c r="L830" t="n">
        <v>0</v>
      </c>
      <c r="M830" t="n">
        <v>0</v>
      </c>
      <c r="N830" t="n">
        <v>0</v>
      </c>
      <c r="O830" t="n">
        <v>0</v>
      </c>
      <c r="P830" t="n">
        <v>0</v>
      </c>
      <c r="Q830" t="n">
        <v>0</v>
      </c>
      <c r="R830" s="2" t="inlineStr"/>
    </row>
    <row r="831" ht="15" customHeight="1">
      <c r="A831" t="inlineStr">
        <is>
          <t>A 32794-2023</t>
        </is>
      </c>
      <c r="B831" s="1" t="n">
        <v>45124.40446759259</v>
      </c>
      <c r="C831" s="1" t="n">
        <v>45880</v>
      </c>
      <c r="D831" t="inlineStr">
        <is>
          <t>SKÅNE LÄN</t>
        </is>
      </c>
      <c r="E831" t="inlineStr">
        <is>
          <t>HÄSSLEHOLM</t>
        </is>
      </c>
      <c r="G831" t="n">
        <v>1.8</v>
      </c>
      <c r="H831" t="n">
        <v>0</v>
      </c>
      <c r="I831" t="n">
        <v>0</v>
      </c>
      <c r="J831" t="n">
        <v>0</v>
      </c>
      <c r="K831" t="n">
        <v>0</v>
      </c>
      <c r="L831" t="n">
        <v>0</v>
      </c>
      <c r="M831" t="n">
        <v>0</v>
      </c>
      <c r="N831" t="n">
        <v>0</v>
      </c>
      <c r="O831" t="n">
        <v>0</v>
      </c>
      <c r="P831" t="n">
        <v>0</v>
      </c>
      <c r="Q831" t="n">
        <v>0</v>
      </c>
      <c r="R831" s="2" t="inlineStr"/>
    </row>
    <row r="832" ht="15" customHeight="1">
      <c r="A832" t="inlineStr">
        <is>
          <t>A 28211-2022</t>
        </is>
      </c>
      <c r="B832" s="1" t="n">
        <v>44746</v>
      </c>
      <c r="C832" s="1" t="n">
        <v>45880</v>
      </c>
      <c r="D832" t="inlineStr">
        <is>
          <t>SKÅNE LÄN</t>
        </is>
      </c>
      <c r="E832" t="inlineStr">
        <is>
          <t>HÄSSLEHOLM</t>
        </is>
      </c>
      <c r="G832" t="n">
        <v>2.8</v>
      </c>
      <c r="H832" t="n">
        <v>0</v>
      </c>
      <c r="I832" t="n">
        <v>0</v>
      </c>
      <c r="J832" t="n">
        <v>0</v>
      </c>
      <c r="K832" t="n">
        <v>0</v>
      </c>
      <c r="L832" t="n">
        <v>0</v>
      </c>
      <c r="M832" t="n">
        <v>0</v>
      </c>
      <c r="N832" t="n">
        <v>0</v>
      </c>
      <c r="O832" t="n">
        <v>0</v>
      </c>
      <c r="P832" t="n">
        <v>0</v>
      </c>
      <c r="Q832" t="n">
        <v>0</v>
      </c>
      <c r="R832" s="2" t="inlineStr"/>
    </row>
    <row r="833" ht="15" customHeight="1">
      <c r="A833" t="inlineStr">
        <is>
          <t>A 12162-2023</t>
        </is>
      </c>
      <c r="B833" s="1" t="n">
        <v>44998.49619212963</v>
      </c>
      <c r="C833" s="1" t="n">
        <v>45880</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54435-2024</t>
        </is>
      </c>
      <c r="B834" s="1" t="n">
        <v>45617.49494212963</v>
      </c>
      <c r="C834" s="1" t="n">
        <v>45880</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25372-2025</t>
        </is>
      </c>
      <c r="B835" s="1" t="n">
        <v>45799</v>
      </c>
      <c r="C835" s="1" t="n">
        <v>45880</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9399-2025</t>
        </is>
      </c>
      <c r="B836" s="1" t="n">
        <v>45715.37861111111</v>
      </c>
      <c r="C836" s="1" t="n">
        <v>45880</v>
      </c>
      <c r="D836" t="inlineStr">
        <is>
          <t>SKÅNE LÄN</t>
        </is>
      </c>
      <c r="E836" t="inlineStr">
        <is>
          <t>HÄSSLEHOLM</t>
        </is>
      </c>
      <c r="G836" t="n">
        <v>5.2</v>
      </c>
      <c r="H836" t="n">
        <v>0</v>
      </c>
      <c r="I836" t="n">
        <v>0</v>
      </c>
      <c r="J836" t="n">
        <v>0</v>
      </c>
      <c r="K836" t="n">
        <v>0</v>
      </c>
      <c r="L836" t="n">
        <v>0</v>
      </c>
      <c r="M836" t="n">
        <v>0</v>
      </c>
      <c r="N836" t="n">
        <v>0</v>
      </c>
      <c r="O836" t="n">
        <v>0</v>
      </c>
      <c r="P836" t="n">
        <v>0</v>
      </c>
      <c r="Q836" t="n">
        <v>0</v>
      </c>
      <c r="R836" s="2" t="inlineStr"/>
    </row>
    <row r="837" ht="15" customHeight="1">
      <c r="A837" t="inlineStr">
        <is>
          <t>A 720-2025</t>
        </is>
      </c>
      <c r="B837" s="1" t="n">
        <v>45665.3744212963</v>
      </c>
      <c r="C837" s="1" t="n">
        <v>45880</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9678-2025</t>
        </is>
      </c>
      <c r="B838" s="1" t="n">
        <v>45716.34403935185</v>
      </c>
      <c r="C838" s="1" t="n">
        <v>45880</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31581-2023</t>
        </is>
      </c>
      <c r="B839" s="1" t="n">
        <v>45117.45165509259</v>
      </c>
      <c r="C839" s="1" t="n">
        <v>45880</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14702-2025</t>
        </is>
      </c>
      <c r="B840" s="1" t="n">
        <v>45742.60403935185</v>
      </c>
      <c r="C840" s="1" t="n">
        <v>45880</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9669-2025</t>
        </is>
      </c>
      <c r="B841" s="1" t="n">
        <v>45716.32921296296</v>
      </c>
      <c r="C841" s="1" t="n">
        <v>45880</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51565-2023</t>
        </is>
      </c>
      <c r="B842" s="1" t="n">
        <v>45222</v>
      </c>
      <c r="C842" s="1" t="n">
        <v>45880</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25430-2025</t>
        </is>
      </c>
      <c r="B843" s="1" t="n">
        <v>45800.78212962963</v>
      </c>
      <c r="C843" s="1" t="n">
        <v>45880</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59109-2023</t>
        </is>
      </c>
      <c r="B844" s="1" t="n">
        <v>45253.30819444444</v>
      </c>
      <c r="C844" s="1" t="n">
        <v>45880</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33597-2023</t>
        </is>
      </c>
      <c r="B845" s="1" t="n">
        <v>45132</v>
      </c>
      <c r="C845" s="1" t="n">
        <v>45880</v>
      </c>
      <c r="D845" t="inlineStr">
        <is>
          <t>SKÅNE LÄN</t>
        </is>
      </c>
      <c r="E845" t="inlineStr">
        <is>
          <t>HÄSSLEHOLM</t>
        </is>
      </c>
      <c r="G845" t="n">
        <v>3.9</v>
      </c>
      <c r="H845" t="n">
        <v>0</v>
      </c>
      <c r="I845" t="n">
        <v>0</v>
      </c>
      <c r="J845" t="n">
        <v>0</v>
      </c>
      <c r="K845" t="n">
        <v>0</v>
      </c>
      <c r="L845" t="n">
        <v>0</v>
      </c>
      <c r="M845" t="n">
        <v>0</v>
      </c>
      <c r="N845" t="n">
        <v>0</v>
      </c>
      <c r="O845" t="n">
        <v>0</v>
      </c>
      <c r="P845" t="n">
        <v>0</v>
      </c>
      <c r="Q845" t="n">
        <v>0</v>
      </c>
      <c r="R845" s="2" t="inlineStr"/>
    </row>
    <row r="846" ht="15" customHeight="1">
      <c r="A846" t="inlineStr">
        <is>
          <t>A 33599-2023</t>
        </is>
      </c>
      <c r="B846" s="1" t="n">
        <v>45132</v>
      </c>
      <c r="C846" s="1" t="n">
        <v>45880</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11470-2025</t>
        </is>
      </c>
      <c r="B847" s="1" t="n">
        <v>45726</v>
      </c>
      <c r="C847" s="1" t="n">
        <v>45880</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34174-2025</t>
        </is>
      </c>
      <c r="B848" s="1" t="n">
        <v>45844</v>
      </c>
      <c r="C848" s="1" t="n">
        <v>45880</v>
      </c>
      <c r="D848" t="inlineStr">
        <is>
          <t>SKÅNE LÄN</t>
        </is>
      </c>
      <c r="E848" t="inlineStr">
        <is>
          <t>HÄSSLEHOLM</t>
        </is>
      </c>
      <c r="G848" t="n">
        <v>4.7</v>
      </c>
      <c r="H848" t="n">
        <v>0</v>
      </c>
      <c r="I848" t="n">
        <v>0</v>
      </c>
      <c r="J848" t="n">
        <v>0</v>
      </c>
      <c r="K848" t="n">
        <v>0</v>
      </c>
      <c r="L848" t="n">
        <v>0</v>
      </c>
      <c r="M848" t="n">
        <v>0</v>
      </c>
      <c r="N848" t="n">
        <v>0</v>
      </c>
      <c r="O848" t="n">
        <v>0</v>
      </c>
      <c r="P848" t="n">
        <v>0</v>
      </c>
      <c r="Q848" t="n">
        <v>0</v>
      </c>
      <c r="R848" s="2" t="inlineStr"/>
    </row>
    <row r="849" ht="15" customHeight="1">
      <c r="A849" t="inlineStr">
        <is>
          <t>A 25615-2025</t>
        </is>
      </c>
      <c r="B849" s="1" t="n">
        <v>45803</v>
      </c>
      <c r="C849" s="1" t="n">
        <v>45880</v>
      </c>
      <c r="D849" t="inlineStr">
        <is>
          <t>SKÅNE LÄN</t>
        </is>
      </c>
      <c r="E849" t="inlineStr">
        <is>
          <t>HÄSSLEHOLM</t>
        </is>
      </c>
      <c r="G849" t="n">
        <v>2.6</v>
      </c>
      <c r="H849" t="n">
        <v>0</v>
      </c>
      <c r="I849" t="n">
        <v>0</v>
      </c>
      <c r="J849" t="n">
        <v>0</v>
      </c>
      <c r="K849" t="n">
        <v>0</v>
      </c>
      <c r="L849" t="n">
        <v>0</v>
      </c>
      <c r="M849" t="n">
        <v>0</v>
      </c>
      <c r="N849" t="n">
        <v>0</v>
      </c>
      <c r="O849" t="n">
        <v>0</v>
      </c>
      <c r="P849" t="n">
        <v>0</v>
      </c>
      <c r="Q849" t="n">
        <v>0</v>
      </c>
      <c r="R849" s="2" t="inlineStr"/>
    </row>
    <row r="850" ht="15" customHeight="1">
      <c r="A850" t="inlineStr">
        <is>
          <t>A 33938-2023</t>
        </is>
      </c>
      <c r="B850" s="1" t="n">
        <v>45124</v>
      </c>
      <c r="C850" s="1" t="n">
        <v>45880</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58888-2024</t>
        </is>
      </c>
      <c r="B851" s="1" t="n">
        <v>45636.45962962963</v>
      </c>
      <c r="C851" s="1" t="n">
        <v>45880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21028-2021</t>
        </is>
      </c>
      <c r="B852" s="1" t="n">
        <v>44319</v>
      </c>
      <c r="C852" s="1" t="n">
        <v>45880</v>
      </c>
      <c r="D852" t="inlineStr">
        <is>
          <t>SKÅNE LÄN</t>
        </is>
      </c>
      <c r="E852" t="inlineStr">
        <is>
          <t>HÄSSLEHOLM</t>
        </is>
      </c>
      <c r="G852" t="n">
        <v>3.1</v>
      </c>
      <c r="H852" t="n">
        <v>0</v>
      </c>
      <c r="I852" t="n">
        <v>0</v>
      </c>
      <c r="J852" t="n">
        <v>0</v>
      </c>
      <c r="K852" t="n">
        <v>0</v>
      </c>
      <c r="L852" t="n">
        <v>0</v>
      </c>
      <c r="M852" t="n">
        <v>0</v>
      </c>
      <c r="N852" t="n">
        <v>0</v>
      </c>
      <c r="O852" t="n">
        <v>0</v>
      </c>
      <c r="P852" t="n">
        <v>0</v>
      </c>
      <c r="Q852" t="n">
        <v>0</v>
      </c>
      <c r="R852" s="2" t="inlineStr"/>
    </row>
    <row r="853" ht="15" customHeight="1">
      <c r="A853" t="inlineStr">
        <is>
          <t>A 25431-2025</t>
        </is>
      </c>
      <c r="B853" s="1" t="n">
        <v>45800.78340277778</v>
      </c>
      <c r="C853" s="1" t="n">
        <v>45880</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25432-2025</t>
        </is>
      </c>
      <c r="B854" s="1" t="n">
        <v>45800.7847800926</v>
      </c>
      <c r="C854" s="1" t="n">
        <v>45880</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11412-2025</t>
        </is>
      </c>
      <c r="B855" s="1" t="n">
        <v>45726</v>
      </c>
      <c r="C855" s="1" t="n">
        <v>45880</v>
      </c>
      <c r="D855" t="inlineStr">
        <is>
          <t>SKÅNE LÄN</t>
        </is>
      </c>
      <c r="E855" t="inlineStr">
        <is>
          <t>HÄSSLEHOLM</t>
        </is>
      </c>
      <c r="G855" t="n">
        <v>2.1</v>
      </c>
      <c r="H855" t="n">
        <v>0</v>
      </c>
      <c r="I855" t="n">
        <v>0</v>
      </c>
      <c r="J855" t="n">
        <v>0</v>
      </c>
      <c r="K855" t="n">
        <v>0</v>
      </c>
      <c r="L855" t="n">
        <v>0</v>
      </c>
      <c r="M855" t="n">
        <v>0</v>
      </c>
      <c r="N855" t="n">
        <v>0</v>
      </c>
      <c r="O855" t="n">
        <v>0</v>
      </c>
      <c r="P855" t="n">
        <v>0</v>
      </c>
      <c r="Q855" t="n">
        <v>0</v>
      </c>
      <c r="R855" s="2" t="inlineStr"/>
    </row>
    <row r="856" ht="15" customHeight="1">
      <c r="A856" t="inlineStr">
        <is>
          <t>A 22693-2022</t>
        </is>
      </c>
      <c r="B856" s="1" t="n">
        <v>44714.54729166667</v>
      </c>
      <c r="C856" s="1" t="n">
        <v>45880</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35889-2023</t>
        </is>
      </c>
      <c r="B857" s="1" t="n">
        <v>45148</v>
      </c>
      <c r="C857" s="1" t="n">
        <v>45880</v>
      </c>
      <c r="D857" t="inlineStr">
        <is>
          <t>SKÅNE LÄN</t>
        </is>
      </c>
      <c r="E857" t="inlineStr">
        <is>
          <t>HÄSSLEHOLM</t>
        </is>
      </c>
      <c r="G857" t="n">
        <v>0.6</v>
      </c>
      <c r="H857" t="n">
        <v>0</v>
      </c>
      <c r="I857" t="n">
        <v>0</v>
      </c>
      <c r="J857" t="n">
        <v>0</v>
      </c>
      <c r="K857" t="n">
        <v>0</v>
      </c>
      <c r="L857" t="n">
        <v>0</v>
      </c>
      <c r="M857" t="n">
        <v>0</v>
      </c>
      <c r="N857" t="n">
        <v>0</v>
      </c>
      <c r="O857" t="n">
        <v>0</v>
      </c>
      <c r="P857" t="n">
        <v>0</v>
      </c>
      <c r="Q857" t="n">
        <v>0</v>
      </c>
      <c r="R857" s="2" t="inlineStr"/>
    </row>
    <row r="858" ht="15" customHeight="1">
      <c r="A858" t="inlineStr">
        <is>
          <t>A 34177-2025</t>
        </is>
      </c>
      <c r="B858" s="1" t="n">
        <v>45844</v>
      </c>
      <c r="C858" s="1" t="n">
        <v>45880</v>
      </c>
      <c r="D858" t="inlineStr">
        <is>
          <t>SKÅNE LÄN</t>
        </is>
      </c>
      <c r="E858" t="inlineStr">
        <is>
          <t>HÄSSLEHOLM</t>
        </is>
      </c>
      <c r="G858" t="n">
        <v>3</v>
      </c>
      <c r="H858" t="n">
        <v>0</v>
      </c>
      <c r="I858" t="n">
        <v>0</v>
      </c>
      <c r="J858" t="n">
        <v>0</v>
      </c>
      <c r="K858" t="n">
        <v>0</v>
      </c>
      <c r="L858" t="n">
        <v>0</v>
      </c>
      <c r="M858" t="n">
        <v>0</v>
      </c>
      <c r="N858" t="n">
        <v>0</v>
      </c>
      <c r="O858" t="n">
        <v>0</v>
      </c>
      <c r="P858" t="n">
        <v>0</v>
      </c>
      <c r="Q858" t="n">
        <v>0</v>
      </c>
      <c r="R858" s="2" t="inlineStr"/>
    </row>
    <row r="859" ht="15" customHeight="1">
      <c r="A859" t="inlineStr">
        <is>
          <t>A 35894-2023</t>
        </is>
      </c>
      <c r="B859" s="1" t="n">
        <v>45148</v>
      </c>
      <c r="C859" s="1" t="n">
        <v>45880</v>
      </c>
      <c r="D859" t="inlineStr">
        <is>
          <t>SKÅNE LÄN</t>
        </is>
      </c>
      <c r="E859" t="inlineStr">
        <is>
          <t>HÄSSLEHOLM</t>
        </is>
      </c>
      <c r="G859" t="n">
        <v>1.5</v>
      </c>
      <c r="H859" t="n">
        <v>0</v>
      </c>
      <c r="I859" t="n">
        <v>0</v>
      </c>
      <c r="J859" t="n">
        <v>0</v>
      </c>
      <c r="K859" t="n">
        <v>0</v>
      </c>
      <c r="L859" t="n">
        <v>0</v>
      </c>
      <c r="M859" t="n">
        <v>0</v>
      </c>
      <c r="N859" t="n">
        <v>0</v>
      </c>
      <c r="O859" t="n">
        <v>0</v>
      </c>
      <c r="P859" t="n">
        <v>0</v>
      </c>
      <c r="Q859" t="n">
        <v>0</v>
      </c>
      <c r="R859" s="2" t="inlineStr"/>
    </row>
    <row r="860" ht="15" customHeight="1">
      <c r="A860" t="inlineStr">
        <is>
          <t>A 35974-2022</t>
        </is>
      </c>
      <c r="B860" s="1" t="n">
        <v>44802</v>
      </c>
      <c r="C860" s="1" t="n">
        <v>45880</v>
      </c>
      <c r="D860" t="inlineStr">
        <is>
          <t>SKÅNE LÄN</t>
        </is>
      </c>
      <c r="E860" t="inlineStr">
        <is>
          <t>HÄSSLEHOLM</t>
        </is>
      </c>
      <c r="G860" t="n">
        <v>3.8</v>
      </c>
      <c r="H860" t="n">
        <v>0</v>
      </c>
      <c r="I860" t="n">
        <v>0</v>
      </c>
      <c r="J860" t="n">
        <v>0</v>
      </c>
      <c r="K860" t="n">
        <v>0</v>
      </c>
      <c r="L860" t="n">
        <v>0</v>
      </c>
      <c r="M860" t="n">
        <v>0</v>
      </c>
      <c r="N860" t="n">
        <v>0</v>
      </c>
      <c r="O860" t="n">
        <v>0</v>
      </c>
      <c r="P860" t="n">
        <v>0</v>
      </c>
      <c r="Q860" t="n">
        <v>0</v>
      </c>
      <c r="R860" s="2" t="inlineStr"/>
    </row>
    <row r="861" ht="15" customHeight="1">
      <c r="A861" t="inlineStr">
        <is>
          <t>A 24906-2022</t>
        </is>
      </c>
      <c r="B861" s="1" t="n">
        <v>44728</v>
      </c>
      <c r="C861" s="1" t="n">
        <v>45880</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7150-2025</t>
        </is>
      </c>
      <c r="B862" s="1" t="n">
        <v>45702.38239583333</v>
      </c>
      <c r="C862" s="1" t="n">
        <v>45880</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33950-2025</t>
        </is>
      </c>
      <c r="B863" s="1" t="n">
        <v>45842</v>
      </c>
      <c r="C863" s="1" t="n">
        <v>45880</v>
      </c>
      <c r="D863" t="inlineStr">
        <is>
          <t>SKÅNE LÄN</t>
        </is>
      </c>
      <c r="E863" t="inlineStr">
        <is>
          <t>HÄSSLEHOLM</t>
        </is>
      </c>
      <c r="G863" t="n">
        <v>5.7</v>
      </c>
      <c r="H863" t="n">
        <v>0</v>
      </c>
      <c r="I863" t="n">
        <v>0</v>
      </c>
      <c r="J863" t="n">
        <v>0</v>
      </c>
      <c r="K863" t="n">
        <v>0</v>
      </c>
      <c r="L863" t="n">
        <v>0</v>
      </c>
      <c r="M863" t="n">
        <v>0</v>
      </c>
      <c r="N863" t="n">
        <v>0</v>
      </c>
      <c r="O863" t="n">
        <v>0</v>
      </c>
      <c r="P863" t="n">
        <v>0</v>
      </c>
      <c r="Q863" t="n">
        <v>0</v>
      </c>
      <c r="R863" s="2" t="inlineStr"/>
    </row>
    <row r="864" ht="15" customHeight="1">
      <c r="A864" t="inlineStr">
        <is>
          <t>A 55303-2024</t>
        </is>
      </c>
      <c r="B864" s="1" t="n">
        <v>45621.6434837963</v>
      </c>
      <c r="C864" s="1" t="n">
        <v>45880</v>
      </c>
      <c r="D864" t="inlineStr">
        <is>
          <t>SKÅNE LÄN</t>
        </is>
      </c>
      <c r="E864" t="inlineStr">
        <is>
          <t>HÄSSLEHOLM</t>
        </is>
      </c>
      <c r="G864" t="n">
        <v>3.3</v>
      </c>
      <c r="H864" t="n">
        <v>0</v>
      </c>
      <c r="I864" t="n">
        <v>0</v>
      </c>
      <c r="J864" t="n">
        <v>0</v>
      </c>
      <c r="K864" t="n">
        <v>0</v>
      </c>
      <c r="L864" t="n">
        <v>0</v>
      </c>
      <c r="M864" t="n">
        <v>0</v>
      </c>
      <c r="N864" t="n">
        <v>0</v>
      </c>
      <c r="O864" t="n">
        <v>0</v>
      </c>
      <c r="P864" t="n">
        <v>0</v>
      </c>
      <c r="Q864" t="n">
        <v>0</v>
      </c>
      <c r="R864" s="2" t="inlineStr"/>
    </row>
    <row r="865" ht="15" customHeight="1">
      <c r="A865" t="inlineStr">
        <is>
          <t>A 11466-2025</t>
        </is>
      </c>
      <c r="B865" s="1" t="n">
        <v>45726</v>
      </c>
      <c r="C865" s="1" t="n">
        <v>45880</v>
      </c>
      <c r="D865" t="inlineStr">
        <is>
          <t>SKÅNE LÄN</t>
        </is>
      </c>
      <c r="E865" t="inlineStr">
        <is>
          <t>HÄSSLEHOLM</t>
        </is>
      </c>
      <c r="G865" t="n">
        <v>3.2</v>
      </c>
      <c r="H865" t="n">
        <v>0</v>
      </c>
      <c r="I865" t="n">
        <v>0</v>
      </c>
      <c r="J865" t="n">
        <v>0</v>
      </c>
      <c r="K865" t="n">
        <v>0</v>
      </c>
      <c r="L865" t="n">
        <v>0</v>
      </c>
      <c r="M865" t="n">
        <v>0</v>
      </c>
      <c r="N865" t="n">
        <v>0</v>
      </c>
      <c r="O865" t="n">
        <v>0</v>
      </c>
      <c r="P865" t="n">
        <v>0</v>
      </c>
      <c r="Q865" t="n">
        <v>0</v>
      </c>
      <c r="R865" s="2" t="inlineStr"/>
    </row>
    <row r="866" ht="15" customHeight="1">
      <c r="A866" t="inlineStr">
        <is>
          <t>A 16397-2022</t>
        </is>
      </c>
      <c r="B866" s="1" t="n">
        <v>44671</v>
      </c>
      <c r="C866" s="1" t="n">
        <v>45880</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16398-2022</t>
        </is>
      </c>
      <c r="B867" s="1" t="n">
        <v>44671</v>
      </c>
      <c r="C867" s="1" t="n">
        <v>45880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26232-2025</t>
        </is>
      </c>
      <c r="B868" s="1" t="n">
        <v>45805.56642361111</v>
      </c>
      <c r="C868" s="1" t="n">
        <v>45880</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6165-2023</t>
        </is>
      </c>
      <c r="B869" s="1" t="n">
        <v>44964.67114583333</v>
      </c>
      <c r="C869" s="1" t="n">
        <v>45880</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59434-2023</t>
        </is>
      </c>
      <c r="B870" s="1" t="n">
        <v>45254.30440972222</v>
      </c>
      <c r="C870" s="1" t="n">
        <v>45880</v>
      </c>
      <c r="D870" t="inlineStr">
        <is>
          <t>SKÅNE LÄN</t>
        </is>
      </c>
      <c r="E870" t="inlineStr">
        <is>
          <t>HÄSSLEHOLM</t>
        </is>
      </c>
      <c r="G870" t="n">
        <v>3.6</v>
      </c>
      <c r="H870" t="n">
        <v>0</v>
      </c>
      <c r="I870" t="n">
        <v>0</v>
      </c>
      <c r="J870" t="n">
        <v>0</v>
      </c>
      <c r="K870" t="n">
        <v>0</v>
      </c>
      <c r="L870" t="n">
        <v>0</v>
      </c>
      <c r="M870" t="n">
        <v>0</v>
      </c>
      <c r="N870" t="n">
        <v>0</v>
      </c>
      <c r="O870" t="n">
        <v>0</v>
      </c>
      <c r="P870" t="n">
        <v>0</v>
      </c>
      <c r="Q870" t="n">
        <v>0</v>
      </c>
      <c r="R870" s="2" t="inlineStr"/>
    </row>
    <row r="871" ht="15" customHeight="1">
      <c r="A871" t="inlineStr">
        <is>
          <t>A 16017-2023</t>
        </is>
      </c>
      <c r="B871" s="1" t="n">
        <v>45026</v>
      </c>
      <c r="C871" s="1" t="n">
        <v>45880</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33948-2025</t>
        </is>
      </c>
      <c r="B872" s="1" t="n">
        <v>45842.65945601852</v>
      </c>
      <c r="C872" s="1" t="n">
        <v>45880</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31989-2024</t>
        </is>
      </c>
      <c r="B873" s="1" t="n">
        <v>45510.58085648148</v>
      </c>
      <c r="C873" s="1" t="n">
        <v>45880</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35640-2023</t>
        </is>
      </c>
      <c r="B874" s="1" t="n">
        <v>45147</v>
      </c>
      <c r="C874" s="1" t="n">
        <v>45880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16862-2025</t>
        </is>
      </c>
      <c r="B875" s="1" t="n">
        <v>45751</v>
      </c>
      <c r="C875" s="1" t="n">
        <v>45880</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48771-2024</t>
        </is>
      </c>
      <c r="B876" s="1" t="n">
        <v>45593.61284722222</v>
      </c>
      <c r="C876" s="1" t="n">
        <v>45880</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24241-2023</t>
        </is>
      </c>
      <c r="B877" s="1" t="n">
        <v>45079.61476851852</v>
      </c>
      <c r="C877" s="1" t="n">
        <v>45880</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23987-2024</t>
        </is>
      </c>
      <c r="B878" s="1" t="n">
        <v>45456</v>
      </c>
      <c r="C878" s="1" t="n">
        <v>45880</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19739-2023</t>
        </is>
      </c>
      <c r="B879" s="1" t="n">
        <v>45051</v>
      </c>
      <c r="C879" s="1" t="n">
        <v>45880</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1886-2025</t>
        </is>
      </c>
      <c r="B880" s="1" t="n">
        <v>45671</v>
      </c>
      <c r="C880" s="1" t="n">
        <v>45880</v>
      </c>
      <c r="D880" t="inlineStr">
        <is>
          <t>SKÅNE LÄN</t>
        </is>
      </c>
      <c r="E880" t="inlineStr">
        <is>
          <t>HÄSSLEHOLM</t>
        </is>
      </c>
      <c r="G880" t="n">
        <v>1.1</v>
      </c>
      <c r="H880" t="n">
        <v>0</v>
      </c>
      <c r="I880" t="n">
        <v>0</v>
      </c>
      <c r="J880" t="n">
        <v>0</v>
      </c>
      <c r="K880" t="n">
        <v>0</v>
      </c>
      <c r="L880" t="n">
        <v>0</v>
      </c>
      <c r="M880" t="n">
        <v>0</v>
      </c>
      <c r="N880" t="n">
        <v>0</v>
      </c>
      <c r="O880" t="n">
        <v>0</v>
      </c>
      <c r="P880" t="n">
        <v>0</v>
      </c>
      <c r="Q880" t="n">
        <v>0</v>
      </c>
      <c r="R880" s="2" t="inlineStr"/>
    </row>
    <row r="881" ht="15" customHeight="1">
      <c r="A881" t="inlineStr">
        <is>
          <t>A 59246-2024</t>
        </is>
      </c>
      <c r="B881" s="1" t="n">
        <v>45636</v>
      </c>
      <c r="C881" s="1" t="n">
        <v>45880</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55284-2023</t>
        </is>
      </c>
      <c r="B882" s="1" t="n">
        <v>45237.74259259259</v>
      </c>
      <c r="C882" s="1" t="n">
        <v>45880</v>
      </c>
      <c r="D882" t="inlineStr">
        <is>
          <t>SKÅNE LÄN</t>
        </is>
      </c>
      <c r="E882" t="inlineStr">
        <is>
          <t>HÄSSLEHOLM</t>
        </is>
      </c>
      <c r="G882" t="n">
        <v>1.4</v>
      </c>
      <c r="H882" t="n">
        <v>0</v>
      </c>
      <c r="I882" t="n">
        <v>0</v>
      </c>
      <c r="J882" t="n">
        <v>0</v>
      </c>
      <c r="K882" t="n">
        <v>0</v>
      </c>
      <c r="L882" t="n">
        <v>0</v>
      </c>
      <c r="M882" t="n">
        <v>0</v>
      </c>
      <c r="N882" t="n">
        <v>0</v>
      </c>
      <c r="O882" t="n">
        <v>0</v>
      </c>
      <c r="P882" t="n">
        <v>0</v>
      </c>
      <c r="Q882" t="n">
        <v>0</v>
      </c>
      <c r="R882" s="2" t="inlineStr"/>
    </row>
    <row r="883" ht="15" customHeight="1">
      <c r="A883" t="inlineStr">
        <is>
          <t>A 23666-2023</t>
        </is>
      </c>
      <c r="B883" s="1" t="n">
        <v>45077</v>
      </c>
      <c r="C883" s="1" t="n">
        <v>45880</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22384-2024</t>
        </is>
      </c>
      <c r="B884" s="1" t="n">
        <v>45446.65592592592</v>
      </c>
      <c r="C884" s="1" t="n">
        <v>45880</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35237-2023</t>
        </is>
      </c>
      <c r="B885" s="1" t="n">
        <v>45145.74532407407</v>
      </c>
      <c r="C885" s="1" t="n">
        <v>45880</v>
      </c>
      <c r="D885" t="inlineStr">
        <is>
          <t>SKÅNE LÄN</t>
        </is>
      </c>
      <c r="E885" t="inlineStr">
        <is>
          <t>HÄSSLEHOLM</t>
        </is>
      </c>
      <c r="G885" t="n">
        <v>1.3</v>
      </c>
      <c r="H885" t="n">
        <v>0</v>
      </c>
      <c r="I885" t="n">
        <v>0</v>
      </c>
      <c r="J885" t="n">
        <v>0</v>
      </c>
      <c r="K885" t="n">
        <v>0</v>
      </c>
      <c r="L885" t="n">
        <v>0</v>
      </c>
      <c r="M885" t="n">
        <v>0</v>
      </c>
      <c r="N885" t="n">
        <v>0</v>
      </c>
      <c r="O885" t="n">
        <v>0</v>
      </c>
      <c r="P885" t="n">
        <v>0</v>
      </c>
      <c r="Q885" t="n">
        <v>0</v>
      </c>
      <c r="R885" s="2" t="inlineStr"/>
    </row>
    <row r="886" ht="15" customHeight="1">
      <c r="A886" t="inlineStr">
        <is>
          <t>A 5476-2021</t>
        </is>
      </c>
      <c r="B886" s="1" t="n">
        <v>44230</v>
      </c>
      <c r="C886" s="1" t="n">
        <v>45880</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260-2024</t>
        </is>
      </c>
      <c r="B887" s="1" t="n">
        <v>45294</v>
      </c>
      <c r="C887" s="1" t="n">
        <v>45880</v>
      </c>
      <c r="D887" t="inlineStr">
        <is>
          <t>SKÅNE LÄN</t>
        </is>
      </c>
      <c r="E887" t="inlineStr">
        <is>
          <t>HÄSSLEHOLM</t>
        </is>
      </c>
      <c r="G887" t="n">
        <v>0.2</v>
      </c>
      <c r="H887" t="n">
        <v>0</v>
      </c>
      <c r="I887" t="n">
        <v>0</v>
      </c>
      <c r="J887" t="n">
        <v>0</v>
      </c>
      <c r="K887" t="n">
        <v>0</v>
      </c>
      <c r="L887" t="n">
        <v>0</v>
      </c>
      <c r="M887" t="n">
        <v>0</v>
      </c>
      <c r="N887" t="n">
        <v>0</v>
      </c>
      <c r="O887" t="n">
        <v>0</v>
      </c>
      <c r="P887" t="n">
        <v>0</v>
      </c>
      <c r="Q887" t="n">
        <v>0</v>
      </c>
      <c r="R887" s="2" t="inlineStr"/>
    </row>
    <row r="888" ht="15" customHeight="1">
      <c r="A888" t="inlineStr">
        <is>
          <t>A 26244-2025</t>
        </is>
      </c>
      <c r="B888" s="1" t="n">
        <v>45805.57364583333</v>
      </c>
      <c r="C888" s="1" t="n">
        <v>45880</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57275-2023</t>
        </is>
      </c>
      <c r="B889" s="1" t="n">
        <v>45245.58886574074</v>
      </c>
      <c r="C889" s="1" t="n">
        <v>45880</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38358-2024</t>
        </is>
      </c>
      <c r="B890" s="1" t="n">
        <v>45545.79068287037</v>
      </c>
      <c r="C890" s="1" t="n">
        <v>45880</v>
      </c>
      <c r="D890" t="inlineStr">
        <is>
          <t>SKÅNE LÄN</t>
        </is>
      </c>
      <c r="E890" t="inlineStr">
        <is>
          <t>HÄSSLEHOLM</t>
        </is>
      </c>
      <c r="G890" t="n">
        <v>9</v>
      </c>
      <c r="H890" t="n">
        <v>0</v>
      </c>
      <c r="I890" t="n">
        <v>0</v>
      </c>
      <c r="J890" t="n">
        <v>0</v>
      </c>
      <c r="K890" t="n">
        <v>0</v>
      </c>
      <c r="L890" t="n">
        <v>0</v>
      </c>
      <c r="M890" t="n">
        <v>0</v>
      </c>
      <c r="N890" t="n">
        <v>0</v>
      </c>
      <c r="O890" t="n">
        <v>0</v>
      </c>
      <c r="P890" t="n">
        <v>0</v>
      </c>
      <c r="Q890" t="n">
        <v>0</v>
      </c>
      <c r="R890" s="2" t="inlineStr"/>
    </row>
    <row r="891" ht="15" customHeight="1">
      <c r="A891" t="inlineStr">
        <is>
          <t>A 27304-2023</t>
        </is>
      </c>
      <c r="B891" s="1" t="n">
        <v>45096.65199074074</v>
      </c>
      <c r="C891" s="1" t="n">
        <v>45880</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46641-2023</t>
        </is>
      </c>
      <c r="B892" s="1" t="n">
        <v>45198.44523148148</v>
      </c>
      <c r="C892" s="1" t="n">
        <v>45880</v>
      </c>
      <c r="D892" t="inlineStr">
        <is>
          <t>SKÅNE LÄN</t>
        </is>
      </c>
      <c r="E892" t="inlineStr">
        <is>
          <t>HÄSSLEHOLM</t>
        </is>
      </c>
      <c r="G892" t="n">
        <v>1.2</v>
      </c>
      <c r="H892" t="n">
        <v>0</v>
      </c>
      <c r="I892" t="n">
        <v>0</v>
      </c>
      <c r="J892" t="n">
        <v>0</v>
      </c>
      <c r="K892" t="n">
        <v>0</v>
      </c>
      <c r="L892" t="n">
        <v>0</v>
      </c>
      <c r="M892" t="n">
        <v>0</v>
      </c>
      <c r="N892" t="n">
        <v>0</v>
      </c>
      <c r="O892" t="n">
        <v>0</v>
      </c>
      <c r="P892" t="n">
        <v>0</v>
      </c>
      <c r="Q892" t="n">
        <v>0</v>
      </c>
      <c r="R892" s="2" t="inlineStr"/>
    </row>
    <row r="893" ht="15" customHeight="1">
      <c r="A893" t="inlineStr">
        <is>
          <t>A 46645-2023</t>
        </is>
      </c>
      <c r="B893" s="1" t="n">
        <v>45198.44686342592</v>
      </c>
      <c r="C893" s="1" t="n">
        <v>45880</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67974-2020</t>
        </is>
      </c>
      <c r="B894" s="1" t="n">
        <v>44182</v>
      </c>
      <c r="C894" s="1" t="n">
        <v>45880</v>
      </c>
      <c r="D894" t="inlineStr">
        <is>
          <t>SKÅNE LÄN</t>
        </is>
      </c>
      <c r="E894" t="inlineStr">
        <is>
          <t>HÄSSLEHOLM</t>
        </is>
      </c>
      <c r="G894" t="n">
        <v>9</v>
      </c>
      <c r="H894" t="n">
        <v>0</v>
      </c>
      <c r="I894" t="n">
        <v>0</v>
      </c>
      <c r="J894" t="n">
        <v>0</v>
      </c>
      <c r="K894" t="n">
        <v>0</v>
      </c>
      <c r="L894" t="n">
        <v>0</v>
      </c>
      <c r="M894" t="n">
        <v>0</v>
      </c>
      <c r="N894" t="n">
        <v>0</v>
      </c>
      <c r="O894" t="n">
        <v>0</v>
      </c>
      <c r="P894" t="n">
        <v>0</v>
      </c>
      <c r="Q894" t="n">
        <v>0</v>
      </c>
      <c r="R894" s="2" t="inlineStr"/>
    </row>
    <row r="895" ht="15" customHeight="1">
      <c r="A895" t="inlineStr">
        <is>
          <t>A 48191-2021</t>
        </is>
      </c>
      <c r="B895" s="1" t="n">
        <v>44449</v>
      </c>
      <c r="C895" s="1" t="n">
        <v>45880</v>
      </c>
      <c r="D895" t="inlineStr">
        <is>
          <t>SKÅNE LÄN</t>
        </is>
      </c>
      <c r="E895" t="inlineStr">
        <is>
          <t>HÄSSLEHOLM</t>
        </is>
      </c>
      <c r="G895" t="n">
        <v>6</v>
      </c>
      <c r="H895" t="n">
        <v>0</v>
      </c>
      <c r="I895" t="n">
        <v>0</v>
      </c>
      <c r="J895" t="n">
        <v>0</v>
      </c>
      <c r="K895" t="n">
        <v>0</v>
      </c>
      <c r="L895" t="n">
        <v>0</v>
      </c>
      <c r="M895" t="n">
        <v>0</v>
      </c>
      <c r="N895" t="n">
        <v>0</v>
      </c>
      <c r="O895" t="n">
        <v>0</v>
      </c>
      <c r="P895" t="n">
        <v>0</v>
      </c>
      <c r="Q895" t="n">
        <v>0</v>
      </c>
      <c r="R895" s="2" t="inlineStr"/>
    </row>
    <row r="896" ht="15" customHeight="1">
      <c r="A896" t="inlineStr">
        <is>
          <t>A 6845-2023</t>
        </is>
      </c>
      <c r="B896" s="1" t="n">
        <v>44967</v>
      </c>
      <c r="C896" s="1" t="n">
        <v>45880</v>
      </c>
      <c r="D896" t="inlineStr">
        <is>
          <t>SKÅNE LÄN</t>
        </is>
      </c>
      <c r="E896" t="inlineStr">
        <is>
          <t>HÄSSLEHOLM</t>
        </is>
      </c>
      <c r="G896" t="n">
        <v>1.4</v>
      </c>
      <c r="H896" t="n">
        <v>0</v>
      </c>
      <c r="I896" t="n">
        <v>0</v>
      </c>
      <c r="J896" t="n">
        <v>0</v>
      </c>
      <c r="K896" t="n">
        <v>0</v>
      </c>
      <c r="L896" t="n">
        <v>0</v>
      </c>
      <c r="M896" t="n">
        <v>0</v>
      </c>
      <c r="N896" t="n">
        <v>0</v>
      </c>
      <c r="O896" t="n">
        <v>0</v>
      </c>
      <c r="P896" t="n">
        <v>0</v>
      </c>
      <c r="Q896" t="n">
        <v>0</v>
      </c>
      <c r="R896" s="2" t="inlineStr"/>
    </row>
    <row r="897" ht="15" customHeight="1">
      <c r="A897" t="inlineStr">
        <is>
          <t>A 59556-2023</t>
        </is>
      </c>
      <c r="B897" s="1" t="n">
        <v>45254.56313657408</v>
      </c>
      <c r="C897" s="1" t="n">
        <v>45880</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32834-2024</t>
        </is>
      </c>
      <c r="B898" s="1" t="n">
        <v>45516.6025</v>
      </c>
      <c r="C898" s="1" t="n">
        <v>45880</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9543-2025</t>
        </is>
      </c>
      <c r="B899" s="1" t="n">
        <v>45715</v>
      </c>
      <c r="C899" s="1" t="n">
        <v>45880</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49199-2024</t>
        </is>
      </c>
      <c r="B900" s="1" t="n">
        <v>45595</v>
      </c>
      <c r="C900" s="1" t="n">
        <v>45880</v>
      </c>
      <c r="D900" t="inlineStr">
        <is>
          <t>SKÅNE LÄN</t>
        </is>
      </c>
      <c r="E900" t="inlineStr">
        <is>
          <t>HÄSSLEHOLM</t>
        </is>
      </c>
      <c r="G900" t="n">
        <v>5.2</v>
      </c>
      <c r="H900" t="n">
        <v>0</v>
      </c>
      <c r="I900" t="n">
        <v>0</v>
      </c>
      <c r="J900" t="n">
        <v>0</v>
      </c>
      <c r="K900" t="n">
        <v>0</v>
      </c>
      <c r="L900" t="n">
        <v>0</v>
      </c>
      <c r="M900" t="n">
        <v>0</v>
      </c>
      <c r="N900" t="n">
        <v>0</v>
      </c>
      <c r="O900" t="n">
        <v>0</v>
      </c>
      <c r="P900" t="n">
        <v>0</v>
      </c>
      <c r="Q900" t="n">
        <v>0</v>
      </c>
      <c r="R900" s="2" t="inlineStr"/>
    </row>
    <row r="901" ht="15" customHeight="1">
      <c r="A901" t="inlineStr">
        <is>
          <t>A 58886-2024</t>
        </is>
      </c>
      <c r="B901" s="1" t="n">
        <v>45636.45380787037</v>
      </c>
      <c r="C901" s="1" t="n">
        <v>45880</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13345-2025</t>
        </is>
      </c>
      <c r="B902" s="1" t="n">
        <v>45735.63017361111</v>
      </c>
      <c r="C902" s="1" t="n">
        <v>45880</v>
      </c>
      <c r="D902" t="inlineStr">
        <is>
          <t>SKÅNE LÄN</t>
        </is>
      </c>
      <c r="E902" t="inlineStr">
        <is>
          <t>HÄSSLEHOLM</t>
        </is>
      </c>
      <c r="G902" t="n">
        <v>1.3</v>
      </c>
      <c r="H902" t="n">
        <v>0</v>
      </c>
      <c r="I902" t="n">
        <v>0</v>
      </c>
      <c r="J902" t="n">
        <v>0</v>
      </c>
      <c r="K902" t="n">
        <v>0</v>
      </c>
      <c r="L902" t="n">
        <v>0</v>
      </c>
      <c r="M902" t="n">
        <v>0</v>
      </c>
      <c r="N902" t="n">
        <v>0</v>
      </c>
      <c r="O902" t="n">
        <v>0</v>
      </c>
      <c r="P902" t="n">
        <v>0</v>
      </c>
      <c r="Q902" t="n">
        <v>0</v>
      </c>
      <c r="R902" s="2" t="inlineStr"/>
    </row>
    <row r="903" ht="15" customHeight="1">
      <c r="A903" t="inlineStr">
        <is>
          <t>A 51571-2023</t>
        </is>
      </c>
      <c r="B903" s="1" t="n">
        <v>45222</v>
      </c>
      <c r="C903" s="1" t="n">
        <v>45880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4734-2025</t>
        </is>
      </c>
      <c r="B904" s="1" t="n">
        <v>45688.44030092593</v>
      </c>
      <c r="C904" s="1" t="n">
        <v>45880</v>
      </c>
      <c r="D904" t="inlineStr">
        <is>
          <t>SKÅNE LÄN</t>
        </is>
      </c>
      <c r="E904" t="inlineStr">
        <is>
          <t>HÄSSLEHOLM</t>
        </is>
      </c>
      <c r="G904" t="n">
        <v>19.6</v>
      </c>
      <c r="H904" t="n">
        <v>0</v>
      </c>
      <c r="I904" t="n">
        <v>0</v>
      </c>
      <c r="J904" t="n">
        <v>0</v>
      </c>
      <c r="K904" t="n">
        <v>0</v>
      </c>
      <c r="L904" t="n">
        <v>0</v>
      </c>
      <c r="M904" t="n">
        <v>0</v>
      </c>
      <c r="N904" t="n">
        <v>0</v>
      </c>
      <c r="O904" t="n">
        <v>0</v>
      </c>
      <c r="P904" t="n">
        <v>0</v>
      </c>
      <c r="Q904" t="n">
        <v>0</v>
      </c>
      <c r="R904" s="2" t="inlineStr"/>
    </row>
    <row r="905" ht="15" customHeight="1">
      <c r="A905" t="inlineStr">
        <is>
          <t>A 49824-2024</t>
        </is>
      </c>
      <c r="B905" s="1" t="n">
        <v>45597</v>
      </c>
      <c r="C905" s="1" t="n">
        <v>45880</v>
      </c>
      <c r="D905" t="inlineStr">
        <is>
          <t>SKÅNE LÄN</t>
        </is>
      </c>
      <c r="E905" t="inlineStr">
        <is>
          <t>HÄSSLEHOLM</t>
        </is>
      </c>
      <c r="G905" t="n">
        <v>1.3</v>
      </c>
      <c r="H905" t="n">
        <v>0</v>
      </c>
      <c r="I905" t="n">
        <v>0</v>
      </c>
      <c r="J905" t="n">
        <v>0</v>
      </c>
      <c r="K905" t="n">
        <v>0</v>
      </c>
      <c r="L905" t="n">
        <v>0</v>
      </c>
      <c r="M905" t="n">
        <v>0</v>
      </c>
      <c r="N905" t="n">
        <v>0</v>
      </c>
      <c r="O905" t="n">
        <v>0</v>
      </c>
      <c r="P905" t="n">
        <v>0</v>
      </c>
      <c r="Q905" t="n">
        <v>0</v>
      </c>
      <c r="R905" s="2" t="inlineStr"/>
    </row>
    <row r="906" ht="15" customHeight="1">
      <c r="A906" t="inlineStr">
        <is>
          <t>A 34869-2025</t>
        </is>
      </c>
      <c r="B906" s="1" t="n">
        <v>45849</v>
      </c>
      <c r="C906" s="1" t="n">
        <v>45880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12469-2023</t>
        </is>
      </c>
      <c r="B907" s="1" t="n">
        <v>44999.62109953703</v>
      </c>
      <c r="C907" s="1" t="n">
        <v>45880</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19022-2024</t>
        </is>
      </c>
      <c r="B908" s="1" t="n">
        <v>45427.663125</v>
      </c>
      <c r="C908" s="1" t="n">
        <v>45880</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48663-2024</t>
        </is>
      </c>
      <c r="B909" s="1" t="n">
        <v>45593.48892361111</v>
      </c>
      <c r="C909" s="1" t="n">
        <v>45880</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27291-2023</t>
        </is>
      </c>
      <c r="B910" s="1" t="n">
        <v>45096</v>
      </c>
      <c r="C910" s="1" t="n">
        <v>45880</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50659-2023</t>
        </is>
      </c>
      <c r="B911" s="1" t="n">
        <v>45217</v>
      </c>
      <c r="C911" s="1" t="n">
        <v>45880</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58268-2024</t>
        </is>
      </c>
      <c r="B912" s="1" t="n">
        <v>45632.56893518518</v>
      </c>
      <c r="C912" s="1" t="n">
        <v>45880</v>
      </c>
      <c r="D912" t="inlineStr">
        <is>
          <t>SKÅNE LÄN</t>
        </is>
      </c>
      <c r="E912" t="inlineStr">
        <is>
          <t>HÄSSLEHOLM</t>
        </is>
      </c>
      <c r="G912" t="n">
        <v>2.6</v>
      </c>
      <c r="H912" t="n">
        <v>0</v>
      </c>
      <c r="I912" t="n">
        <v>0</v>
      </c>
      <c r="J912" t="n">
        <v>0</v>
      </c>
      <c r="K912" t="n">
        <v>0</v>
      </c>
      <c r="L912" t="n">
        <v>0</v>
      </c>
      <c r="M912" t="n">
        <v>0</v>
      </c>
      <c r="N912" t="n">
        <v>0</v>
      </c>
      <c r="O912" t="n">
        <v>0</v>
      </c>
      <c r="P912" t="n">
        <v>0</v>
      </c>
      <c r="Q912" t="n">
        <v>0</v>
      </c>
      <c r="R912" s="2" t="inlineStr"/>
    </row>
    <row r="913" ht="15" customHeight="1">
      <c r="A913" t="inlineStr">
        <is>
          <t>A 27464-2022</t>
        </is>
      </c>
      <c r="B913" s="1" t="n">
        <v>44742.58704861111</v>
      </c>
      <c r="C913" s="1" t="n">
        <v>45880</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50525-2024</t>
        </is>
      </c>
      <c r="B914" s="1" t="n">
        <v>45601</v>
      </c>
      <c r="C914" s="1" t="n">
        <v>45880</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48798-2023</t>
        </is>
      </c>
      <c r="B915" s="1" t="n">
        <v>45209.25318287037</v>
      </c>
      <c r="C915" s="1" t="n">
        <v>45880</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27242-2022</t>
        </is>
      </c>
      <c r="B916" s="1" t="n">
        <v>44741</v>
      </c>
      <c r="C916" s="1" t="n">
        <v>45880</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27197-2021</t>
        </is>
      </c>
      <c r="B917" s="1" t="n">
        <v>44350</v>
      </c>
      <c r="C917" s="1" t="n">
        <v>45880</v>
      </c>
      <c r="D917" t="inlineStr">
        <is>
          <t>SKÅNE LÄN</t>
        </is>
      </c>
      <c r="E917" t="inlineStr">
        <is>
          <t>HÄSSLEHOLM</t>
        </is>
      </c>
      <c r="G917" t="n">
        <v>1.8</v>
      </c>
      <c r="H917" t="n">
        <v>0</v>
      </c>
      <c r="I917" t="n">
        <v>0</v>
      </c>
      <c r="J917" t="n">
        <v>0</v>
      </c>
      <c r="K917" t="n">
        <v>0</v>
      </c>
      <c r="L917" t="n">
        <v>0</v>
      </c>
      <c r="M917" t="n">
        <v>0</v>
      </c>
      <c r="N917" t="n">
        <v>0</v>
      </c>
      <c r="O917" t="n">
        <v>0</v>
      </c>
      <c r="P917" t="n">
        <v>0</v>
      </c>
      <c r="Q917" t="n">
        <v>0</v>
      </c>
      <c r="R917" s="2" t="inlineStr"/>
    </row>
    <row r="918" ht="15" customHeight="1">
      <c r="A918" t="inlineStr">
        <is>
          <t>A 48627-2023</t>
        </is>
      </c>
      <c r="B918" s="1" t="n">
        <v>45208.57371527778</v>
      </c>
      <c r="C918" s="1" t="n">
        <v>45880</v>
      </c>
      <c r="D918" t="inlineStr">
        <is>
          <t>SKÅNE LÄN</t>
        </is>
      </c>
      <c r="E918" t="inlineStr">
        <is>
          <t>HÄSSLEHOLM</t>
        </is>
      </c>
      <c r="G918" t="n">
        <v>1.9</v>
      </c>
      <c r="H918" t="n">
        <v>0</v>
      </c>
      <c r="I918" t="n">
        <v>0</v>
      </c>
      <c r="J918" t="n">
        <v>0</v>
      </c>
      <c r="K918" t="n">
        <v>0</v>
      </c>
      <c r="L918" t="n">
        <v>0</v>
      </c>
      <c r="M918" t="n">
        <v>0</v>
      </c>
      <c r="N918" t="n">
        <v>0</v>
      </c>
      <c r="O918" t="n">
        <v>0</v>
      </c>
      <c r="P918" t="n">
        <v>0</v>
      </c>
      <c r="Q918" t="n">
        <v>0</v>
      </c>
      <c r="R918" s="2" t="inlineStr"/>
    </row>
    <row r="919" ht="15" customHeight="1">
      <c r="A919" t="inlineStr">
        <is>
          <t>A 27349-2025</t>
        </is>
      </c>
      <c r="B919" s="1" t="n">
        <v>45812</v>
      </c>
      <c r="C919" s="1" t="n">
        <v>45880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16368-2025</t>
        </is>
      </c>
      <c r="B920" s="1" t="n">
        <v>45751</v>
      </c>
      <c r="C920" s="1" t="n">
        <v>45880</v>
      </c>
      <c r="D920" t="inlineStr">
        <is>
          <t>SKÅNE LÄN</t>
        </is>
      </c>
      <c r="E920" t="inlineStr">
        <is>
          <t>HÄSSLEHOLM</t>
        </is>
      </c>
      <c r="G920" t="n">
        <v>5</v>
      </c>
      <c r="H920" t="n">
        <v>0</v>
      </c>
      <c r="I920" t="n">
        <v>0</v>
      </c>
      <c r="J920" t="n">
        <v>0</v>
      </c>
      <c r="K920" t="n">
        <v>0</v>
      </c>
      <c r="L920" t="n">
        <v>0</v>
      </c>
      <c r="M920" t="n">
        <v>0</v>
      </c>
      <c r="N920" t="n">
        <v>0</v>
      </c>
      <c r="O920" t="n">
        <v>0</v>
      </c>
      <c r="P920" t="n">
        <v>0</v>
      </c>
      <c r="Q920" t="n">
        <v>0</v>
      </c>
      <c r="R920" s="2" t="inlineStr"/>
    </row>
    <row r="921" ht="15" customHeight="1">
      <c r="A921" t="inlineStr">
        <is>
          <t>A 25726-2025</t>
        </is>
      </c>
      <c r="B921" s="1" t="n">
        <v>45803</v>
      </c>
      <c r="C921" s="1" t="n">
        <v>45880</v>
      </c>
      <c r="D921" t="inlineStr">
        <is>
          <t>SKÅNE LÄN</t>
        </is>
      </c>
      <c r="E921" t="inlineStr">
        <is>
          <t>HÄSSLEHOLM</t>
        </is>
      </c>
      <c r="G921" t="n">
        <v>5.5</v>
      </c>
      <c r="H921" t="n">
        <v>0</v>
      </c>
      <c r="I921" t="n">
        <v>0</v>
      </c>
      <c r="J921" t="n">
        <v>0</v>
      </c>
      <c r="K921" t="n">
        <v>0</v>
      </c>
      <c r="L921" t="n">
        <v>0</v>
      </c>
      <c r="M921" t="n">
        <v>0</v>
      </c>
      <c r="N921" t="n">
        <v>0</v>
      </c>
      <c r="O921" t="n">
        <v>0</v>
      </c>
      <c r="P921" t="n">
        <v>0</v>
      </c>
      <c r="Q921" t="n">
        <v>0</v>
      </c>
      <c r="R921" s="2" t="inlineStr"/>
    </row>
    <row r="922" ht="15" customHeight="1">
      <c r="A922" t="inlineStr">
        <is>
          <t>A 17152-2025</t>
        </is>
      </c>
      <c r="B922" s="1" t="n">
        <v>45756.33318287037</v>
      </c>
      <c r="C922" s="1" t="n">
        <v>45880</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48326-2023</t>
        </is>
      </c>
      <c r="B923" s="1" t="n">
        <v>45205</v>
      </c>
      <c r="C923" s="1" t="n">
        <v>45880</v>
      </c>
      <c r="D923" t="inlineStr">
        <is>
          <t>SKÅNE LÄN</t>
        </is>
      </c>
      <c r="E923" t="inlineStr">
        <is>
          <t>HÄSSLEHOLM</t>
        </is>
      </c>
      <c r="G923" t="n">
        <v>12.7</v>
      </c>
      <c r="H923" t="n">
        <v>0</v>
      </c>
      <c r="I923" t="n">
        <v>0</v>
      </c>
      <c r="J923" t="n">
        <v>0</v>
      </c>
      <c r="K923" t="n">
        <v>0</v>
      </c>
      <c r="L923" t="n">
        <v>0</v>
      </c>
      <c r="M923" t="n">
        <v>0</v>
      </c>
      <c r="N923" t="n">
        <v>0</v>
      </c>
      <c r="O923" t="n">
        <v>0</v>
      </c>
      <c r="P923" t="n">
        <v>0</v>
      </c>
      <c r="Q923" t="n">
        <v>0</v>
      </c>
      <c r="R923" s="2" t="inlineStr"/>
    </row>
    <row r="924" ht="15" customHeight="1">
      <c r="A924" t="inlineStr">
        <is>
          <t>A 10752-2025</t>
        </is>
      </c>
      <c r="B924" s="1" t="n">
        <v>45722</v>
      </c>
      <c r="C924" s="1" t="n">
        <v>45880</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54462-2022</t>
        </is>
      </c>
      <c r="B925" s="1" t="n">
        <v>44882</v>
      </c>
      <c r="C925" s="1" t="n">
        <v>45880</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3890-2024</t>
        </is>
      </c>
      <c r="B926" s="1" t="n">
        <v>45322.45366898148</v>
      </c>
      <c r="C926" s="1" t="n">
        <v>45880</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35259-2025</t>
        </is>
      </c>
      <c r="B927" s="1" t="n">
        <v>45853.76912037037</v>
      </c>
      <c r="C927" s="1" t="n">
        <v>45880</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9239-2025</t>
        </is>
      </c>
      <c r="B928" s="1" t="n">
        <v>45714</v>
      </c>
      <c r="C928" s="1" t="n">
        <v>45880</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54471-2023</t>
        </is>
      </c>
      <c r="B929" s="1" t="n">
        <v>45233.4640162037</v>
      </c>
      <c r="C929" s="1" t="n">
        <v>45880</v>
      </c>
      <c r="D929" t="inlineStr">
        <is>
          <t>SKÅNE LÄN</t>
        </is>
      </c>
      <c r="E929" t="inlineStr">
        <is>
          <t>HÄSSLEHOLM</t>
        </is>
      </c>
      <c r="G929" t="n">
        <v>1.4</v>
      </c>
      <c r="H929" t="n">
        <v>0</v>
      </c>
      <c r="I929" t="n">
        <v>0</v>
      </c>
      <c r="J929" t="n">
        <v>0</v>
      </c>
      <c r="K929" t="n">
        <v>0</v>
      </c>
      <c r="L929" t="n">
        <v>0</v>
      </c>
      <c r="M929" t="n">
        <v>0</v>
      </c>
      <c r="N929" t="n">
        <v>0</v>
      </c>
      <c r="O929" t="n">
        <v>0</v>
      </c>
      <c r="P929" t="n">
        <v>0</v>
      </c>
      <c r="Q929" t="n">
        <v>0</v>
      </c>
      <c r="R929" s="2" t="inlineStr"/>
    </row>
    <row r="930" ht="15" customHeight="1">
      <c r="A930" t="inlineStr">
        <is>
          <t>A 27393-2025</t>
        </is>
      </c>
      <c r="B930" s="1" t="n">
        <v>45812.68295138889</v>
      </c>
      <c r="C930" s="1" t="n">
        <v>45880</v>
      </c>
      <c r="D930" t="inlineStr">
        <is>
          <t>SKÅNE LÄN</t>
        </is>
      </c>
      <c r="E930" t="inlineStr">
        <is>
          <t>HÄSSLEHOLM</t>
        </is>
      </c>
      <c r="G930" t="n">
        <v>1</v>
      </c>
      <c r="H930" t="n">
        <v>0</v>
      </c>
      <c r="I930" t="n">
        <v>0</v>
      </c>
      <c r="J930" t="n">
        <v>0</v>
      </c>
      <c r="K930" t="n">
        <v>0</v>
      </c>
      <c r="L930" t="n">
        <v>0</v>
      </c>
      <c r="M930" t="n">
        <v>0</v>
      </c>
      <c r="N930" t="n">
        <v>0</v>
      </c>
      <c r="O930" t="n">
        <v>0</v>
      </c>
      <c r="P930" t="n">
        <v>0</v>
      </c>
      <c r="Q930" t="n">
        <v>0</v>
      </c>
      <c r="R930" s="2" t="inlineStr"/>
    </row>
    <row r="931" ht="15" customHeight="1">
      <c r="A931" t="inlineStr">
        <is>
          <t>A 33465-2024</t>
        </is>
      </c>
      <c r="B931" s="1" t="n">
        <v>45519.59619212963</v>
      </c>
      <c r="C931" s="1" t="n">
        <v>45880</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57963-2023</t>
        </is>
      </c>
      <c r="B932" s="1" t="n">
        <v>45247.57732638889</v>
      </c>
      <c r="C932" s="1" t="n">
        <v>45880</v>
      </c>
      <c r="D932" t="inlineStr">
        <is>
          <t>SKÅNE LÄN</t>
        </is>
      </c>
      <c r="E932" t="inlineStr">
        <is>
          <t>HÄSSLEHOLM</t>
        </is>
      </c>
      <c r="G932" t="n">
        <v>4.6</v>
      </c>
      <c r="H932" t="n">
        <v>0</v>
      </c>
      <c r="I932" t="n">
        <v>0</v>
      </c>
      <c r="J932" t="n">
        <v>0</v>
      </c>
      <c r="K932" t="n">
        <v>0</v>
      </c>
      <c r="L932" t="n">
        <v>0</v>
      </c>
      <c r="M932" t="n">
        <v>0</v>
      </c>
      <c r="N932" t="n">
        <v>0</v>
      </c>
      <c r="O932" t="n">
        <v>0</v>
      </c>
      <c r="P932" t="n">
        <v>0</v>
      </c>
      <c r="Q932" t="n">
        <v>0</v>
      </c>
      <c r="R932" s="2" t="inlineStr"/>
    </row>
    <row r="933" ht="15" customHeight="1">
      <c r="A933" t="inlineStr">
        <is>
          <t>A 59028-2023</t>
        </is>
      </c>
      <c r="B933" s="1" t="n">
        <v>45252.67900462963</v>
      </c>
      <c r="C933" s="1" t="n">
        <v>45880</v>
      </c>
      <c r="D933" t="inlineStr">
        <is>
          <t>SKÅNE LÄN</t>
        </is>
      </c>
      <c r="E933" t="inlineStr">
        <is>
          <t>HÄSSLEHOLM</t>
        </is>
      </c>
      <c r="G933" t="n">
        <v>2.5</v>
      </c>
      <c r="H933" t="n">
        <v>0</v>
      </c>
      <c r="I933" t="n">
        <v>0</v>
      </c>
      <c r="J933" t="n">
        <v>0</v>
      </c>
      <c r="K933" t="n">
        <v>0</v>
      </c>
      <c r="L933" t="n">
        <v>0</v>
      </c>
      <c r="M933" t="n">
        <v>0</v>
      </c>
      <c r="N933" t="n">
        <v>0</v>
      </c>
      <c r="O933" t="n">
        <v>0</v>
      </c>
      <c r="P933" t="n">
        <v>0</v>
      </c>
      <c r="Q933" t="n">
        <v>0</v>
      </c>
      <c r="R933" s="2" t="inlineStr"/>
    </row>
    <row r="934" ht="15" customHeight="1">
      <c r="A934" t="inlineStr">
        <is>
          <t>A 13544-2025</t>
        </is>
      </c>
      <c r="B934" s="1" t="n">
        <v>45736</v>
      </c>
      <c r="C934" s="1" t="n">
        <v>45880</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31986-2023</t>
        </is>
      </c>
      <c r="B935" s="1" t="n">
        <v>45119</v>
      </c>
      <c r="C935" s="1" t="n">
        <v>45880</v>
      </c>
      <c r="D935" t="inlineStr">
        <is>
          <t>SKÅNE LÄN</t>
        </is>
      </c>
      <c r="E935" t="inlineStr">
        <is>
          <t>HÄSSLEHOLM</t>
        </is>
      </c>
      <c r="G935" t="n">
        <v>1.7</v>
      </c>
      <c r="H935" t="n">
        <v>0</v>
      </c>
      <c r="I935" t="n">
        <v>0</v>
      </c>
      <c r="J935" t="n">
        <v>0</v>
      </c>
      <c r="K935" t="n">
        <v>0</v>
      </c>
      <c r="L935" t="n">
        <v>0</v>
      </c>
      <c r="M935" t="n">
        <v>0</v>
      </c>
      <c r="N935" t="n">
        <v>0</v>
      </c>
      <c r="O935" t="n">
        <v>0</v>
      </c>
      <c r="P935" t="n">
        <v>0</v>
      </c>
      <c r="Q935" t="n">
        <v>0</v>
      </c>
      <c r="R935" s="2" t="inlineStr"/>
    </row>
    <row r="936" ht="15" customHeight="1">
      <c r="A936" t="inlineStr">
        <is>
          <t>A 2712-2024</t>
        </is>
      </c>
      <c r="B936" s="1" t="n">
        <v>45314</v>
      </c>
      <c r="C936" s="1" t="n">
        <v>45880</v>
      </c>
      <c r="D936" t="inlineStr">
        <is>
          <t>SKÅNE LÄN</t>
        </is>
      </c>
      <c r="E936" t="inlineStr">
        <is>
          <t>HÄSSLEHOLM</t>
        </is>
      </c>
      <c r="G936" t="n">
        <v>11.3</v>
      </c>
      <c r="H936" t="n">
        <v>0</v>
      </c>
      <c r="I936" t="n">
        <v>0</v>
      </c>
      <c r="J936" t="n">
        <v>0</v>
      </c>
      <c r="K936" t="n">
        <v>0</v>
      </c>
      <c r="L936" t="n">
        <v>0</v>
      </c>
      <c r="M936" t="n">
        <v>0</v>
      </c>
      <c r="N936" t="n">
        <v>0</v>
      </c>
      <c r="O936" t="n">
        <v>0</v>
      </c>
      <c r="P936" t="n">
        <v>0</v>
      </c>
      <c r="Q936" t="n">
        <v>0</v>
      </c>
      <c r="R936" s="2" t="inlineStr"/>
    </row>
    <row r="937" ht="15" customHeight="1">
      <c r="A937" t="inlineStr">
        <is>
          <t>A 41209-2023</t>
        </is>
      </c>
      <c r="B937" s="1" t="n">
        <v>45174.43481481481</v>
      </c>
      <c r="C937" s="1" t="n">
        <v>45880</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61197-2024</t>
        </is>
      </c>
      <c r="B938" s="1" t="n">
        <v>45645.63184027778</v>
      </c>
      <c r="C938" s="1" t="n">
        <v>45880</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260-2024</t>
        </is>
      </c>
      <c r="B939" s="1" t="n">
        <v>45294</v>
      </c>
      <c r="C939" s="1" t="n">
        <v>45880</v>
      </c>
      <c r="D939" t="inlineStr">
        <is>
          <t>SKÅNE LÄN</t>
        </is>
      </c>
      <c r="E939" t="inlineStr">
        <is>
          <t>HÄSSLEHOLM</t>
        </is>
      </c>
      <c r="G939" t="n">
        <v>1</v>
      </c>
      <c r="H939" t="n">
        <v>0</v>
      </c>
      <c r="I939" t="n">
        <v>0</v>
      </c>
      <c r="J939" t="n">
        <v>0</v>
      </c>
      <c r="K939" t="n">
        <v>0</v>
      </c>
      <c r="L939" t="n">
        <v>0</v>
      </c>
      <c r="M939" t="n">
        <v>0</v>
      </c>
      <c r="N939" t="n">
        <v>0</v>
      </c>
      <c r="O939" t="n">
        <v>0</v>
      </c>
      <c r="P939" t="n">
        <v>0</v>
      </c>
      <c r="Q939" t="n">
        <v>0</v>
      </c>
      <c r="R939" s="2" t="inlineStr"/>
    </row>
    <row r="940" ht="15" customHeight="1">
      <c r="A940" t="inlineStr">
        <is>
          <t>A 8263-2025</t>
        </is>
      </c>
      <c r="B940" s="1" t="n">
        <v>45708.50398148148</v>
      </c>
      <c r="C940" s="1" t="n">
        <v>45880</v>
      </c>
      <c r="D940" t="inlineStr">
        <is>
          <t>SKÅNE LÄN</t>
        </is>
      </c>
      <c r="E940" t="inlineStr">
        <is>
          <t>HÄSSLEHOLM</t>
        </is>
      </c>
      <c r="G940" t="n">
        <v>2.9</v>
      </c>
      <c r="H940" t="n">
        <v>0</v>
      </c>
      <c r="I940" t="n">
        <v>0</v>
      </c>
      <c r="J940" t="n">
        <v>0</v>
      </c>
      <c r="K940" t="n">
        <v>0</v>
      </c>
      <c r="L940" t="n">
        <v>0</v>
      </c>
      <c r="M940" t="n">
        <v>0</v>
      </c>
      <c r="N940" t="n">
        <v>0</v>
      </c>
      <c r="O940" t="n">
        <v>0</v>
      </c>
      <c r="P940" t="n">
        <v>0</v>
      </c>
      <c r="Q940" t="n">
        <v>0</v>
      </c>
      <c r="R940" s="2" t="inlineStr"/>
    </row>
    <row r="941" ht="15" customHeight="1">
      <c r="A941" t="inlineStr">
        <is>
          <t>A 13549-2025</t>
        </is>
      </c>
      <c r="B941" s="1" t="n">
        <v>45736</v>
      </c>
      <c r="C941" s="1" t="n">
        <v>45880</v>
      </c>
      <c r="D941" t="inlineStr">
        <is>
          <t>SKÅNE LÄN</t>
        </is>
      </c>
      <c r="E941" t="inlineStr">
        <is>
          <t>HÄSSLEHOLM</t>
        </is>
      </c>
      <c r="G941" t="n">
        <v>0.9</v>
      </c>
      <c r="H941" t="n">
        <v>0</v>
      </c>
      <c r="I941" t="n">
        <v>0</v>
      </c>
      <c r="J941" t="n">
        <v>0</v>
      </c>
      <c r="K941" t="n">
        <v>0</v>
      </c>
      <c r="L941" t="n">
        <v>0</v>
      </c>
      <c r="M941" t="n">
        <v>0</v>
      </c>
      <c r="N941" t="n">
        <v>0</v>
      </c>
      <c r="O941" t="n">
        <v>0</v>
      </c>
      <c r="P941" t="n">
        <v>0</v>
      </c>
      <c r="Q941" t="n">
        <v>0</v>
      </c>
      <c r="R941" s="2" t="inlineStr"/>
    </row>
    <row r="942" ht="15" customHeight="1">
      <c r="A942" t="inlineStr">
        <is>
          <t>A 30006-2023</t>
        </is>
      </c>
      <c r="B942" s="1" t="n">
        <v>45109.79962962963</v>
      </c>
      <c r="C942" s="1" t="n">
        <v>45880</v>
      </c>
      <c r="D942" t="inlineStr">
        <is>
          <t>SKÅNE LÄN</t>
        </is>
      </c>
      <c r="E942" t="inlineStr">
        <is>
          <t>HÄSSLEHOLM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35833-2023</t>
        </is>
      </c>
      <c r="B943" s="1" t="n">
        <v>45148</v>
      </c>
      <c r="C943" s="1" t="n">
        <v>45880</v>
      </c>
      <c r="D943" t="inlineStr">
        <is>
          <t>SKÅNE LÄN</t>
        </is>
      </c>
      <c r="E943" t="inlineStr">
        <is>
          <t>HÄSSLEHOLM</t>
        </is>
      </c>
      <c r="F943" t="inlineStr">
        <is>
          <t>Kommuner</t>
        </is>
      </c>
      <c r="G943" t="n">
        <v>2</v>
      </c>
      <c r="H943" t="n">
        <v>0</v>
      </c>
      <c r="I943" t="n">
        <v>0</v>
      </c>
      <c r="J943" t="n">
        <v>0</v>
      </c>
      <c r="K943" t="n">
        <v>0</v>
      </c>
      <c r="L943" t="n">
        <v>0</v>
      </c>
      <c r="M943" t="n">
        <v>0</v>
      </c>
      <c r="N943" t="n">
        <v>0</v>
      </c>
      <c r="O943" t="n">
        <v>0</v>
      </c>
      <c r="P943" t="n">
        <v>0</v>
      </c>
      <c r="Q943" t="n">
        <v>0</v>
      </c>
      <c r="R943" s="2" t="inlineStr"/>
    </row>
    <row r="944" ht="15" customHeight="1">
      <c r="A944" t="inlineStr">
        <is>
          <t>A 42364-2023</t>
        </is>
      </c>
      <c r="B944" s="1" t="n">
        <v>45180.54754629629</v>
      </c>
      <c r="C944" s="1" t="n">
        <v>45880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61578-2023</t>
        </is>
      </c>
      <c r="B945" s="1" t="n">
        <v>45265.47399305556</v>
      </c>
      <c r="C945" s="1" t="n">
        <v>45880</v>
      </c>
      <c r="D945" t="inlineStr">
        <is>
          <t>SKÅNE LÄN</t>
        </is>
      </c>
      <c r="E945" t="inlineStr">
        <is>
          <t>HÄSSLEHOLM</t>
        </is>
      </c>
      <c r="G945" t="n">
        <v>1.2</v>
      </c>
      <c r="H945" t="n">
        <v>0</v>
      </c>
      <c r="I945" t="n">
        <v>0</v>
      </c>
      <c r="J945" t="n">
        <v>0</v>
      </c>
      <c r="K945" t="n">
        <v>0</v>
      </c>
      <c r="L945" t="n">
        <v>0</v>
      </c>
      <c r="M945" t="n">
        <v>0</v>
      </c>
      <c r="N945" t="n">
        <v>0</v>
      </c>
      <c r="O945" t="n">
        <v>0</v>
      </c>
      <c r="P945" t="n">
        <v>0</v>
      </c>
      <c r="Q945" t="n">
        <v>0</v>
      </c>
      <c r="R945" s="2" t="inlineStr"/>
    </row>
    <row r="946" ht="15" customHeight="1">
      <c r="A946" t="inlineStr">
        <is>
          <t>A 2597-2024</t>
        </is>
      </c>
      <c r="B946" s="1" t="n">
        <v>45313</v>
      </c>
      <c r="C946" s="1" t="n">
        <v>45880</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28240-2025</t>
        </is>
      </c>
      <c r="B947" s="1" t="n">
        <v>45817</v>
      </c>
      <c r="C947" s="1" t="n">
        <v>45880</v>
      </c>
      <c r="D947" t="inlineStr">
        <is>
          <t>SKÅNE LÄN</t>
        </is>
      </c>
      <c r="E947" t="inlineStr">
        <is>
          <t>HÄSSLEHOLM</t>
        </is>
      </c>
      <c r="G947" t="n">
        <v>7.7</v>
      </c>
      <c r="H947" t="n">
        <v>0</v>
      </c>
      <c r="I947" t="n">
        <v>0</v>
      </c>
      <c r="J947" t="n">
        <v>0</v>
      </c>
      <c r="K947" t="n">
        <v>0</v>
      </c>
      <c r="L947" t="n">
        <v>0</v>
      </c>
      <c r="M947" t="n">
        <v>0</v>
      </c>
      <c r="N947" t="n">
        <v>0</v>
      </c>
      <c r="O947" t="n">
        <v>0</v>
      </c>
      <c r="P947" t="n">
        <v>0</v>
      </c>
      <c r="Q947" t="n">
        <v>0</v>
      </c>
      <c r="R947" s="2" t="inlineStr"/>
    </row>
    <row r="948" ht="15" customHeight="1">
      <c r="A948" t="inlineStr">
        <is>
          <t>A 28095-2025</t>
        </is>
      </c>
      <c r="B948" s="1" t="n">
        <v>45817</v>
      </c>
      <c r="C948" s="1" t="n">
        <v>45880</v>
      </c>
      <c r="D948" t="inlineStr">
        <is>
          <t>SKÅNE LÄN</t>
        </is>
      </c>
      <c r="E948" t="inlineStr">
        <is>
          <t>HÄSSLEHOLM</t>
        </is>
      </c>
      <c r="G948" t="n">
        <v>2.5</v>
      </c>
      <c r="H948" t="n">
        <v>0</v>
      </c>
      <c r="I948" t="n">
        <v>0</v>
      </c>
      <c r="J948" t="n">
        <v>0</v>
      </c>
      <c r="K948" t="n">
        <v>0</v>
      </c>
      <c r="L948" t="n">
        <v>0</v>
      </c>
      <c r="M948" t="n">
        <v>0</v>
      </c>
      <c r="N948" t="n">
        <v>0</v>
      </c>
      <c r="O948" t="n">
        <v>0</v>
      </c>
      <c r="P948" t="n">
        <v>0</v>
      </c>
      <c r="Q948" t="n">
        <v>0</v>
      </c>
      <c r="R948" s="2" t="inlineStr"/>
    </row>
    <row r="949" ht="15" customHeight="1">
      <c r="A949" t="inlineStr">
        <is>
          <t>A 62277-2023</t>
        </is>
      </c>
      <c r="B949" s="1" t="n">
        <v>45266</v>
      </c>
      <c r="C949" s="1" t="n">
        <v>45880</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3888-2024</t>
        </is>
      </c>
      <c r="B950" s="1" t="n">
        <v>45322.45089120371</v>
      </c>
      <c r="C950" s="1" t="n">
        <v>45880</v>
      </c>
      <c r="D950" t="inlineStr">
        <is>
          <t>SKÅNE LÄN</t>
        </is>
      </c>
      <c r="E950" t="inlineStr">
        <is>
          <t>HÄSSLEHOLM</t>
        </is>
      </c>
      <c r="G950" t="n">
        <v>2.4</v>
      </c>
      <c r="H950" t="n">
        <v>0</v>
      </c>
      <c r="I950" t="n">
        <v>0</v>
      </c>
      <c r="J950" t="n">
        <v>0</v>
      </c>
      <c r="K950" t="n">
        <v>0</v>
      </c>
      <c r="L950" t="n">
        <v>0</v>
      </c>
      <c r="M950" t="n">
        <v>0</v>
      </c>
      <c r="N950" t="n">
        <v>0</v>
      </c>
      <c r="O950" t="n">
        <v>0</v>
      </c>
      <c r="P950" t="n">
        <v>0</v>
      </c>
      <c r="Q950" t="n">
        <v>0</v>
      </c>
      <c r="R950" s="2" t="inlineStr"/>
    </row>
    <row r="951" ht="15" customHeight="1">
      <c r="A951" t="inlineStr">
        <is>
          <t>A 3889-2024</t>
        </is>
      </c>
      <c r="B951" s="1" t="n">
        <v>45322.45234953704</v>
      </c>
      <c r="C951" s="1" t="n">
        <v>45880</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8249-2023</t>
        </is>
      </c>
      <c r="B952" s="1" t="n">
        <v>44974</v>
      </c>
      <c r="C952" s="1" t="n">
        <v>45880</v>
      </c>
      <c r="D952" t="inlineStr">
        <is>
          <t>SKÅNE LÄN</t>
        </is>
      </c>
      <c r="E952" t="inlineStr">
        <is>
          <t>HÄSSLEHOLM</t>
        </is>
      </c>
      <c r="G952" t="n">
        <v>5.8</v>
      </c>
      <c r="H952" t="n">
        <v>0</v>
      </c>
      <c r="I952" t="n">
        <v>0</v>
      </c>
      <c r="J952" t="n">
        <v>0</v>
      </c>
      <c r="K952" t="n">
        <v>0</v>
      </c>
      <c r="L952" t="n">
        <v>0</v>
      </c>
      <c r="M952" t="n">
        <v>0</v>
      </c>
      <c r="N952" t="n">
        <v>0</v>
      </c>
      <c r="O952" t="n">
        <v>0</v>
      </c>
      <c r="P952" t="n">
        <v>0</v>
      </c>
      <c r="Q952" t="n">
        <v>0</v>
      </c>
      <c r="R952" s="2" t="inlineStr"/>
    </row>
    <row r="953" ht="15" customHeight="1">
      <c r="A953" t="inlineStr">
        <is>
          <t>A 3480-2024</t>
        </is>
      </c>
      <c r="B953" s="1" t="n">
        <v>45320.43998842593</v>
      </c>
      <c r="C953" s="1" t="n">
        <v>45880</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27940-2025</t>
        </is>
      </c>
      <c r="B954" s="1" t="n">
        <v>45817.50439814815</v>
      </c>
      <c r="C954" s="1" t="n">
        <v>45880</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27887-2025</t>
        </is>
      </c>
      <c r="B955" s="1" t="n">
        <v>45817.45994212963</v>
      </c>
      <c r="C955" s="1" t="n">
        <v>45880</v>
      </c>
      <c r="D955" t="inlineStr">
        <is>
          <t>SKÅNE LÄN</t>
        </is>
      </c>
      <c r="E955" t="inlineStr">
        <is>
          <t>HÄSSLEHOLM</t>
        </is>
      </c>
      <c r="G955" t="n">
        <v>4.8</v>
      </c>
      <c r="H955" t="n">
        <v>0</v>
      </c>
      <c r="I955" t="n">
        <v>0</v>
      </c>
      <c r="J955" t="n">
        <v>0</v>
      </c>
      <c r="K955" t="n">
        <v>0</v>
      </c>
      <c r="L955" t="n">
        <v>0</v>
      </c>
      <c r="M955" t="n">
        <v>0</v>
      </c>
      <c r="N955" t="n">
        <v>0</v>
      </c>
      <c r="O955" t="n">
        <v>0</v>
      </c>
      <c r="P955" t="n">
        <v>0</v>
      </c>
      <c r="Q955" t="n">
        <v>0</v>
      </c>
      <c r="R955" s="2" t="inlineStr"/>
    </row>
    <row r="956" ht="15" customHeight="1">
      <c r="A956" t="inlineStr">
        <is>
          <t>A 49827-2022</t>
        </is>
      </c>
      <c r="B956" s="1" t="n">
        <v>44859</v>
      </c>
      <c r="C956" s="1" t="n">
        <v>45880</v>
      </c>
      <c r="D956" t="inlineStr">
        <is>
          <t>SKÅNE LÄN</t>
        </is>
      </c>
      <c r="E956" t="inlineStr">
        <is>
          <t>HÄSSLEHOLM</t>
        </is>
      </c>
      <c r="G956" t="n">
        <v>6.1</v>
      </c>
      <c r="H956" t="n">
        <v>0</v>
      </c>
      <c r="I956" t="n">
        <v>0</v>
      </c>
      <c r="J956" t="n">
        <v>0</v>
      </c>
      <c r="K956" t="n">
        <v>0</v>
      </c>
      <c r="L956" t="n">
        <v>0</v>
      </c>
      <c r="M956" t="n">
        <v>0</v>
      </c>
      <c r="N956" t="n">
        <v>0</v>
      </c>
      <c r="O956" t="n">
        <v>0</v>
      </c>
      <c r="P956" t="n">
        <v>0</v>
      </c>
      <c r="Q956" t="n">
        <v>0</v>
      </c>
      <c r="R956" s="2" t="inlineStr"/>
    </row>
    <row r="957" ht="15" customHeight="1">
      <c r="A957" t="inlineStr">
        <is>
          <t>A 28251-2025</t>
        </is>
      </c>
      <c r="B957" s="1" t="n">
        <v>45817</v>
      </c>
      <c r="C957" s="1" t="n">
        <v>45880</v>
      </c>
      <c r="D957" t="inlineStr">
        <is>
          <t>SKÅNE LÄN</t>
        </is>
      </c>
      <c r="E957" t="inlineStr">
        <is>
          <t>HÄSSLEHOLM</t>
        </is>
      </c>
      <c r="G957" t="n">
        <v>7.2</v>
      </c>
      <c r="H957" t="n">
        <v>0</v>
      </c>
      <c r="I957" t="n">
        <v>0</v>
      </c>
      <c r="J957" t="n">
        <v>0</v>
      </c>
      <c r="K957" t="n">
        <v>0</v>
      </c>
      <c r="L957" t="n">
        <v>0</v>
      </c>
      <c r="M957" t="n">
        <v>0</v>
      </c>
      <c r="N957" t="n">
        <v>0</v>
      </c>
      <c r="O957" t="n">
        <v>0</v>
      </c>
      <c r="P957" t="n">
        <v>0</v>
      </c>
      <c r="Q957" t="n">
        <v>0</v>
      </c>
      <c r="R957" s="2" t="inlineStr"/>
    </row>
    <row r="958" ht="15" customHeight="1">
      <c r="A958" t="inlineStr">
        <is>
          <t>A 27934-2025</t>
        </is>
      </c>
      <c r="B958" s="1" t="n">
        <v>45817.49761574074</v>
      </c>
      <c r="C958" s="1" t="n">
        <v>45880</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57491-2024</t>
        </is>
      </c>
      <c r="B959" s="1" t="n">
        <v>45629</v>
      </c>
      <c r="C959" s="1" t="n">
        <v>45880</v>
      </c>
      <c r="D959" t="inlineStr">
        <is>
          <t>SKÅNE LÄN</t>
        </is>
      </c>
      <c r="E959" t="inlineStr">
        <is>
          <t>HÄSSLEHOLM</t>
        </is>
      </c>
      <c r="G959" t="n">
        <v>3.2</v>
      </c>
      <c r="H959" t="n">
        <v>0</v>
      </c>
      <c r="I959" t="n">
        <v>0</v>
      </c>
      <c r="J959" t="n">
        <v>0</v>
      </c>
      <c r="K959" t="n">
        <v>0</v>
      </c>
      <c r="L959" t="n">
        <v>0</v>
      </c>
      <c r="M959" t="n">
        <v>0</v>
      </c>
      <c r="N959" t="n">
        <v>0</v>
      </c>
      <c r="O959" t="n">
        <v>0</v>
      </c>
      <c r="P959" t="n">
        <v>0</v>
      </c>
      <c r="Q959" t="n">
        <v>0</v>
      </c>
      <c r="R959" s="2" t="inlineStr"/>
    </row>
    <row r="960" ht="15" customHeight="1">
      <c r="A960" t="inlineStr">
        <is>
          <t>A 55218-2023</t>
        </is>
      </c>
      <c r="B960" s="1" t="n">
        <v>45237</v>
      </c>
      <c r="C960" s="1" t="n">
        <v>45880</v>
      </c>
      <c r="D960" t="inlineStr">
        <is>
          <t>SKÅNE LÄN</t>
        </is>
      </c>
      <c r="E960" t="inlineStr">
        <is>
          <t>HÄSSLEHOLM</t>
        </is>
      </c>
      <c r="G960" t="n">
        <v>2</v>
      </c>
      <c r="H960" t="n">
        <v>0</v>
      </c>
      <c r="I960" t="n">
        <v>0</v>
      </c>
      <c r="J960" t="n">
        <v>0</v>
      </c>
      <c r="K960" t="n">
        <v>0</v>
      </c>
      <c r="L960" t="n">
        <v>0</v>
      </c>
      <c r="M960" t="n">
        <v>0</v>
      </c>
      <c r="N960" t="n">
        <v>0</v>
      </c>
      <c r="O960" t="n">
        <v>0</v>
      </c>
      <c r="P960" t="n">
        <v>0</v>
      </c>
      <c r="Q960" t="n">
        <v>0</v>
      </c>
      <c r="R960" s="2" t="inlineStr"/>
    </row>
    <row r="961" ht="15" customHeight="1">
      <c r="A961" t="inlineStr">
        <is>
          <t>A 28122-2025</t>
        </is>
      </c>
      <c r="B961" s="1" t="n">
        <v>45817</v>
      </c>
      <c r="C961" s="1" t="n">
        <v>45880</v>
      </c>
      <c r="D961" t="inlineStr">
        <is>
          <t>SKÅNE LÄN</t>
        </is>
      </c>
      <c r="E961" t="inlineStr">
        <is>
          <t>HÄSSLEHOLM</t>
        </is>
      </c>
      <c r="G961" t="n">
        <v>2.4</v>
      </c>
      <c r="H961" t="n">
        <v>0</v>
      </c>
      <c r="I961" t="n">
        <v>0</v>
      </c>
      <c r="J961" t="n">
        <v>0</v>
      </c>
      <c r="K961" t="n">
        <v>0</v>
      </c>
      <c r="L961" t="n">
        <v>0</v>
      </c>
      <c r="M961" t="n">
        <v>0</v>
      </c>
      <c r="N961" t="n">
        <v>0</v>
      </c>
      <c r="O961" t="n">
        <v>0</v>
      </c>
      <c r="P961" t="n">
        <v>0</v>
      </c>
      <c r="Q961" t="n">
        <v>0</v>
      </c>
      <c r="R961" s="2" t="inlineStr"/>
    </row>
    <row r="962" ht="15" customHeight="1">
      <c r="A962" t="inlineStr">
        <is>
          <t>A 58250-2024</t>
        </is>
      </c>
      <c r="B962" s="1" t="n">
        <v>45632.55643518519</v>
      </c>
      <c r="C962" s="1" t="n">
        <v>45880</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32958-2023</t>
        </is>
      </c>
      <c r="B963" s="1" t="n">
        <v>45125.52142361111</v>
      </c>
      <c r="C963" s="1" t="n">
        <v>45880</v>
      </c>
      <c r="D963" t="inlineStr">
        <is>
          <t>SKÅNE LÄN</t>
        </is>
      </c>
      <c r="E963" t="inlineStr">
        <is>
          <t>HÄSSLEHOLM</t>
        </is>
      </c>
      <c r="G963" t="n">
        <v>7.9</v>
      </c>
      <c r="H963" t="n">
        <v>0</v>
      </c>
      <c r="I963" t="n">
        <v>0</v>
      </c>
      <c r="J963" t="n">
        <v>0</v>
      </c>
      <c r="K963" t="n">
        <v>0</v>
      </c>
      <c r="L963" t="n">
        <v>0</v>
      </c>
      <c r="M963" t="n">
        <v>0</v>
      </c>
      <c r="N963" t="n">
        <v>0</v>
      </c>
      <c r="O963" t="n">
        <v>0</v>
      </c>
      <c r="P963" t="n">
        <v>0</v>
      </c>
      <c r="Q963" t="n">
        <v>0</v>
      </c>
      <c r="R963" s="2" t="inlineStr"/>
    </row>
    <row r="964" ht="15" customHeight="1">
      <c r="A964" t="inlineStr">
        <is>
          <t>A 1119-2024</t>
        </is>
      </c>
      <c r="B964" s="1" t="n">
        <v>45302</v>
      </c>
      <c r="C964" s="1" t="n">
        <v>45880</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45880</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9393-2025</t>
        </is>
      </c>
      <c r="B966" s="1" t="n">
        <v>45715.36230324074</v>
      </c>
      <c r="C966" s="1" t="n">
        <v>45880</v>
      </c>
      <c r="D966" t="inlineStr">
        <is>
          <t>SKÅNE LÄN</t>
        </is>
      </c>
      <c r="E966" t="inlineStr">
        <is>
          <t>HÄSSLEHOLM</t>
        </is>
      </c>
      <c r="G966" t="n">
        <v>1.4</v>
      </c>
      <c r="H966" t="n">
        <v>0</v>
      </c>
      <c r="I966" t="n">
        <v>0</v>
      </c>
      <c r="J966" t="n">
        <v>0</v>
      </c>
      <c r="K966" t="n">
        <v>0</v>
      </c>
      <c r="L966" t="n">
        <v>0</v>
      </c>
      <c r="M966" t="n">
        <v>0</v>
      </c>
      <c r="N966" t="n">
        <v>0</v>
      </c>
      <c r="O966" t="n">
        <v>0</v>
      </c>
      <c r="P966" t="n">
        <v>0</v>
      </c>
      <c r="Q966" t="n">
        <v>0</v>
      </c>
      <c r="R966" s="2" t="inlineStr"/>
    </row>
    <row r="967" ht="15" customHeight="1">
      <c r="A967" t="inlineStr">
        <is>
          <t>A 11422-2025</t>
        </is>
      </c>
      <c r="B967" s="1" t="n">
        <v>45726</v>
      </c>
      <c r="C967" s="1" t="n">
        <v>45880</v>
      </c>
      <c r="D967" t="inlineStr">
        <is>
          <t>SKÅNE LÄN</t>
        </is>
      </c>
      <c r="E967" t="inlineStr">
        <is>
          <t>HÄSSLEHOLM</t>
        </is>
      </c>
      <c r="G967" t="n">
        <v>14.9</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45880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57277-2023</t>
        </is>
      </c>
      <c r="B969" s="1" t="n">
        <v>45245.59104166667</v>
      </c>
      <c r="C969" s="1" t="n">
        <v>45880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69357-2021</t>
        </is>
      </c>
      <c r="B970" s="1" t="n">
        <v>44531</v>
      </c>
      <c r="C970" s="1" t="n">
        <v>45880</v>
      </c>
      <c r="D970" t="inlineStr">
        <is>
          <t>SKÅNE LÄN</t>
        </is>
      </c>
      <c r="E970" t="inlineStr">
        <is>
          <t>HÄSSLEHOLM</t>
        </is>
      </c>
      <c r="G970" t="n">
        <v>1.6</v>
      </c>
      <c r="H970" t="n">
        <v>0</v>
      </c>
      <c r="I970" t="n">
        <v>0</v>
      </c>
      <c r="J970" t="n">
        <v>0</v>
      </c>
      <c r="K970" t="n">
        <v>0</v>
      </c>
      <c r="L970" t="n">
        <v>0</v>
      </c>
      <c r="M970" t="n">
        <v>0</v>
      </c>
      <c r="N970" t="n">
        <v>0</v>
      </c>
      <c r="O970" t="n">
        <v>0</v>
      </c>
      <c r="P970" t="n">
        <v>0</v>
      </c>
      <c r="Q970" t="n">
        <v>0</v>
      </c>
      <c r="R970" s="2" t="inlineStr"/>
    </row>
    <row r="971" ht="15" customHeight="1">
      <c r="A971" t="inlineStr">
        <is>
          <t>A 9611-2025</t>
        </is>
      </c>
      <c r="B971" s="1" t="n">
        <v>45715</v>
      </c>
      <c r="C971" s="1" t="n">
        <v>45880</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5284-2023</t>
        </is>
      </c>
      <c r="B972" s="1" t="n">
        <v>44959.50608796296</v>
      </c>
      <c r="C972" s="1" t="n">
        <v>45880</v>
      </c>
      <c r="D972" t="inlineStr">
        <is>
          <t>SKÅNE LÄN</t>
        </is>
      </c>
      <c r="E972" t="inlineStr">
        <is>
          <t>HÄSSLEHOLM</t>
        </is>
      </c>
      <c r="G972" t="n">
        <v>0.4</v>
      </c>
      <c r="H972" t="n">
        <v>0</v>
      </c>
      <c r="I972" t="n">
        <v>0</v>
      </c>
      <c r="J972" t="n">
        <v>0</v>
      </c>
      <c r="K972" t="n">
        <v>0</v>
      </c>
      <c r="L972" t="n">
        <v>0</v>
      </c>
      <c r="M972" t="n">
        <v>0</v>
      </c>
      <c r="N972" t="n">
        <v>0</v>
      </c>
      <c r="O972" t="n">
        <v>0</v>
      </c>
      <c r="P972" t="n">
        <v>0</v>
      </c>
      <c r="Q972" t="n">
        <v>0</v>
      </c>
      <c r="R972" s="2" t="inlineStr"/>
    </row>
    <row r="973" ht="15" customHeight="1">
      <c r="A973" t="inlineStr">
        <is>
          <t>A 5285-2023</t>
        </is>
      </c>
      <c r="B973" s="1" t="n">
        <v>44959.50783564815</v>
      </c>
      <c r="C973" s="1" t="n">
        <v>45880</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45880</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57272-2023</t>
        </is>
      </c>
      <c r="B975" s="1" t="n">
        <v>45245</v>
      </c>
      <c r="C975" s="1" t="n">
        <v>45880</v>
      </c>
      <c r="D975" t="inlineStr">
        <is>
          <t>SKÅNE LÄN</t>
        </is>
      </c>
      <c r="E975" t="inlineStr">
        <is>
          <t>HÄSSLEHOLM</t>
        </is>
      </c>
      <c r="G975" t="n">
        <v>2.3</v>
      </c>
      <c r="H975" t="n">
        <v>0</v>
      </c>
      <c r="I975" t="n">
        <v>0</v>
      </c>
      <c r="J975" t="n">
        <v>0</v>
      </c>
      <c r="K975" t="n">
        <v>0</v>
      </c>
      <c r="L975" t="n">
        <v>0</v>
      </c>
      <c r="M975" t="n">
        <v>0</v>
      </c>
      <c r="N975" t="n">
        <v>0</v>
      </c>
      <c r="O975" t="n">
        <v>0</v>
      </c>
      <c r="P975" t="n">
        <v>0</v>
      </c>
      <c r="Q975" t="n">
        <v>0</v>
      </c>
      <c r="R975" s="2" t="inlineStr"/>
    </row>
    <row r="976" ht="15" customHeight="1">
      <c r="A976" t="inlineStr">
        <is>
          <t>A 35810-2023</t>
        </is>
      </c>
      <c r="B976" s="1" t="n">
        <v>45148.44046296296</v>
      </c>
      <c r="C976" s="1" t="n">
        <v>45880</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2479-2024</t>
        </is>
      </c>
      <c r="B977" s="1" t="n">
        <v>45313.40148148148</v>
      </c>
      <c r="C977" s="1" t="n">
        <v>45880</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31160-2024</t>
        </is>
      </c>
      <c r="B978" s="1" t="n">
        <v>45503</v>
      </c>
      <c r="C978" s="1" t="n">
        <v>45880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29170-2025</t>
        </is>
      </c>
      <c r="B979" s="1" t="n">
        <v>45821.69766203704</v>
      </c>
      <c r="C979" s="1" t="n">
        <v>45880</v>
      </c>
      <c r="D979" t="inlineStr">
        <is>
          <t>SKÅNE LÄN</t>
        </is>
      </c>
      <c r="E979" t="inlineStr">
        <is>
          <t>HÄSSLEHOLM</t>
        </is>
      </c>
      <c r="G979" t="n">
        <v>3.1</v>
      </c>
      <c r="H979" t="n">
        <v>0</v>
      </c>
      <c r="I979" t="n">
        <v>0</v>
      </c>
      <c r="J979" t="n">
        <v>0</v>
      </c>
      <c r="K979" t="n">
        <v>0</v>
      </c>
      <c r="L979" t="n">
        <v>0</v>
      </c>
      <c r="M979" t="n">
        <v>0</v>
      </c>
      <c r="N979" t="n">
        <v>0</v>
      </c>
      <c r="O979" t="n">
        <v>0</v>
      </c>
      <c r="P979" t="n">
        <v>0</v>
      </c>
      <c r="Q979" t="n">
        <v>0</v>
      </c>
      <c r="R979" s="2" t="inlineStr"/>
    </row>
    <row r="980" ht="15" customHeight="1">
      <c r="A980" t="inlineStr">
        <is>
          <t>A 23172-2022</t>
        </is>
      </c>
      <c r="B980" s="1" t="n">
        <v>44719</v>
      </c>
      <c r="C980" s="1" t="n">
        <v>45880</v>
      </c>
      <c r="D980" t="inlineStr">
        <is>
          <t>SKÅNE LÄN</t>
        </is>
      </c>
      <c r="E980" t="inlineStr">
        <is>
          <t>HÄSSLEHOLM</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23173-2022</t>
        </is>
      </c>
      <c r="B981" s="1" t="n">
        <v>44719.72155092593</v>
      </c>
      <c r="C981" s="1" t="n">
        <v>45880</v>
      </c>
      <c r="D981" t="inlineStr">
        <is>
          <t>SKÅNE LÄN</t>
        </is>
      </c>
      <c r="E981" t="inlineStr">
        <is>
          <t>HÄSSLEHOLM</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50664-2023</t>
        </is>
      </c>
      <c r="B982" s="1" t="n">
        <v>45217</v>
      </c>
      <c r="C982" s="1" t="n">
        <v>45880</v>
      </c>
      <c r="D982" t="inlineStr">
        <is>
          <t>SKÅNE LÄN</t>
        </is>
      </c>
      <c r="E982" t="inlineStr">
        <is>
          <t>HÄSSLEHOLM</t>
        </is>
      </c>
      <c r="G982" t="n">
        <v>0.6</v>
      </c>
      <c r="H982" t="n">
        <v>0</v>
      </c>
      <c r="I982" t="n">
        <v>0</v>
      </c>
      <c r="J982" t="n">
        <v>0</v>
      </c>
      <c r="K982" t="n">
        <v>0</v>
      </c>
      <c r="L982" t="n">
        <v>0</v>
      </c>
      <c r="M982" t="n">
        <v>0</v>
      </c>
      <c r="N982" t="n">
        <v>0</v>
      </c>
      <c r="O982" t="n">
        <v>0</v>
      </c>
      <c r="P982" t="n">
        <v>0</v>
      </c>
      <c r="Q982" t="n">
        <v>0</v>
      </c>
      <c r="R982" s="2" t="inlineStr"/>
    </row>
    <row r="983" ht="15" customHeight="1">
      <c r="A983" t="inlineStr">
        <is>
          <t>A 56490-2021</t>
        </is>
      </c>
      <c r="B983" s="1" t="n">
        <v>44480</v>
      </c>
      <c r="C983" s="1" t="n">
        <v>45880</v>
      </c>
      <c r="D983" t="inlineStr">
        <is>
          <t>SKÅNE LÄN</t>
        </is>
      </c>
      <c r="E983" t="inlineStr">
        <is>
          <t>HÄSSLEHOLM</t>
        </is>
      </c>
      <c r="F983" t="inlineStr">
        <is>
          <t>Kyrkan</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52608-2023</t>
        </is>
      </c>
      <c r="B984" s="1" t="n">
        <v>45219</v>
      </c>
      <c r="C984" s="1" t="n">
        <v>45880</v>
      </c>
      <c r="D984" t="inlineStr">
        <is>
          <t>SKÅNE LÄN</t>
        </is>
      </c>
      <c r="E984" t="inlineStr">
        <is>
          <t>HÄSSLEHOLM</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8239-2025</t>
        </is>
      </c>
      <c r="B985" s="1" t="n">
        <v>45708.47984953703</v>
      </c>
      <c r="C985" s="1" t="n">
        <v>45880</v>
      </c>
      <c r="D985" t="inlineStr">
        <is>
          <t>SKÅNE LÄN</t>
        </is>
      </c>
      <c r="E985" t="inlineStr">
        <is>
          <t>HÄSSLEHOLM</t>
        </is>
      </c>
      <c r="G985" t="n">
        <v>2.7</v>
      </c>
      <c r="H985" t="n">
        <v>0</v>
      </c>
      <c r="I985" t="n">
        <v>0</v>
      </c>
      <c r="J985" t="n">
        <v>0</v>
      </c>
      <c r="K985" t="n">
        <v>0</v>
      </c>
      <c r="L985" t="n">
        <v>0</v>
      </c>
      <c r="M985" t="n">
        <v>0</v>
      </c>
      <c r="N985" t="n">
        <v>0</v>
      </c>
      <c r="O985" t="n">
        <v>0</v>
      </c>
      <c r="P985" t="n">
        <v>0</v>
      </c>
      <c r="Q985" t="n">
        <v>0</v>
      </c>
      <c r="R985" s="2" t="inlineStr"/>
    </row>
    <row r="986" ht="15" customHeight="1">
      <c r="A986" t="inlineStr">
        <is>
          <t>A 36085-2025</t>
        </is>
      </c>
      <c r="B986" s="1" t="n">
        <v>45866.46190972222</v>
      </c>
      <c r="C986" s="1" t="n">
        <v>45880</v>
      </c>
      <c r="D986" t="inlineStr">
        <is>
          <t>SKÅNE LÄN</t>
        </is>
      </c>
      <c r="E986" t="inlineStr">
        <is>
          <t>HÄSSLEHOLM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417-2022</t>
        </is>
      </c>
      <c r="B987" s="1" t="n">
        <v>44565.84615740741</v>
      </c>
      <c r="C987" s="1" t="n">
        <v>45880</v>
      </c>
      <c r="D987" t="inlineStr">
        <is>
          <t>SKÅNE LÄN</t>
        </is>
      </c>
      <c r="E987" t="inlineStr">
        <is>
          <t>HÄSSLEHOLM</t>
        </is>
      </c>
      <c r="G987" t="n">
        <v>0</v>
      </c>
      <c r="H987" t="n">
        <v>0</v>
      </c>
      <c r="I987" t="n">
        <v>0</v>
      </c>
      <c r="J987" t="n">
        <v>0</v>
      </c>
      <c r="K987" t="n">
        <v>0</v>
      </c>
      <c r="L987" t="n">
        <v>0</v>
      </c>
      <c r="M987" t="n">
        <v>0</v>
      </c>
      <c r="N987" t="n">
        <v>0</v>
      </c>
      <c r="O987" t="n">
        <v>0</v>
      </c>
      <c r="P987" t="n">
        <v>0</v>
      </c>
      <c r="Q987" t="n">
        <v>0</v>
      </c>
      <c r="R987" s="2" t="inlineStr"/>
    </row>
    <row r="988" ht="15" customHeight="1">
      <c r="A988" t="inlineStr">
        <is>
          <t>A 56355-2023</t>
        </is>
      </c>
      <c r="B988" s="1" t="n">
        <v>45243.3702662037</v>
      </c>
      <c r="C988" s="1" t="n">
        <v>45880</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61934-2023</t>
        </is>
      </c>
      <c r="B989" s="1" t="n">
        <v>45266.54125</v>
      </c>
      <c r="C989" s="1" t="n">
        <v>45880</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41459-2022</t>
        </is>
      </c>
      <c r="B990" s="1" t="n">
        <v>44826.93372685185</v>
      </c>
      <c r="C990" s="1" t="n">
        <v>45880</v>
      </c>
      <c r="D990" t="inlineStr">
        <is>
          <t>SKÅNE LÄN</t>
        </is>
      </c>
      <c r="E990" t="inlineStr">
        <is>
          <t>HÄSSLEHOLM</t>
        </is>
      </c>
      <c r="G990" t="n">
        <v>2.3</v>
      </c>
      <c r="H990" t="n">
        <v>0</v>
      </c>
      <c r="I990" t="n">
        <v>0</v>
      </c>
      <c r="J990" t="n">
        <v>0</v>
      </c>
      <c r="K990" t="n">
        <v>0</v>
      </c>
      <c r="L990" t="n">
        <v>0</v>
      </c>
      <c r="M990" t="n">
        <v>0</v>
      </c>
      <c r="N990" t="n">
        <v>0</v>
      </c>
      <c r="O990" t="n">
        <v>0</v>
      </c>
      <c r="P990" t="n">
        <v>0</v>
      </c>
      <c r="Q990" t="n">
        <v>0</v>
      </c>
      <c r="R990" s="2" t="inlineStr"/>
    </row>
    <row r="991" ht="15" customHeight="1">
      <c r="A991" t="inlineStr">
        <is>
          <t>A 29168-2025</t>
        </is>
      </c>
      <c r="B991" s="1" t="n">
        <v>45821.69547453704</v>
      </c>
      <c r="C991" s="1" t="n">
        <v>45880</v>
      </c>
      <c r="D991" t="inlineStr">
        <is>
          <t>SKÅNE LÄN</t>
        </is>
      </c>
      <c r="E991" t="inlineStr">
        <is>
          <t>HÄSSLEHOLM</t>
        </is>
      </c>
      <c r="G991" t="n">
        <v>1.7</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45880</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19151-2023</t>
        </is>
      </c>
      <c r="B993" s="1" t="n">
        <v>45044</v>
      </c>
      <c r="C993" s="1" t="n">
        <v>45880</v>
      </c>
      <c r="D993" t="inlineStr">
        <is>
          <t>SKÅNE LÄN</t>
        </is>
      </c>
      <c r="E993" t="inlineStr">
        <is>
          <t>HÄSSLEHOLM</t>
        </is>
      </c>
      <c r="G993" t="n">
        <v>1</v>
      </c>
      <c r="H993" t="n">
        <v>0</v>
      </c>
      <c r="I993" t="n">
        <v>0</v>
      </c>
      <c r="J993" t="n">
        <v>0</v>
      </c>
      <c r="K993" t="n">
        <v>0</v>
      </c>
      <c r="L993" t="n">
        <v>0</v>
      </c>
      <c r="M993" t="n">
        <v>0</v>
      </c>
      <c r="N993" t="n">
        <v>0</v>
      </c>
      <c r="O993" t="n">
        <v>0</v>
      </c>
      <c r="P993" t="n">
        <v>0</v>
      </c>
      <c r="Q993" t="n">
        <v>0</v>
      </c>
      <c r="R993" s="2" t="inlineStr"/>
    </row>
    <row r="994" ht="15" customHeight="1">
      <c r="A994" t="inlineStr">
        <is>
          <t>A 7305-2025</t>
        </is>
      </c>
      <c r="B994" s="1" t="n">
        <v>45702</v>
      </c>
      <c r="C994" s="1" t="n">
        <v>45880</v>
      </c>
      <c r="D994" t="inlineStr">
        <is>
          <t>SKÅNE LÄN</t>
        </is>
      </c>
      <c r="E994" t="inlineStr">
        <is>
          <t>HÄSSLEHOLM</t>
        </is>
      </c>
      <c r="F994" t="inlineStr">
        <is>
          <t>Övriga Aktiebolag</t>
        </is>
      </c>
      <c r="G994" t="n">
        <v>2.2</v>
      </c>
      <c r="H994" t="n">
        <v>0</v>
      </c>
      <c r="I994" t="n">
        <v>0</v>
      </c>
      <c r="J994" t="n">
        <v>0</v>
      </c>
      <c r="K994" t="n">
        <v>0</v>
      </c>
      <c r="L994" t="n">
        <v>0</v>
      </c>
      <c r="M994" t="n">
        <v>0</v>
      </c>
      <c r="N994" t="n">
        <v>0</v>
      </c>
      <c r="O994" t="n">
        <v>0</v>
      </c>
      <c r="P994" t="n">
        <v>0</v>
      </c>
      <c r="Q994" t="n">
        <v>0</v>
      </c>
      <c r="R994" s="2" t="inlineStr"/>
    </row>
    <row r="995" ht="15" customHeight="1">
      <c r="A995" t="inlineStr">
        <is>
          <t>A 54658-2023</t>
        </is>
      </c>
      <c r="B995" s="1" t="n">
        <v>45235</v>
      </c>
      <c r="C995" s="1" t="n">
        <v>45880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52341-2023</t>
        </is>
      </c>
      <c r="B996" s="1" t="n">
        <v>45224.67006944444</v>
      </c>
      <c r="C996" s="1" t="n">
        <v>45880</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42370-2023</t>
        </is>
      </c>
      <c r="B997" s="1" t="n">
        <v>45180</v>
      </c>
      <c r="C997" s="1" t="n">
        <v>45880</v>
      </c>
      <c r="D997" t="inlineStr">
        <is>
          <t>SKÅNE LÄN</t>
        </is>
      </c>
      <c r="E997" t="inlineStr">
        <is>
          <t>HÄSSLEHOLM</t>
        </is>
      </c>
      <c r="G997" t="n">
        <v>2.6</v>
      </c>
      <c r="H997" t="n">
        <v>0</v>
      </c>
      <c r="I997" t="n">
        <v>0</v>
      </c>
      <c r="J997" t="n">
        <v>0</v>
      </c>
      <c r="K997" t="n">
        <v>0</v>
      </c>
      <c r="L997" t="n">
        <v>0</v>
      </c>
      <c r="M997" t="n">
        <v>0</v>
      </c>
      <c r="N997" t="n">
        <v>0</v>
      </c>
      <c r="O997" t="n">
        <v>0</v>
      </c>
      <c r="P997" t="n">
        <v>0</v>
      </c>
      <c r="Q997" t="n">
        <v>0</v>
      </c>
      <c r="R997" s="2" t="inlineStr"/>
    </row>
    <row r="998" ht="15" customHeight="1">
      <c r="A998" t="inlineStr">
        <is>
          <t>A 29171-2025</t>
        </is>
      </c>
      <c r="B998" s="1" t="n">
        <v>45821.69863425926</v>
      </c>
      <c r="C998" s="1" t="n">
        <v>45880</v>
      </c>
      <c r="D998" t="inlineStr">
        <is>
          <t>SKÅNE LÄN</t>
        </is>
      </c>
      <c r="E998" t="inlineStr">
        <is>
          <t>HÄSSLEHOLM</t>
        </is>
      </c>
      <c r="G998" t="n">
        <v>2.6</v>
      </c>
      <c r="H998" t="n">
        <v>0</v>
      </c>
      <c r="I998" t="n">
        <v>0</v>
      </c>
      <c r="J998" t="n">
        <v>0</v>
      </c>
      <c r="K998" t="n">
        <v>0</v>
      </c>
      <c r="L998" t="n">
        <v>0</v>
      </c>
      <c r="M998" t="n">
        <v>0</v>
      </c>
      <c r="N998" t="n">
        <v>0</v>
      </c>
      <c r="O998" t="n">
        <v>0</v>
      </c>
      <c r="P998" t="n">
        <v>0</v>
      </c>
      <c r="Q998" t="n">
        <v>0</v>
      </c>
      <c r="R998" s="2" t="inlineStr"/>
    </row>
    <row r="999" ht="15" customHeight="1">
      <c r="A999" t="inlineStr">
        <is>
          <t>A 36130-2025</t>
        </is>
      </c>
      <c r="B999" s="1" t="n">
        <v>45866.62273148148</v>
      </c>
      <c r="C999" s="1" t="n">
        <v>45880</v>
      </c>
      <c r="D999" t="inlineStr">
        <is>
          <t>SKÅNE LÄN</t>
        </is>
      </c>
      <c r="E999" t="inlineStr">
        <is>
          <t>HÄSSLEHOLM</t>
        </is>
      </c>
      <c r="G999" t="n">
        <v>4.7</v>
      </c>
      <c r="H999" t="n">
        <v>0</v>
      </c>
      <c r="I999" t="n">
        <v>0</v>
      </c>
      <c r="J999" t="n">
        <v>0</v>
      </c>
      <c r="K999" t="n">
        <v>0</v>
      </c>
      <c r="L999" t="n">
        <v>0</v>
      </c>
      <c r="M999" t="n">
        <v>0</v>
      </c>
      <c r="N999" t="n">
        <v>0</v>
      </c>
      <c r="O999" t="n">
        <v>0</v>
      </c>
      <c r="P999" t="n">
        <v>0</v>
      </c>
      <c r="Q999" t="n">
        <v>0</v>
      </c>
      <c r="R999" s="2" t="inlineStr"/>
    </row>
    <row r="1000" ht="15" customHeight="1">
      <c r="A1000" t="inlineStr">
        <is>
          <t>A 16951-2025</t>
        </is>
      </c>
      <c r="B1000" s="1" t="n">
        <v>45755</v>
      </c>
      <c r="C1000" s="1" t="n">
        <v>45880</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36358-2025</t>
        </is>
      </c>
      <c r="B1001" s="1" t="n">
        <v>45867</v>
      </c>
      <c r="C1001" s="1" t="n">
        <v>45880</v>
      </c>
      <c r="D1001" t="inlineStr">
        <is>
          <t>SKÅNE LÄN</t>
        </is>
      </c>
      <c r="E1001" t="inlineStr">
        <is>
          <t>HÄSSLEHOLM</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18063-2023</t>
        </is>
      </c>
      <c r="B1002" s="1" t="n">
        <v>45040.62850694444</v>
      </c>
      <c r="C1002" s="1" t="n">
        <v>45880</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27173-2024</t>
        </is>
      </c>
      <c r="B1003" s="1" t="n">
        <v>45471.57048611111</v>
      </c>
      <c r="C1003" s="1" t="n">
        <v>45880</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30010-2025</t>
        </is>
      </c>
      <c r="B1004" s="1" t="n">
        <v>45826</v>
      </c>
      <c r="C1004" s="1" t="n">
        <v>45880</v>
      </c>
      <c r="D1004" t="inlineStr">
        <is>
          <t>SKÅNE LÄN</t>
        </is>
      </c>
      <c r="E1004" t="inlineStr">
        <is>
          <t>HÄSSLEHOLM</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36359-2025</t>
        </is>
      </c>
      <c r="B1005" s="1" t="n">
        <v>45867</v>
      </c>
      <c r="C1005" s="1" t="n">
        <v>45880</v>
      </c>
      <c r="D1005" t="inlineStr">
        <is>
          <t>SKÅNE LÄN</t>
        </is>
      </c>
      <c r="E1005" t="inlineStr">
        <is>
          <t>HÄSSLEHOLM</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36361-2025</t>
        </is>
      </c>
      <c r="B1006" s="1" t="n">
        <v>45867</v>
      </c>
      <c r="C1006" s="1" t="n">
        <v>45880</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14674-2025</t>
        </is>
      </c>
      <c r="B1007" s="1" t="n">
        <v>45742.55548611111</v>
      </c>
      <c r="C1007" s="1" t="n">
        <v>45880</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15800-2025</t>
        </is>
      </c>
      <c r="B1008" s="1" t="n">
        <v>45748.64831018518</v>
      </c>
      <c r="C1008" s="1" t="n">
        <v>45880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29649-2025</t>
        </is>
      </c>
      <c r="B1009" s="1" t="n">
        <v>45825.47446759259</v>
      </c>
      <c r="C1009" s="1" t="n">
        <v>45880</v>
      </c>
      <c r="D1009" t="inlineStr">
        <is>
          <t>SKÅNE LÄN</t>
        </is>
      </c>
      <c r="E1009" t="inlineStr">
        <is>
          <t>HÄSSLEHOLM</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40780-2022</t>
        </is>
      </c>
      <c r="B1010" s="1" t="n">
        <v>44820</v>
      </c>
      <c r="C1010" s="1" t="n">
        <v>45880</v>
      </c>
      <c r="D1010" t="inlineStr">
        <is>
          <t>SKÅNE LÄN</t>
        </is>
      </c>
      <c r="E1010" t="inlineStr">
        <is>
          <t>HÄSSLEHOLM</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51245-2023</t>
        </is>
      </c>
      <c r="B1011" s="1" t="n">
        <v>45212</v>
      </c>
      <c r="C1011" s="1" t="n">
        <v>45880</v>
      </c>
      <c r="D1011" t="inlineStr">
        <is>
          <t>SKÅNE LÄN</t>
        </is>
      </c>
      <c r="E1011" t="inlineStr">
        <is>
          <t>HÄSSLEHOLM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36259-2025</t>
        </is>
      </c>
      <c r="B1012" s="1" t="n">
        <v>45867.59799768519</v>
      </c>
      <c r="C1012" s="1" t="n">
        <v>45880</v>
      </c>
      <c r="D1012" t="inlineStr">
        <is>
          <t>SKÅNE LÄN</t>
        </is>
      </c>
      <c r="E1012" t="inlineStr">
        <is>
          <t>HÄSSLEHOLM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9396-2025</t>
        </is>
      </c>
      <c r="B1013" s="1" t="n">
        <v>45715.37293981481</v>
      </c>
      <c r="C1013" s="1" t="n">
        <v>45880</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48747-2022</t>
        </is>
      </c>
      <c r="B1014" s="1" t="n">
        <v>44859</v>
      </c>
      <c r="C1014" s="1" t="n">
        <v>45880</v>
      </c>
      <c r="D1014" t="inlineStr">
        <is>
          <t>SKÅNE LÄN</t>
        </is>
      </c>
      <c r="E1014" t="inlineStr">
        <is>
          <t>HÄSSLEHOLM</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7153-2025</t>
        </is>
      </c>
      <c r="B1015" s="1" t="n">
        <v>45702.38512731482</v>
      </c>
      <c r="C1015" s="1" t="n">
        <v>45880</v>
      </c>
      <c r="D1015" t="inlineStr">
        <is>
          <t>SKÅNE LÄN</t>
        </is>
      </c>
      <c r="E1015" t="inlineStr">
        <is>
          <t>HÄSSLEHOLM</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54777-2022</t>
        </is>
      </c>
      <c r="B1016" s="1" t="n">
        <v>44883</v>
      </c>
      <c r="C1016" s="1" t="n">
        <v>45880</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7581-2023</t>
        </is>
      </c>
      <c r="B1017" s="1" t="n">
        <v>44972.39556712963</v>
      </c>
      <c r="C1017" s="1" t="n">
        <v>45880</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21141-2024</t>
        </is>
      </c>
      <c r="B1018" s="1" t="n">
        <v>45440.39012731481</v>
      </c>
      <c r="C1018" s="1" t="n">
        <v>45880</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31159-2025</t>
        </is>
      </c>
      <c r="B1019" s="1" t="n">
        <v>45832.65322916667</v>
      </c>
      <c r="C1019" s="1" t="n">
        <v>45880</v>
      </c>
      <c r="D1019" t="inlineStr">
        <is>
          <t>SKÅNE LÄN</t>
        </is>
      </c>
      <c r="E1019" t="inlineStr">
        <is>
          <t>HÄSSLEHOLM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11603-2025</t>
        </is>
      </c>
      <c r="B1020" s="1" t="n">
        <v>45727</v>
      </c>
      <c r="C1020" s="1" t="n">
        <v>45880</v>
      </c>
      <c r="D1020" t="inlineStr">
        <is>
          <t>SKÅNE LÄN</t>
        </is>
      </c>
      <c r="E1020" t="inlineStr">
        <is>
          <t>HÄSSLEHOLM</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13712-2025</t>
        </is>
      </c>
      <c r="B1021" s="1" t="n">
        <v>45737</v>
      </c>
      <c r="C1021" s="1" t="n">
        <v>45880</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23683-2023</t>
        </is>
      </c>
      <c r="B1022" s="1" t="n">
        <v>45077</v>
      </c>
      <c r="C1022" s="1" t="n">
        <v>45880</v>
      </c>
      <c r="D1022" t="inlineStr">
        <is>
          <t>SKÅNE LÄN</t>
        </is>
      </c>
      <c r="E1022" t="inlineStr">
        <is>
          <t>HÄSSLEHOLM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23955-2023</t>
        </is>
      </c>
      <c r="B1023" s="1" t="n">
        <v>45078.62217592593</v>
      </c>
      <c r="C1023" s="1" t="n">
        <v>45880</v>
      </c>
      <c r="D1023" t="inlineStr">
        <is>
          <t>SKÅNE LÄN</t>
        </is>
      </c>
      <c r="E1023" t="inlineStr">
        <is>
          <t>HÄSSLEHOLM</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23860-2024</t>
        </is>
      </c>
      <c r="B1024" s="1" t="n">
        <v>45455</v>
      </c>
      <c r="C1024" s="1" t="n">
        <v>45880</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524-2024</t>
        </is>
      </c>
      <c r="B1025" s="1" t="n">
        <v>45299</v>
      </c>
      <c r="C1025" s="1" t="n">
        <v>45880</v>
      </c>
      <c r="D1025" t="inlineStr">
        <is>
          <t>SKÅNE LÄN</t>
        </is>
      </c>
      <c r="E1025" t="inlineStr">
        <is>
          <t>HÄSSLEHOLM</t>
        </is>
      </c>
      <c r="G1025" t="n">
        <v>29.4</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45880</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7094-2023</t>
        </is>
      </c>
      <c r="B1027" s="1" t="n">
        <v>44970.36958333333</v>
      </c>
      <c r="C1027" s="1" t="n">
        <v>45880</v>
      </c>
      <c r="D1027" t="inlineStr">
        <is>
          <t>SKÅNE LÄN</t>
        </is>
      </c>
      <c r="E1027" t="inlineStr">
        <is>
          <t>HÄSSLEHOLM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3500-2024</t>
        </is>
      </c>
      <c r="B1028" s="1" t="n">
        <v>45320</v>
      </c>
      <c r="C1028" s="1" t="n">
        <v>45880</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11266-2025</t>
        </is>
      </c>
      <c r="B1029" s="1" t="n">
        <v>45726</v>
      </c>
      <c r="C1029" s="1" t="n">
        <v>45880</v>
      </c>
      <c r="D1029" t="inlineStr">
        <is>
          <t>SKÅNE LÄN</t>
        </is>
      </c>
      <c r="E1029" t="inlineStr">
        <is>
          <t>HÄSSLEHOLM</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49950-2023</t>
        </is>
      </c>
      <c r="B1030" s="1" t="n">
        <v>45215</v>
      </c>
      <c r="C1030" s="1" t="n">
        <v>45880</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29853-2024</t>
        </is>
      </c>
      <c r="B1031" s="1" t="n">
        <v>45485.65844907407</v>
      </c>
      <c r="C1031" s="1" t="n">
        <v>45880</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57695-2023</t>
        </is>
      </c>
      <c r="B1032" s="1" t="n">
        <v>45246</v>
      </c>
      <c r="C1032" s="1" t="n">
        <v>45880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9615-2025</t>
        </is>
      </c>
      <c r="B1033" s="1" t="n">
        <v>45715</v>
      </c>
      <c r="C1033" s="1" t="n">
        <v>45880</v>
      </c>
      <c r="D1033" t="inlineStr">
        <is>
          <t>SKÅNE LÄN</t>
        </is>
      </c>
      <c r="E1033" t="inlineStr">
        <is>
          <t>HÄSSLEHOLM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37271-2025</t>
        </is>
      </c>
      <c r="B1034" s="1" t="n">
        <v>45876.47828703704</v>
      </c>
      <c r="C1034" s="1" t="n">
        <v>45880</v>
      </c>
      <c r="D1034" t="inlineStr">
        <is>
          <t>SKÅNE LÄN</t>
        </is>
      </c>
      <c r="E1034" t="inlineStr">
        <is>
          <t>HÄSSLEHOLM</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42232-2022</t>
        </is>
      </c>
      <c r="B1035" s="1" t="n">
        <v>44830.77591435185</v>
      </c>
      <c r="C1035" s="1" t="n">
        <v>45880</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38829-2024</t>
        </is>
      </c>
      <c r="B1036" s="1" t="n">
        <v>45547.57247685185</v>
      </c>
      <c r="C1036" s="1" t="n">
        <v>45880</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37286-2025</t>
        </is>
      </c>
      <c r="B1037" s="1" t="n">
        <v>45876.50116898148</v>
      </c>
      <c r="C1037" s="1" t="n">
        <v>45880</v>
      </c>
      <c r="D1037" t="inlineStr">
        <is>
          <t>SKÅNE LÄN</t>
        </is>
      </c>
      <c r="E1037" t="inlineStr">
        <is>
          <t>HÄSSLEHOLM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36938-2025</t>
        </is>
      </c>
      <c r="B1038" s="1" t="n">
        <v>45874.58476851852</v>
      </c>
      <c r="C1038" s="1" t="n">
        <v>45880</v>
      </c>
      <c r="D1038" t="inlineStr">
        <is>
          <t>SKÅNE LÄN</t>
        </is>
      </c>
      <c r="E1038" t="inlineStr">
        <is>
          <t>HÄSSLEHOLM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25542-2024</t>
        </is>
      </c>
      <c r="B1039" s="1" t="n">
        <v>45463</v>
      </c>
      <c r="C1039" s="1" t="n">
        <v>45880</v>
      </c>
      <c r="D1039" t="inlineStr">
        <is>
          <t>SKÅNE LÄN</t>
        </is>
      </c>
      <c r="E1039" t="inlineStr">
        <is>
          <t>HÄSSLEHOLM</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14670-2025</t>
        </is>
      </c>
      <c r="B1040" s="1" t="n">
        <v>45742.55079861111</v>
      </c>
      <c r="C1040" s="1" t="n">
        <v>45880</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55454-2021</t>
        </is>
      </c>
      <c r="B1041" s="1" t="n">
        <v>44475</v>
      </c>
      <c r="C1041" s="1" t="n">
        <v>45880</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61489-2024</t>
        </is>
      </c>
      <c r="B1042" s="1" t="n">
        <v>45646.54875</v>
      </c>
      <c r="C1042" s="1" t="n">
        <v>45880</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26879-2024</t>
        </is>
      </c>
      <c r="B1043" s="1" t="n">
        <v>45470</v>
      </c>
      <c r="C1043" s="1" t="n">
        <v>45880</v>
      </c>
      <c r="D1043" t="inlineStr">
        <is>
          <t>SKÅNE LÄN</t>
        </is>
      </c>
      <c r="E1043" t="inlineStr">
        <is>
          <t>HÄSSLEHOLM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19666-2025</t>
        </is>
      </c>
      <c r="B1044" s="1" t="n">
        <v>45770.69326388889</v>
      </c>
      <c r="C1044" s="1" t="n">
        <v>45880</v>
      </c>
      <c r="D1044" t="inlineStr">
        <is>
          <t>SKÅNE LÄN</t>
        </is>
      </c>
      <c r="E1044" t="inlineStr">
        <is>
          <t>HÄSSLEHOLM</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59728-2022</t>
        </is>
      </c>
      <c r="B1045" s="1" t="n">
        <v>44900</v>
      </c>
      <c r="C1045" s="1" t="n">
        <v>45880</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3294-2025</t>
        </is>
      </c>
      <c r="B1046" s="1" t="n">
        <v>45679.64125</v>
      </c>
      <c r="C1046" s="1" t="n">
        <v>45880</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13897-2024</t>
        </is>
      </c>
      <c r="B1047" s="1" t="n">
        <v>45391</v>
      </c>
      <c r="C1047" s="1" t="n">
        <v>45880</v>
      </c>
      <c r="D1047" t="inlineStr">
        <is>
          <t>SKÅNE LÄN</t>
        </is>
      </c>
      <c r="E1047" t="inlineStr">
        <is>
          <t>HÄSSLEHOLM</t>
        </is>
      </c>
      <c r="F1047" t="inlineStr">
        <is>
          <t>Kommuner</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69500-2020</t>
        </is>
      </c>
      <c r="B1048" s="1" t="n">
        <v>44194</v>
      </c>
      <c r="C1048" s="1" t="n">
        <v>45880</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7604-2024</t>
        </is>
      </c>
      <c r="B1049" s="1" t="n">
        <v>45348</v>
      </c>
      <c r="C1049" s="1" t="n">
        <v>45880</v>
      </c>
      <c r="D1049" t="inlineStr">
        <is>
          <t>SKÅNE LÄN</t>
        </is>
      </c>
      <c r="E1049" t="inlineStr">
        <is>
          <t>HÄSSLEHOLM</t>
        </is>
      </c>
      <c r="G1049" t="n">
        <v>11.1</v>
      </c>
      <c r="H1049" t="n">
        <v>0</v>
      </c>
      <c r="I1049" t="n">
        <v>0</v>
      </c>
      <c r="J1049" t="n">
        <v>0</v>
      </c>
      <c r="K1049" t="n">
        <v>0</v>
      </c>
      <c r="L1049" t="n">
        <v>0</v>
      </c>
      <c r="M1049" t="n">
        <v>0</v>
      </c>
      <c r="N1049" t="n">
        <v>0</v>
      </c>
      <c r="O1049" t="n">
        <v>0</v>
      </c>
      <c r="P1049" t="n">
        <v>0</v>
      </c>
      <c r="Q1049" t="n">
        <v>0</v>
      </c>
      <c r="R1049" s="2" t="inlineStr"/>
    </row>
    <row r="1050" ht="15" customHeight="1">
      <c r="A1050" t="inlineStr">
        <is>
          <t>A 32154-2024</t>
        </is>
      </c>
      <c r="B1050" s="1" t="n">
        <v>45511</v>
      </c>
      <c r="C1050" s="1" t="n">
        <v>45880</v>
      </c>
      <c r="D1050" t="inlineStr">
        <is>
          <t>SKÅNE LÄN</t>
        </is>
      </c>
      <c r="E1050" t="inlineStr">
        <is>
          <t>HÄSSLEHOLM</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53055-2021</t>
        </is>
      </c>
      <c r="B1051" s="1" t="n">
        <v>44467</v>
      </c>
      <c r="C1051" s="1" t="n">
        <v>45880</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36706-2022</t>
        </is>
      </c>
      <c r="B1052" s="1" t="n">
        <v>44805.32891203704</v>
      </c>
      <c r="C1052" s="1" t="n">
        <v>45880</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441-2022</t>
        </is>
      </c>
      <c r="B1053" s="1" t="n">
        <v>44565.97125</v>
      </c>
      <c r="C1053" s="1" t="n">
        <v>45880</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3364-2023</t>
        </is>
      </c>
      <c r="B1054" s="1" t="n">
        <v>44949</v>
      </c>
      <c r="C1054" s="1" t="n">
        <v>45880</v>
      </c>
      <c r="D1054" t="inlineStr">
        <is>
          <t>SKÅNE LÄN</t>
        </is>
      </c>
      <c r="E1054" t="inlineStr">
        <is>
          <t>HÄSSLEHOLM</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43629-2023</t>
        </is>
      </c>
      <c r="B1055" s="1" t="n">
        <v>45184</v>
      </c>
      <c r="C1055" s="1" t="n">
        <v>45880</v>
      </c>
      <c r="D1055" t="inlineStr">
        <is>
          <t>SKÅNE LÄN</t>
        </is>
      </c>
      <c r="E1055" t="inlineStr">
        <is>
          <t>HÄSSLEHOLM</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57656-2022</t>
        </is>
      </c>
      <c r="B1056" s="1" t="n">
        <v>44897.4325925926</v>
      </c>
      <c r="C1056" s="1" t="n">
        <v>45880</v>
      </c>
      <c r="D1056" t="inlineStr">
        <is>
          <t>SKÅNE LÄN</t>
        </is>
      </c>
      <c r="E1056" t="inlineStr">
        <is>
          <t>HÄSSLEHOLM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8250-2023</t>
        </is>
      </c>
      <c r="B1057" s="1" t="n">
        <v>44974</v>
      </c>
      <c r="C1057" s="1" t="n">
        <v>45880</v>
      </c>
      <c r="D1057" t="inlineStr">
        <is>
          <t>SKÅNE LÄN</t>
        </is>
      </c>
      <c r="E1057" t="inlineStr">
        <is>
          <t>HÄSSLEHOLM</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6101-2022</t>
        </is>
      </c>
      <c r="B1058" s="1" t="n">
        <v>44599.63016203704</v>
      </c>
      <c r="C1058" s="1" t="n">
        <v>45880</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6842-2023</t>
        </is>
      </c>
      <c r="B1059" s="1" t="n">
        <v>44967</v>
      </c>
      <c r="C1059" s="1" t="n">
        <v>45880</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7202-2022</t>
        </is>
      </c>
      <c r="B1060" s="1" t="n">
        <v>44606</v>
      </c>
      <c r="C1060" s="1" t="n">
        <v>45880</v>
      </c>
      <c r="D1060" t="inlineStr">
        <is>
          <t>SKÅNE LÄN</t>
        </is>
      </c>
      <c r="E1060" t="inlineStr">
        <is>
          <t>HÄSSLEHOLM</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5054-2022</t>
        </is>
      </c>
      <c r="B1061" s="1" t="n">
        <v>44593.69065972222</v>
      </c>
      <c r="C1061" s="1" t="n">
        <v>45880</v>
      </c>
      <c r="D1061" t="inlineStr">
        <is>
          <t>SKÅNE LÄN</t>
        </is>
      </c>
      <c r="E1061" t="inlineStr">
        <is>
          <t>HÄSSLEHOLM</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49181-2024</t>
        </is>
      </c>
      <c r="B1062" s="1" t="n">
        <v>45595</v>
      </c>
      <c r="C1062" s="1" t="n">
        <v>45880</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3349-2023</t>
        </is>
      </c>
      <c r="B1063" s="1" t="n">
        <v>44949</v>
      </c>
      <c r="C1063" s="1" t="n">
        <v>45880</v>
      </c>
      <c r="D1063" t="inlineStr">
        <is>
          <t>SKÅNE LÄN</t>
        </is>
      </c>
      <c r="E1063" t="inlineStr">
        <is>
          <t>HÄSSLEHOLM</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49384-2021</t>
        </is>
      </c>
      <c r="B1064" s="1" t="n">
        <v>44454</v>
      </c>
      <c r="C1064" s="1" t="n">
        <v>45880</v>
      </c>
      <c r="D1064" t="inlineStr">
        <is>
          <t>SKÅNE LÄN</t>
        </is>
      </c>
      <c r="E1064" t="inlineStr">
        <is>
          <t>HÄSSLEHOLM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60959-2022</t>
        </is>
      </c>
      <c r="B1065" s="1" t="n">
        <v>44914.64777777778</v>
      </c>
      <c r="C1065" s="1" t="n">
        <v>45880</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3746-2024</t>
        </is>
      </c>
      <c r="B1066" s="1" t="n">
        <v>45321.50745370371</v>
      </c>
      <c r="C1066" s="1" t="n">
        <v>45880</v>
      </c>
      <c r="D1066" t="inlineStr">
        <is>
          <t>SKÅNE LÄN</t>
        </is>
      </c>
      <c r="E1066" t="inlineStr">
        <is>
          <t>HÄSSLEHOLM</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6638-2021</t>
        </is>
      </c>
      <c r="B1067" s="1" t="n">
        <v>44235</v>
      </c>
      <c r="C1067" s="1" t="n">
        <v>45880</v>
      </c>
      <c r="D1067" t="inlineStr">
        <is>
          <t>SKÅNE LÄN</t>
        </is>
      </c>
      <c r="E1067" t="inlineStr">
        <is>
          <t>HÄSSLEHOLM</t>
        </is>
      </c>
      <c r="G1067" t="n">
        <v>112.4</v>
      </c>
      <c r="H1067" t="n">
        <v>0</v>
      </c>
      <c r="I1067" t="n">
        <v>0</v>
      </c>
      <c r="J1067" t="n">
        <v>0</v>
      </c>
      <c r="K1067" t="n">
        <v>0</v>
      </c>
      <c r="L1067" t="n">
        <v>0</v>
      </c>
      <c r="M1067" t="n">
        <v>0</v>
      </c>
      <c r="N1067" t="n">
        <v>0</v>
      </c>
      <c r="O1067" t="n">
        <v>0</v>
      </c>
      <c r="P1067" t="n">
        <v>0</v>
      </c>
      <c r="Q1067" t="n">
        <v>0</v>
      </c>
      <c r="R1067" s="2" t="inlineStr"/>
    </row>
    <row r="1068" ht="15" customHeight="1">
      <c r="A1068" t="inlineStr">
        <is>
          <t>A 44262-2021</t>
        </is>
      </c>
      <c r="B1068" s="1" t="n">
        <v>44434</v>
      </c>
      <c r="C1068" s="1" t="n">
        <v>45880</v>
      </c>
      <c r="D1068" t="inlineStr">
        <is>
          <t>SKÅNE LÄN</t>
        </is>
      </c>
      <c r="E1068" t="inlineStr">
        <is>
          <t>HÄSSLEHOLM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1553-2023</t>
        </is>
      </c>
      <c r="B1069" s="1" t="n">
        <v>44937</v>
      </c>
      <c r="C1069" s="1" t="n">
        <v>45880</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1562-2023</t>
        </is>
      </c>
      <c r="B1070" s="1" t="n">
        <v>44937.60450231482</v>
      </c>
      <c r="C1070" s="1" t="n">
        <v>45880</v>
      </c>
      <c r="D1070" t="inlineStr">
        <is>
          <t>SKÅNE LÄN</t>
        </is>
      </c>
      <c r="E1070" t="inlineStr">
        <is>
          <t>HÄSSLEHOLM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3452-2023</t>
        </is>
      </c>
      <c r="B1071" s="1" t="n">
        <v>44949</v>
      </c>
      <c r="C1071" s="1" t="n">
        <v>45880</v>
      </c>
      <c r="D1071" t="inlineStr">
        <is>
          <t>SKÅNE LÄN</t>
        </is>
      </c>
      <c r="E1071" t="inlineStr">
        <is>
          <t>HÄSSLEHOLM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2596-2024</t>
        </is>
      </c>
      <c r="B1072" s="1" t="n">
        <v>45313.69969907407</v>
      </c>
      <c r="C1072" s="1" t="n">
        <v>45880</v>
      </c>
      <c r="D1072" t="inlineStr">
        <is>
          <t>SKÅNE LÄN</t>
        </is>
      </c>
      <c r="E1072" t="inlineStr">
        <is>
          <t>HÄSSLEHOLM</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2681-2024</t>
        </is>
      </c>
      <c r="B1073" s="1" t="n">
        <v>45314</v>
      </c>
      <c r="C1073" s="1" t="n">
        <v>45880</v>
      </c>
      <c r="D1073" t="inlineStr">
        <is>
          <t>SKÅNE LÄN</t>
        </is>
      </c>
      <c r="E1073" t="inlineStr">
        <is>
          <t>HÄSSLEHOLM</t>
        </is>
      </c>
      <c r="F1073" t="inlineStr">
        <is>
          <t>Övriga Aktiebolag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4187-2023</t>
        </is>
      </c>
      <c r="B1074" s="1" t="n">
        <v>44953</v>
      </c>
      <c r="C1074" s="1" t="n">
        <v>45880</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4382-2023</t>
        </is>
      </c>
      <c r="B1075" s="1" t="n">
        <v>44955.61152777778</v>
      </c>
      <c r="C1075" s="1" t="n">
        <v>45880</v>
      </c>
      <c r="D1075" t="inlineStr">
        <is>
          <t>SKÅNE LÄN</t>
        </is>
      </c>
      <c r="E1075" t="inlineStr">
        <is>
          <t>HÄSSLEHOLM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49107-2023</t>
        </is>
      </c>
      <c r="B1076" s="1" t="n">
        <v>45210.44337962963</v>
      </c>
      <c r="C1076" s="1" t="n">
        <v>45880</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5282-2023</t>
        </is>
      </c>
      <c r="B1077" s="1" t="n">
        <v>44959.50471064815</v>
      </c>
      <c r="C1077" s="1" t="n">
        <v>45880</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6180-2021</t>
        </is>
      </c>
      <c r="B1078" s="1" t="n">
        <v>44232</v>
      </c>
      <c r="C1078" s="1" t="n">
        <v>45880</v>
      </c>
      <c r="D1078" t="inlineStr">
        <is>
          <t>SKÅNE LÄN</t>
        </is>
      </c>
      <c r="E1078" t="inlineStr">
        <is>
          <t>HÄSSLEHOLM</t>
        </is>
      </c>
      <c r="F1078" t="inlineStr">
        <is>
          <t>Kyrkan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53897-2023</t>
        </is>
      </c>
      <c r="B1079" s="1" t="n">
        <v>45231.53934027778</v>
      </c>
      <c r="C1079" s="1" t="n">
        <v>45880</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20990-2023</t>
        </is>
      </c>
      <c r="B1080" s="1" t="n">
        <v>45061.46186342592</v>
      </c>
      <c r="C1080" s="1" t="n">
        <v>45880</v>
      </c>
      <c r="D1080" t="inlineStr">
        <is>
          <t>SKÅNE LÄN</t>
        </is>
      </c>
      <c r="E1080" t="inlineStr">
        <is>
          <t>HÄSSLEHOLM</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22696-2023</t>
        </is>
      </c>
      <c r="B1081" s="1" t="n">
        <v>45071.69464120371</v>
      </c>
      <c r="C1081" s="1" t="n">
        <v>45880</v>
      </c>
      <c r="D1081" t="inlineStr">
        <is>
          <t>SKÅNE LÄN</t>
        </is>
      </c>
      <c r="E1081" t="inlineStr">
        <is>
          <t>HÄSSLEHOLM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33873-2021</t>
        </is>
      </c>
      <c r="B1082" s="1" t="n">
        <v>44378</v>
      </c>
      <c r="C1082" s="1" t="n">
        <v>45880</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34348-2022</t>
        </is>
      </c>
      <c r="B1083" s="1" t="n">
        <v>44792</v>
      </c>
      <c r="C1083" s="1" t="n">
        <v>45880</v>
      </c>
      <c r="D1083" t="inlineStr">
        <is>
          <t>SKÅNE LÄN</t>
        </is>
      </c>
      <c r="E1083" t="inlineStr">
        <is>
          <t>HÄSSLEHOLM</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6836-2023</t>
        </is>
      </c>
      <c r="B1084" s="1" t="n">
        <v>44967</v>
      </c>
      <c r="C1084" s="1" t="n">
        <v>45880</v>
      </c>
      <c r="D1084" t="inlineStr">
        <is>
          <t>SKÅNE LÄN</t>
        </is>
      </c>
      <c r="E1084" t="inlineStr">
        <is>
          <t>HÄSSLEHOLM</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31931-2024</t>
        </is>
      </c>
      <c r="B1085" s="1" t="n">
        <v>45510.40878472223</v>
      </c>
      <c r="C1085" s="1" t="n">
        <v>45880</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8803-2023</t>
        </is>
      </c>
      <c r="B1086" s="1" t="n">
        <v>44978.61712962963</v>
      </c>
      <c r="C1086" s="1" t="n">
        <v>45880</v>
      </c>
      <c r="D1086" t="inlineStr">
        <is>
          <t>SKÅNE LÄN</t>
        </is>
      </c>
      <c r="E1086" t="inlineStr">
        <is>
          <t>HÄSSLEHOLM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11681-2023</t>
        </is>
      </c>
      <c r="B1087" s="1" t="n">
        <v>44992</v>
      </c>
      <c r="C1087" s="1" t="n">
        <v>45880</v>
      </c>
      <c r="D1087" t="inlineStr">
        <is>
          <t>SKÅNE LÄN</t>
        </is>
      </c>
      <c r="E1087" t="inlineStr">
        <is>
          <t>HÄSSLEHOLM</t>
        </is>
      </c>
      <c r="F1087" t="inlineStr">
        <is>
          <t>Övriga Aktiebolag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46222-2022</t>
        </is>
      </c>
      <c r="B1088" s="1" t="n">
        <v>44847.58725694445</v>
      </c>
      <c r="C1088" s="1" t="n">
        <v>45880</v>
      </c>
      <c r="D1088" t="inlineStr">
        <is>
          <t>SKÅNE LÄN</t>
        </is>
      </c>
      <c r="E1088" t="inlineStr">
        <is>
          <t>HÄSSLEHOLM</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50046-2020</t>
        </is>
      </c>
      <c r="B1089" s="1" t="n">
        <v>44109</v>
      </c>
      <c r="C1089" s="1" t="n">
        <v>45880</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50249-2024</t>
        </is>
      </c>
      <c r="B1090" s="1" t="n">
        <v>45600.56866898148</v>
      </c>
      <c r="C1090" s="1" t="n">
        <v>45880</v>
      </c>
      <c r="D1090" t="inlineStr">
        <is>
          <t>SKÅNE LÄN</t>
        </is>
      </c>
      <c r="E1090" t="inlineStr">
        <is>
          <t>HÄSSLEHOLM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60843-2022</t>
        </is>
      </c>
      <c r="B1091" s="1" t="n">
        <v>44914</v>
      </c>
      <c r="C1091" s="1" t="n">
        <v>45880</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51040-2024</t>
        </is>
      </c>
      <c r="B1092" s="1" t="n">
        <v>45603.43222222223</v>
      </c>
      <c r="C1092" s="1" t="n">
        <v>45880</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56881-2021</t>
        </is>
      </c>
      <c r="B1093" s="1" t="n">
        <v>44481</v>
      </c>
      <c r="C1093" s="1" t="n">
        <v>45880</v>
      </c>
      <c r="D1093" t="inlineStr">
        <is>
          <t>SKÅNE LÄN</t>
        </is>
      </c>
      <c r="E1093" t="inlineStr">
        <is>
          <t>HÄSSLEHOLM</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45653-2024</t>
        </is>
      </c>
      <c r="B1094" s="1" t="n">
        <v>45579.48872685185</v>
      </c>
      <c r="C1094" s="1" t="n">
        <v>45880</v>
      </c>
      <c r="D1094" t="inlineStr">
        <is>
          <t>SKÅNE LÄN</t>
        </is>
      </c>
      <c r="E1094" t="inlineStr">
        <is>
          <t>HÄSSLEHOLM</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56956-2024</t>
        </is>
      </c>
      <c r="B1095" s="1" t="n">
        <v>45626</v>
      </c>
      <c r="C1095" s="1" t="n">
        <v>45880</v>
      </c>
      <c r="D1095" t="inlineStr">
        <is>
          <t>SKÅNE LÄN</t>
        </is>
      </c>
      <c r="E1095" t="inlineStr">
        <is>
          <t>HÄSSLEHOLM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58883-2024</t>
        </is>
      </c>
      <c r="B1096" s="1" t="n">
        <v>45636.44962962963</v>
      </c>
      <c r="C1096" s="1" t="n">
        <v>45880</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45392-2024</t>
        </is>
      </c>
      <c r="B1097" s="1" t="n">
        <v>45576.55008101852</v>
      </c>
      <c r="C1097" s="1" t="n">
        <v>45880</v>
      </c>
      <c r="D1097" t="inlineStr">
        <is>
          <t>SKÅNE LÄN</t>
        </is>
      </c>
      <c r="E1097" t="inlineStr">
        <is>
          <t>HÄSSLEHOLM</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20187-2023</t>
        </is>
      </c>
      <c r="B1098" s="1" t="n">
        <v>45055.57027777778</v>
      </c>
      <c r="C1098" s="1" t="n">
        <v>45880</v>
      </c>
      <c r="D1098" t="inlineStr">
        <is>
          <t>SKÅNE LÄN</t>
        </is>
      </c>
      <c r="E1098" t="inlineStr">
        <is>
          <t>HÄSSLEHOLM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9555-2025</t>
        </is>
      </c>
      <c r="B1099" s="1" t="n">
        <v>45714</v>
      </c>
      <c r="C1099" s="1" t="n">
        <v>45880</v>
      </c>
      <c r="D1099" t="inlineStr">
        <is>
          <t>SKÅNE LÄN</t>
        </is>
      </c>
      <c r="E1099" t="inlineStr">
        <is>
          <t>HÄSSLEHOLM</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1543-2024</t>
        </is>
      </c>
      <c r="B1100" s="1" t="n">
        <v>45306</v>
      </c>
      <c r="C1100" s="1" t="n">
        <v>45880</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37038-2022</t>
        </is>
      </c>
      <c r="B1101" s="1" t="n">
        <v>44806.44232638889</v>
      </c>
      <c r="C1101" s="1" t="n">
        <v>45880</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16454-2023</t>
        </is>
      </c>
      <c r="B1102" s="1" t="n">
        <v>45029.48425925926</v>
      </c>
      <c r="C1102" s="1" t="n">
        <v>45880</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31572-2022</t>
        </is>
      </c>
      <c r="B1103" s="1" t="n">
        <v>44775</v>
      </c>
      <c r="C1103" s="1" t="n">
        <v>45880</v>
      </c>
      <c r="D1103" t="inlineStr">
        <is>
          <t>SKÅNE LÄN</t>
        </is>
      </c>
      <c r="E1103" t="inlineStr">
        <is>
          <t>HÄSSLEHOLM</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70087-2021</t>
        </is>
      </c>
      <c r="B1104" s="1" t="n">
        <v>44533</v>
      </c>
      <c r="C1104" s="1" t="n">
        <v>45880</v>
      </c>
      <c r="D1104" t="inlineStr">
        <is>
          <t>SKÅNE LÄN</t>
        </is>
      </c>
      <c r="E1104" t="inlineStr">
        <is>
          <t>HÄSSLEHOLM</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9375-2023</t>
        </is>
      </c>
      <c r="B1105" s="1" t="n">
        <v>44981</v>
      </c>
      <c r="C1105" s="1" t="n">
        <v>45880</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29287-2023</t>
        </is>
      </c>
      <c r="B1106" s="1" t="n">
        <v>45098</v>
      </c>
      <c r="C1106" s="1" t="n">
        <v>45880</v>
      </c>
      <c r="D1106" t="inlineStr">
        <is>
          <t>SKÅNE LÄN</t>
        </is>
      </c>
      <c r="E1106" t="inlineStr">
        <is>
          <t>HÄSSLEHOLM</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55416-2021</t>
        </is>
      </c>
      <c r="B1107" s="1" t="n">
        <v>44475</v>
      </c>
      <c r="C1107" s="1" t="n">
        <v>45880</v>
      </c>
      <c r="D1107" t="inlineStr">
        <is>
          <t>SKÅNE LÄN</t>
        </is>
      </c>
      <c r="E1107" t="inlineStr">
        <is>
          <t>HÄSSLEHOLM</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60509-2023</t>
        </is>
      </c>
      <c r="B1108" s="1" t="n">
        <v>45259</v>
      </c>
      <c r="C1108" s="1" t="n">
        <v>45880</v>
      </c>
      <c r="D1108" t="inlineStr">
        <is>
          <t>SKÅNE LÄN</t>
        </is>
      </c>
      <c r="E1108" t="inlineStr">
        <is>
          <t>HÄSSLEHOLM</t>
        </is>
      </c>
      <c r="F1108" t="inlineStr">
        <is>
          <t>Övriga Aktiebolag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21310-2022</t>
        </is>
      </c>
      <c r="B1109" s="1" t="n">
        <v>44705</v>
      </c>
      <c r="C1109" s="1" t="n">
        <v>45880</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9485-2023</t>
        </is>
      </c>
      <c r="B1110" s="1" t="n">
        <v>44981.60901620371</v>
      </c>
      <c r="C1110" s="1" t="n">
        <v>45880</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9502-2023</t>
        </is>
      </c>
      <c r="B1111" s="1" t="n">
        <v>44981.63278935185</v>
      </c>
      <c r="C1111" s="1" t="n">
        <v>45880</v>
      </c>
      <c r="D1111" t="inlineStr">
        <is>
          <t>SKÅNE LÄN</t>
        </is>
      </c>
      <c r="E1111" t="inlineStr">
        <is>
          <t>HÄSSLEHOLM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10928-2024</t>
        </is>
      </c>
      <c r="B1112" s="1" t="n">
        <v>45370</v>
      </c>
      <c r="C1112" s="1" t="n">
        <v>45880</v>
      </c>
      <c r="D1112" t="inlineStr">
        <is>
          <t>SKÅNE LÄN</t>
        </is>
      </c>
      <c r="E1112" t="inlineStr">
        <is>
          <t>HÄSSLEHOLM</t>
        </is>
      </c>
      <c r="F1112" t="inlineStr">
        <is>
          <t>Övriga Aktiebolag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5890-2023</t>
        </is>
      </c>
      <c r="B1113" s="1" t="n">
        <v>44963.64527777778</v>
      </c>
      <c r="C1113" s="1" t="n">
        <v>45880</v>
      </c>
      <c r="D1113" t="inlineStr">
        <is>
          <t>SKÅNE LÄN</t>
        </is>
      </c>
      <c r="E1113" t="inlineStr">
        <is>
          <t>HÄSSLEHOLM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5894-2023</t>
        </is>
      </c>
      <c r="B1114" s="1" t="n">
        <v>44963.65148148148</v>
      </c>
      <c r="C1114" s="1" t="n">
        <v>45880</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12843-2023</t>
        </is>
      </c>
      <c r="B1115" s="1" t="n">
        <v>45001.48423611111</v>
      </c>
      <c r="C1115" s="1" t="n">
        <v>45880</v>
      </c>
      <c r="D1115" t="inlineStr">
        <is>
          <t>SKÅNE LÄN</t>
        </is>
      </c>
      <c r="E1115" t="inlineStr">
        <is>
          <t>HÄSSLEHOLM</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10944-2024</t>
        </is>
      </c>
      <c r="B1116" s="1" t="n">
        <v>45370</v>
      </c>
      <c r="C1116" s="1" t="n">
        <v>45880</v>
      </c>
      <c r="D1116" t="inlineStr">
        <is>
          <t>SKÅNE LÄN</t>
        </is>
      </c>
      <c r="E1116" t="inlineStr">
        <is>
          <t>HÄSSLEHOLM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13309-2025</t>
        </is>
      </c>
      <c r="B1117" s="1" t="n">
        <v>45735.58512731481</v>
      </c>
      <c r="C1117" s="1" t="n">
        <v>45880</v>
      </c>
      <c r="D1117" t="inlineStr">
        <is>
          <t>SKÅNE LÄN</t>
        </is>
      </c>
      <c r="E1117" t="inlineStr">
        <is>
          <t>HÄSSLEHOLM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5980-2024</t>
        </is>
      </c>
      <c r="B1118" s="1" t="n">
        <v>45335</v>
      </c>
      <c r="C1118" s="1" t="n">
        <v>45880</v>
      </c>
      <c r="D1118" t="inlineStr">
        <is>
          <t>SKÅNE LÄN</t>
        </is>
      </c>
      <c r="E1118" t="inlineStr">
        <is>
          <t>HÄSSLEHOLM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42372-2024</t>
        </is>
      </c>
      <c r="B1119" s="1" t="n">
        <v>45564.5127199074</v>
      </c>
      <c r="C1119" s="1" t="n">
        <v>45880</v>
      </c>
      <c r="D1119" t="inlineStr">
        <is>
          <t>SKÅNE LÄN</t>
        </is>
      </c>
      <c r="E1119" t="inlineStr">
        <is>
          <t>HÄSSLEHOLM</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17699-2024</t>
        </is>
      </c>
      <c r="B1120" s="1" t="n">
        <v>45418.46094907408</v>
      </c>
      <c r="C1120" s="1" t="n">
        <v>45880</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17702-2024</t>
        </is>
      </c>
      <c r="B1121" s="1" t="n">
        <v>45418.46534722222</v>
      </c>
      <c r="C1121" s="1" t="n">
        <v>45880</v>
      </c>
      <c r="D1121" t="inlineStr">
        <is>
          <t>SKÅNE LÄN</t>
        </is>
      </c>
      <c r="E1121" t="inlineStr">
        <is>
          <t>HÄSSLEHOLM</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20566-2023</t>
        </is>
      </c>
      <c r="B1122" s="1" t="n">
        <v>45057</v>
      </c>
      <c r="C1122" s="1" t="n">
        <v>45880</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32967-2023</t>
        </is>
      </c>
      <c r="B1123" s="1" t="n">
        <v>45125</v>
      </c>
      <c r="C1123" s="1" t="n">
        <v>45880</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32968-2023</t>
        </is>
      </c>
      <c r="B1124" s="1" t="n">
        <v>45125</v>
      </c>
      <c r="C1124" s="1" t="n">
        <v>45880</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1557-2023</t>
        </is>
      </c>
      <c r="B1125" s="1" t="n">
        <v>44937</v>
      </c>
      <c r="C1125" s="1" t="n">
        <v>45880</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42231-2022</t>
        </is>
      </c>
      <c r="B1126" s="1" t="n">
        <v>44830.77003472222</v>
      </c>
      <c r="C1126" s="1" t="n">
        <v>45880</v>
      </c>
      <c r="D1126" t="inlineStr">
        <is>
          <t>SKÅNE LÄN</t>
        </is>
      </c>
      <c r="E1126" t="inlineStr">
        <is>
          <t>HÄSSLEHOLM</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1560-2023</t>
        </is>
      </c>
      <c r="B1127" s="1" t="n">
        <v>44937</v>
      </c>
      <c r="C1127" s="1" t="n">
        <v>45880</v>
      </c>
      <c r="D1127" t="inlineStr">
        <is>
          <t>SKÅNE LÄN</t>
        </is>
      </c>
      <c r="E1127" t="inlineStr">
        <is>
          <t>HÄSSLEHOLM</t>
        </is>
      </c>
      <c r="G1127" t="n">
        <v>6.8</v>
      </c>
      <c r="H1127" t="n">
        <v>0</v>
      </c>
      <c r="I1127" t="n">
        <v>0</v>
      </c>
      <c r="J1127" t="n">
        <v>0</v>
      </c>
      <c r="K1127" t="n">
        <v>0</v>
      </c>
      <c r="L1127" t="n">
        <v>0</v>
      </c>
      <c r="M1127" t="n">
        <v>0</v>
      </c>
      <c r="N1127" t="n">
        <v>0</v>
      </c>
      <c r="O1127" t="n">
        <v>0</v>
      </c>
      <c r="P1127" t="n">
        <v>0</v>
      </c>
      <c r="Q1127" t="n">
        <v>0</v>
      </c>
      <c r="R1127" s="2" t="inlineStr"/>
    </row>
    <row r="1128">
      <c r="A1128" t="inlineStr">
        <is>
          <t>A 54982-2024</t>
        </is>
      </c>
      <c r="B1128" s="1" t="n">
        <v>45620.7580787037</v>
      </c>
      <c r="C1128" s="1" t="n">
        <v>45880</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2025-08-11T08:26:55Z</dcterms:created>
  <dcterms:modified xmlns:dcterms="http://purl.org/dc/terms/" xmlns:xsi="http://www.w3.org/2001/XMLSchema-instance" xsi:type="dcterms:W3CDTF">2025-08-11T08:26:56Z</dcterms:modified>
</cp:coreProperties>
</file>