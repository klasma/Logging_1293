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45811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45811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45811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45811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45811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45811</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45811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45811</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45811</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45811</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45811</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45811</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45811</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45811</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45811</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45811</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45811</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45811</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45811</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45811</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28988-2019</t>
        </is>
      </c>
      <c r="B22" s="1" t="n">
        <v>43620</v>
      </c>
      <c r="C22" s="1" t="n">
        <v>45811</v>
      </c>
      <c r="D22" t="inlineStr">
        <is>
          <t>SKÅNE LÄN</t>
        </is>
      </c>
      <c r="E22" t="inlineStr">
        <is>
          <t>HÄSSLEHOLM</t>
        </is>
      </c>
      <c r="G22" t="n">
        <v>1</v>
      </c>
      <c r="H22" t="n">
        <v>0</v>
      </c>
      <c r="I22" t="n">
        <v>0</v>
      </c>
      <c r="J22" t="n">
        <v>0</v>
      </c>
      <c r="K22" t="n">
        <v>1</v>
      </c>
      <c r="L22" t="n">
        <v>0</v>
      </c>
      <c r="M22" t="n">
        <v>0</v>
      </c>
      <c r="N22" t="n">
        <v>0</v>
      </c>
      <c r="O22" t="n">
        <v>1</v>
      </c>
      <c r="P22" t="n">
        <v>1</v>
      </c>
      <c r="Q22" t="n">
        <v>1</v>
      </c>
      <c r="R22" s="2" t="inlineStr">
        <is>
          <t>Slåttergubbe</t>
        </is>
      </c>
      <c r="S22">
        <f>HYPERLINK("https://klasma.github.io/Logging_1293/artfynd/A 28988-2019 artfynd.xlsx", "A 28988-2019")</f>
        <v/>
      </c>
      <c r="T22">
        <f>HYPERLINK("https://klasma.github.io/Logging_1293/kartor/A 28988-2019 karta.png", "A 28988-2019")</f>
        <v/>
      </c>
      <c r="V22">
        <f>HYPERLINK("https://klasma.github.io/Logging_1293/klagomål/A 28988-2019 FSC-klagomål.docx", "A 28988-2019")</f>
        <v/>
      </c>
      <c r="W22">
        <f>HYPERLINK("https://klasma.github.io/Logging_1293/klagomålsmail/A 28988-2019 FSC-klagomål mail.docx", "A 28988-2019")</f>
        <v/>
      </c>
      <c r="X22">
        <f>HYPERLINK("https://klasma.github.io/Logging_1293/tillsyn/A 28988-2019 tillsynsbegäran.docx", "A 28988-2019")</f>
        <v/>
      </c>
      <c r="Y22">
        <f>HYPERLINK("https://klasma.github.io/Logging_1293/tillsynsmail/A 28988-2019 tillsynsbegäran mail.docx", "A 28988-2019")</f>
        <v/>
      </c>
    </row>
    <row r="23" ht="15" customHeight="1">
      <c r="A23" t="inlineStr">
        <is>
          <t>A 29223-2019</t>
        </is>
      </c>
      <c r="B23" s="1" t="n">
        <v>43629</v>
      </c>
      <c r="C23" s="1" t="n">
        <v>45811</v>
      </c>
      <c r="D23" t="inlineStr">
        <is>
          <t>SKÅNE LÄN</t>
        </is>
      </c>
      <c r="E23" t="inlineStr">
        <is>
          <t>HÄSSLEHOLM</t>
        </is>
      </c>
      <c r="G23" t="n">
        <v>1.6</v>
      </c>
      <c r="H23" t="n">
        <v>0</v>
      </c>
      <c r="I23" t="n">
        <v>0</v>
      </c>
      <c r="J23" t="n">
        <v>1</v>
      </c>
      <c r="K23" t="n">
        <v>0</v>
      </c>
      <c r="L23" t="n">
        <v>0</v>
      </c>
      <c r="M23" t="n">
        <v>0</v>
      </c>
      <c r="N23" t="n">
        <v>0</v>
      </c>
      <c r="O23" t="n">
        <v>1</v>
      </c>
      <c r="P23" t="n">
        <v>0</v>
      </c>
      <c r="Q23" t="n">
        <v>1</v>
      </c>
      <c r="R23" s="2" t="inlineStr">
        <is>
          <t>Brandbitterskivling</t>
        </is>
      </c>
      <c r="S23">
        <f>HYPERLINK("https://klasma.github.io/Logging_1293/artfynd/A 29223-2019 artfynd.xlsx", "A 29223-2019")</f>
        <v/>
      </c>
      <c r="T23">
        <f>HYPERLINK("https://klasma.github.io/Logging_1293/kartor/A 29223-2019 karta.png", "A 29223-2019")</f>
        <v/>
      </c>
      <c r="V23">
        <f>HYPERLINK("https://klasma.github.io/Logging_1293/klagomål/A 29223-2019 FSC-klagomål.docx", "A 29223-2019")</f>
        <v/>
      </c>
      <c r="W23">
        <f>HYPERLINK("https://klasma.github.io/Logging_1293/klagomålsmail/A 29223-2019 FSC-klagomål mail.docx", "A 29223-2019")</f>
        <v/>
      </c>
      <c r="X23">
        <f>HYPERLINK("https://klasma.github.io/Logging_1293/tillsyn/A 29223-2019 tillsynsbegäran.docx", "A 29223-2019")</f>
        <v/>
      </c>
      <c r="Y23">
        <f>HYPERLINK("https://klasma.github.io/Logging_1293/tillsynsmail/A 29223-2019 tillsynsbegäran mail.docx", "A 29223-2019")</f>
        <v/>
      </c>
    </row>
    <row r="24" ht="15" customHeight="1">
      <c r="A24" t="inlineStr">
        <is>
          <t>A 29765-2019</t>
        </is>
      </c>
      <c r="B24" s="1" t="n">
        <v>43632</v>
      </c>
      <c r="C24" s="1" t="n">
        <v>45811</v>
      </c>
      <c r="D24" t="inlineStr">
        <is>
          <t>SKÅNE LÄN</t>
        </is>
      </c>
      <c r="E24" t="inlineStr">
        <is>
          <t>HÄSSLEHOLM</t>
        </is>
      </c>
      <c r="G24" t="n">
        <v>13.9</v>
      </c>
      <c r="H24" t="n">
        <v>0</v>
      </c>
      <c r="I24" t="n">
        <v>0</v>
      </c>
      <c r="J24" t="n">
        <v>0</v>
      </c>
      <c r="K24" t="n">
        <v>0</v>
      </c>
      <c r="L24" t="n">
        <v>0</v>
      </c>
      <c r="M24" t="n">
        <v>1</v>
      </c>
      <c r="N24" t="n">
        <v>0</v>
      </c>
      <c r="O24" t="n">
        <v>1</v>
      </c>
      <c r="P24" t="n">
        <v>1</v>
      </c>
      <c r="Q24" t="n">
        <v>1</v>
      </c>
      <c r="R24" s="2" t="inlineStr">
        <is>
          <t>Flodkräfta</t>
        </is>
      </c>
      <c r="S24">
        <f>HYPERLINK("https://klasma.github.io/Logging_1293/artfynd/A 29765-2019 artfynd.xlsx", "A 29765-2019")</f>
        <v/>
      </c>
      <c r="T24">
        <f>HYPERLINK("https://klasma.github.io/Logging_1293/kartor/A 29765-2019 karta.png", "A 29765-2019")</f>
        <v/>
      </c>
      <c r="V24">
        <f>HYPERLINK("https://klasma.github.io/Logging_1293/klagomål/A 29765-2019 FSC-klagomål.docx", "A 29765-2019")</f>
        <v/>
      </c>
      <c r="W24">
        <f>HYPERLINK("https://klasma.github.io/Logging_1293/klagomålsmail/A 29765-2019 FSC-klagomål mail.docx", "A 29765-2019")</f>
        <v/>
      </c>
      <c r="X24">
        <f>HYPERLINK("https://klasma.github.io/Logging_1293/tillsyn/A 29765-2019 tillsynsbegäran.docx", "A 29765-2019")</f>
        <v/>
      </c>
      <c r="Y24">
        <f>HYPERLINK("https://klasma.github.io/Logging_1293/tillsynsmail/A 29765-2019 tillsynsbegäran mail.docx", "A 29765-2019")</f>
        <v/>
      </c>
    </row>
    <row r="25" ht="15" customHeight="1">
      <c r="A25" t="inlineStr">
        <is>
          <t>A 32997-2019</t>
        </is>
      </c>
      <c r="B25" s="1" t="n">
        <v>43649</v>
      </c>
      <c r="C25" s="1" t="n">
        <v>45811</v>
      </c>
      <c r="D25" t="inlineStr">
        <is>
          <t>SKÅNE LÄN</t>
        </is>
      </c>
      <c r="E25" t="inlineStr">
        <is>
          <t>HÄSSLEHOLM</t>
        </is>
      </c>
      <c r="G25" t="n">
        <v>3.9</v>
      </c>
      <c r="H25" t="n">
        <v>1</v>
      </c>
      <c r="I25" t="n">
        <v>0</v>
      </c>
      <c r="J25" t="n">
        <v>0</v>
      </c>
      <c r="K25" t="n">
        <v>1</v>
      </c>
      <c r="L25" t="n">
        <v>0</v>
      </c>
      <c r="M25" t="n">
        <v>0</v>
      </c>
      <c r="N25" t="n">
        <v>0</v>
      </c>
      <c r="O25" t="n">
        <v>1</v>
      </c>
      <c r="P25" t="n">
        <v>1</v>
      </c>
      <c r="Q25" t="n">
        <v>1</v>
      </c>
      <c r="R25" s="2" t="inlineStr">
        <is>
          <t>Knärot</t>
        </is>
      </c>
      <c r="S25">
        <f>HYPERLINK("https://klasma.github.io/Logging_1293/artfynd/A 32997-2019 artfynd.xlsx", "A 32997-2019")</f>
        <v/>
      </c>
      <c r="T25">
        <f>HYPERLINK("https://klasma.github.io/Logging_1293/kartor/A 32997-2019 karta.png", "A 32997-2019")</f>
        <v/>
      </c>
      <c r="U25">
        <f>HYPERLINK("https://klasma.github.io/Logging_1293/knärot/A 32997-2019 karta knärot.png", "A 32997-2019")</f>
        <v/>
      </c>
      <c r="V25">
        <f>HYPERLINK("https://klasma.github.io/Logging_1293/klagomål/A 32997-2019 FSC-klagomål.docx", "A 32997-2019")</f>
        <v/>
      </c>
      <c r="W25">
        <f>HYPERLINK("https://klasma.github.io/Logging_1293/klagomålsmail/A 32997-2019 FSC-klagomål mail.docx", "A 32997-2019")</f>
        <v/>
      </c>
      <c r="X25">
        <f>HYPERLINK("https://klasma.github.io/Logging_1293/tillsyn/A 32997-2019 tillsynsbegäran.docx", "A 32997-2019")</f>
        <v/>
      </c>
      <c r="Y25">
        <f>HYPERLINK("https://klasma.github.io/Logging_1293/tillsynsmail/A 32997-2019 tillsynsbegäran mail.docx", "A 32997-2019")</f>
        <v/>
      </c>
    </row>
    <row r="26" ht="15" customHeight="1">
      <c r="A26" t="inlineStr">
        <is>
          <t>A 41120-2019</t>
        </is>
      </c>
      <c r="B26" s="1" t="n">
        <v>43698</v>
      </c>
      <c r="C26" s="1" t="n">
        <v>45811</v>
      </c>
      <c r="D26" t="inlineStr">
        <is>
          <t>SKÅNE LÄN</t>
        </is>
      </c>
      <c r="E26" t="inlineStr">
        <is>
          <t>HÄSSLEHOLM</t>
        </is>
      </c>
      <c r="G26" t="n">
        <v>7.9</v>
      </c>
      <c r="H26" t="n">
        <v>0</v>
      </c>
      <c r="I26" t="n">
        <v>0</v>
      </c>
      <c r="J26" t="n">
        <v>0</v>
      </c>
      <c r="K26" t="n">
        <v>1</v>
      </c>
      <c r="L26" t="n">
        <v>0</v>
      </c>
      <c r="M26" t="n">
        <v>0</v>
      </c>
      <c r="N26" t="n">
        <v>0</v>
      </c>
      <c r="O26" t="n">
        <v>1</v>
      </c>
      <c r="P26" t="n">
        <v>1</v>
      </c>
      <c r="Q26" t="n">
        <v>1</v>
      </c>
      <c r="R26" s="2" t="inlineStr">
        <is>
          <t>Småvänderot</t>
        </is>
      </c>
      <c r="S26">
        <f>HYPERLINK("https://klasma.github.io/Logging_1293/artfynd/A 41120-2019 artfynd.xlsx", "A 41120-2019")</f>
        <v/>
      </c>
      <c r="T26">
        <f>HYPERLINK("https://klasma.github.io/Logging_1293/kartor/A 41120-2019 karta.png", "A 41120-2019")</f>
        <v/>
      </c>
      <c r="V26">
        <f>HYPERLINK("https://klasma.github.io/Logging_1293/klagomål/A 41120-2019 FSC-klagomål.docx", "A 41120-2019")</f>
        <v/>
      </c>
      <c r="W26">
        <f>HYPERLINK("https://klasma.github.io/Logging_1293/klagomålsmail/A 41120-2019 FSC-klagomål mail.docx", "A 41120-2019")</f>
        <v/>
      </c>
      <c r="X26">
        <f>HYPERLINK("https://klasma.github.io/Logging_1293/tillsyn/A 41120-2019 tillsynsbegäran.docx", "A 41120-2019")</f>
        <v/>
      </c>
      <c r="Y26">
        <f>HYPERLINK("https://klasma.github.io/Logging_1293/tillsynsmail/A 41120-2019 tillsynsbegäran mail.docx", "A 41120-2019")</f>
        <v/>
      </c>
    </row>
    <row r="27" ht="15" customHeight="1">
      <c r="A27" t="inlineStr">
        <is>
          <t>A 47468-2019</t>
        </is>
      </c>
      <c r="B27" s="1" t="n">
        <v>43724</v>
      </c>
      <c r="C27" s="1" t="n">
        <v>45811</v>
      </c>
      <c r="D27" t="inlineStr">
        <is>
          <t>SKÅNE LÄN</t>
        </is>
      </c>
      <c r="E27" t="inlineStr">
        <is>
          <t>HÄSSLEHOLM</t>
        </is>
      </c>
      <c r="G27" t="n">
        <v>3.3</v>
      </c>
      <c r="H27" t="n">
        <v>1</v>
      </c>
      <c r="I27" t="n">
        <v>0</v>
      </c>
      <c r="J27" t="n">
        <v>0</v>
      </c>
      <c r="K27" t="n">
        <v>0</v>
      </c>
      <c r="L27" t="n">
        <v>0</v>
      </c>
      <c r="M27" t="n">
        <v>0</v>
      </c>
      <c r="N27" t="n">
        <v>0</v>
      </c>
      <c r="O27" t="n">
        <v>0</v>
      </c>
      <c r="P27" t="n">
        <v>0</v>
      </c>
      <c r="Q27" t="n">
        <v>1</v>
      </c>
      <c r="R27" s="2" t="inlineStr">
        <is>
          <t>Gullviva</t>
        </is>
      </c>
      <c r="S27">
        <f>HYPERLINK("https://klasma.github.io/Logging_1293/artfynd/A 47468-2019 artfynd.xlsx", "A 47468-2019")</f>
        <v/>
      </c>
      <c r="T27">
        <f>HYPERLINK("https://klasma.github.io/Logging_1293/kartor/A 47468-2019 karta.png", "A 47468-2019")</f>
        <v/>
      </c>
      <c r="V27">
        <f>HYPERLINK("https://klasma.github.io/Logging_1293/klagomål/A 47468-2019 FSC-klagomål.docx", "A 47468-2019")</f>
        <v/>
      </c>
      <c r="W27">
        <f>HYPERLINK("https://klasma.github.io/Logging_1293/klagomålsmail/A 47468-2019 FSC-klagomål mail.docx", "A 47468-2019")</f>
        <v/>
      </c>
      <c r="X27">
        <f>HYPERLINK("https://klasma.github.io/Logging_1293/tillsyn/A 47468-2019 tillsynsbegäran.docx", "A 47468-2019")</f>
        <v/>
      </c>
      <c r="Y27">
        <f>HYPERLINK("https://klasma.github.io/Logging_1293/tillsynsmail/A 47468-2019 tillsynsbegäran mail.docx", "A 47468-2019")</f>
        <v/>
      </c>
    </row>
    <row r="28" ht="15" customHeight="1">
      <c r="A28" t="inlineStr">
        <is>
          <t>A 47678-2019</t>
        </is>
      </c>
      <c r="B28" s="1" t="n">
        <v>43724</v>
      </c>
      <c r="C28" s="1" t="n">
        <v>45811</v>
      </c>
      <c r="D28" t="inlineStr">
        <is>
          <t>SKÅNE LÄN</t>
        </is>
      </c>
      <c r="E28" t="inlineStr">
        <is>
          <t>HÄSSLEHOLM</t>
        </is>
      </c>
      <c r="G28" t="n">
        <v>3.7</v>
      </c>
      <c r="H28" t="n">
        <v>0</v>
      </c>
      <c r="I28" t="n">
        <v>0</v>
      </c>
      <c r="J28" t="n">
        <v>1</v>
      </c>
      <c r="K28" t="n">
        <v>0</v>
      </c>
      <c r="L28" t="n">
        <v>0</v>
      </c>
      <c r="M28" t="n">
        <v>0</v>
      </c>
      <c r="N28" t="n">
        <v>0</v>
      </c>
      <c r="O28" t="n">
        <v>1</v>
      </c>
      <c r="P28" t="n">
        <v>0</v>
      </c>
      <c r="Q28" t="n">
        <v>1</v>
      </c>
      <c r="R28" s="2" t="inlineStr">
        <is>
          <t>Nålbjörnbär</t>
        </is>
      </c>
      <c r="S28">
        <f>HYPERLINK("https://klasma.github.io/Logging_1293/artfynd/A 47678-2019 artfynd.xlsx", "A 47678-2019")</f>
        <v/>
      </c>
      <c r="T28">
        <f>HYPERLINK("https://klasma.github.io/Logging_1293/kartor/A 47678-2019 karta.png", "A 47678-2019")</f>
        <v/>
      </c>
      <c r="V28">
        <f>HYPERLINK("https://klasma.github.io/Logging_1293/klagomål/A 47678-2019 FSC-klagomål.docx", "A 47678-2019")</f>
        <v/>
      </c>
      <c r="W28">
        <f>HYPERLINK("https://klasma.github.io/Logging_1293/klagomålsmail/A 47678-2019 FSC-klagomål mail.docx", "A 47678-2019")</f>
        <v/>
      </c>
      <c r="X28">
        <f>HYPERLINK("https://klasma.github.io/Logging_1293/tillsyn/A 47678-2019 tillsynsbegäran.docx", "A 47678-2019")</f>
        <v/>
      </c>
      <c r="Y28">
        <f>HYPERLINK("https://klasma.github.io/Logging_1293/tillsynsmail/A 47678-2019 tillsynsbegäran mail.docx", "A 47678-2019")</f>
        <v/>
      </c>
    </row>
    <row r="29" ht="15" customHeight="1">
      <c r="A29" t="inlineStr">
        <is>
          <t>A 57275-2019</t>
        </is>
      </c>
      <c r="B29" s="1" t="n">
        <v>43760</v>
      </c>
      <c r="C29" s="1" t="n">
        <v>45811</v>
      </c>
      <c r="D29" t="inlineStr">
        <is>
          <t>SKÅNE LÄN</t>
        </is>
      </c>
      <c r="E29" t="inlineStr">
        <is>
          <t>HÄSSLEHOLM</t>
        </is>
      </c>
      <c r="G29" t="n">
        <v>0.6</v>
      </c>
      <c r="H29" t="n">
        <v>0</v>
      </c>
      <c r="I29" t="n">
        <v>0</v>
      </c>
      <c r="J29" t="n">
        <v>0</v>
      </c>
      <c r="K29" t="n">
        <v>1</v>
      </c>
      <c r="L29" t="n">
        <v>0</v>
      </c>
      <c r="M29" t="n">
        <v>0</v>
      </c>
      <c r="N29" t="n">
        <v>0</v>
      </c>
      <c r="O29" t="n">
        <v>1</v>
      </c>
      <c r="P29" t="n">
        <v>1</v>
      </c>
      <c r="Q29" t="n">
        <v>1</v>
      </c>
      <c r="R29" s="2" t="inlineStr">
        <is>
          <t>Småvänderot</t>
        </is>
      </c>
      <c r="S29">
        <f>HYPERLINK("https://klasma.github.io/Logging_1293/artfynd/A 57275-2019 artfynd.xlsx", "A 57275-2019")</f>
        <v/>
      </c>
      <c r="T29">
        <f>HYPERLINK("https://klasma.github.io/Logging_1293/kartor/A 57275-2019 karta.png", "A 57275-2019")</f>
        <v/>
      </c>
      <c r="V29">
        <f>HYPERLINK("https://klasma.github.io/Logging_1293/klagomål/A 57275-2019 FSC-klagomål.docx", "A 57275-2019")</f>
        <v/>
      </c>
      <c r="W29">
        <f>HYPERLINK("https://klasma.github.io/Logging_1293/klagomålsmail/A 57275-2019 FSC-klagomål mail.docx", "A 57275-2019")</f>
        <v/>
      </c>
      <c r="X29">
        <f>HYPERLINK("https://klasma.github.io/Logging_1293/tillsyn/A 57275-2019 tillsynsbegäran.docx", "A 57275-2019")</f>
        <v/>
      </c>
      <c r="Y29">
        <f>HYPERLINK("https://klasma.github.io/Logging_1293/tillsynsmail/A 57275-2019 tillsynsbegäran mail.docx", "A 57275-2019")</f>
        <v/>
      </c>
    </row>
    <row r="30" ht="15" customHeight="1">
      <c r="A30" t="inlineStr">
        <is>
          <t>A 2738-2020</t>
        </is>
      </c>
      <c r="B30" s="1" t="n">
        <v>43843</v>
      </c>
      <c r="C30" s="1" t="n">
        <v>45811</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2738-2020 artfynd.xlsx", "A 2738-2020")</f>
        <v/>
      </c>
      <c r="T30">
        <f>HYPERLINK("https://klasma.github.io/Logging_1293/kartor/A 2738-2020 karta.png", "A 2738-2020")</f>
        <v/>
      </c>
      <c r="V30">
        <f>HYPERLINK("https://klasma.github.io/Logging_1293/klagomål/A 2738-2020 FSC-klagomål.docx", "A 2738-2020")</f>
        <v/>
      </c>
      <c r="W30">
        <f>HYPERLINK("https://klasma.github.io/Logging_1293/klagomålsmail/A 2738-2020 FSC-klagomål mail.docx", "A 2738-2020")</f>
        <v/>
      </c>
      <c r="X30">
        <f>HYPERLINK("https://klasma.github.io/Logging_1293/tillsyn/A 2738-2020 tillsynsbegäran.docx", "A 2738-2020")</f>
        <v/>
      </c>
      <c r="Y30">
        <f>HYPERLINK("https://klasma.github.io/Logging_1293/tillsynsmail/A 2738-2020 tillsynsbegäran mail.docx", "A 2738-2020")</f>
        <v/>
      </c>
    </row>
    <row r="31" ht="15" customHeight="1">
      <c r="A31" t="inlineStr">
        <is>
          <t>A 15862-2020</t>
        </is>
      </c>
      <c r="B31" s="1" t="n">
        <v>43910</v>
      </c>
      <c r="C31" s="1" t="n">
        <v>45811</v>
      </c>
      <c r="D31" t="inlineStr">
        <is>
          <t>SKÅNE LÄN</t>
        </is>
      </c>
      <c r="E31" t="inlineStr">
        <is>
          <t>HÄSSLEHOLM</t>
        </is>
      </c>
      <c r="G31" t="n">
        <v>10.3</v>
      </c>
      <c r="H31" t="n">
        <v>0</v>
      </c>
      <c r="I31" t="n">
        <v>0</v>
      </c>
      <c r="J31" t="n">
        <v>1</v>
      </c>
      <c r="K31" t="n">
        <v>0</v>
      </c>
      <c r="L31" t="n">
        <v>0</v>
      </c>
      <c r="M31" t="n">
        <v>0</v>
      </c>
      <c r="N31" t="n">
        <v>0</v>
      </c>
      <c r="O31" t="n">
        <v>1</v>
      </c>
      <c r="P31" t="n">
        <v>0</v>
      </c>
      <c r="Q31" t="n">
        <v>1</v>
      </c>
      <c r="R31" s="2" t="inlineStr">
        <is>
          <t>Sydlig sotticka</t>
        </is>
      </c>
      <c r="S31">
        <f>HYPERLINK("https://klasma.github.io/Logging_1293/artfynd/A 15862-2020 artfynd.xlsx", "A 15862-2020")</f>
        <v/>
      </c>
      <c r="T31">
        <f>HYPERLINK("https://klasma.github.io/Logging_1293/kartor/A 15862-2020 karta.png", "A 15862-2020")</f>
        <v/>
      </c>
      <c r="V31">
        <f>HYPERLINK("https://klasma.github.io/Logging_1293/klagomål/A 15862-2020 FSC-klagomål.docx", "A 15862-2020")</f>
        <v/>
      </c>
      <c r="W31">
        <f>HYPERLINK("https://klasma.github.io/Logging_1293/klagomålsmail/A 15862-2020 FSC-klagomål mail.docx", "A 15862-2020")</f>
        <v/>
      </c>
      <c r="X31">
        <f>HYPERLINK("https://klasma.github.io/Logging_1293/tillsyn/A 15862-2020 tillsynsbegäran.docx", "A 15862-2020")</f>
        <v/>
      </c>
      <c r="Y31">
        <f>HYPERLINK("https://klasma.github.io/Logging_1293/tillsynsmail/A 15862-2020 tillsynsbegäran mail.docx", "A 15862-2020")</f>
        <v/>
      </c>
    </row>
    <row r="32" ht="15" customHeight="1">
      <c r="A32" t="inlineStr">
        <is>
          <t>A 62434-2020</t>
        </is>
      </c>
      <c r="B32" s="1" t="n">
        <v>44159</v>
      </c>
      <c r="C32" s="1" t="n">
        <v>45811</v>
      </c>
      <c r="D32" t="inlineStr">
        <is>
          <t>SKÅNE LÄN</t>
        </is>
      </c>
      <c r="E32" t="inlineStr">
        <is>
          <t>HÄSSLEHOLM</t>
        </is>
      </c>
      <c r="G32" t="n">
        <v>2</v>
      </c>
      <c r="H32" t="n">
        <v>0</v>
      </c>
      <c r="I32" t="n">
        <v>0</v>
      </c>
      <c r="J32" t="n">
        <v>1</v>
      </c>
      <c r="K32" t="n">
        <v>0</v>
      </c>
      <c r="L32" t="n">
        <v>0</v>
      </c>
      <c r="M32" t="n">
        <v>0</v>
      </c>
      <c r="N32" t="n">
        <v>0</v>
      </c>
      <c r="O32" t="n">
        <v>1</v>
      </c>
      <c r="P32" t="n">
        <v>0</v>
      </c>
      <c r="Q32" t="n">
        <v>1</v>
      </c>
      <c r="R32" s="2" t="inlineStr">
        <is>
          <t>Borsttåg</t>
        </is>
      </c>
      <c r="S32">
        <f>HYPERLINK("https://klasma.github.io/Logging_1293/artfynd/A 62434-2020 artfynd.xlsx", "A 62434-2020")</f>
        <v/>
      </c>
      <c r="T32">
        <f>HYPERLINK("https://klasma.github.io/Logging_1293/kartor/A 62434-2020 karta.png", "A 62434-2020")</f>
        <v/>
      </c>
      <c r="V32">
        <f>HYPERLINK("https://klasma.github.io/Logging_1293/klagomål/A 62434-2020 FSC-klagomål.docx", "A 62434-2020")</f>
        <v/>
      </c>
      <c r="W32">
        <f>HYPERLINK("https://klasma.github.io/Logging_1293/klagomålsmail/A 62434-2020 FSC-klagomål mail.docx", "A 62434-2020")</f>
        <v/>
      </c>
      <c r="X32">
        <f>HYPERLINK("https://klasma.github.io/Logging_1293/tillsyn/A 62434-2020 tillsynsbegäran.docx", "A 62434-2020")</f>
        <v/>
      </c>
      <c r="Y32">
        <f>HYPERLINK("https://klasma.github.io/Logging_1293/tillsynsmail/A 62434-2020 tillsynsbegäran mail.docx", "A 62434-2020")</f>
        <v/>
      </c>
    </row>
    <row r="33" ht="15" customHeight="1">
      <c r="A33" t="inlineStr">
        <is>
          <t>A 44705-2021</t>
        </is>
      </c>
      <c r="B33" s="1" t="n">
        <v>44438</v>
      </c>
      <c r="C33" s="1" t="n">
        <v>45811</v>
      </c>
      <c r="D33" t="inlineStr">
        <is>
          <t>SKÅNE LÄN</t>
        </is>
      </c>
      <c r="E33" t="inlineStr">
        <is>
          <t>HÄSSLEHOLM</t>
        </is>
      </c>
      <c r="G33" t="n">
        <v>1.7</v>
      </c>
      <c r="H33" t="n">
        <v>0</v>
      </c>
      <c r="I33" t="n">
        <v>1</v>
      </c>
      <c r="J33" t="n">
        <v>0</v>
      </c>
      <c r="K33" t="n">
        <v>0</v>
      </c>
      <c r="L33" t="n">
        <v>0</v>
      </c>
      <c r="M33" t="n">
        <v>0</v>
      </c>
      <c r="N33" t="n">
        <v>0</v>
      </c>
      <c r="O33" t="n">
        <v>0</v>
      </c>
      <c r="P33" t="n">
        <v>0</v>
      </c>
      <c r="Q33" t="n">
        <v>1</v>
      </c>
      <c r="R33" s="2" t="inlineStr">
        <is>
          <t>Blåmossa</t>
        </is>
      </c>
      <c r="S33">
        <f>HYPERLINK("https://klasma.github.io/Logging_1293/artfynd/A 44705-2021 artfynd.xlsx", "A 44705-2021")</f>
        <v/>
      </c>
      <c r="T33">
        <f>HYPERLINK("https://klasma.github.io/Logging_1293/kartor/A 44705-2021 karta.png", "A 44705-2021")</f>
        <v/>
      </c>
      <c r="V33">
        <f>HYPERLINK("https://klasma.github.io/Logging_1293/klagomål/A 44705-2021 FSC-klagomål.docx", "A 44705-2021")</f>
        <v/>
      </c>
      <c r="W33">
        <f>HYPERLINK("https://klasma.github.io/Logging_1293/klagomålsmail/A 44705-2021 FSC-klagomål mail.docx", "A 44705-2021")</f>
        <v/>
      </c>
      <c r="X33">
        <f>HYPERLINK("https://klasma.github.io/Logging_1293/tillsyn/A 44705-2021 tillsynsbegäran.docx", "A 44705-2021")</f>
        <v/>
      </c>
      <c r="Y33">
        <f>HYPERLINK("https://klasma.github.io/Logging_1293/tillsynsmail/A 44705-2021 tillsynsbegäran mail.docx", "A 44705-2021")</f>
        <v/>
      </c>
    </row>
    <row r="34" ht="15" customHeight="1">
      <c r="A34" t="inlineStr">
        <is>
          <t>A 6350-2022</t>
        </is>
      </c>
      <c r="B34" s="1" t="n">
        <v>44600</v>
      </c>
      <c r="C34" s="1" t="n">
        <v>45811</v>
      </c>
      <c r="D34" t="inlineStr">
        <is>
          <t>SKÅNE LÄN</t>
        </is>
      </c>
      <c r="E34" t="inlineStr">
        <is>
          <t>HÄSSLEHOLM</t>
        </is>
      </c>
      <c r="G34" t="n">
        <v>6.1</v>
      </c>
      <c r="H34" t="n">
        <v>1</v>
      </c>
      <c r="I34" t="n">
        <v>1</v>
      </c>
      <c r="J34" t="n">
        <v>0</v>
      </c>
      <c r="K34" t="n">
        <v>0</v>
      </c>
      <c r="L34" t="n">
        <v>0</v>
      </c>
      <c r="M34" t="n">
        <v>0</v>
      </c>
      <c r="N34" t="n">
        <v>0</v>
      </c>
      <c r="O34" t="n">
        <v>0</v>
      </c>
      <c r="P34" t="n">
        <v>0</v>
      </c>
      <c r="Q34" t="n">
        <v>1</v>
      </c>
      <c r="R34" s="2" t="inlineStr">
        <is>
          <t>Skogsknipprot</t>
        </is>
      </c>
      <c r="S34">
        <f>HYPERLINK("https://klasma.github.io/Logging_1293/artfynd/A 6350-2022 artfynd.xlsx", "A 6350-2022")</f>
        <v/>
      </c>
      <c r="T34">
        <f>HYPERLINK("https://klasma.github.io/Logging_1293/kartor/A 6350-2022 karta.png", "A 6350-2022")</f>
        <v/>
      </c>
      <c r="V34">
        <f>HYPERLINK("https://klasma.github.io/Logging_1293/klagomål/A 6350-2022 FSC-klagomål.docx", "A 6350-2022")</f>
        <v/>
      </c>
      <c r="W34">
        <f>HYPERLINK("https://klasma.github.io/Logging_1293/klagomålsmail/A 6350-2022 FSC-klagomål mail.docx", "A 6350-2022")</f>
        <v/>
      </c>
      <c r="X34">
        <f>HYPERLINK("https://klasma.github.io/Logging_1293/tillsyn/A 6350-2022 tillsynsbegäran.docx", "A 6350-2022")</f>
        <v/>
      </c>
      <c r="Y34">
        <f>HYPERLINK("https://klasma.github.io/Logging_1293/tillsynsmail/A 6350-2022 tillsynsbegäran mail.docx", "A 6350-2022")</f>
        <v/>
      </c>
    </row>
    <row r="35" ht="15" customHeight="1">
      <c r="A35" t="inlineStr">
        <is>
          <t>A 13705-2022</t>
        </is>
      </c>
      <c r="B35" s="1" t="n">
        <v>44648</v>
      </c>
      <c r="C35" s="1" t="n">
        <v>45811</v>
      </c>
      <c r="D35" t="inlineStr">
        <is>
          <t>SKÅNE LÄN</t>
        </is>
      </c>
      <c r="E35" t="inlineStr">
        <is>
          <t>HÄSSLEHOLM</t>
        </is>
      </c>
      <c r="G35" t="n">
        <v>1.5</v>
      </c>
      <c r="H35" t="n">
        <v>1</v>
      </c>
      <c r="I35" t="n">
        <v>0</v>
      </c>
      <c r="J35" t="n">
        <v>0</v>
      </c>
      <c r="K35" t="n">
        <v>0</v>
      </c>
      <c r="L35" t="n">
        <v>0</v>
      </c>
      <c r="M35" t="n">
        <v>0</v>
      </c>
      <c r="N35" t="n">
        <v>0</v>
      </c>
      <c r="O35" t="n">
        <v>0</v>
      </c>
      <c r="P35" t="n">
        <v>0</v>
      </c>
      <c r="Q35" t="n">
        <v>1</v>
      </c>
      <c r="R35" s="2" t="inlineStr">
        <is>
          <t>Grönvit nattviol</t>
        </is>
      </c>
      <c r="S35">
        <f>HYPERLINK("https://klasma.github.io/Logging_1293/artfynd/A 13705-2022 artfynd.xlsx", "A 13705-2022")</f>
        <v/>
      </c>
      <c r="T35">
        <f>HYPERLINK("https://klasma.github.io/Logging_1293/kartor/A 13705-2022 karta.png", "A 13705-2022")</f>
        <v/>
      </c>
      <c r="V35">
        <f>HYPERLINK("https://klasma.github.io/Logging_1293/klagomål/A 13705-2022 FSC-klagomål.docx", "A 13705-2022")</f>
        <v/>
      </c>
      <c r="W35">
        <f>HYPERLINK("https://klasma.github.io/Logging_1293/klagomålsmail/A 13705-2022 FSC-klagomål mail.docx", "A 13705-2022")</f>
        <v/>
      </c>
      <c r="X35">
        <f>HYPERLINK("https://klasma.github.io/Logging_1293/tillsyn/A 13705-2022 tillsynsbegäran.docx", "A 13705-2022")</f>
        <v/>
      </c>
      <c r="Y35">
        <f>HYPERLINK("https://klasma.github.io/Logging_1293/tillsynsmail/A 13705-2022 tillsynsbegäran mail.docx", "A 13705-2022")</f>
        <v/>
      </c>
    </row>
    <row r="36" ht="15" customHeight="1">
      <c r="A36" t="inlineStr">
        <is>
          <t>A 27958-2022</t>
        </is>
      </c>
      <c r="B36" s="1" t="n">
        <v>44744</v>
      </c>
      <c r="C36" s="1" t="n">
        <v>45811</v>
      </c>
      <c r="D36" t="inlineStr">
        <is>
          <t>SKÅNE LÄN</t>
        </is>
      </c>
      <c r="E36" t="inlineStr">
        <is>
          <t>HÄSSLEHOLM</t>
        </is>
      </c>
      <c r="G36" t="n">
        <v>3.9</v>
      </c>
      <c r="H36" t="n">
        <v>0</v>
      </c>
      <c r="I36" t="n">
        <v>1</v>
      </c>
      <c r="J36" t="n">
        <v>0</v>
      </c>
      <c r="K36" t="n">
        <v>0</v>
      </c>
      <c r="L36" t="n">
        <v>0</v>
      </c>
      <c r="M36" t="n">
        <v>0</v>
      </c>
      <c r="N36" t="n">
        <v>0</v>
      </c>
      <c r="O36" t="n">
        <v>0</v>
      </c>
      <c r="P36" t="n">
        <v>0</v>
      </c>
      <c r="Q36" t="n">
        <v>1</v>
      </c>
      <c r="R36" s="2" t="inlineStr">
        <is>
          <t>Myskmadra</t>
        </is>
      </c>
      <c r="S36">
        <f>HYPERLINK("https://klasma.github.io/Logging_1293/artfynd/A 27958-2022 artfynd.xlsx", "A 27958-2022")</f>
        <v/>
      </c>
      <c r="T36">
        <f>HYPERLINK("https://klasma.github.io/Logging_1293/kartor/A 27958-2022 karta.png", "A 27958-2022")</f>
        <v/>
      </c>
      <c r="V36">
        <f>HYPERLINK("https://klasma.github.io/Logging_1293/klagomål/A 27958-2022 FSC-klagomål.docx", "A 27958-2022")</f>
        <v/>
      </c>
      <c r="W36">
        <f>HYPERLINK("https://klasma.github.io/Logging_1293/klagomålsmail/A 27958-2022 FSC-klagomål mail.docx", "A 27958-2022")</f>
        <v/>
      </c>
      <c r="X36">
        <f>HYPERLINK("https://klasma.github.io/Logging_1293/tillsyn/A 27958-2022 tillsynsbegäran.docx", "A 27958-2022")</f>
        <v/>
      </c>
      <c r="Y36">
        <f>HYPERLINK("https://klasma.github.io/Logging_1293/tillsynsmail/A 27958-2022 tillsynsbegäran mail.docx", "A 27958-2022")</f>
        <v/>
      </c>
    </row>
    <row r="37" ht="15" customHeight="1">
      <c r="A37" t="inlineStr">
        <is>
          <t>A 39733-2022</t>
        </is>
      </c>
      <c r="B37" s="1" t="n">
        <v>44819</v>
      </c>
      <c r="C37" s="1" t="n">
        <v>45811</v>
      </c>
      <c r="D37" t="inlineStr">
        <is>
          <t>SKÅNE LÄN</t>
        </is>
      </c>
      <c r="E37" t="inlineStr">
        <is>
          <t>HÄSSLEHOLM</t>
        </is>
      </c>
      <c r="G37" t="n">
        <v>1.9</v>
      </c>
      <c r="H37" t="n">
        <v>1</v>
      </c>
      <c r="I37" t="n">
        <v>0</v>
      </c>
      <c r="J37" t="n">
        <v>1</v>
      </c>
      <c r="K37" t="n">
        <v>0</v>
      </c>
      <c r="L37" t="n">
        <v>0</v>
      </c>
      <c r="M37" t="n">
        <v>0</v>
      </c>
      <c r="N37" t="n">
        <v>0</v>
      </c>
      <c r="O37" t="n">
        <v>1</v>
      </c>
      <c r="P37" t="n">
        <v>0</v>
      </c>
      <c r="Q37" t="n">
        <v>1</v>
      </c>
      <c r="R37" s="2" t="inlineStr">
        <is>
          <t>Spillkråka</t>
        </is>
      </c>
      <c r="S37">
        <f>HYPERLINK("https://klasma.github.io/Logging_1293/artfynd/A 39733-2022 artfynd.xlsx", "A 39733-2022")</f>
        <v/>
      </c>
      <c r="T37">
        <f>HYPERLINK("https://klasma.github.io/Logging_1293/kartor/A 39733-2022 karta.png", "A 39733-2022")</f>
        <v/>
      </c>
      <c r="V37">
        <f>HYPERLINK("https://klasma.github.io/Logging_1293/klagomål/A 39733-2022 FSC-klagomål.docx", "A 39733-2022")</f>
        <v/>
      </c>
      <c r="W37">
        <f>HYPERLINK("https://klasma.github.io/Logging_1293/klagomålsmail/A 39733-2022 FSC-klagomål mail.docx", "A 39733-2022")</f>
        <v/>
      </c>
      <c r="X37">
        <f>HYPERLINK("https://klasma.github.io/Logging_1293/tillsyn/A 39733-2022 tillsynsbegäran.docx", "A 39733-2022")</f>
        <v/>
      </c>
      <c r="Y37">
        <f>HYPERLINK("https://klasma.github.io/Logging_1293/tillsynsmail/A 39733-2022 tillsynsbegäran mail.docx", "A 39733-2022")</f>
        <v/>
      </c>
      <c r="Z37">
        <f>HYPERLINK("https://klasma.github.io/Logging_1293/fåglar/A 39733-2022 prioriterade fågelarter.docx", "A 39733-2022")</f>
        <v/>
      </c>
    </row>
    <row r="38" ht="15" customHeight="1">
      <c r="A38" t="inlineStr">
        <is>
          <t>A 49572-2022</t>
        </is>
      </c>
      <c r="B38" s="1" t="n">
        <v>44862</v>
      </c>
      <c r="C38" s="1" t="n">
        <v>45811</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45811</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29272-2023</t>
        </is>
      </c>
      <c r="B40" s="1" t="n">
        <v>45105</v>
      </c>
      <c r="C40" s="1" t="n">
        <v>45811</v>
      </c>
      <c r="D40" t="inlineStr">
        <is>
          <t>SKÅNE LÄN</t>
        </is>
      </c>
      <c r="E40" t="inlineStr">
        <is>
          <t>HÄSSLEHOLM</t>
        </is>
      </c>
      <c r="G40" t="n">
        <v>2.2</v>
      </c>
      <c r="H40" t="n">
        <v>0</v>
      </c>
      <c r="I40" t="n">
        <v>1</v>
      </c>
      <c r="J40" t="n">
        <v>0</v>
      </c>
      <c r="K40" t="n">
        <v>0</v>
      </c>
      <c r="L40" t="n">
        <v>0</v>
      </c>
      <c r="M40" t="n">
        <v>0</v>
      </c>
      <c r="N40" t="n">
        <v>0</v>
      </c>
      <c r="O40" t="n">
        <v>0</v>
      </c>
      <c r="P40" t="n">
        <v>0</v>
      </c>
      <c r="Q40" t="n">
        <v>1</v>
      </c>
      <c r="R40" s="2" t="inlineStr">
        <is>
          <t>Sotlav</t>
        </is>
      </c>
      <c r="S40">
        <f>HYPERLINK("https://klasma.github.io/Logging_1293/artfynd/A 29272-2023 artfynd.xlsx", "A 29272-2023")</f>
        <v/>
      </c>
      <c r="T40">
        <f>HYPERLINK("https://klasma.github.io/Logging_1293/kartor/A 29272-2023 karta.png", "A 29272-2023")</f>
        <v/>
      </c>
      <c r="V40">
        <f>HYPERLINK("https://klasma.github.io/Logging_1293/klagomål/A 29272-2023 FSC-klagomål.docx", "A 29272-2023")</f>
        <v/>
      </c>
      <c r="W40">
        <f>HYPERLINK("https://klasma.github.io/Logging_1293/klagomålsmail/A 29272-2023 FSC-klagomål mail.docx", "A 29272-2023")</f>
        <v/>
      </c>
      <c r="X40">
        <f>HYPERLINK("https://klasma.github.io/Logging_1293/tillsyn/A 29272-2023 tillsynsbegäran.docx", "A 29272-2023")</f>
        <v/>
      </c>
      <c r="Y40">
        <f>HYPERLINK("https://klasma.github.io/Logging_1293/tillsynsmail/A 29272-2023 tillsynsbegäran mail.docx", "A 29272-2023")</f>
        <v/>
      </c>
    </row>
    <row r="41" ht="15" customHeight="1">
      <c r="A41" t="inlineStr">
        <is>
          <t>A 46602-2023</t>
        </is>
      </c>
      <c r="B41" s="1" t="n">
        <v>45194</v>
      </c>
      <c r="C41" s="1" t="n">
        <v>45811</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6634-2024</t>
        </is>
      </c>
      <c r="B42" s="1" t="n">
        <v>45341</v>
      </c>
      <c r="C42" s="1" t="n">
        <v>45811</v>
      </c>
      <c r="D42" t="inlineStr">
        <is>
          <t>SKÅNE LÄN</t>
        </is>
      </c>
      <c r="E42" t="inlineStr">
        <is>
          <t>HÄSSLEHOLM</t>
        </is>
      </c>
      <c r="G42" t="n">
        <v>1.9</v>
      </c>
      <c r="H42" t="n">
        <v>0</v>
      </c>
      <c r="I42" t="n">
        <v>0</v>
      </c>
      <c r="J42" t="n">
        <v>0</v>
      </c>
      <c r="K42" t="n">
        <v>1</v>
      </c>
      <c r="L42" t="n">
        <v>0</v>
      </c>
      <c r="M42" t="n">
        <v>0</v>
      </c>
      <c r="N42" t="n">
        <v>0</v>
      </c>
      <c r="O42" t="n">
        <v>1</v>
      </c>
      <c r="P42" t="n">
        <v>1</v>
      </c>
      <c r="Q42" t="n">
        <v>1</v>
      </c>
      <c r="R42" s="2" t="inlineStr">
        <is>
          <t>Revig blodrot</t>
        </is>
      </c>
      <c r="S42">
        <f>HYPERLINK("https://klasma.github.io/Logging_1293/artfynd/A 6634-2024 artfynd.xlsx", "A 6634-2024")</f>
        <v/>
      </c>
      <c r="T42">
        <f>HYPERLINK("https://klasma.github.io/Logging_1293/kartor/A 6634-2024 karta.png", "A 6634-2024")</f>
        <v/>
      </c>
      <c r="V42">
        <f>HYPERLINK("https://klasma.github.io/Logging_1293/klagomål/A 6634-2024 FSC-klagomål.docx", "A 6634-2024")</f>
        <v/>
      </c>
      <c r="W42">
        <f>HYPERLINK("https://klasma.github.io/Logging_1293/klagomålsmail/A 6634-2024 FSC-klagomål mail.docx", "A 6634-2024")</f>
        <v/>
      </c>
      <c r="X42">
        <f>HYPERLINK("https://klasma.github.io/Logging_1293/tillsyn/A 6634-2024 tillsynsbegäran.docx", "A 6634-2024")</f>
        <v/>
      </c>
      <c r="Y42">
        <f>HYPERLINK("https://klasma.github.io/Logging_1293/tillsynsmail/A 6634-2024 tillsynsbegäran mail.docx", "A 6634-2024")</f>
        <v/>
      </c>
    </row>
    <row r="43" ht="15" customHeight="1">
      <c r="A43" t="inlineStr">
        <is>
          <t>A 7862-2024</t>
        </is>
      </c>
      <c r="B43" s="1" t="n">
        <v>45348</v>
      </c>
      <c r="C43" s="1" t="n">
        <v>45811</v>
      </c>
      <c r="D43" t="inlineStr">
        <is>
          <t>SKÅNE LÄN</t>
        </is>
      </c>
      <c r="E43" t="inlineStr">
        <is>
          <t>HÄSSLEHOLM</t>
        </is>
      </c>
      <c r="G43" t="n">
        <v>5</v>
      </c>
      <c r="H43" t="n">
        <v>0</v>
      </c>
      <c r="I43" t="n">
        <v>1</v>
      </c>
      <c r="J43" t="n">
        <v>0</v>
      </c>
      <c r="K43" t="n">
        <v>0</v>
      </c>
      <c r="L43" t="n">
        <v>0</v>
      </c>
      <c r="M43" t="n">
        <v>0</v>
      </c>
      <c r="N43" t="n">
        <v>0</v>
      </c>
      <c r="O43" t="n">
        <v>0</v>
      </c>
      <c r="P43" t="n">
        <v>0</v>
      </c>
      <c r="Q43" t="n">
        <v>1</v>
      </c>
      <c r="R43" s="2" t="inlineStr">
        <is>
          <t>Stor revmossa</t>
        </is>
      </c>
      <c r="S43">
        <f>HYPERLINK("https://klasma.github.io/Logging_1293/artfynd/A 7862-2024 artfynd.xlsx", "A 7862-2024")</f>
        <v/>
      </c>
      <c r="T43">
        <f>HYPERLINK("https://klasma.github.io/Logging_1293/kartor/A 7862-2024 karta.png", "A 7862-2024")</f>
        <v/>
      </c>
      <c r="V43">
        <f>HYPERLINK("https://klasma.github.io/Logging_1293/klagomål/A 7862-2024 FSC-klagomål.docx", "A 7862-2024")</f>
        <v/>
      </c>
      <c r="W43">
        <f>HYPERLINK("https://klasma.github.io/Logging_1293/klagomålsmail/A 7862-2024 FSC-klagomål mail.docx", "A 7862-2024")</f>
        <v/>
      </c>
      <c r="X43">
        <f>HYPERLINK("https://klasma.github.io/Logging_1293/tillsyn/A 7862-2024 tillsynsbegäran.docx", "A 7862-2024")</f>
        <v/>
      </c>
      <c r="Y43">
        <f>HYPERLINK("https://klasma.github.io/Logging_1293/tillsynsmail/A 7862-2024 tillsynsbegäran mail.docx", "A 7862-2024")</f>
        <v/>
      </c>
    </row>
    <row r="44" ht="15" customHeight="1">
      <c r="A44" t="inlineStr">
        <is>
          <t>A 11226-2024</t>
        </is>
      </c>
      <c r="B44" s="1" t="n">
        <v>45371</v>
      </c>
      <c r="C44" s="1" t="n">
        <v>45811</v>
      </c>
      <c r="D44" t="inlineStr">
        <is>
          <t>SKÅNE LÄN</t>
        </is>
      </c>
      <c r="E44" t="inlineStr">
        <is>
          <t>HÄSSLEHOLM</t>
        </is>
      </c>
      <c r="G44" t="n">
        <v>1.5</v>
      </c>
      <c r="H44" t="n">
        <v>0</v>
      </c>
      <c r="I44" t="n">
        <v>0</v>
      </c>
      <c r="J44" t="n">
        <v>0</v>
      </c>
      <c r="K44" t="n">
        <v>1</v>
      </c>
      <c r="L44" t="n">
        <v>0</v>
      </c>
      <c r="M44" t="n">
        <v>0</v>
      </c>
      <c r="N44" t="n">
        <v>0</v>
      </c>
      <c r="O44" t="n">
        <v>1</v>
      </c>
      <c r="P44" t="n">
        <v>1</v>
      </c>
      <c r="Q44" t="n">
        <v>1</v>
      </c>
      <c r="R44" s="2" t="inlineStr">
        <is>
          <t>Småvänderot</t>
        </is>
      </c>
      <c r="S44">
        <f>HYPERLINK("https://klasma.github.io/Logging_1293/artfynd/A 11226-2024 artfynd.xlsx", "A 11226-2024")</f>
        <v/>
      </c>
      <c r="T44">
        <f>HYPERLINK("https://klasma.github.io/Logging_1293/kartor/A 11226-2024 karta.png", "A 11226-2024")</f>
        <v/>
      </c>
      <c r="V44">
        <f>HYPERLINK("https://klasma.github.io/Logging_1293/klagomål/A 11226-2024 FSC-klagomål.docx", "A 11226-2024")</f>
        <v/>
      </c>
      <c r="W44">
        <f>HYPERLINK("https://klasma.github.io/Logging_1293/klagomålsmail/A 11226-2024 FSC-klagomål mail.docx", "A 11226-2024")</f>
        <v/>
      </c>
      <c r="X44">
        <f>HYPERLINK("https://klasma.github.io/Logging_1293/tillsyn/A 11226-2024 tillsynsbegäran.docx", "A 11226-2024")</f>
        <v/>
      </c>
      <c r="Y44">
        <f>HYPERLINK("https://klasma.github.io/Logging_1293/tillsynsmail/A 11226-2024 tillsynsbegäran mail.docx", "A 11226-2024")</f>
        <v/>
      </c>
    </row>
    <row r="45" ht="15" customHeight="1">
      <c r="A45" t="inlineStr">
        <is>
          <t>A 20679-2024</t>
        </is>
      </c>
      <c r="B45" s="1" t="n">
        <v>45436</v>
      </c>
      <c r="C45" s="1" t="n">
        <v>45811</v>
      </c>
      <c r="D45" t="inlineStr">
        <is>
          <t>SKÅNE LÄN</t>
        </is>
      </c>
      <c r="E45" t="inlineStr">
        <is>
          <t>HÄSSLEHOLM</t>
        </is>
      </c>
      <c r="G45" t="n">
        <v>1.1</v>
      </c>
      <c r="H45" t="n">
        <v>0</v>
      </c>
      <c r="I45" t="n">
        <v>1</v>
      </c>
      <c r="J45" t="n">
        <v>0</v>
      </c>
      <c r="K45" t="n">
        <v>0</v>
      </c>
      <c r="L45" t="n">
        <v>0</v>
      </c>
      <c r="M45" t="n">
        <v>0</v>
      </c>
      <c r="N45" t="n">
        <v>0</v>
      </c>
      <c r="O45" t="n">
        <v>0</v>
      </c>
      <c r="P45" t="n">
        <v>0</v>
      </c>
      <c r="Q45" t="n">
        <v>1</v>
      </c>
      <c r="R45" s="2" t="inlineStr">
        <is>
          <t>Blodticka</t>
        </is>
      </c>
      <c r="S45">
        <f>HYPERLINK("https://klasma.github.io/Logging_1293/artfynd/A 20679-2024 artfynd.xlsx", "A 20679-2024")</f>
        <v/>
      </c>
      <c r="T45">
        <f>HYPERLINK("https://klasma.github.io/Logging_1293/kartor/A 20679-2024 karta.png", "A 20679-2024")</f>
        <v/>
      </c>
      <c r="V45">
        <f>HYPERLINK("https://klasma.github.io/Logging_1293/klagomål/A 20679-2024 FSC-klagomål.docx", "A 20679-2024")</f>
        <v/>
      </c>
      <c r="W45">
        <f>HYPERLINK("https://klasma.github.io/Logging_1293/klagomålsmail/A 20679-2024 FSC-klagomål mail.docx", "A 20679-2024")</f>
        <v/>
      </c>
      <c r="X45">
        <f>HYPERLINK("https://klasma.github.io/Logging_1293/tillsyn/A 20679-2024 tillsynsbegäran.docx", "A 20679-2024")</f>
        <v/>
      </c>
      <c r="Y45">
        <f>HYPERLINK("https://klasma.github.io/Logging_1293/tillsynsmail/A 20679-2024 tillsynsbegäran mail.docx", "A 20679-2024")</f>
        <v/>
      </c>
    </row>
    <row r="46" ht="15" customHeight="1">
      <c r="A46" t="inlineStr">
        <is>
          <t>A 54523-2024</t>
        </is>
      </c>
      <c r="B46" s="1" t="n">
        <v>45617</v>
      </c>
      <c r="C46" s="1" t="n">
        <v>45811</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60925-2024</t>
        </is>
      </c>
      <c r="B47" s="1" t="n">
        <v>45645</v>
      </c>
      <c r="C47" s="1" t="n">
        <v>45811</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Ask</t>
        </is>
      </c>
      <c r="S47">
        <f>HYPERLINK("https://klasma.github.io/Logging_1293/artfynd/A 60925-2024 artfynd.xlsx", "A 60925-2024")</f>
        <v/>
      </c>
      <c r="T47">
        <f>HYPERLINK("https://klasma.github.io/Logging_1293/kartor/A 60925-2024 karta.png", "A 60925-2024")</f>
        <v/>
      </c>
      <c r="V47">
        <f>HYPERLINK("https://klasma.github.io/Logging_1293/klagomål/A 60925-2024 FSC-klagomål.docx", "A 60925-2024")</f>
        <v/>
      </c>
      <c r="W47">
        <f>HYPERLINK("https://klasma.github.io/Logging_1293/klagomålsmail/A 60925-2024 FSC-klagomål mail.docx", "A 60925-2024")</f>
        <v/>
      </c>
      <c r="X47">
        <f>HYPERLINK("https://klasma.github.io/Logging_1293/tillsyn/A 60925-2024 tillsynsbegäran.docx", "A 60925-2024")</f>
        <v/>
      </c>
      <c r="Y47">
        <f>HYPERLINK("https://klasma.github.io/Logging_1293/tillsynsmail/A 60925-2024 tillsynsbegäran mail.docx", "A 60925-2024")</f>
        <v/>
      </c>
    </row>
    <row r="48" ht="15" customHeight="1">
      <c r="A48" t="inlineStr">
        <is>
          <t>A 61707-2024</t>
        </is>
      </c>
      <c r="B48" s="1" t="n">
        <v>45648</v>
      </c>
      <c r="C48" s="1" t="n">
        <v>45811</v>
      </c>
      <c r="D48" t="inlineStr">
        <is>
          <t>SKÅNE LÄN</t>
        </is>
      </c>
      <c r="E48" t="inlineStr">
        <is>
          <t>HÄSSLEHOLM</t>
        </is>
      </c>
      <c r="G48" t="n">
        <v>3.2</v>
      </c>
      <c r="H48" t="n">
        <v>0</v>
      </c>
      <c r="I48" t="n">
        <v>0</v>
      </c>
      <c r="J48" t="n">
        <v>1</v>
      </c>
      <c r="K48" t="n">
        <v>0</v>
      </c>
      <c r="L48" t="n">
        <v>0</v>
      </c>
      <c r="M48" t="n">
        <v>0</v>
      </c>
      <c r="N48" t="n">
        <v>0</v>
      </c>
      <c r="O48" t="n">
        <v>1</v>
      </c>
      <c r="P48" t="n">
        <v>0</v>
      </c>
      <c r="Q48" t="n">
        <v>1</v>
      </c>
      <c r="R48" s="2" t="inlineStr">
        <is>
          <t>Rödlånke</t>
        </is>
      </c>
      <c r="S48">
        <f>HYPERLINK("https://klasma.github.io/Logging_1293/artfynd/A 61707-2024 artfynd.xlsx", "A 61707-2024")</f>
        <v/>
      </c>
      <c r="T48">
        <f>HYPERLINK("https://klasma.github.io/Logging_1293/kartor/A 61707-2024 karta.png", "A 61707-2024")</f>
        <v/>
      </c>
      <c r="V48">
        <f>HYPERLINK("https://klasma.github.io/Logging_1293/klagomål/A 61707-2024 FSC-klagomål.docx", "A 61707-2024")</f>
        <v/>
      </c>
      <c r="W48">
        <f>HYPERLINK("https://klasma.github.io/Logging_1293/klagomålsmail/A 61707-2024 FSC-klagomål mail.docx", "A 61707-2024")</f>
        <v/>
      </c>
      <c r="X48">
        <f>HYPERLINK("https://klasma.github.io/Logging_1293/tillsyn/A 61707-2024 tillsynsbegäran.docx", "A 61707-2024")</f>
        <v/>
      </c>
      <c r="Y48">
        <f>HYPERLINK("https://klasma.github.io/Logging_1293/tillsynsmail/A 61707-2024 tillsynsbegäran mail.docx", "A 61707-2024")</f>
        <v/>
      </c>
    </row>
    <row r="49" ht="15" customHeight="1">
      <c r="A49" t="inlineStr">
        <is>
          <t>A 4619-2025</t>
        </is>
      </c>
      <c r="B49" s="1" t="n">
        <v>45687</v>
      </c>
      <c r="C49" s="1" t="n">
        <v>45811</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4725-2025</t>
        </is>
      </c>
      <c r="B50" s="1" t="n">
        <v>45688</v>
      </c>
      <c r="C50" s="1" t="n">
        <v>45811</v>
      </c>
      <c r="D50" t="inlineStr">
        <is>
          <t>SKÅNE LÄN</t>
        </is>
      </c>
      <c r="E50" t="inlineStr">
        <is>
          <t>HÄSSLEHOLM</t>
        </is>
      </c>
      <c r="G50" t="n">
        <v>5.5</v>
      </c>
      <c r="H50" t="n">
        <v>1</v>
      </c>
      <c r="I50" t="n">
        <v>0</v>
      </c>
      <c r="J50" t="n">
        <v>0</v>
      </c>
      <c r="K50" t="n">
        <v>0</v>
      </c>
      <c r="L50" t="n">
        <v>0</v>
      </c>
      <c r="M50" t="n">
        <v>0</v>
      </c>
      <c r="N50" t="n">
        <v>0</v>
      </c>
      <c r="O50" t="n">
        <v>0</v>
      </c>
      <c r="P50" t="n">
        <v>0</v>
      </c>
      <c r="Q50" t="n">
        <v>1</v>
      </c>
      <c r="R50" s="2" t="inlineStr">
        <is>
          <t>Grönvit nattviol</t>
        </is>
      </c>
      <c r="S50">
        <f>HYPERLINK("https://klasma.github.io/Logging_1293/artfynd/A 4725-2025 artfynd.xlsx", "A 4725-2025")</f>
        <v/>
      </c>
      <c r="T50">
        <f>HYPERLINK("https://klasma.github.io/Logging_1293/kartor/A 4725-2025 karta.png", "A 4725-2025")</f>
        <v/>
      </c>
      <c r="V50">
        <f>HYPERLINK("https://klasma.github.io/Logging_1293/klagomål/A 4725-2025 FSC-klagomål.docx", "A 4725-2025")</f>
        <v/>
      </c>
      <c r="W50">
        <f>HYPERLINK("https://klasma.github.io/Logging_1293/klagomålsmail/A 4725-2025 FSC-klagomål mail.docx", "A 4725-2025")</f>
        <v/>
      </c>
      <c r="X50">
        <f>HYPERLINK("https://klasma.github.io/Logging_1293/tillsyn/A 4725-2025 tillsynsbegäran.docx", "A 4725-2025")</f>
        <v/>
      </c>
      <c r="Y50">
        <f>HYPERLINK("https://klasma.github.io/Logging_1293/tillsynsmail/A 4725-2025 tillsynsbegäran mail.docx", "A 4725-2025")</f>
        <v/>
      </c>
    </row>
    <row r="51" ht="15" customHeight="1">
      <c r="A51" t="inlineStr">
        <is>
          <t>A 8223-2025</t>
        </is>
      </c>
      <c r="B51" s="1" t="n">
        <v>45708</v>
      </c>
      <c r="C51" s="1" t="n">
        <v>45811</v>
      </c>
      <c r="D51" t="inlineStr">
        <is>
          <t>SKÅNE LÄN</t>
        </is>
      </c>
      <c r="E51" t="inlineStr">
        <is>
          <t>HÄSSLEHOLM</t>
        </is>
      </c>
      <c r="G51" t="n">
        <v>0.8</v>
      </c>
      <c r="H51" t="n">
        <v>1</v>
      </c>
      <c r="I51" t="n">
        <v>0</v>
      </c>
      <c r="J51" t="n">
        <v>0</v>
      </c>
      <c r="K51" t="n">
        <v>0</v>
      </c>
      <c r="L51" t="n">
        <v>0</v>
      </c>
      <c r="M51" t="n">
        <v>0</v>
      </c>
      <c r="N51" t="n">
        <v>0</v>
      </c>
      <c r="O51" t="n">
        <v>0</v>
      </c>
      <c r="P51" t="n">
        <v>0</v>
      </c>
      <c r="Q51" t="n">
        <v>1</v>
      </c>
      <c r="R51" s="2" t="inlineStr">
        <is>
          <t>Kungsfågel</t>
        </is>
      </c>
      <c r="S51">
        <f>HYPERLINK("https://klasma.github.io/Logging_1293/artfynd/A 8223-2025 artfynd.xlsx", "A 8223-2025")</f>
        <v/>
      </c>
      <c r="T51">
        <f>HYPERLINK("https://klasma.github.io/Logging_1293/kartor/A 8223-2025 karta.png", "A 8223-2025")</f>
        <v/>
      </c>
      <c r="V51">
        <f>HYPERLINK("https://klasma.github.io/Logging_1293/klagomål/A 8223-2025 FSC-klagomål.docx", "A 8223-2025")</f>
        <v/>
      </c>
      <c r="W51">
        <f>HYPERLINK("https://klasma.github.io/Logging_1293/klagomålsmail/A 8223-2025 FSC-klagomål mail.docx", "A 8223-2025")</f>
        <v/>
      </c>
      <c r="X51">
        <f>HYPERLINK("https://klasma.github.io/Logging_1293/tillsyn/A 8223-2025 tillsynsbegäran.docx", "A 8223-2025")</f>
        <v/>
      </c>
      <c r="Y51">
        <f>HYPERLINK("https://klasma.github.io/Logging_1293/tillsynsmail/A 8223-2025 tillsynsbegäran mail.docx", "A 8223-2025")</f>
        <v/>
      </c>
      <c r="Z51">
        <f>HYPERLINK("https://klasma.github.io/Logging_1293/fåglar/A 8223-2025 prioriterade fågelarter.docx", "A 8223-2025")</f>
        <v/>
      </c>
    </row>
    <row r="52" ht="15" customHeight="1">
      <c r="A52" t="inlineStr">
        <is>
          <t>A 9289-2025</t>
        </is>
      </c>
      <c r="B52" s="1" t="n">
        <v>45714</v>
      </c>
      <c r="C52" s="1" t="n">
        <v>45811</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16107-2025</t>
        </is>
      </c>
      <c r="B53" s="1" t="n">
        <v>45750</v>
      </c>
      <c r="C53" s="1" t="n">
        <v>45811</v>
      </c>
      <c r="D53" t="inlineStr">
        <is>
          <t>SKÅNE LÄN</t>
        </is>
      </c>
      <c r="E53" t="inlineStr">
        <is>
          <t>HÄSSLEHOLM</t>
        </is>
      </c>
      <c r="G53" t="n">
        <v>1.4</v>
      </c>
      <c r="H53" t="n">
        <v>1</v>
      </c>
      <c r="I53" t="n">
        <v>0</v>
      </c>
      <c r="J53" t="n">
        <v>1</v>
      </c>
      <c r="K53" t="n">
        <v>0</v>
      </c>
      <c r="L53" t="n">
        <v>0</v>
      </c>
      <c r="M53" t="n">
        <v>0</v>
      </c>
      <c r="N53" t="n">
        <v>0</v>
      </c>
      <c r="O53" t="n">
        <v>1</v>
      </c>
      <c r="P53" t="n">
        <v>0</v>
      </c>
      <c r="Q53" t="n">
        <v>1</v>
      </c>
      <c r="R53" s="2" t="inlineStr">
        <is>
          <t>Spillkråka</t>
        </is>
      </c>
      <c r="S53">
        <f>HYPERLINK("https://klasma.github.io/Logging_121293/artfynd/A 16107-2025 artfynd.xlsx", "A 16107-2025")</f>
        <v/>
      </c>
      <c r="T53">
        <f>HYPERLINK("https://klasma.github.io/Logging_121293/kartor/A 16107-2025 karta.png", "A 16107-2025")</f>
        <v/>
      </c>
      <c r="V53">
        <f>HYPERLINK("https://klasma.github.io/Logging_121293/klagomål/A 16107-2025 FSC-klagomål.docx", "A 16107-2025")</f>
        <v/>
      </c>
      <c r="W53">
        <f>HYPERLINK("https://klasma.github.io/Logging_121293/klagomålsmail/A 16107-2025 FSC-klagomål mail.docx", "A 16107-2025")</f>
        <v/>
      </c>
      <c r="X53">
        <f>HYPERLINK("https://klasma.github.io/Logging_121293/tillsyn/A 16107-2025 tillsynsbegäran.docx", "A 16107-2025")</f>
        <v/>
      </c>
      <c r="Y53">
        <f>HYPERLINK("https://klasma.github.io/Logging_121293/tillsynsmail/A 16107-2025 tillsynsbegäran mail.docx", "A 16107-2025")</f>
        <v/>
      </c>
      <c r="Z53">
        <f>HYPERLINK("https://klasma.github.io/Logging_121293/fåglar/A 16107-2025 prioriterade fågelarter.docx", "A 16107-2025")</f>
        <v/>
      </c>
    </row>
    <row r="54" ht="15" customHeight="1">
      <c r="A54" t="inlineStr">
        <is>
          <t>A 20280-2025</t>
        </is>
      </c>
      <c r="B54" s="1" t="n">
        <v>45774</v>
      </c>
      <c r="C54" s="1" t="n">
        <v>45811</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HYPERLINK("https://klasma.github.io/Logging_121293/artfynd/A 20280-2025 artfynd.xlsx", "A 20280-2025")</f>
        <v/>
      </c>
      <c r="T54">
        <f>HYPERLINK("https://klasma.github.io/Logging_121293/kartor/A 20280-2025 karta.png", "A 20280-2025")</f>
        <v/>
      </c>
      <c r="V54">
        <f>HYPERLINK("https://klasma.github.io/Logging_121293/klagomål/A 20280-2025 FSC-klagomål.docx", "A 20280-2025")</f>
        <v/>
      </c>
      <c r="W54">
        <f>HYPERLINK("https://klasma.github.io/Logging_121293/klagomålsmail/A 20280-2025 FSC-klagomål mail.docx", "A 20280-2025")</f>
        <v/>
      </c>
      <c r="X54">
        <f>HYPERLINK("https://klasma.github.io/Logging_121293/tillsyn/A 20280-2025 tillsynsbegäran.docx", "A 20280-2025")</f>
        <v/>
      </c>
      <c r="Y54">
        <f>HYPERLINK("https://klasma.github.io/Logging_121293/tillsynsmail/A 20280-2025 tillsynsbegäran mail.docx", "A 20280-2025")</f>
        <v/>
      </c>
    </row>
    <row r="55" ht="15" customHeight="1">
      <c r="A55" t="inlineStr">
        <is>
          <t>A 18039-2019</t>
        </is>
      </c>
      <c r="B55" s="1" t="n">
        <v>43557</v>
      </c>
      <c r="C55" s="1" t="n">
        <v>45811</v>
      </c>
      <c r="D55" t="inlineStr">
        <is>
          <t>SKÅNE LÄN</t>
        </is>
      </c>
      <c r="E55" t="inlineStr">
        <is>
          <t>HÄSSLEHOLM</t>
        </is>
      </c>
      <c r="F55" t="inlineStr">
        <is>
          <t>Kommuner</t>
        </is>
      </c>
      <c r="G55" t="n">
        <v>4.5</v>
      </c>
      <c r="H55" t="n">
        <v>0</v>
      </c>
      <c r="I55" t="n">
        <v>0</v>
      </c>
      <c r="J55" t="n">
        <v>0</v>
      </c>
      <c r="K55" t="n">
        <v>0</v>
      </c>
      <c r="L55" t="n">
        <v>0</v>
      </c>
      <c r="M55" t="n">
        <v>0</v>
      </c>
      <c r="N55" t="n">
        <v>0</v>
      </c>
      <c r="O55" t="n">
        <v>0</v>
      </c>
      <c r="P55" t="n">
        <v>0</v>
      </c>
      <c r="Q55" t="n">
        <v>0</v>
      </c>
      <c r="R55" s="2" t="inlineStr"/>
    </row>
    <row r="56" ht="15" customHeight="1">
      <c r="A56" t="inlineStr">
        <is>
          <t>A 18984-2019</t>
        </is>
      </c>
      <c r="B56" s="1" t="n">
        <v>43563</v>
      </c>
      <c r="C56" s="1" t="n">
        <v>45811</v>
      </c>
      <c r="D56" t="inlineStr">
        <is>
          <t>SKÅNE LÄN</t>
        </is>
      </c>
      <c r="E56" t="inlineStr">
        <is>
          <t>HÄSSLEHOLM</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18982-2019</t>
        </is>
      </c>
      <c r="B57" s="1" t="n">
        <v>43563</v>
      </c>
      <c r="C57" s="1" t="n">
        <v>45811</v>
      </c>
      <c r="D57" t="inlineStr">
        <is>
          <t>SKÅNE LÄN</t>
        </is>
      </c>
      <c r="E57" t="inlineStr">
        <is>
          <t>HÄSSLEHOLM</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18911-2019</t>
        </is>
      </c>
      <c r="B58" s="1" t="n">
        <v>43563</v>
      </c>
      <c r="C58" s="1" t="n">
        <v>45811</v>
      </c>
      <c r="D58" t="inlineStr">
        <is>
          <t>SKÅNE LÄN</t>
        </is>
      </c>
      <c r="E58" t="inlineStr">
        <is>
          <t>HÄSSLEHOLM</t>
        </is>
      </c>
      <c r="G58" t="n">
        <v>2.1</v>
      </c>
      <c r="H58" t="n">
        <v>0</v>
      </c>
      <c r="I58" t="n">
        <v>0</v>
      </c>
      <c r="J58" t="n">
        <v>0</v>
      </c>
      <c r="K58" t="n">
        <v>0</v>
      </c>
      <c r="L58" t="n">
        <v>0</v>
      </c>
      <c r="M58" t="n">
        <v>0</v>
      </c>
      <c r="N58" t="n">
        <v>0</v>
      </c>
      <c r="O58" t="n">
        <v>0</v>
      </c>
      <c r="P58" t="n">
        <v>0</v>
      </c>
      <c r="Q58" t="n">
        <v>0</v>
      </c>
      <c r="R58" s="2" t="inlineStr"/>
    </row>
    <row r="59" ht="15" customHeight="1">
      <c r="A59" t="inlineStr">
        <is>
          <t>A 19473-2019</t>
        </is>
      </c>
      <c r="B59" s="1" t="n">
        <v>43565</v>
      </c>
      <c r="C59" s="1" t="n">
        <v>45811</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20765-2019</t>
        </is>
      </c>
      <c r="B60" s="1" t="n">
        <v>43573</v>
      </c>
      <c r="C60" s="1" t="n">
        <v>45811</v>
      </c>
      <c r="D60" t="inlineStr">
        <is>
          <t>SKÅNE LÄN</t>
        </is>
      </c>
      <c r="E60" t="inlineStr">
        <is>
          <t>HÄSSLEHOLM</t>
        </is>
      </c>
      <c r="G60" t="n">
        <v>0.7</v>
      </c>
      <c r="H60" t="n">
        <v>0</v>
      </c>
      <c r="I60" t="n">
        <v>0</v>
      </c>
      <c r="J60" t="n">
        <v>0</v>
      </c>
      <c r="K60" t="n">
        <v>0</v>
      </c>
      <c r="L60" t="n">
        <v>0</v>
      </c>
      <c r="M60" t="n">
        <v>0</v>
      </c>
      <c r="N60" t="n">
        <v>0</v>
      </c>
      <c r="O60" t="n">
        <v>0</v>
      </c>
      <c r="P60" t="n">
        <v>0</v>
      </c>
      <c r="Q60" t="n">
        <v>0</v>
      </c>
      <c r="R60" s="2" t="inlineStr"/>
    </row>
    <row r="61" ht="15" customHeight="1">
      <c r="A61" t="inlineStr">
        <is>
          <t>A 21534-2019</t>
        </is>
      </c>
      <c r="B61" s="1" t="n">
        <v>43580</v>
      </c>
      <c r="C61" s="1" t="n">
        <v>45811</v>
      </c>
      <c r="D61" t="inlineStr">
        <is>
          <t>SKÅNE LÄN</t>
        </is>
      </c>
      <c r="E61" t="inlineStr">
        <is>
          <t>HÄSSLEHOLM</t>
        </is>
      </c>
      <c r="G61" t="n">
        <v>1.6</v>
      </c>
      <c r="H61" t="n">
        <v>0</v>
      </c>
      <c r="I61" t="n">
        <v>0</v>
      </c>
      <c r="J61" t="n">
        <v>0</v>
      </c>
      <c r="K61" t="n">
        <v>0</v>
      </c>
      <c r="L61" t="n">
        <v>0</v>
      </c>
      <c r="M61" t="n">
        <v>0</v>
      </c>
      <c r="N61" t="n">
        <v>0</v>
      </c>
      <c r="O61" t="n">
        <v>0</v>
      </c>
      <c r="P61" t="n">
        <v>0</v>
      </c>
      <c r="Q61" t="n">
        <v>0</v>
      </c>
      <c r="R61" s="2" t="inlineStr"/>
    </row>
    <row r="62" ht="15" customHeight="1">
      <c r="A62" t="inlineStr">
        <is>
          <t>A 21535-2019</t>
        </is>
      </c>
      <c r="B62" s="1" t="n">
        <v>43580</v>
      </c>
      <c r="C62" s="1" t="n">
        <v>45811</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21976-2019</t>
        </is>
      </c>
      <c r="B63" s="1" t="n">
        <v>43584</v>
      </c>
      <c r="C63" s="1" t="n">
        <v>45811</v>
      </c>
      <c r="D63" t="inlineStr">
        <is>
          <t>SKÅNE LÄN</t>
        </is>
      </c>
      <c r="E63" t="inlineStr">
        <is>
          <t>HÄSSLEHOLM</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23006-2019</t>
        </is>
      </c>
      <c r="B64" s="1" t="n">
        <v>43591</v>
      </c>
      <c r="C64" s="1" t="n">
        <v>45811</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23505-2019</t>
        </is>
      </c>
      <c r="B65" s="1" t="n">
        <v>43593</v>
      </c>
      <c r="C65" s="1" t="n">
        <v>45811</v>
      </c>
      <c r="D65" t="inlineStr">
        <is>
          <t>SKÅNE LÄN</t>
        </is>
      </c>
      <c r="E65" t="inlineStr">
        <is>
          <t>HÄSSLEHOLM</t>
        </is>
      </c>
      <c r="F65" t="inlineStr">
        <is>
          <t>Kyrkan</t>
        </is>
      </c>
      <c r="G65" t="n">
        <v>1.2</v>
      </c>
      <c r="H65" t="n">
        <v>0</v>
      </c>
      <c r="I65" t="n">
        <v>0</v>
      </c>
      <c r="J65" t="n">
        <v>0</v>
      </c>
      <c r="K65" t="n">
        <v>0</v>
      </c>
      <c r="L65" t="n">
        <v>0</v>
      </c>
      <c r="M65" t="n">
        <v>0</v>
      </c>
      <c r="N65" t="n">
        <v>0</v>
      </c>
      <c r="O65" t="n">
        <v>0</v>
      </c>
      <c r="P65" t="n">
        <v>0</v>
      </c>
      <c r="Q65" t="n">
        <v>0</v>
      </c>
      <c r="R65" s="2" t="inlineStr"/>
    </row>
    <row r="66" ht="15" customHeight="1">
      <c r="A66" t="inlineStr">
        <is>
          <t>A 24187-2019</t>
        </is>
      </c>
      <c r="B66" s="1" t="n">
        <v>43599</v>
      </c>
      <c r="C66" s="1" t="n">
        <v>45811</v>
      </c>
      <c r="D66" t="inlineStr">
        <is>
          <t>SKÅNE LÄN</t>
        </is>
      </c>
      <c r="E66" t="inlineStr">
        <is>
          <t>HÄSSLEHOLM</t>
        </is>
      </c>
      <c r="G66" t="n">
        <v>2.3</v>
      </c>
      <c r="H66" t="n">
        <v>0</v>
      </c>
      <c r="I66" t="n">
        <v>0</v>
      </c>
      <c r="J66" t="n">
        <v>0</v>
      </c>
      <c r="K66" t="n">
        <v>0</v>
      </c>
      <c r="L66" t="n">
        <v>0</v>
      </c>
      <c r="M66" t="n">
        <v>0</v>
      </c>
      <c r="N66" t="n">
        <v>0</v>
      </c>
      <c r="O66" t="n">
        <v>0</v>
      </c>
      <c r="P66" t="n">
        <v>0</v>
      </c>
      <c r="Q66" t="n">
        <v>0</v>
      </c>
      <c r="R66" s="2" t="inlineStr"/>
    </row>
    <row r="67" ht="15" customHeight="1">
      <c r="A67" t="inlineStr">
        <is>
          <t>A 24686-2019</t>
        </is>
      </c>
      <c r="B67" s="1" t="n">
        <v>43601</v>
      </c>
      <c r="C67" s="1" t="n">
        <v>45811</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25286-2019</t>
        </is>
      </c>
      <c r="B68" s="1" t="n">
        <v>43605</v>
      </c>
      <c r="C68" s="1" t="n">
        <v>45811</v>
      </c>
      <c r="D68" t="inlineStr">
        <is>
          <t>SKÅNE LÄN</t>
        </is>
      </c>
      <c r="E68" t="inlineStr">
        <is>
          <t>HÄSSLEHOLM</t>
        </is>
      </c>
      <c r="G68" t="n">
        <v>1.3</v>
      </c>
      <c r="H68" t="n">
        <v>0</v>
      </c>
      <c r="I68" t="n">
        <v>0</v>
      </c>
      <c r="J68" t="n">
        <v>0</v>
      </c>
      <c r="K68" t="n">
        <v>0</v>
      </c>
      <c r="L68" t="n">
        <v>0</v>
      </c>
      <c r="M68" t="n">
        <v>0</v>
      </c>
      <c r="N68" t="n">
        <v>0</v>
      </c>
      <c r="O68" t="n">
        <v>0</v>
      </c>
      <c r="P68" t="n">
        <v>0</v>
      </c>
      <c r="Q68" t="n">
        <v>0</v>
      </c>
      <c r="R68" s="2" t="inlineStr"/>
    </row>
    <row r="69" ht="15" customHeight="1">
      <c r="A69" t="inlineStr">
        <is>
          <t>A 25285-2019</t>
        </is>
      </c>
      <c r="B69" s="1" t="n">
        <v>43605</v>
      </c>
      <c r="C69" s="1" t="n">
        <v>45811</v>
      </c>
      <c r="D69" t="inlineStr">
        <is>
          <t>SKÅNE LÄN</t>
        </is>
      </c>
      <c r="E69" t="inlineStr">
        <is>
          <t>HÄSSLEHOLM</t>
        </is>
      </c>
      <c r="G69" t="n">
        <v>25.8</v>
      </c>
      <c r="H69" t="n">
        <v>0</v>
      </c>
      <c r="I69" t="n">
        <v>0</v>
      </c>
      <c r="J69" t="n">
        <v>0</v>
      </c>
      <c r="K69" t="n">
        <v>0</v>
      </c>
      <c r="L69" t="n">
        <v>0</v>
      </c>
      <c r="M69" t="n">
        <v>0</v>
      </c>
      <c r="N69" t="n">
        <v>0</v>
      </c>
      <c r="O69" t="n">
        <v>0</v>
      </c>
      <c r="P69" t="n">
        <v>0</v>
      </c>
      <c r="Q69" t="n">
        <v>0</v>
      </c>
      <c r="R69" s="2" t="inlineStr"/>
    </row>
    <row r="70" ht="15" customHeight="1">
      <c r="A70" t="inlineStr">
        <is>
          <t>A 25690-2019</t>
        </is>
      </c>
      <c r="B70" s="1" t="n">
        <v>43607</v>
      </c>
      <c r="C70" s="1" t="n">
        <v>45811</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26036-2019</t>
        </is>
      </c>
      <c r="B71" s="1" t="n">
        <v>43609</v>
      </c>
      <c r="C71" s="1" t="n">
        <v>45811</v>
      </c>
      <c r="D71" t="inlineStr">
        <is>
          <t>SKÅNE LÄN</t>
        </is>
      </c>
      <c r="E71" t="inlineStr">
        <is>
          <t>HÄSSLEHOLM</t>
        </is>
      </c>
      <c r="G71" t="n">
        <v>3.6</v>
      </c>
      <c r="H71" t="n">
        <v>0</v>
      </c>
      <c r="I71" t="n">
        <v>0</v>
      </c>
      <c r="J71" t="n">
        <v>0</v>
      </c>
      <c r="K71" t="n">
        <v>0</v>
      </c>
      <c r="L71" t="n">
        <v>0</v>
      </c>
      <c r="M71" t="n">
        <v>0</v>
      </c>
      <c r="N71" t="n">
        <v>0</v>
      </c>
      <c r="O71" t="n">
        <v>0</v>
      </c>
      <c r="P71" t="n">
        <v>0</v>
      </c>
      <c r="Q71" t="n">
        <v>0</v>
      </c>
      <c r="R71" s="2" t="inlineStr"/>
    </row>
    <row r="72" ht="15" customHeight="1">
      <c r="A72" t="inlineStr">
        <is>
          <t>A 26037-2019</t>
        </is>
      </c>
      <c r="B72" s="1" t="n">
        <v>43609</v>
      </c>
      <c r="C72" s="1" t="n">
        <v>45811</v>
      </c>
      <c r="D72" t="inlineStr">
        <is>
          <t>SKÅNE LÄN</t>
        </is>
      </c>
      <c r="E72" t="inlineStr">
        <is>
          <t>HÄSSLEHOLM</t>
        </is>
      </c>
      <c r="G72" t="n">
        <v>4.4</v>
      </c>
      <c r="H72" t="n">
        <v>0</v>
      </c>
      <c r="I72" t="n">
        <v>0</v>
      </c>
      <c r="J72" t="n">
        <v>0</v>
      </c>
      <c r="K72" t="n">
        <v>0</v>
      </c>
      <c r="L72" t="n">
        <v>0</v>
      </c>
      <c r="M72" t="n">
        <v>0</v>
      </c>
      <c r="N72" t="n">
        <v>0</v>
      </c>
      <c r="O72" t="n">
        <v>0</v>
      </c>
      <c r="P72" t="n">
        <v>0</v>
      </c>
      <c r="Q72" t="n">
        <v>0</v>
      </c>
      <c r="R72" s="2" t="inlineStr"/>
    </row>
    <row r="73" ht="15" customHeight="1">
      <c r="A73" t="inlineStr">
        <is>
          <t>A 26268-2019</t>
        </is>
      </c>
      <c r="B73" s="1" t="n">
        <v>43611</v>
      </c>
      <c r="C73" s="1" t="n">
        <v>45811</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26325-2019</t>
        </is>
      </c>
      <c r="B74" s="1" t="n">
        <v>43612</v>
      </c>
      <c r="C74" s="1" t="n">
        <v>45811</v>
      </c>
      <c r="D74" t="inlineStr">
        <is>
          <t>SKÅNE LÄN</t>
        </is>
      </c>
      <c r="E74" t="inlineStr">
        <is>
          <t>HÄSSLEHOLM</t>
        </is>
      </c>
      <c r="G74" t="n">
        <v>1.3</v>
      </c>
      <c r="H74" t="n">
        <v>0</v>
      </c>
      <c r="I74" t="n">
        <v>0</v>
      </c>
      <c r="J74" t="n">
        <v>0</v>
      </c>
      <c r="K74" t="n">
        <v>0</v>
      </c>
      <c r="L74" t="n">
        <v>0</v>
      </c>
      <c r="M74" t="n">
        <v>0</v>
      </c>
      <c r="N74" t="n">
        <v>0</v>
      </c>
      <c r="O74" t="n">
        <v>0</v>
      </c>
      <c r="P74" t="n">
        <v>0</v>
      </c>
      <c r="Q74" t="n">
        <v>0</v>
      </c>
      <c r="R74" s="2" t="inlineStr"/>
    </row>
    <row r="75" ht="15" customHeight="1">
      <c r="A75" t="inlineStr">
        <is>
          <t>A 26701-2019</t>
        </is>
      </c>
      <c r="B75" s="1" t="n">
        <v>43613</v>
      </c>
      <c r="C75" s="1" t="n">
        <v>45811</v>
      </c>
      <c r="D75" t="inlineStr">
        <is>
          <t>SKÅNE LÄN</t>
        </is>
      </c>
      <c r="E75" t="inlineStr">
        <is>
          <t>HÄSSLEHOLM</t>
        </is>
      </c>
      <c r="G75" t="n">
        <v>0.7</v>
      </c>
      <c r="H75" t="n">
        <v>0</v>
      </c>
      <c r="I75" t="n">
        <v>0</v>
      </c>
      <c r="J75" t="n">
        <v>0</v>
      </c>
      <c r="K75" t="n">
        <v>0</v>
      </c>
      <c r="L75" t="n">
        <v>0</v>
      </c>
      <c r="M75" t="n">
        <v>0</v>
      </c>
      <c r="N75" t="n">
        <v>0</v>
      </c>
      <c r="O75" t="n">
        <v>0</v>
      </c>
      <c r="P75" t="n">
        <v>0</v>
      </c>
      <c r="Q75" t="n">
        <v>0</v>
      </c>
      <c r="R75" s="2" t="inlineStr"/>
    </row>
    <row r="76" ht="15" customHeight="1">
      <c r="A76" t="inlineStr">
        <is>
          <t>A 26938-2019</t>
        </is>
      </c>
      <c r="B76" s="1" t="n">
        <v>43613</v>
      </c>
      <c r="C76" s="1" t="n">
        <v>45811</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26940-2019</t>
        </is>
      </c>
      <c r="B77" s="1" t="n">
        <v>43613</v>
      </c>
      <c r="C77" s="1" t="n">
        <v>45811</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26939-2019</t>
        </is>
      </c>
      <c r="B78" s="1" t="n">
        <v>43613</v>
      </c>
      <c r="C78" s="1" t="n">
        <v>45811</v>
      </c>
      <c r="D78" t="inlineStr">
        <is>
          <t>SKÅNE LÄN</t>
        </is>
      </c>
      <c r="E78" t="inlineStr">
        <is>
          <t>HÄSSLEHOLM</t>
        </is>
      </c>
      <c r="G78" t="n">
        <v>1.7</v>
      </c>
      <c r="H78" t="n">
        <v>0</v>
      </c>
      <c r="I78" t="n">
        <v>0</v>
      </c>
      <c r="J78" t="n">
        <v>0</v>
      </c>
      <c r="K78" t="n">
        <v>0</v>
      </c>
      <c r="L78" t="n">
        <v>0</v>
      </c>
      <c r="M78" t="n">
        <v>0</v>
      </c>
      <c r="N78" t="n">
        <v>0</v>
      </c>
      <c r="O78" t="n">
        <v>0</v>
      </c>
      <c r="P78" t="n">
        <v>0</v>
      </c>
      <c r="Q78" t="n">
        <v>0</v>
      </c>
      <c r="R78" s="2" t="inlineStr"/>
    </row>
    <row r="79" ht="15" customHeight="1">
      <c r="A79" t="inlineStr">
        <is>
          <t>A 28620-2019</t>
        </is>
      </c>
      <c r="B79" s="1" t="n">
        <v>43613</v>
      </c>
      <c r="C79" s="1" t="n">
        <v>45811</v>
      </c>
      <c r="D79" t="inlineStr">
        <is>
          <t>SKÅNE LÄN</t>
        </is>
      </c>
      <c r="E79" t="inlineStr">
        <is>
          <t>HÄSSLEHOLM</t>
        </is>
      </c>
      <c r="G79" t="n">
        <v>2.8</v>
      </c>
      <c r="H79" t="n">
        <v>0</v>
      </c>
      <c r="I79" t="n">
        <v>0</v>
      </c>
      <c r="J79" t="n">
        <v>0</v>
      </c>
      <c r="K79" t="n">
        <v>0</v>
      </c>
      <c r="L79" t="n">
        <v>0</v>
      </c>
      <c r="M79" t="n">
        <v>0</v>
      </c>
      <c r="N79" t="n">
        <v>0</v>
      </c>
      <c r="O79" t="n">
        <v>0</v>
      </c>
      <c r="P79" t="n">
        <v>0</v>
      </c>
      <c r="Q79" t="n">
        <v>0</v>
      </c>
      <c r="R79" s="2" t="inlineStr"/>
    </row>
    <row r="80" ht="15" customHeight="1">
      <c r="A80" t="inlineStr">
        <is>
          <t>A 27624-2019</t>
        </is>
      </c>
      <c r="B80" s="1" t="n">
        <v>43619</v>
      </c>
      <c r="C80" s="1" t="n">
        <v>45811</v>
      </c>
      <c r="D80" t="inlineStr">
        <is>
          <t>SKÅNE LÄN</t>
        </is>
      </c>
      <c r="E80" t="inlineStr">
        <is>
          <t>HÄSSLEHOLM</t>
        </is>
      </c>
      <c r="F80" t="inlineStr">
        <is>
          <t>Kyrkan</t>
        </is>
      </c>
      <c r="G80" t="n">
        <v>5.3</v>
      </c>
      <c r="H80" t="n">
        <v>0</v>
      </c>
      <c r="I80" t="n">
        <v>0</v>
      </c>
      <c r="J80" t="n">
        <v>0</v>
      </c>
      <c r="K80" t="n">
        <v>0</v>
      </c>
      <c r="L80" t="n">
        <v>0</v>
      </c>
      <c r="M80" t="n">
        <v>0</v>
      </c>
      <c r="N80" t="n">
        <v>0</v>
      </c>
      <c r="O80" t="n">
        <v>0</v>
      </c>
      <c r="P80" t="n">
        <v>0</v>
      </c>
      <c r="Q80" t="n">
        <v>0</v>
      </c>
      <c r="R80" s="2" t="inlineStr"/>
    </row>
    <row r="81" ht="15" customHeight="1">
      <c r="A81" t="inlineStr">
        <is>
          <t>A 27824-2019</t>
        </is>
      </c>
      <c r="B81" s="1" t="n">
        <v>43620</v>
      </c>
      <c r="C81" s="1" t="n">
        <v>45811</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28105-2019</t>
        </is>
      </c>
      <c r="B82" s="1" t="n">
        <v>43621</v>
      </c>
      <c r="C82" s="1" t="n">
        <v>45811</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28111-2019</t>
        </is>
      </c>
      <c r="B83" s="1" t="n">
        <v>43621</v>
      </c>
      <c r="C83" s="1" t="n">
        <v>45811</v>
      </c>
      <c r="D83" t="inlineStr">
        <is>
          <t>SKÅNE LÄN</t>
        </is>
      </c>
      <c r="E83" t="inlineStr">
        <is>
          <t>HÄSSLEHOLM</t>
        </is>
      </c>
      <c r="G83" t="n">
        <v>1.7</v>
      </c>
      <c r="H83" t="n">
        <v>0</v>
      </c>
      <c r="I83" t="n">
        <v>0</v>
      </c>
      <c r="J83" t="n">
        <v>0</v>
      </c>
      <c r="K83" t="n">
        <v>0</v>
      </c>
      <c r="L83" t="n">
        <v>0</v>
      </c>
      <c r="M83" t="n">
        <v>0</v>
      </c>
      <c r="N83" t="n">
        <v>0</v>
      </c>
      <c r="O83" t="n">
        <v>0</v>
      </c>
      <c r="P83" t="n">
        <v>0</v>
      </c>
      <c r="Q83" t="n">
        <v>0</v>
      </c>
      <c r="R83" s="2" t="inlineStr"/>
    </row>
    <row r="84" ht="15" customHeight="1">
      <c r="A84" t="inlineStr">
        <is>
          <t>A 28410-2019</t>
        </is>
      </c>
      <c r="B84" s="1" t="n">
        <v>43626</v>
      </c>
      <c r="C84" s="1" t="n">
        <v>45811</v>
      </c>
      <c r="D84" t="inlineStr">
        <is>
          <t>SKÅNE LÄN</t>
        </is>
      </c>
      <c r="E84" t="inlineStr">
        <is>
          <t>HÄSSLEHOLM</t>
        </is>
      </c>
      <c r="G84" t="n">
        <v>2.5</v>
      </c>
      <c r="H84" t="n">
        <v>0</v>
      </c>
      <c r="I84" t="n">
        <v>0</v>
      </c>
      <c r="J84" t="n">
        <v>0</v>
      </c>
      <c r="K84" t="n">
        <v>0</v>
      </c>
      <c r="L84" t="n">
        <v>0</v>
      </c>
      <c r="M84" t="n">
        <v>0</v>
      </c>
      <c r="N84" t="n">
        <v>0</v>
      </c>
      <c r="O84" t="n">
        <v>0</v>
      </c>
      <c r="P84" t="n">
        <v>0</v>
      </c>
      <c r="Q84" t="n">
        <v>0</v>
      </c>
      <c r="R84" s="2" t="inlineStr"/>
    </row>
    <row r="85" ht="15" customHeight="1">
      <c r="A85" t="inlineStr">
        <is>
          <t>A 28413-2019</t>
        </is>
      </c>
      <c r="B85" s="1" t="n">
        <v>43626</v>
      </c>
      <c r="C85" s="1" t="n">
        <v>45811</v>
      </c>
      <c r="D85" t="inlineStr">
        <is>
          <t>SKÅNE LÄN</t>
        </is>
      </c>
      <c r="E85" t="inlineStr">
        <is>
          <t>HÄSSLEHOLM</t>
        </is>
      </c>
      <c r="G85" t="n">
        <v>2.4</v>
      </c>
      <c r="H85" t="n">
        <v>0</v>
      </c>
      <c r="I85" t="n">
        <v>0</v>
      </c>
      <c r="J85" t="n">
        <v>0</v>
      </c>
      <c r="K85" t="n">
        <v>0</v>
      </c>
      <c r="L85" t="n">
        <v>0</v>
      </c>
      <c r="M85" t="n">
        <v>0</v>
      </c>
      <c r="N85" t="n">
        <v>0</v>
      </c>
      <c r="O85" t="n">
        <v>0</v>
      </c>
      <c r="P85" t="n">
        <v>0</v>
      </c>
      <c r="Q85" t="n">
        <v>0</v>
      </c>
      <c r="R85" s="2" t="inlineStr"/>
    </row>
    <row r="86" ht="15" customHeight="1">
      <c r="A86" t="inlineStr">
        <is>
          <t>A 29042-2019</t>
        </is>
      </c>
      <c r="B86" s="1" t="n">
        <v>43628</v>
      </c>
      <c r="C86" s="1" t="n">
        <v>45811</v>
      </c>
      <c r="D86" t="inlineStr">
        <is>
          <t>SKÅNE LÄN</t>
        </is>
      </c>
      <c r="E86" t="inlineStr">
        <is>
          <t>HÄSSLEHOLM</t>
        </is>
      </c>
      <c r="G86" t="n">
        <v>2.6</v>
      </c>
      <c r="H86" t="n">
        <v>0</v>
      </c>
      <c r="I86" t="n">
        <v>0</v>
      </c>
      <c r="J86" t="n">
        <v>0</v>
      </c>
      <c r="K86" t="n">
        <v>0</v>
      </c>
      <c r="L86" t="n">
        <v>0</v>
      </c>
      <c r="M86" t="n">
        <v>0</v>
      </c>
      <c r="N86" t="n">
        <v>0</v>
      </c>
      <c r="O86" t="n">
        <v>0</v>
      </c>
      <c r="P86" t="n">
        <v>0</v>
      </c>
      <c r="Q86" t="n">
        <v>0</v>
      </c>
      <c r="R86" s="2" t="inlineStr"/>
    </row>
    <row r="87" ht="15" customHeight="1">
      <c r="A87" t="inlineStr">
        <is>
          <t>A 29766-2019</t>
        </is>
      </c>
      <c r="B87" s="1" t="n">
        <v>43632</v>
      </c>
      <c r="C87" s="1" t="n">
        <v>45811</v>
      </c>
      <c r="D87" t="inlineStr">
        <is>
          <t>SKÅNE LÄN</t>
        </is>
      </c>
      <c r="E87" t="inlineStr">
        <is>
          <t>HÄSSLEHOLM</t>
        </is>
      </c>
      <c r="G87" t="n">
        <v>4.9</v>
      </c>
      <c r="H87" t="n">
        <v>0</v>
      </c>
      <c r="I87" t="n">
        <v>0</v>
      </c>
      <c r="J87" t="n">
        <v>0</v>
      </c>
      <c r="K87" t="n">
        <v>0</v>
      </c>
      <c r="L87" t="n">
        <v>0</v>
      </c>
      <c r="M87" t="n">
        <v>0</v>
      </c>
      <c r="N87" t="n">
        <v>0</v>
      </c>
      <c r="O87" t="n">
        <v>0</v>
      </c>
      <c r="P87" t="n">
        <v>0</v>
      </c>
      <c r="Q87" t="n">
        <v>0</v>
      </c>
      <c r="R87" s="2" t="inlineStr"/>
    </row>
    <row r="88" ht="15" customHeight="1">
      <c r="A88" t="inlineStr">
        <is>
          <t>A 30059-2019</t>
        </is>
      </c>
      <c r="B88" s="1" t="n">
        <v>43633</v>
      </c>
      <c r="C88" s="1" t="n">
        <v>45811</v>
      </c>
      <c r="D88" t="inlineStr">
        <is>
          <t>SKÅNE LÄN</t>
        </is>
      </c>
      <c r="E88" t="inlineStr">
        <is>
          <t>HÄSSLEHOLM</t>
        </is>
      </c>
      <c r="G88" t="n">
        <v>3.5</v>
      </c>
      <c r="H88" t="n">
        <v>0</v>
      </c>
      <c r="I88" t="n">
        <v>0</v>
      </c>
      <c r="J88" t="n">
        <v>0</v>
      </c>
      <c r="K88" t="n">
        <v>0</v>
      </c>
      <c r="L88" t="n">
        <v>0</v>
      </c>
      <c r="M88" t="n">
        <v>0</v>
      </c>
      <c r="N88" t="n">
        <v>0</v>
      </c>
      <c r="O88" t="n">
        <v>0</v>
      </c>
      <c r="P88" t="n">
        <v>0</v>
      </c>
      <c r="Q88" t="n">
        <v>0</v>
      </c>
      <c r="R88" s="2" t="inlineStr"/>
    </row>
    <row r="89" ht="15" customHeight="1">
      <c r="A89" t="inlineStr">
        <is>
          <t>A 31760-2019</t>
        </is>
      </c>
      <c r="B89" s="1" t="n">
        <v>43642</v>
      </c>
      <c r="C89" s="1" t="n">
        <v>45811</v>
      </c>
      <c r="D89" t="inlineStr">
        <is>
          <t>SKÅNE LÄN</t>
        </is>
      </c>
      <c r="E89" t="inlineStr">
        <is>
          <t>HÄSSLEHOLM</t>
        </is>
      </c>
      <c r="G89" t="n">
        <v>3.3</v>
      </c>
      <c r="H89" t="n">
        <v>0</v>
      </c>
      <c r="I89" t="n">
        <v>0</v>
      </c>
      <c r="J89" t="n">
        <v>0</v>
      </c>
      <c r="K89" t="n">
        <v>0</v>
      </c>
      <c r="L89" t="n">
        <v>0</v>
      </c>
      <c r="M89" t="n">
        <v>0</v>
      </c>
      <c r="N89" t="n">
        <v>0</v>
      </c>
      <c r="O89" t="n">
        <v>0</v>
      </c>
      <c r="P89" t="n">
        <v>0</v>
      </c>
      <c r="Q89" t="n">
        <v>0</v>
      </c>
      <c r="R89" s="2" t="inlineStr"/>
    </row>
    <row r="90" ht="15" customHeight="1">
      <c r="A90" t="inlineStr">
        <is>
          <t>A 31936-2019</t>
        </is>
      </c>
      <c r="B90" s="1" t="n">
        <v>43642</v>
      </c>
      <c r="C90" s="1" t="n">
        <v>45811</v>
      </c>
      <c r="D90" t="inlineStr">
        <is>
          <t>SKÅNE LÄN</t>
        </is>
      </c>
      <c r="E90" t="inlineStr">
        <is>
          <t>HÄSSLEHOLM</t>
        </is>
      </c>
      <c r="G90" t="n">
        <v>0.8</v>
      </c>
      <c r="H90" t="n">
        <v>0</v>
      </c>
      <c r="I90" t="n">
        <v>0</v>
      </c>
      <c r="J90" t="n">
        <v>0</v>
      </c>
      <c r="K90" t="n">
        <v>0</v>
      </c>
      <c r="L90" t="n">
        <v>0</v>
      </c>
      <c r="M90" t="n">
        <v>0</v>
      </c>
      <c r="N90" t="n">
        <v>0</v>
      </c>
      <c r="O90" t="n">
        <v>0</v>
      </c>
      <c r="P90" t="n">
        <v>0</v>
      </c>
      <c r="Q90" t="n">
        <v>0</v>
      </c>
      <c r="R90" s="2" t="inlineStr"/>
    </row>
    <row r="91" ht="15" customHeight="1">
      <c r="A91" t="inlineStr">
        <is>
          <t>A 32714-2019</t>
        </is>
      </c>
      <c r="B91" s="1" t="n">
        <v>43647</v>
      </c>
      <c r="C91" s="1" t="n">
        <v>45811</v>
      </c>
      <c r="D91" t="inlineStr">
        <is>
          <t>SKÅNE LÄN</t>
        </is>
      </c>
      <c r="E91" t="inlineStr">
        <is>
          <t>HÄSSLEHOLM</t>
        </is>
      </c>
      <c r="G91" t="n">
        <v>8.4</v>
      </c>
      <c r="H91" t="n">
        <v>0</v>
      </c>
      <c r="I91" t="n">
        <v>0</v>
      </c>
      <c r="J91" t="n">
        <v>0</v>
      </c>
      <c r="K91" t="n">
        <v>0</v>
      </c>
      <c r="L91" t="n">
        <v>0</v>
      </c>
      <c r="M91" t="n">
        <v>0</v>
      </c>
      <c r="N91" t="n">
        <v>0</v>
      </c>
      <c r="O91" t="n">
        <v>0</v>
      </c>
      <c r="P91" t="n">
        <v>0</v>
      </c>
      <c r="Q91" t="n">
        <v>0</v>
      </c>
      <c r="R91" s="2" t="inlineStr"/>
    </row>
    <row r="92" ht="15" customHeight="1">
      <c r="A92" t="inlineStr">
        <is>
          <t>A 34714-2019</t>
        </is>
      </c>
      <c r="B92" s="1" t="n">
        <v>43648</v>
      </c>
      <c r="C92" s="1" t="n">
        <v>45811</v>
      </c>
      <c r="D92" t="inlineStr">
        <is>
          <t>SKÅNE LÄN</t>
        </is>
      </c>
      <c r="E92" t="inlineStr">
        <is>
          <t>HÄSSLEHOLM</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34711-2019</t>
        </is>
      </c>
      <c r="B93" s="1" t="n">
        <v>43648</v>
      </c>
      <c r="C93" s="1" t="n">
        <v>45811</v>
      </c>
      <c r="D93" t="inlineStr">
        <is>
          <t>SKÅNE LÄN</t>
        </is>
      </c>
      <c r="E93" t="inlineStr">
        <is>
          <t>HÄSSLEHOLM</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32999-2019</t>
        </is>
      </c>
      <c r="B94" s="1" t="n">
        <v>43649</v>
      </c>
      <c r="C94" s="1" t="n">
        <v>45811</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32998-2019</t>
        </is>
      </c>
      <c r="B95" s="1" t="n">
        <v>43649</v>
      </c>
      <c r="C95" s="1" t="n">
        <v>45811</v>
      </c>
      <c r="D95" t="inlineStr">
        <is>
          <t>SKÅNE LÄN</t>
        </is>
      </c>
      <c r="E95" t="inlineStr">
        <is>
          <t>HÄSSLEHOLM</t>
        </is>
      </c>
      <c r="G95" t="n">
        <v>3.7</v>
      </c>
      <c r="H95" t="n">
        <v>0</v>
      </c>
      <c r="I95" t="n">
        <v>0</v>
      </c>
      <c r="J95" t="n">
        <v>0</v>
      </c>
      <c r="K95" t="n">
        <v>0</v>
      </c>
      <c r="L95" t="n">
        <v>0</v>
      </c>
      <c r="M95" t="n">
        <v>0</v>
      </c>
      <c r="N95" t="n">
        <v>0</v>
      </c>
      <c r="O95" t="n">
        <v>0</v>
      </c>
      <c r="P95" t="n">
        <v>0</v>
      </c>
      <c r="Q95" t="n">
        <v>0</v>
      </c>
      <c r="R95" s="2" t="inlineStr"/>
    </row>
    <row r="96" ht="15" customHeight="1">
      <c r="A96" t="inlineStr">
        <is>
          <t>A 33258-2019</t>
        </is>
      </c>
      <c r="B96" s="1" t="n">
        <v>43650</v>
      </c>
      <c r="C96" s="1" t="n">
        <v>45811</v>
      </c>
      <c r="D96" t="inlineStr">
        <is>
          <t>SKÅNE LÄN</t>
        </is>
      </c>
      <c r="E96" t="inlineStr">
        <is>
          <t>HÄSSLEHOLM</t>
        </is>
      </c>
      <c r="G96" t="n">
        <v>2</v>
      </c>
      <c r="H96" t="n">
        <v>0</v>
      </c>
      <c r="I96" t="n">
        <v>0</v>
      </c>
      <c r="J96" t="n">
        <v>0</v>
      </c>
      <c r="K96" t="n">
        <v>0</v>
      </c>
      <c r="L96" t="n">
        <v>0</v>
      </c>
      <c r="M96" t="n">
        <v>0</v>
      </c>
      <c r="N96" t="n">
        <v>0</v>
      </c>
      <c r="O96" t="n">
        <v>0</v>
      </c>
      <c r="P96" t="n">
        <v>0</v>
      </c>
      <c r="Q96" t="n">
        <v>0</v>
      </c>
      <c r="R96" s="2" t="inlineStr"/>
    </row>
    <row r="97" ht="15" customHeight="1">
      <c r="A97" t="inlineStr">
        <is>
          <t>A 33344-2019</t>
        </is>
      </c>
      <c r="B97" s="1" t="n">
        <v>43650</v>
      </c>
      <c r="C97" s="1" t="n">
        <v>45811</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33693-2019</t>
        </is>
      </c>
      <c r="B98" s="1" t="n">
        <v>43651</v>
      </c>
      <c r="C98" s="1" t="n">
        <v>45811</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33522-2019</t>
        </is>
      </c>
      <c r="B99" s="1" t="n">
        <v>43651</v>
      </c>
      <c r="C99" s="1" t="n">
        <v>45811</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33691-2019</t>
        </is>
      </c>
      <c r="B100" s="1" t="n">
        <v>43651</v>
      </c>
      <c r="C100" s="1" t="n">
        <v>45811</v>
      </c>
      <c r="D100" t="inlineStr">
        <is>
          <t>SKÅNE LÄN</t>
        </is>
      </c>
      <c r="E100" t="inlineStr">
        <is>
          <t>HÄSSLEHOLM</t>
        </is>
      </c>
      <c r="G100" t="n">
        <v>8</v>
      </c>
      <c r="H100" t="n">
        <v>0</v>
      </c>
      <c r="I100" t="n">
        <v>0</v>
      </c>
      <c r="J100" t="n">
        <v>0</v>
      </c>
      <c r="K100" t="n">
        <v>0</v>
      </c>
      <c r="L100" t="n">
        <v>0</v>
      </c>
      <c r="M100" t="n">
        <v>0</v>
      </c>
      <c r="N100" t="n">
        <v>0</v>
      </c>
      <c r="O100" t="n">
        <v>0</v>
      </c>
      <c r="P100" t="n">
        <v>0</v>
      </c>
      <c r="Q100" t="n">
        <v>0</v>
      </c>
      <c r="R100" s="2" t="inlineStr"/>
    </row>
    <row r="101" ht="15" customHeight="1">
      <c r="A101" t="inlineStr">
        <is>
          <t>A 33526-2019</t>
        </is>
      </c>
      <c r="B101" s="1" t="n">
        <v>43651</v>
      </c>
      <c r="C101" s="1" t="n">
        <v>45811</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34073-2019</t>
        </is>
      </c>
      <c r="B102" s="1" t="n">
        <v>43654</v>
      </c>
      <c r="C102" s="1" t="n">
        <v>45811</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34140-2019</t>
        </is>
      </c>
      <c r="B103" s="1" t="n">
        <v>43654</v>
      </c>
      <c r="C103" s="1" t="n">
        <v>45811</v>
      </c>
      <c r="D103" t="inlineStr">
        <is>
          <t>SKÅNE LÄN</t>
        </is>
      </c>
      <c r="E103" t="inlineStr">
        <is>
          <t>HÄSSLEHOLM</t>
        </is>
      </c>
      <c r="G103" t="n">
        <v>2.8</v>
      </c>
      <c r="H103" t="n">
        <v>0</v>
      </c>
      <c r="I103" t="n">
        <v>0</v>
      </c>
      <c r="J103" t="n">
        <v>0</v>
      </c>
      <c r="K103" t="n">
        <v>0</v>
      </c>
      <c r="L103" t="n">
        <v>0</v>
      </c>
      <c r="M103" t="n">
        <v>0</v>
      </c>
      <c r="N103" t="n">
        <v>0</v>
      </c>
      <c r="O103" t="n">
        <v>0</v>
      </c>
      <c r="P103" t="n">
        <v>0</v>
      </c>
      <c r="Q103" t="n">
        <v>0</v>
      </c>
      <c r="R103" s="2" t="inlineStr"/>
    </row>
    <row r="104" ht="15" customHeight="1">
      <c r="A104" t="inlineStr">
        <is>
          <t>A 34069-2019</t>
        </is>
      </c>
      <c r="B104" s="1" t="n">
        <v>43654</v>
      </c>
      <c r="C104" s="1" t="n">
        <v>45811</v>
      </c>
      <c r="D104" t="inlineStr">
        <is>
          <t>SKÅNE LÄN</t>
        </is>
      </c>
      <c r="E104" t="inlineStr">
        <is>
          <t>HÄSSLEHOLM</t>
        </is>
      </c>
      <c r="G104" t="n">
        <v>3.3</v>
      </c>
      <c r="H104" t="n">
        <v>0</v>
      </c>
      <c r="I104" t="n">
        <v>0</v>
      </c>
      <c r="J104" t="n">
        <v>0</v>
      </c>
      <c r="K104" t="n">
        <v>0</v>
      </c>
      <c r="L104" t="n">
        <v>0</v>
      </c>
      <c r="M104" t="n">
        <v>0</v>
      </c>
      <c r="N104" t="n">
        <v>0</v>
      </c>
      <c r="O104" t="n">
        <v>0</v>
      </c>
      <c r="P104" t="n">
        <v>0</v>
      </c>
      <c r="Q104" t="n">
        <v>0</v>
      </c>
      <c r="R104" s="2" t="inlineStr"/>
    </row>
    <row r="105" ht="15" customHeight="1">
      <c r="A105" t="inlineStr">
        <is>
          <t>A 34072-2019</t>
        </is>
      </c>
      <c r="B105" s="1" t="n">
        <v>43654</v>
      </c>
      <c r="C105" s="1" t="n">
        <v>45811</v>
      </c>
      <c r="D105" t="inlineStr">
        <is>
          <t>SKÅNE LÄN</t>
        </is>
      </c>
      <c r="E105" t="inlineStr">
        <is>
          <t>HÄSSLEHOLM</t>
        </is>
      </c>
      <c r="G105" t="n">
        <v>4</v>
      </c>
      <c r="H105" t="n">
        <v>0</v>
      </c>
      <c r="I105" t="n">
        <v>0</v>
      </c>
      <c r="J105" t="n">
        <v>0</v>
      </c>
      <c r="K105" t="n">
        <v>0</v>
      </c>
      <c r="L105" t="n">
        <v>0</v>
      </c>
      <c r="M105" t="n">
        <v>0</v>
      </c>
      <c r="N105" t="n">
        <v>0</v>
      </c>
      <c r="O105" t="n">
        <v>0</v>
      </c>
      <c r="P105" t="n">
        <v>0</v>
      </c>
      <c r="Q105" t="n">
        <v>0</v>
      </c>
      <c r="R105" s="2" t="inlineStr"/>
    </row>
    <row r="106" ht="15" customHeight="1">
      <c r="A106" t="inlineStr">
        <is>
          <t>A 36240-2019</t>
        </is>
      </c>
      <c r="B106" s="1" t="n">
        <v>43659</v>
      </c>
      <c r="C106" s="1" t="n">
        <v>45811</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36238-2019</t>
        </is>
      </c>
      <c r="B107" s="1" t="n">
        <v>43659</v>
      </c>
      <c r="C107" s="1" t="n">
        <v>45811</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36553-2019</t>
        </is>
      </c>
      <c r="B108" s="1" t="n">
        <v>43668</v>
      </c>
      <c r="C108" s="1" t="n">
        <v>45811</v>
      </c>
      <c r="D108" t="inlineStr">
        <is>
          <t>SKÅNE LÄN</t>
        </is>
      </c>
      <c r="E108" t="inlineStr">
        <is>
          <t>HÄSSLEHOLM</t>
        </is>
      </c>
      <c r="G108" t="n">
        <v>2.6</v>
      </c>
      <c r="H108" t="n">
        <v>0</v>
      </c>
      <c r="I108" t="n">
        <v>0</v>
      </c>
      <c r="J108" t="n">
        <v>0</v>
      </c>
      <c r="K108" t="n">
        <v>0</v>
      </c>
      <c r="L108" t="n">
        <v>0</v>
      </c>
      <c r="M108" t="n">
        <v>0</v>
      </c>
      <c r="N108" t="n">
        <v>0</v>
      </c>
      <c r="O108" t="n">
        <v>0</v>
      </c>
      <c r="P108" t="n">
        <v>0</v>
      </c>
      <c r="Q108" t="n">
        <v>0</v>
      </c>
      <c r="R108" s="2" t="inlineStr"/>
    </row>
    <row r="109" ht="15" customHeight="1">
      <c r="A109" t="inlineStr">
        <is>
          <t>A 36550-2019</t>
        </is>
      </c>
      <c r="B109" s="1" t="n">
        <v>43668</v>
      </c>
      <c r="C109" s="1" t="n">
        <v>45811</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37540-2019</t>
        </is>
      </c>
      <c r="B110" s="1" t="n">
        <v>43678</v>
      </c>
      <c r="C110" s="1" t="n">
        <v>45811</v>
      </c>
      <c r="D110" t="inlineStr">
        <is>
          <t>SKÅNE LÄN</t>
        </is>
      </c>
      <c r="E110" t="inlineStr">
        <is>
          <t>HÄSSLEHOLM</t>
        </is>
      </c>
      <c r="G110" t="n">
        <v>7.9</v>
      </c>
      <c r="H110" t="n">
        <v>0</v>
      </c>
      <c r="I110" t="n">
        <v>0</v>
      </c>
      <c r="J110" t="n">
        <v>0</v>
      </c>
      <c r="K110" t="n">
        <v>0</v>
      </c>
      <c r="L110" t="n">
        <v>0</v>
      </c>
      <c r="M110" t="n">
        <v>0</v>
      </c>
      <c r="N110" t="n">
        <v>0</v>
      </c>
      <c r="O110" t="n">
        <v>0</v>
      </c>
      <c r="P110" t="n">
        <v>0</v>
      </c>
      <c r="Q110" t="n">
        <v>0</v>
      </c>
      <c r="R110" s="2" t="inlineStr"/>
    </row>
    <row r="111" ht="15" customHeight="1">
      <c r="A111" t="inlineStr">
        <is>
          <t>A 37761-2019</t>
        </is>
      </c>
      <c r="B111" s="1" t="n">
        <v>43682</v>
      </c>
      <c r="C111" s="1" t="n">
        <v>45811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37765-2019</t>
        </is>
      </c>
      <c r="B112" s="1" t="n">
        <v>43682</v>
      </c>
      <c r="C112" s="1" t="n">
        <v>45811</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38673-2019</t>
        </is>
      </c>
      <c r="B113" s="1" t="n">
        <v>43686</v>
      </c>
      <c r="C113" s="1" t="n">
        <v>45811</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38805-2019</t>
        </is>
      </c>
      <c r="B114" s="1" t="n">
        <v>43688</v>
      </c>
      <c r="C114" s="1" t="n">
        <v>45811</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38806-2019</t>
        </is>
      </c>
      <c r="B115" s="1" t="n">
        <v>43688</v>
      </c>
      <c r="C115" s="1" t="n">
        <v>45811</v>
      </c>
      <c r="D115" t="inlineStr">
        <is>
          <t>SKÅNE LÄN</t>
        </is>
      </c>
      <c r="E115" t="inlineStr">
        <is>
          <t>HÄSSLEHOLM</t>
        </is>
      </c>
      <c r="G115" t="n">
        <v>1.8</v>
      </c>
      <c r="H115" t="n">
        <v>0</v>
      </c>
      <c r="I115" t="n">
        <v>0</v>
      </c>
      <c r="J115" t="n">
        <v>0</v>
      </c>
      <c r="K115" t="n">
        <v>0</v>
      </c>
      <c r="L115" t="n">
        <v>0</v>
      </c>
      <c r="M115" t="n">
        <v>0</v>
      </c>
      <c r="N115" t="n">
        <v>0</v>
      </c>
      <c r="O115" t="n">
        <v>0</v>
      </c>
      <c r="P115" t="n">
        <v>0</v>
      </c>
      <c r="Q115" t="n">
        <v>0</v>
      </c>
      <c r="R115" s="2" t="inlineStr"/>
    </row>
    <row r="116" ht="15" customHeight="1">
      <c r="A116" t="inlineStr">
        <is>
          <t>A 38808-2019</t>
        </is>
      </c>
      <c r="B116" s="1" t="n">
        <v>43688</v>
      </c>
      <c r="C116" s="1" t="n">
        <v>45811</v>
      </c>
      <c r="D116" t="inlineStr">
        <is>
          <t>SKÅNE LÄN</t>
        </is>
      </c>
      <c r="E116" t="inlineStr">
        <is>
          <t>HÄSSLEHOLM</t>
        </is>
      </c>
      <c r="G116" t="n">
        <v>1.7</v>
      </c>
      <c r="H116" t="n">
        <v>0</v>
      </c>
      <c r="I116" t="n">
        <v>0</v>
      </c>
      <c r="J116" t="n">
        <v>0</v>
      </c>
      <c r="K116" t="n">
        <v>0</v>
      </c>
      <c r="L116" t="n">
        <v>0</v>
      </c>
      <c r="M116" t="n">
        <v>0</v>
      </c>
      <c r="N116" t="n">
        <v>0</v>
      </c>
      <c r="O116" t="n">
        <v>0</v>
      </c>
      <c r="P116" t="n">
        <v>0</v>
      </c>
      <c r="Q116" t="n">
        <v>0</v>
      </c>
      <c r="R116" s="2" t="inlineStr"/>
    </row>
    <row r="117" ht="15" customHeight="1">
      <c r="A117" t="inlineStr">
        <is>
          <t>A 39502-2019</t>
        </is>
      </c>
      <c r="B117" s="1" t="n">
        <v>43691</v>
      </c>
      <c r="C117" s="1" t="n">
        <v>45811</v>
      </c>
      <c r="D117" t="inlineStr">
        <is>
          <t>SKÅNE LÄN</t>
        </is>
      </c>
      <c r="E117" t="inlineStr">
        <is>
          <t>HÄSSLEHOLM</t>
        </is>
      </c>
      <c r="G117" t="n">
        <v>3.8</v>
      </c>
      <c r="H117" t="n">
        <v>0</v>
      </c>
      <c r="I117" t="n">
        <v>0</v>
      </c>
      <c r="J117" t="n">
        <v>0</v>
      </c>
      <c r="K117" t="n">
        <v>0</v>
      </c>
      <c r="L117" t="n">
        <v>0</v>
      </c>
      <c r="M117" t="n">
        <v>0</v>
      </c>
      <c r="N117" t="n">
        <v>0</v>
      </c>
      <c r="O117" t="n">
        <v>0</v>
      </c>
      <c r="P117" t="n">
        <v>0</v>
      </c>
      <c r="Q117" t="n">
        <v>0</v>
      </c>
      <c r="R117" s="2" t="inlineStr"/>
    </row>
    <row r="118" ht="15" customHeight="1">
      <c r="A118" t="inlineStr">
        <is>
          <t>A 39507-2019</t>
        </is>
      </c>
      <c r="B118" s="1" t="n">
        <v>43691</v>
      </c>
      <c r="C118" s="1" t="n">
        <v>45811</v>
      </c>
      <c r="D118" t="inlineStr">
        <is>
          <t>SKÅNE LÄN</t>
        </is>
      </c>
      <c r="E118" t="inlineStr">
        <is>
          <t>HÄSSLEHOLM</t>
        </is>
      </c>
      <c r="G118" t="n">
        <v>5.7</v>
      </c>
      <c r="H118" t="n">
        <v>0</v>
      </c>
      <c r="I118" t="n">
        <v>0</v>
      </c>
      <c r="J118" t="n">
        <v>0</v>
      </c>
      <c r="K118" t="n">
        <v>0</v>
      </c>
      <c r="L118" t="n">
        <v>0</v>
      </c>
      <c r="M118" t="n">
        <v>0</v>
      </c>
      <c r="N118" t="n">
        <v>0</v>
      </c>
      <c r="O118" t="n">
        <v>0</v>
      </c>
      <c r="P118" t="n">
        <v>0</v>
      </c>
      <c r="Q118" t="n">
        <v>0</v>
      </c>
      <c r="R118" s="2" t="inlineStr"/>
    </row>
    <row r="119" ht="15" customHeight="1">
      <c r="A119" t="inlineStr">
        <is>
          <t>A 40262-2019</t>
        </is>
      </c>
      <c r="B119" s="1" t="n">
        <v>43695</v>
      </c>
      <c r="C119" s="1" t="n">
        <v>45811</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41485-2019</t>
        </is>
      </c>
      <c r="B120" s="1" t="n">
        <v>43696</v>
      </c>
      <c r="C120" s="1" t="n">
        <v>45811</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41068-2019</t>
        </is>
      </c>
      <c r="B121" s="1" t="n">
        <v>43698</v>
      </c>
      <c r="C121" s="1" t="n">
        <v>45811</v>
      </c>
      <c r="D121" t="inlineStr">
        <is>
          <t>SKÅNE LÄN</t>
        </is>
      </c>
      <c r="E121" t="inlineStr">
        <is>
          <t>HÄSSLEHOLM</t>
        </is>
      </c>
      <c r="G121" t="n">
        <v>3.7</v>
      </c>
      <c r="H121" t="n">
        <v>0</v>
      </c>
      <c r="I121" t="n">
        <v>0</v>
      </c>
      <c r="J121" t="n">
        <v>0</v>
      </c>
      <c r="K121" t="n">
        <v>0</v>
      </c>
      <c r="L121" t="n">
        <v>0</v>
      </c>
      <c r="M121" t="n">
        <v>0</v>
      </c>
      <c r="N121" t="n">
        <v>0</v>
      </c>
      <c r="O121" t="n">
        <v>0</v>
      </c>
      <c r="P121" t="n">
        <v>0</v>
      </c>
      <c r="Q121" t="n">
        <v>0</v>
      </c>
      <c r="R121" s="2" t="inlineStr"/>
    </row>
    <row r="122" ht="15" customHeight="1">
      <c r="A122" t="inlineStr">
        <is>
          <t>A 41439-2019</t>
        </is>
      </c>
      <c r="B122" s="1" t="n">
        <v>43698</v>
      </c>
      <c r="C122" s="1" t="n">
        <v>45811</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43674-2019</t>
        </is>
      </c>
      <c r="B123" s="1" t="n">
        <v>43704</v>
      </c>
      <c r="C123" s="1" t="n">
        <v>45811</v>
      </c>
      <c r="D123" t="inlineStr">
        <is>
          <t>SKÅNE LÄN</t>
        </is>
      </c>
      <c r="E123" t="inlineStr">
        <is>
          <t>HÄSSLEHOLM</t>
        </is>
      </c>
      <c r="G123" t="n">
        <v>5.3</v>
      </c>
      <c r="H123" t="n">
        <v>0</v>
      </c>
      <c r="I123" t="n">
        <v>0</v>
      </c>
      <c r="J123" t="n">
        <v>0</v>
      </c>
      <c r="K123" t="n">
        <v>0</v>
      </c>
      <c r="L123" t="n">
        <v>0</v>
      </c>
      <c r="M123" t="n">
        <v>0</v>
      </c>
      <c r="N123" t="n">
        <v>0</v>
      </c>
      <c r="O123" t="n">
        <v>0</v>
      </c>
      <c r="P123" t="n">
        <v>0</v>
      </c>
      <c r="Q123" t="n">
        <v>0</v>
      </c>
      <c r="R123" s="2" t="inlineStr"/>
    </row>
    <row r="124" ht="15" customHeight="1">
      <c r="A124" t="inlineStr">
        <is>
          <t>A 43547-2019</t>
        </is>
      </c>
      <c r="B124" s="1" t="n">
        <v>43706</v>
      </c>
      <c r="C124" s="1" t="n">
        <v>45811</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44032-2019</t>
        </is>
      </c>
      <c r="B125" s="1" t="n">
        <v>43710</v>
      </c>
      <c r="C125" s="1" t="n">
        <v>45811</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44255-2019</t>
        </is>
      </c>
      <c r="B126" s="1" t="n">
        <v>43710</v>
      </c>
      <c r="C126" s="1" t="n">
        <v>45811</v>
      </c>
      <c r="D126" t="inlineStr">
        <is>
          <t>SKÅNE LÄN</t>
        </is>
      </c>
      <c r="E126" t="inlineStr">
        <is>
          <t>HÄSSLEHOLM</t>
        </is>
      </c>
      <c r="G126" t="n">
        <v>4.3</v>
      </c>
      <c r="H126" t="n">
        <v>0</v>
      </c>
      <c r="I126" t="n">
        <v>0</v>
      </c>
      <c r="J126" t="n">
        <v>0</v>
      </c>
      <c r="K126" t="n">
        <v>0</v>
      </c>
      <c r="L126" t="n">
        <v>0</v>
      </c>
      <c r="M126" t="n">
        <v>0</v>
      </c>
      <c r="N126" t="n">
        <v>0</v>
      </c>
      <c r="O126" t="n">
        <v>0</v>
      </c>
      <c r="P126" t="n">
        <v>0</v>
      </c>
      <c r="Q126" t="n">
        <v>0</v>
      </c>
      <c r="R126" s="2" t="inlineStr"/>
    </row>
    <row r="127" ht="15" customHeight="1">
      <c r="A127" t="inlineStr">
        <is>
          <t>A 44256-2019</t>
        </is>
      </c>
      <c r="B127" s="1" t="n">
        <v>43710</v>
      </c>
      <c r="C127" s="1" t="n">
        <v>45811</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44546-2019</t>
        </is>
      </c>
      <c r="B128" s="1" t="n">
        <v>43711</v>
      </c>
      <c r="C128" s="1" t="n">
        <v>45811</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44543-2019</t>
        </is>
      </c>
      <c r="B129" s="1" t="n">
        <v>43711</v>
      </c>
      <c r="C129" s="1" t="n">
        <v>45811</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45811-2019</t>
        </is>
      </c>
      <c r="B130" s="1" t="n">
        <v>43711</v>
      </c>
      <c r="C130" s="1" t="n">
        <v>45811</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45843-2019</t>
        </is>
      </c>
      <c r="B131" s="1" t="n">
        <v>43711</v>
      </c>
      <c r="C131" s="1" t="n">
        <v>45811</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45238-2019</t>
        </is>
      </c>
      <c r="B132" s="1" t="n">
        <v>43713</v>
      </c>
      <c r="C132" s="1" t="n">
        <v>45811</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45836-2019</t>
        </is>
      </c>
      <c r="B133" s="1" t="n">
        <v>43717</v>
      </c>
      <c r="C133" s="1" t="n">
        <v>45811</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45831-2019</t>
        </is>
      </c>
      <c r="B134" s="1" t="n">
        <v>43717</v>
      </c>
      <c r="C134" s="1" t="n">
        <v>45811</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46520-2019</t>
        </is>
      </c>
      <c r="B135" s="1" t="n">
        <v>43717</v>
      </c>
      <c r="C135" s="1" t="n">
        <v>45811</v>
      </c>
      <c r="D135" t="inlineStr">
        <is>
          <t>SKÅNE LÄN</t>
        </is>
      </c>
      <c r="E135" t="inlineStr">
        <is>
          <t>HÄSSLEHOLM</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48097-2019</t>
        </is>
      </c>
      <c r="B136" s="1" t="n">
        <v>43725</v>
      </c>
      <c r="C136" s="1" t="n">
        <v>45811</v>
      </c>
      <c r="D136" t="inlineStr">
        <is>
          <t>SKÅNE LÄN</t>
        </is>
      </c>
      <c r="E136" t="inlineStr">
        <is>
          <t>HÄSSLEHOLM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48309-2019</t>
        </is>
      </c>
      <c r="B137" s="1" t="n">
        <v>43726</v>
      </c>
      <c r="C137" s="1" t="n">
        <v>45811</v>
      </c>
      <c r="D137" t="inlineStr">
        <is>
          <t>SKÅNE LÄN</t>
        </is>
      </c>
      <c r="E137" t="inlineStr">
        <is>
          <t>HÄSSLEHOLM</t>
        </is>
      </c>
      <c r="G137" t="n">
        <v>4.5</v>
      </c>
      <c r="H137" t="n">
        <v>0</v>
      </c>
      <c r="I137" t="n">
        <v>0</v>
      </c>
      <c r="J137" t="n">
        <v>0</v>
      </c>
      <c r="K137" t="n">
        <v>0</v>
      </c>
      <c r="L137" t="n">
        <v>0</v>
      </c>
      <c r="M137" t="n">
        <v>0</v>
      </c>
      <c r="N137" t="n">
        <v>0</v>
      </c>
      <c r="O137" t="n">
        <v>0</v>
      </c>
      <c r="P137" t="n">
        <v>0</v>
      </c>
      <c r="Q137" t="n">
        <v>0</v>
      </c>
      <c r="R137" s="2" t="inlineStr"/>
    </row>
    <row r="138" ht="15" customHeight="1">
      <c r="A138" t="inlineStr">
        <is>
          <t>A 48363-2019</t>
        </is>
      </c>
      <c r="B138" s="1" t="n">
        <v>43726</v>
      </c>
      <c r="C138" s="1" t="n">
        <v>45811</v>
      </c>
      <c r="D138" t="inlineStr">
        <is>
          <t>SKÅNE LÄN</t>
        </is>
      </c>
      <c r="E138" t="inlineStr">
        <is>
          <t>HÄSSLEHOLM</t>
        </is>
      </c>
      <c r="G138" t="n">
        <v>4.7</v>
      </c>
      <c r="H138" t="n">
        <v>0</v>
      </c>
      <c r="I138" t="n">
        <v>0</v>
      </c>
      <c r="J138" t="n">
        <v>0</v>
      </c>
      <c r="K138" t="n">
        <v>0</v>
      </c>
      <c r="L138" t="n">
        <v>0</v>
      </c>
      <c r="M138" t="n">
        <v>0</v>
      </c>
      <c r="N138" t="n">
        <v>0</v>
      </c>
      <c r="O138" t="n">
        <v>0</v>
      </c>
      <c r="P138" t="n">
        <v>0</v>
      </c>
      <c r="Q138" t="n">
        <v>0</v>
      </c>
      <c r="R138" s="2" t="inlineStr"/>
    </row>
    <row r="139" ht="15" customHeight="1">
      <c r="A139" t="inlineStr">
        <is>
          <t>A 48602-2019</t>
        </is>
      </c>
      <c r="B139" s="1" t="n">
        <v>43727</v>
      </c>
      <c r="C139" s="1" t="n">
        <v>45811</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48601-2019</t>
        </is>
      </c>
      <c r="B140" s="1" t="n">
        <v>43727</v>
      </c>
      <c r="C140" s="1" t="n">
        <v>45811</v>
      </c>
      <c r="D140" t="inlineStr">
        <is>
          <t>SKÅNE LÄN</t>
        </is>
      </c>
      <c r="E140" t="inlineStr">
        <is>
          <t>HÄSSLEHOLM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49028-2019</t>
        </is>
      </c>
      <c r="B141" s="1" t="n">
        <v>43731</v>
      </c>
      <c r="C141" s="1" t="n">
        <v>45811</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51573-2019</t>
        </is>
      </c>
      <c r="B142" s="1" t="n">
        <v>43740</v>
      </c>
      <c r="C142" s="1" t="n">
        <v>45811</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52964-2019</t>
        </is>
      </c>
      <c r="B143" s="1" t="n">
        <v>43740</v>
      </c>
      <c r="C143" s="1" t="n">
        <v>45811</v>
      </c>
      <c r="D143" t="inlineStr">
        <is>
          <t>SKÅNE LÄN</t>
        </is>
      </c>
      <c r="E143" t="inlineStr">
        <is>
          <t>HÄSSLEHOLM</t>
        </is>
      </c>
      <c r="G143" t="n">
        <v>7.5</v>
      </c>
      <c r="H143" t="n">
        <v>0</v>
      </c>
      <c r="I143" t="n">
        <v>0</v>
      </c>
      <c r="J143" t="n">
        <v>0</v>
      </c>
      <c r="K143" t="n">
        <v>0</v>
      </c>
      <c r="L143" t="n">
        <v>0</v>
      </c>
      <c r="M143" t="n">
        <v>0</v>
      </c>
      <c r="N143" t="n">
        <v>0</v>
      </c>
      <c r="O143" t="n">
        <v>0</v>
      </c>
      <c r="P143" t="n">
        <v>0</v>
      </c>
      <c r="Q143" t="n">
        <v>0</v>
      </c>
      <c r="R143" s="2" t="inlineStr"/>
    </row>
    <row r="144" ht="15" customHeight="1">
      <c r="A144" t="inlineStr">
        <is>
          <t>A 51476-2019</t>
        </is>
      </c>
      <c r="B144" s="1" t="n">
        <v>43740</v>
      </c>
      <c r="C144" s="1" t="n">
        <v>45811</v>
      </c>
      <c r="D144" t="inlineStr">
        <is>
          <t>SKÅNE LÄN</t>
        </is>
      </c>
      <c r="E144" t="inlineStr">
        <is>
          <t>HÄSSLEHOLM</t>
        </is>
      </c>
      <c r="G144" t="n">
        <v>3.8</v>
      </c>
      <c r="H144" t="n">
        <v>0</v>
      </c>
      <c r="I144" t="n">
        <v>0</v>
      </c>
      <c r="J144" t="n">
        <v>0</v>
      </c>
      <c r="K144" t="n">
        <v>0</v>
      </c>
      <c r="L144" t="n">
        <v>0</v>
      </c>
      <c r="M144" t="n">
        <v>0</v>
      </c>
      <c r="N144" t="n">
        <v>0</v>
      </c>
      <c r="O144" t="n">
        <v>0</v>
      </c>
      <c r="P144" t="n">
        <v>0</v>
      </c>
      <c r="Q144" t="n">
        <v>0</v>
      </c>
      <c r="R144" s="2" t="inlineStr"/>
    </row>
    <row r="145" ht="15" customHeight="1">
      <c r="A145" t="inlineStr">
        <is>
          <t>A 51579-2019</t>
        </is>
      </c>
      <c r="B145" s="1" t="n">
        <v>43740</v>
      </c>
      <c r="C145" s="1" t="n">
        <v>45811</v>
      </c>
      <c r="D145" t="inlineStr">
        <is>
          <t>SKÅNE LÄN</t>
        </is>
      </c>
      <c r="E145" t="inlineStr">
        <is>
          <t>HÄSSLEHOLM</t>
        </is>
      </c>
      <c r="G145" t="n">
        <v>1.8</v>
      </c>
      <c r="H145" t="n">
        <v>0</v>
      </c>
      <c r="I145" t="n">
        <v>0</v>
      </c>
      <c r="J145" t="n">
        <v>0</v>
      </c>
      <c r="K145" t="n">
        <v>0</v>
      </c>
      <c r="L145" t="n">
        <v>0</v>
      </c>
      <c r="M145" t="n">
        <v>0</v>
      </c>
      <c r="N145" t="n">
        <v>0</v>
      </c>
      <c r="O145" t="n">
        <v>0</v>
      </c>
      <c r="P145" t="n">
        <v>0</v>
      </c>
      <c r="Q145" t="n">
        <v>0</v>
      </c>
      <c r="R145" s="2" t="inlineStr"/>
    </row>
    <row r="146" ht="15" customHeight="1">
      <c r="A146" t="inlineStr">
        <is>
          <t>A 51543-2019</t>
        </is>
      </c>
      <c r="B146" s="1" t="n">
        <v>43740</v>
      </c>
      <c r="C146" s="1" t="n">
        <v>45811</v>
      </c>
      <c r="D146" t="inlineStr">
        <is>
          <t>SKÅNE LÄN</t>
        </is>
      </c>
      <c r="E146" t="inlineStr">
        <is>
          <t>HÄSSLEHOLM</t>
        </is>
      </c>
      <c r="G146" t="n">
        <v>4</v>
      </c>
      <c r="H146" t="n">
        <v>0</v>
      </c>
      <c r="I146" t="n">
        <v>0</v>
      </c>
      <c r="J146" t="n">
        <v>0</v>
      </c>
      <c r="K146" t="n">
        <v>0</v>
      </c>
      <c r="L146" t="n">
        <v>0</v>
      </c>
      <c r="M146" t="n">
        <v>0</v>
      </c>
      <c r="N146" t="n">
        <v>0</v>
      </c>
      <c r="O146" t="n">
        <v>0</v>
      </c>
      <c r="P146" t="n">
        <v>0</v>
      </c>
      <c r="Q146" t="n">
        <v>0</v>
      </c>
      <c r="R146" s="2" t="inlineStr"/>
    </row>
    <row r="147" ht="15" customHeight="1">
      <c r="A147" t="inlineStr">
        <is>
          <t>A 51581-2019</t>
        </is>
      </c>
      <c r="B147" s="1" t="n">
        <v>43740</v>
      </c>
      <c r="C147" s="1" t="n">
        <v>45811</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51936-2019</t>
        </is>
      </c>
      <c r="B148" s="1" t="n">
        <v>43741</v>
      </c>
      <c r="C148" s="1" t="n">
        <v>45811</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51795-2019</t>
        </is>
      </c>
      <c r="B149" s="1" t="n">
        <v>43741</v>
      </c>
      <c r="C149" s="1" t="n">
        <v>45811</v>
      </c>
      <c r="D149" t="inlineStr">
        <is>
          <t>SKÅNE LÄN</t>
        </is>
      </c>
      <c r="E149" t="inlineStr">
        <is>
          <t>HÄSSLEHOLM</t>
        </is>
      </c>
      <c r="G149" t="n">
        <v>2</v>
      </c>
      <c r="H149" t="n">
        <v>0</v>
      </c>
      <c r="I149" t="n">
        <v>0</v>
      </c>
      <c r="J149" t="n">
        <v>0</v>
      </c>
      <c r="K149" t="n">
        <v>0</v>
      </c>
      <c r="L149" t="n">
        <v>0</v>
      </c>
      <c r="M149" t="n">
        <v>0</v>
      </c>
      <c r="N149" t="n">
        <v>0</v>
      </c>
      <c r="O149" t="n">
        <v>0</v>
      </c>
      <c r="P149" t="n">
        <v>0</v>
      </c>
      <c r="Q149" t="n">
        <v>0</v>
      </c>
      <c r="R149" s="2" t="inlineStr"/>
    </row>
    <row r="150" ht="15" customHeight="1">
      <c r="A150" t="inlineStr">
        <is>
          <t>A 52896-2019</t>
        </is>
      </c>
      <c r="B150" s="1" t="n">
        <v>43746</v>
      </c>
      <c r="C150" s="1" t="n">
        <v>45811</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54745-2019</t>
        </is>
      </c>
      <c r="B151" s="1" t="n">
        <v>43749</v>
      </c>
      <c r="C151" s="1" t="n">
        <v>45811</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55155-2019</t>
        </is>
      </c>
      <c r="B152" s="1" t="n">
        <v>43752</v>
      </c>
      <c r="C152" s="1" t="n">
        <v>45811</v>
      </c>
      <c r="D152" t="inlineStr">
        <is>
          <t>SKÅNE LÄN</t>
        </is>
      </c>
      <c r="E152" t="inlineStr">
        <is>
          <t>HÄSSLEHOLM</t>
        </is>
      </c>
      <c r="F152" t="inlineStr">
        <is>
          <t>Övriga Aktiebolag</t>
        </is>
      </c>
      <c r="G152" t="n">
        <v>2</v>
      </c>
      <c r="H152" t="n">
        <v>0</v>
      </c>
      <c r="I152" t="n">
        <v>0</v>
      </c>
      <c r="J152" t="n">
        <v>0</v>
      </c>
      <c r="K152" t="n">
        <v>0</v>
      </c>
      <c r="L152" t="n">
        <v>0</v>
      </c>
      <c r="M152" t="n">
        <v>0</v>
      </c>
      <c r="N152" t="n">
        <v>0</v>
      </c>
      <c r="O152" t="n">
        <v>0</v>
      </c>
      <c r="P152" t="n">
        <v>0</v>
      </c>
      <c r="Q152" t="n">
        <v>0</v>
      </c>
      <c r="R152" s="2" t="inlineStr"/>
    </row>
    <row r="153" ht="15" customHeight="1">
      <c r="A153" t="inlineStr">
        <is>
          <t>A 55167-2019</t>
        </is>
      </c>
      <c r="B153" s="1" t="n">
        <v>43756</v>
      </c>
      <c r="C153" s="1" t="n">
        <v>45811</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55087-2019</t>
        </is>
      </c>
      <c r="B154" s="1" t="n">
        <v>43756</v>
      </c>
      <c r="C154" s="1" t="n">
        <v>45811</v>
      </c>
      <c r="D154" t="inlineStr">
        <is>
          <t>SKÅNE LÄN</t>
        </is>
      </c>
      <c r="E154" t="inlineStr">
        <is>
          <t>HÄSSLEHOLM</t>
        </is>
      </c>
      <c r="F154" t="inlineStr">
        <is>
          <t>Kommuner</t>
        </is>
      </c>
      <c r="G154" t="n">
        <v>2</v>
      </c>
      <c r="H154" t="n">
        <v>0</v>
      </c>
      <c r="I154" t="n">
        <v>0</v>
      </c>
      <c r="J154" t="n">
        <v>0</v>
      </c>
      <c r="K154" t="n">
        <v>0</v>
      </c>
      <c r="L154" t="n">
        <v>0</v>
      </c>
      <c r="M154" t="n">
        <v>0</v>
      </c>
      <c r="N154" t="n">
        <v>0</v>
      </c>
      <c r="O154" t="n">
        <v>0</v>
      </c>
      <c r="P154" t="n">
        <v>0</v>
      </c>
      <c r="Q154" t="n">
        <v>0</v>
      </c>
      <c r="R154" s="2" t="inlineStr"/>
    </row>
    <row r="155" ht="15" customHeight="1">
      <c r="A155" t="inlineStr">
        <is>
          <t>A 55410-2019</t>
        </is>
      </c>
      <c r="B155" s="1" t="n">
        <v>43758</v>
      </c>
      <c r="C155" s="1" t="n">
        <v>45811</v>
      </c>
      <c r="D155" t="inlineStr">
        <is>
          <t>SKÅNE LÄN</t>
        </is>
      </c>
      <c r="E155" t="inlineStr">
        <is>
          <t>HÄSSLEHOLM</t>
        </is>
      </c>
      <c r="G155" t="n">
        <v>4.8</v>
      </c>
      <c r="H155" t="n">
        <v>0</v>
      </c>
      <c r="I155" t="n">
        <v>0</v>
      </c>
      <c r="J155" t="n">
        <v>0</v>
      </c>
      <c r="K155" t="n">
        <v>0</v>
      </c>
      <c r="L155" t="n">
        <v>0</v>
      </c>
      <c r="M155" t="n">
        <v>0</v>
      </c>
      <c r="N155" t="n">
        <v>0</v>
      </c>
      <c r="O155" t="n">
        <v>0</v>
      </c>
      <c r="P155" t="n">
        <v>0</v>
      </c>
      <c r="Q155" t="n">
        <v>0</v>
      </c>
      <c r="R155" s="2" t="inlineStr"/>
    </row>
    <row r="156" ht="15" customHeight="1">
      <c r="A156" t="inlineStr">
        <is>
          <t>A 55761-2019</t>
        </is>
      </c>
      <c r="B156" s="1" t="n">
        <v>43759</v>
      </c>
      <c r="C156" s="1" t="n">
        <v>45811</v>
      </c>
      <c r="D156" t="inlineStr">
        <is>
          <t>SKÅNE LÄN</t>
        </is>
      </c>
      <c r="E156" t="inlineStr">
        <is>
          <t>HÄSSLEHOLM</t>
        </is>
      </c>
      <c r="F156" t="inlineStr">
        <is>
          <t>Kommuner</t>
        </is>
      </c>
      <c r="G156" t="n">
        <v>7.7</v>
      </c>
      <c r="H156" t="n">
        <v>0</v>
      </c>
      <c r="I156" t="n">
        <v>0</v>
      </c>
      <c r="J156" t="n">
        <v>0</v>
      </c>
      <c r="K156" t="n">
        <v>0</v>
      </c>
      <c r="L156" t="n">
        <v>0</v>
      </c>
      <c r="M156" t="n">
        <v>0</v>
      </c>
      <c r="N156" t="n">
        <v>0</v>
      </c>
      <c r="O156" t="n">
        <v>0</v>
      </c>
      <c r="P156" t="n">
        <v>0</v>
      </c>
      <c r="Q156" t="n">
        <v>0</v>
      </c>
      <c r="R156" s="2" t="inlineStr"/>
    </row>
    <row r="157" ht="15" customHeight="1">
      <c r="A157" t="inlineStr">
        <is>
          <t>A 55984-2019</t>
        </is>
      </c>
      <c r="B157" s="1" t="n">
        <v>43759</v>
      </c>
      <c r="C157" s="1" t="n">
        <v>45811</v>
      </c>
      <c r="D157" t="inlineStr">
        <is>
          <t>SKÅNE LÄN</t>
        </is>
      </c>
      <c r="E157" t="inlineStr">
        <is>
          <t>HÄSSLEHOLM</t>
        </is>
      </c>
      <c r="F157" t="inlineStr">
        <is>
          <t>Kommuner</t>
        </is>
      </c>
      <c r="G157" t="n">
        <v>21.9</v>
      </c>
      <c r="H157" t="n">
        <v>0</v>
      </c>
      <c r="I157" t="n">
        <v>0</v>
      </c>
      <c r="J157" t="n">
        <v>0</v>
      </c>
      <c r="K157" t="n">
        <v>0</v>
      </c>
      <c r="L157" t="n">
        <v>0</v>
      </c>
      <c r="M157" t="n">
        <v>0</v>
      </c>
      <c r="N157" t="n">
        <v>0</v>
      </c>
      <c r="O157" t="n">
        <v>0</v>
      </c>
      <c r="P157" t="n">
        <v>0</v>
      </c>
      <c r="Q157" t="n">
        <v>0</v>
      </c>
      <c r="R157" s="2" t="inlineStr"/>
    </row>
    <row r="158" ht="15" customHeight="1">
      <c r="A158" t="inlineStr">
        <is>
          <t>A 55631-2019</t>
        </is>
      </c>
      <c r="B158" s="1" t="n">
        <v>43760</v>
      </c>
      <c r="C158" s="1" t="n">
        <v>45811</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55654-2019</t>
        </is>
      </c>
      <c r="B159" s="1" t="n">
        <v>43760</v>
      </c>
      <c r="C159" s="1" t="n">
        <v>45811</v>
      </c>
      <c r="D159" t="inlineStr">
        <is>
          <t>SKÅNE LÄN</t>
        </is>
      </c>
      <c r="E159" t="inlineStr">
        <is>
          <t>HÄSSLEHOLM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55995-2019</t>
        </is>
      </c>
      <c r="B160" s="1" t="n">
        <v>43761</v>
      </c>
      <c r="C160" s="1" t="n">
        <v>45811</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56138-2019</t>
        </is>
      </c>
      <c r="B161" s="1" t="n">
        <v>43761</v>
      </c>
      <c r="C161" s="1" t="n">
        <v>45811</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58525-2019</t>
        </is>
      </c>
      <c r="B162" s="1" t="n">
        <v>43766</v>
      </c>
      <c r="C162" s="1" t="n">
        <v>45811</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58818-2019</t>
        </is>
      </c>
      <c r="B163" s="1" t="n">
        <v>43768</v>
      </c>
      <c r="C163" s="1" t="n">
        <v>45811</v>
      </c>
      <c r="D163" t="inlineStr">
        <is>
          <t>SKÅNE LÄN</t>
        </is>
      </c>
      <c r="E163" t="inlineStr">
        <is>
          <t>HÄSSLEHOLM</t>
        </is>
      </c>
      <c r="G163" t="n">
        <v>1.6</v>
      </c>
      <c r="H163" t="n">
        <v>0</v>
      </c>
      <c r="I163" t="n">
        <v>0</v>
      </c>
      <c r="J163" t="n">
        <v>0</v>
      </c>
      <c r="K163" t="n">
        <v>0</v>
      </c>
      <c r="L163" t="n">
        <v>0</v>
      </c>
      <c r="M163" t="n">
        <v>0</v>
      </c>
      <c r="N163" t="n">
        <v>0</v>
      </c>
      <c r="O163" t="n">
        <v>0</v>
      </c>
      <c r="P163" t="n">
        <v>0</v>
      </c>
      <c r="Q163" t="n">
        <v>0</v>
      </c>
      <c r="R163" s="2" t="inlineStr"/>
    </row>
    <row r="164" ht="15" customHeight="1">
      <c r="A164" t="inlineStr">
        <is>
          <t>A 58840-2019</t>
        </is>
      </c>
      <c r="B164" s="1" t="n">
        <v>43768</v>
      </c>
      <c r="C164" s="1" t="n">
        <v>45811</v>
      </c>
      <c r="D164" t="inlineStr">
        <is>
          <t>SKÅNE LÄN</t>
        </is>
      </c>
      <c r="E164" t="inlineStr">
        <is>
          <t>HÄSSLEHOLM</t>
        </is>
      </c>
      <c r="G164" t="n">
        <v>2.4</v>
      </c>
      <c r="H164" t="n">
        <v>0</v>
      </c>
      <c r="I164" t="n">
        <v>0</v>
      </c>
      <c r="J164" t="n">
        <v>0</v>
      </c>
      <c r="K164" t="n">
        <v>0</v>
      </c>
      <c r="L164" t="n">
        <v>0</v>
      </c>
      <c r="M164" t="n">
        <v>0</v>
      </c>
      <c r="N164" t="n">
        <v>0</v>
      </c>
      <c r="O164" t="n">
        <v>0</v>
      </c>
      <c r="P164" t="n">
        <v>0</v>
      </c>
      <c r="Q164" t="n">
        <v>0</v>
      </c>
      <c r="R164" s="2" t="inlineStr"/>
    </row>
    <row r="165" ht="15" customHeight="1">
      <c r="A165" t="inlineStr">
        <is>
          <t>A 58070-2019</t>
        </is>
      </c>
      <c r="B165" s="1" t="n">
        <v>43769</v>
      </c>
      <c r="C165" s="1" t="n">
        <v>45811</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58889-2019</t>
        </is>
      </c>
      <c r="B166" s="1" t="n">
        <v>43774</v>
      </c>
      <c r="C166" s="1" t="n">
        <v>45811</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59828-2019</t>
        </is>
      </c>
      <c r="B167" s="1" t="n">
        <v>43777</v>
      </c>
      <c r="C167" s="1" t="n">
        <v>45811</v>
      </c>
      <c r="D167" t="inlineStr">
        <is>
          <t>SKÅNE LÄN</t>
        </is>
      </c>
      <c r="E167" t="inlineStr">
        <is>
          <t>HÄSSLEHOLM</t>
        </is>
      </c>
      <c r="G167" t="n">
        <v>4.1</v>
      </c>
      <c r="H167" t="n">
        <v>0</v>
      </c>
      <c r="I167" t="n">
        <v>0</v>
      </c>
      <c r="J167" t="n">
        <v>0</v>
      </c>
      <c r="K167" t="n">
        <v>0</v>
      </c>
      <c r="L167" t="n">
        <v>0</v>
      </c>
      <c r="M167" t="n">
        <v>0</v>
      </c>
      <c r="N167" t="n">
        <v>0</v>
      </c>
      <c r="O167" t="n">
        <v>0</v>
      </c>
      <c r="P167" t="n">
        <v>0</v>
      </c>
      <c r="Q167" t="n">
        <v>0</v>
      </c>
      <c r="R167" s="2" t="inlineStr"/>
    </row>
    <row r="168" ht="15" customHeight="1">
      <c r="A168" t="inlineStr">
        <is>
          <t>A 61572-2019</t>
        </is>
      </c>
      <c r="B168" s="1" t="n">
        <v>43784</v>
      </c>
      <c r="C168" s="1" t="n">
        <v>45811</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61664-2019</t>
        </is>
      </c>
      <c r="B169" s="1" t="n">
        <v>43784</v>
      </c>
      <c r="C169" s="1" t="n">
        <v>45811</v>
      </c>
      <c r="D169" t="inlineStr">
        <is>
          <t>SKÅNE LÄN</t>
        </is>
      </c>
      <c r="E169" t="inlineStr">
        <is>
          <t>HÄSSLEHOLM</t>
        </is>
      </c>
      <c r="G169" t="n">
        <v>4.4</v>
      </c>
      <c r="H169" t="n">
        <v>0</v>
      </c>
      <c r="I169" t="n">
        <v>0</v>
      </c>
      <c r="J169" t="n">
        <v>0</v>
      </c>
      <c r="K169" t="n">
        <v>0</v>
      </c>
      <c r="L169" t="n">
        <v>0</v>
      </c>
      <c r="M169" t="n">
        <v>0</v>
      </c>
      <c r="N169" t="n">
        <v>0</v>
      </c>
      <c r="O169" t="n">
        <v>0</v>
      </c>
      <c r="P169" t="n">
        <v>0</v>
      </c>
      <c r="Q169" t="n">
        <v>0</v>
      </c>
      <c r="R169" s="2" t="inlineStr"/>
    </row>
    <row r="170" ht="15" customHeight="1">
      <c r="A170" t="inlineStr">
        <is>
          <t>A 61665-2019</t>
        </is>
      </c>
      <c r="B170" s="1" t="n">
        <v>43784</v>
      </c>
      <c r="C170" s="1" t="n">
        <v>45811</v>
      </c>
      <c r="D170" t="inlineStr">
        <is>
          <t>SKÅNE LÄN</t>
        </is>
      </c>
      <c r="E170" t="inlineStr">
        <is>
          <t>HÄSSLEHOLM</t>
        </is>
      </c>
      <c r="G170" t="n">
        <v>1.9</v>
      </c>
      <c r="H170" t="n">
        <v>0</v>
      </c>
      <c r="I170" t="n">
        <v>0</v>
      </c>
      <c r="J170" t="n">
        <v>0</v>
      </c>
      <c r="K170" t="n">
        <v>0</v>
      </c>
      <c r="L170" t="n">
        <v>0</v>
      </c>
      <c r="M170" t="n">
        <v>0</v>
      </c>
      <c r="N170" t="n">
        <v>0</v>
      </c>
      <c r="O170" t="n">
        <v>0</v>
      </c>
      <c r="P170" t="n">
        <v>0</v>
      </c>
      <c r="Q170" t="n">
        <v>0</v>
      </c>
      <c r="R170" s="2" t="inlineStr"/>
    </row>
    <row r="171" ht="15" customHeight="1">
      <c r="A171" t="inlineStr">
        <is>
          <t>A 62981-2019</t>
        </is>
      </c>
      <c r="B171" s="1" t="n">
        <v>43790</v>
      </c>
      <c r="C171" s="1" t="n">
        <v>45811</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62978-2019</t>
        </is>
      </c>
      <c r="B172" s="1" t="n">
        <v>43790</v>
      </c>
      <c r="C172" s="1" t="n">
        <v>45811</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62994-2019</t>
        </is>
      </c>
      <c r="B173" s="1" t="n">
        <v>43790</v>
      </c>
      <c r="C173" s="1" t="n">
        <v>45811</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62997-2019</t>
        </is>
      </c>
      <c r="B174" s="1" t="n">
        <v>43790</v>
      </c>
      <c r="C174" s="1" t="n">
        <v>45811</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64766-2019</t>
        </is>
      </c>
      <c r="B175" s="1" t="n">
        <v>43795</v>
      </c>
      <c r="C175" s="1" t="n">
        <v>45811</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63710-2019</t>
        </is>
      </c>
      <c r="B176" s="1" t="n">
        <v>43795</v>
      </c>
      <c r="C176" s="1" t="n">
        <v>45811</v>
      </c>
      <c r="D176" t="inlineStr">
        <is>
          <t>SKÅNE LÄN</t>
        </is>
      </c>
      <c r="E176" t="inlineStr">
        <is>
          <t>HÄSSLEHOLM</t>
        </is>
      </c>
      <c r="G176" t="n">
        <v>3.8</v>
      </c>
      <c r="H176" t="n">
        <v>0</v>
      </c>
      <c r="I176" t="n">
        <v>0</v>
      </c>
      <c r="J176" t="n">
        <v>0</v>
      </c>
      <c r="K176" t="n">
        <v>0</v>
      </c>
      <c r="L176" t="n">
        <v>0</v>
      </c>
      <c r="M176" t="n">
        <v>0</v>
      </c>
      <c r="N176" t="n">
        <v>0</v>
      </c>
      <c r="O176" t="n">
        <v>0</v>
      </c>
      <c r="P176" t="n">
        <v>0</v>
      </c>
      <c r="Q176" t="n">
        <v>0</v>
      </c>
      <c r="R176" s="2" t="inlineStr"/>
    </row>
    <row r="177" ht="15" customHeight="1">
      <c r="A177" t="inlineStr">
        <is>
          <t>A 66885-2019</t>
        </is>
      </c>
      <c r="B177" s="1" t="n">
        <v>43805</v>
      </c>
      <c r="C177" s="1" t="n">
        <v>45811</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66428-2019</t>
        </is>
      </c>
      <c r="B178" s="1" t="n">
        <v>43809</v>
      </c>
      <c r="C178" s="1" t="n">
        <v>45811</v>
      </c>
      <c r="D178" t="inlineStr">
        <is>
          <t>SKÅNE LÄN</t>
        </is>
      </c>
      <c r="E178" t="inlineStr">
        <is>
          <t>HÄSSLEHOLM</t>
        </is>
      </c>
      <c r="G178" t="n">
        <v>2.6</v>
      </c>
      <c r="H178" t="n">
        <v>0</v>
      </c>
      <c r="I178" t="n">
        <v>0</v>
      </c>
      <c r="J178" t="n">
        <v>0</v>
      </c>
      <c r="K178" t="n">
        <v>0</v>
      </c>
      <c r="L178" t="n">
        <v>0</v>
      </c>
      <c r="M178" t="n">
        <v>0</v>
      </c>
      <c r="N178" t="n">
        <v>0</v>
      </c>
      <c r="O178" t="n">
        <v>0</v>
      </c>
      <c r="P178" t="n">
        <v>0</v>
      </c>
      <c r="Q178" t="n">
        <v>0</v>
      </c>
      <c r="R178" s="2" t="inlineStr"/>
    </row>
    <row r="179" ht="15" customHeight="1">
      <c r="A179" t="inlineStr">
        <is>
          <t>A 66662-2019</t>
        </is>
      </c>
      <c r="B179" s="1" t="n">
        <v>43809</v>
      </c>
      <c r="C179" s="1" t="n">
        <v>45811</v>
      </c>
      <c r="D179" t="inlineStr">
        <is>
          <t>SKÅNE LÄN</t>
        </is>
      </c>
      <c r="E179" t="inlineStr">
        <is>
          <t>HÄSSLEHOLM</t>
        </is>
      </c>
      <c r="G179" t="n">
        <v>9</v>
      </c>
      <c r="H179" t="n">
        <v>0</v>
      </c>
      <c r="I179" t="n">
        <v>0</v>
      </c>
      <c r="J179" t="n">
        <v>0</v>
      </c>
      <c r="K179" t="n">
        <v>0</v>
      </c>
      <c r="L179" t="n">
        <v>0</v>
      </c>
      <c r="M179" t="n">
        <v>0</v>
      </c>
      <c r="N179" t="n">
        <v>0</v>
      </c>
      <c r="O179" t="n">
        <v>0</v>
      </c>
      <c r="P179" t="n">
        <v>0</v>
      </c>
      <c r="Q179" t="n">
        <v>0</v>
      </c>
      <c r="R179" s="2" t="inlineStr"/>
    </row>
    <row r="180" ht="15" customHeight="1">
      <c r="A180" t="inlineStr">
        <is>
          <t>A 67756-2019</t>
        </is>
      </c>
      <c r="B180" s="1" t="n">
        <v>43810</v>
      </c>
      <c r="C180" s="1" t="n">
        <v>45811</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68546-2019</t>
        </is>
      </c>
      <c r="B181" s="1" t="n">
        <v>43811</v>
      </c>
      <c r="C181" s="1" t="n">
        <v>45811</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68817-2019</t>
        </is>
      </c>
      <c r="B182" s="1" t="n">
        <v>43815</v>
      </c>
      <c r="C182" s="1" t="n">
        <v>45811</v>
      </c>
      <c r="D182" t="inlineStr">
        <is>
          <t>SKÅNE LÄN</t>
        </is>
      </c>
      <c r="E182" t="inlineStr">
        <is>
          <t>HÄSSLEHOLM</t>
        </is>
      </c>
      <c r="G182" t="n">
        <v>2.4</v>
      </c>
      <c r="H182" t="n">
        <v>0</v>
      </c>
      <c r="I182" t="n">
        <v>0</v>
      </c>
      <c r="J182" t="n">
        <v>0</v>
      </c>
      <c r="K182" t="n">
        <v>0</v>
      </c>
      <c r="L182" t="n">
        <v>0</v>
      </c>
      <c r="M182" t="n">
        <v>0</v>
      </c>
      <c r="N182" t="n">
        <v>0</v>
      </c>
      <c r="O182" t="n">
        <v>0</v>
      </c>
      <c r="P182" t="n">
        <v>0</v>
      </c>
      <c r="Q182" t="n">
        <v>0</v>
      </c>
      <c r="R182" s="2" t="inlineStr"/>
    </row>
    <row r="183" ht="15" customHeight="1">
      <c r="A183" t="inlineStr">
        <is>
          <t>A 2700-2020</t>
        </is>
      </c>
      <c r="B183" s="1" t="n">
        <v>43844</v>
      </c>
      <c r="C183" s="1" t="n">
        <v>45811</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3189-2020</t>
        </is>
      </c>
      <c r="B184" s="1" t="n">
        <v>43844</v>
      </c>
      <c r="C184" s="1" t="n">
        <v>45811</v>
      </c>
      <c r="D184" t="inlineStr">
        <is>
          <t>SKÅNE LÄN</t>
        </is>
      </c>
      <c r="E184" t="inlineStr">
        <is>
          <t>HÄSSLEHOLM</t>
        </is>
      </c>
      <c r="G184" t="n">
        <v>7.5</v>
      </c>
      <c r="H184" t="n">
        <v>0</v>
      </c>
      <c r="I184" t="n">
        <v>0</v>
      </c>
      <c r="J184" t="n">
        <v>0</v>
      </c>
      <c r="K184" t="n">
        <v>0</v>
      </c>
      <c r="L184" t="n">
        <v>0</v>
      </c>
      <c r="M184" t="n">
        <v>0</v>
      </c>
      <c r="N184" t="n">
        <v>0</v>
      </c>
      <c r="O184" t="n">
        <v>0</v>
      </c>
      <c r="P184" t="n">
        <v>0</v>
      </c>
      <c r="Q184" t="n">
        <v>0</v>
      </c>
      <c r="R184" s="2" t="inlineStr"/>
    </row>
    <row r="185" ht="15" customHeight="1">
      <c r="A185" t="inlineStr">
        <is>
          <t>A 1909-2020</t>
        </is>
      </c>
      <c r="B185" s="1" t="n">
        <v>43845</v>
      </c>
      <c r="C185" s="1" t="n">
        <v>45811</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2036-2020</t>
        </is>
      </c>
      <c r="B186" s="1" t="n">
        <v>43845</v>
      </c>
      <c r="C186" s="1" t="n">
        <v>45811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3441-2020</t>
        </is>
      </c>
      <c r="B187" s="1" t="n">
        <v>43847</v>
      </c>
      <c r="C187" s="1" t="n">
        <v>45811</v>
      </c>
      <c r="D187" t="inlineStr">
        <is>
          <t>SKÅNE LÄN</t>
        </is>
      </c>
      <c r="E187" t="inlineStr">
        <is>
          <t>HÄSSLEHOLM</t>
        </is>
      </c>
      <c r="G187" t="n">
        <v>2</v>
      </c>
      <c r="H187" t="n">
        <v>0</v>
      </c>
      <c r="I187" t="n">
        <v>0</v>
      </c>
      <c r="J187" t="n">
        <v>0</v>
      </c>
      <c r="K187" t="n">
        <v>0</v>
      </c>
      <c r="L187" t="n">
        <v>0</v>
      </c>
      <c r="M187" t="n">
        <v>0</v>
      </c>
      <c r="N187" t="n">
        <v>0</v>
      </c>
      <c r="O187" t="n">
        <v>0</v>
      </c>
      <c r="P187" t="n">
        <v>0</v>
      </c>
      <c r="Q187" t="n">
        <v>0</v>
      </c>
      <c r="R187" s="2" t="inlineStr"/>
    </row>
    <row r="188" ht="15" customHeight="1">
      <c r="A188" t="inlineStr">
        <is>
          <t>A 2731-2020</t>
        </is>
      </c>
      <c r="B188" s="1" t="n">
        <v>43850</v>
      </c>
      <c r="C188" s="1" t="n">
        <v>45811</v>
      </c>
      <c r="D188" t="inlineStr">
        <is>
          <t>SKÅNE LÄN</t>
        </is>
      </c>
      <c r="E188" t="inlineStr">
        <is>
          <t>HÄSSLEHOLM</t>
        </is>
      </c>
      <c r="G188" t="n">
        <v>6.2</v>
      </c>
      <c r="H188" t="n">
        <v>0</v>
      </c>
      <c r="I188" t="n">
        <v>0</v>
      </c>
      <c r="J188" t="n">
        <v>0</v>
      </c>
      <c r="K188" t="n">
        <v>0</v>
      </c>
      <c r="L188" t="n">
        <v>0</v>
      </c>
      <c r="M188" t="n">
        <v>0</v>
      </c>
      <c r="N188" t="n">
        <v>0</v>
      </c>
      <c r="O188" t="n">
        <v>0</v>
      </c>
      <c r="P188" t="n">
        <v>0</v>
      </c>
      <c r="Q188" t="n">
        <v>0</v>
      </c>
      <c r="R188" s="2" t="inlineStr"/>
    </row>
    <row r="189" ht="15" customHeight="1">
      <c r="A189" t="inlineStr">
        <is>
          <t>A 4635-2020</t>
        </is>
      </c>
      <c r="B189" s="1" t="n">
        <v>43858</v>
      </c>
      <c r="C189" s="1" t="n">
        <v>45811</v>
      </c>
      <c r="D189" t="inlineStr">
        <is>
          <t>SKÅNE LÄN</t>
        </is>
      </c>
      <c r="E189" t="inlineStr">
        <is>
          <t>HÄSSLEHOLM</t>
        </is>
      </c>
      <c r="G189" t="n">
        <v>10.7</v>
      </c>
      <c r="H189" t="n">
        <v>0</v>
      </c>
      <c r="I189" t="n">
        <v>0</v>
      </c>
      <c r="J189" t="n">
        <v>0</v>
      </c>
      <c r="K189" t="n">
        <v>0</v>
      </c>
      <c r="L189" t="n">
        <v>0</v>
      </c>
      <c r="M189" t="n">
        <v>0</v>
      </c>
      <c r="N189" t="n">
        <v>0</v>
      </c>
      <c r="O189" t="n">
        <v>0</v>
      </c>
      <c r="P189" t="n">
        <v>0</v>
      </c>
      <c r="Q189" t="n">
        <v>0</v>
      </c>
      <c r="R189" s="2" t="inlineStr"/>
    </row>
    <row r="190" ht="15" customHeight="1">
      <c r="A190" t="inlineStr">
        <is>
          <t>A 4750-2020</t>
        </is>
      </c>
      <c r="B190" s="1" t="n">
        <v>43859</v>
      </c>
      <c r="C190" s="1" t="n">
        <v>45811</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4974-2020</t>
        </is>
      </c>
      <c r="B191" s="1" t="n">
        <v>43859</v>
      </c>
      <c r="C191" s="1" t="n">
        <v>45811</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5190-2020</t>
        </is>
      </c>
      <c r="B192" s="1" t="n">
        <v>43860</v>
      </c>
      <c r="C192" s="1" t="n">
        <v>45811</v>
      </c>
      <c r="D192" t="inlineStr">
        <is>
          <t>SKÅNE LÄN</t>
        </is>
      </c>
      <c r="E192" t="inlineStr">
        <is>
          <t>HÄSSLEHOLM</t>
        </is>
      </c>
      <c r="G192" t="n">
        <v>3.7</v>
      </c>
      <c r="H192" t="n">
        <v>0</v>
      </c>
      <c r="I192" t="n">
        <v>0</v>
      </c>
      <c r="J192" t="n">
        <v>0</v>
      </c>
      <c r="K192" t="n">
        <v>0</v>
      </c>
      <c r="L192" t="n">
        <v>0</v>
      </c>
      <c r="M192" t="n">
        <v>0</v>
      </c>
      <c r="N192" t="n">
        <v>0</v>
      </c>
      <c r="O192" t="n">
        <v>0</v>
      </c>
      <c r="P192" t="n">
        <v>0</v>
      </c>
      <c r="Q192" t="n">
        <v>0</v>
      </c>
      <c r="R192" s="2" t="inlineStr"/>
    </row>
    <row r="193" ht="15" customHeight="1">
      <c r="A193" t="inlineStr">
        <is>
          <t>A 6417-2020</t>
        </is>
      </c>
      <c r="B193" s="1" t="n">
        <v>43866</v>
      </c>
      <c r="C193" s="1" t="n">
        <v>45811</v>
      </c>
      <c r="D193" t="inlineStr">
        <is>
          <t>SKÅNE LÄN</t>
        </is>
      </c>
      <c r="E193" t="inlineStr">
        <is>
          <t>HÄSSLEHOLM</t>
        </is>
      </c>
      <c r="G193" t="n">
        <v>2.5</v>
      </c>
      <c r="H193" t="n">
        <v>0</v>
      </c>
      <c r="I193" t="n">
        <v>0</v>
      </c>
      <c r="J193" t="n">
        <v>0</v>
      </c>
      <c r="K193" t="n">
        <v>0</v>
      </c>
      <c r="L193" t="n">
        <v>0</v>
      </c>
      <c r="M193" t="n">
        <v>0</v>
      </c>
      <c r="N193" t="n">
        <v>0</v>
      </c>
      <c r="O193" t="n">
        <v>0</v>
      </c>
      <c r="P193" t="n">
        <v>0</v>
      </c>
      <c r="Q193" t="n">
        <v>0</v>
      </c>
      <c r="R193" s="2" t="inlineStr"/>
    </row>
    <row r="194" ht="15" customHeight="1">
      <c r="A194" t="inlineStr">
        <is>
          <t>A 6595-2020</t>
        </is>
      </c>
      <c r="B194" s="1" t="n">
        <v>43867</v>
      </c>
      <c r="C194" s="1" t="n">
        <v>45811</v>
      </c>
      <c r="D194" t="inlineStr">
        <is>
          <t>SKÅNE LÄN</t>
        </is>
      </c>
      <c r="E194" t="inlineStr">
        <is>
          <t>HÄSSLEHOLM</t>
        </is>
      </c>
      <c r="G194" t="n">
        <v>3.5</v>
      </c>
      <c r="H194" t="n">
        <v>0</v>
      </c>
      <c r="I194" t="n">
        <v>0</v>
      </c>
      <c r="J194" t="n">
        <v>0</v>
      </c>
      <c r="K194" t="n">
        <v>0</v>
      </c>
      <c r="L194" t="n">
        <v>0</v>
      </c>
      <c r="M194" t="n">
        <v>0</v>
      </c>
      <c r="N194" t="n">
        <v>0</v>
      </c>
      <c r="O194" t="n">
        <v>0</v>
      </c>
      <c r="P194" t="n">
        <v>0</v>
      </c>
      <c r="Q194" t="n">
        <v>0</v>
      </c>
      <c r="R194" s="2" t="inlineStr"/>
    </row>
    <row r="195" ht="15" customHeight="1">
      <c r="A195" t="inlineStr">
        <is>
          <t>A 6842-2020</t>
        </is>
      </c>
      <c r="B195" s="1" t="n">
        <v>43867</v>
      </c>
      <c r="C195" s="1" t="n">
        <v>45811</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7195-2020</t>
        </is>
      </c>
      <c r="B196" s="1" t="n">
        <v>43871</v>
      </c>
      <c r="C196" s="1" t="n">
        <v>45811</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7393-2020</t>
        </is>
      </c>
      <c r="B197" s="1" t="n">
        <v>43871</v>
      </c>
      <c r="C197" s="1" t="n">
        <v>45811</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7196-2020</t>
        </is>
      </c>
      <c r="B198" s="1" t="n">
        <v>43871</v>
      </c>
      <c r="C198" s="1" t="n">
        <v>45811</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7394-2020</t>
        </is>
      </c>
      <c r="B199" s="1" t="n">
        <v>43871</v>
      </c>
      <c r="C199" s="1" t="n">
        <v>45811</v>
      </c>
      <c r="D199" t="inlineStr">
        <is>
          <t>SKÅNE LÄN</t>
        </is>
      </c>
      <c r="E199" t="inlineStr">
        <is>
          <t>HÄSSLEHOLM</t>
        </is>
      </c>
      <c r="G199" t="n">
        <v>2.6</v>
      </c>
      <c r="H199" t="n">
        <v>0</v>
      </c>
      <c r="I199" t="n">
        <v>0</v>
      </c>
      <c r="J199" t="n">
        <v>0</v>
      </c>
      <c r="K199" t="n">
        <v>0</v>
      </c>
      <c r="L199" t="n">
        <v>0</v>
      </c>
      <c r="M199" t="n">
        <v>0</v>
      </c>
      <c r="N199" t="n">
        <v>0</v>
      </c>
      <c r="O199" t="n">
        <v>0</v>
      </c>
      <c r="P199" t="n">
        <v>0</v>
      </c>
      <c r="Q199" t="n">
        <v>0</v>
      </c>
      <c r="R199" s="2" t="inlineStr"/>
    </row>
    <row r="200" ht="15" customHeight="1">
      <c r="A200" t="inlineStr">
        <is>
          <t>A 7737-2020</t>
        </is>
      </c>
      <c r="B200" s="1" t="n">
        <v>43872</v>
      </c>
      <c r="C200" s="1" t="n">
        <v>45811</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7738-2020</t>
        </is>
      </c>
      <c r="B201" s="1" t="n">
        <v>43872</v>
      </c>
      <c r="C201" s="1" t="n">
        <v>45811</v>
      </c>
      <c r="D201" t="inlineStr">
        <is>
          <t>SKÅNE LÄN</t>
        </is>
      </c>
      <c r="E201" t="inlineStr">
        <is>
          <t>HÄSSLEHOLM</t>
        </is>
      </c>
      <c r="G201" t="n">
        <v>1.6</v>
      </c>
      <c r="H201" t="n">
        <v>0</v>
      </c>
      <c r="I201" t="n">
        <v>0</v>
      </c>
      <c r="J201" t="n">
        <v>0</v>
      </c>
      <c r="K201" t="n">
        <v>0</v>
      </c>
      <c r="L201" t="n">
        <v>0</v>
      </c>
      <c r="M201" t="n">
        <v>0</v>
      </c>
      <c r="N201" t="n">
        <v>0</v>
      </c>
      <c r="O201" t="n">
        <v>0</v>
      </c>
      <c r="P201" t="n">
        <v>0</v>
      </c>
      <c r="Q201" t="n">
        <v>0</v>
      </c>
      <c r="R201" s="2" t="inlineStr"/>
    </row>
    <row r="202" ht="15" customHeight="1">
      <c r="A202" t="inlineStr">
        <is>
          <t>A 8199-2020</t>
        </is>
      </c>
      <c r="B202" s="1" t="n">
        <v>43874</v>
      </c>
      <c r="C202" s="1" t="n">
        <v>45811</v>
      </c>
      <c r="D202" t="inlineStr">
        <is>
          <t>SKÅNE LÄN</t>
        </is>
      </c>
      <c r="E202" t="inlineStr">
        <is>
          <t>HÄSSLEHOLM</t>
        </is>
      </c>
      <c r="F202" t="inlineStr">
        <is>
          <t>Kyrkan</t>
        </is>
      </c>
      <c r="G202" t="n">
        <v>5.6</v>
      </c>
      <c r="H202" t="n">
        <v>0</v>
      </c>
      <c r="I202" t="n">
        <v>0</v>
      </c>
      <c r="J202" t="n">
        <v>0</v>
      </c>
      <c r="K202" t="n">
        <v>0</v>
      </c>
      <c r="L202" t="n">
        <v>0</v>
      </c>
      <c r="M202" t="n">
        <v>0</v>
      </c>
      <c r="N202" t="n">
        <v>0</v>
      </c>
      <c r="O202" t="n">
        <v>0</v>
      </c>
      <c r="P202" t="n">
        <v>0</v>
      </c>
      <c r="Q202" t="n">
        <v>0</v>
      </c>
      <c r="R202" s="2" t="inlineStr"/>
    </row>
    <row r="203" ht="15" customHeight="1">
      <c r="A203" t="inlineStr">
        <is>
          <t>A 8651-2020</t>
        </is>
      </c>
      <c r="B203" s="1" t="n">
        <v>43878</v>
      </c>
      <c r="C203" s="1" t="n">
        <v>45811</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8842-2020</t>
        </is>
      </c>
      <c r="B204" s="1" t="n">
        <v>43878</v>
      </c>
      <c r="C204" s="1" t="n">
        <v>45811</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8840-2020</t>
        </is>
      </c>
      <c r="B205" s="1" t="n">
        <v>43878</v>
      </c>
      <c r="C205" s="1" t="n">
        <v>45811</v>
      </c>
      <c r="D205" t="inlineStr">
        <is>
          <t>SKÅNE LÄN</t>
        </is>
      </c>
      <c r="E205" t="inlineStr">
        <is>
          <t>HÄSSLEHOLM</t>
        </is>
      </c>
      <c r="G205" t="n">
        <v>3.3</v>
      </c>
      <c r="H205" t="n">
        <v>0</v>
      </c>
      <c r="I205" t="n">
        <v>0</v>
      </c>
      <c r="J205" t="n">
        <v>0</v>
      </c>
      <c r="K205" t="n">
        <v>0</v>
      </c>
      <c r="L205" t="n">
        <v>0</v>
      </c>
      <c r="M205" t="n">
        <v>0</v>
      </c>
      <c r="N205" t="n">
        <v>0</v>
      </c>
      <c r="O205" t="n">
        <v>0</v>
      </c>
      <c r="P205" t="n">
        <v>0</v>
      </c>
      <c r="Q205" t="n">
        <v>0</v>
      </c>
      <c r="R205" s="2" t="inlineStr"/>
    </row>
    <row r="206" ht="15" customHeight="1">
      <c r="A206" t="inlineStr">
        <is>
          <t>A 9428-2020</t>
        </is>
      </c>
      <c r="B206" s="1" t="n">
        <v>43880</v>
      </c>
      <c r="C206" s="1" t="n">
        <v>45811</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9661-2020</t>
        </is>
      </c>
      <c r="B207" s="1" t="n">
        <v>43881</v>
      </c>
      <c r="C207" s="1" t="n">
        <v>45811</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9890-2020</t>
        </is>
      </c>
      <c r="B208" s="1" t="n">
        <v>43882</v>
      </c>
      <c r="C208" s="1" t="n">
        <v>45811</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9885-2020</t>
        </is>
      </c>
      <c r="B209" s="1" t="n">
        <v>43882</v>
      </c>
      <c r="C209" s="1" t="n">
        <v>45811</v>
      </c>
      <c r="D209" t="inlineStr">
        <is>
          <t>SKÅNE LÄN</t>
        </is>
      </c>
      <c r="E209" t="inlineStr">
        <is>
          <t>HÄSSLEHOLM</t>
        </is>
      </c>
      <c r="G209" t="n">
        <v>6.1</v>
      </c>
      <c r="H209" t="n">
        <v>0</v>
      </c>
      <c r="I209" t="n">
        <v>0</v>
      </c>
      <c r="J209" t="n">
        <v>0</v>
      </c>
      <c r="K209" t="n">
        <v>0</v>
      </c>
      <c r="L209" t="n">
        <v>0</v>
      </c>
      <c r="M209" t="n">
        <v>0</v>
      </c>
      <c r="N209" t="n">
        <v>0</v>
      </c>
      <c r="O209" t="n">
        <v>0</v>
      </c>
      <c r="P209" t="n">
        <v>0</v>
      </c>
      <c r="Q209" t="n">
        <v>0</v>
      </c>
      <c r="R209" s="2" t="inlineStr"/>
    </row>
    <row r="210" ht="15" customHeight="1">
      <c r="A210" t="inlineStr">
        <is>
          <t>A 10263-2020</t>
        </is>
      </c>
      <c r="B210" s="1" t="n">
        <v>43885</v>
      </c>
      <c r="C210" s="1" t="n">
        <v>45811</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10512-2020</t>
        </is>
      </c>
      <c r="B211" s="1" t="n">
        <v>43886</v>
      </c>
      <c r="C211" s="1" t="n">
        <v>45811</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10956-2020</t>
        </is>
      </c>
      <c r="B212" s="1" t="n">
        <v>43889</v>
      </c>
      <c r="C212" s="1" t="n">
        <v>45811</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11883-2020</t>
        </is>
      </c>
      <c r="B213" s="1" t="n">
        <v>43894</v>
      </c>
      <c r="C213" s="1" t="n">
        <v>45811</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11884-2020</t>
        </is>
      </c>
      <c r="B214" s="1" t="n">
        <v>43894</v>
      </c>
      <c r="C214" s="1" t="n">
        <v>45811</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11925-2020</t>
        </is>
      </c>
      <c r="B215" s="1" t="n">
        <v>43894</v>
      </c>
      <c r="C215" s="1" t="n">
        <v>45811</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11994-2020</t>
        </is>
      </c>
      <c r="B216" s="1" t="n">
        <v>43894</v>
      </c>
      <c r="C216" s="1" t="n">
        <v>45811</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13486-2020</t>
        </is>
      </c>
      <c r="B217" s="1" t="n">
        <v>43894</v>
      </c>
      <c r="C217" s="1" t="n">
        <v>45811</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12752-2020</t>
        </is>
      </c>
      <c r="B218" s="1" t="n">
        <v>43899</v>
      </c>
      <c r="C218" s="1" t="n">
        <v>45811</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12756-2020</t>
        </is>
      </c>
      <c r="B219" s="1" t="n">
        <v>43899</v>
      </c>
      <c r="C219" s="1" t="n">
        <v>45811</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12749-2020</t>
        </is>
      </c>
      <c r="B220" s="1" t="n">
        <v>43899</v>
      </c>
      <c r="C220" s="1" t="n">
        <v>45811</v>
      </c>
      <c r="D220" t="inlineStr">
        <is>
          <t>SKÅNE LÄN</t>
        </is>
      </c>
      <c r="E220" t="inlineStr">
        <is>
          <t>HÄSSLEHOLM</t>
        </is>
      </c>
      <c r="G220" t="n">
        <v>1</v>
      </c>
      <c r="H220" t="n">
        <v>0</v>
      </c>
      <c r="I220" t="n">
        <v>0</v>
      </c>
      <c r="J220" t="n">
        <v>0</v>
      </c>
      <c r="K220" t="n">
        <v>0</v>
      </c>
      <c r="L220" t="n">
        <v>0</v>
      </c>
      <c r="M220" t="n">
        <v>0</v>
      </c>
      <c r="N220" t="n">
        <v>0</v>
      </c>
      <c r="O220" t="n">
        <v>0</v>
      </c>
      <c r="P220" t="n">
        <v>0</v>
      </c>
      <c r="Q220" t="n">
        <v>0</v>
      </c>
      <c r="R220" s="2" t="inlineStr"/>
    </row>
    <row r="221" ht="15" customHeight="1">
      <c r="A221" t="inlineStr">
        <is>
          <t>A 13976-2020</t>
        </is>
      </c>
      <c r="B221" s="1" t="n">
        <v>43899</v>
      </c>
      <c r="C221" s="1" t="n">
        <v>45811</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13896-2020</t>
        </is>
      </c>
      <c r="B222" s="1" t="n">
        <v>43906</v>
      </c>
      <c r="C222" s="1" t="n">
        <v>45811</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14040-2020</t>
        </is>
      </c>
      <c r="B223" s="1" t="n">
        <v>43906</v>
      </c>
      <c r="C223" s="1" t="n">
        <v>45811</v>
      </c>
      <c r="D223" t="inlineStr">
        <is>
          <t>SKÅNE LÄN</t>
        </is>
      </c>
      <c r="E223" t="inlineStr">
        <is>
          <t>HÄSSLEHOLM</t>
        </is>
      </c>
      <c r="G223" t="n">
        <v>4.1</v>
      </c>
      <c r="H223" t="n">
        <v>0</v>
      </c>
      <c r="I223" t="n">
        <v>0</v>
      </c>
      <c r="J223" t="n">
        <v>0</v>
      </c>
      <c r="K223" t="n">
        <v>0</v>
      </c>
      <c r="L223" t="n">
        <v>0</v>
      </c>
      <c r="M223" t="n">
        <v>0</v>
      </c>
      <c r="N223" t="n">
        <v>0</v>
      </c>
      <c r="O223" t="n">
        <v>0</v>
      </c>
      <c r="P223" t="n">
        <v>0</v>
      </c>
      <c r="Q223" t="n">
        <v>0</v>
      </c>
      <c r="R223" s="2" t="inlineStr"/>
    </row>
    <row r="224" ht="15" customHeight="1">
      <c r="A224" t="inlineStr">
        <is>
          <t>A 15860-2020</t>
        </is>
      </c>
      <c r="B224" s="1" t="n">
        <v>43910</v>
      </c>
      <c r="C224" s="1" t="n">
        <v>45811</v>
      </c>
      <c r="D224" t="inlineStr">
        <is>
          <t>SKÅNE LÄN</t>
        </is>
      </c>
      <c r="E224" t="inlineStr">
        <is>
          <t>HÄSSLEHOLM</t>
        </is>
      </c>
      <c r="G224" t="n">
        <v>5.2</v>
      </c>
      <c r="H224" t="n">
        <v>0</v>
      </c>
      <c r="I224" t="n">
        <v>0</v>
      </c>
      <c r="J224" t="n">
        <v>0</v>
      </c>
      <c r="K224" t="n">
        <v>0</v>
      </c>
      <c r="L224" t="n">
        <v>0</v>
      </c>
      <c r="M224" t="n">
        <v>0</v>
      </c>
      <c r="N224" t="n">
        <v>0</v>
      </c>
      <c r="O224" t="n">
        <v>0</v>
      </c>
      <c r="P224" t="n">
        <v>0</v>
      </c>
      <c r="Q224" t="n">
        <v>0</v>
      </c>
      <c r="R224" s="2" t="inlineStr"/>
    </row>
    <row r="225" ht="15" customHeight="1">
      <c r="A225" t="inlineStr">
        <is>
          <t>A 15678-2020</t>
        </is>
      </c>
      <c r="B225" s="1" t="n">
        <v>43915</v>
      </c>
      <c r="C225" s="1" t="n">
        <v>45811</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17421-2020</t>
        </is>
      </c>
      <c r="B226" s="1" t="n">
        <v>43917</v>
      </c>
      <c r="C226" s="1" t="n">
        <v>45811</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17348-2020</t>
        </is>
      </c>
      <c r="B227" s="1" t="n">
        <v>43923</v>
      </c>
      <c r="C227" s="1" t="n">
        <v>45811</v>
      </c>
      <c r="D227" t="inlineStr">
        <is>
          <t>SKÅNE LÄN</t>
        </is>
      </c>
      <c r="E227" t="inlineStr">
        <is>
          <t>HÄSSLEHOLM</t>
        </is>
      </c>
      <c r="G227" t="n">
        <v>2.7</v>
      </c>
      <c r="H227" t="n">
        <v>0</v>
      </c>
      <c r="I227" t="n">
        <v>0</v>
      </c>
      <c r="J227" t="n">
        <v>0</v>
      </c>
      <c r="K227" t="n">
        <v>0</v>
      </c>
      <c r="L227" t="n">
        <v>0</v>
      </c>
      <c r="M227" t="n">
        <v>0</v>
      </c>
      <c r="N227" t="n">
        <v>0</v>
      </c>
      <c r="O227" t="n">
        <v>0</v>
      </c>
      <c r="P227" t="n">
        <v>0</v>
      </c>
      <c r="Q227" t="n">
        <v>0</v>
      </c>
      <c r="R227" s="2" t="inlineStr"/>
    </row>
    <row r="228" ht="15" customHeight="1">
      <c r="A228" t="inlineStr">
        <is>
          <t>A 18406-2020</t>
        </is>
      </c>
      <c r="B228" s="1" t="n">
        <v>43928</v>
      </c>
      <c r="C228" s="1" t="n">
        <v>45811</v>
      </c>
      <c r="D228" t="inlineStr">
        <is>
          <t>SKÅNE LÄN</t>
        </is>
      </c>
      <c r="E228" t="inlineStr">
        <is>
          <t>HÄSSLEHOLM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18658-2020</t>
        </is>
      </c>
      <c r="B229" s="1" t="n">
        <v>43930</v>
      </c>
      <c r="C229" s="1" t="n">
        <v>45811</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18846-2020</t>
        </is>
      </c>
      <c r="B230" s="1" t="n">
        <v>43935</v>
      </c>
      <c r="C230" s="1" t="n">
        <v>45811</v>
      </c>
      <c r="D230" t="inlineStr">
        <is>
          <t>SKÅNE LÄN</t>
        </is>
      </c>
      <c r="E230" t="inlineStr">
        <is>
          <t>HÄSSLEHOLM</t>
        </is>
      </c>
      <c r="F230" t="inlineStr">
        <is>
          <t>Övriga Aktiebolag</t>
        </is>
      </c>
      <c r="G230" t="n">
        <v>2.3</v>
      </c>
      <c r="H230" t="n">
        <v>0</v>
      </c>
      <c r="I230" t="n">
        <v>0</v>
      </c>
      <c r="J230" t="n">
        <v>0</v>
      </c>
      <c r="K230" t="n">
        <v>0</v>
      </c>
      <c r="L230" t="n">
        <v>0</v>
      </c>
      <c r="M230" t="n">
        <v>0</v>
      </c>
      <c r="N230" t="n">
        <v>0</v>
      </c>
      <c r="O230" t="n">
        <v>0</v>
      </c>
      <c r="P230" t="n">
        <v>0</v>
      </c>
      <c r="Q230" t="n">
        <v>0</v>
      </c>
      <c r="R230" s="2" t="inlineStr"/>
    </row>
    <row r="231" ht="15" customHeight="1">
      <c r="A231" t="inlineStr">
        <is>
          <t>A 20799-2020</t>
        </is>
      </c>
      <c r="B231" s="1" t="n">
        <v>43949</v>
      </c>
      <c r="C231" s="1" t="n">
        <v>45811</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20967-2020</t>
        </is>
      </c>
      <c r="B232" s="1" t="n">
        <v>43950</v>
      </c>
      <c r="C232" s="1" t="n">
        <v>45811</v>
      </c>
      <c r="D232" t="inlineStr">
        <is>
          <t>SKÅNE LÄN</t>
        </is>
      </c>
      <c r="E232" t="inlineStr">
        <is>
          <t>HÄSSLEHOLM</t>
        </is>
      </c>
      <c r="F232" t="inlineStr">
        <is>
          <t>Övriga Aktiebolag</t>
        </is>
      </c>
      <c r="G232" t="n">
        <v>7.9</v>
      </c>
      <c r="H232" t="n">
        <v>0</v>
      </c>
      <c r="I232" t="n">
        <v>0</v>
      </c>
      <c r="J232" t="n">
        <v>0</v>
      </c>
      <c r="K232" t="n">
        <v>0</v>
      </c>
      <c r="L232" t="n">
        <v>0</v>
      </c>
      <c r="M232" t="n">
        <v>0</v>
      </c>
      <c r="N232" t="n">
        <v>0</v>
      </c>
      <c r="O232" t="n">
        <v>0</v>
      </c>
      <c r="P232" t="n">
        <v>0</v>
      </c>
      <c r="Q232" t="n">
        <v>0</v>
      </c>
      <c r="R232" s="2" t="inlineStr"/>
    </row>
    <row r="233" ht="15" customHeight="1">
      <c r="A233" t="inlineStr">
        <is>
          <t>A 20977-2020</t>
        </is>
      </c>
      <c r="B233" s="1" t="n">
        <v>43950</v>
      </c>
      <c r="C233" s="1" t="n">
        <v>45811</v>
      </c>
      <c r="D233" t="inlineStr">
        <is>
          <t>SKÅNE LÄN</t>
        </is>
      </c>
      <c r="E233" t="inlineStr">
        <is>
          <t>HÄSSLEHOLM</t>
        </is>
      </c>
      <c r="F233" t="inlineStr">
        <is>
          <t>Övriga Aktiebolag</t>
        </is>
      </c>
      <c r="G233" t="n">
        <v>2.2</v>
      </c>
      <c r="H233" t="n">
        <v>0</v>
      </c>
      <c r="I233" t="n">
        <v>0</v>
      </c>
      <c r="J233" t="n">
        <v>0</v>
      </c>
      <c r="K233" t="n">
        <v>0</v>
      </c>
      <c r="L233" t="n">
        <v>0</v>
      </c>
      <c r="M233" t="n">
        <v>0</v>
      </c>
      <c r="N233" t="n">
        <v>0</v>
      </c>
      <c r="O233" t="n">
        <v>0</v>
      </c>
      <c r="P233" t="n">
        <v>0</v>
      </c>
      <c r="Q233" t="n">
        <v>0</v>
      </c>
      <c r="R233" s="2" t="inlineStr"/>
    </row>
    <row r="234" ht="15" customHeight="1">
      <c r="A234" t="inlineStr">
        <is>
          <t>A 20993-2020</t>
        </is>
      </c>
      <c r="B234" s="1" t="n">
        <v>43950</v>
      </c>
      <c r="C234" s="1" t="n">
        <v>45811</v>
      </c>
      <c r="D234" t="inlineStr">
        <is>
          <t>SKÅNE LÄN</t>
        </is>
      </c>
      <c r="E234" t="inlineStr">
        <is>
          <t>HÄSSLEHOLM</t>
        </is>
      </c>
      <c r="F234" t="inlineStr">
        <is>
          <t>Övriga Aktiebolag</t>
        </is>
      </c>
      <c r="G234" t="n">
        <v>10.5</v>
      </c>
      <c r="H234" t="n">
        <v>0</v>
      </c>
      <c r="I234" t="n">
        <v>0</v>
      </c>
      <c r="J234" t="n">
        <v>0</v>
      </c>
      <c r="K234" t="n">
        <v>0</v>
      </c>
      <c r="L234" t="n">
        <v>0</v>
      </c>
      <c r="M234" t="n">
        <v>0</v>
      </c>
      <c r="N234" t="n">
        <v>0</v>
      </c>
      <c r="O234" t="n">
        <v>0</v>
      </c>
      <c r="P234" t="n">
        <v>0</v>
      </c>
      <c r="Q234" t="n">
        <v>0</v>
      </c>
      <c r="R234" s="2" t="inlineStr"/>
    </row>
    <row r="235" ht="15" customHeight="1">
      <c r="A235" t="inlineStr">
        <is>
          <t>A 21263-2020</t>
        </is>
      </c>
      <c r="B235" s="1" t="n">
        <v>43951</v>
      </c>
      <c r="C235" s="1" t="n">
        <v>45811</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21452-2020</t>
        </is>
      </c>
      <c r="B236" s="1" t="n">
        <v>43955</v>
      </c>
      <c r="C236" s="1" t="n">
        <v>45811</v>
      </c>
      <c r="D236" t="inlineStr">
        <is>
          <t>SKÅNE LÄN</t>
        </is>
      </c>
      <c r="E236" t="inlineStr">
        <is>
          <t>HÄSSLEHOLM</t>
        </is>
      </c>
      <c r="G236" t="n">
        <v>6</v>
      </c>
      <c r="H236" t="n">
        <v>0</v>
      </c>
      <c r="I236" t="n">
        <v>0</v>
      </c>
      <c r="J236" t="n">
        <v>0</v>
      </c>
      <c r="K236" t="n">
        <v>0</v>
      </c>
      <c r="L236" t="n">
        <v>0</v>
      </c>
      <c r="M236" t="n">
        <v>0</v>
      </c>
      <c r="N236" t="n">
        <v>0</v>
      </c>
      <c r="O236" t="n">
        <v>0</v>
      </c>
      <c r="P236" t="n">
        <v>0</v>
      </c>
      <c r="Q236" t="n">
        <v>0</v>
      </c>
      <c r="R236" s="2" t="inlineStr"/>
    </row>
    <row r="237" ht="15" customHeight="1">
      <c r="A237" t="inlineStr">
        <is>
          <t>A 21522-2020</t>
        </is>
      </c>
      <c r="B237" s="1" t="n">
        <v>43955</v>
      </c>
      <c r="C237" s="1" t="n">
        <v>45811</v>
      </c>
      <c r="D237" t="inlineStr">
        <is>
          <t>SKÅNE LÄN</t>
        </is>
      </c>
      <c r="E237" t="inlineStr">
        <is>
          <t>HÄSSLEHOLM</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21699-2020</t>
        </is>
      </c>
      <c r="B238" s="1" t="n">
        <v>43957</v>
      </c>
      <c r="C238" s="1" t="n">
        <v>45811</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21697-2020</t>
        </is>
      </c>
      <c r="B239" s="1" t="n">
        <v>43957</v>
      </c>
      <c r="C239" s="1" t="n">
        <v>45811</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21854-2020</t>
        </is>
      </c>
      <c r="B240" s="1" t="n">
        <v>43957</v>
      </c>
      <c r="C240" s="1" t="n">
        <v>45811</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23235-2020</t>
        </is>
      </c>
      <c r="B241" s="1" t="n">
        <v>43966</v>
      </c>
      <c r="C241" s="1" t="n">
        <v>45811</v>
      </c>
      <c r="D241" t="inlineStr">
        <is>
          <t>SKÅNE LÄN</t>
        </is>
      </c>
      <c r="E241" t="inlineStr">
        <is>
          <t>HÄSSLEHOLM</t>
        </is>
      </c>
      <c r="G241" t="n">
        <v>5.2</v>
      </c>
      <c r="H241" t="n">
        <v>0</v>
      </c>
      <c r="I241" t="n">
        <v>0</v>
      </c>
      <c r="J241" t="n">
        <v>0</v>
      </c>
      <c r="K241" t="n">
        <v>0</v>
      </c>
      <c r="L241" t="n">
        <v>0</v>
      </c>
      <c r="M241" t="n">
        <v>0</v>
      </c>
      <c r="N241" t="n">
        <v>0</v>
      </c>
      <c r="O241" t="n">
        <v>0</v>
      </c>
      <c r="P241" t="n">
        <v>0</v>
      </c>
      <c r="Q241" t="n">
        <v>0</v>
      </c>
      <c r="R241" s="2" t="inlineStr"/>
    </row>
    <row r="242" ht="15" customHeight="1">
      <c r="A242" t="inlineStr">
        <is>
          <t>A 24227-2020</t>
        </is>
      </c>
      <c r="B242" s="1" t="n">
        <v>43970</v>
      </c>
      <c r="C242" s="1" t="n">
        <v>45811</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24233-2020</t>
        </is>
      </c>
      <c r="B243" s="1" t="n">
        <v>43970</v>
      </c>
      <c r="C243" s="1" t="n">
        <v>45811</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24115-2020</t>
        </is>
      </c>
      <c r="B244" s="1" t="n">
        <v>43973</v>
      </c>
      <c r="C244" s="1" t="n">
        <v>45811</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24669-2020</t>
        </is>
      </c>
      <c r="B245" s="1" t="n">
        <v>43977</v>
      </c>
      <c r="C245" s="1" t="n">
        <v>45811</v>
      </c>
      <c r="D245" t="inlineStr">
        <is>
          <t>SKÅNE LÄN</t>
        </is>
      </c>
      <c r="E245" t="inlineStr">
        <is>
          <t>HÄSSLEHOLM</t>
        </is>
      </c>
      <c r="G245" t="n">
        <v>5.4</v>
      </c>
      <c r="H245" t="n">
        <v>0</v>
      </c>
      <c r="I245" t="n">
        <v>0</v>
      </c>
      <c r="J245" t="n">
        <v>0</v>
      </c>
      <c r="K245" t="n">
        <v>0</v>
      </c>
      <c r="L245" t="n">
        <v>0</v>
      </c>
      <c r="M245" t="n">
        <v>0</v>
      </c>
      <c r="N245" t="n">
        <v>0</v>
      </c>
      <c r="O245" t="n">
        <v>0</v>
      </c>
      <c r="P245" t="n">
        <v>0</v>
      </c>
      <c r="Q245" t="n">
        <v>0</v>
      </c>
      <c r="R245" s="2" t="inlineStr"/>
    </row>
    <row r="246" ht="15" customHeight="1">
      <c r="A246" t="inlineStr">
        <is>
          <t>A 24668-2020</t>
        </is>
      </c>
      <c r="B246" s="1" t="n">
        <v>43977</v>
      </c>
      <c r="C246" s="1" t="n">
        <v>45811</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25071-2020</t>
        </is>
      </c>
      <c r="B247" s="1" t="n">
        <v>43979</v>
      </c>
      <c r="C247" s="1" t="n">
        <v>45811</v>
      </c>
      <c r="D247" t="inlineStr">
        <is>
          <t>SKÅNE LÄN</t>
        </is>
      </c>
      <c r="E247" t="inlineStr">
        <is>
          <t>HÄSSLEHOLM</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25519-2020</t>
        </is>
      </c>
      <c r="B248" s="1" t="n">
        <v>43983</v>
      </c>
      <c r="C248" s="1" t="n">
        <v>45811</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26020-2020</t>
        </is>
      </c>
      <c r="B249" s="1" t="n">
        <v>43985</v>
      </c>
      <c r="C249" s="1" t="n">
        <v>45811</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26147-2020</t>
        </is>
      </c>
      <c r="B250" s="1" t="n">
        <v>43985</v>
      </c>
      <c r="C250" s="1" t="n">
        <v>45811</v>
      </c>
      <c r="D250" t="inlineStr">
        <is>
          <t>SKÅNE LÄN</t>
        </is>
      </c>
      <c r="E250" t="inlineStr">
        <is>
          <t>HÄSSLEHOLM</t>
        </is>
      </c>
      <c r="G250" t="n">
        <v>2.9</v>
      </c>
      <c r="H250" t="n">
        <v>0</v>
      </c>
      <c r="I250" t="n">
        <v>0</v>
      </c>
      <c r="J250" t="n">
        <v>0</v>
      </c>
      <c r="K250" t="n">
        <v>0</v>
      </c>
      <c r="L250" t="n">
        <v>0</v>
      </c>
      <c r="M250" t="n">
        <v>0</v>
      </c>
      <c r="N250" t="n">
        <v>0</v>
      </c>
      <c r="O250" t="n">
        <v>0</v>
      </c>
      <c r="P250" t="n">
        <v>0</v>
      </c>
      <c r="Q250" t="n">
        <v>0</v>
      </c>
      <c r="R250" s="2" t="inlineStr"/>
    </row>
    <row r="251" ht="15" customHeight="1">
      <c r="A251" t="inlineStr">
        <is>
          <t>A 26019-2020</t>
        </is>
      </c>
      <c r="B251" s="1" t="n">
        <v>43985</v>
      </c>
      <c r="C251" s="1" t="n">
        <v>45811</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26451-2020</t>
        </is>
      </c>
      <c r="B252" s="1" t="n">
        <v>43987</v>
      </c>
      <c r="C252" s="1" t="n">
        <v>45811</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27243-2020</t>
        </is>
      </c>
      <c r="B253" s="1" t="n">
        <v>43992</v>
      </c>
      <c r="C253" s="1" t="n">
        <v>45811</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27935-2020</t>
        </is>
      </c>
      <c r="B254" s="1" t="n">
        <v>43993</v>
      </c>
      <c r="C254" s="1" t="n">
        <v>45811</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28023-2020</t>
        </is>
      </c>
      <c r="B255" s="1" t="n">
        <v>43997</v>
      </c>
      <c r="C255" s="1" t="n">
        <v>45811</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29016-2020</t>
        </is>
      </c>
      <c r="B256" s="1" t="n">
        <v>43999</v>
      </c>
      <c r="C256" s="1" t="n">
        <v>45811</v>
      </c>
      <c r="D256" t="inlineStr">
        <is>
          <t>SKÅNE LÄN</t>
        </is>
      </c>
      <c r="E256" t="inlineStr">
        <is>
          <t>HÄSSLEHOLM</t>
        </is>
      </c>
      <c r="G256" t="n">
        <v>2.6</v>
      </c>
      <c r="H256" t="n">
        <v>0</v>
      </c>
      <c r="I256" t="n">
        <v>0</v>
      </c>
      <c r="J256" t="n">
        <v>0</v>
      </c>
      <c r="K256" t="n">
        <v>0</v>
      </c>
      <c r="L256" t="n">
        <v>0</v>
      </c>
      <c r="M256" t="n">
        <v>0</v>
      </c>
      <c r="N256" t="n">
        <v>0</v>
      </c>
      <c r="O256" t="n">
        <v>0</v>
      </c>
      <c r="P256" t="n">
        <v>0</v>
      </c>
      <c r="Q256" t="n">
        <v>0</v>
      </c>
      <c r="R256" s="2" t="inlineStr"/>
    </row>
    <row r="257" ht="15" customHeight="1">
      <c r="A257" t="inlineStr">
        <is>
          <t>A 28884-2020</t>
        </is>
      </c>
      <c r="B257" s="1" t="n">
        <v>43999</v>
      </c>
      <c r="C257" s="1" t="n">
        <v>45811</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28863-2020</t>
        </is>
      </c>
      <c r="B258" s="1" t="n">
        <v>43999</v>
      </c>
      <c r="C258" s="1" t="n">
        <v>45811</v>
      </c>
      <c r="D258" t="inlineStr">
        <is>
          <t>SKÅNE LÄN</t>
        </is>
      </c>
      <c r="E258" t="inlineStr">
        <is>
          <t>HÄSSLEHOLM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29230-2020</t>
        </is>
      </c>
      <c r="B259" s="1" t="n">
        <v>44004</v>
      </c>
      <c r="C259" s="1" t="n">
        <v>45811</v>
      </c>
      <c r="D259" t="inlineStr">
        <is>
          <t>SKÅNE LÄN</t>
        </is>
      </c>
      <c r="E259" t="inlineStr">
        <is>
          <t>HÄSSLEHOLM</t>
        </is>
      </c>
      <c r="G259" t="n">
        <v>1.6</v>
      </c>
      <c r="H259" t="n">
        <v>0</v>
      </c>
      <c r="I259" t="n">
        <v>0</v>
      </c>
      <c r="J259" t="n">
        <v>0</v>
      </c>
      <c r="K259" t="n">
        <v>0</v>
      </c>
      <c r="L259" t="n">
        <v>0</v>
      </c>
      <c r="M259" t="n">
        <v>0</v>
      </c>
      <c r="N259" t="n">
        <v>0</v>
      </c>
      <c r="O259" t="n">
        <v>0</v>
      </c>
      <c r="P259" t="n">
        <v>0</v>
      </c>
      <c r="Q259" t="n">
        <v>0</v>
      </c>
      <c r="R259" s="2" t="inlineStr"/>
    </row>
    <row r="260" ht="15" customHeight="1">
      <c r="A260" t="inlineStr">
        <is>
          <t>A 29719-2020</t>
        </is>
      </c>
      <c r="B260" s="1" t="n">
        <v>44005</v>
      </c>
      <c r="C260" s="1" t="n">
        <v>45811</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29932-2020</t>
        </is>
      </c>
      <c r="B261" s="1" t="n">
        <v>44006</v>
      </c>
      <c r="C261" s="1" t="n">
        <v>45811</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30292-2020</t>
        </is>
      </c>
      <c r="B262" s="1" t="n">
        <v>44007</v>
      </c>
      <c r="C262" s="1" t="n">
        <v>45811</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30719-2020</t>
        </is>
      </c>
      <c r="B263" s="1" t="n">
        <v>44008</v>
      </c>
      <c r="C263" s="1" t="n">
        <v>45811</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30816-2020</t>
        </is>
      </c>
      <c r="B264" s="1" t="n">
        <v>44011</v>
      </c>
      <c r="C264" s="1" t="n">
        <v>45811</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31069-2020</t>
        </is>
      </c>
      <c r="B265" s="1" t="n">
        <v>44012</v>
      </c>
      <c r="C265" s="1" t="n">
        <v>45811</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31617-2020</t>
        </is>
      </c>
      <c r="B266" s="1" t="n">
        <v>44013</v>
      </c>
      <c r="C266" s="1" t="n">
        <v>45811</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31628-2020</t>
        </is>
      </c>
      <c r="B267" s="1" t="n">
        <v>44013</v>
      </c>
      <c r="C267" s="1" t="n">
        <v>45811</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31625-2020</t>
        </is>
      </c>
      <c r="B268" s="1" t="n">
        <v>44013</v>
      </c>
      <c r="C268" s="1" t="n">
        <v>45811</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32727-2020</t>
        </is>
      </c>
      <c r="B269" s="1" t="n">
        <v>44019</v>
      </c>
      <c r="C269" s="1" t="n">
        <v>45811</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33302-2020</t>
        </is>
      </c>
      <c r="B270" s="1" t="n">
        <v>44022</v>
      </c>
      <c r="C270" s="1" t="n">
        <v>45811</v>
      </c>
      <c r="D270" t="inlineStr">
        <is>
          <t>SKÅNE LÄN</t>
        </is>
      </c>
      <c r="E270" t="inlineStr">
        <is>
          <t>HÄSSLEHOLM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33300-2020</t>
        </is>
      </c>
      <c r="B271" s="1" t="n">
        <v>44022</v>
      </c>
      <c r="C271" s="1" t="n">
        <v>45811</v>
      </c>
      <c r="D271" t="inlineStr">
        <is>
          <t>SKÅNE LÄN</t>
        </is>
      </c>
      <c r="E271" t="inlineStr">
        <is>
          <t>HÄSSLEHOLM</t>
        </is>
      </c>
      <c r="G271" t="n">
        <v>8.9</v>
      </c>
      <c r="H271" t="n">
        <v>0</v>
      </c>
      <c r="I271" t="n">
        <v>0</v>
      </c>
      <c r="J271" t="n">
        <v>0</v>
      </c>
      <c r="K271" t="n">
        <v>0</v>
      </c>
      <c r="L271" t="n">
        <v>0</v>
      </c>
      <c r="M271" t="n">
        <v>0</v>
      </c>
      <c r="N271" t="n">
        <v>0</v>
      </c>
      <c r="O271" t="n">
        <v>0</v>
      </c>
      <c r="P271" t="n">
        <v>0</v>
      </c>
      <c r="Q271" t="n">
        <v>0</v>
      </c>
      <c r="R271" s="2" t="inlineStr"/>
    </row>
    <row r="272" ht="15" customHeight="1">
      <c r="A272" t="inlineStr">
        <is>
          <t>A 33544-2020</t>
        </is>
      </c>
      <c r="B272" s="1" t="n">
        <v>44025</v>
      </c>
      <c r="C272" s="1" t="n">
        <v>45811</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33824-2020</t>
        </is>
      </c>
      <c r="B273" s="1" t="n">
        <v>44027</v>
      </c>
      <c r="C273" s="1" t="n">
        <v>45811</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33854-2020</t>
        </is>
      </c>
      <c r="B274" s="1" t="n">
        <v>44027</v>
      </c>
      <c r="C274" s="1" t="n">
        <v>45811</v>
      </c>
      <c r="D274" t="inlineStr">
        <is>
          <t>SKÅNE LÄN</t>
        </is>
      </c>
      <c r="E274" t="inlineStr">
        <is>
          <t>HÄSSLEHOLM</t>
        </is>
      </c>
      <c r="G274" t="n">
        <v>4.7</v>
      </c>
      <c r="H274" t="n">
        <v>0</v>
      </c>
      <c r="I274" t="n">
        <v>0</v>
      </c>
      <c r="J274" t="n">
        <v>0</v>
      </c>
      <c r="K274" t="n">
        <v>0</v>
      </c>
      <c r="L274" t="n">
        <v>0</v>
      </c>
      <c r="M274" t="n">
        <v>0</v>
      </c>
      <c r="N274" t="n">
        <v>0</v>
      </c>
      <c r="O274" t="n">
        <v>0</v>
      </c>
      <c r="P274" t="n">
        <v>0</v>
      </c>
      <c r="Q274" t="n">
        <v>0</v>
      </c>
      <c r="R274" s="2" t="inlineStr"/>
    </row>
    <row r="275" ht="15" customHeight="1">
      <c r="A275" t="inlineStr">
        <is>
          <t>A 34871-2020</t>
        </is>
      </c>
      <c r="B275" s="1" t="n">
        <v>44036</v>
      </c>
      <c r="C275" s="1" t="n">
        <v>45811</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34873-2020</t>
        </is>
      </c>
      <c r="B276" s="1" t="n">
        <v>44036</v>
      </c>
      <c r="C276" s="1" t="n">
        <v>45811</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35188-2020</t>
        </is>
      </c>
      <c r="B277" s="1" t="n">
        <v>44040</v>
      </c>
      <c r="C277" s="1" t="n">
        <v>45811</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35175-2020</t>
        </is>
      </c>
      <c r="B278" s="1" t="n">
        <v>44040</v>
      </c>
      <c r="C278" s="1" t="n">
        <v>45811</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35399-2020</t>
        </is>
      </c>
      <c r="B279" s="1" t="n">
        <v>44042</v>
      </c>
      <c r="C279" s="1" t="n">
        <v>45811</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35857-2020</t>
        </is>
      </c>
      <c r="B280" s="1" t="n">
        <v>44047</v>
      </c>
      <c r="C280" s="1" t="n">
        <v>45811</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36721-2020</t>
        </is>
      </c>
      <c r="B281" s="1" t="n">
        <v>44053</v>
      </c>
      <c r="C281" s="1" t="n">
        <v>45811</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36728-2020</t>
        </is>
      </c>
      <c r="B282" s="1" t="n">
        <v>44053</v>
      </c>
      <c r="C282" s="1" t="n">
        <v>45811</v>
      </c>
      <c r="D282" t="inlineStr">
        <is>
          <t>SKÅNE LÄN</t>
        </is>
      </c>
      <c r="E282" t="inlineStr">
        <is>
          <t>HÄSSLEHOLM</t>
        </is>
      </c>
      <c r="G282" t="n">
        <v>0.2</v>
      </c>
      <c r="H282" t="n">
        <v>0</v>
      </c>
      <c r="I282" t="n">
        <v>0</v>
      </c>
      <c r="J282" t="n">
        <v>0</v>
      </c>
      <c r="K282" t="n">
        <v>0</v>
      </c>
      <c r="L282" t="n">
        <v>0</v>
      </c>
      <c r="M282" t="n">
        <v>0</v>
      </c>
      <c r="N282" t="n">
        <v>0</v>
      </c>
      <c r="O282" t="n">
        <v>0</v>
      </c>
      <c r="P282" t="n">
        <v>0</v>
      </c>
      <c r="Q282" t="n">
        <v>0</v>
      </c>
      <c r="R282" s="2" t="inlineStr"/>
    </row>
    <row r="283" ht="15" customHeight="1">
      <c r="A283" t="inlineStr">
        <is>
          <t>A 37655-2020</t>
        </is>
      </c>
      <c r="B283" s="1" t="n">
        <v>44056</v>
      </c>
      <c r="C283" s="1" t="n">
        <v>45811</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38110-2020</t>
        </is>
      </c>
      <c r="B284" s="1" t="n">
        <v>44058</v>
      </c>
      <c r="C284" s="1" t="n">
        <v>45811</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38138-2020</t>
        </is>
      </c>
      <c r="B285" s="1" t="n">
        <v>44060</v>
      </c>
      <c r="C285" s="1" t="n">
        <v>45811</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39672-2020</t>
        </is>
      </c>
      <c r="B286" s="1" t="n">
        <v>44065</v>
      </c>
      <c r="C286" s="1" t="n">
        <v>45811</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40329-2020</t>
        </is>
      </c>
      <c r="B287" s="1" t="n">
        <v>44067</v>
      </c>
      <c r="C287" s="1" t="n">
        <v>45811</v>
      </c>
      <c r="D287" t="inlineStr">
        <is>
          <t>SKÅNE LÄN</t>
        </is>
      </c>
      <c r="E287" t="inlineStr">
        <is>
          <t>HÄSSLEHOLM</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40319-2020</t>
        </is>
      </c>
      <c r="B288" s="1" t="n">
        <v>44068</v>
      </c>
      <c r="C288" s="1" t="n">
        <v>45811</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40292-2020</t>
        </is>
      </c>
      <c r="B289" s="1" t="n">
        <v>44068</v>
      </c>
      <c r="C289" s="1" t="n">
        <v>45811</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42839-2020</t>
        </is>
      </c>
      <c r="B290" s="1" t="n">
        <v>44078</v>
      </c>
      <c r="C290" s="1" t="n">
        <v>45811</v>
      </c>
      <c r="D290" t="inlineStr">
        <is>
          <t>SKÅNE LÄN</t>
        </is>
      </c>
      <c r="E290" t="inlineStr">
        <is>
          <t>HÄSSLEHOLM</t>
        </is>
      </c>
      <c r="G290" t="n">
        <v>2.7</v>
      </c>
      <c r="H290" t="n">
        <v>0</v>
      </c>
      <c r="I290" t="n">
        <v>0</v>
      </c>
      <c r="J290" t="n">
        <v>0</v>
      </c>
      <c r="K290" t="n">
        <v>0</v>
      </c>
      <c r="L290" t="n">
        <v>0</v>
      </c>
      <c r="M290" t="n">
        <v>0</v>
      </c>
      <c r="N290" t="n">
        <v>0</v>
      </c>
      <c r="O290" t="n">
        <v>0</v>
      </c>
      <c r="P290" t="n">
        <v>0</v>
      </c>
      <c r="Q290" t="n">
        <v>0</v>
      </c>
      <c r="R290" s="2" t="inlineStr"/>
    </row>
    <row r="291" ht="15" customHeight="1">
      <c r="A291" t="inlineStr">
        <is>
          <t>A 42812-2020</t>
        </is>
      </c>
      <c r="B291" s="1" t="n">
        <v>44078</v>
      </c>
      <c r="C291" s="1" t="n">
        <v>45811</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42815-2020</t>
        </is>
      </c>
      <c r="B292" s="1" t="n">
        <v>44078</v>
      </c>
      <c r="C292" s="1" t="n">
        <v>45811</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43045-2020</t>
        </is>
      </c>
      <c r="B293" s="1" t="n">
        <v>44078</v>
      </c>
      <c r="C293" s="1" t="n">
        <v>45811</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43580-2020</t>
        </is>
      </c>
      <c r="B294" s="1" t="n">
        <v>44082</v>
      </c>
      <c r="C294" s="1" t="n">
        <v>45811</v>
      </c>
      <c r="D294" t="inlineStr">
        <is>
          <t>SKÅNE LÄN</t>
        </is>
      </c>
      <c r="E294" t="inlineStr">
        <is>
          <t>HÄSSLEHOLM</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43595-2020</t>
        </is>
      </c>
      <c r="B295" s="1" t="n">
        <v>44082</v>
      </c>
      <c r="C295" s="1" t="n">
        <v>45811</v>
      </c>
      <c r="D295" t="inlineStr">
        <is>
          <t>SKÅNE LÄN</t>
        </is>
      </c>
      <c r="E295" t="inlineStr">
        <is>
          <t>HÄSSLEHOLM</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43600-2020</t>
        </is>
      </c>
      <c r="B296" s="1" t="n">
        <v>44082</v>
      </c>
      <c r="C296" s="1" t="n">
        <v>45811</v>
      </c>
      <c r="D296" t="inlineStr">
        <is>
          <t>SKÅNE LÄN</t>
        </is>
      </c>
      <c r="E296" t="inlineStr">
        <is>
          <t>HÄSSLEHOLM</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44228-2020</t>
        </is>
      </c>
      <c r="B297" s="1" t="n">
        <v>44082</v>
      </c>
      <c r="C297" s="1" t="n">
        <v>45811</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44527-2020</t>
        </is>
      </c>
      <c r="B298" s="1" t="n">
        <v>44085</v>
      </c>
      <c r="C298" s="1" t="n">
        <v>45811</v>
      </c>
      <c r="D298" t="inlineStr">
        <is>
          <t>SKÅNE LÄN</t>
        </is>
      </c>
      <c r="E298" t="inlineStr">
        <is>
          <t>HÄSSLEHOLM</t>
        </is>
      </c>
      <c r="F298" t="inlineStr">
        <is>
          <t>Kommuner</t>
        </is>
      </c>
      <c r="G298" t="n">
        <v>7.7</v>
      </c>
      <c r="H298" t="n">
        <v>0</v>
      </c>
      <c r="I298" t="n">
        <v>0</v>
      </c>
      <c r="J298" t="n">
        <v>0</v>
      </c>
      <c r="K298" t="n">
        <v>0</v>
      </c>
      <c r="L298" t="n">
        <v>0</v>
      </c>
      <c r="M298" t="n">
        <v>0</v>
      </c>
      <c r="N298" t="n">
        <v>0</v>
      </c>
      <c r="O298" t="n">
        <v>0</v>
      </c>
      <c r="P298" t="n">
        <v>0</v>
      </c>
      <c r="Q298" t="n">
        <v>0</v>
      </c>
      <c r="R298" s="2" t="inlineStr"/>
    </row>
    <row r="299" ht="15" customHeight="1">
      <c r="A299" t="inlineStr">
        <is>
          <t>A 45555-2020</t>
        </is>
      </c>
      <c r="B299" s="1" t="n">
        <v>44089</v>
      </c>
      <c r="C299" s="1" t="n">
        <v>45811</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45814-2020</t>
        </is>
      </c>
      <c r="B300" s="1" t="n">
        <v>44090</v>
      </c>
      <c r="C300" s="1" t="n">
        <v>45811</v>
      </c>
      <c r="D300" t="inlineStr">
        <is>
          <t>SKÅNE LÄN</t>
        </is>
      </c>
      <c r="E300" t="inlineStr">
        <is>
          <t>HÄSSLEHOLM</t>
        </is>
      </c>
      <c r="G300" t="n">
        <v>0.2</v>
      </c>
      <c r="H300" t="n">
        <v>0</v>
      </c>
      <c r="I300" t="n">
        <v>0</v>
      </c>
      <c r="J300" t="n">
        <v>0</v>
      </c>
      <c r="K300" t="n">
        <v>0</v>
      </c>
      <c r="L300" t="n">
        <v>0</v>
      </c>
      <c r="M300" t="n">
        <v>0</v>
      </c>
      <c r="N300" t="n">
        <v>0</v>
      </c>
      <c r="O300" t="n">
        <v>0</v>
      </c>
      <c r="P300" t="n">
        <v>0</v>
      </c>
      <c r="Q300" t="n">
        <v>0</v>
      </c>
      <c r="R300" s="2" t="inlineStr"/>
    </row>
    <row r="301" ht="15" customHeight="1">
      <c r="A301" t="inlineStr">
        <is>
          <t>A 45815-2020</t>
        </is>
      </c>
      <c r="B301" s="1" t="n">
        <v>44090</v>
      </c>
      <c r="C301" s="1" t="n">
        <v>45811</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46125-2020</t>
        </is>
      </c>
      <c r="B302" s="1" t="n">
        <v>44091</v>
      </c>
      <c r="C302" s="1" t="n">
        <v>45811</v>
      </c>
      <c r="D302" t="inlineStr">
        <is>
          <t>SKÅNE LÄN</t>
        </is>
      </c>
      <c r="E302" t="inlineStr">
        <is>
          <t>HÄSSLEHOLM</t>
        </is>
      </c>
      <c r="G302" t="n">
        <v>2</v>
      </c>
      <c r="H302" t="n">
        <v>0</v>
      </c>
      <c r="I302" t="n">
        <v>0</v>
      </c>
      <c r="J302" t="n">
        <v>0</v>
      </c>
      <c r="K302" t="n">
        <v>0</v>
      </c>
      <c r="L302" t="n">
        <v>0</v>
      </c>
      <c r="M302" t="n">
        <v>0</v>
      </c>
      <c r="N302" t="n">
        <v>0</v>
      </c>
      <c r="O302" t="n">
        <v>0</v>
      </c>
      <c r="P302" t="n">
        <v>0</v>
      </c>
      <c r="Q302" t="n">
        <v>0</v>
      </c>
      <c r="R302" s="2" t="inlineStr"/>
    </row>
    <row r="303" ht="15" customHeight="1">
      <c r="A303" t="inlineStr">
        <is>
          <t>A 46145-2020</t>
        </is>
      </c>
      <c r="B303" s="1" t="n">
        <v>44091</v>
      </c>
      <c r="C303" s="1" t="n">
        <v>45811</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46479-2020</t>
        </is>
      </c>
      <c r="B304" s="1" t="n">
        <v>44095</v>
      </c>
      <c r="C304" s="1" t="n">
        <v>45811</v>
      </c>
      <c r="D304" t="inlineStr">
        <is>
          <t>SKÅNE LÄN</t>
        </is>
      </c>
      <c r="E304" t="inlineStr">
        <is>
          <t>HÄSSLEHOLM</t>
        </is>
      </c>
      <c r="F304" t="inlineStr">
        <is>
          <t>Kyrkan</t>
        </is>
      </c>
      <c r="G304" t="n">
        <v>1.5</v>
      </c>
      <c r="H304" t="n">
        <v>0</v>
      </c>
      <c r="I304" t="n">
        <v>0</v>
      </c>
      <c r="J304" t="n">
        <v>0</v>
      </c>
      <c r="K304" t="n">
        <v>0</v>
      </c>
      <c r="L304" t="n">
        <v>0</v>
      </c>
      <c r="M304" t="n">
        <v>0</v>
      </c>
      <c r="N304" t="n">
        <v>0</v>
      </c>
      <c r="O304" t="n">
        <v>0</v>
      </c>
      <c r="P304" t="n">
        <v>0</v>
      </c>
      <c r="Q304" t="n">
        <v>0</v>
      </c>
      <c r="R304" s="2" t="inlineStr"/>
    </row>
    <row r="305" ht="15" customHeight="1">
      <c r="A305" t="inlineStr">
        <is>
          <t>A 47121-2020</t>
        </is>
      </c>
      <c r="B305" s="1" t="n">
        <v>44096</v>
      </c>
      <c r="C305" s="1" t="n">
        <v>45811</v>
      </c>
      <c r="D305" t="inlineStr">
        <is>
          <t>SKÅNE LÄN</t>
        </is>
      </c>
      <c r="E305" t="inlineStr">
        <is>
          <t>HÄSSLEHOLM</t>
        </is>
      </c>
      <c r="G305" t="n">
        <v>3.6</v>
      </c>
      <c r="H305" t="n">
        <v>0</v>
      </c>
      <c r="I305" t="n">
        <v>0</v>
      </c>
      <c r="J305" t="n">
        <v>0</v>
      </c>
      <c r="K305" t="n">
        <v>0</v>
      </c>
      <c r="L305" t="n">
        <v>0</v>
      </c>
      <c r="M305" t="n">
        <v>0</v>
      </c>
      <c r="N305" t="n">
        <v>0</v>
      </c>
      <c r="O305" t="n">
        <v>0</v>
      </c>
      <c r="P305" t="n">
        <v>0</v>
      </c>
      <c r="Q305" t="n">
        <v>0</v>
      </c>
      <c r="R305" s="2" t="inlineStr"/>
    </row>
    <row r="306" ht="15" customHeight="1">
      <c r="A306" t="inlineStr">
        <is>
          <t>A 47007-2020</t>
        </is>
      </c>
      <c r="B306" s="1" t="n">
        <v>44096</v>
      </c>
      <c r="C306" s="1" t="n">
        <v>45811</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48397-2020</t>
        </is>
      </c>
      <c r="B307" s="1" t="n">
        <v>44097</v>
      </c>
      <c r="C307" s="1" t="n">
        <v>45811</v>
      </c>
      <c r="D307" t="inlineStr">
        <is>
          <t>SKÅNE LÄN</t>
        </is>
      </c>
      <c r="E307" t="inlineStr">
        <is>
          <t>HÄSSLEHOLM</t>
        </is>
      </c>
      <c r="G307" t="n">
        <v>8</v>
      </c>
      <c r="H307" t="n">
        <v>0</v>
      </c>
      <c r="I307" t="n">
        <v>0</v>
      </c>
      <c r="J307" t="n">
        <v>0</v>
      </c>
      <c r="K307" t="n">
        <v>0</v>
      </c>
      <c r="L307" t="n">
        <v>0</v>
      </c>
      <c r="M307" t="n">
        <v>0</v>
      </c>
      <c r="N307" t="n">
        <v>0</v>
      </c>
      <c r="O307" t="n">
        <v>0</v>
      </c>
      <c r="P307" t="n">
        <v>0</v>
      </c>
      <c r="Q307" t="n">
        <v>0</v>
      </c>
      <c r="R307" s="2" t="inlineStr"/>
    </row>
    <row r="308" ht="15" customHeight="1">
      <c r="A308" t="inlineStr">
        <is>
          <t>A 47283-2020</t>
        </is>
      </c>
      <c r="B308" s="1" t="n">
        <v>44097</v>
      </c>
      <c r="C308" s="1" t="n">
        <v>45811</v>
      </c>
      <c r="D308" t="inlineStr">
        <is>
          <t>SKÅNE LÄN</t>
        </is>
      </c>
      <c r="E308" t="inlineStr">
        <is>
          <t>HÄSSLEHOLM</t>
        </is>
      </c>
      <c r="G308" t="n">
        <v>5.5</v>
      </c>
      <c r="H308" t="n">
        <v>0</v>
      </c>
      <c r="I308" t="n">
        <v>0</v>
      </c>
      <c r="J308" t="n">
        <v>0</v>
      </c>
      <c r="K308" t="n">
        <v>0</v>
      </c>
      <c r="L308" t="n">
        <v>0</v>
      </c>
      <c r="M308" t="n">
        <v>0</v>
      </c>
      <c r="N308" t="n">
        <v>0</v>
      </c>
      <c r="O308" t="n">
        <v>0</v>
      </c>
      <c r="P308" t="n">
        <v>0</v>
      </c>
      <c r="Q308" t="n">
        <v>0</v>
      </c>
      <c r="R308" s="2" t="inlineStr"/>
    </row>
    <row r="309" ht="15" customHeight="1">
      <c r="A309" t="inlineStr">
        <is>
          <t>A 47521-2020</t>
        </is>
      </c>
      <c r="B309" s="1" t="n">
        <v>44098</v>
      </c>
      <c r="C309" s="1" t="n">
        <v>45811</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47531-2020</t>
        </is>
      </c>
      <c r="B310" s="1" t="n">
        <v>44098</v>
      </c>
      <c r="C310" s="1" t="n">
        <v>45811</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48212-2020</t>
        </is>
      </c>
      <c r="B311" s="1" t="n">
        <v>44102</v>
      </c>
      <c r="C311" s="1" t="n">
        <v>45811</v>
      </c>
      <c r="D311" t="inlineStr">
        <is>
          <t>SKÅNE LÄN</t>
        </is>
      </c>
      <c r="E311" t="inlineStr">
        <is>
          <t>HÄSSLEHOLM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48792-2020</t>
        </is>
      </c>
      <c r="B312" s="1" t="n">
        <v>44103</v>
      </c>
      <c r="C312" s="1" t="n">
        <v>45811</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48486-2020</t>
        </is>
      </c>
      <c r="B313" s="1" t="n">
        <v>44103</v>
      </c>
      <c r="C313" s="1" t="n">
        <v>45811</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49786-2020</t>
        </is>
      </c>
      <c r="B314" s="1" t="n">
        <v>44103</v>
      </c>
      <c r="C314" s="1" t="n">
        <v>45811</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49389-2020</t>
        </is>
      </c>
      <c r="B315" s="1" t="n">
        <v>44105</v>
      </c>
      <c r="C315" s="1" t="n">
        <v>45811</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49865-2020</t>
        </is>
      </c>
      <c r="B316" s="1" t="n">
        <v>44107</v>
      </c>
      <c r="C316" s="1" t="n">
        <v>45811</v>
      </c>
      <c r="D316" t="inlineStr">
        <is>
          <t>SKÅNE LÄN</t>
        </is>
      </c>
      <c r="E316" t="inlineStr">
        <is>
          <t>HÄSSLEHOLM</t>
        </is>
      </c>
      <c r="G316" t="n">
        <v>1.4</v>
      </c>
      <c r="H316" t="n">
        <v>0</v>
      </c>
      <c r="I316" t="n">
        <v>0</v>
      </c>
      <c r="J316" t="n">
        <v>0</v>
      </c>
      <c r="K316" t="n">
        <v>0</v>
      </c>
      <c r="L316" t="n">
        <v>0</v>
      </c>
      <c r="M316" t="n">
        <v>0</v>
      </c>
      <c r="N316" t="n">
        <v>0</v>
      </c>
      <c r="O316" t="n">
        <v>0</v>
      </c>
      <c r="P316" t="n">
        <v>0</v>
      </c>
      <c r="Q316" t="n">
        <v>0</v>
      </c>
      <c r="R316" s="2" t="inlineStr"/>
    </row>
    <row r="317" ht="15" customHeight="1">
      <c r="A317" t="inlineStr">
        <is>
          <t>A 50046-2020</t>
        </is>
      </c>
      <c r="B317" s="1" t="n">
        <v>44109</v>
      </c>
      <c r="C317" s="1" t="n">
        <v>45811</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50372-2020</t>
        </is>
      </c>
      <c r="B318" s="1" t="n">
        <v>44110</v>
      </c>
      <c r="C318" s="1" t="n">
        <v>45811</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50371-2020</t>
        </is>
      </c>
      <c r="B319" s="1" t="n">
        <v>44110</v>
      </c>
      <c r="C319" s="1" t="n">
        <v>45811</v>
      </c>
      <c r="D319" t="inlineStr">
        <is>
          <t>SKÅNE LÄN</t>
        </is>
      </c>
      <c r="E319" t="inlineStr">
        <is>
          <t>HÄSSLEHOLM</t>
        </is>
      </c>
      <c r="G319" t="n">
        <v>3.8</v>
      </c>
      <c r="H319" t="n">
        <v>0</v>
      </c>
      <c r="I319" t="n">
        <v>0</v>
      </c>
      <c r="J319" t="n">
        <v>0</v>
      </c>
      <c r="K319" t="n">
        <v>0</v>
      </c>
      <c r="L319" t="n">
        <v>0</v>
      </c>
      <c r="M319" t="n">
        <v>0</v>
      </c>
      <c r="N319" t="n">
        <v>0</v>
      </c>
      <c r="O319" t="n">
        <v>0</v>
      </c>
      <c r="P319" t="n">
        <v>0</v>
      </c>
      <c r="Q319" t="n">
        <v>0</v>
      </c>
      <c r="R319" s="2" t="inlineStr"/>
    </row>
    <row r="320" ht="15" customHeight="1">
      <c r="A320" t="inlineStr">
        <is>
          <t>A 52561-2020</t>
        </is>
      </c>
      <c r="B320" s="1" t="n">
        <v>44116</v>
      </c>
      <c r="C320" s="1" t="n">
        <v>45811</v>
      </c>
      <c r="D320" t="inlineStr">
        <is>
          <t>SKÅNE LÄN</t>
        </is>
      </c>
      <c r="E320" t="inlineStr">
        <is>
          <t>HÄSSLEHOLM</t>
        </is>
      </c>
      <c r="G320" t="n">
        <v>6</v>
      </c>
      <c r="H320" t="n">
        <v>0</v>
      </c>
      <c r="I320" t="n">
        <v>0</v>
      </c>
      <c r="J320" t="n">
        <v>0</v>
      </c>
      <c r="K320" t="n">
        <v>0</v>
      </c>
      <c r="L320" t="n">
        <v>0</v>
      </c>
      <c r="M320" t="n">
        <v>0</v>
      </c>
      <c r="N320" t="n">
        <v>0</v>
      </c>
      <c r="O320" t="n">
        <v>0</v>
      </c>
      <c r="P320" t="n">
        <v>0</v>
      </c>
      <c r="Q320" t="n">
        <v>0</v>
      </c>
      <c r="R320" s="2" t="inlineStr"/>
    </row>
    <row r="321" ht="15" customHeight="1">
      <c r="A321" t="inlineStr">
        <is>
          <t>A 52852-2020</t>
        </is>
      </c>
      <c r="B321" s="1" t="n">
        <v>44119</v>
      </c>
      <c r="C321" s="1" t="n">
        <v>45811</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52863-2020</t>
        </is>
      </c>
      <c r="B322" s="1" t="n">
        <v>44119</v>
      </c>
      <c r="C322" s="1" t="n">
        <v>45811</v>
      </c>
      <c r="D322" t="inlineStr">
        <is>
          <t>SKÅNE LÄN</t>
        </is>
      </c>
      <c r="E322" t="inlineStr">
        <is>
          <t>HÄSSLEHOLM</t>
        </is>
      </c>
      <c r="G322" t="n">
        <v>3</v>
      </c>
      <c r="H322" t="n">
        <v>0</v>
      </c>
      <c r="I322" t="n">
        <v>0</v>
      </c>
      <c r="J322" t="n">
        <v>0</v>
      </c>
      <c r="K322" t="n">
        <v>0</v>
      </c>
      <c r="L322" t="n">
        <v>0</v>
      </c>
      <c r="M322" t="n">
        <v>0</v>
      </c>
      <c r="N322" t="n">
        <v>0</v>
      </c>
      <c r="O322" t="n">
        <v>0</v>
      </c>
      <c r="P322" t="n">
        <v>0</v>
      </c>
      <c r="Q322" t="n">
        <v>0</v>
      </c>
      <c r="R322" s="2" t="inlineStr"/>
    </row>
    <row r="323" ht="15" customHeight="1">
      <c r="A323" t="inlineStr">
        <is>
          <t>A 52860-2020</t>
        </is>
      </c>
      <c r="B323" s="1" t="n">
        <v>44119</v>
      </c>
      <c r="C323" s="1" t="n">
        <v>45811</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54081-2020</t>
        </is>
      </c>
      <c r="B324" s="1" t="n">
        <v>44125</v>
      </c>
      <c r="C324" s="1" t="n">
        <v>45811</v>
      </c>
      <c r="D324" t="inlineStr">
        <is>
          <t>SKÅNE LÄN</t>
        </is>
      </c>
      <c r="E324" t="inlineStr">
        <is>
          <t>HÄSSLEHOLM</t>
        </is>
      </c>
      <c r="G324" t="n">
        <v>0.2</v>
      </c>
      <c r="H324" t="n">
        <v>0</v>
      </c>
      <c r="I324" t="n">
        <v>0</v>
      </c>
      <c r="J324" t="n">
        <v>0</v>
      </c>
      <c r="K324" t="n">
        <v>0</v>
      </c>
      <c r="L324" t="n">
        <v>0</v>
      </c>
      <c r="M324" t="n">
        <v>0</v>
      </c>
      <c r="N324" t="n">
        <v>0</v>
      </c>
      <c r="O324" t="n">
        <v>0</v>
      </c>
      <c r="P324" t="n">
        <v>0</v>
      </c>
      <c r="Q324" t="n">
        <v>0</v>
      </c>
      <c r="R324" s="2" t="inlineStr"/>
    </row>
    <row r="325" ht="15" customHeight="1">
      <c r="A325" t="inlineStr">
        <is>
          <t>A 54079-2020</t>
        </is>
      </c>
      <c r="B325" s="1" t="n">
        <v>44125</v>
      </c>
      <c r="C325" s="1" t="n">
        <v>45811</v>
      </c>
      <c r="D325" t="inlineStr">
        <is>
          <t>SKÅNE LÄN</t>
        </is>
      </c>
      <c r="E325" t="inlineStr">
        <is>
          <t>HÄSSLEHOLM</t>
        </is>
      </c>
      <c r="G325" t="n">
        <v>0.3</v>
      </c>
      <c r="H325" t="n">
        <v>0</v>
      </c>
      <c r="I325" t="n">
        <v>0</v>
      </c>
      <c r="J325" t="n">
        <v>0</v>
      </c>
      <c r="K325" t="n">
        <v>0</v>
      </c>
      <c r="L325" t="n">
        <v>0</v>
      </c>
      <c r="M325" t="n">
        <v>0</v>
      </c>
      <c r="N325" t="n">
        <v>0</v>
      </c>
      <c r="O325" t="n">
        <v>0</v>
      </c>
      <c r="P325" t="n">
        <v>0</v>
      </c>
      <c r="Q325" t="n">
        <v>0</v>
      </c>
      <c r="R325" s="2" t="inlineStr"/>
    </row>
    <row r="326" ht="15" customHeight="1">
      <c r="A326" t="inlineStr">
        <is>
          <t>A 54084-2020</t>
        </is>
      </c>
      <c r="B326" s="1" t="n">
        <v>44125</v>
      </c>
      <c r="C326" s="1" t="n">
        <v>45811</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54371-2020</t>
        </is>
      </c>
      <c r="B327" s="1" t="n">
        <v>44126</v>
      </c>
      <c r="C327" s="1" t="n">
        <v>45811</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54363-2020</t>
        </is>
      </c>
      <c r="B328" s="1" t="n">
        <v>44126</v>
      </c>
      <c r="C328" s="1" t="n">
        <v>45811</v>
      </c>
      <c r="D328" t="inlineStr">
        <is>
          <t>SKÅNE LÄN</t>
        </is>
      </c>
      <c r="E328" t="inlineStr">
        <is>
          <t>HÄSSLEHOLM</t>
        </is>
      </c>
      <c r="G328" t="n">
        <v>4.8</v>
      </c>
      <c r="H328" t="n">
        <v>0</v>
      </c>
      <c r="I328" t="n">
        <v>0</v>
      </c>
      <c r="J328" t="n">
        <v>0</v>
      </c>
      <c r="K328" t="n">
        <v>0</v>
      </c>
      <c r="L328" t="n">
        <v>0</v>
      </c>
      <c r="M328" t="n">
        <v>0</v>
      </c>
      <c r="N328" t="n">
        <v>0</v>
      </c>
      <c r="O328" t="n">
        <v>0</v>
      </c>
      <c r="P328" t="n">
        <v>0</v>
      </c>
      <c r="Q328" t="n">
        <v>0</v>
      </c>
      <c r="R328" s="2" t="inlineStr"/>
    </row>
    <row r="329" ht="15" customHeight="1">
      <c r="A329" t="inlineStr">
        <is>
          <t>A 54493-2020</t>
        </is>
      </c>
      <c r="B329" s="1" t="n">
        <v>44126</v>
      </c>
      <c r="C329" s="1" t="n">
        <v>45811</v>
      </c>
      <c r="D329" t="inlineStr">
        <is>
          <t>SKÅNE LÄN</t>
        </is>
      </c>
      <c r="E329" t="inlineStr">
        <is>
          <t>HÄSSLEHOLM</t>
        </is>
      </c>
      <c r="F329" t="inlineStr">
        <is>
          <t>Kyrkan</t>
        </is>
      </c>
      <c r="G329" t="n">
        <v>4.4</v>
      </c>
      <c r="H329" t="n">
        <v>0</v>
      </c>
      <c r="I329" t="n">
        <v>0</v>
      </c>
      <c r="J329" t="n">
        <v>0</v>
      </c>
      <c r="K329" t="n">
        <v>0</v>
      </c>
      <c r="L329" t="n">
        <v>0</v>
      </c>
      <c r="M329" t="n">
        <v>0</v>
      </c>
      <c r="N329" t="n">
        <v>0</v>
      </c>
      <c r="O329" t="n">
        <v>0</v>
      </c>
      <c r="P329" t="n">
        <v>0</v>
      </c>
      <c r="Q329" t="n">
        <v>0</v>
      </c>
      <c r="R329" s="2" t="inlineStr"/>
    </row>
    <row r="330" ht="15" customHeight="1">
      <c r="A330" t="inlineStr">
        <is>
          <t>A 54359-2020</t>
        </is>
      </c>
      <c r="B330" s="1" t="n">
        <v>44126</v>
      </c>
      <c r="C330" s="1" t="n">
        <v>45811</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54365-2020</t>
        </is>
      </c>
      <c r="B331" s="1" t="n">
        <v>44126</v>
      </c>
      <c r="C331" s="1" t="n">
        <v>45811</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54374-2020</t>
        </is>
      </c>
      <c r="B332" s="1" t="n">
        <v>44126</v>
      </c>
      <c r="C332" s="1" t="n">
        <v>45811</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54362-2020</t>
        </is>
      </c>
      <c r="B333" s="1" t="n">
        <v>44126</v>
      </c>
      <c r="C333" s="1" t="n">
        <v>45811</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56158-2020</t>
        </is>
      </c>
      <c r="B334" s="1" t="n">
        <v>44133</v>
      </c>
      <c r="C334" s="1" t="n">
        <v>45811</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57811-2020</t>
        </is>
      </c>
      <c r="B335" s="1" t="n">
        <v>44141</v>
      </c>
      <c r="C335" s="1" t="n">
        <v>45811</v>
      </c>
      <c r="D335" t="inlineStr">
        <is>
          <t>SKÅNE LÄN</t>
        </is>
      </c>
      <c r="E335" t="inlineStr">
        <is>
          <t>HÄSSLEHOLM</t>
        </is>
      </c>
      <c r="G335" t="n">
        <v>2</v>
      </c>
      <c r="H335" t="n">
        <v>0</v>
      </c>
      <c r="I335" t="n">
        <v>0</v>
      </c>
      <c r="J335" t="n">
        <v>0</v>
      </c>
      <c r="K335" t="n">
        <v>0</v>
      </c>
      <c r="L335" t="n">
        <v>0</v>
      </c>
      <c r="M335" t="n">
        <v>0</v>
      </c>
      <c r="N335" t="n">
        <v>0</v>
      </c>
      <c r="O335" t="n">
        <v>0</v>
      </c>
      <c r="P335" t="n">
        <v>0</v>
      </c>
      <c r="Q335" t="n">
        <v>0</v>
      </c>
      <c r="R335" s="2" t="inlineStr"/>
    </row>
    <row r="336" ht="15" customHeight="1">
      <c r="A336" t="inlineStr">
        <is>
          <t>A 58091-2020</t>
        </is>
      </c>
      <c r="B336" s="1" t="n">
        <v>44144</v>
      </c>
      <c r="C336" s="1" t="n">
        <v>45811</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58509-2020</t>
        </is>
      </c>
      <c r="B337" s="1" t="n">
        <v>44144</v>
      </c>
      <c r="C337" s="1" t="n">
        <v>45811</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59295-2020</t>
        </is>
      </c>
      <c r="B338" s="1" t="n">
        <v>44147</v>
      </c>
      <c r="C338" s="1" t="n">
        <v>45811</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59302-2020</t>
        </is>
      </c>
      <c r="B339" s="1" t="n">
        <v>44147</v>
      </c>
      <c r="C339" s="1" t="n">
        <v>45811</v>
      </c>
      <c r="D339" t="inlineStr">
        <is>
          <t>SKÅNE LÄN</t>
        </is>
      </c>
      <c r="E339" t="inlineStr">
        <is>
          <t>HÄSSLEHOLM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59418-2020</t>
        </is>
      </c>
      <c r="B340" s="1" t="n">
        <v>44148</v>
      </c>
      <c r="C340" s="1" t="n">
        <v>45811</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59542-2020</t>
        </is>
      </c>
      <c r="B341" s="1" t="n">
        <v>44148</v>
      </c>
      <c r="C341" s="1" t="n">
        <v>45811</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60597-2020</t>
        </is>
      </c>
      <c r="B342" s="1" t="n">
        <v>44152</v>
      </c>
      <c r="C342" s="1" t="n">
        <v>45811</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61216-2020</t>
        </is>
      </c>
      <c r="B343" s="1" t="n">
        <v>44155</v>
      </c>
      <c r="C343" s="1" t="n">
        <v>45811</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61233-2020</t>
        </is>
      </c>
      <c r="B344" s="1" t="n">
        <v>44155</v>
      </c>
      <c r="C344" s="1" t="n">
        <v>45811</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62347-2020</t>
        </is>
      </c>
      <c r="B345" s="1" t="n">
        <v>44159</v>
      </c>
      <c r="C345" s="1" t="n">
        <v>45811</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62802-2020</t>
        </is>
      </c>
      <c r="B346" s="1" t="n">
        <v>44161</v>
      </c>
      <c r="C346" s="1" t="n">
        <v>45811</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62782-2020</t>
        </is>
      </c>
      <c r="B347" s="1" t="n">
        <v>44161</v>
      </c>
      <c r="C347" s="1" t="n">
        <v>45811</v>
      </c>
      <c r="D347" t="inlineStr">
        <is>
          <t>SKÅNE LÄN</t>
        </is>
      </c>
      <c r="E347" t="inlineStr">
        <is>
          <t>HÄSSLEHOLM</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62858-2020</t>
        </is>
      </c>
      <c r="B348" s="1" t="n">
        <v>44161</v>
      </c>
      <c r="C348" s="1" t="n">
        <v>45811</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64361-2020</t>
        </is>
      </c>
      <c r="B349" s="1" t="n">
        <v>44168</v>
      </c>
      <c r="C349" s="1" t="n">
        <v>45811</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64211-2020</t>
        </is>
      </c>
      <c r="B350" s="1" t="n">
        <v>44168</v>
      </c>
      <c r="C350" s="1" t="n">
        <v>45811</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45811</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66474-2020</t>
        </is>
      </c>
      <c r="B352" s="1" t="n">
        <v>44177</v>
      </c>
      <c r="C352" s="1" t="n">
        <v>45811</v>
      </c>
      <c r="D352" t="inlineStr">
        <is>
          <t>SKÅNE LÄN</t>
        </is>
      </c>
      <c r="E352" t="inlineStr">
        <is>
          <t>HÄSSLEHOLM</t>
        </is>
      </c>
      <c r="G352" t="n">
        <v>2.8</v>
      </c>
      <c r="H352" t="n">
        <v>0</v>
      </c>
      <c r="I352" t="n">
        <v>0</v>
      </c>
      <c r="J352" t="n">
        <v>0</v>
      </c>
      <c r="K352" t="n">
        <v>0</v>
      </c>
      <c r="L352" t="n">
        <v>0</v>
      </c>
      <c r="M352" t="n">
        <v>0</v>
      </c>
      <c r="N352" t="n">
        <v>0</v>
      </c>
      <c r="O352" t="n">
        <v>0</v>
      </c>
      <c r="P352" t="n">
        <v>0</v>
      </c>
      <c r="Q352" t="n">
        <v>0</v>
      </c>
      <c r="R352" s="2" t="inlineStr"/>
    </row>
    <row r="353" ht="15" customHeight="1">
      <c r="A353" t="inlineStr">
        <is>
          <t>A 66520-2020</t>
        </is>
      </c>
      <c r="B353" s="1" t="n">
        <v>44179</v>
      </c>
      <c r="C353" s="1" t="n">
        <v>45811</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67974-2020</t>
        </is>
      </c>
      <c r="B354" s="1" t="n">
        <v>44182</v>
      </c>
      <c r="C354" s="1" t="n">
        <v>45811</v>
      </c>
      <c r="D354" t="inlineStr">
        <is>
          <t>SKÅNE LÄN</t>
        </is>
      </c>
      <c r="E354" t="inlineStr">
        <is>
          <t>HÄSSLEHOLM</t>
        </is>
      </c>
      <c r="G354" t="n">
        <v>9</v>
      </c>
      <c r="H354" t="n">
        <v>0</v>
      </c>
      <c r="I354" t="n">
        <v>0</v>
      </c>
      <c r="J354" t="n">
        <v>0</v>
      </c>
      <c r="K354" t="n">
        <v>0</v>
      </c>
      <c r="L354" t="n">
        <v>0</v>
      </c>
      <c r="M354" t="n">
        <v>0</v>
      </c>
      <c r="N354" t="n">
        <v>0</v>
      </c>
      <c r="O354" t="n">
        <v>0</v>
      </c>
      <c r="P354" t="n">
        <v>0</v>
      </c>
      <c r="Q354" t="n">
        <v>0</v>
      </c>
      <c r="R354" s="2" t="inlineStr"/>
    </row>
    <row r="355" ht="15" customHeight="1">
      <c r="A355" t="inlineStr">
        <is>
          <t>A 68200-2020</t>
        </is>
      </c>
      <c r="B355" s="1" t="n">
        <v>44183</v>
      </c>
      <c r="C355" s="1" t="n">
        <v>45811</v>
      </c>
      <c r="D355" t="inlineStr">
        <is>
          <t>SKÅNE LÄN</t>
        </is>
      </c>
      <c r="E355" t="inlineStr">
        <is>
          <t>HÄSSLEHOLM</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68794-2020</t>
        </is>
      </c>
      <c r="B356" s="1" t="n">
        <v>44186</v>
      </c>
      <c r="C356" s="1" t="n">
        <v>45811</v>
      </c>
      <c r="D356" t="inlineStr">
        <is>
          <t>SKÅNE LÄN</t>
        </is>
      </c>
      <c r="E356" t="inlineStr">
        <is>
          <t>HÄSSLEHOLM</t>
        </is>
      </c>
      <c r="G356" t="n">
        <v>8.9</v>
      </c>
      <c r="H356" t="n">
        <v>0</v>
      </c>
      <c r="I356" t="n">
        <v>0</v>
      </c>
      <c r="J356" t="n">
        <v>0</v>
      </c>
      <c r="K356" t="n">
        <v>0</v>
      </c>
      <c r="L356" t="n">
        <v>0</v>
      </c>
      <c r="M356" t="n">
        <v>0</v>
      </c>
      <c r="N356" t="n">
        <v>0</v>
      </c>
      <c r="O356" t="n">
        <v>0</v>
      </c>
      <c r="P356" t="n">
        <v>0</v>
      </c>
      <c r="Q356" t="n">
        <v>0</v>
      </c>
      <c r="R356" s="2" t="inlineStr"/>
    </row>
    <row r="357" ht="15" customHeight="1">
      <c r="A357" t="inlineStr">
        <is>
          <t>A 69103-2020</t>
        </is>
      </c>
      <c r="B357" s="1" t="n">
        <v>44188</v>
      </c>
      <c r="C357" s="1" t="n">
        <v>45811</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69109-2020</t>
        </is>
      </c>
      <c r="B358" s="1" t="n">
        <v>44188</v>
      </c>
      <c r="C358" s="1" t="n">
        <v>45811</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69112-2020</t>
        </is>
      </c>
      <c r="B359" s="1" t="n">
        <v>44188</v>
      </c>
      <c r="C359" s="1" t="n">
        <v>45811</v>
      </c>
      <c r="D359" t="inlineStr">
        <is>
          <t>SKÅNE LÄN</t>
        </is>
      </c>
      <c r="E359" t="inlineStr">
        <is>
          <t>HÄSSLEHOLM</t>
        </is>
      </c>
      <c r="G359" t="n">
        <v>1.6</v>
      </c>
      <c r="H359" t="n">
        <v>0</v>
      </c>
      <c r="I359" t="n">
        <v>0</v>
      </c>
      <c r="J359" t="n">
        <v>0</v>
      </c>
      <c r="K359" t="n">
        <v>0</v>
      </c>
      <c r="L359" t="n">
        <v>0</v>
      </c>
      <c r="M359" t="n">
        <v>0</v>
      </c>
      <c r="N359" t="n">
        <v>0</v>
      </c>
      <c r="O359" t="n">
        <v>0</v>
      </c>
      <c r="P359" t="n">
        <v>0</v>
      </c>
      <c r="Q359" t="n">
        <v>0</v>
      </c>
      <c r="R359" s="2" t="inlineStr"/>
    </row>
    <row r="360" ht="15" customHeight="1">
      <c r="A360" t="inlineStr">
        <is>
          <t>A 69339-2020</t>
        </is>
      </c>
      <c r="B360" s="1" t="n">
        <v>44188</v>
      </c>
      <c r="C360" s="1" t="n">
        <v>45811</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69201-2020</t>
        </is>
      </c>
      <c r="B361" s="1" t="n">
        <v>44191</v>
      </c>
      <c r="C361" s="1" t="n">
        <v>45811</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69198-2020</t>
        </is>
      </c>
      <c r="B362" s="1" t="n">
        <v>44191</v>
      </c>
      <c r="C362" s="1" t="n">
        <v>45811</v>
      </c>
      <c r="D362" t="inlineStr">
        <is>
          <t>SKÅNE LÄN</t>
        </is>
      </c>
      <c r="E362" t="inlineStr">
        <is>
          <t>HÄSSLEHOLM</t>
        </is>
      </c>
      <c r="G362" t="n">
        <v>6.6</v>
      </c>
      <c r="H362" t="n">
        <v>0</v>
      </c>
      <c r="I362" t="n">
        <v>0</v>
      </c>
      <c r="J362" t="n">
        <v>0</v>
      </c>
      <c r="K362" t="n">
        <v>0</v>
      </c>
      <c r="L362" t="n">
        <v>0</v>
      </c>
      <c r="M362" t="n">
        <v>0</v>
      </c>
      <c r="N362" t="n">
        <v>0</v>
      </c>
      <c r="O362" t="n">
        <v>0</v>
      </c>
      <c r="P362" t="n">
        <v>0</v>
      </c>
      <c r="Q362" t="n">
        <v>0</v>
      </c>
      <c r="R362" s="2" t="inlineStr"/>
    </row>
    <row r="363" ht="15" customHeight="1">
      <c r="A363" t="inlineStr">
        <is>
          <t>A 69505-2020</t>
        </is>
      </c>
      <c r="B363" s="1" t="n">
        <v>44194</v>
      </c>
      <c r="C363" s="1" t="n">
        <v>45811</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69504-2020</t>
        </is>
      </c>
      <c r="B364" s="1" t="n">
        <v>44194</v>
      </c>
      <c r="C364" s="1" t="n">
        <v>45811</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69500-2020</t>
        </is>
      </c>
      <c r="B365" s="1" t="n">
        <v>44194</v>
      </c>
      <c r="C365" s="1" t="n">
        <v>45811</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47-2021</t>
        </is>
      </c>
      <c r="B366" s="1" t="n">
        <v>44199</v>
      </c>
      <c r="C366" s="1" t="n">
        <v>45811</v>
      </c>
      <c r="D366" t="inlineStr">
        <is>
          <t>SKÅNE LÄN</t>
        </is>
      </c>
      <c r="E366" t="inlineStr">
        <is>
          <t>HÄSSLEHOLM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197-2021</t>
        </is>
      </c>
      <c r="B367" s="1" t="n">
        <v>44200</v>
      </c>
      <c r="C367" s="1" t="n">
        <v>45811</v>
      </c>
      <c r="D367" t="inlineStr">
        <is>
          <t>SKÅNE LÄN</t>
        </is>
      </c>
      <c r="E367" t="inlineStr">
        <is>
          <t>HÄSSLEHOLM</t>
        </is>
      </c>
      <c r="G367" t="n">
        <v>12.9</v>
      </c>
      <c r="H367" t="n">
        <v>0</v>
      </c>
      <c r="I367" t="n">
        <v>0</v>
      </c>
      <c r="J367" t="n">
        <v>0</v>
      </c>
      <c r="K367" t="n">
        <v>0</v>
      </c>
      <c r="L367" t="n">
        <v>0</v>
      </c>
      <c r="M367" t="n">
        <v>0</v>
      </c>
      <c r="N367" t="n">
        <v>0</v>
      </c>
      <c r="O367" t="n">
        <v>0</v>
      </c>
      <c r="P367" t="n">
        <v>0</v>
      </c>
      <c r="Q367" t="n">
        <v>0</v>
      </c>
      <c r="R367" s="2" t="inlineStr"/>
    </row>
    <row r="368" ht="15" customHeight="1">
      <c r="A368" t="inlineStr">
        <is>
          <t>A 964-2021</t>
        </is>
      </c>
      <c r="B368" s="1" t="n">
        <v>44207</v>
      </c>
      <c r="C368" s="1" t="n">
        <v>45811</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1344-2021</t>
        </is>
      </c>
      <c r="B369" s="1" t="n">
        <v>44208</v>
      </c>
      <c r="C369" s="1" t="n">
        <v>45811</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1445-2021</t>
        </is>
      </c>
      <c r="B370" s="1" t="n">
        <v>44208</v>
      </c>
      <c r="C370" s="1" t="n">
        <v>45811</v>
      </c>
      <c r="D370" t="inlineStr">
        <is>
          <t>SKÅNE LÄN</t>
        </is>
      </c>
      <c r="E370" t="inlineStr">
        <is>
          <t>HÄSSLEHOLM</t>
        </is>
      </c>
      <c r="G370" t="n">
        <v>4.6</v>
      </c>
      <c r="H370" t="n">
        <v>0</v>
      </c>
      <c r="I370" t="n">
        <v>0</v>
      </c>
      <c r="J370" t="n">
        <v>0</v>
      </c>
      <c r="K370" t="n">
        <v>0</v>
      </c>
      <c r="L370" t="n">
        <v>0</v>
      </c>
      <c r="M370" t="n">
        <v>0</v>
      </c>
      <c r="N370" t="n">
        <v>0</v>
      </c>
      <c r="O370" t="n">
        <v>0</v>
      </c>
      <c r="P370" t="n">
        <v>0</v>
      </c>
      <c r="Q370" t="n">
        <v>0</v>
      </c>
      <c r="R370" s="2" t="inlineStr"/>
    </row>
    <row r="371" ht="15" customHeight="1">
      <c r="A371" t="inlineStr">
        <is>
          <t>A 1461-2021</t>
        </is>
      </c>
      <c r="B371" s="1" t="n">
        <v>44208</v>
      </c>
      <c r="C371" s="1" t="n">
        <v>45811</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2514-2021</t>
        </is>
      </c>
      <c r="B372" s="1" t="n">
        <v>44214</v>
      </c>
      <c r="C372" s="1" t="n">
        <v>45811</v>
      </c>
      <c r="D372" t="inlineStr">
        <is>
          <t>SKÅNE LÄN</t>
        </is>
      </c>
      <c r="E372" t="inlineStr">
        <is>
          <t>HÄSSLEHOLM</t>
        </is>
      </c>
      <c r="G372" t="n">
        <v>2.3</v>
      </c>
      <c r="H372" t="n">
        <v>0</v>
      </c>
      <c r="I372" t="n">
        <v>0</v>
      </c>
      <c r="J372" t="n">
        <v>0</v>
      </c>
      <c r="K372" t="n">
        <v>0</v>
      </c>
      <c r="L372" t="n">
        <v>0</v>
      </c>
      <c r="M372" t="n">
        <v>0</v>
      </c>
      <c r="N372" t="n">
        <v>0</v>
      </c>
      <c r="O372" t="n">
        <v>0</v>
      </c>
      <c r="P372" t="n">
        <v>0</v>
      </c>
      <c r="Q372" t="n">
        <v>0</v>
      </c>
      <c r="R372" s="2" t="inlineStr"/>
    </row>
    <row r="373" ht="15" customHeight="1">
      <c r="A373" t="inlineStr">
        <is>
          <t>A 2509-2021</t>
        </is>
      </c>
      <c r="B373" s="1" t="n">
        <v>44214</v>
      </c>
      <c r="C373" s="1" t="n">
        <v>45811</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2813-2021</t>
        </is>
      </c>
      <c r="B374" s="1" t="n">
        <v>44215</v>
      </c>
      <c r="C374" s="1" t="n">
        <v>45811</v>
      </c>
      <c r="D374" t="inlineStr">
        <is>
          <t>SKÅNE LÄN</t>
        </is>
      </c>
      <c r="E374" t="inlineStr">
        <is>
          <t>HÄSSLEHOLM</t>
        </is>
      </c>
      <c r="G374" t="n">
        <v>7.1</v>
      </c>
      <c r="H374" t="n">
        <v>0</v>
      </c>
      <c r="I374" t="n">
        <v>0</v>
      </c>
      <c r="J374" t="n">
        <v>0</v>
      </c>
      <c r="K374" t="n">
        <v>0</v>
      </c>
      <c r="L374" t="n">
        <v>0</v>
      </c>
      <c r="M374" t="n">
        <v>0</v>
      </c>
      <c r="N374" t="n">
        <v>0</v>
      </c>
      <c r="O374" t="n">
        <v>0</v>
      </c>
      <c r="P374" t="n">
        <v>0</v>
      </c>
      <c r="Q374" t="n">
        <v>0</v>
      </c>
      <c r="R374" s="2" t="inlineStr"/>
    </row>
    <row r="375" ht="15" customHeight="1">
      <c r="A375" t="inlineStr">
        <is>
          <t>A 2692-2021</t>
        </is>
      </c>
      <c r="B375" s="1" t="n">
        <v>44215</v>
      </c>
      <c r="C375" s="1" t="n">
        <v>45811</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2952-2021</t>
        </is>
      </c>
      <c r="B376" s="1" t="n">
        <v>44216</v>
      </c>
      <c r="C376" s="1" t="n">
        <v>45811</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3044-2021</t>
        </is>
      </c>
      <c r="B377" s="1" t="n">
        <v>44216</v>
      </c>
      <c r="C377" s="1" t="n">
        <v>45811</v>
      </c>
      <c r="D377" t="inlineStr">
        <is>
          <t>SKÅNE LÄN</t>
        </is>
      </c>
      <c r="E377" t="inlineStr">
        <is>
          <t>HÄSSLEHOLM</t>
        </is>
      </c>
      <c r="G377" t="n">
        <v>3.7</v>
      </c>
      <c r="H377" t="n">
        <v>0</v>
      </c>
      <c r="I377" t="n">
        <v>0</v>
      </c>
      <c r="J377" t="n">
        <v>0</v>
      </c>
      <c r="K377" t="n">
        <v>0</v>
      </c>
      <c r="L377" t="n">
        <v>0</v>
      </c>
      <c r="M377" t="n">
        <v>0</v>
      </c>
      <c r="N377" t="n">
        <v>0</v>
      </c>
      <c r="O377" t="n">
        <v>0</v>
      </c>
      <c r="P377" t="n">
        <v>0</v>
      </c>
      <c r="Q377" t="n">
        <v>0</v>
      </c>
      <c r="R377" s="2" t="inlineStr"/>
    </row>
    <row r="378" ht="15" customHeight="1">
      <c r="A378" t="inlineStr">
        <is>
          <t>A 3365-2021</t>
        </is>
      </c>
      <c r="B378" s="1" t="n">
        <v>44216</v>
      </c>
      <c r="C378" s="1" t="n">
        <v>45811</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3447-2021</t>
        </is>
      </c>
      <c r="B379" s="1" t="n">
        <v>44218</v>
      </c>
      <c r="C379" s="1" t="n">
        <v>45811</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3483-2021</t>
        </is>
      </c>
      <c r="B380" s="1" t="n">
        <v>44218</v>
      </c>
      <c r="C380" s="1" t="n">
        <v>45811</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3714-2021</t>
        </is>
      </c>
      <c r="B381" s="1" t="n">
        <v>44221</v>
      </c>
      <c r="C381" s="1" t="n">
        <v>45811</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3925-2021</t>
        </is>
      </c>
      <c r="B382" s="1" t="n">
        <v>44222</v>
      </c>
      <c r="C382" s="1" t="n">
        <v>45811</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3930-2021</t>
        </is>
      </c>
      <c r="B383" s="1" t="n">
        <v>44222</v>
      </c>
      <c r="C383" s="1" t="n">
        <v>45811</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4370-2021</t>
        </is>
      </c>
      <c r="B384" s="1" t="n">
        <v>44223</v>
      </c>
      <c r="C384" s="1" t="n">
        <v>45811</v>
      </c>
      <c r="D384" t="inlineStr">
        <is>
          <t>SKÅNE LÄN</t>
        </is>
      </c>
      <c r="E384" t="inlineStr">
        <is>
          <t>HÄSSLEHOLM</t>
        </is>
      </c>
      <c r="G384" t="n">
        <v>2.6</v>
      </c>
      <c r="H384" t="n">
        <v>0</v>
      </c>
      <c r="I384" t="n">
        <v>0</v>
      </c>
      <c r="J384" t="n">
        <v>0</v>
      </c>
      <c r="K384" t="n">
        <v>0</v>
      </c>
      <c r="L384" t="n">
        <v>0</v>
      </c>
      <c r="M384" t="n">
        <v>0</v>
      </c>
      <c r="N384" t="n">
        <v>0</v>
      </c>
      <c r="O384" t="n">
        <v>0</v>
      </c>
      <c r="P384" t="n">
        <v>0</v>
      </c>
      <c r="Q384" t="n">
        <v>0</v>
      </c>
      <c r="R384" s="2" t="inlineStr"/>
    </row>
    <row r="385" ht="15" customHeight="1">
      <c r="A385" t="inlineStr">
        <is>
          <t>A 5476-2021</t>
        </is>
      </c>
      <c r="B385" s="1" t="n">
        <v>44230</v>
      </c>
      <c r="C385" s="1" t="n">
        <v>45811</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5478-2021</t>
        </is>
      </c>
      <c r="B386" s="1" t="n">
        <v>44230</v>
      </c>
      <c r="C386" s="1" t="n">
        <v>45811</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6122-2021</t>
        </is>
      </c>
      <c r="B387" s="1" t="n">
        <v>44232</v>
      </c>
      <c r="C387" s="1" t="n">
        <v>45811</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6180-2021</t>
        </is>
      </c>
      <c r="B388" s="1" t="n">
        <v>44232</v>
      </c>
      <c r="C388" s="1" t="n">
        <v>45811</v>
      </c>
      <c r="D388" t="inlineStr">
        <is>
          <t>SKÅNE LÄN</t>
        </is>
      </c>
      <c r="E388" t="inlineStr">
        <is>
          <t>HÄSSLEHOLM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6327-2021</t>
        </is>
      </c>
      <c r="B389" s="1" t="n">
        <v>44235</v>
      </c>
      <c r="C389" s="1" t="n">
        <v>45811</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6638-2021</t>
        </is>
      </c>
      <c r="B390" s="1" t="n">
        <v>44235</v>
      </c>
      <c r="C390" s="1" t="n">
        <v>45811</v>
      </c>
      <c r="D390" t="inlineStr">
        <is>
          <t>SKÅNE LÄN</t>
        </is>
      </c>
      <c r="E390" t="inlineStr">
        <is>
          <t>HÄSSLEHOLM</t>
        </is>
      </c>
      <c r="G390" t="n">
        <v>112.4</v>
      </c>
      <c r="H390" t="n">
        <v>0</v>
      </c>
      <c r="I390" t="n">
        <v>0</v>
      </c>
      <c r="J390" t="n">
        <v>0</v>
      </c>
      <c r="K390" t="n">
        <v>0</v>
      </c>
      <c r="L390" t="n">
        <v>0</v>
      </c>
      <c r="M390" t="n">
        <v>0</v>
      </c>
      <c r="N390" t="n">
        <v>0</v>
      </c>
      <c r="O390" t="n">
        <v>0</v>
      </c>
      <c r="P390" t="n">
        <v>0</v>
      </c>
      <c r="Q390" t="n">
        <v>0</v>
      </c>
      <c r="R390" s="2" t="inlineStr"/>
    </row>
    <row r="391" ht="15" customHeight="1">
      <c r="A391" t="inlineStr">
        <is>
          <t>A 6583-2021</t>
        </is>
      </c>
      <c r="B391" s="1" t="n">
        <v>44236</v>
      </c>
      <c r="C391" s="1" t="n">
        <v>45811</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6596-2021</t>
        </is>
      </c>
      <c r="B392" s="1" t="n">
        <v>44236</v>
      </c>
      <c r="C392" s="1" t="n">
        <v>45811</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6791-2021</t>
        </is>
      </c>
      <c r="B393" s="1" t="n">
        <v>44236</v>
      </c>
      <c r="C393" s="1" t="n">
        <v>45811</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6804-2021</t>
        </is>
      </c>
      <c r="B394" s="1" t="n">
        <v>44236</v>
      </c>
      <c r="C394" s="1" t="n">
        <v>45811</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7248-2021</t>
        </is>
      </c>
      <c r="B395" s="1" t="n">
        <v>44236</v>
      </c>
      <c r="C395" s="1" t="n">
        <v>45811</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6962-2021</t>
        </is>
      </c>
      <c r="B396" s="1" t="n">
        <v>44237</v>
      </c>
      <c r="C396" s="1" t="n">
        <v>45811</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6967-2021</t>
        </is>
      </c>
      <c r="B397" s="1" t="n">
        <v>44237</v>
      </c>
      <c r="C397" s="1" t="n">
        <v>45811</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6973-2021</t>
        </is>
      </c>
      <c r="B398" s="1" t="n">
        <v>44237</v>
      </c>
      <c r="C398" s="1" t="n">
        <v>45811</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6965-2021</t>
        </is>
      </c>
      <c r="B399" s="1" t="n">
        <v>44237</v>
      </c>
      <c r="C399" s="1" t="n">
        <v>45811</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7522-2021</t>
        </is>
      </c>
      <c r="B400" s="1" t="n">
        <v>44238</v>
      </c>
      <c r="C400" s="1" t="n">
        <v>45811</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7701-2021</t>
        </is>
      </c>
      <c r="B401" s="1" t="n">
        <v>44242</v>
      </c>
      <c r="C401" s="1" t="n">
        <v>45811</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7655-2021</t>
        </is>
      </c>
      <c r="B402" s="1" t="n">
        <v>44242</v>
      </c>
      <c r="C402" s="1" t="n">
        <v>45811</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7692-2021</t>
        </is>
      </c>
      <c r="B403" s="1" t="n">
        <v>44242</v>
      </c>
      <c r="C403" s="1" t="n">
        <v>45811</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7729-2021</t>
        </is>
      </c>
      <c r="B404" s="1" t="n">
        <v>44242</v>
      </c>
      <c r="C404" s="1" t="n">
        <v>45811</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7771-2021</t>
        </is>
      </c>
      <c r="B405" s="1" t="n">
        <v>44242</v>
      </c>
      <c r="C405" s="1" t="n">
        <v>45811</v>
      </c>
      <c r="D405" t="inlineStr">
        <is>
          <t>SKÅNE LÄN</t>
        </is>
      </c>
      <c r="E405" t="inlineStr">
        <is>
          <t>HÄSSLEHOLM</t>
        </is>
      </c>
      <c r="G405" t="n">
        <v>4.2</v>
      </c>
      <c r="H405" t="n">
        <v>0</v>
      </c>
      <c r="I405" t="n">
        <v>0</v>
      </c>
      <c r="J405" t="n">
        <v>0</v>
      </c>
      <c r="K405" t="n">
        <v>0</v>
      </c>
      <c r="L405" t="n">
        <v>0</v>
      </c>
      <c r="M405" t="n">
        <v>0</v>
      </c>
      <c r="N405" t="n">
        <v>0</v>
      </c>
      <c r="O405" t="n">
        <v>0</v>
      </c>
      <c r="P405" t="n">
        <v>0</v>
      </c>
      <c r="Q405" t="n">
        <v>0</v>
      </c>
      <c r="R405" s="2" t="inlineStr"/>
    </row>
    <row r="406" ht="15" customHeight="1">
      <c r="A406" t="inlineStr">
        <is>
          <t>A 8278-2021</t>
        </is>
      </c>
      <c r="B406" s="1" t="n">
        <v>44244</v>
      </c>
      <c r="C406" s="1" t="n">
        <v>45811</v>
      </c>
      <c r="D406" t="inlineStr">
        <is>
          <t>SKÅNE LÄN</t>
        </is>
      </c>
      <c r="E406" t="inlineStr">
        <is>
          <t>HÄSSLEHOLM</t>
        </is>
      </c>
      <c r="F406" t="inlineStr">
        <is>
          <t>Kyrkan</t>
        </is>
      </c>
      <c r="G406" t="n">
        <v>1.4</v>
      </c>
      <c r="H406" t="n">
        <v>0</v>
      </c>
      <c r="I406" t="n">
        <v>0</v>
      </c>
      <c r="J406" t="n">
        <v>0</v>
      </c>
      <c r="K406" t="n">
        <v>0</v>
      </c>
      <c r="L406" t="n">
        <v>0</v>
      </c>
      <c r="M406" t="n">
        <v>0</v>
      </c>
      <c r="N406" t="n">
        <v>0</v>
      </c>
      <c r="O406" t="n">
        <v>0</v>
      </c>
      <c r="P406" t="n">
        <v>0</v>
      </c>
      <c r="Q406" t="n">
        <v>0</v>
      </c>
      <c r="R406" s="2" t="inlineStr"/>
    </row>
    <row r="407" ht="15" customHeight="1">
      <c r="A407" t="inlineStr">
        <is>
          <t>A 8695-2021</t>
        </is>
      </c>
      <c r="B407" s="1" t="n">
        <v>44246</v>
      </c>
      <c r="C407" s="1" t="n">
        <v>45811</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9257-2021</t>
        </is>
      </c>
      <c r="B408" s="1" t="n">
        <v>44250</v>
      </c>
      <c r="C408" s="1" t="n">
        <v>45811</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9453-2021</t>
        </is>
      </c>
      <c r="B409" s="1" t="n">
        <v>44251</v>
      </c>
      <c r="C409" s="1" t="n">
        <v>45811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9885-2021</t>
        </is>
      </c>
      <c r="B410" s="1" t="n">
        <v>44253</v>
      </c>
      <c r="C410" s="1" t="n">
        <v>45811</v>
      </c>
      <c r="D410" t="inlineStr">
        <is>
          <t>SKÅNE LÄN</t>
        </is>
      </c>
      <c r="E410" t="inlineStr">
        <is>
          <t>HÄSSLEHOLM</t>
        </is>
      </c>
      <c r="G410" t="n">
        <v>2.4</v>
      </c>
      <c r="H410" t="n">
        <v>0</v>
      </c>
      <c r="I410" t="n">
        <v>0</v>
      </c>
      <c r="J410" t="n">
        <v>0</v>
      </c>
      <c r="K410" t="n">
        <v>0</v>
      </c>
      <c r="L410" t="n">
        <v>0</v>
      </c>
      <c r="M410" t="n">
        <v>0</v>
      </c>
      <c r="N410" t="n">
        <v>0</v>
      </c>
      <c r="O410" t="n">
        <v>0</v>
      </c>
      <c r="P410" t="n">
        <v>0</v>
      </c>
      <c r="Q410" t="n">
        <v>0</v>
      </c>
      <c r="R410" s="2" t="inlineStr"/>
    </row>
    <row r="411" ht="15" customHeight="1">
      <c r="A411" t="inlineStr">
        <is>
          <t>A 9880-2021</t>
        </is>
      </c>
      <c r="B411" s="1" t="n">
        <v>44253</v>
      </c>
      <c r="C411" s="1" t="n">
        <v>45811</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11260-2021</t>
        </is>
      </c>
      <c r="B412" s="1" t="n">
        <v>44263</v>
      </c>
      <c r="C412" s="1" t="n">
        <v>45811</v>
      </c>
      <c r="D412" t="inlineStr">
        <is>
          <t>SKÅNE LÄN</t>
        </is>
      </c>
      <c r="E412" t="inlineStr">
        <is>
          <t>HÄSSLEHOLM</t>
        </is>
      </c>
      <c r="G412" t="n">
        <v>5.4</v>
      </c>
      <c r="H412" t="n">
        <v>0</v>
      </c>
      <c r="I412" t="n">
        <v>0</v>
      </c>
      <c r="J412" t="n">
        <v>0</v>
      </c>
      <c r="K412" t="n">
        <v>0</v>
      </c>
      <c r="L412" t="n">
        <v>0</v>
      </c>
      <c r="M412" t="n">
        <v>0</v>
      </c>
      <c r="N412" t="n">
        <v>0</v>
      </c>
      <c r="O412" t="n">
        <v>0</v>
      </c>
      <c r="P412" t="n">
        <v>0</v>
      </c>
      <c r="Q412" t="n">
        <v>0</v>
      </c>
      <c r="R412" s="2" t="inlineStr"/>
    </row>
    <row r="413" ht="15" customHeight="1">
      <c r="A413" t="inlineStr">
        <is>
          <t>A 11616-2021</t>
        </is>
      </c>
      <c r="B413" s="1" t="n">
        <v>44264</v>
      </c>
      <c r="C413" s="1" t="n">
        <v>45811</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12617-2021</t>
        </is>
      </c>
      <c r="B414" s="1" t="n">
        <v>44270</v>
      </c>
      <c r="C414" s="1" t="n">
        <v>45811</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13063-2021</t>
        </is>
      </c>
      <c r="B415" s="1" t="n">
        <v>44272</v>
      </c>
      <c r="C415" s="1" t="n">
        <v>45811</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13711-2021</t>
        </is>
      </c>
      <c r="B416" s="1" t="n">
        <v>44274</v>
      </c>
      <c r="C416" s="1" t="n">
        <v>45811</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13808-2021</t>
        </is>
      </c>
      <c r="B417" s="1" t="n">
        <v>44276</v>
      </c>
      <c r="C417" s="1" t="n">
        <v>45811</v>
      </c>
      <c r="D417" t="inlineStr">
        <is>
          <t>SKÅNE LÄN</t>
        </is>
      </c>
      <c r="E417" t="inlineStr">
        <is>
          <t>HÄSSLEHOLM</t>
        </is>
      </c>
      <c r="G417" t="n">
        <v>10.3</v>
      </c>
      <c r="H417" t="n">
        <v>0</v>
      </c>
      <c r="I417" t="n">
        <v>0</v>
      </c>
      <c r="J417" t="n">
        <v>0</v>
      </c>
      <c r="K417" t="n">
        <v>0</v>
      </c>
      <c r="L417" t="n">
        <v>0</v>
      </c>
      <c r="M417" t="n">
        <v>0</v>
      </c>
      <c r="N417" t="n">
        <v>0</v>
      </c>
      <c r="O417" t="n">
        <v>0</v>
      </c>
      <c r="P417" t="n">
        <v>0</v>
      </c>
      <c r="Q417" t="n">
        <v>0</v>
      </c>
      <c r="R417" s="2" t="inlineStr"/>
    </row>
    <row r="418" ht="15" customHeight="1">
      <c r="A418" t="inlineStr">
        <is>
          <t>A 13811-2021</t>
        </is>
      </c>
      <c r="B418" s="1" t="n">
        <v>44276</v>
      </c>
      <c r="C418" s="1" t="n">
        <v>45811</v>
      </c>
      <c r="D418" t="inlineStr">
        <is>
          <t>SKÅNE LÄN</t>
        </is>
      </c>
      <c r="E418" t="inlineStr">
        <is>
          <t>HÄSSLEHOLM</t>
        </is>
      </c>
      <c r="G418" t="n">
        <v>8</v>
      </c>
      <c r="H418" t="n">
        <v>0</v>
      </c>
      <c r="I418" t="n">
        <v>0</v>
      </c>
      <c r="J418" t="n">
        <v>0</v>
      </c>
      <c r="K418" t="n">
        <v>0</v>
      </c>
      <c r="L418" t="n">
        <v>0</v>
      </c>
      <c r="M418" t="n">
        <v>0</v>
      </c>
      <c r="N418" t="n">
        <v>0</v>
      </c>
      <c r="O418" t="n">
        <v>0</v>
      </c>
      <c r="P418" t="n">
        <v>0</v>
      </c>
      <c r="Q418" t="n">
        <v>0</v>
      </c>
      <c r="R418" s="2" t="inlineStr"/>
    </row>
    <row r="419" ht="15" customHeight="1">
      <c r="A419" t="inlineStr">
        <is>
          <t>A 14054-2021</t>
        </is>
      </c>
      <c r="B419" s="1" t="n">
        <v>44277</v>
      </c>
      <c r="C419" s="1" t="n">
        <v>45811</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13982-2021</t>
        </is>
      </c>
      <c r="B420" s="1" t="n">
        <v>44277</v>
      </c>
      <c r="C420" s="1" t="n">
        <v>45811</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14157-2021</t>
        </is>
      </c>
      <c r="B421" s="1" t="n">
        <v>44278</v>
      </c>
      <c r="C421" s="1" t="n">
        <v>45811</v>
      </c>
      <c r="D421" t="inlineStr">
        <is>
          <t>SKÅNE LÄN</t>
        </is>
      </c>
      <c r="E421" t="inlineStr">
        <is>
          <t>HÄSSLEHOLM</t>
        </is>
      </c>
      <c r="G421" t="n">
        <v>10.5</v>
      </c>
      <c r="H421" t="n">
        <v>0</v>
      </c>
      <c r="I421" t="n">
        <v>0</v>
      </c>
      <c r="J421" t="n">
        <v>0</v>
      </c>
      <c r="K421" t="n">
        <v>0</v>
      </c>
      <c r="L421" t="n">
        <v>0</v>
      </c>
      <c r="M421" t="n">
        <v>0</v>
      </c>
      <c r="N421" t="n">
        <v>0</v>
      </c>
      <c r="O421" t="n">
        <v>0</v>
      </c>
      <c r="P421" t="n">
        <v>0</v>
      </c>
      <c r="Q421" t="n">
        <v>0</v>
      </c>
      <c r="R421" s="2" t="inlineStr"/>
    </row>
    <row r="422" ht="15" customHeight="1">
      <c r="A422" t="inlineStr">
        <is>
          <t>A 17497-2021</t>
        </is>
      </c>
      <c r="B422" s="1" t="n">
        <v>44299</v>
      </c>
      <c r="C422" s="1" t="n">
        <v>45811</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18011-2021</t>
        </is>
      </c>
      <c r="B423" s="1" t="n">
        <v>44302</v>
      </c>
      <c r="C423" s="1" t="n">
        <v>45811</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18523-2021</t>
        </is>
      </c>
      <c r="B424" s="1" t="n">
        <v>44305</v>
      </c>
      <c r="C424" s="1" t="n">
        <v>45811</v>
      </c>
      <c r="D424" t="inlineStr">
        <is>
          <t>SKÅNE LÄN</t>
        </is>
      </c>
      <c r="E424" t="inlineStr">
        <is>
          <t>HÄSSLEHOLM</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18511-2021</t>
        </is>
      </c>
      <c r="B425" s="1" t="n">
        <v>44305</v>
      </c>
      <c r="C425" s="1" t="n">
        <v>45811</v>
      </c>
      <c r="D425" t="inlineStr">
        <is>
          <t>SKÅNE LÄN</t>
        </is>
      </c>
      <c r="E425" t="inlineStr">
        <is>
          <t>HÄSSLEHOLM</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18515-2021</t>
        </is>
      </c>
      <c r="B426" s="1" t="n">
        <v>44305</v>
      </c>
      <c r="C426" s="1" t="n">
        <v>45811</v>
      </c>
      <c r="D426" t="inlineStr">
        <is>
          <t>SKÅNE LÄN</t>
        </is>
      </c>
      <c r="E426" t="inlineStr">
        <is>
          <t>HÄSSLEHOLM</t>
        </is>
      </c>
      <c r="F426" t="inlineStr">
        <is>
          <t>Övriga Aktiebolag</t>
        </is>
      </c>
      <c r="G426" t="n">
        <v>0.5</v>
      </c>
      <c r="H426" t="n">
        <v>0</v>
      </c>
      <c r="I426" t="n">
        <v>0</v>
      </c>
      <c r="J426" t="n">
        <v>0</v>
      </c>
      <c r="K426" t="n">
        <v>0</v>
      </c>
      <c r="L426" t="n">
        <v>0</v>
      </c>
      <c r="M426" t="n">
        <v>0</v>
      </c>
      <c r="N426" t="n">
        <v>0</v>
      </c>
      <c r="O426" t="n">
        <v>0</v>
      </c>
      <c r="P426" t="n">
        <v>0</v>
      </c>
      <c r="Q426" t="n">
        <v>0</v>
      </c>
      <c r="R426" s="2" t="inlineStr"/>
    </row>
    <row r="427" ht="15" customHeight="1">
      <c r="A427" t="inlineStr">
        <is>
          <t>A 18528-2021</t>
        </is>
      </c>
      <c r="B427" s="1" t="n">
        <v>44305</v>
      </c>
      <c r="C427" s="1" t="n">
        <v>45811</v>
      </c>
      <c r="D427" t="inlineStr">
        <is>
          <t>SKÅNE LÄN</t>
        </is>
      </c>
      <c r="E427" t="inlineStr">
        <is>
          <t>HÄSSLEHOLM</t>
        </is>
      </c>
      <c r="F427" t="inlineStr">
        <is>
          <t>Övriga Aktiebolag</t>
        </is>
      </c>
      <c r="G427" t="n">
        <v>4.6</v>
      </c>
      <c r="H427" t="n">
        <v>0</v>
      </c>
      <c r="I427" t="n">
        <v>0</v>
      </c>
      <c r="J427" t="n">
        <v>0</v>
      </c>
      <c r="K427" t="n">
        <v>0</v>
      </c>
      <c r="L427" t="n">
        <v>0</v>
      </c>
      <c r="M427" t="n">
        <v>0</v>
      </c>
      <c r="N427" t="n">
        <v>0</v>
      </c>
      <c r="O427" t="n">
        <v>0</v>
      </c>
      <c r="P427" t="n">
        <v>0</v>
      </c>
      <c r="Q427" t="n">
        <v>0</v>
      </c>
      <c r="R427" s="2" t="inlineStr"/>
    </row>
    <row r="428" ht="15" customHeight="1">
      <c r="A428" t="inlineStr">
        <is>
          <t>A 18648-2021</t>
        </is>
      </c>
      <c r="B428" s="1" t="n">
        <v>44306</v>
      </c>
      <c r="C428" s="1" t="n">
        <v>45811</v>
      </c>
      <c r="D428" t="inlineStr">
        <is>
          <t>SKÅNE LÄN</t>
        </is>
      </c>
      <c r="E428" t="inlineStr">
        <is>
          <t>HÄSSLEHOLM</t>
        </is>
      </c>
      <c r="G428" t="n">
        <v>2.5</v>
      </c>
      <c r="H428" t="n">
        <v>0</v>
      </c>
      <c r="I428" t="n">
        <v>0</v>
      </c>
      <c r="J428" t="n">
        <v>0</v>
      </c>
      <c r="K428" t="n">
        <v>0</v>
      </c>
      <c r="L428" t="n">
        <v>0</v>
      </c>
      <c r="M428" t="n">
        <v>0</v>
      </c>
      <c r="N428" t="n">
        <v>0</v>
      </c>
      <c r="O428" t="n">
        <v>0</v>
      </c>
      <c r="P428" t="n">
        <v>0</v>
      </c>
      <c r="Q428" t="n">
        <v>0</v>
      </c>
      <c r="R428" s="2" t="inlineStr"/>
    </row>
    <row r="429" ht="15" customHeight="1">
      <c r="A429" t="inlineStr">
        <is>
          <t>A 19449-2021</t>
        </is>
      </c>
      <c r="B429" s="1" t="n">
        <v>44310</v>
      </c>
      <c r="C429" s="1" t="n">
        <v>45811</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20510-2021</t>
        </is>
      </c>
      <c r="B430" s="1" t="n">
        <v>44315</v>
      </c>
      <c r="C430" s="1" t="n">
        <v>45811</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20435-2021</t>
        </is>
      </c>
      <c r="B431" s="1" t="n">
        <v>44315</v>
      </c>
      <c r="C431" s="1" t="n">
        <v>45811</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20513-2021</t>
        </is>
      </c>
      <c r="B432" s="1" t="n">
        <v>44315</v>
      </c>
      <c r="C432" s="1" t="n">
        <v>45811</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20648-2021</t>
        </is>
      </c>
      <c r="B433" s="1" t="n">
        <v>44316</v>
      </c>
      <c r="C433" s="1" t="n">
        <v>45811</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20659-2021</t>
        </is>
      </c>
      <c r="B434" s="1" t="n">
        <v>44316</v>
      </c>
      <c r="C434" s="1" t="n">
        <v>45811</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21715-2021</t>
        </is>
      </c>
      <c r="B435" s="1" t="n">
        <v>44316</v>
      </c>
      <c r="C435" s="1" t="n">
        <v>45811</v>
      </c>
      <c r="D435" t="inlineStr">
        <is>
          <t>SKÅNE LÄN</t>
        </is>
      </c>
      <c r="E435" t="inlineStr">
        <is>
          <t>HÄSSLEHOLM</t>
        </is>
      </c>
      <c r="G435" t="n">
        <v>9.5</v>
      </c>
      <c r="H435" t="n">
        <v>0</v>
      </c>
      <c r="I435" t="n">
        <v>0</v>
      </c>
      <c r="J435" t="n">
        <v>0</v>
      </c>
      <c r="K435" t="n">
        <v>0</v>
      </c>
      <c r="L435" t="n">
        <v>0</v>
      </c>
      <c r="M435" t="n">
        <v>0</v>
      </c>
      <c r="N435" t="n">
        <v>0</v>
      </c>
      <c r="O435" t="n">
        <v>0</v>
      </c>
      <c r="P435" t="n">
        <v>0</v>
      </c>
      <c r="Q435" t="n">
        <v>0</v>
      </c>
      <c r="R435" s="2" t="inlineStr"/>
    </row>
    <row r="436" ht="15" customHeight="1">
      <c r="A436" t="inlineStr">
        <is>
          <t>A 21028-2021</t>
        </is>
      </c>
      <c r="B436" s="1" t="n">
        <v>44319</v>
      </c>
      <c r="C436" s="1" t="n">
        <v>45811</v>
      </c>
      <c r="D436" t="inlineStr">
        <is>
          <t>SKÅNE LÄN</t>
        </is>
      </c>
      <c r="E436" t="inlineStr">
        <is>
          <t>HÄSSLEHOLM</t>
        </is>
      </c>
      <c r="G436" t="n">
        <v>3.1</v>
      </c>
      <c r="H436" t="n">
        <v>0</v>
      </c>
      <c r="I436" t="n">
        <v>0</v>
      </c>
      <c r="J436" t="n">
        <v>0</v>
      </c>
      <c r="K436" t="n">
        <v>0</v>
      </c>
      <c r="L436" t="n">
        <v>0</v>
      </c>
      <c r="M436" t="n">
        <v>0</v>
      </c>
      <c r="N436" t="n">
        <v>0</v>
      </c>
      <c r="O436" t="n">
        <v>0</v>
      </c>
      <c r="P436" t="n">
        <v>0</v>
      </c>
      <c r="Q436" t="n">
        <v>0</v>
      </c>
      <c r="R436" s="2" t="inlineStr"/>
    </row>
    <row r="437" ht="15" customHeight="1">
      <c r="A437" t="inlineStr">
        <is>
          <t>A 21029-2021</t>
        </is>
      </c>
      <c r="B437" s="1" t="n">
        <v>44319</v>
      </c>
      <c r="C437" s="1" t="n">
        <v>45811</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21535-2021</t>
        </is>
      </c>
      <c r="B438" s="1" t="n">
        <v>44321</v>
      </c>
      <c r="C438" s="1" t="n">
        <v>45811</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22320-2021</t>
        </is>
      </c>
      <c r="B439" s="1" t="n">
        <v>44323</v>
      </c>
      <c r="C439" s="1" t="n">
        <v>45811</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22423-2021</t>
        </is>
      </c>
      <c r="B440" s="1" t="n">
        <v>44326</v>
      </c>
      <c r="C440" s="1" t="n">
        <v>45811</v>
      </c>
      <c r="D440" t="inlineStr">
        <is>
          <t>SKÅNE LÄN</t>
        </is>
      </c>
      <c r="E440" t="inlineStr">
        <is>
          <t>HÄSSLEHOLM</t>
        </is>
      </c>
      <c r="F440" t="inlineStr">
        <is>
          <t>Övriga Aktiebolag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22541-2021</t>
        </is>
      </c>
      <c r="B441" s="1" t="n">
        <v>44326</v>
      </c>
      <c r="C441" s="1" t="n">
        <v>45811</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23003-2021</t>
        </is>
      </c>
      <c r="B442" s="1" t="n">
        <v>44328</v>
      </c>
      <c r="C442" s="1" t="n">
        <v>45811</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22899-2021</t>
        </is>
      </c>
      <c r="B443" s="1" t="n">
        <v>44328</v>
      </c>
      <c r="C443" s="1" t="n">
        <v>45811</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22907-2021</t>
        </is>
      </c>
      <c r="B444" s="1" t="n">
        <v>44328</v>
      </c>
      <c r="C444" s="1" t="n">
        <v>45811</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45811</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23106-2021</t>
        </is>
      </c>
      <c r="B446" s="1" t="n">
        <v>44330</v>
      </c>
      <c r="C446" s="1" t="n">
        <v>45811</v>
      </c>
      <c r="D446" t="inlineStr">
        <is>
          <t>SKÅNE LÄN</t>
        </is>
      </c>
      <c r="E446" t="inlineStr">
        <is>
          <t>HÄSSLEHOLM</t>
        </is>
      </c>
      <c r="G446" t="n">
        <v>2.5</v>
      </c>
      <c r="H446" t="n">
        <v>0</v>
      </c>
      <c r="I446" t="n">
        <v>0</v>
      </c>
      <c r="J446" t="n">
        <v>0</v>
      </c>
      <c r="K446" t="n">
        <v>0</v>
      </c>
      <c r="L446" t="n">
        <v>0</v>
      </c>
      <c r="M446" t="n">
        <v>0</v>
      </c>
      <c r="N446" t="n">
        <v>0</v>
      </c>
      <c r="O446" t="n">
        <v>0</v>
      </c>
      <c r="P446" t="n">
        <v>0</v>
      </c>
      <c r="Q446" t="n">
        <v>0</v>
      </c>
      <c r="R446" s="2" t="inlineStr"/>
    </row>
    <row r="447" ht="15" customHeight="1">
      <c r="A447" t="inlineStr">
        <is>
          <t>A 23830-2021</t>
        </is>
      </c>
      <c r="B447" s="1" t="n">
        <v>44335</v>
      </c>
      <c r="C447" s="1" t="n">
        <v>45811</v>
      </c>
      <c r="D447" t="inlineStr">
        <is>
          <t>SKÅNE LÄN</t>
        </is>
      </c>
      <c r="E447" t="inlineStr">
        <is>
          <t>HÄSSLEHOLM</t>
        </is>
      </c>
      <c r="G447" t="n">
        <v>18.7</v>
      </c>
      <c r="H447" t="n">
        <v>0</v>
      </c>
      <c r="I447" t="n">
        <v>0</v>
      </c>
      <c r="J447" t="n">
        <v>0</v>
      </c>
      <c r="K447" t="n">
        <v>0</v>
      </c>
      <c r="L447" t="n">
        <v>0</v>
      </c>
      <c r="M447" t="n">
        <v>0</v>
      </c>
      <c r="N447" t="n">
        <v>0</v>
      </c>
      <c r="O447" t="n">
        <v>0</v>
      </c>
      <c r="P447" t="n">
        <v>0</v>
      </c>
      <c r="Q447" t="n">
        <v>0</v>
      </c>
      <c r="R447" s="2" t="inlineStr"/>
    </row>
    <row r="448" ht="15" customHeight="1">
      <c r="A448" t="inlineStr">
        <is>
          <t>A 23837-2021</t>
        </is>
      </c>
      <c r="B448" s="1" t="n">
        <v>44335</v>
      </c>
      <c r="C448" s="1" t="n">
        <v>45811</v>
      </c>
      <c r="D448" t="inlineStr">
        <is>
          <t>SKÅNE LÄN</t>
        </is>
      </c>
      <c r="E448" t="inlineStr">
        <is>
          <t>HÄSSLEHOLM</t>
        </is>
      </c>
      <c r="G448" t="n">
        <v>7.6</v>
      </c>
      <c r="H448" t="n">
        <v>0</v>
      </c>
      <c r="I448" t="n">
        <v>0</v>
      </c>
      <c r="J448" t="n">
        <v>0</v>
      </c>
      <c r="K448" t="n">
        <v>0</v>
      </c>
      <c r="L448" t="n">
        <v>0</v>
      </c>
      <c r="M448" t="n">
        <v>0</v>
      </c>
      <c r="N448" t="n">
        <v>0</v>
      </c>
      <c r="O448" t="n">
        <v>0</v>
      </c>
      <c r="P448" t="n">
        <v>0</v>
      </c>
      <c r="Q448" t="n">
        <v>0</v>
      </c>
      <c r="R448" s="2" t="inlineStr"/>
    </row>
    <row r="449" ht="15" customHeight="1">
      <c r="A449" t="inlineStr">
        <is>
          <t>A 23841-2021</t>
        </is>
      </c>
      <c r="B449" s="1" t="n">
        <v>44335</v>
      </c>
      <c r="C449" s="1" t="n">
        <v>45811</v>
      </c>
      <c r="D449" t="inlineStr">
        <is>
          <t>SKÅNE LÄN</t>
        </is>
      </c>
      <c r="E449" t="inlineStr">
        <is>
          <t>HÄSSLEHOLM</t>
        </is>
      </c>
      <c r="G449" t="n">
        <v>16.9</v>
      </c>
      <c r="H449" t="n">
        <v>0</v>
      </c>
      <c r="I449" t="n">
        <v>0</v>
      </c>
      <c r="J449" t="n">
        <v>0</v>
      </c>
      <c r="K449" t="n">
        <v>0</v>
      </c>
      <c r="L449" t="n">
        <v>0</v>
      </c>
      <c r="M449" t="n">
        <v>0</v>
      </c>
      <c r="N449" t="n">
        <v>0</v>
      </c>
      <c r="O449" t="n">
        <v>0</v>
      </c>
      <c r="P449" t="n">
        <v>0</v>
      </c>
      <c r="Q449" t="n">
        <v>0</v>
      </c>
      <c r="R449" s="2" t="inlineStr"/>
    </row>
    <row r="450" ht="15" customHeight="1">
      <c r="A450" t="inlineStr">
        <is>
          <t>A 23826-2021</t>
        </is>
      </c>
      <c r="B450" s="1" t="n">
        <v>44335</v>
      </c>
      <c r="C450" s="1" t="n">
        <v>45811</v>
      </c>
      <c r="D450" t="inlineStr">
        <is>
          <t>SKÅNE LÄN</t>
        </is>
      </c>
      <c r="E450" t="inlineStr">
        <is>
          <t>HÄSSLEHOLM</t>
        </is>
      </c>
      <c r="G450" t="n">
        <v>6.5</v>
      </c>
      <c r="H450" t="n">
        <v>0</v>
      </c>
      <c r="I450" t="n">
        <v>0</v>
      </c>
      <c r="J450" t="n">
        <v>0</v>
      </c>
      <c r="K450" t="n">
        <v>0</v>
      </c>
      <c r="L450" t="n">
        <v>0</v>
      </c>
      <c r="M450" t="n">
        <v>0</v>
      </c>
      <c r="N450" t="n">
        <v>0</v>
      </c>
      <c r="O450" t="n">
        <v>0</v>
      </c>
      <c r="P450" t="n">
        <v>0</v>
      </c>
      <c r="Q450" t="n">
        <v>0</v>
      </c>
      <c r="R450" s="2" t="inlineStr"/>
    </row>
    <row r="451" ht="15" customHeight="1">
      <c r="A451" t="inlineStr">
        <is>
          <t>A 24498-2021</t>
        </is>
      </c>
      <c r="B451" s="1" t="n">
        <v>44337</v>
      </c>
      <c r="C451" s="1" t="n">
        <v>45811</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24496-2021</t>
        </is>
      </c>
      <c r="B452" s="1" t="n">
        <v>44337</v>
      </c>
      <c r="C452" s="1" t="n">
        <v>45811</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25383-2021</t>
        </is>
      </c>
      <c r="B453" s="1" t="n">
        <v>44342</v>
      </c>
      <c r="C453" s="1" t="n">
        <v>45811</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25379-2021</t>
        </is>
      </c>
      <c r="B454" s="1" t="n">
        <v>44342</v>
      </c>
      <c r="C454" s="1" t="n">
        <v>45811</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25788-2021</t>
        </is>
      </c>
      <c r="B455" s="1" t="n">
        <v>44343</v>
      </c>
      <c r="C455" s="1" t="n">
        <v>45811</v>
      </c>
      <c r="D455" t="inlineStr">
        <is>
          <t>SKÅNE LÄN</t>
        </is>
      </c>
      <c r="E455" t="inlineStr">
        <is>
          <t>HÄSSLEHOLM</t>
        </is>
      </c>
      <c r="G455" t="n">
        <v>4.8</v>
      </c>
      <c r="H455" t="n">
        <v>0</v>
      </c>
      <c r="I455" t="n">
        <v>0</v>
      </c>
      <c r="J455" t="n">
        <v>0</v>
      </c>
      <c r="K455" t="n">
        <v>0</v>
      </c>
      <c r="L455" t="n">
        <v>0</v>
      </c>
      <c r="M455" t="n">
        <v>0</v>
      </c>
      <c r="N455" t="n">
        <v>0</v>
      </c>
      <c r="O455" t="n">
        <v>0</v>
      </c>
      <c r="P455" t="n">
        <v>0</v>
      </c>
      <c r="Q455" t="n">
        <v>0</v>
      </c>
      <c r="R455" s="2" t="inlineStr"/>
    </row>
    <row r="456" ht="15" customHeight="1">
      <c r="A456" t="inlineStr">
        <is>
          <t>A 26207-2021</t>
        </is>
      </c>
      <c r="B456" s="1" t="n">
        <v>44347</v>
      </c>
      <c r="C456" s="1" t="n">
        <v>45811</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27137-2021</t>
        </is>
      </c>
      <c r="B457" s="1" t="n">
        <v>44350</v>
      </c>
      <c r="C457" s="1" t="n">
        <v>45811</v>
      </c>
      <c r="D457" t="inlineStr">
        <is>
          <t>SKÅNE LÄN</t>
        </is>
      </c>
      <c r="E457" t="inlineStr">
        <is>
          <t>HÄSSLEHOLM</t>
        </is>
      </c>
      <c r="G457" t="n">
        <v>2.4</v>
      </c>
      <c r="H457" t="n">
        <v>0</v>
      </c>
      <c r="I457" t="n">
        <v>0</v>
      </c>
      <c r="J457" t="n">
        <v>0</v>
      </c>
      <c r="K457" t="n">
        <v>0</v>
      </c>
      <c r="L457" t="n">
        <v>0</v>
      </c>
      <c r="M457" t="n">
        <v>0</v>
      </c>
      <c r="N457" t="n">
        <v>0</v>
      </c>
      <c r="O457" t="n">
        <v>0</v>
      </c>
      <c r="P457" t="n">
        <v>0</v>
      </c>
      <c r="Q457" t="n">
        <v>0</v>
      </c>
      <c r="R457" s="2" t="inlineStr"/>
    </row>
    <row r="458" ht="15" customHeight="1">
      <c r="A458" t="inlineStr">
        <is>
          <t>A 27197-2021</t>
        </is>
      </c>
      <c r="B458" s="1" t="n">
        <v>44350</v>
      </c>
      <c r="C458" s="1" t="n">
        <v>45811</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27330-2021</t>
        </is>
      </c>
      <c r="B459" s="1" t="n">
        <v>44351</v>
      </c>
      <c r="C459" s="1" t="n">
        <v>45811</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29143-2021</t>
        </is>
      </c>
      <c r="B460" s="1" t="n">
        <v>44358</v>
      </c>
      <c r="C460" s="1" t="n">
        <v>45811</v>
      </c>
      <c r="D460" t="inlineStr">
        <is>
          <t>SKÅNE LÄN</t>
        </is>
      </c>
      <c r="E460" t="inlineStr">
        <is>
          <t>HÄSSLEHOLM</t>
        </is>
      </c>
      <c r="G460" t="n">
        <v>2.9</v>
      </c>
      <c r="H460" t="n">
        <v>0</v>
      </c>
      <c r="I460" t="n">
        <v>0</v>
      </c>
      <c r="J460" t="n">
        <v>0</v>
      </c>
      <c r="K460" t="n">
        <v>0</v>
      </c>
      <c r="L460" t="n">
        <v>0</v>
      </c>
      <c r="M460" t="n">
        <v>0</v>
      </c>
      <c r="N460" t="n">
        <v>0</v>
      </c>
      <c r="O460" t="n">
        <v>0</v>
      </c>
      <c r="P460" t="n">
        <v>0</v>
      </c>
      <c r="Q460" t="n">
        <v>0</v>
      </c>
      <c r="R460" s="2" t="inlineStr"/>
    </row>
    <row r="461" ht="15" customHeight="1">
      <c r="A461" t="inlineStr">
        <is>
          <t>A 30879-2021</t>
        </is>
      </c>
      <c r="B461" s="1" t="n">
        <v>44365</v>
      </c>
      <c r="C461" s="1" t="n">
        <v>45811</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30992-2021</t>
        </is>
      </c>
      <c r="B462" s="1" t="n">
        <v>44366</v>
      </c>
      <c r="C462" s="1" t="n">
        <v>45811</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32792-2021</t>
        </is>
      </c>
      <c r="B463" s="1" t="n">
        <v>44375</v>
      </c>
      <c r="C463" s="1" t="n">
        <v>45811</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32892-2021</t>
        </is>
      </c>
      <c r="B464" s="1" t="n">
        <v>44375</v>
      </c>
      <c r="C464" s="1" t="n">
        <v>45811</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32794-2021</t>
        </is>
      </c>
      <c r="B465" s="1" t="n">
        <v>44375</v>
      </c>
      <c r="C465" s="1" t="n">
        <v>45811</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32967-2021</t>
        </is>
      </c>
      <c r="B466" s="1" t="n">
        <v>44376</v>
      </c>
      <c r="C466" s="1" t="n">
        <v>45811</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33736-2021</t>
        </is>
      </c>
      <c r="B467" s="1" t="n">
        <v>44378</v>
      </c>
      <c r="C467" s="1" t="n">
        <v>45811</v>
      </c>
      <c r="D467" t="inlineStr">
        <is>
          <t>SKÅNE LÄN</t>
        </is>
      </c>
      <c r="E467" t="inlineStr">
        <is>
          <t>HÄSSLEHOLM</t>
        </is>
      </c>
      <c r="G467" t="n">
        <v>7.6</v>
      </c>
      <c r="H467" t="n">
        <v>0</v>
      </c>
      <c r="I467" t="n">
        <v>0</v>
      </c>
      <c r="J467" t="n">
        <v>0</v>
      </c>
      <c r="K467" t="n">
        <v>0</v>
      </c>
      <c r="L467" t="n">
        <v>0</v>
      </c>
      <c r="M467" t="n">
        <v>0</v>
      </c>
      <c r="N467" t="n">
        <v>0</v>
      </c>
      <c r="O467" t="n">
        <v>0</v>
      </c>
      <c r="P467" t="n">
        <v>0</v>
      </c>
      <c r="Q467" t="n">
        <v>0</v>
      </c>
      <c r="R467" s="2" t="inlineStr"/>
    </row>
    <row r="468" ht="15" customHeight="1">
      <c r="A468" t="inlineStr">
        <is>
          <t>A 33873-2021</t>
        </is>
      </c>
      <c r="B468" s="1" t="n">
        <v>44378</v>
      </c>
      <c r="C468" s="1" t="n">
        <v>45811</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33927-2021</t>
        </is>
      </c>
      <c r="B469" s="1" t="n">
        <v>44378</v>
      </c>
      <c r="C469" s="1" t="n">
        <v>45811</v>
      </c>
      <c r="D469" t="inlineStr">
        <is>
          <t>SKÅNE LÄN</t>
        </is>
      </c>
      <c r="E469" t="inlineStr">
        <is>
          <t>HÄSSLEHOLM</t>
        </is>
      </c>
      <c r="G469" t="n">
        <v>16.7</v>
      </c>
      <c r="H469" t="n">
        <v>0</v>
      </c>
      <c r="I469" t="n">
        <v>0</v>
      </c>
      <c r="J469" t="n">
        <v>0</v>
      </c>
      <c r="K469" t="n">
        <v>0</v>
      </c>
      <c r="L469" t="n">
        <v>0</v>
      </c>
      <c r="M469" t="n">
        <v>0</v>
      </c>
      <c r="N469" t="n">
        <v>0</v>
      </c>
      <c r="O469" t="n">
        <v>0</v>
      </c>
      <c r="P469" t="n">
        <v>0</v>
      </c>
      <c r="Q469" t="n">
        <v>0</v>
      </c>
      <c r="R469" s="2" t="inlineStr"/>
    </row>
    <row r="470" ht="15" customHeight="1">
      <c r="A470" t="inlineStr">
        <is>
          <t>A 34027-2021</t>
        </is>
      </c>
      <c r="B470" s="1" t="n">
        <v>44379</v>
      </c>
      <c r="C470" s="1" t="n">
        <v>45811</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34342-2021</t>
        </is>
      </c>
      <c r="B471" s="1" t="n">
        <v>44379</v>
      </c>
      <c r="C471" s="1" t="n">
        <v>45811</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34679-2021</t>
        </is>
      </c>
      <c r="B472" s="1" t="n">
        <v>44382</v>
      </c>
      <c r="C472" s="1" t="n">
        <v>45811</v>
      </c>
      <c r="D472" t="inlineStr">
        <is>
          <t>SKÅNE LÄN</t>
        </is>
      </c>
      <c r="E472" t="inlineStr">
        <is>
          <t>HÄSSLEHOLM</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34684-2021</t>
        </is>
      </c>
      <c r="B473" s="1" t="n">
        <v>44382</v>
      </c>
      <c r="C473" s="1" t="n">
        <v>45811</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37141-2021</t>
        </is>
      </c>
      <c r="B474" s="1" t="n">
        <v>44396</v>
      </c>
      <c r="C474" s="1" t="n">
        <v>45811</v>
      </c>
      <c r="D474" t="inlineStr">
        <is>
          <t>SKÅNE LÄN</t>
        </is>
      </c>
      <c r="E474" t="inlineStr">
        <is>
          <t>HÄSSLEHOLM</t>
        </is>
      </c>
      <c r="G474" t="n">
        <v>12.8</v>
      </c>
      <c r="H474" t="n">
        <v>0</v>
      </c>
      <c r="I474" t="n">
        <v>0</v>
      </c>
      <c r="J474" t="n">
        <v>0</v>
      </c>
      <c r="K474" t="n">
        <v>0</v>
      </c>
      <c r="L474" t="n">
        <v>0</v>
      </c>
      <c r="M474" t="n">
        <v>0</v>
      </c>
      <c r="N474" t="n">
        <v>0</v>
      </c>
      <c r="O474" t="n">
        <v>0</v>
      </c>
      <c r="P474" t="n">
        <v>0</v>
      </c>
      <c r="Q474" t="n">
        <v>0</v>
      </c>
      <c r="R474" s="2" t="inlineStr"/>
    </row>
    <row r="475" ht="15" customHeight="1">
      <c r="A475" t="inlineStr">
        <is>
          <t>A 37334-2021</t>
        </is>
      </c>
      <c r="B475" s="1" t="n">
        <v>44397</v>
      </c>
      <c r="C475" s="1" t="n">
        <v>45811</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37898-2021</t>
        </is>
      </c>
      <c r="B476" s="1" t="n">
        <v>44403</v>
      </c>
      <c r="C476" s="1" t="n">
        <v>45811</v>
      </c>
      <c r="D476" t="inlineStr">
        <is>
          <t>SKÅNE LÄN</t>
        </is>
      </c>
      <c r="E476" t="inlineStr">
        <is>
          <t>HÄSSLEHOLM</t>
        </is>
      </c>
      <c r="F476" t="inlineStr">
        <is>
          <t>Kommuner</t>
        </is>
      </c>
      <c r="G476" t="n">
        <v>8.4</v>
      </c>
      <c r="H476" t="n">
        <v>0</v>
      </c>
      <c r="I476" t="n">
        <v>0</v>
      </c>
      <c r="J476" t="n">
        <v>0</v>
      </c>
      <c r="K476" t="n">
        <v>0</v>
      </c>
      <c r="L476" t="n">
        <v>0</v>
      </c>
      <c r="M476" t="n">
        <v>0</v>
      </c>
      <c r="N476" t="n">
        <v>0</v>
      </c>
      <c r="O476" t="n">
        <v>0</v>
      </c>
      <c r="P476" t="n">
        <v>0</v>
      </c>
      <c r="Q476" t="n">
        <v>0</v>
      </c>
      <c r="R476" s="2" t="inlineStr"/>
    </row>
    <row r="477" ht="15" customHeight="1">
      <c r="A477" t="inlineStr">
        <is>
          <t>A 38228-2021</t>
        </is>
      </c>
      <c r="B477" s="1" t="n">
        <v>44405</v>
      </c>
      <c r="C477" s="1" t="n">
        <v>45811</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38160-2021</t>
        </is>
      </c>
      <c r="B478" s="1" t="n">
        <v>44405</v>
      </c>
      <c r="C478" s="1" t="n">
        <v>45811</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38372-2021</t>
        </is>
      </c>
      <c r="B479" s="1" t="n">
        <v>44406</v>
      </c>
      <c r="C479" s="1" t="n">
        <v>45811</v>
      </c>
      <c r="D479" t="inlineStr">
        <is>
          <t>SKÅNE LÄN</t>
        </is>
      </c>
      <c r="E479" t="inlineStr">
        <is>
          <t>HÄSSLEHOLM</t>
        </is>
      </c>
      <c r="F479" t="inlineStr">
        <is>
          <t>Kommuner</t>
        </is>
      </c>
      <c r="G479" t="n">
        <v>2.7</v>
      </c>
      <c r="H479" t="n">
        <v>0</v>
      </c>
      <c r="I479" t="n">
        <v>0</v>
      </c>
      <c r="J479" t="n">
        <v>0</v>
      </c>
      <c r="K479" t="n">
        <v>0</v>
      </c>
      <c r="L479" t="n">
        <v>0</v>
      </c>
      <c r="M479" t="n">
        <v>0</v>
      </c>
      <c r="N479" t="n">
        <v>0</v>
      </c>
      <c r="O479" t="n">
        <v>0</v>
      </c>
      <c r="P479" t="n">
        <v>0</v>
      </c>
      <c r="Q479" t="n">
        <v>0</v>
      </c>
      <c r="R479" s="2" t="inlineStr"/>
    </row>
    <row r="480" ht="15" customHeight="1">
      <c r="A480" t="inlineStr">
        <is>
          <t>A 40342-2021</t>
        </is>
      </c>
      <c r="B480" s="1" t="n">
        <v>44419</v>
      </c>
      <c r="C480" s="1" t="n">
        <v>45811</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40702-2021</t>
        </is>
      </c>
      <c r="B481" s="1" t="n">
        <v>44420</v>
      </c>
      <c r="C481" s="1" t="n">
        <v>45811</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41581-2021</t>
        </is>
      </c>
      <c r="B482" s="1" t="n">
        <v>44425</v>
      </c>
      <c r="C482" s="1" t="n">
        <v>45811</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41998-2021</t>
        </is>
      </c>
      <c r="B483" s="1" t="n">
        <v>44425</v>
      </c>
      <c r="C483" s="1" t="n">
        <v>45811</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42776-2021</t>
        </is>
      </c>
      <c r="B484" s="1" t="n">
        <v>44428</v>
      </c>
      <c r="C484" s="1" t="n">
        <v>45811</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43639-2021</t>
        </is>
      </c>
      <c r="B485" s="1" t="n">
        <v>44433</v>
      </c>
      <c r="C485" s="1" t="n">
        <v>45811</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44262-2021</t>
        </is>
      </c>
      <c r="B486" s="1" t="n">
        <v>44434</v>
      </c>
      <c r="C486" s="1" t="n">
        <v>45811</v>
      </c>
      <c r="D486" t="inlineStr">
        <is>
          <t>SKÅNE LÄN</t>
        </is>
      </c>
      <c r="E486" t="inlineStr">
        <is>
          <t>HÄSSLEHOLM</t>
        </is>
      </c>
      <c r="G486" t="n">
        <v>4.7</v>
      </c>
      <c r="H486" t="n">
        <v>0</v>
      </c>
      <c r="I486" t="n">
        <v>0</v>
      </c>
      <c r="J486" t="n">
        <v>0</v>
      </c>
      <c r="K486" t="n">
        <v>0</v>
      </c>
      <c r="L486" t="n">
        <v>0</v>
      </c>
      <c r="M486" t="n">
        <v>0</v>
      </c>
      <c r="N486" t="n">
        <v>0</v>
      </c>
      <c r="O486" t="n">
        <v>0</v>
      </c>
      <c r="P486" t="n">
        <v>0</v>
      </c>
      <c r="Q486" t="n">
        <v>0</v>
      </c>
      <c r="R486" s="2" t="inlineStr"/>
    </row>
    <row r="487" ht="15" customHeight="1">
      <c r="A487" t="inlineStr">
        <is>
          <t>A 44328-2021</t>
        </is>
      </c>
      <c r="B487" s="1" t="n">
        <v>44435</v>
      </c>
      <c r="C487" s="1" t="n">
        <v>45811</v>
      </c>
      <c r="D487" t="inlineStr">
        <is>
          <t>SKÅNE LÄN</t>
        </is>
      </c>
      <c r="E487" t="inlineStr">
        <is>
          <t>HÄSSLEHOLM</t>
        </is>
      </c>
      <c r="G487" t="n">
        <v>2.7</v>
      </c>
      <c r="H487" t="n">
        <v>0</v>
      </c>
      <c r="I487" t="n">
        <v>0</v>
      </c>
      <c r="J487" t="n">
        <v>0</v>
      </c>
      <c r="K487" t="n">
        <v>0</v>
      </c>
      <c r="L487" t="n">
        <v>0</v>
      </c>
      <c r="M487" t="n">
        <v>0</v>
      </c>
      <c r="N487" t="n">
        <v>0</v>
      </c>
      <c r="O487" t="n">
        <v>0</v>
      </c>
      <c r="P487" t="n">
        <v>0</v>
      </c>
      <c r="Q487" t="n">
        <v>0</v>
      </c>
      <c r="R487" s="2" t="inlineStr"/>
    </row>
    <row r="488" ht="15" customHeight="1">
      <c r="A488" t="inlineStr">
        <is>
          <t>A 44755-2021</t>
        </is>
      </c>
      <c r="B488" s="1" t="n">
        <v>44438</v>
      </c>
      <c r="C488" s="1" t="n">
        <v>45811</v>
      </c>
      <c r="D488" t="inlineStr">
        <is>
          <t>SKÅNE LÄN</t>
        </is>
      </c>
      <c r="E488" t="inlineStr">
        <is>
          <t>HÄSSLEHOLM</t>
        </is>
      </c>
      <c r="G488" t="n">
        <v>0.3</v>
      </c>
      <c r="H488" t="n">
        <v>0</v>
      </c>
      <c r="I488" t="n">
        <v>0</v>
      </c>
      <c r="J488" t="n">
        <v>0</v>
      </c>
      <c r="K488" t="n">
        <v>0</v>
      </c>
      <c r="L488" t="n">
        <v>0</v>
      </c>
      <c r="M488" t="n">
        <v>0</v>
      </c>
      <c r="N488" t="n">
        <v>0</v>
      </c>
      <c r="O488" t="n">
        <v>0</v>
      </c>
      <c r="P488" t="n">
        <v>0</v>
      </c>
      <c r="Q488" t="n">
        <v>0</v>
      </c>
      <c r="R488" s="2" t="inlineStr"/>
    </row>
    <row r="489" ht="15" customHeight="1">
      <c r="A489" t="inlineStr">
        <is>
          <t>A 44697-2021</t>
        </is>
      </c>
      <c r="B489" s="1" t="n">
        <v>44438</v>
      </c>
      <c r="C489" s="1" t="n">
        <v>45811</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44770-2021</t>
        </is>
      </c>
      <c r="B490" s="1" t="n">
        <v>44438</v>
      </c>
      <c r="C490" s="1" t="n">
        <v>45811</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44794-2021</t>
        </is>
      </c>
      <c r="B491" s="1" t="n">
        <v>44438</v>
      </c>
      <c r="C491" s="1" t="n">
        <v>45811</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45284-2021</t>
        </is>
      </c>
      <c r="B492" s="1" t="n">
        <v>44439</v>
      </c>
      <c r="C492" s="1" t="n">
        <v>45811</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45814-2021</t>
        </is>
      </c>
      <c r="B493" s="1" t="n">
        <v>44441</v>
      </c>
      <c r="C493" s="1" t="n">
        <v>45811</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45984-2021</t>
        </is>
      </c>
      <c r="B494" s="1" t="n">
        <v>44441</v>
      </c>
      <c r="C494" s="1" t="n">
        <v>45811</v>
      </c>
      <c r="D494" t="inlineStr">
        <is>
          <t>SKÅNE LÄN</t>
        </is>
      </c>
      <c r="E494" t="inlineStr">
        <is>
          <t>HÄSSLEHOLM</t>
        </is>
      </c>
      <c r="G494" t="n">
        <v>2.1</v>
      </c>
      <c r="H494" t="n">
        <v>0</v>
      </c>
      <c r="I494" t="n">
        <v>0</v>
      </c>
      <c r="J494" t="n">
        <v>0</v>
      </c>
      <c r="K494" t="n">
        <v>0</v>
      </c>
      <c r="L494" t="n">
        <v>0</v>
      </c>
      <c r="M494" t="n">
        <v>0</v>
      </c>
      <c r="N494" t="n">
        <v>0</v>
      </c>
      <c r="O494" t="n">
        <v>0</v>
      </c>
      <c r="P494" t="n">
        <v>0</v>
      </c>
      <c r="Q494" t="n">
        <v>0</v>
      </c>
      <c r="R494" s="2" t="inlineStr"/>
    </row>
    <row r="495" ht="15" customHeight="1">
      <c r="A495" t="inlineStr">
        <is>
          <t>A 45989-2021</t>
        </is>
      </c>
      <c r="B495" s="1" t="n">
        <v>44441</v>
      </c>
      <c r="C495" s="1" t="n">
        <v>45811</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46000-2021</t>
        </is>
      </c>
      <c r="B496" s="1" t="n">
        <v>44441</v>
      </c>
      <c r="C496" s="1" t="n">
        <v>45811</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47112-2021</t>
        </is>
      </c>
      <c r="B497" s="1" t="n">
        <v>44446</v>
      </c>
      <c r="C497" s="1" t="n">
        <v>45811</v>
      </c>
      <c r="D497" t="inlineStr">
        <is>
          <t>SKÅNE LÄN</t>
        </is>
      </c>
      <c r="E497" t="inlineStr">
        <is>
          <t>HÄSSLEHOLM</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47737-2021</t>
        </is>
      </c>
      <c r="B498" s="1" t="n">
        <v>44448</v>
      </c>
      <c r="C498" s="1" t="n">
        <v>45811</v>
      </c>
      <c r="D498" t="inlineStr">
        <is>
          <t>SKÅNE LÄN</t>
        </is>
      </c>
      <c r="E498" t="inlineStr">
        <is>
          <t>HÄSSLEHOLM</t>
        </is>
      </c>
      <c r="G498" t="n">
        <v>6.1</v>
      </c>
      <c r="H498" t="n">
        <v>0</v>
      </c>
      <c r="I498" t="n">
        <v>0</v>
      </c>
      <c r="J498" t="n">
        <v>0</v>
      </c>
      <c r="K498" t="n">
        <v>0</v>
      </c>
      <c r="L498" t="n">
        <v>0</v>
      </c>
      <c r="M498" t="n">
        <v>0</v>
      </c>
      <c r="N498" t="n">
        <v>0</v>
      </c>
      <c r="O498" t="n">
        <v>0</v>
      </c>
      <c r="P498" t="n">
        <v>0</v>
      </c>
      <c r="Q498" t="n">
        <v>0</v>
      </c>
      <c r="R498" s="2" t="inlineStr"/>
    </row>
    <row r="499" ht="15" customHeight="1">
      <c r="A499" t="inlineStr">
        <is>
          <t>A 47907-2021</t>
        </is>
      </c>
      <c r="B499" s="1" t="n">
        <v>44448</v>
      </c>
      <c r="C499" s="1" t="n">
        <v>45811</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47906-2021</t>
        </is>
      </c>
      <c r="B500" s="1" t="n">
        <v>44448</v>
      </c>
      <c r="C500" s="1" t="n">
        <v>45811</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48191-2021</t>
        </is>
      </c>
      <c r="B501" s="1" t="n">
        <v>44449</v>
      </c>
      <c r="C501" s="1" t="n">
        <v>45811</v>
      </c>
      <c r="D501" t="inlineStr">
        <is>
          <t>SKÅNE LÄN</t>
        </is>
      </c>
      <c r="E501" t="inlineStr">
        <is>
          <t>HÄSSLEHOLM</t>
        </is>
      </c>
      <c r="G501" t="n">
        <v>6</v>
      </c>
      <c r="H501" t="n">
        <v>0</v>
      </c>
      <c r="I501" t="n">
        <v>0</v>
      </c>
      <c r="J501" t="n">
        <v>0</v>
      </c>
      <c r="K501" t="n">
        <v>0</v>
      </c>
      <c r="L501" t="n">
        <v>0</v>
      </c>
      <c r="M501" t="n">
        <v>0</v>
      </c>
      <c r="N501" t="n">
        <v>0</v>
      </c>
      <c r="O501" t="n">
        <v>0</v>
      </c>
      <c r="P501" t="n">
        <v>0</v>
      </c>
      <c r="Q501" t="n">
        <v>0</v>
      </c>
      <c r="R501" s="2" t="inlineStr"/>
    </row>
    <row r="502" ht="15" customHeight="1">
      <c r="A502" t="inlineStr">
        <is>
          <t>A 48313-2021</t>
        </is>
      </c>
      <c r="B502" s="1" t="n">
        <v>44450</v>
      </c>
      <c r="C502" s="1" t="n">
        <v>45811</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48553-2021</t>
        </is>
      </c>
      <c r="B503" s="1" t="n">
        <v>44452</v>
      </c>
      <c r="C503" s="1" t="n">
        <v>45811</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48624-2021</t>
        </is>
      </c>
      <c r="B504" s="1" t="n">
        <v>44452</v>
      </c>
      <c r="C504" s="1" t="n">
        <v>45811</v>
      </c>
      <c r="D504" t="inlineStr">
        <is>
          <t>SKÅNE LÄN</t>
        </is>
      </c>
      <c r="E504" t="inlineStr">
        <is>
          <t>HÄSSLEHOLM</t>
        </is>
      </c>
      <c r="G504" t="n">
        <v>2.2</v>
      </c>
      <c r="H504" t="n">
        <v>0</v>
      </c>
      <c r="I504" t="n">
        <v>0</v>
      </c>
      <c r="J504" t="n">
        <v>0</v>
      </c>
      <c r="K504" t="n">
        <v>0</v>
      </c>
      <c r="L504" t="n">
        <v>0</v>
      </c>
      <c r="M504" t="n">
        <v>0</v>
      </c>
      <c r="N504" t="n">
        <v>0</v>
      </c>
      <c r="O504" t="n">
        <v>0</v>
      </c>
      <c r="P504" t="n">
        <v>0</v>
      </c>
      <c r="Q504" t="n">
        <v>0</v>
      </c>
      <c r="R504" s="2" t="inlineStr"/>
    </row>
    <row r="505" ht="15" customHeight="1">
      <c r="A505" t="inlineStr">
        <is>
          <t>A 48807-2021</t>
        </is>
      </c>
      <c r="B505" s="1" t="n">
        <v>44452</v>
      </c>
      <c r="C505" s="1" t="n">
        <v>45811</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48631-2021</t>
        </is>
      </c>
      <c r="B506" s="1" t="n">
        <v>44452</v>
      </c>
      <c r="C506" s="1" t="n">
        <v>45811</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49219-2021</t>
        </is>
      </c>
      <c r="B507" s="1" t="n">
        <v>44454</v>
      </c>
      <c r="C507" s="1" t="n">
        <v>45811</v>
      </c>
      <c r="D507" t="inlineStr">
        <is>
          <t>SKÅNE LÄN</t>
        </is>
      </c>
      <c r="E507" t="inlineStr">
        <is>
          <t>HÄSSLEHOLM</t>
        </is>
      </c>
      <c r="G507" t="n">
        <v>7.8</v>
      </c>
      <c r="H507" t="n">
        <v>0</v>
      </c>
      <c r="I507" t="n">
        <v>0</v>
      </c>
      <c r="J507" t="n">
        <v>0</v>
      </c>
      <c r="K507" t="n">
        <v>0</v>
      </c>
      <c r="L507" t="n">
        <v>0</v>
      </c>
      <c r="M507" t="n">
        <v>0</v>
      </c>
      <c r="N507" t="n">
        <v>0</v>
      </c>
      <c r="O507" t="n">
        <v>0</v>
      </c>
      <c r="P507" t="n">
        <v>0</v>
      </c>
      <c r="Q507" t="n">
        <v>0</v>
      </c>
      <c r="R507" s="2" t="inlineStr"/>
    </row>
    <row r="508" ht="15" customHeight="1">
      <c r="A508" t="inlineStr">
        <is>
          <t>A 49324-2021</t>
        </is>
      </c>
      <c r="B508" s="1" t="n">
        <v>44454</v>
      </c>
      <c r="C508" s="1" t="n">
        <v>45811</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45811</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49384-2021</t>
        </is>
      </c>
      <c r="B510" s="1" t="n">
        <v>44454</v>
      </c>
      <c r="C510" s="1" t="n">
        <v>45811</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49381-2021</t>
        </is>
      </c>
      <c r="B511" s="1" t="n">
        <v>44454</v>
      </c>
      <c r="C511" s="1" t="n">
        <v>45811</v>
      </c>
      <c r="D511" t="inlineStr">
        <is>
          <t>SKÅNE LÄN</t>
        </is>
      </c>
      <c r="E511" t="inlineStr">
        <is>
          <t>HÄSSLEHOLM</t>
        </is>
      </c>
      <c r="G511" t="n">
        <v>2.1</v>
      </c>
      <c r="H511" t="n">
        <v>0</v>
      </c>
      <c r="I511" t="n">
        <v>0</v>
      </c>
      <c r="J511" t="n">
        <v>0</v>
      </c>
      <c r="K511" t="n">
        <v>0</v>
      </c>
      <c r="L511" t="n">
        <v>0</v>
      </c>
      <c r="M511" t="n">
        <v>0</v>
      </c>
      <c r="N511" t="n">
        <v>0</v>
      </c>
      <c r="O511" t="n">
        <v>0</v>
      </c>
      <c r="P511" t="n">
        <v>0</v>
      </c>
      <c r="Q511" t="n">
        <v>0</v>
      </c>
      <c r="R511" s="2" t="inlineStr"/>
    </row>
    <row r="512" ht="15" customHeight="1">
      <c r="A512" t="inlineStr">
        <is>
          <t>A 49454-2021</t>
        </is>
      </c>
      <c r="B512" s="1" t="n">
        <v>44454</v>
      </c>
      <c r="C512" s="1" t="n">
        <v>45811</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49450-2021</t>
        </is>
      </c>
      <c r="B513" s="1" t="n">
        <v>44454</v>
      </c>
      <c r="C513" s="1" t="n">
        <v>45811</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v>
      </c>
      <c r="C514" s="1" t="n">
        <v>45811</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50618-2021</t>
        </is>
      </c>
      <c r="B515" s="1" t="n">
        <v>44459</v>
      </c>
      <c r="C515" s="1" t="n">
        <v>45811</v>
      </c>
      <c r="D515" t="inlineStr">
        <is>
          <t>SKÅNE LÄN</t>
        </is>
      </c>
      <c r="E515" t="inlineStr">
        <is>
          <t>HÄSSLEHOLM</t>
        </is>
      </c>
      <c r="F515" t="inlineStr">
        <is>
          <t>Kyrkan</t>
        </is>
      </c>
      <c r="G515" t="n">
        <v>15.1</v>
      </c>
      <c r="H515" t="n">
        <v>0</v>
      </c>
      <c r="I515" t="n">
        <v>0</v>
      </c>
      <c r="J515" t="n">
        <v>0</v>
      </c>
      <c r="K515" t="n">
        <v>0</v>
      </c>
      <c r="L515" t="n">
        <v>0</v>
      </c>
      <c r="M515" t="n">
        <v>0</v>
      </c>
      <c r="N515" t="n">
        <v>0</v>
      </c>
      <c r="O515" t="n">
        <v>0</v>
      </c>
      <c r="P515" t="n">
        <v>0</v>
      </c>
      <c r="Q515" t="n">
        <v>0</v>
      </c>
      <c r="R515" s="2" t="inlineStr"/>
    </row>
    <row r="516" ht="15" customHeight="1">
      <c r="A516" t="inlineStr">
        <is>
          <t>A 51159-2021</t>
        </is>
      </c>
      <c r="B516" s="1" t="n">
        <v>44461</v>
      </c>
      <c r="C516" s="1" t="n">
        <v>45811</v>
      </c>
      <c r="D516" t="inlineStr">
        <is>
          <t>SKÅNE LÄN</t>
        </is>
      </c>
      <c r="E516" t="inlineStr">
        <is>
          <t>HÄSSLEHOLM</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51895-2021</t>
        </is>
      </c>
      <c r="B517" s="1" t="n">
        <v>44462</v>
      </c>
      <c r="C517" s="1" t="n">
        <v>45811</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51893-2021</t>
        </is>
      </c>
      <c r="B518" s="1" t="n">
        <v>44462</v>
      </c>
      <c r="C518" s="1" t="n">
        <v>45811</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51888-2021</t>
        </is>
      </c>
      <c r="B519" s="1" t="n">
        <v>44462</v>
      </c>
      <c r="C519" s="1" t="n">
        <v>45811</v>
      </c>
      <c r="D519" t="inlineStr">
        <is>
          <t>SKÅNE LÄN</t>
        </is>
      </c>
      <c r="E519" t="inlineStr">
        <is>
          <t>HÄSSLEHOLM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52235-2021</t>
        </is>
      </c>
      <c r="B520" s="1" t="n">
        <v>44463</v>
      </c>
      <c r="C520" s="1" t="n">
        <v>45811</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52295-2021</t>
        </is>
      </c>
      <c r="B521" s="1" t="n">
        <v>44463</v>
      </c>
      <c r="C521" s="1" t="n">
        <v>45811</v>
      </c>
      <c r="D521" t="inlineStr">
        <is>
          <t>SKÅNE LÄN</t>
        </is>
      </c>
      <c r="E521" t="inlineStr">
        <is>
          <t>HÄSSLEHOLM</t>
        </is>
      </c>
      <c r="G521" t="n">
        <v>0.3</v>
      </c>
      <c r="H521" t="n">
        <v>0</v>
      </c>
      <c r="I521" t="n">
        <v>0</v>
      </c>
      <c r="J521" t="n">
        <v>0</v>
      </c>
      <c r="K521" t="n">
        <v>0</v>
      </c>
      <c r="L521" t="n">
        <v>0</v>
      </c>
      <c r="M521" t="n">
        <v>0</v>
      </c>
      <c r="N521" t="n">
        <v>0</v>
      </c>
      <c r="O521" t="n">
        <v>0</v>
      </c>
      <c r="P521" t="n">
        <v>0</v>
      </c>
      <c r="Q521" t="n">
        <v>0</v>
      </c>
      <c r="R521" s="2" t="inlineStr"/>
    </row>
    <row r="522" ht="15" customHeight="1">
      <c r="A522" t="inlineStr">
        <is>
          <t>A 52306-2021</t>
        </is>
      </c>
      <c r="B522" s="1" t="n">
        <v>44463</v>
      </c>
      <c r="C522" s="1" t="n">
        <v>45811</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52642-2021</t>
        </is>
      </c>
      <c r="B523" s="1" t="n">
        <v>44466</v>
      </c>
      <c r="C523" s="1" t="n">
        <v>45811</v>
      </c>
      <c r="D523" t="inlineStr">
        <is>
          <t>SKÅNE LÄN</t>
        </is>
      </c>
      <c r="E523" t="inlineStr">
        <is>
          <t>HÄSSLEHOLM</t>
        </is>
      </c>
      <c r="G523" t="n">
        <v>3.7</v>
      </c>
      <c r="H523" t="n">
        <v>0</v>
      </c>
      <c r="I523" t="n">
        <v>0</v>
      </c>
      <c r="J523" t="n">
        <v>0</v>
      </c>
      <c r="K523" t="n">
        <v>0</v>
      </c>
      <c r="L523" t="n">
        <v>0</v>
      </c>
      <c r="M523" t="n">
        <v>0</v>
      </c>
      <c r="N523" t="n">
        <v>0</v>
      </c>
      <c r="O523" t="n">
        <v>0</v>
      </c>
      <c r="P523" t="n">
        <v>0</v>
      </c>
      <c r="Q523" t="n">
        <v>0</v>
      </c>
      <c r="R523" s="2" t="inlineStr"/>
    </row>
    <row r="524" ht="15" customHeight="1">
      <c r="A524" t="inlineStr">
        <is>
          <t>A 52461-2021</t>
        </is>
      </c>
      <c r="B524" s="1" t="n">
        <v>44466</v>
      </c>
      <c r="C524" s="1" t="n">
        <v>45811</v>
      </c>
      <c r="D524" t="inlineStr">
        <is>
          <t>SKÅNE LÄN</t>
        </is>
      </c>
      <c r="E524" t="inlineStr">
        <is>
          <t>HÄSSLEHOLM</t>
        </is>
      </c>
      <c r="G524" t="n">
        <v>2.7</v>
      </c>
      <c r="H524" t="n">
        <v>0</v>
      </c>
      <c r="I524" t="n">
        <v>0</v>
      </c>
      <c r="J524" t="n">
        <v>0</v>
      </c>
      <c r="K524" t="n">
        <v>0</v>
      </c>
      <c r="L524" t="n">
        <v>0</v>
      </c>
      <c r="M524" t="n">
        <v>0</v>
      </c>
      <c r="N524" t="n">
        <v>0</v>
      </c>
      <c r="O524" t="n">
        <v>0</v>
      </c>
      <c r="P524" t="n">
        <v>0</v>
      </c>
      <c r="Q524" t="n">
        <v>0</v>
      </c>
      <c r="R524" s="2" t="inlineStr"/>
    </row>
    <row r="525" ht="15" customHeight="1">
      <c r="A525" t="inlineStr">
        <is>
          <t>A 52567-2021</t>
        </is>
      </c>
      <c r="B525" s="1" t="n">
        <v>44466</v>
      </c>
      <c r="C525" s="1" t="n">
        <v>45811</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52786-2021</t>
        </is>
      </c>
      <c r="B526" s="1" t="n">
        <v>44467</v>
      </c>
      <c r="C526" s="1" t="n">
        <v>45811</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53055-2021</t>
        </is>
      </c>
      <c r="B527" s="1" t="n">
        <v>44467</v>
      </c>
      <c r="C527" s="1" t="n">
        <v>45811</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54175-2021</t>
        </is>
      </c>
      <c r="B528" s="1" t="n">
        <v>44470</v>
      </c>
      <c r="C528" s="1" t="n">
        <v>45811</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54171-2021</t>
        </is>
      </c>
      <c r="B529" s="1" t="n">
        <v>44470</v>
      </c>
      <c r="C529" s="1" t="n">
        <v>45811</v>
      </c>
      <c r="D529" t="inlineStr">
        <is>
          <t>SKÅNE LÄN</t>
        </is>
      </c>
      <c r="E529" t="inlineStr">
        <is>
          <t>HÄSSLEHOLM</t>
        </is>
      </c>
      <c r="G529" t="n">
        <v>1</v>
      </c>
      <c r="H529" t="n">
        <v>0</v>
      </c>
      <c r="I529" t="n">
        <v>0</v>
      </c>
      <c r="J529" t="n">
        <v>0</v>
      </c>
      <c r="K529" t="n">
        <v>0</v>
      </c>
      <c r="L529" t="n">
        <v>0</v>
      </c>
      <c r="M529" t="n">
        <v>0</v>
      </c>
      <c r="N529" t="n">
        <v>0</v>
      </c>
      <c r="O529" t="n">
        <v>0</v>
      </c>
      <c r="P529" t="n">
        <v>0</v>
      </c>
      <c r="Q529" t="n">
        <v>0</v>
      </c>
      <c r="R529" s="2" t="inlineStr"/>
    </row>
    <row r="530" ht="15" customHeight="1">
      <c r="A530" t="inlineStr">
        <is>
          <t>A 54178-2021</t>
        </is>
      </c>
      <c r="B530" s="1" t="n">
        <v>44470</v>
      </c>
      <c r="C530" s="1" t="n">
        <v>45811</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55056-2021</t>
        </is>
      </c>
      <c r="B531" s="1" t="n">
        <v>44474</v>
      </c>
      <c r="C531" s="1" t="n">
        <v>45811</v>
      </c>
      <c r="D531" t="inlineStr">
        <is>
          <t>SKÅNE LÄN</t>
        </is>
      </c>
      <c r="E531" t="inlineStr">
        <is>
          <t>HÄSSLEHOLM</t>
        </is>
      </c>
      <c r="G531" t="n">
        <v>2.5</v>
      </c>
      <c r="H531" t="n">
        <v>0</v>
      </c>
      <c r="I531" t="n">
        <v>0</v>
      </c>
      <c r="J531" t="n">
        <v>0</v>
      </c>
      <c r="K531" t="n">
        <v>0</v>
      </c>
      <c r="L531" t="n">
        <v>0</v>
      </c>
      <c r="M531" t="n">
        <v>0</v>
      </c>
      <c r="N531" t="n">
        <v>0</v>
      </c>
      <c r="O531" t="n">
        <v>0</v>
      </c>
      <c r="P531" t="n">
        <v>0</v>
      </c>
      <c r="Q531" t="n">
        <v>0</v>
      </c>
      <c r="R531" s="2" t="inlineStr"/>
    </row>
    <row r="532" ht="15" customHeight="1">
      <c r="A532" t="inlineStr">
        <is>
          <t>A 55416-2021</t>
        </is>
      </c>
      <c r="B532" s="1" t="n">
        <v>44475</v>
      </c>
      <c r="C532" s="1" t="n">
        <v>45811</v>
      </c>
      <c r="D532" t="inlineStr">
        <is>
          <t>SKÅNE LÄN</t>
        </is>
      </c>
      <c r="E532" t="inlineStr">
        <is>
          <t>HÄSSLEHOLM</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55454-2021</t>
        </is>
      </c>
      <c r="B533" s="1" t="n">
        <v>44475</v>
      </c>
      <c r="C533" s="1" t="n">
        <v>45811</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56431-2021</t>
        </is>
      </c>
      <c r="B534" s="1" t="n">
        <v>44480</v>
      </c>
      <c r="C534" s="1" t="n">
        <v>45811</v>
      </c>
      <c r="D534" t="inlineStr">
        <is>
          <t>SKÅNE LÄN</t>
        </is>
      </c>
      <c r="E534" t="inlineStr">
        <is>
          <t>HÄSSLEHOLM</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56502-2021</t>
        </is>
      </c>
      <c r="B535" s="1" t="n">
        <v>44480</v>
      </c>
      <c r="C535" s="1" t="n">
        <v>45811</v>
      </c>
      <c r="D535" t="inlineStr">
        <is>
          <t>SKÅNE LÄN</t>
        </is>
      </c>
      <c r="E535" t="inlineStr">
        <is>
          <t>HÄSSLEHOLM</t>
        </is>
      </c>
      <c r="F535" t="inlineStr">
        <is>
          <t>Kyrkan</t>
        </is>
      </c>
      <c r="G535" t="n">
        <v>13.8</v>
      </c>
      <c r="H535" t="n">
        <v>0</v>
      </c>
      <c r="I535" t="n">
        <v>0</v>
      </c>
      <c r="J535" t="n">
        <v>0</v>
      </c>
      <c r="K535" t="n">
        <v>0</v>
      </c>
      <c r="L535" t="n">
        <v>0</v>
      </c>
      <c r="M535" t="n">
        <v>0</v>
      </c>
      <c r="N535" t="n">
        <v>0</v>
      </c>
      <c r="O535" t="n">
        <v>0</v>
      </c>
      <c r="P535" t="n">
        <v>0</v>
      </c>
      <c r="Q535" t="n">
        <v>0</v>
      </c>
      <c r="R535" s="2" t="inlineStr"/>
    </row>
    <row r="536" ht="15" customHeight="1">
      <c r="A536" t="inlineStr">
        <is>
          <t>A 56424-2021</t>
        </is>
      </c>
      <c r="B536" s="1" t="n">
        <v>44480</v>
      </c>
      <c r="C536" s="1" t="n">
        <v>45811</v>
      </c>
      <c r="D536" t="inlineStr">
        <is>
          <t>SKÅNE LÄN</t>
        </is>
      </c>
      <c r="E536" t="inlineStr">
        <is>
          <t>HÄSSLEHOLM</t>
        </is>
      </c>
      <c r="F536" t="inlineStr">
        <is>
          <t>Kyrkan</t>
        </is>
      </c>
      <c r="G536" t="n">
        <v>3.4</v>
      </c>
      <c r="H536" t="n">
        <v>0</v>
      </c>
      <c r="I536" t="n">
        <v>0</v>
      </c>
      <c r="J536" t="n">
        <v>0</v>
      </c>
      <c r="K536" t="n">
        <v>0</v>
      </c>
      <c r="L536" t="n">
        <v>0</v>
      </c>
      <c r="M536" t="n">
        <v>0</v>
      </c>
      <c r="N536" t="n">
        <v>0</v>
      </c>
      <c r="O536" t="n">
        <v>0</v>
      </c>
      <c r="P536" t="n">
        <v>0</v>
      </c>
      <c r="Q536" t="n">
        <v>0</v>
      </c>
      <c r="R536" s="2" t="inlineStr"/>
    </row>
    <row r="537" ht="15" customHeight="1">
      <c r="A537" t="inlineStr">
        <is>
          <t>A 56477-2021</t>
        </is>
      </c>
      <c r="B537" s="1" t="n">
        <v>44480</v>
      </c>
      <c r="C537" s="1" t="n">
        <v>45811</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56490-2021</t>
        </is>
      </c>
      <c r="B538" s="1" t="n">
        <v>44480</v>
      </c>
      <c r="C538" s="1" t="n">
        <v>45811</v>
      </c>
      <c r="D538" t="inlineStr">
        <is>
          <t>SKÅNE LÄN</t>
        </is>
      </c>
      <c r="E538" t="inlineStr">
        <is>
          <t>HÄSSLEHOLM</t>
        </is>
      </c>
      <c r="F538" t="inlineStr">
        <is>
          <t>Kyrkan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56527-2021</t>
        </is>
      </c>
      <c r="B539" s="1" t="n">
        <v>44480</v>
      </c>
      <c r="C539" s="1" t="n">
        <v>45811</v>
      </c>
      <c r="D539" t="inlineStr">
        <is>
          <t>SKÅNE LÄN</t>
        </is>
      </c>
      <c r="E539" t="inlineStr">
        <is>
          <t>HÄSSLEHOLM</t>
        </is>
      </c>
      <c r="F539" t="inlineStr">
        <is>
          <t>Kyrkan</t>
        </is>
      </c>
      <c r="G539" t="n">
        <v>2.7</v>
      </c>
      <c r="H539" t="n">
        <v>0</v>
      </c>
      <c r="I539" t="n">
        <v>0</v>
      </c>
      <c r="J539" t="n">
        <v>0</v>
      </c>
      <c r="K539" t="n">
        <v>0</v>
      </c>
      <c r="L539" t="n">
        <v>0</v>
      </c>
      <c r="M539" t="n">
        <v>0</v>
      </c>
      <c r="N539" t="n">
        <v>0</v>
      </c>
      <c r="O539" t="n">
        <v>0</v>
      </c>
      <c r="P539" t="n">
        <v>0</v>
      </c>
      <c r="Q539" t="n">
        <v>0</v>
      </c>
      <c r="R539" s="2" t="inlineStr"/>
    </row>
    <row r="540" ht="15" customHeight="1">
      <c r="A540" t="inlineStr">
        <is>
          <t>A 56881-2021</t>
        </is>
      </c>
      <c r="B540" s="1" t="n">
        <v>44481</v>
      </c>
      <c r="C540" s="1" t="n">
        <v>45811</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56989-2021</t>
        </is>
      </c>
      <c r="B541" s="1" t="n">
        <v>44482</v>
      </c>
      <c r="C541" s="1" t="n">
        <v>45811</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58566-2021</t>
        </is>
      </c>
      <c r="B542" s="1" t="n">
        <v>44488</v>
      </c>
      <c r="C542" s="1" t="n">
        <v>45811</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58564-2021</t>
        </is>
      </c>
      <c r="B543" s="1" t="n">
        <v>44488</v>
      </c>
      <c r="C543" s="1" t="n">
        <v>45811</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59390-2021</t>
        </is>
      </c>
      <c r="B544" s="1" t="n">
        <v>44490</v>
      </c>
      <c r="C544" s="1" t="n">
        <v>45811</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60260-2021</t>
        </is>
      </c>
      <c r="B545" s="1" t="n">
        <v>44495</v>
      </c>
      <c r="C545" s="1" t="n">
        <v>45811</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61073-2021</t>
        </is>
      </c>
      <c r="B546" s="1" t="n">
        <v>44497</v>
      </c>
      <c r="C546" s="1" t="n">
        <v>45811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61072-2021</t>
        </is>
      </c>
      <c r="B547" s="1" t="n">
        <v>44497</v>
      </c>
      <c r="C547" s="1" t="n">
        <v>45811</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61510-2021</t>
        </is>
      </c>
      <c r="B548" s="1" t="n">
        <v>44501</v>
      </c>
      <c r="C548" s="1" t="n">
        <v>45811</v>
      </c>
      <c r="D548" t="inlineStr">
        <is>
          <t>SKÅNE LÄN</t>
        </is>
      </c>
      <c r="E548" t="inlineStr">
        <is>
          <t>HÄSSLEHOLM</t>
        </is>
      </c>
      <c r="G548" t="n">
        <v>6.1</v>
      </c>
      <c r="H548" t="n">
        <v>0</v>
      </c>
      <c r="I548" t="n">
        <v>0</v>
      </c>
      <c r="J548" t="n">
        <v>0</v>
      </c>
      <c r="K548" t="n">
        <v>0</v>
      </c>
      <c r="L548" t="n">
        <v>0</v>
      </c>
      <c r="M548" t="n">
        <v>0</v>
      </c>
      <c r="N548" t="n">
        <v>0</v>
      </c>
      <c r="O548" t="n">
        <v>0</v>
      </c>
      <c r="P548" t="n">
        <v>0</v>
      </c>
      <c r="Q548" t="n">
        <v>0</v>
      </c>
      <c r="R548" s="2" t="inlineStr"/>
    </row>
    <row r="549" ht="15" customHeight="1">
      <c r="A549" t="inlineStr">
        <is>
          <t>A 61691-2021</t>
        </is>
      </c>
      <c r="B549" s="1" t="n">
        <v>44501</v>
      </c>
      <c r="C549" s="1" t="n">
        <v>45811</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63767-2021</t>
        </is>
      </c>
      <c r="B550" s="1" t="n">
        <v>44509</v>
      </c>
      <c r="C550" s="1" t="n">
        <v>45811</v>
      </c>
      <c r="D550" t="inlineStr">
        <is>
          <t>SKÅNE LÄN</t>
        </is>
      </c>
      <c r="E550" t="inlineStr">
        <is>
          <t>HÄSSLEHOLM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63972-2021</t>
        </is>
      </c>
      <c r="B551" s="1" t="n">
        <v>44509</v>
      </c>
      <c r="C551" s="1" t="n">
        <v>45811</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64607-2021</t>
        </is>
      </c>
      <c r="B552" s="1" t="n">
        <v>44511</v>
      </c>
      <c r="C552" s="1" t="n">
        <v>45811</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64826-2021</t>
        </is>
      </c>
      <c r="B553" s="1" t="n">
        <v>44512</v>
      </c>
      <c r="C553" s="1" t="n">
        <v>45811</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65235-2021</t>
        </is>
      </c>
      <c r="B554" s="1" t="n">
        <v>44515</v>
      </c>
      <c r="C554" s="1" t="n">
        <v>45811</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66321-2021</t>
        </is>
      </c>
      <c r="B555" s="1" t="n">
        <v>44518</v>
      </c>
      <c r="C555" s="1" t="n">
        <v>45811</v>
      </c>
      <c r="D555" t="inlineStr">
        <is>
          <t>SKÅNE LÄN</t>
        </is>
      </c>
      <c r="E555" t="inlineStr">
        <is>
          <t>HÄSSLEHOLM</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66413-2021</t>
        </is>
      </c>
      <c r="B556" s="1" t="n">
        <v>44518</v>
      </c>
      <c r="C556" s="1" t="n">
        <v>45811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66518-2021</t>
        </is>
      </c>
      <c r="B557" s="1" t="n">
        <v>44519</v>
      </c>
      <c r="C557" s="1" t="n">
        <v>45811</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67150-2021</t>
        </is>
      </c>
      <c r="B558" s="1" t="n">
        <v>44523</v>
      </c>
      <c r="C558" s="1" t="n">
        <v>45811</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67355-2021</t>
        </is>
      </c>
      <c r="B559" s="1" t="n">
        <v>44523</v>
      </c>
      <c r="C559" s="1" t="n">
        <v>45811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67517-2021</t>
        </is>
      </c>
      <c r="B560" s="1" t="n">
        <v>44524</v>
      </c>
      <c r="C560" s="1" t="n">
        <v>45811</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67801-2021</t>
        </is>
      </c>
      <c r="B561" s="1" t="n">
        <v>44525</v>
      </c>
      <c r="C561" s="1" t="n">
        <v>45811</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68408-2021</t>
        </is>
      </c>
      <c r="B562" s="1" t="n">
        <v>44526</v>
      </c>
      <c r="C562" s="1" t="n">
        <v>45811</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68909-2021</t>
        </is>
      </c>
      <c r="B563" s="1" t="n">
        <v>44530</v>
      </c>
      <c r="C563" s="1" t="n">
        <v>45811</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69357-2021</t>
        </is>
      </c>
      <c r="B564" s="1" t="n">
        <v>44531</v>
      </c>
      <c r="C564" s="1" t="n">
        <v>45811</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45811</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70087-2021</t>
        </is>
      </c>
      <c r="B566" s="1" t="n">
        <v>44533</v>
      </c>
      <c r="C566" s="1" t="n">
        <v>45811</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73513-2021</t>
        </is>
      </c>
      <c r="B567" s="1" t="n">
        <v>44551</v>
      </c>
      <c r="C567" s="1" t="n">
        <v>45811</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74030-2021</t>
        </is>
      </c>
      <c r="B568" s="1" t="n">
        <v>44553</v>
      </c>
      <c r="C568" s="1" t="n">
        <v>45811</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74293-2021</t>
        </is>
      </c>
      <c r="B569" s="1" t="n">
        <v>44558</v>
      </c>
      <c r="C569" s="1" t="n">
        <v>45811</v>
      </c>
      <c r="D569" t="inlineStr">
        <is>
          <t>SKÅNE LÄN</t>
        </is>
      </c>
      <c r="E569" t="inlineStr">
        <is>
          <t>HÄSSLEHOLM</t>
        </is>
      </c>
      <c r="F569" t="inlineStr">
        <is>
          <t>Kyrkan</t>
        </is>
      </c>
      <c r="G569" t="n">
        <v>3.3</v>
      </c>
      <c r="H569" t="n">
        <v>0</v>
      </c>
      <c r="I569" t="n">
        <v>0</v>
      </c>
      <c r="J569" t="n">
        <v>0</v>
      </c>
      <c r="K569" t="n">
        <v>0</v>
      </c>
      <c r="L569" t="n">
        <v>0</v>
      </c>
      <c r="M569" t="n">
        <v>0</v>
      </c>
      <c r="N569" t="n">
        <v>0</v>
      </c>
      <c r="O569" t="n">
        <v>0</v>
      </c>
      <c r="P569" t="n">
        <v>0</v>
      </c>
      <c r="Q569" t="n">
        <v>0</v>
      </c>
      <c r="R569" s="2" t="inlineStr"/>
    </row>
    <row r="570" ht="15" customHeight="1">
      <c r="A570" t="inlineStr">
        <is>
          <t>A 74294-2021</t>
        </is>
      </c>
      <c r="B570" s="1" t="n">
        <v>44558</v>
      </c>
      <c r="C570" s="1" t="n">
        <v>45811</v>
      </c>
      <c r="D570" t="inlineStr">
        <is>
          <t>SKÅNE LÄN</t>
        </is>
      </c>
      <c r="E570" t="inlineStr">
        <is>
          <t>HÄSSLEHOLM</t>
        </is>
      </c>
      <c r="F570" t="inlineStr">
        <is>
          <t>Kyrkan</t>
        </is>
      </c>
      <c r="G570" t="n">
        <v>16.2</v>
      </c>
      <c r="H570" t="n">
        <v>0</v>
      </c>
      <c r="I570" t="n">
        <v>0</v>
      </c>
      <c r="J570" t="n">
        <v>0</v>
      </c>
      <c r="K570" t="n">
        <v>0</v>
      </c>
      <c r="L570" t="n">
        <v>0</v>
      </c>
      <c r="M570" t="n">
        <v>0</v>
      </c>
      <c r="N570" t="n">
        <v>0</v>
      </c>
      <c r="O570" t="n">
        <v>0</v>
      </c>
      <c r="P570" t="n">
        <v>0</v>
      </c>
      <c r="Q570" t="n">
        <v>0</v>
      </c>
      <c r="R570" s="2" t="inlineStr"/>
    </row>
    <row r="571" ht="15" customHeight="1">
      <c r="A571" t="inlineStr">
        <is>
          <t>A 74297-2021</t>
        </is>
      </c>
      <c r="B571" s="1" t="n">
        <v>44558</v>
      </c>
      <c r="C571" s="1" t="n">
        <v>45811</v>
      </c>
      <c r="D571" t="inlineStr">
        <is>
          <t>SKÅNE LÄN</t>
        </is>
      </c>
      <c r="E571" t="inlineStr">
        <is>
          <t>HÄSSLEHOLM</t>
        </is>
      </c>
      <c r="F571" t="inlineStr">
        <is>
          <t>Kyrkan</t>
        </is>
      </c>
      <c r="G571" t="n">
        <v>3.8</v>
      </c>
      <c r="H571" t="n">
        <v>0</v>
      </c>
      <c r="I571" t="n">
        <v>0</v>
      </c>
      <c r="J571" t="n">
        <v>0</v>
      </c>
      <c r="K571" t="n">
        <v>0</v>
      </c>
      <c r="L571" t="n">
        <v>0</v>
      </c>
      <c r="M571" t="n">
        <v>0</v>
      </c>
      <c r="N571" t="n">
        <v>0</v>
      </c>
      <c r="O571" t="n">
        <v>0</v>
      </c>
      <c r="P571" t="n">
        <v>0</v>
      </c>
      <c r="Q571" t="n">
        <v>0</v>
      </c>
      <c r="R571" s="2" t="inlineStr"/>
    </row>
    <row r="572" ht="15" customHeight="1">
      <c r="A572" t="inlineStr">
        <is>
          <t>A 74453-2021</t>
        </is>
      </c>
      <c r="B572" s="1" t="n">
        <v>44560</v>
      </c>
      <c r="C572" s="1" t="n">
        <v>45811</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74476-2021</t>
        </is>
      </c>
      <c r="B573" s="1" t="n">
        <v>44560</v>
      </c>
      <c r="C573" s="1" t="n">
        <v>45811</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220-2022</t>
        </is>
      </c>
      <c r="B574" s="1" t="n">
        <v>44564</v>
      </c>
      <c r="C574" s="1" t="n">
        <v>45811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219-2022</t>
        </is>
      </c>
      <c r="B575" s="1" t="n">
        <v>44564</v>
      </c>
      <c r="C575" s="1" t="n">
        <v>45811</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354-2022</t>
        </is>
      </c>
      <c r="B576" s="1" t="n">
        <v>44565</v>
      </c>
      <c r="C576" s="1" t="n">
        <v>45811</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315-2022</t>
        </is>
      </c>
      <c r="B577" s="1" t="n">
        <v>44565</v>
      </c>
      <c r="C577" s="1" t="n">
        <v>45811</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441-2022</t>
        </is>
      </c>
      <c r="B578" s="1" t="n">
        <v>44566</v>
      </c>
      <c r="C578" s="1" t="n">
        <v>45811</v>
      </c>
      <c r="D578" t="inlineStr">
        <is>
          <t>SKÅNE LÄN</t>
        </is>
      </c>
      <c r="E578" t="inlineStr">
        <is>
          <t>HÄSSLEHOLM</t>
        </is>
      </c>
      <c r="G578" t="n">
        <v>2.1</v>
      </c>
      <c r="H578" t="n">
        <v>0</v>
      </c>
      <c r="I578" t="n">
        <v>0</v>
      </c>
      <c r="J578" t="n">
        <v>0</v>
      </c>
      <c r="K578" t="n">
        <v>0</v>
      </c>
      <c r="L578" t="n">
        <v>0</v>
      </c>
      <c r="M578" t="n">
        <v>0</v>
      </c>
      <c r="N578" t="n">
        <v>0</v>
      </c>
      <c r="O578" t="n">
        <v>0</v>
      </c>
      <c r="P578" t="n">
        <v>0</v>
      </c>
      <c r="Q578" t="n">
        <v>0</v>
      </c>
      <c r="R578" s="2" t="inlineStr"/>
    </row>
    <row r="579" ht="15" customHeight="1">
      <c r="A579" t="inlineStr">
        <is>
          <t>A 418-2022</t>
        </is>
      </c>
      <c r="B579" s="1" t="n">
        <v>44565</v>
      </c>
      <c r="C579" s="1" t="n">
        <v>45811</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417-2022</t>
        </is>
      </c>
      <c r="B580" s="1" t="n">
        <v>44565</v>
      </c>
      <c r="C580" s="1" t="n">
        <v>45811</v>
      </c>
      <c r="D580" t="inlineStr">
        <is>
          <t>SKÅNE LÄN</t>
        </is>
      </c>
      <c r="E580" t="inlineStr">
        <is>
          <t>HÄSSLEHOLM</t>
        </is>
      </c>
      <c r="G580" t="n">
        <v>0</v>
      </c>
      <c r="H580" t="n">
        <v>0</v>
      </c>
      <c r="I580" t="n">
        <v>0</v>
      </c>
      <c r="J580" t="n">
        <v>0</v>
      </c>
      <c r="K580" t="n">
        <v>0</v>
      </c>
      <c r="L580" t="n">
        <v>0</v>
      </c>
      <c r="M580" t="n">
        <v>0</v>
      </c>
      <c r="N580" t="n">
        <v>0</v>
      </c>
      <c r="O580" t="n">
        <v>0</v>
      </c>
      <c r="P580" t="n">
        <v>0</v>
      </c>
      <c r="Q580" t="n">
        <v>0</v>
      </c>
      <c r="R580" s="2" t="inlineStr"/>
    </row>
    <row r="581" ht="15" customHeight="1">
      <c r="A581" t="inlineStr">
        <is>
          <t>A 525-2022</t>
        </is>
      </c>
      <c r="B581" s="1" t="n">
        <v>44566</v>
      </c>
      <c r="C581" s="1" t="n">
        <v>45811</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1210-2022</t>
        </is>
      </c>
      <c r="B582" s="1" t="n">
        <v>44572</v>
      </c>
      <c r="C582" s="1" t="n">
        <v>45811</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1535-2022</t>
        </is>
      </c>
      <c r="B583" s="1" t="n">
        <v>44573</v>
      </c>
      <c r="C583" s="1" t="n">
        <v>45811</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1619-2022</t>
        </is>
      </c>
      <c r="B584" s="1" t="n">
        <v>44573</v>
      </c>
      <c r="C584" s="1" t="n">
        <v>45811</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1679-2022</t>
        </is>
      </c>
      <c r="B585" s="1" t="n">
        <v>44573</v>
      </c>
      <c r="C585" s="1" t="n">
        <v>45811</v>
      </c>
      <c r="D585" t="inlineStr">
        <is>
          <t>SKÅNE LÄN</t>
        </is>
      </c>
      <c r="E585" t="inlineStr">
        <is>
          <t>HÄSSLEHOLM</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2618-2022</t>
        </is>
      </c>
      <c r="B586" s="1" t="n">
        <v>44580</v>
      </c>
      <c r="C586" s="1" t="n">
        <v>45811</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2631-2022</t>
        </is>
      </c>
      <c r="B587" s="1" t="n">
        <v>44580</v>
      </c>
      <c r="C587" s="1" t="n">
        <v>45811</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45811</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3101-2022</t>
        </is>
      </c>
      <c r="B589" s="1" t="n">
        <v>44580</v>
      </c>
      <c r="C589" s="1" t="n">
        <v>45811</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2858-2022</t>
        </is>
      </c>
      <c r="B590" s="1" t="n">
        <v>44581</v>
      </c>
      <c r="C590" s="1" t="n">
        <v>45811</v>
      </c>
      <c r="D590" t="inlineStr">
        <is>
          <t>SKÅNE LÄN</t>
        </is>
      </c>
      <c r="E590" t="inlineStr">
        <is>
          <t>HÄSSLEHOLM</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3167-2022</t>
        </is>
      </c>
      <c r="B591" s="1" t="n">
        <v>44582</v>
      </c>
      <c r="C591" s="1" t="n">
        <v>45811</v>
      </c>
      <c r="D591" t="inlineStr">
        <is>
          <t>SKÅNE LÄN</t>
        </is>
      </c>
      <c r="E591" t="inlineStr">
        <is>
          <t>HÄSSLEHOLM</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3248-2022</t>
        </is>
      </c>
      <c r="B592" s="1" t="n">
        <v>44583</v>
      </c>
      <c r="C592" s="1" t="n">
        <v>45811</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3245-2022</t>
        </is>
      </c>
      <c r="B593" s="1" t="n">
        <v>44583</v>
      </c>
      <c r="C593" s="1" t="n">
        <v>45811</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3247-2022</t>
        </is>
      </c>
      <c r="B594" s="1" t="n">
        <v>44583</v>
      </c>
      <c r="C594" s="1" t="n">
        <v>45811</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3276-2022</t>
        </is>
      </c>
      <c r="B595" s="1" t="n">
        <v>44584</v>
      </c>
      <c r="C595" s="1" t="n">
        <v>45811</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3277-2022</t>
        </is>
      </c>
      <c r="B596" s="1" t="n">
        <v>44584</v>
      </c>
      <c r="C596" s="1" t="n">
        <v>45811</v>
      </c>
      <c r="D596" t="inlineStr">
        <is>
          <t>SKÅNE LÄN</t>
        </is>
      </c>
      <c r="E596" t="inlineStr">
        <is>
          <t>HÄSSLEHOLM</t>
        </is>
      </c>
      <c r="G596" t="n">
        <v>0.2</v>
      </c>
      <c r="H596" t="n">
        <v>0</v>
      </c>
      <c r="I596" t="n">
        <v>0</v>
      </c>
      <c r="J596" t="n">
        <v>0</v>
      </c>
      <c r="K596" t="n">
        <v>0</v>
      </c>
      <c r="L596" t="n">
        <v>0</v>
      </c>
      <c r="M596" t="n">
        <v>0</v>
      </c>
      <c r="N596" t="n">
        <v>0</v>
      </c>
      <c r="O596" t="n">
        <v>0</v>
      </c>
      <c r="P596" t="n">
        <v>0</v>
      </c>
      <c r="Q596" t="n">
        <v>0</v>
      </c>
      <c r="R596" s="2" t="inlineStr"/>
    </row>
    <row r="597" ht="15" customHeight="1">
      <c r="A597" t="inlineStr">
        <is>
          <t>A 3395-2022</t>
        </is>
      </c>
      <c r="B597" s="1" t="n">
        <v>44585</v>
      </c>
      <c r="C597" s="1" t="n">
        <v>45811</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3855-2022</t>
        </is>
      </c>
      <c r="B598" s="1" t="n">
        <v>44587</v>
      </c>
      <c r="C598" s="1" t="n">
        <v>45811</v>
      </c>
      <c r="D598" t="inlineStr">
        <is>
          <t>SKÅNE LÄN</t>
        </is>
      </c>
      <c r="E598" t="inlineStr">
        <is>
          <t>HÄSSLEHOLM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3952-2022</t>
        </is>
      </c>
      <c r="B599" s="1" t="n">
        <v>44587</v>
      </c>
      <c r="C599" s="1" t="n">
        <v>45811</v>
      </c>
      <c r="D599" t="inlineStr">
        <is>
          <t>SKÅNE LÄN</t>
        </is>
      </c>
      <c r="E599" t="inlineStr">
        <is>
          <t>HÄSSLEHOLM</t>
        </is>
      </c>
      <c r="G599" t="n">
        <v>4.2</v>
      </c>
      <c r="H599" t="n">
        <v>0</v>
      </c>
      <c r="I599" t="n">
        <v>0</v>
      </c>
      <c r="J599" t="n">
        <v>0</v>
      </c>
      <c r="K599" t="n">
        <v>0</v>
      </c>
      <c r="L599" t="n">
        <v>0</v>
      </c>
      <c r="M599" t="n">
        <v>0</v>
      </c>
      <c r="N599" t="n">
        <v>0</v>
      </c>
      <c r="O599" t="n">
        <v>0</v>
      </c>
      <c r="P599" t="n">
        <v>0</v>
      </c>
      <c r="Q599" t="n">
        <v>0</v>
      </c>
      <c r="R599" s="2" t="inlineStr"/>
    </row>
    <row r="600" ht="15" customHeight="1">
      <c r="A600" t="inlineStr">
        <is>
          <t>A 3992-2022</t>
        </is>
      </c>
      <c r="B600" s="1" t="n">
        <v>44587</v>
      </c>
      <c r="C600" s="1" t="n">
        <v>45811</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45811</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4161-2022</t>
        </is>
      </c>
      <c r="B602" s="1" t="n">
        <v>44588</v>
      </c>
      <c r="C602" s="1" t="n">
        <v>45811</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4719-2022</t>
        </is>
      </c>
      <c r="B603" s="1" t="n">
        <v>44592</v>
      </c>
      <c r="C603" s="1" t="n">
        <v>45811</v>
      </c>
      <c r="D603" t="inlineStr">
        <is>
          <t>SKÅNE LÄN</t>
        </is>
      </c>
      <c r="E603" t="inlineStr">
        <is>
          <t>HÄSSLEHOLM</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4945-2022</t>
        </is>
      </c>
      <c r="B604" s="1" t="n">
        <v>44593</v>
      </c>
      <c r="C604" s="1" t="n">
        <v>45811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5054-2022</t>
        </is>
      </c>
      <c r="B605" s="1" t="n">
        <v>44593</v>
      </c>
      <c r="C605" s="1" t="n">
        <v>45811</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5091-2022</t>
        </is>
      </c>
      <c r="B606" s="1" t="n">
        <v>44593</v>
      </c>
      <c r="C606" s="1" t="n">
        <v>45811</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5090-2022</t>
        </is>
      </c>
      <c r="B607" s="1" t="n">
        <v>44593</v>
      </c>
      <c r="C607" s="1" t="n">
        <v>45811</v>
      </c>
      <c r="D607" t="inlineStr">
        <is>
          <t>SKÅNE LÄN</t>
        </is>
      </c>
      <c r="E607" t="inlineStr">
        <is>
          <t>HÄSSLEHOLM</t>
        </is>
      </c>
      <c r="G607" t="n">
        <v>2.4</v>
      </c>
      <c r="H607" t="n">
        <v>0</v>
      </c>
      <c r="I607" t="n">
        <v>0</v>
      </c>
      <c r="J607" t="n">
        <v>0</v>
      </c>
      <c r="K607" t="n">
        <v>0</v>
      </c>
      <c r="L607" t="n">
        <v>0</v>
      </c>
      <c r="M607" t="n">
        <v>0</v>
      </c>
      <c r="N607" t="n">
        <v>0</v>
      </c>
      <c r="O607" t="n">
        <v>0</v>
      </c>
      <c r="P607" t="n">
        <v>0</v>
      </c>
      <c r="Q607" t="n">
        <v>0</v>
      </c>
      <c r="R607" s="2" t="inlineStr"/>
    </row>
    <row r="608" ht="15" customHeight="1">
      <c r="A608" t="inlineStr">
        <is>
          <t>A 5334-2022</t>
        </is>
      </c>
      <c r="B608" s="1" t="n">
        <v>44594</v>
      </c>
      <c r="C608" s="1" t="n">
        <v>45811</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5564-2022</t>
        </is>
      </c>
      <c r="B609" s="1" t="n">
        <v>44595</v>
      </c>
      <c r="C609" s="1" t="n">
        <v>45811</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6048-2022</t>
        </is>
      </c>
      <c r="B610" s="1" t="n">
        <v>44599</v>
      </c>
      <c r="C610" s="1" t="n">
        <v>45811</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6101-2022</t>
        </is>
      </c>
      <c r="B611" s="1" t="n">
        <v>44599</v>
      </c>
      <c r="C611" s="1" t="n">
        <v>45811</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45811</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6253-2022</t>
        </is>
      </c>
      <c r="B613" s="1" t="n">
        <v>44600</v>
      </c>
      <c r="C613" s="1" t="n">
        <v>45811</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6414-2022</t>
        </is>
      </c>
      <c r="B614" s="1" t="n">
        <v>44600</v>
      </c>
      <c r="C614" s="1" t="n">
        <v>45811</v>
      </c>
      <c r="D614" t="inlineStr">
        <is>
          <t>SKÅNE LÄN</t>
        </is>
      </c>
      <c r="E614" t="inlineStr">
        <is>
          <t>HÄSSLEHOLM</t>
        </is>
      </c>
      <c r="G614" t="n">
        <v>2.9</v>
      </c>
      <c r="H614" t="n">
        <v>0</v>
      </c>
      <c r="I614" t="n">
        <v>0</v>
      </c>
      <c r="J614" t="n">
        <v>0</v>
      </c>
      <c r="K614" t="n">
        <v>0</v>
      </c>
      <c r="L614" t="n">
        <v>0</v>
      </c>
      <c r="M614" t="n">
        <v>0</v>
      </c>
      <c r="N614" t="n">
        <v>0</v>
      </c>
      <c r="O614" t="n">
        <v>0</v>
      </c>
      <c r="P614" t="n">
        <v>0</v>
      </c>
      <c r="Q614" t="n">
        <v>0</v>
      </c>
      <c r="R614" s="2" t="inlineStr"/>
    </row>
    <row r="615" ht="15" customHeight="1">
      <c r="A615" t="inlineStr">
        <is>
          <t>A 7202-2022</t>
        </is>
      </c>
      <c r="B615" s="1" t="n">
        <v>44606</v>
      </c>
      <c r="C615" s="1" t="n">
        <v>45811</v>
      </c>
      <c r="D615" t="inlineStr">
        <is>
          <t>SKÅNE LÄN</t>
        </is>
      </c>
      <c r="E615" t="inlineStr">
        <is>
          <t>HÄSSLEHOLM</t>
        </is>
      </c>
      <c r="G615" t="n">
        <v>4.7</v>
      </c>
      <c r="H615" t="n">
        <v>0</v>
      </c>
      <c r="I615" t="n">
        <v>0</v>
      </c>
      <c r="J615" t="n">
        <v>0</v>
      </c>
      <c r="K615" t="n">
        <v>0</v>
      </c>
      <c r="L615" t="n">
        <v>0</v>
      </c>
      <c r="M615" t="n">
        <v>0</v>
      </c>
      <c r="N615" t="n">
        <v>0</v>
      </c>
      <c r="O615" t="n">
        <v>0</v>
      </c>
      <c r="P615" t="n">
        <v>0</v>
      </c>
      <c r="Q615" t="n">
        <v>0</v>
      </c>
      <c r="R615" s="2" t="inlineStr"/>
    </row>
    <row r="616" ht="15" customHeight="1">
      <c r="A616" t="inlineStr">
        <is>
          <t>A 7250-2022</t>
        </is>
      </c>
      <c r="B616" s="1" t="n">
        <v>44606</v>
      </c>
      <c r="C616" s="1" t="n">
        <v>45811</v>
      </c>
      <c r="D616" t="inlineStr">
        <is>
          <t>SKÅNE LÄN</t>
        </is>
      </c>
      <c r="E616" t="inlineStr">
        <is>
          <t>HÄSSLEHOLM</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7262-2022</t>
        </is>
      </c>
      <c r="B617" s="1" t="n">
        <v>44606</v>
      </c>
      <c r="C617" s="1" t="n">
        <v>45811</v>
      </c>
      <c r="D617" t="inlineStr">
        <is>
          <t>SKÅNE LÄN</t>
        </is>
      </c>
      <c r="E617" t="inlineStr">
        <is>
          <t>HÄSSLEHOLM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7249-2022</t>
        </is>
      </c>
      <c r="B618" s="1" t="n">
        <v>44606</v>
      </c>
      <c r="C618" s="1" t="n">
        <v>45811</v>
      </c>
      <c r="D618" t="inlineStr">
        <is>
          <t>SKÅNE LÄN</t>
        </is>
      </c>
      <c r="E618" t="inlineStr">
        <is>
          <t>HÄSSLEHOLM</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7861-2022</t>
        </is>
      </c>
      <c r="B619" s="1" t="n">
        <v>44607</v>
      </c>
      <c r="C619" s="1" t="n">
        <v>45811</v>
      </c>
      <c r="D619" t="inlineStr">
        <is>
          <t>SKÅNE LÄN</t>
        </is>
      </c>
      <c r="E619" t="inlineStr">
        <is>
          <t>HÄSSLEHOLM</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7904-2022</t>
        </is>
      </c>
      <c r="B620" s="1" t="n">
        <v>44607</v>
      </c>
      <c r="C620" s="1" t="n">
        <v>45811</v>
      </c>
      <c r="D620" t="inlineStr">
        <is>
          <t>SKÅNE LÄN</t>
        </is>
      </c>
      <c r="E620" t="inlineStr">
        <is>
          <t>HÄSSLEHOLM</t>
        </is>
      </c>
      <c r="F620" t="inlineStr">
        <is>
          <t>Kyrkan</t>
        </is>
      </c>
      <c r="G620" t="n">
        <v>3.9</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45811</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8177-2022</t>
        </is>
      </c>
      <c r="B622" s="1" t="n">
        <v>44607</v>
      </c>
      <c r="C622" s="1" t="n">
        <v>45811</v>
      </c>
      <c r="D622" t="inlineStr">
        <is>
          <t>SKÅNE LÄN</t>
        </is>
      </c>
      <c r="E622" t="inlineStr">
        <is>
          <t>HÄSSLEHOLM</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7820-2022</t>
        </is>
      </c>
      <c r="B623" s="1" t="n">
        <v>44608</v>
      </c>
      <c r="C623" s="1" t="n">
        <v>45811</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8204-2022</t>
        </is>
      </c>
      <c r="B624" s="1" t="n">
        <v>44609</v>
      </c>
      <c r="C624" s="1" t="n">
        <v>45811</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8280-2022</t>
        </is>
      </c>
      <c r="B625" s="1" t="n">
        <v>44610</v>
      </c>
      <c r="C625" s="1" t="n">
        <v>45811</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9098-2022</t>
        </is>
      </c>
      <c r="B626" s="1" t="n">
        <v>44615</v>
      </c>
      <c r="C626" s="1" t="n">
        <v>45811</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9292-2022</t>
        </is>
      </c>
      <c r="B627" s="1" t="n">
        <v>44616</v>
      </c>
      <c r="C627" s="1" t="n">
        <v>45811</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10968-2022</t>
        </is>
      </c>
      <c r="B628" s="1" t="n">
        <v>44628</v>
      </c>
      <c r="C628" s="1" t="n">
        <v>45811</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11798-2022</t>
        </is>
      </c>
      <c r="B629" s="1" t="n">
        <v>44634</v>
      </c>
      <c r="C629" s="1" t="n">
        <v>45811</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12036-2022</t>
        </is>
      </c>
      <c r="B630" s="1" t="n">
        <v>44636</v>
      </c>
      <c r="C630" s="1" t="n">
        <v>45811</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12507-2022</t>
        </is>
      </c>
      <c r="B631" s="1" t="n">
        <v>44638</v>
      </c>
      <c r="C631" s="1" t="n">
        <v>45811</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12503-2022</t>
        </is>
      </c>
      <c r="B632" s="1" t="n">
        <v>44638</v>
      </c>
      <c r="C632" s="1" t="n">
        <v>45811</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13410-2022</t>
        </is>
      </c>
      <c r="B633" s="1" t="n">
        <v>44645</v>
      </c>
      <c r="C633" s="1" t="n">
        <v>45811</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13990-2022</t>
        </is>
      </c>
      <c r="B634" s="1" t="n">
        <v>44650</v>
      </c>
      <c r="C634" s="1" t="n">
        <v>45811</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14402-2022</t>
        </is>
      </c>
      <c r="B635" s="1" t="n">
        <v>44652</v>
      </c>
      <c r="C635" s="1" t="n">
        <v>45811</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15118-2022</t>
        </is>
      </c>
      <c r="B636" s="1" t="n">
        <v>44659</v>
      </c>
      <c r="C636" s="1" t="n">
        <v>45811</v>
      </c>
      <c r="D636" t="inlineStr">
        <is>
          <t>SKÅNE LÄN</t>
        </is>
      </c>
      <c r="E636" t="inlineStr">
        <is>
          <t>HÄSSLEHOLM</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15417-2022</t>
        </is>
      </c>
      <c r="B637" s="1" t="n">
        <v>44659</v>
      </c>
      <c r="C637" s="1" t="n">
        <v>45811</v>
      </c>
      <c r="D637" t="inlineStr">
        <is>
          <t>SKÅNE LÄN</t>
        </is>
      </c>
      <c r="E637" t="inlineStr">
        <is>
          <t>HÄSSLEHOLM</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15423-2022</t>
        </is>
      </c>
      <c r="B638" s="1" t="n">
        <v>44659</v>
      </c>
      <c r="C638" s="1" t="n">
        <v>45811</v>
      </c>
      <c r="D638" t="inlineStr">
        <is>
          <t>SKÅNE LÄN</t>
        </is>
      </c>
      <c r="E638" t="inlineStr">
        <is>
          <t>HÄSSLEHOLM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15703-2022</t>
        </is>
      </c>
      <c r="B639" s="1" t="n">
        <v>44663</v>
      </c>
      <c r="C639" s="1" t="n">
        <v>45811</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15986-2022</t>
        </is>
      </c>
      <c r="B640" s="1" t="n">
        <v>44664</v>
      </c>
      <c r="C640" s="1" t="n">
        <v>45811</v>
      </c>
      <c r="D640" t="inlineStr">
        <is>
          <t>SKÅNE LÄN</t>
        </is>
      </c>
      <c r="E640" t="inlineStr">
        <is>
          <t>HÄSSLEHOLM</t>
        </is>
      </c>
      <c r="F640" t="inlineStr">
        <is>
          <t>Kyrkan</t>
        </is>
      </c>
      <c r="G640" t="n">
        <v>6</v>
      </c>
      <c r="H640" t="n">
        <v>0</v>
      </c>
      <c r="I640" t="n">
        <v>0</v>
      </c>
      <c r="J640" t="n">
        <v>0</v>
      </c>
      <c r="K640" t="n">
        <v>0</v>
      </c>
      <c r="L640" t="n">
        <v>0</v>
      </c>
      <c r="M640" t="n">
        <v>0</v>
      </c>
      <c r="N640" t="n">
        <v>0</v>
      </c>
      <c r="O640" t="n">
        <v>0</v>
      </c>
      <c r="P640" t="n">
        <v>0</v>
      </c>
      <c r="Q640" t="n">
        <v>0</v>
      </c>
      <c r="R640" s="2" t="inlineStr"/>
    </row>
    <row r="641" ht="15" customHeight="1">
      <c r="A641" t="inlineStr">
        <is>
          <t>A 16397-2022</t>
        </is>
      </c>
      <c r="B641" s="1" t="n">
        <v>44671</v>
      </c>
      <c r="C641" s="1" t="n">
        <v>45811</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16398-2022</t>
        </is>
      </c>
      <c r="B642" s="1" t="n">
        <v>44671</v>
      </c>
      <c r="C642" s="1" t="n">
        <v>45811</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18178-2022</t>
        </is>
      </c>
      <c r="B643" s="1" t="n">
        <v>44684</v>
      </c>
      <c r="C643" s="1" t="n">
        <v>45811</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20657-2022</t>
        </is>
      </c>
      <c r="B644" s="1" t="n">
        <v>44700</v>
      </c>
      <c r="C644" s="1" t="n">
        <v>45811</v>
      </c>
      <c r="D644" t="inlineStr">
        <is>
          <t>SKÅNE LÄN</t>
        </is>
      </c>
      <c r="E644" t="inlineStr">
        <is>
          <t>HÄSSLEHOLM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21356-2022</t>
        </is>
      </c>
      <c r="B645" s="1" t="n">
        <v>44705</v>
      </c>
      <c r="C645" s="1" t="n">
        <v>45811</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21310-2022</t>
        </is>
      </c>
      <c r="B646" s="1" t="n">
        <v>44705</v>
      </c>
      <c r="C646" s="1" t="n">
        <v>45811</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21628-2022</t>
        </is>
      </c>
      <c r="B647" s="1" t="n">
        <v>44706</v>
      </c>
      <c r="C647" s="1" t="n">
        <v>45811</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22693-2022</t>
        </is>
      </c>
      <c r="B648" s="1" t="n">
        <v>44714</v>
      </c>
      <c r="C648" s="1" t="n">
        <v>45811</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22690-2022</t>
        </is>
      </c>
      <c r="B649" s="1" t="n">
        <v>44714</v>
      </c>
      <c r="C649" s="1" t="n">
        <v>45811</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23069-2022</t>
        </is>
      </c>
      <c r="B650" s="1" t="n">
        <v>44719</v>
      </c>
      <c r="C650" s="1" t="n">
        <v>45811</v>
      </c>
      <c r="D650" t="inlineStr">
        <is>
          <t>SKÅNE LÄN</t>
        </is>
      </c>
      <c r="E650" t="inlineStr">
        <is>
          <t>HÄSSLEHOLM</t>
        </is>
      </c>
      <c r="G650" t="n">
        <v>3.4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45811</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v>
      </c>
      <c r="C652" s="1" t="n">
        <v>45811</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23967-2022</t>
        </is>
      </c>
      <c r="B653" s="1" t="n">
        <v>44722</v>
      </c>
      <c r="C653" s="1" t="n">
        <v>45811</v>
      </c>
      <c r="D653" t="inlineStr">
        <is>
          <t>SKÅNE LÄN</t>
        </is>
      </c>
      <c r="E653" t="inlineStr">
        <is>
          <t>HÄSSLEHOLM</t>
        </is>
      </c>
      <c r="F653" t="inlineStr">
        <is>
          <t>Kyrkan</t>
        </is>
      </c>
      <c r="G653" t="n">
        <v>12.4</v>
      </c>
      <c r="H653" t="n">
        <v>0</v>
      </c>
      <c r="I653" t="n">
        <v>0</v>
      </c>
      <c r="J653" t="n">
        <v>0</v>
      </c>
      <c r="K653" t="n">
        <v>0</v>
      </c>
      <c r="L653" t="n">
        <v>0</v>
      </c>
      <c r="M653" t="n">
        <v>0</v>
      </c>
      <c r="N653" t="n">
        <v>0</v>
      </c>
      <c r="O653" t="n">
        <v>0</v>
      </c>
      <c r="P653" t="n">
        <v>0</v>
      </c>
      <c r="Q653" t="n">
        <v>0</v>
      </c>
      <c r="R653" s="2" t="inlineStr"/>
    </row>
    <row r="654" ht="15" customHeight="1">
      <c r="A654" t="inlineStr">
        <is>
          <t>A 23962-2022</t>
        </is>
      </c>
      <c r="B654" s="1" t="n">
        <v>44722</v>
      </c>
      <c r="C654" s="1" t="n">
        <v>45811</v>
      </c>
      <c r="D654" t="inlineStr">
        <is>
          <t>SKÅNE LÄN</t>
        </is>
      </c>
      <c r="E654" t="inlineStr">
        <is>
          <t>HÄSSLEHOLM</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23879-2022</t>
        </is>
      </c>
      <c r="B655" s="1" t="n">
        <v>44722</v>
      </c>
      <c r="C655" s="1" t="n">
        <v>45811</v>
      </c>
      <c r="D655" t="inlineStr">
        <is>
          <t>SKÅNE LÄN</t>
        </is>
      </c>
      <c r="E655" t="inlineStr">
        <is>
          <t>HÄSSLEHOLM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24896-2022</t>
        </is>
      </c>
      <c r="B656" s="1" t="n">
        <v>44728</v>
      </c>
      <c r="C656" s="1" t="n">
        <v>45811</v>
      </c>
      <c r="D656" t="inlineStr">
        <is>
          <t>SKÅNE LÄN</t>
        </is>
      </c>
      <c r="E656" t="inlineStr">
        <is>
          <t>HÄSSLEHOLM</t>
        </is>
      </c>
      <c r="G656" t="n">
        <v>5</v>
      </c>
      <c r="H656" t="n">
        <v>0</v>
      </c>
      <c r="I656" t="n">
        <v>0</v>
      </c>
      <c r="J656" t="n">
        <v>0</v>
      </c>
      <c r="K656" t="n">
        <v>0</v>
      </c>
      <c r="L656" t="n">
        <v>0</v>
      </c>
      <c r="M656" t="n">
        <v>0</v>
      </c>
      <c r="N656" t="n">
        <v>0</v>
      </c>
      <c r="O656" t="n">
        <v>0</v>
      </c>
      <c r="P656" t="n">
        <v>0</v>
      </c>
      <c r="Q656" t="n">
        <v>0</v>
      </c>
      <c r="R656" s="2" t="inlineStr"/>
    </row>
    <row r="657" ht="15" customHeight="1">
      <c r="A657" t="inlineStr">
        <is>
          <t>A 24906-2022</t>
        </is>
      </c>
      <c r="B657" s="1" t="n">
        <v>44728</v>
      </c>
      <c r="C657" s="1" t="n">
        <v>45811</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25046-2022</t>
        </is>
      </c>
      <c r="B658" s="1" t="n">
        <v>44728</v>
      </c>
      <c r="C658" s="1" t="n">
        <v>45811</v>
      </c>
      <c r="D658" t="inlineStr">
        <is>
          <t>SKÅNE LÄN</t>
        </is>
      </c>
      <c r="E658" t="inlineStr">
        <is>
          <t>HÄSSLEHOLM</t>
        </is>
      </c>
      <c r="G658" t="n">
        <v>3.4</v>
      </c>
      <c r="H658" t="n">
        <v>0</v>
      </c>
      <c r="I658" t="n">
        <v>0</v>
      </c>
      <c r="J658" t="n">
        <v>0</v>
      </c>
      <c r="K658" t="n">
        <v>0</v>
      </c>
      <c r="L658" t="n">
        <v>0</v>
      </c>
      <c r="M658" t="n">
        <v>0</v>
      </c>
      <c r="N658" t="n">
        <v>0</v>
      </c>
      <c r="O658" t="n">
        <v>0</v>
      </c>
      <c r="P658" t="n">
        <v>0</v>
      </c>
      <c r="Q658" t="n">
        <v>0</v>
      </c>
      <c r="R658" s="2" t="inlineStr"/>
    </row>
    <row r="659" ht="15" customHeight="1">
      <c r="A659" t="inlineStr">
        <is>
          <t>A 25165-2022</t>
        </is>
      </c>
      <c r="B659" s="1" t="n">
        <v>44729</v>
      </c>
      <c r="C659" s="1" t="n">
        <v>45811</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25464-2022</t>
        </is>
      </c>
      <c r="B660" s="1" t="n">
        <v>44729</v>
      </c>
      <c r="C660" s="1" t="n">
        <v>45811</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25469-2022</t>
        </is>
      </c>
      <c r="B661" s="1" t="n">
        <v>44732</v>
      </c>
      <c r="C661" s="1" t="n">
        <v>45811</v>
      </c>
      <c r="D661" t="inlineStr">
        <is>
          <t>SKÅNE LÄN</t>
        </is>
      </c>
      <c r="E661" t="inlineStr">
        <is>
          <t>HÄSSLEHOLM</t>
        </is>
      </c>
      <c r="G661" t="n">
        <v>4.2</v>
      </c>
      <c r="H661" t="n">
        <v>0</v>
      </c>
      <c r="I661" t="n">
        <v>0</v>
      </c>
      <c r="J661" t="n">
        <v>0</v>
      </c>
      <c r="K661" t="n">
        <v>0</v>
      </c>
      <c r="L661" t="n">
        <v>0</v>
      </c>
      <c r="M661" t="n">
        <v>0</v>
      </c>
      <c r="N661" t="n">
        <v>0</v>
      </c>
      <c r="O661" t="n">
        <v>0</v>
      </c>
      <c r="P661" t="n">
        <v>0</v>
      </c>
      <c r="Q661" t="n">
        <v>0</v>
      </c>
      <c r="R661" s="2" t="inlineStr"/>
    </row>
    <row r="662" ht="15" customHeight="1">
      <c r="A662" t="inlineStr">
        <is>
          <t>A 25955-2022</t>
        </is>
      </c>
      <c r="B662" s="1" t="n">
        <v>44734</v>
      </c>
      <c r="C662" s="1" t="n">
        <v>45811</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26012-2022</t>
        </is>
      </c>
      <c r="B663" s="1" t="n">
        <v>44734</v>
      </c>
      <c r="C663" s="1" t="n">
        <v>45811</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26386-2022</t>
        </is>
      </c>
      <c r="B664" s="1" t="n">
        <v>44735</v>
      </c>
      <c r="C664" s="1" t="n">
        <v>45811</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26387-2022</t>
        </is>
      </c>
      <c r="B665" s="1" t="n">
        <v>44735</v>
      </c>
      <c r="C665" s="1" t="n">
        <v>45811</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26536-2022</t>
        </is>
      </c>
      <c r="B666" s="1" t="n">
        <v>44739</v>
      </c>
      <c r="C666" s="1" t="n">
        <v>45811</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27242-2022</t>
        </is>
      </c>
      <c r="B667" s="1" t="n">
        <v>44741</v>
      </c>
      <c r="C667" s="1" t="n">
        <v>45811</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27244-2022</t>
        </is>
      </c>
      <c r="B668" s="1" t="n">
        <v>44741</v>
      </c>
      <c r="C668" s="1" t="n">
        <v>45811</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27452-2022</t>
        </is>
      </c>
      <c r="B669" s="1" t="n">
        <v>44742</v>
      </c>
      <c r="C669" s="1" t="n">
        <v>45811</v>
      </c>
      <c r="D669" t="inlineStr">
        <is>
          <t>SKÅNE LÄN</t>
        </is>
      </c>
      <c r="E669" t="inlineStr">
        <is>
          <t>HÄSSLEHOLM</t>
        </is>
      </c>
      <c r="G669" t="n">
        <v>4.2</v>
      </c>
      <c r="H669" t="n">
        <v>0</v>
      </c>
      <c r="I669" t="n">
        <v>0</v>
      </c>
      <c r="J669" t="n">
        <v>0</v>
      </c>
      <c r="K669" t="n">
        <v>0</v>
      </c>
      <c r="L669" t="n">
        <v>0</v>
      </c>
      <c r="M669" t="n">
        <v>0</v>
      </c>
      <c r="N669" t="n">
        <v>0</v>
      </c>
      <c r="O669" t="n">
        <v>0</v>
      </c>
      <c r="P669" t="n">
        <v>0</v>
      </c>
      <c r="Q669" t="n">
        <v>0</v>
      </c>
      <c r="R669" s="2" t="inlineStr"/>
    </row>
    <row r="670" ht="15" customHeight="1">
      <c r="A670" t="inlineStr">
        <is>
          <t>A 27464-2022</t>
        </is>
      </c>
      <c r="B670" s="1" t="n">
        <v>44742</v>
      </c>
      <c r="C670" s="1" t="n">
        <v>45811</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27954-2022</t>
        </is>
      </c>
      <c r="B671" s="1" t="n">
        <v>44743</v>
      </c>
      <c r="C671" s="1" t="n">
        <v>45811</v>
      </c>
      <c r="D671" t="inlineStr">
        <is>
          <t>SKÅNE LÄN</t>
        </is>
      </c>
      <c r="E671" t="inlineStr">
        <is>
          <t>HÄSSLEHOLM</t>
        </is>
      </c>
      <c r="G671" t="n">
        <v>9.4</v>
      </c>
      <c r="H671" t="n">
        <v>0</v>
      </c>
      <c r="I671" t="n">
        <v>0</v>
      </c>
      <c r="J671" t="n">
        <v>0</v>
      </c>
      <c r="K671" t="n">
        <v>0</v>
      </c>
      <c r="L671" t="n">
        <v>0</v>
      </c>
      <c r="M671" t="n">
        <v>0</v>
      </c>
      <c r="N671" t="n">
        <v>0</v>
      </c>
      <c r="O671" t="n">
        <v>0</v>
      </c>
      <c r="P671" t="n">
        <v>0</v>
      </c>
      <c r="Q671" t="n">
        <v>0</v>
      </c>
      <c r="R671" s="2" t="inlineStr"/>
    </row>
    <row r="672" ht="15" customHeight="1">
      <c r="A672" t="inlineStr">
        <is>
          <t>A 27959-2022</t>
        </is>
      </c>
      <c r="B672" s="1" t="n">
        <v>44744</v>
      </c>
      <c r="C672" s="1" t="n">
        <v>45811</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28236-2022</t>
        </is>
      </c>
      <c r="B673" s="1" t="n">
        <v>44746</v>
      </c>
      <c r="C673" s="1" t="n">
        <v>45811</v>
      </c>
      <c r="D673" t="inlineStr">
        <is>
          <t>SKÅNE LÄN</t>
        </is>
      </c>
      <c r="E673" t="inlineStr">
        <is>
          <t>HÄSSLEHOLM</t>
        </is>
      </c>
      <c r="G673" t="n">
        <v>3.5</v>
      </c>
      <c r="H673" t="n">
        <v>0</v>
      </c>
      <c r="I673" t="n">
        <v>0</v>
      </c>
      <c r="J673" t="n">
        <v>0</v>
      </c>
      <c r="K673" t="n">
        <v>0</v>
      </c>
      <c r="L673" t="n">
        <v>0</v>
      </c>
      <c r="M673" t="n">
        <v>0</v>
      </c>
      <c r="N673" t="n">
        <v>0</v>
      </c>
      <c r="O673" t="n">
        <v>0</v>
      </c>
      <c r="P673" t="n">
        <v>0</v>
      </c>
      <c r="Q673" t="n">
        <v>0</v>
      </c>
      <c r="R673" s="2" t="inlineStr"/>
    </row>
    <row r="674" ht="15" customHeight="1">
      <c r="A674" t="inlineStr">
        <is>
          <t>A 28221-2022</t>
        </is>
      </c>
      <c r="B674" s="1" t="n">
        <v>44746</v>
      </c>
      <c r="C674" s="1" t="n">
        <v>45811</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28211-2022</t>
        </is>
      </c>
      <c r="B675" s="1" t="n">
        <v>44746</v>
      </c>
      <c r="C675" s="1" t="n">
        <v>45811</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28218-2022</t>
        </is>
      </c>
      <c r="B676" s="1" t="n">
        <v>44746</v>
      </c>
      <c r="C676" s="1" t="n">
        <v>45811</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29700-2022</t>
        </is>
      </c>
      <c r="B677" s="1" t="n">
        <v>44755</v>
      </c>
      <c r="C677" s="1" t="n">
        <v>45811</v>
      </c>
      <c r="D677" t="inlineStr">
        <is>
          <t>SKÅNE LÄN</t>
        </is>
      </c>
      <c r="E677" t="inlineStr">
        <is>
          <t>HÄSSLEHOLM</t>
        </is>
      </c>
      <c r="G677" t="n">
        <v>6.6</v>
      </c>
      <c r="H677" t="n">
        <v>0</v>
      </c>
      <c r="I677" t="n">
        <v>0</v>
      </c>
      <c r="J677" t="n">
        <v>0</v>
      </c>
      <c r="K677" t="n">
        <v>0</v>
      </c>
      <c r="L677" t="n">
        <v>0</v>
      </c>
      <c r="M677" t="n">
        <v>0</v>
      </c>
      <c r="N677" t="n">
        <v>0</v>
      </c>
      <c r="O677" t="n">
        <v>0</v>
      </c>
      <c r="P677" t="n">
        <v>0</v>
      </c>
      <c r="Q677" t="n">
        <v>0</v>
      </c>
      <c r="R677" s="2" t="inlineStr"/>
    </row>
    <row r="678" ht="15" customHeight="1">
      <c r="A678" t="inlineStr">
        <is>
          <t>A 30344-2022</t>
        </is>
      </c>
      <c r="B678" s="1" t="n">
        <v>44760</v>
      </c>
      <c r="C678" s="1" t="n">
        <v>45811</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31557-2022</t>
        </is>
      </c>
      <c r="B679" s="1" t="n">
        <v>44775</v>
      </c>
      <c r="C679" s="1" t="n">
        <v>45811</v>
      </c>
      <c r="D679" t="inlineStr">
        <is>
          <t>SKÅNE LÄN</t>
        </is>
      </c>
      <c r="E679" t="inlineStr">
        <is>
          <t>HÄSSLEHOLM</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31572-2022</t>
        </is>
      </c>
      <c r="B680" s="1" t="n">
        <v>44775</v>
      </c>
      <c r="C680" s="1" t="n">
        <v>45811</v>
      </c>
      <c r="D680" t="inlineStr">
        <is>
          <t>SKÅNE LÄN</t>
        </is>
      </c>
      <c r="E680" t="inlineStr">
        <is>
          <t>HÄSSLEHOLM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32669-2022</t>
        </is>
      </c>
      <c r="B681" s="1" t="n">
        <v>44783</v>
      </c>
      <c r="C681" s="1" t="n">
        <v>45811</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33299-2022</t>
        </is>
      </c>
      <c r="B682" s="1" t="n">
        <v>44788</v>
      </c>
      <c r="C682" s="1" t="n">
        <v>45811</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34348-2022</t>
        </is>
      </c>
      <c r="B683" s="1" t="n">
        <v>44792</v>
      </c>
      <c r="C683" s="1" t="n">
        <v>45811</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34982-2022</t>
        </is>
      </c>
      <c r="B684" s="1" t="n">
        <v>44796</v>
      </c>
      <c r="C684" s="1" t="n">
        <v>45811</v>
      </c>
      <c r="D684" t="inlineStr">
        <is>
          <t>SKÅNE LÄN</t>
        </is>
      </c>
      <c r="E684" t="inlineStr">
        <is>
          <t>HÄSSLEHOLM</t>
        </is>
      </c>
      <c r="F684" t="inlineStr">
        <is>
          <t>Kyrkan</t>
        </is>
      </c>
      <c r="G684" t="n">
        <v>3.4</v>
      </c>
      <c r="H684" t="n">
        <v>0</v>
      </c>
      <c r="I684" t="n">
        <v>0</v>
      </c>
      <c r="J684" t="n">
        <v>0</v>
      </c>
      <c r="K684" t="n">
        <v>0</v>
      </c>
      <c r="L684" t="n">
        <v>0</v>
      </c>
      <c r="M684" t="n">
        <v>0</v>
      </c>
      <c r="N684" t="n">
        <v>0</v>
      </c>
      <c r="O684" t="n">
        <v>0</v>
      </c>
      <c r="P684" t="n">
        <v>0</v>
      </c>
      <c r="Q684" t="n">
        <v>0</v>
      </c>
      <c r="R684" s="2" t="inlineStr"/>
    </row>
    <row r="685" ht="15" customHeight="1">
      <c r="A685" t="inlineStr">
        <is>
          <t>A 35099-2022</t>
        </is>
      </c>
      <c r="B685" s="1" t="n">
        <v>44797</v>
      </c>
      <c r="C685" s="1" t="n">
        <v>45811</v>
      </c>
      <c r="D685" t="inlineStr">
        <is>
          <t>SKÅNE LÄN</t>
        </is>
      </c>
      <c r="E685" t="inlineStr">
        <is>
          <t>HÄSSLEHOLM</t>
        </is>
      </c>
      <c r="G685" t="n">
        <v>4.1</v>
      </c>
      <c r="H685" t="n">
        <v>0</v>
      </c>
      <c r="I685" t="n">
        <v>0</v>
      </c>
      <c r="J685" t="n">
        <v>0</v>
      </c>
      <c r="K685" t="n">
        <v>0</v>
      </c>
      <c r="L685" t="n">
        <v>0</v>
      </c>
      <c r="M685" t="n">
        <v>0</v>
      </c>
      <c r="N685" t="n">
        <v>0</v>
      </c>
      <c r="O685" t="n">
        <v>0</v>
      </c>
      <c r="P685" t="n">
        <v>0</v>
      </c>
      <c r="Q685" t="n">
        <v>0</v>
      </c>
      <c r="R685" s="2" t="inlineStr"/>
    </row>
    <row r="686" ht="15" customHeight="1">
      <c r="A686" t="inlineStr">
        <is>
          <t>A 35727-2022</t>
        </is>
      </c>
      <c r="B686" s="1" t="n">
        <v>44799</v>
      </c>
      <c r="C686" s="1" t="n">
        <v>45811</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45811</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35842-2022</t>
        </is>
      </c>
      <c r="B688" s="1" t="n">
        <v>44802</v>
      </c>
      <c r="C688" s="1" t="n">
        <v>45811</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35974-2022</t>
        </is>
      </c>
      <c r="B689" s="1" t="n">
        <v>44802</v>
      </c>
      <c r="C689" s="1" t="n">
        <v>45811</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36706-2022</t>
        </is>
      </c>
      <c r="B690" s="1" t="n">
        <v>44805</v>
      </c>
      <c r="C690" s="1" t="n">
        <v>45811</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37098-2022</t>
        </is>
      </c>
      <c r="B691" s="1" t="n">
        <v>44806</v>
      </c>
      <c r="C691" s="1" t="n">
        <v>45811</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37162-2022</t>
        </is>
      </c>
      <c r="B692" s="1" t="n">
        <v>44806</v>
      </c>
      <c r="C692" s="1" t="n">
        <v>45811</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37170-2022</t>
        </is>
      </c>
      <c r="B693" s="1" t="n">
        <v>44806</v>
      </c>
      <c r="C693" s="1" t="n">
        <v>45811</v>
      </c>
      <c r="D693" t="inlineStr">
        <is>
          <t>SKÅNE LÄN</t>
        </is>
      </c>
      <c r="E693" t="inlineStr">
        <is>
          <t>HÄSSLEHOLM</t>
        </is>
      </c>
      <c r="F693" t="inlineStr">
        <is>
          <t>Kyrkan</t>
        </is>
      </c>
      <c r="G693" t="n">
        <v>4.5</v>
      </c>
      <c r="H693" t="n">
        <v>0</v>
      </c>
      <c r="I693" t="n">
        <v>0</v>
      </c>
      <c r="J693" t="n">
        <v>0</v>
      </c>
      <c r="K693" t="n">
        <v>0</v>
      </c>
      <c r="L693" t="n">
        <v>0</v>
      </c>
      <c r="M693" t="n">
        <v>0</v>
      </c>
      <c r="N693" t="n">
        <v>0</v>
      </c>
      <c r="O693" t="n">
        <v>0</v>
      </c>
      <c r="P693" t="n">
        <v>0</v>
      </c>
      <c r="Q693" t="n">
        <v>0</v>
      </c>
      <c r="R693" s="2" t="inlineStr"/>
    </row>
    <row r="694" ht="15" customHeight="1">
      <c r="A694" t="inlineStr">
        <is>
          <t>A 37181-2022</t>
        </is>
      </c>
      <c r="B694" s="1" t="n">
        <v>44806</v>
      </c>
      <c r="C694" s="1" t="n">
        <v>45811</v>
      </c>
      <c r="D694" t="inlineStr">
        <is>
          <t>SKÅNE LÄN</t>
        </is>
      </c>
      <c r="E694" t="inlineStr">
        <is>
          <t>HÄSSLEHOLM</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37457-2022</t>
        </is>
      </c>
      <c r="B695" s="1" t="n">
        <v>44809</v>
      </c>
      <c r="C695" s="1" t="n">
        <v>45811</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37764-2022</t>
        </is>
      </c>
      <c r="B696" s="1" t="n">
        <v>44810</v>
      </c>
      <c r="C696" s="1" t="n">
        <v>45811</v>
      </c>
      <c r="D696" t="inlineStr">
        <is>
          <t>SKÅNE LÄN</t>
        </is>
      </c>
      <c r="E696" t="inlineStr">
        <is>
          <t>HÄSSLEHOLM</t>
        </is>
      </c>
      <c r="F696" t="inlineStr">
        <is>
          <t>Kyrkan</t>
        </is>
      </c>
      <c r="G696" t="n">
        <v>9.4</v>
      </c>
      <c r="H696" t="n">
        <v>0</v>
      </c>
      <c r="I696" t="n">
        <v>0</v>
      </c>
      <c r="J696" t="n">
        <v>0</v>
      </c>
      <c r="K696" t="n">
        <v>0</v>
      </c>
      <c r="L696" t="n">
        <v>0</v>
      </c>
      <c r="M696" t="n">
        <v>0</v>
      </c>
      <c r="N696" t="n">
        <v>0</v>
      </c>
      <c r="O696" t="n">
        <v>0</v>
      </c>
      <c r="P696" t="n">
        <v>0</v>
      </c>
      <c r="Q696" t="n">
        <v>0</v>
      </c>
      <c r="R696" s="2" t="inlineStr"/>
    </row>
    <row r="697" ht="15" customHeight="1">
      <c r="A697" t="inlineStr">
        <is>
          <t>A 38148-2022</t>
        </is>
      </c>
      <c r="B697" s="1" t="n">
        <v>44811</v>
      </c>
      <c r="C697" s="1" t="n">
        <v>45811</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38133-2022</t>
        </is>
      </c>
      <c r="B698" s="1" t="n">
        <v>44811</v>
      </c>
      <c r="C698" s="1" t="n">
        <v>45811</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38306-2022</t>
        </is>
      </c>
      <c r="B699" s="1" t="n">
        <v>44812</v>
      </c>
      <c r="C699" s="1" t="n">
        <v>45811</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38376-2022</t>
        </is>
      </c>
      <c r="B700" s="1" t="n">
        <v>44812</v>
      </c>
      <c r="C700" s="1" t="n">
        <v>45811</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38463-2022</t>
        </is>
      </c>
      <c r="B701" s="1" t="n">
        <v>44813</v>
      </c>
      <c r="C701" s="1" t="n">
        <v>45811</v>
      </c>
      <c r="D701" t="inlineStr">
        <is>
          <t>SKÅNE LÄN</t>
        </is>
      </c>
      <c r="E701" t="inlineStr">
        <is>
          <t>HÄSSLEHOLM</t>
        </is>
      </c>
      <c r="G701" t="n">
        <v>5.8</v>
      </c>
      <c r="H701" t="n">
        <v>0</v>
      </c>
      <c r="I701" t="n">
        <v>0</v>
      </c>
      <c r="J701" t="n">
        <v>0</v>
      </c>
      <c r="K701" t="n">
        <v>0</v>
      </c>
      <c r="L701" t="n">
        <v>0</v>
      </c>
      <c r="M701" t="n">
        <v>0</v>
      </c>
      <c r="N701" t="n">
        <v>0</v>
      </c>
      <c r="O701" t="n">
        <v>0</v>
      </c>
      <c r="P701" t="n">
        <v>0</v>
      </c>
      <c r="Q701" t="n">
        <v>0</v>
      </c>
      <c r="R701" s="2" t="inlineStr"/>
    </row>
    <row r="702" ht="15" customHeight="1">
      <c r="A702" t="inlineStr">
        <is>
          <t>A 39102-2022</t>
        </is>
      </c>
      <c r="B702" s="1" t="n">
        <v>44817</v>
      </c>
      <c r="C702" s="1" t="n">
        <v>45811</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40202-2022</t>
        </is>
      </c>
      <c r="B703" s="1" t="n">
        <v>44820</v>
      </c>
      <c r="C703" s="1" t="n">
        <v>45811</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40199-2022</t>
        </is>
      </c>
      <c r="B704" s="1" t="n">
        <v>44820</v>
      </c>
      <c r="C704" s="1" t="n">
        <v>45811</v>
      </c>
      <c r="D704" t="inlineStr">
        <is>
          <t>SKÅNE LÄN</t>
        </is>
      </c>
      <c r="E704" t="inlineStr">
        <is>
          <t>HÄSSLEHOLM</t>
        </is>
      </c>
      <c r="G704" t="n">
        <v>2.2</v>
      </c>
      <c r="H704" t="n">
        <v>0</v>
      </c>
      <c r="I704" t="n">
        <v>0</v>
      </c>
      <c r="J704" t="n">
        <v>0</v>
      </c>
      <c r="K704" t="n">
        <v>0</v>
      </c>
      <c r="L704" t="n">
        <v>0</v>
      </c>
      <c r="M704" t="n">
        <v>0</v>
      </c>
      <c r="N704" t="n">
        <v>0</v>
      </c>
      <c r="O704" t="n">
        <v>0</v>
      </c>
      <c r="P704" t="n">
        <v>0</v>
      </c>
      <c r="Q704" t="n">
        <v>0</v>
      </c>
      <c r="R704" s="2" t="inlineStr"/>
    </row>
    <row r="705" ht="15" customHeight="1">
      <c r="A705" t="inlineStr">
        <is>
          <t>A 40764-2022</t>
        </is>
      </c>
      <c r="B705" s="1" t="n">
        <v>44820</v>
      </c>
      <c r="C705" s="1" t="n">
        <v>45811</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45811</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40768-2022</t>
        </is>
      </c>
      <c r="B707" s="1" t="n">
        <v>44820</v>
      </c>
      <c r="C707" s="1" t="n">
        <v>45811</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41459-2022</t>
        </is>
      </c>
      <c r="B708" s="1" t="n">
        <v>44827</v>
      </c>
      <c r="C708" s="1" t="n">
        <v>45811</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42232-2022</t>
        </is>
      </c>
      <c r="B709" s="1" t="n">
        <v>44830</v>
      </c>
      <c r="C709" s="1" t="n">
        <v>45811</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42231-2022</t>
        </is>
      </c>
      <c r="B710" s="1" t="n">
        <v>44830</v>
      </c>
      <c r="C710" s="1" t="n">
        <v>45811</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42428-2022</t>
        </is>
      </c>
      <c r="B711" s="1" t="n">
        <v>44831</v>
      </c>
      <c r="C711" s="1" t="n">
        <v>45811</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42925-2022</t>
        </is>
      </c>
      <c r="B712" s="1" t="n">
        <v>44833</v>
      </c>
      <c r="C712" s="1" t="n">
        <v>45811</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42906-2022</t>
        </is>
      </c>
      <c r="B713" s="1" t="n">
        <v>44833</v>
      </c>
      <c r="C713" s="1" t="n">
        <v>45811</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43874-2022</t>
        </is>
      </c>
      <c r="B714" s="1" t="n">
        <v>44838</v>
      </c>
      <c r="C714" s="1" t="n">
        <v>45811</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43950-2022</t>
        </is>
      </c>
      <c r="B715" s="1" t="n">
        <v>44838</v>
      </c>
      <c r="C715" s="1" t="n">
        <v>45811</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44669-2022</t>
        </is>
      </c>
      <c r="B716" s="1" t="n">
        <v>44840</v>
      </c>
      <c r="C716" s="1" t="n">
        <v>45811</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45400-2022</t>
        </is>
      </c>
      <c r="B717" s="1" t="n">
        <v>44844</v>
      </c>
      <c r="C717" s="1" t="n">
        <v>45811</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v>
      </c>
      <c r="C718" s="1" t="n">
        <v>45811</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45357-2022</t>
        </is>
      </c>
      <c r="B719" s="1" t="n">
        <v>44844</v>
      </c>
      <c r="C719" s="1" t="n">
        <v>45811</v>
      </c>
      <c r="D719" t="inlineStr">
        <is>
          <t>SKÅNE LÄN</t>
        </is>
      </c>
      <c r="E719" t="inlineStr">
        <is>
          <t>HÄSSLEHOLM</t>
        </is>
      </c>
      <c r="G719" t="n">
        <v>5.8</v>
      </c>
      <c r="H719" t="n">
        <v>0</v>
      </c>
      <c r="I719" t="n">
        <v>0</v>
      </c>
      <c r="J719" t="n">
        <v>0</v>
      </c>
      <c r="K719" t="n">
        <v>0</v>
      </c>
      <c r="L719" t="n">
        <v>0</v>
      </c>
      <c r="M719" t="n">
        <v>0</v>
      </c>
      <c r="N719" t="n">
        <v>0</v>
      </c>
      <c r="O719" t="n">
        <v>0</v>
      </c>
      <c r="P719" t="n">
        <v>0</v>
      </c>
      <c r="Q719" t="n">
        <v>0</v>
      </c>
      <c r="R719" s="2" t="inlineStr"/>
    </row>
    <row r="720" ht="15" customHeight="1">
      <c r="A720" t="inlineStr">
        <is>
          <t>A 45399-2022</t>
        </is>
      </c>
      <c r="B720" s="1" t="n">
        <v>44844</v>
      </c>
      <c r="C720" s="1" t="n">
        <v>45811</v>
      </c>
      <c r="D720" t="inlineStr">
        <is>
          <t>SKÅNE LÄN</t>
        </is>
      </c>
      <c r="E720" t="inlineStr">
        <is>
          <t>HÄSSLEHOLM</t>
        </is>
      </c>
      <c r="G720" t="n">
        <v>0</v>
      </c>
      <c r="H720" t="n">
        <v>0</v>
      </c>
      <c r="I720" t="n">
        <v>0</v>
      </c>
      <c r="J720" t="n">
        <v>0</v>
      </c>
      <c r="K720" t="n">
        <v>0</v>
      </c>
      <c r="L720" t="n">
        <v>0</v>
      </c>
      <c r="M720" t="n">
        <v>0</v>
      </c>
      <c r="N720" t="n">
        <v>0</v>
      </c>
      <c r="O720" t="n">
        <v>0</v>
      </c>
      <c r="P720" t="n">
        <v>0</v>
      </c>
      <c r="Q720" t="n">
        <v>0</v>
      </c>
      <c r="R720" s="2" t="inlineStr"/>
    </row>
    <row r="721" ht="15" customHeight="1">
      <c r="A721" t="inlineStr">
        <is>
          <t>A 45187-2022</t>
        </is>
      </c>
      <c r="B721" s="1" t="n">
        <v>44844</v>
      </c>
      <c r="C721" s="1" t="n">
        <v>45811</v>
      </c>
      <c r="D721" t="inlineStr">
        <is>
          <t>SKÅNE LÄN</t>
        </is>
      </c>
      <c r="E721" t="inlineStr">
        <is>
          <t>HÄSSLEHOLM</t>
        </is>
      </c>
      <c r="G721" t="n">
        <v>4.4</v>
      </c>
      <c r="H721" t="n">
        <v>0</v>
      </c>
      <c r="I721" t="n">
        <v>0</v>
      </c>
      <c r="J721" t="n">
        <v>0</v>
      </c>
      <c r="K721" t="n">
        <v>0</v>
      </c>
      <c r="L721" t="n">
        <v>0</v>
      </c>
      <c r="M721" t="n">
        <v>0</v>
      </c>
      <c r="N721" t="n">
        <v>0</v>
      </c>
      <c r="O721" t="n">
        <v>0</v>
      </c>
      <c r="P721" t="n">
        <v>0</v>
      </c>
      <c r="Q721" t="n">
        <v>0</v>
      </c>
      <c r="R721" s="2" t="inlineStr"/>
    </row>
    <row r="722" ht="15" customHeight="1">
      <c r="A722" t="inlineStr">
        <is>
          <t>A 45196-2022</t>
        </is>
      </c>
      <c r="B722" s="1" t="n">
        <v>44844</v>
      </c>
      <c r="C722" s="1" t="n">
        <v>45811</v>
      </c>
      <c r="D722" t="inlineStr">
        <is>
          <t>SKÅNE LÄN</t>
        </is>
      </c>
      <c r="E722" t="inlineStr">
        <is>
          <t>HÄSSLEHOLM</t>
        </is>
      </c>
      <c r="G722" t="n">
        <v>4.2</v>
      </c>
      <c r="H722" t="n">
        <v>0</v>
      </c>
      <c r="I722" t="n">
        <v>0</v>
      </c>
      <c r="J722" t="n">
        <v>0</v>
      </c>
      <c r="K722" t="n">
        <v>0</v>
      </c>
      <c r="L722" t="n">
        <v>0</v>
      </c>
      <c r="M722" t="n">
        <v>0</v>
      </c>
      <c r="N722" t="n">
        <v>0</v>
      </c>
      <c r="O722" t="n">
        <v>0</v>
      </c>
      <c r="P722" t="n">
        <v>0</v>
      </c>
      <c r="Q722" t="n">
        <v>0</v>
      </c>
      <c r="R722" s="2" t="inlineStr"/>
    </row>
    <row r="723" ht="15" customHeight="1">
      <c r="A723" t="inlineStr">
        <is>
          <t>A 45739-2022</t>
        </is>
      </c>
      <c r="B723" s="1" t="n">
        <v>44846</v>
      </c>
      <c r="C723" s="1" t="n">
        <v>45811</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45811</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46185-2022</t>
        </is>
      </c>
      <c r="B725" s="1" t="n">
        <v>44847</v>
      </c>
      <c r="C725" s="1" t="n">
        <v>45811</v>
      </c>
      <c r="D725" t="inlineStr">
        <is>
          <t>SKÅNE LÄN</t>
        </is>
      </c>
      <c r="E725" t="inlineStr">
        <is>
          <t>HÄSSLEHOLM</t>
        </is>
      </c>
      <c r="G725" t="n">
        <v>16.8</v>
      </c>
      <c r="H725" t="n">
        <v>0</v>
      </c>
      <c r="I725" t="n">
        <v>0</v>
      </c>
      <c r="J725" t="n">
        <v>0</v>
      </c>
      <c r="K725" t="n">
        <v>0</v>
      </c>
      <c r="L725" t="n">
        <v>0</v>
      </c>
      <c r="M725" t="n">
        <v>0</v>
      </c>
      <c r="N725" t="n">
        <v>0</v>
      </c>
      <c r="O725" t="n">
        <v>0</v>
      </c>
      <c r="P725" t="n">
        <v>0</v>
      </c>
      <c r="Q725" t="n">
        <v>0</v>
      </c>
      <c r="R725" s="2" t="inlineStr"/>
    </row>
    <row r="726" ht="15" customHeight="1">
      <c r="A726" t="inlineStr">
        <is>
          <t>A 46229-2022</t>
        </is>
      </c>
      <c r="B726" s="1" t="n">
        <v>44847</v>
      </c>
      <c r="C726" s="1" t="n">
        <v>45811</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46222-2022</t>
        </is>
      </c>
      <c r="B727" s="1" t="n">
        <v>44847</v>
      </c>
      <c r="C727" s="1" t="n">
        <v>45811</v>
      </c>
      <c r="D727" t="inlineStr">
        <is>
          <t>SKÅNE LÄN</t>
        </is>
      </c>
      <c r="E727" t="inlineStr">
        <is>
          <t>HÄSSLEHOLM</t>
        </is>
      </c>
      <c r="G727" t="n">
        <v>6.3</v>
      </c>
      <c r="H727" t="n">
        <v>0</v>
      </c>
      <c r="I727" t="n">
        <v>0</v>
      </c>
      <c r="J727" t="n">
        <v>0</v>
      </c>
      <c r="K727" t="n">
        <v>0</v>
      </c>
      <c r="L727" t="n">
        <v>0</v>
      </c>
      <c r="M727" t="n">
        <v>0</v>
      </c>
      <c r="N727" t="n">
        <v>0</v>
      </c>
      <c r="O727" t="n">
        <v>0</v>
      </c>
      <c r="P727" t="n">
        <v>0</v>
      </c>
      <c r="Q727" t="n">
        <v>0</v>
      </c>
      <c r="R727" s="2" t="inlineStr"/>
    </row>
    <row r="728" ht="15" customHeight="1">
      <c r="A728" t="inlineStr">
        <is>
          <t>A 49250-2022</t>
        </is>
      </c>
      <c r="B728" s="1" t="n">
        <v>44858</v>
      </c>
      <c r="C728" s="1" t="n">
        <v>45811</v>
      </c>
      <c r="D728" t="inlineStr">
        <is>
          <t>SKÅNE LÄN</t>
        </is>
      </c>
      <c r="E728" t="inlineStr">
        <is>
          <t>HÄSSLEHOLM</t>
        </is>
      </c>
      <c r="F728" t="inlineStr">
        <is>
          <t>Kyrkan</t>
        </is>
      </c>
      <c r="G728" t="n">
        <v>1.5</v>
      </c>
      <c r="H728" t="n">
        <v>0</v>
      </c>
      <c r="I728" t="n">
        <v>0</v>
      </c>
      <c r="J728" t="n">
        <v>0</v>
      </c>
      <c r="K728" t="n">
        <v>0</v>
      </c>
      <c r="L728" t="n">
        <v>0</v>
      </c>
      <c r="M728" t="n">
        <v>0</v>
      </c>
      <c r="N728" t="n">
        <v>0</v>
      </c>
      <c r="O728" t="n">
        <v>0</v>
      </c>
      <c r="P728" t="n">
        <v>0</v>
      </c>
      <c r="Q728" t="n">
        <v>0</v>
      </c>
      <c r="R728" s="2" t="inlineStr"/>
    </row>
    <row r="729" ht="15" customHeight="1">
      <c r="A729" t="inlineStr">
        <is>
          <t>A 48747-2022</t>
        </is>
      </c>
      <c r="B729" s="1" t="n">
        <v>44859</v>
      </c>
      <c r="C729" s="1" t="n">
        <v>45811</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49827-2022</t>
        </is>
      </c>
      <c r="B730" s="1" t="n">
        <v>44859</v>
      </c>
      <c r="C730" s="1" t="n">
        <v>45811</v>
      </c>
      <c r="D730" t="inlineStr">
        <is>
          <t>SKÅNE LÄN</t>
        </is>
      </c>
      <c r="E730" t="inlineStr">
        <is>
          <t>HÄSSLEHOLM</t>
        </is>
      </c>
      <c r="G730" t="n">
        <v>6.1</v>
      </c>
      <c r="H730" t="n">
        <v>0</v>
      </c>
      <c r="I730" t="n">
        <v>0</v>
      </c>
      <c r="J730" t="n">
        <v>0</v>
      </c>
      <c r="K730" t="n">
        <v>0</v>
      </c>
      <c r="L730" t="n">
        <v>0</v>
      </c>
      <c r="M730" t="n">
        <v>0</v>
      </c>
      <c r="N730" t="n">
        <v>0</v>
      </c>
      <c r="O730" t="n">
        <v>0</v>
      </c>
      <c r="P730" t="n">
        <v>0</v>
      </c>
      <c r="Q730" t="n">
        <v>0</v>
      </c>
      <c r="R730" s="2" t="inlineStr"/>
    </row>
    <row r="731" ht="15" customHeight="1">
      <c r="A731" t="inlineStr">
        <is>
          <t>A 49167-2022</t>
        </is>
      </c>
      <c r="B731" s="1" t="n">
        <v>44860</v>
      </c>
      <c r="C731" s="1" t="n">
        <v>45811</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49691-2022</t>
        </is>
      </c>
      <c r="B732" s="1" t="n">
        <v>44862</v>
      </c>
      <c r="C732" s="1" t="n">
        <v>45811</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50585-2022</t>
        </is>
      </c>
      <c r="B733" s="1" t="n">
        <v>44866</v>
      </c>
      <c r="C733" s="1" t="n">
        <v>45811</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51287-2022</t>
        </is>
      </c>
      <c r="B734" s="1" t="n">
        <v>44868</v>
      </c>
      <c r="C734" s="1" t="n">
        <v>45811</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52912-2022</t>
        </is>
      </c>
      <c r="B735" s="1" t="n">
        <v>44872</v>
      </c>
      <c r="C735" s="1" t="n">
        <v>45811</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45811</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53085-2022</t>
        </is>
      </c>
      <c r="B737" s="1" t="n">
        <v>44873</v>
      </c>
      <c r="C737" s="1" t="n">
        <v>45811</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53077-2022</t>
        </is>
      </c>
      <c r="B738" s="1" t="n">
        <v>44873</v>
      </c>
      <c r="C738" s="1" t="n">
        <v>45811</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52564-2022</t>
        </is>
      </c>
      <c r="B739" s="1" t="n">
        <v>44874</v>
      </c>
      <c r="C739" s="1" t="n">
        <v>45811</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52968-2022</t>
        </is>
      </c>
      <c r="B740" s="1" t="n">
        <v>44875</v>
      </c>
      <c r="C740" s="1" t="n">
        <v>45811</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53576-2022</t>
        </is>
      </c>
      <c r="B741" s="1" t="n">
        <v>44875</v>
      </c>
      <c r="C741" s="1" t="n">
        <v>45811</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53593-2022</t>
        </is>
      </c>
      <c r="B742" s="1" t="n">
        <v>44875</v>
      </c>
      <c r="C742" s="1" t="n">
        <v>45811</v>
      </c>
      <c r="D742" t="inlineStr">
        <is>
          <t>SKÅNE LÄN</t>
        </is>
      </c>
      <c r="E742" t="inlineStr">
        <is>
          <t>HÄSSLEHOLM</t>
        </is>
      </c>
      <c r="F742" t="inlineStr">
        <is>
          <t>Övriga Aktiebolag</t>
        </is>
      </c>
      <c r="G742" t="n">
        <v>1.8</v>
      </c>
      <c r="H742" t="n">
        <v>0</v>
      </c>
      <c r="I742" t="n">
        <v>0</v>
      </c>
      <c r="J742" t="n">
        <v>0</v>
      </c>
      <c r="K742" t="n">
        <v>0</v>
      </c>
      <c r="L742" t="n">
        <v>0</v>
      </c>
      <c r="M742" t="n">
        <v>0</v>
      </c>
      <c r="N742" t="n">
        <v>0</v>
      </c>
      <c r="O742" t="n">
        <v>0</v>
      </c>
      <c r="P742" t="n">
        <v>0</v>
      </c>
      <c r="Q742" t="n">
        <v>0</v>
      </c>
      <c r="R742" s="2" t="inlineStr"/>
    </row>
    <row r="743" ht="15" customHeight="1">
      <c r="A743" t="inlineStr">
        <is>
          <t>A 53590-2022</t>
        </is>
      </c>
      <c r="B743" s="1" t="n">
        <v>44875</v>
      </c>
      <c r="C743" s="1" t="n">
        <v>45811</v>
      </c>
      <c r="D743" t="inlineStr">
        <is>
          <t>SKÅNE LÄN</t>
        </is>
      </c>
      <c r="E743" t="inlineStr">
        <is>
          <t>HÄSSLEHOLM</t>
        </is>
      </c>
      <c r="F743" t="inlineStr">
        <is>
          <t>Övriga Aktiebolag</t>
        </is>
      </c>
      <c r="G743" t="n">
        <v>2.9</v>
      </c>
      <c r="H743" t="n">
        <v>0</v>
      </c>
      <c r="I743" t="n">
        <v>0</v>
      </c>
      <c r="J743" t="n">
        <v>0</v>
      </c>
      <c r="K743" t="n">
        <v>0</v>
      </c>
      <c r="L743" t="n">
        <v>0</v>
      </c>
      <c r="M743" t="n">
        <v>0</v>
      </c>
      <c r="N743" t="n">
        <v>0</v>
      </c>
      <c r="O743" t="n">
        <v>0</v>
      </c>
      <c r="P743" t="n">
        <v>0</v>
      </c>
      <c r="Q743" t="n">
        <v>0</v>
      </c>
      <c r="R743" s="2" t="inlineStr"/>
    </row>
    <row r="744" ht="15" customHeight="1">
      <c r="A744" t="inlineStr">
        <is>
          <t>A 53058-2022</t>
        </is>
      </c>
      <c r="B744" s="1" t="n">
        <v>44876</v>
      </c>
      <c r="C744" s="1" t="n">
        <v>45811</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53136-2022</t>
        </is>
      </c>
      <c r="B745" s="1" t="n">
        <v>44876</v>
      </c>
      <c r="C745" s="1" t="n">
        <v>45811</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53302-2022</t>
        </is>
      </c>
      <c r="B746" s="1" t="n">
        <v>44877</v>
      </c>
      <c r="C746" s="1" t="n">
        <v>45811</v>
      </c>
      <c r="D746" t="inlineStr">
        <is>
          <t>SKÅNE LÄN</t>
        </is>
      </c>
      <c r="E746" t="inlineStr">
        <is>
          <t>HÄSSLEHOLM</t>
        </is>
      </c>
      <c r="G746" t="n">
        <v>0.1</v>
      </c>
      <c r="H746" t="n">
        <v>0</v>
      </c>
      <c r="I746" t="n">
        <v>0</v>
      </c>
      <c r="J746" t="n">
        <v>0</v>
      </c>
      <c r="K746" t="n">
        <v>0</v>
      </c>
      <c r="L746" t="n">
        <v>0</v>
      </c>
      <c r="M746" t="n">
        <v>0</v>
      </c>
      <c r="N746" t="n">
        <v>0</v>
      </c>
      <c r="O746" t="n">
        <v>0</v>
      </c>
      <c r="P746" t="n">
        <v>0</v>
      </c>
      <c r="Q746" t="n">
        <v>0</v>
      </c>
      <c r="R746" s="2" t="inlineStr"/>
    </row>
    <row r="747" ht="15" customHeight="1">
      <c r="A747" t="inlineStr">
        <is>
          <t>A 54106-2022</t>
        </is>
      </c>
      <c r="B747" s="1" t="n">
        <v>44879</v>
      </c>
      <c r="C747" s="1" t="n">
        <v>45811</v>
      </c>
      <c r="D747" t="inlineStr">
        <is>
          <t>SKÅNE LÄN</t>
        </is>
      </c>
      <c r="E747" t="inlineStr">
        <is>
          <t>HÄSSLEHOLM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54174-2022</t>
        </is>
      </c>
      <c r="B748" s="1" t="n">
        <v>44881</v>
      </c>
      <c r="C748" s="1" t="n">
        <v>45811</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54164-2022</t>
        </is>
      </c>
      <c r="B749" s="1" t="n">
        <v>44881</v>
      </c>
      <c r="C749" s="1" t="n">
        <v>45811</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54171-2022</t>
        </is>
      </c>
      <c r="B750" s="1" t="n">
        <v>44881</v>
      </c>
      <c r="C750" s="1" t="n">
        <v>45811</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54176-2022</t>
        </is>
      </c>
      <c r="B751" s="1" t="n">
        <v>44881</v>
      </c>
      <c r="C751" s="1" t="n">
        <v>45811</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54874-2022</t>
        </is>
      </c>
      <c r="B752" s="1" t="n">
        <v>44881</v>
      </c>
      <c r="C752" s="1" t="n">
        <v>45811</v>
      </c>
      <c r="D752" t="inlineStr">
        <is>
          <t>SKÅNE LÄN</t>
        </is>
      </c>
      <c r="E752" t="inlineStr">
        <is>
          <t>HÄSSLEHOLM</t>
        </is>
      </c>
      <c r="G752" t="n">
        <v>8.1</v>
      </c>
      <c r="H752" t="n">
        <v>0</v>
      </c>
      <c r="I752" t="n">
        <v>0</v>
      </c>
      <c r="J752" t="n">
        <v>0</v>
      </c>
      <c r="K752" t="n">
        <v>0</v>
      </c>
      <c r="L752" t="n">
        <v>0</v>
      </c>
      <c r="M752" t="n">
        <v>0</v>
      </c>
      <c r="N752" t="n">
        <v>0</v>
      </c>
      <c r="O752" t="n">
        <v>0</v>
      </c>
      <c r="P752" t="n">
        <v>0</v>
      </c>
      <c r="Q752" t="n">
        <v>0</v>
      </c>
      <c r="R752" s="2" t="inlineStr"/>
    </row>
    <row r="753" ht="15" customHeight="1">
      <c r="A753" t="inlineStr">
        <is>
          <t>A 54326-2022</t>
        </is>
      </c>
      <c r="B753" s="1" t="n">
        <v>44882</v>
      </c>
      <c r="C753" s="1" t="n">
        <v>45811</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54462-2022</t>
        </is>
      </c>
      <c r="B754" s="1" t="n">
        <v>44882</v>
      </c>
      <c r="C754" s="1" t="n">
        <v>45811</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54518-2022</t>
        </is>
      </c>
      <c r="B755" s="1" t="n">
        <v>44882</v>
      </c>
      <c r="C755" s="1" t="n">
        <v>45811</v>
      </c>
      <c r="D755" t="inlineStr">
        <is>
          <t>SKÅNE LÄN</t>
        </is>
      </c>
      <c r="E755" t="inlineStr">
        <is>
          <t>HÄSSLEHOLM</t>
        </is>
      </c>
      <c r="F755" t="inlineStr">
        <is>
          <t>Övriga Aktiebolag</t>
        </is>
      </c>
      <c r="G755" t="n">
        <v>6.8</v>
      </c>
      <c r="H755" t="n">
        <v>0</v>
      </c>
      <c r="I755" t="n">
        <v>0</v>
      </c>
      <c r="J755" t="n">
        <v>0</v>
      </c>
      <c r="K755" t="n">
        <v>0</v>
      </c>
      <c r="L755" t="n">
        <v>0</v>
      </c>
      <c r="M755" t="n">
        <v>0</v>
      </c>
      <c r="N755" t="n">
        <v>0</v>
      </c>
      <c r="O755" t="n">
        <v>0</v>
      </c>
      <c r="P755" t="n">
        <v>0</v>
      </c>
      <c r="Q755" t="n">
        <v>0</v>
      </c>
      <c r="R755" s="2" t="inlineStr"/>
    </row>
    <row r="756" ht="15" customHeight="1">
      <c r="A756" t="inlineStr">
        <is>
          <t>A 55424-2022</t>
        </is>
      </c>
      <c r="B756" s="1" t="n">
        <v>44882</v>
      </c>
      <c r="C756" s="1" t="n">
        <v>45811</v>
      </c>
      <c r="D756" t="inlineStr">
        <is>
          <t>SKÅNE LÄN</t>
        </is>
      </c>
      <c r="E756" t="inlineStr">
        <is>
          <t>HÄSSLEHOLM</t>
        </is>
      </c>
      <c r="F756" t="inlineStr">
        <is>
          <t>Övriga Aktiebolag</t>
        </is>
      </c>
      <c r="G756" t="n">
        <v>1</v>
      </c>
      <c r="H756" t="n">
        <v>0</v>
      </c>
      <c r="I756" t="n">
        <v>0</v>
      </c>
      <c r="J756" t="n">
        <v>0</v>
      </c>
      <c r="K756" t="n">
        <v>0</v>
      </c>
      <c r="L756" t="n">
        <v>0</v>
      </c>
      <c r="M756" t="n">
        <v>0</v>
      </c>
      <c r="N756" t="n">
        <v>0</v>
      </c>
      <c r="O756" t="n">
        <v>0</v>
      </c>
      <c r="P756" t="n">
        <v>0</v>
      </c>
      <c r="Q756" t="n">
        <v>0</v>
      </c>
      <c r="R756" s="2" t="inlineStr"/>
    </row>
    <row r="757" ht="15" customHeight="1">
      <c r="A757" t="inlineStr">
        <is>
          <t>A 55429-2022</t>
        </is>
      </c>
      <c r="B757" s="1" t="n">
        <v>44882</v>
      </c>
      <c r="C757" s="1" t="n">
        <v>45811</v>
      </c>
      <c r="D757" t="inlineStr">
        <is>
          <t>SKÅNE LÄN</t>
        </is>
      </c>
      <c r="E757" t="inlineStr">
        <is>
          <t>HÄSSLEHOLM</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55412-2022</t>
        </is>
      </c>
      <c r="B758" s="1" t="n">
        <v>44882</v>
      </c>
      <c r="C758" s="1" t="n">
        <v>45811</v>
      </c>
      <c r="D758" t="inlineStr">
        <is>
          <t>SKÅNE LÄN</t>
        </is>
      </c>
      <c r="E758" t="inlineStr">
        <is>
          <t>HÄSSLEHOLM</t>
        </is>
      </c>
      <c r="F758" t="inlineStr">
        <is>
          <t>Övriga Aktiebolag</t>
        </is>
      </c>
      <c r="G758" t="n">
        <v>4</v>
      </c>
      <c r="H758" t="n">
        <v>0</v>
      </c>
      <c r="I758" t="n">
        <v>0</v>
      </c>
      <c r="J758" t="n">
        <v>0</v>
      </c>
      <c r="K758" t="n">
        <v>0</v>
      </c>
      <c r="L758" t="n">
        <v>0</v>
      </c>
      <c r="M758" t="n">
        <v>0</v>
      </c>
      <c r="N758" t="n">
        <v>0</v>
      </c>
      <c r="O758" t="n">
        <v>0</v>
      </c>
      <c r="P758" t="n">
        <v>0</v>
      </c>
      <c r="Q758" t="n">
        <v>0</v>
      </c>
      <c r="R758" s="2" t="inlineStr"/>
    </row>
    <row r="759" ht="15" customHeight="1">
      <c r="A759" t="inlineStr">
        <is>
          <t>A 55419-2022</t>
        </is>
      </c>
      <c r="B759" s="1" t="n">
        <v>44882</v>
      </c>
      <c r="C759" s="1" t="n">
        <v>45811</v>
      </c>
      <c r="D759" t="inlineStr">
        <is>
          <t>SKÅNE LÄN</t>
        </is>
      </c>
      <c r="E759" t="inlineStr">
        <is>
          <t>HÄSSLEHOLM</t>
        </is>
      </c>
      <c r="F759" t="inlineStr">
        <is>
          <t>Övriga Aktiebolag</t>
        </is>
      </c>
      <c r="G759" t="n">
        <v>5.8</v>
      </c>
      <c r="H759" t="n">
        <v>0</v>
      </c>
      <c r="I759" t="n">
        <v>0</v>
      </c>
      <c r="J759" t="n">
        <v>0</v>
      </c>
      <c r="K759" t="n">
        <v>0</v>
      </c>
      <c r="L759" t="n">
        <v>0</v>
      </c>
      <c r="M759" t="n">
        <v>0</v>
      </c>
      <c r="N759" t="n">
        <v>0</v>
      </c>
      <c r="O759" t="n">
        <v>0</v>
      </c>
      <c r="P759" t="n">
        <v>0</v>
      </c>
      <c r="Q759" t="n">
        <v>0</v>
      </c>
      <c r="R759" s="2" t="inlineStr"/>
    </row>
    <row r="760" ht="15" customHeight="1">
      <c r="A760" t="inlineStr">
        <is>
          <t>A 54662-2022</t>
        </is>
      </c>
      <c r="B760" s="1" t="n">
        <v>44883</v>
      </c>
      <c r="C760" s="1" t="n">
        <v>45811</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54777-2022</t>
        </is>
      </c>
      <c r="B761" s="1" t="n">
        <v>44883</v>
      </c>
      <c r="C761" s="1" t="n">
        <v>45811</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54671-2022</t>
        </is>
      </c>
      <c r="B762" s="1" t="n">
        <v>44883</v>
      </c>
      <c r="C762" s="1" t="n">
        <v>45811</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54807-2022</t>
        </is>
      </c>
      <c r="B763" s="1" t="n">
        <v>44883</v>
      </c>
      <c r="C763" s="1" t="n">
        <v>45811</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55662-2022</t>
        </is>
      </c>
      <c r="B764" s="1" t="n">
        <v>44883</v>
      </c>
      <c r="C764" s="1" t="n">
        <v>45811</v>
      </c>
      <c r="D764" t="inlineStr">
        <is>
          <t>SKÅNE LÄN</t>
        </is>
      </c>
      <c r="E764" t="inlineStr">
        <is>
          <t>HÄSSLEHOLM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55690-2022</t>
        </is>
      </c>
      <c r="B765" s="1" t="n">
        <v>44883</v>
      </c>
      <c r="C765" s="1" t="n">
        <v>45811</v>
      </c>
      <c r="D765" t="inlineStr">
        <is>
          <t>SKÅNE LÄN</t>
        </is>
      </c>
      <c r="E765" t="inlineStr">
        <is>
          <t>HÄSSLEHOLM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55618-2022</t>
        </is>
      </c>
      <c r="B766" s="1" t="n">
        <v>44883</v>
      </c>
      <c r="C766" s="1" t="n">
        <v>45811</v>
      </c>
      <c r="D766" t="inlineStr">
        <is>
          <t>SKÅNE LÄN</t>
        </is>
      </c>
      <c r="E766" t="inlineStr">
        <is>
          <t>HÄSSLEHOLM</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55649-2022</t>
        </is>
      </c>
      <c r="B767" s="1" t="n">
        <v>44883</v>
      </c>
      <c r="C767" s="1" t="n">
        <v>45811</v>
      </c>
      <c r="D767" t="inlineStr">
        <is>
          <t>SKÅNE LÄN</t>
        </is>
      </c>
      <c r="E767" t="inlineStr">
        <is>
          <t>HÄSSLEHOLM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54948-2022</t>
        </is>
      </c>
      <c r="B768" s="1" t="n">
        <v>44886</v>
      </c>
      <c r="C768" s="1" t="n">
        <v>45811</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55154-2022</t>
        </is>
      </c>
      <c r="B769" s="1" t="n">
        <v>44886</v>
      </c>
      <c r="C769" s="1" t="n">
        <v>45811</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55155-2022</t>
        </is>
      </c>
      <c r="B770" s="1" t="n">
        <v>44886</v>
      </c>
      <c r="C770" s="1" t="n">
        <v>45811</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55364-2022</t>
        </is>
      </c>
      <c r="B771" s="1" t="n">
        <v>44887</v>
      </c>
      <c r="C771" s="1" t="n">
        <v>45811</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55394-2022</t>
        </is>
      </c>
      <c r="B772" s="1" t="n">
        <v>44887</v>
      </c>
      <c r="C772" s="1" t="n">
        <v>45811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55425-2022</t>
        </is>
      </c>
      <c r="B773" s="1" t="n">
        <v>44887</v>
      </c>
      <c r="C773" s="1" t="n">
        <v>45811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57033-2022</t>
        </is>
      </c>
      <c r="B774" s="1" t="n">
        <v>44895</v>
      </c>
      <c r="C774" s="1" t="n">
        <v>45811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57079-2022</t>
        </is>
      </c>
      <c r="B775" s="1" t="n">
        <v>44895</v>
      </c>
      <c r="C775" s="1" t="n">
        <v>45811</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58891-2022</t>
        </is>
      </c>
      <c r="B776" s="1" t="n">
        <v>44896</v>
      </c>
      <c r="C776" s="1" t="n">
        <v>45811</v>
      </c>
      <c r="D776" t="inlineStr">
        <is>
          <t>SKÅNE LÄN</t>
        </is>
      </c>
      <c r="E776" t="inlineStr">
        <is>
          <t>HÄSSLEHOLM</t>
        </is>
      </c>
      <c r="F776" t="inlineStr">
        <is>
          <t>Kyrkan</t>
        </is>
      </c>
      <c r="G776" t="n">
        <v>1.6</v>
      </c>
      <c r="H776" t="n">
        <v>0</v>
      </c>
      <c r="I776" t="n">
        <v>0</v>
      </c>
      <c r="J776" t="n">
        <v>0</v>
      </c>
      <c r="K776" t="n">
        <v>0</v>
      </c>
      <c r="L776" t="n">
        <v>0</v>
      </c>
      <c r="M776" t="n">
        <v>0</v>
      </c>
      <c r="N776" t="n">
        <v>0</v>
      </c>
      <c r="O776" t="n">
        <v>0</v>
      </c>
      <c r="P776" t="n">
        <v>0</v>
      </c>
      <c r="Q776" t="n">
        <v>0</v>
      </c>
      <c r="R776" s="2" t="inlineStr"/>
    </row>
    <row r="777" ht="15" customHeight="1">
      <c r="A777" t="inlineStr">
        <is>
          <t>A 57656-2022</t>
        </is>
      </c>
      <c r="B777" s="1" t="n">
        <v>44897</v>
      </c>
      <c r="C777" s="1" t="n">
        <v>45811</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57649-2022</t>
        </is>
      </c>
      <c r="B778" s="1" t="n">
        <v>44897</v>
      </c>
      <c r="C778" s="1" t="n">
        <v>45811</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57676-2022</t>
        </is>
      </c>
      <c r="B779" s="1" t="n">
        <v>44897</v>
      </c>
      <c r="C779" s="1" t="n">
        <v>45811</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57665-2022</t>
        </is>
      </c>
      <c r="B780" s="1" t="n">
        <v>44897</v>
      </c>
      <c r="C780" s="1" t="n">
        <v>45811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57978-2022</t>
        </is>
      </c>
      <c r="B781" s="1" t="n">
        <v>44900</v>
      </c>
      <c r="C781" s="1" t="n">
        <v>45811</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59763-2022</t>
        </is>
      </c>
      <c r="B782" s="1" t="n">
        <v>44900</v>
      </c>
      <c r="C782" s="1" t="n">
        <v>45811</v>
      </c>
      <c r="D782" t="inlineStr">
        <is>
          <t>SKÅNE LÄN</t>
        </is>
      </c>
      <c r="E782" t="inlineStr">
        <is>
          <t>HÄSSLEHOLM</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59728-2022</t>
        </is>
      </c>
      <c r="B783" s="1" t="n">
        <v>44900</v>
      </c>
      <c r="C783" s="1" t="n">
        <v>45811</v>
      </c>
      <c r="D783" t="inlineStr">
        <is>
          <t>SKÅNE LÄN</t>
        </is>
      </c>
      <c r="E783" t="inlineStr">
        <is>
          <t>HÄSSLEHOLM</t>
        </is>
      </c>
      <c r="G783" t="n">
        <v>0.3</v>
      </c>
      <c r="H783" t="n">
        <v>0</v>
      </c>
      <c r="I783" t="n">
        <v>0</v>
      </c>
      <c r="J783" t="n">
        <v>0</v>
      </c>
      <c r="K783" t="n">
        <v>0</v>
      </c>
      <c r="L783" t="n">
        <v>0</v>
      </c>
      <c r="M783" t="n">
        <v>0</v>
      </c>
      <c r="N783" t="n">
        <v>0</v>
      </c>
      <c r="O783" t="n">
        <v>0</v>
      </c>
      <c r="P783" t="n">
        <v>0</v>
      </c>
      <c r="Q783" t="n">
        <v>0</v>
      </c>
      <c r="R783" s="2" t="inlineStr"/>
    </row>
    <row r="784" ht="15" customHeight="1">
      <c r="A784" t="inlineStr">
        <is>
          <t>A 61485-2022</t>
        </is>
      </c>
      <c r="B784" s="1" t="n">
        <v>44910</v>
      </c>
      <c r="C784" s="1" t="n">
        <v>45811</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61498-2022</t>
        </is>
      </c>
      <c r="B785" s="1" t="n">
        <v>44910</v>
      </c>
      <c r="C785" s="1" t="n">
        <v>45811</v>
      </c>
      <c r="D785" t="inlineStr">
        <is>
          <t>SKÅNE LÄN</t>
        </is>
      </c>
      <c r="E785" t="inlineStr">
        <is>
          <t>HÄSSLEHOLM</t>
        </is>
      </c>
      <c r="F785" t="inlineStr">
        <is>
          <t>Kyrkan</t>
        </is>
      </c>
      <c r="G785" t="n">
        <v>3.2</v>
      </c>
      <c r="H785" t="n">
        <v>0</v>
      </c>
      <c r="I785" t="n">
        <v>0</v>
      </c>
      <c r="J785" t="n">
        <v>0</v>
      </c>
      <c r="K785" t="n">
        <v>0</v>
      </c>
      <c r="L785" t="n">
        <v>0</v>
      </c>
      <c r="M785" t="n">
        <v>0</v>
      </c>
      <c r="N785" t="n">
        <v>0</v>
      </c>
      <c r="O785" t="n">
        <v>0</v>
      </c>
      <c r="P785" t="n">
        <v>0</v>
      </c>
      <c r="Q785" t="n">
        <v>0</v>
      </c>
      <c r="R785" s="2" t="inlineStr"/>
    </row>
    <row r="786" ht="15" customHeight="1">
      <c r="A786" t="inlineStr">
        <is>
          <t>A 61504-2022</t>
        </is>
      </c>
      <c r="B786" s="1" t="n">
        <v>44910</v>
      </c>
      <c r="C786" s="1" t="n">
        <v>45811</v>
      </c>
      <c r="D786" t="inlineStr">
        <is>
          <t>SKÅNE LÄN</t>
        </is>
      </c>
      <c r="E786" t="inlineStr">
        <is>
          <t>HÄSSLEHOLM</t>
        </is>
      </c>
      <c r="F786" t="inlineStr">
        <is>
          <t>Kyrkan</t>
        </is>
      </c>
      <c r="G786" t="n">
        <v>2.9</v>
      </c>
      <c r="H786" t="n">
        <v>0</v>
      </c>
      <c r="I786" t="n">
        <v>0</v>
      </c>
      <c r="J786" t="n">
        <v>0</v>
      </c>
      <c r="K786" t="n">
        <v>0</v>
      </c>
      <c r="L786" t="n">
        <v>0</v>
      </c>
      <c r="M786" t="n">
        <v>0</v>
      </c>
      <c r="N786" t="n">
        <v>0</v>
      </c>
      <c r="O786" t="n">
        <v>0</v>
      </c>
      <c r="P786" t="n">
        <v>0</v>
      </c>
      <c r="Q786" t="n">
        <v>0</v>
      </c>
      <c r="R786" s="2" t="inlineStr"/>
    </row>
    <row r="787" ht="15" customHeight="1">
      <c r="A787" t="inlineStr">
        <is>
          <t>A 61507-2022</t>
        </is>
      </c>
      <c r="B787" s="1" t="n">
        <v>44910</v>
      </c>
      <c r="C787" s="1" t="n">
        <v>45811</v>
      </c>
      <c r="D787" t="inlineStr">
        <is>
          <t>SKÅNE LÄN</t>
        </is>
      </c>
      <c r="E787" t="inlineStr">
        <is>
          <t>HÄSSLEHOLM</t>
        </is>
      </c>
      <c r="F787" t="inlineStr">
        <is>
          <t>Kyrkan</t>
        </is>
      </c>
      <c r="G787" t="n">
        <v>4.3</v>
      </c>
      <c r="H787" t="n">
        <v>0</v>
      </c>
      <c r="I787" t="n">
        <v>0</v>
      </c>
      <c r="J787" t="n">
        <v>0</v>
      </c>
      <c r="K787" t="n">
        <v>0</v>
      </c>
      <c r="L787" t="n">
        <v>0</v>
      </c>
      <c r="M787" t="n">
        <v>0</v>
      </c>
      <c r="N787" t="n">
        <v>0</v>
      </c>
      <c r="O787" t="n">
        <v>0</v>
      </c>
      <c r="P787" t="n">
        <v>0</v>
      </c>
      <c r="Q787" t="n">
        <v>0</v>
      </c>
      <c r="R787" s="2" t="inlineStr"/>
    </row>
    <row r="788" ht="15" customHeight="1">
      <c r="A788" t="inlineStr">
        <is>
          <t>A 61524-2022</t>
        </is>
      </c>
      <c r="B788" s="1" t="n">
        <v>44910</v>
      </c>
      <c r="C788" s="1" t="n">
        <v>45811</v>
      </c>
      <c r="D788" t="inlineStr">
        <is>
          <t>SKÅNE LÄN</t>
        </is>
      </c>
      <c r="E788" t="inlineStr">
        <is>
          <t>HÄSSLEHOLM</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61539-2022</t>
        </is>
      </c>
      <c r="B789" s="1" t="n">
        <v>44910</v>
      </c>
      <c r="C789" s="1" t="n">
        <v>45811</v>
      </c>
      <c r="D789" t="inlineStr">
        <is>
          <t>SKÅNE LÄN</t>
        </is>
      </c>
      <c r="E789" t="inlineStr">
        <is>
          <t>HÄSSLEHOLM</t>
        </is>
      </c>
      <c r="G789" t="n">
        <v>8.6</v>
      </c>
      <c r="H789" t="n">
        <v>0</v>
      </c>
      <c r="I789" t="n">
        <v>0</v>
      </c>
      <c r="J789" t="n">
        <v>0</v>
      </c>
      <c r="K789" t="n">
        <v>0</v>
      </c>
      <c r="L789" t="n">
        <v>0</v>
      </c>
      <c r="M789" t="n">
        <v>0</v>
      </c>
      <c r="N789" t="n">
        <v>0</v>
      </c>
      <c r="O789" t="n">
        <v>0</v>
      </c>
      <c r="P789" t="n">
        <v>0</v>
      </c>
      <c r="Q789" t="n">
        <v>0</v>
      </c>
      <c r="R789" s="2" t="inlineStr"/>
    </row>
    <row r="790" ht="15" customHeight="1">
      <c r="A790" t="inlineStr">
        <is>
          <t>A 61533-2022</t>
        </is>
      </c>
      <c r="B790" s="1" t="n">
        <v>44910</v>
      </c>
      <c r="C790" s="1" t="n">
        <v>45811</v>
      </c>
      <c r="D790" t="inlineStr">
        <is>
          <t>SKÅNE LÄN</t>
        </is>
      </c>
      <c r="E790" t="inlineStr">
        <is>
          <t>HÄSSLEHOLM</t>
        </is>
      </c>
      <c r="F790" t="inlineStr">
        <is>
          <t>Kyrkan</t>
        </is>
      </c>
      <c r="G790" t="n">
        <v>1</v>
      </c>
      <c r="H790" t="n">
        <v>0</v>
      </c>
      <c r="I790" t="n">
        <v>0</v>
      </c>
      <c r="J790" t="n">
        <v>0</v>
      </c>
      <c r="K790" t="n">
        <v>0</v>
      </c>
      <c r="L790" t="n">
        <v>0</v>
      </c>
      <c r="M790" t="n">
        <v>0</v>
      </c>
      <c r="N790" t="n">
        <v>0</v>
      </c>
      <c r="O790" t="n">
        <v>0</v>
      </c>
      <c r="P790" t="n">
        <v>0</v>
      </c>
      <c r="Q790" t="n">
        <v>0</v>
      </c>
      <c r="R790" s="2" t="inlineStr"/>
    </row>
    <row r="791" ht="15" customHeight="1">
      <c r="A791" t="inlineStr">
        <is>
          <t>A 60519-2022</t>
        </is>
      </c>
      <c r="B791" s="1" t="n">
        <v>44911</v>
      </c>
      <c r="C791" s="1" t="n">
        <v>45811</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60846-2022</t>
        </is>
      </c>
      <c r="B792" s="1" t="n">
        <v>44914</v>
      </c>
      <c r="C792" s="1" t="n">
        <v>45811</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60843-2022</t>
        </is>
      </c>
      <c r="B793" s="1" t="n">
        <v>44914</v>
      </c>
      <c r="C793" s="1" t="n">
        <v>45811</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60848-2022</t>
        </is>
      </c>
      <c r="B794" s="1" t="n">
        <v>44914</v>
      </c>
      <c r="C794" s="1" t="n">
        <v>45811</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60959-2022</t>
        </is>
      </c>
      <c r="B795" s="1" t="n">
        <v>44914</v>
      </c>
      <c r="C795" s="1" t="n">
        <v>45811</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61170-2022</t>
        </is>
      </c>
      <c r="B796" s="1" t="n">
        <v>44915</v>
      </c>
      <c r="C796" s="1" t="n">
        <v>45811</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61186-2022</t>
        </is>
      </c>
      <c r="B797" s="1" t="n">
        <v>44915</v>
      </c>
      <c r="C797" s="1" t="n">
        <v>45811</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61178-2022</t>
        </is>
      </c>
      <c r="B798" s="1" t="n">
        <v>44915</v>
      </c>
      <c r="C798" s="1" t="n">
        <v>45811</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61292-2022</t>
        </is>
      </c>
      <c r="B799" s="1" t="n">
        <v>44915</v>
      </c>
      <c r="C799" s="1" t="n">
        <v>45811</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61158-2022</t>
        </is>
      </c>
      <c r="B800" s="1" t="n">
        <v>44915</v>
      </c>
      <c r="C800" s="1" t="n">
        <v>45811</v>
      </c>
      <c r="D800" t="inlineStr">
        <is>
          <t>SKÅNE LÄN</t>
        </is>
      </c>
      <c r="E800" t="inlineStr">
        <is>
          <t>HÄSSLEHOLM</t>
        </is>
      </c>
      <c r="G800" t="n">
        <v>8.4</v>
      </c>
      <c r="H800" t="n">
        <v>0</v>
      </c>
      <c r="I800" t="n">
        <v>0</v>
      </c>
      <c r="J800" t="n">
        <v>0</v>
      </c>
      <c r="K800" t="n">
        <v>0</v>
      </c>
      <c r="L800" t="n">
        <v>0</v>
      </c>
      <c r="M800" t="n">
        <v>0</v>
      </c>
      <c r="N800" t="n">
        <v>0</v>
      </c>
      <c r="O800" t="n">
        <v>0</v>
      </c>
      <c r="P800" t="n">
        <v>0</v>
      </c>
      <c r="Q800" t="n">
        <v>0</v>
      </c>
      <c r="R800" s="2" t="inlineStr"/>
    </row>
    <row r="801" ht="15" customHeight="1">
      <c r="A801" t="inlineStr">
        <is>
          <t>A 62171-2022</t>
        </is>
      </c>
      <c r="B801" s="1" t="n">
        <v>44915</v>
      </c>
      <c r="C801" s="1" t="n">
        <v>45811</v>
      </c>
      <c r="D801" t="inlineStr">
        <is>
          <t>SKÅNE LÄN</t>
        </is>
      </c>
      <c r="E801" t="inlineStr">
        <is>
          <t>HÄSSLEHOLM</t>
        </is>
      </c>
      <c r="F801" t="inlineStr">
        <is>
          <t>Kyrkan</t>
        </is>
      </c>
      <c r="G801" t="n">
        <v>9</v>
      </c>
      <c r="H801" t="n">
        <v>0</v>
      </c>
      <c r="I801" t="n">
        <v>0</v>
      </c>
      <c r="J801" t="n">
        <v>0</v>
      </c>
      <c r="K801" t="n">
        <v>0</v>
      </c>
      <c r="L801" t="n">
        <v>0</v>
      </c>
      <c r="M801" t="n">
        <v>0</v>
      </c>
      <c r="N801" t="n">
        <v>0</v>
      </c>
      <c r="O801" t="n">
        <v>0</v>
      </c>
      <c r="P801" t="n">
        <v>0</v>
      </c>
      <c r="Q801" t="n">
        <v>0</v>
      </c>
      <c r="R801" s="2" t="inlineStr"/>
    </row>
    <row r="802" ht="15" customHeight="1">
      <c r="A802" t="inlineStr">
        <is>
          <t>A 61185-2022</t>
        </is>
      </c>
      <c r="B802" s="1" t="n">
        <v>44915</v>
      </c>
      <c r="C802" s="1" t="n">
        <v>45811</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62167-2022</t>
        </is>
      </c>
      <c r="B803" s="1" t="n">
        <v>44915</v>
      </c>
      <c r="C803" s="1" t="n">
        <v>45811</v>
      </c>
      <c r="D803" t="inlineStr">
        <is>
          <t>SKÅNE LÄN</t>
        </is>
      </c>
      <c r="E803" t="inlineStr">
        <is>
          <t>HÄSSLEHOLM</t>
        </is>
      </c>
      <c r="F803" t="inlineStr">
        <is>
          <t>Kyrkan</t>
        </is>
      </c>
      <c r="G803" t="n">
        <v>3.1</v>
      </c>
      <c r="H803" t="n">
        <v>0</v>
      </c>
      <c r="I803" t="n">
        <v>0</v>
      </c>
      <c r="J803" t="n">
        <v>0</v>
      </c>
      <c r="K803" t="n">
        <v>0</v>
      </c>
      <c r="L803" t="n">
        <v>0</v>
      </c>
      <c r="M803" t="n">
        <v>0</v>
      </c>
      <c r="N803" t="n">
        <v>0</v>
      </c>
      <c r="O803" t="n">
        <v>0</v>
      </c>
      <c r="P803" t="n">
        <v>0</v>
      </c>
      <c r="Q803" t="n">
        <v>0</v>
      </c>
      <c r="R803" s="2" t="inlineStr"/>
    </row>
    <row r="804" ht="15" customHeight="1">
      <c r="A804" t="inlineStr">
        <is>
          <t>A 62199-2022</t>
        </is>
      </c>
      <c r="B804" s="1" t="n">
        <v>44915</v>
      </c>
      <c r="C804" s="1" t="n">
        <v>45811</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61625-2022</t>
        </is>
      </c>
      <c r="B805" s="1" t="n">
        <v>44916</v>
      </c>
      <c r="C805" s="1" t="n">
        <v>45811</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61680-2022</t>
        </is>
      </c>
      <c r="B806" s="1" t="n">
        <v>44917</v>
      </c>
      <c r="C806" s="1" t="n">
        <v>45811</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61909-2022</t>
        </is>
      </c>
      <c r="B807" s="1" t="n">
        <v>44917</v>
      </c>
      <c r="C807" s="1" t="n">
        <v>45811</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61901-2022</t>
        </is>
      </c>
      <c r="B808" s="1" t="n">
        <v>44917</v>
      </c>
      <c r="C808" s="1" t="n">
        <v>45811</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62044-2022</t>
        </is>
      </c>
      <c r="B809" s="1" t="n">
        <v>44918</v>
      </c>
      <c r="C809" s="1" t="n">
        <v>45811</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62041-2022</t>
        </is>
      </c>
      <c r="B810" s="1" t="n">
        <v>44918</v>
      </c>
      <c r="C810" s="1" t="n">
        <v>45811</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62234-2022</t>
        </is>
      </c>
      <c r="B811" s="1" t="n">
        <v>44922</v>
      </c>
      <c r="C811" s="1" t="n">
        <v>45811</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876-2023</t>
        </is>
      </c>
      <c r="B812" s="1" t="n">
        <v>44931</v>
      </c>
      <c r="C812" s="1" t="n">
        <v>45811</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1426-2023</t>
        </is>
      </c>
      <c r="B813" s="1" t="n">
        <v>44937</v>
      </c>
      <c r="C813" s="1" t="n">
        <v>45811</v>
      </c>
      <c r="D813" t="inlineStr">
        <is>
          <t>SKÅNE LÄN</t>
        </is>
      </c>
      <c r="E813" t="inlineStr">
        <is>
          <t>HÄSSLEHOLM</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1560-2023</t>
        </is>
      </c>
      <c r="B814" s="1" t="n">
        <v>44937</v>
      </c>
      <c r="C814" s="1" t="n">
        <v>45811</v>
      </c>
      <c r="D814" t="inlineStr">
        <is>
          <t>SKÅNE LÄN</t>
        </is>
      </c>
      <c r="E814" t="inlineStr">
        <is>
          <t>HÄSSLEHOLM</t>
        </is>
      </c>
      <c r="G814" t="n">
        <v>6.8</v>
      </c>
      <c r="H814" t="n">
        <v>0</v>
      </c>
      <c r="I814" t="n">
        <v>0</v>
      </c>
      <c r="J814" t="n">
        <v>0</v>
      </c>
      <c r="K814" t="n">
        <v>0</v>
      </c>
      <c r="L814" t="n">
        <v>0</v>
      </c>
      <c r="M814" t="n">
        <v>0</v>
      </c>
      <c r="N814" t="n">
        <v>0</v>
      </c>
      <c r="O814" t="n">
        <v>0</v>
      </c>
      <c r="P814" t="n">
        <v>0</v>
      </c>
      <c r="Q814" t="n">
        <v>0</v>
      </c>
      <c r="R814" s="2" t="inlineStr"/>
    </row>
    <row r="815" ht="15" customHeight="1">
      <c r="A815" t="inlineStr">
        <is>
          <t>A 1557-2023</t>
        </is>
      </c>
      <c r="B815" s="1" t="n">
        <v>44937</v>
      </c>
      <c r="C815" s="1" t="n">
        <v>45811</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1562-2023</t>
        </is>
      </c>
      <c r="B816" s="1" t="n">
        <v>44937</v>
      </c>
      <c r="C816" s="1" t="n">
        <v>45811</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1553-2023</t>
        </is>
      </c>
      <c r="B817" s="1" t="n">
        <v>44937</v>
      </c>
      <c r="C817" s="1" t="n">
        <v>45811</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2663-2023</t>
        </is>
      </c>
      <c r="B818" s="1" t="n">
        <v>44942</v>
      </c>
      <c r="C818" s="1" t="n">
        <v>45811</v>
      </c>
      <c r="D818" t="inlineStr">
        <is>
          <t>SKÅNE LÄN</t>
        </is>
      </c>
      <c r="E818" t="inlineStr">
        <is>
          <t>HÄSSLEHOLM</t>
        </is>
      </c>
      <c r="F818" t="inlineStr">
        <is>
          <t>Kyrkan</t>
        </is>
      </c>
      <c r="G818" t="n">
        <v>0.8</v>
      </c>
      <c r="H818" t="n">
        <v>0</v>
      </c>
      <c r="I818" t="n">
        <v>0</v>
      </c>
      <c r="J818" t="n">
        <v>0</v>
      </c>
      <c r="K818" t="n">
        <v>0</v>
      </c>
      <c r="L818" t="n">
        <v>0</v>
      </c>
      <c r="M818" t="n">
        <v>0</v>
      </c>
      <c r="N818" t="n">
        <v>0</v>
      </c>
      <c r="O818" t="n">
        <v>0</v>
      </c>
      <c r="P818" t="n">
        <v>0</v>
      </c>
      <c r="Q818" t="n">
        <v>0</v>
      </c>
      <c r="R818" s="2" t="inlineStr"/>
    </row>
    <row r="819" ht="15" customHeight="1">
      <c r="A819" t="inlineStr">
        <is>
          <t>A 2743-2023</t>
        </is>
      </c>
      <c r="B819" s="1" t="n">
        <v>44944</v>
      </c>
      <c r="C819" s="1" t="n">
        <v>45811</v>
      </c>
      <c r="D819" t="inlineStr">
        <is>
          <t>SKÅNE LÄN</t>
        </is>
      </c>
      <c r="E819" t="inlineStr">
        <is>
          <t>HÄSSLEHOLM</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2882-2023</t>
        </is>
      </c>
      <c r="B820" s="1" t="n">
        <v>44945</v>
      </c>
      <c r="C820" s="1" t="n">
        <v>45811</v>
      </c>
      <c r="D820" t="inlineStr">
        <is>
          <t>SKÅNE LÄN</t>
        </is>
      </c>
      <c r="E820" t="inlineStr">
        <is>
          <t>HÄSSLEHOLM</t>
        </is>
      </c>
      <c r="G820" t="n">
        <v>5.2</v>
      </c>
      <c r="H820" t="n">
        <v>0</v>
      </c>
      <c r="I820" t="n">
        <v>0</v>
      </c>
      <c r="J820" t="n">
        <v>0</v>
      </c>
      <c r="K820" t="n">
        <v>0</v>
      </c>
      <c r="L820" t="n">
        <v>0</v>
      </c>
      <c r="M820" t="n">
        <v>0</v>
      </c>
      <c r="N820" t="n">
        <v>0</v>
      </c>
      <c r="O820" t="n">
        <v>0</v>
      </c>
      <c r="P820" t="n">
        <v>0</v>
      </c>
      <c r="Q820" t="n">
        <v>0</v>
      </c>
      <c r="R820" s="2" t="inlineStr"/>
    </row>
    <row r="821" ht="15" customHeight="1">
      <c r="A821" t="inlineStr">
        <is>
          <t>A 3135-2023</t>
        </is>
      </c>
      <c r="B821" s="1" t="n">
        <v>44946</v>
      </c>
      <c r="C821" s="1" t="n">
        <v>45811</v>
      </c>
      <c r="D821" t="inlineStr">
        <is>
          <t>SKÅNE LÄN</t>
        </is>
      </c>
      <c r="E821" t="inlineStr">
        <is>
          <t>HÄSSLEHOLM</t>
        </is>
      </c>
      <c r="G821" t="n">
        <v>7.2</v>
      </c>
      <c r="H821" t="n">
        <v>0</v>
      </c>
      <c r="I821" t="n">
        <v>0</v>
      </c>
      <c r="J821" t="n">
        <v>0</v>
      </c>
      <c r="K821" t="n">
        <v>0</v>
      </c>
      <c r="L821" t="n">
        <v>0</v>
      </c>
      <c r="M821" t="n">
        <v>0</v>
      </c>
      <c r="N821" t="n">
        <v>0</v>
      </c>
      <c r="O821" t="n">
        <v>0</v>
      </c>
      <c r="P821" t="n">
        <v>0</v>
      </c>
      <c r="Q821" t="n">
        <v>0</v>
      </c>
      <c r="R821" s="2" t="inlineStr"/>
    </row>
    <row r="822" ht="15" customHeight="1">
      <c r="A822" t="inlineStr">
        <is>
          <t>A 3123-2023</t>
        </is>
      </c>
      <c r="B822" s="1" t="n">
        <v>44946</v>
      </c>
      <c r="C822" s="1" t="n">
        <v>45811</v>
      </c>
      <c r="D822" t="inlineStr">
        <is>
          <t>SKÅNE LÄN</t>
        </is>
      </c>
      <c r="E822" t="inlineStr">
        <is>
          <t>HÄSSLEHOLM</t>
        </is>
      </c>
      <c r="G822" t="n">
        <v>3.5</v>
      </c>
      <c r="H822" t="n">
        <v>0</v>
      </c>
      <c r="I822" t="n">
        <v>0</v>
      </c>
      <c r="J822" t="n">
        <v>0</v>
      </c>
      <c r="K822" t="n">
        <v>0</v>
      </c>
      <c r="L822" t="n">
        <v>0</v>
      </c>
      <c r="M822" t="n">
        <v>0</v>
      </c>
      <c r="N822" t="n">
        <v>0</v>
      </c>
      <c r="O822" t="n">
        <v>0</v>
      </c>
      <c r="P822" t="n">
        <v>0</v>
      </c>
      <c r="Q822" t="n">
        <v>0</v>
      </c>
      <c r="R822" s="2" t="inlineStr"/>
    </row>
    <row r="823" ht="15" customHeight="1">
      <c r="A823" t="inlineStr">
        <is>
          <t>A 3069-2023</t>
        </is>
      </c>
      <c r="B823" s="1" t="n">
        <v>44946</v>
      </c>
      <c r="C823" s="1" t="n">
        <v>45811</v>
      </c>
      <c r="D823" t="inlineStr">
        <is>
          <t>SKÅNE LÄN</t>
        </is>
      </c>
      <c r="E823" t="inlineStr">
        <is>
          <t>HÄSSLEHOLM</t>
        </is>
      </c>
      <c r="G823" t="n">
        <v>3.7</v>
      </c>
      <c r="H823" t="n">
        <v>0</v>
      </c>
      <c r="I823" t="n">
        <v>0</v>
      </c>
      <c r="J823" t="n">
        <v>0</v>
      </c>
      <c r="K823" t="n">
        <v>0</v>
      </c>
      <c r="L823" t="n">
        <v>0</v>
      </c>
      <c r="M823" t="n">
        <v>0</v>
      </c>
      <c r="N823" t="n">
        <v>0</v>
      </c>
      <c r="O823" t="n">
        <v>0</v>
      </c>
      <c r="P823" t="n">
        <v>0</v>
      </c>
      <c r="Q823" t="n">
        <v>0</v>
      </c>
      <c r="R823" s="2" t="inlineStr"/>
    </row>
    <row r="824" ht="15" customHeight="1">
      <c r="A824" t="inlineStr">
        <is>
          <t>A 3126-2023</t>
        </is>
      </c>
      <c r="B824" s="1" t="n">
        <v>44946</v>
      </c>
      <c r="C824" s="1" t="n">
        <v>45811</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3132-2023</t>
        </is>
      </c>
      <c r="B825" s="1" t="n">
        <v>44946</v>
      </c>
      <c r="C825" s="1" t="n">
        <v>45811</v>
      </c>
      <c r="D825" t="inlineStr">
        <is>
          <t>SKÅNE LÄN</t>
        </is>
      </c>
      <c r="E825" t="inlineStr">
        <is>
          <t>HÄSSLEHOLM</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3349-2023</t>
        </is>
      </c>
      <c r="B826" s="1" t="n">
        <v>44949</v>
      </c>
      <c r="C826" s="1" t="n">
        <v>45811</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3325-2023</t>
        </is>
      </c>
      <c r="B827" s="1" t="n">
        <v>44949</v>
      </c>
      <c r="C827" s="1" t="n">
        <v>45811</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3364-2023</t>
        </is>
      </c>
      <c r="B828" s="1" t="n">
        <v>44949</v>
      </c>
      <c r="C828" s="1" t="n">
        <v>45811</v>
      </c>
      <c r="D828" t="inlineStr">
        <is>
          <t>SKÅNE LÄN</t>
        </is>
      </c>
      <c r="E828" t="inlineStr">
        <is>
          <t>HÄSSLEHOLM</t>
        </is>
      </c>
      <c r="G828" t="n">
        <v>5.1</v>
      </c>
      <c r="H828" t="n">
        <v>0</v>
      </c>
      <c r="I828" t="n">
        <v>0</v>
      </c>
      <c r="J828" t="n">
        <v>0</v>
      </c>
      <c r="K828" t="n">
        <v>0</v>
      </c>
      <c r="L828" t="n">
        <v>0</v>
      </c>
      <c r="M828" t="n">
        <v>0</v>
      </c>
      <c r="N828" t="n">
        <v>0</v>
      </c>
      <c r="O828" t="n">
        <v>0</v>
      </c>
      <c r="P828" t="n">
        <v>0</v>
      </c>
      <c r="Q828" t="n">
        <v>0</v>
      </c>
      <c r="R828" s="2" t="inlineStr"/>
    </row>
    <row r="829" ht="15" customHeight="1">
      <c r="A829" t="inlineStr">
        <is>
          <t>A 3291-2023</t>
        </is>
      </c>
      <c r="B829" s="1" t="n">
        <v>44949</v>
      </c>
      <c r="C829" s="1" t="n">
        <v>45811</v>
      </c>
      <c r="D829" t="inlineStr">
        <is>
          <t>SKÅNE LÄN</t>
        </is>
      </c>
      <c r="E829" t="inlineStr">
        <is>
          <t>HÄSSLEHOLM</t>
        </is>
      </c>
      <c r="G829" t="n">
        <v>3.6</v>
      </c>
      <c r="H829" t="n">
        <v>0</v>
      </c>
      <c r="I829" t="n">
        <v>0</v>
      </c>
      <c r="J829" t="n">
        <v>0</v>
      </c>
      <c r="K829" t="n">
        <v>0</v>
      </c>
      <c r="L829" t="n">
        <v>0</v>
      </c>
      <c r="M829" t="n">
        <v>0</v>
      </c>
      <c r="N829" t="n">
        <v>0</v>
      </c>
      <c r="O829" t="n">
        <v>0</v>
      </c>
      <c r="P829" t="n">
        <v>0</v>
      </c>
      <c r="Q829" t="n">
        <v>0</v>
      </c>
      <c r="R829" s="2" t="inlineStr"/>
    </row>
    <row r="830" ht="15" customHeight="1">
      <c r="A830" t="inlineStr">
        <is>
          <t>A 3452-2023</t>
        </is>
      </c>
      <c r="B830" s="1" t="n">
        <v>44949</v>
      </c>
      <c r="C830" s="1" t="n">
        <v>45811</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3531-2023</t>
        </is>
      </c>
      <c r="B831" s="1" t="n">
        <v>44950</v>
      </c>
      <c r="C831" s="1" t="n">
        <v>45811</v>
      </c>
      <c r="D831" t="inlineStr">
        <is>
          <t>SKÅNE LÄN</t>
        </is>
      </c>
      <c r="E831" t="inlineStr">
        <is>
          <t>HÄSSLEHOLM</t>
        </is>
      </c>
      <c r="G831" t="n">
        <v>10.1</v>
      </c>
      <c r="H831" t="n">
        <v>0</v>
      </c>
      <c r="I831" t="n">
        <v>0</v>
      </c>
      <c r="J831" t="n">
        <v>0</v>
      </c>
      <c r="K831" t="n">
        <v>0</v>
      </c>
      <c r="L831" t="n">
        <v>0</v>
      </c>
      <c r="M831" t="n">
        <v>0</v>
      </c>
      <c r="N831" t="n">
        <v>0</v>
      </c>
      <c r="O831" t="n">
        <v>0</v>
      </c>
      <c r="P831" t="n">
        <v>0</v>
      </c>
      <c r="Q831" t="n">
        <v>0</v>
      </c>
      <c r="R831" s="2" t="inlineStr"/>
    </row>
    <row r="832" ht="15" customHeight="1">
      <c r="A832" t="inlineStr">
        <is>
          <t>A 3855-2023</t>
        </is>
      </c>
      <c r="B832" s="1" t="n">
        <v>44951</v>
      </c>
      <c r="C832" s="1" t="n">
        <v>45811</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4042-2023</t>
        </is>
      </c>
      <c r="B833" s="1" t="n">
        <v>44952</v>
      </c>
      <c r="C833" s="1" t="n">
        <v>45811</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4140-2023</t>
        </is>
      </c>
      <c r="B834" s="1" t="n">
        <v>44953</v>
      </c>
      <c r="C834" s="1" t="n">
        <v>45811</v>
      </c>
      <c r="D834" t="inlineStr">
        <is>
          <t>SKÅNE LÄN</t>
        </is>
      </c>
      <c r="E834" t="inlineStr">
        <is>
          <t>HÄSSLEHOLM</t>
        </is>
      </c>
      <c r="G834" t="n">
        <v>10.6</v>
      </c>
      <c r="H834" t="n">
        <v>0</v>
      </c>
      <c r="I834" t="n">
        <v>0</v>
      </c>
      <c r="J834" t="n">
        <v>0</v>
      </c>
      <c r="K834" t="n">
        <v>0</v>
      </c>
      <c r="L834" t="n">
        <v>0</v>
      </c>
      <c r="M834" t="n">
        <v>0</v>
      </c>
      <c r="N834" t="n">
        <v>0</v>
      </c>
      <c r="O834" t="n">
        <v>0</v>
      </c>
      <c r="P834" t="n">
        <v>0</v>
      </c>
      <c r="Q834" t="n">
        <v>0</v>
      </c>
      <c r="R834" s="2" t="inlineStr"/>
    </row>
    <row r="835" ht="15" customHeight="1">
      <c r="A835" t="inlineStr">
        <is>
          <t>A 4187-2023</t>
        </is>
      </c>
      <c r="B835" s="1" t="n">
        <v>44953</v>
      </c>
      <c r="C835" s="1" t="n">
        <v>45811</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4382-2023</t>
        </is>
      </c>
      <c r="B836" s="1" t="n">
        <v>44955</v>
      </c>
      <c r="C836" s="1" t="n">
        <v>45811</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4787-2023</t>
        </is>
      </c>
      <c r="B837" s="1" t="n">
        <v>44957</v>
      </c>
      <c r="C837" s="1" t="n">
        <v>45811</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4774-2023</t>
        </is>
      </c>
      <c r="B838" s="1" t="n">
        <v>44957</v>
      </c>
      <c r="C838" s="1" t="n">
        <v>45811</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4788-2023</t>
        </is>
      </c>
      <c r="B839" s="1" t="n">
        <v>44957</v>
      </c>
      <c r="C839" s="1" t="n">
        <v>45811</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5116-2023</t>
        </is>
      </c>
      <c r="B840" s="1" t="n">
        <v>44958</v>
      </c>
      <c r="C840" s="1" t="n">
        <v>45811</v>
      </c>
      <c r="D840" t="inlineStr">
        <is>
          <t>SKÅNE LÄN</t>
        </is>
      </c>
      <c r="E840" t="inlineStr">
        <is>
          <t>HÄSSLEHOLM</t>
        </is>
      </c>
      <c r="G840" t="n">
        <v>1.7</v>
      </c>
      <c r="H840" t="n">
        <v>0</v>
      </c>
      <c r="I840" t="n">
        <v>0</v>
      </c>
      <c r="J840" t="n">
        <v>0</v>
      </c>
      <c r="K840" t="n">
        <v>0</v>
      </c>
      <c r="L840" t="n">
        <v>0</v>
      </c>
      <c r="M840" t="n">
        <v>0</v>
      </c>
      <c r="N840" t="n">
        <v>0</v>
      </c>
      <c r="O840" t="n">
        <v>0</v>
      </c>
      <c r="P840" t="n">
        <v>0</v>
      </c>
      <c r="Q840" t="n">
        <v>0</v>
      </c>
      <c r="R840" s="2" t="inlineStr"/>
    </row>
    <row r="841" ht="15" customHeight="1">
      <c r="A841" t="inlineStr">
        <is>
          <t>A 5754-2023</t>
        </is>
      </c>
      <c r="B841" s="1" t="n">
        <v>44958</v>
      </c>
      <c r="C841" s="1" t="n">
        <v>45811</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5036-2023</t>
        </is>
      </c>
      <c r="B842" s="1" t="n">
        <v>44958</v>
      </c>
      <c r="C842" s="1" t="n">
        <v>45811</v>
      </c>
      <c r="D842" t="inlineStr">
        <is>
          <t>SKÅNE LÄN</t>
        </is>
      </c>
      <c r="E842" t="inlineStr">
        <is>
          <t>HÄSSLEHOLM</t>
        </is>
      </c>
      <c r="G842" t="n">
        <v>3.1</v>
      </c>
      <c r="H842" t="n">
        <v>0</v>
      </c>
      <c r="I842" t="n">
        <v>0</v>
      </c>
      <c r="J842" t="n">
        <v>0</v>
      </c>
      <c r="K842" t="n">
        <v>0</v>
      </c>
      <c r="L842" t="n">
        <v>0</v>
      </c>
      <c r="M842" t="n">
        <v>0</v>
      </c>
      <c r="N842" t="n">
        <v>0</v>
      </c>
      <c r="O842" t="n">
        <v>0</v>
      </c>
      <c r="P842" t="n">
        <v>0</v>
      </c>
      <c r="Q842" t="n">
        <v>0</v>
      </c>
      <c r="R842" s="2" t="inlineStr"/>
    </row>
    <row r="843" ht="15" customHeight="1">
      <c r="A843" t="inlineStr">
        <is>
          <t>A 5285-2023</t>
        </is>
      </c>
      <c r="B843" s="1" t="n">
        <v>44959</v>
      </c>
      <c r="C843" s="1" t="n">
        <v>45811</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5282-2023</t>
        </is>
      </c>
      <c r="B844" s="1" t="n">
        <v>44959</v>
      </c>
      <c r="C844" s="1" t="n">
        <v>45811</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5316-2023</t>
        </is>
      </c>
      <c r="B845" s="1" t="n">
        <v>44959</v>
      </c>
      <c r="C845" s="1" t="n">
        <v>45811</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5284-2023</t>
        </is>
      </c>
      <c r="B846" s="1" t="n">
        <v>44959</v>
      </c>
      <c r="C846" s="1" t="n">
        <v>45811</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5306-2023</t>
        </is>
      </c>
      <c r="B847" s="1" t="n">
        <v>44959</v>
      </c>
      <c r="C847" s="1" t="n">
        <v>45811</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5971-2023</t>
        </is>
      </c>
      <c r="B848" s="1" t="n">
        <v>44959</v>
      </c>
      <c r="C848" s="1" t="n">
        <v>45811</v>
      </c>
      <c r="D848" t="inlineStr">
        <is>
          <t>SKÅNE LÄN</t>
        </is>
      </c>
      <c r="E848" t="inlineStr">
        <is>
          <t>HÄSSLEHOLM</t>
        </is>
      </c>
      <c r="G848" t="n">
        <v>3.4</v>
      </c>
      <c r="H848" t="n">
        <v>0</v>
      </c>
      <c r="I848" t="n">
        <v>0</v>
      </c>
      <c r="J848" t="n">
        <v>0</v>
      </c>
      <c r="K848" t="n">
        <v>0</v>
      </c>
      <c r="L848" t="n">
        <v>0</v>
      </c>
      <c r="M848" t="n">
        <v>0</v>
      </c>
      <c r="N848" t="n">
        <v>0</v>
      </c>
      <c r="O848" t="n">
        <v>0</v>
      </c>
      <c r="P848" t="n">
        <v>0</v>
      </c>
      <c r="Q848" t="n">
        <v>0</v>
      </c>
      <c r="R848" s="2" t="inlineStr"/>
    </row>
    <row r="849" ht="15" customHeight="1">
      <c r="A849" t="inlineStr">
        <is>
          <t>A 5502-2023</t>
        </is>
      </c>
      <c r="B849" s="1" t="n">
        <v>44960</v>
      </c>
      <c r="C849" s="1" t="n">
        <v>45811</v>
      </c>
      <c r="D849" t="inlineStr">
        <is>
          <t>SKÅNE LÄN</t>
        </is>
      </c>
      <c r="E849" t="inlineStr">
        <is>
          <t>HÄSSLEHOLM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5891-2023</t>
        </is>
      </c>
      <c r="B850" s="1" t="n">
        <v>44963</v>
      </c>
      <c r="C850" s="1" t="n">
        <v>45811</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5890-2023</t>
        </is>
      </c>
      <c r="B851" s="1" t="n">
        <v>44963</v>
      </c>
      <c r="C851" s="1" t="n">
        <v>45811</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5894-2023</t>
        </is>
      </c>
      <c r="B852" s="1" t="n">
        <v>44963</v>
      </c>
      <c r="C852" s="1" t="n">
        <v>45811</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6164-2023</t>
        </is>
      </c>
      <c r="B853" s="1" t="n">
        <v>44964</v>
      </c>
      <c r="C853" s="1" t="n">
        <v>45811</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6416-2023</t>
        </is>
      </c>
      <c r="B854" s="1" t="n">
        <v>44965</v>
      </c>
      <c r="C854" s="1" t="n">
        <v>45811</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6836-2023</t>
        </is>
      </c>
      <c r="B855" s="1" t="n">
        <v>44967</v>
      </c>
      <c r="C855" s="1" t="n">
        <v>45811</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6845-2023</t>
        </is>
      </c>
      <c r="B856" s="1" t="n">
        <v>44967</v>
      </c>
      <c r="C856" s="1" t="n">
        <v>45811</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6842-2023</t>
        </is>
      </c>
      <c r="B857" s="1" t="n">
        <v>44967</v>
      </c>
      <c r="C857" s="1" t="n">
        <v>45811</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6830-2023</t>
        </is>
      </c>
      <c r="B858" s="1" t="n">
        <v>44967</v>
      </c>
      <c r="C858" s="1" t="n">
        <v>45811</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6835-2023</t>
        </is>
      </c>
      <c r="B859" s="1" t="n">
        <v>44967</v>
      </c>
      <c r="C859" s="1" t="n">
        <v>45811</v>
      </c>
      <c r="D859" t="inlineStr">
        <is>
          <t>SKÅNE LÄN</t>
        </is>
      </c>
      <c r="E859" t="inlineStr">
        <is>
          <t>HÄSSLEHOLM</t>
        </is>
      </c>
      <c r="G859" t="n">
        <v>4.8</v>
      </c>
      <c r="H859" t="n">
        <v>0</v>
      </c>
      <c r="I859" t="n">
        <v>0</v>
      </c>
      <c r="J859" t="n">
        <v>0</v>
      </c>
      <c r="K859" t="n">
        <v>0</v>
      </c>
      <c r="L859" t="n">
        <v>0</v>
      </c>
      <c r="M859" t="n">
        <v>0</v>
      </c>
      <c r="N859" t="n">
        <v>0</v>
      </c>
      <c r="O859" t="n">
        <v>0</v>
      </c>
      <c r="P859" t="n">
        <v>0</v>
      </c>
      <c r="Q859" t="n">
        <v>0</v>
      </c>
      <c r="R859" s="2" t="inlineStr"/>
    </row>
    <row r="860" ht="15" customHeight="1">
      <c r="A860" t="inlineStr">
        <is>
          <t>A 7094-2023</t>
        </is>
      </c>
      <c r="B860" s="1" t="n">
        <v>44970</v>
      </c>
      <c r="C860" s="1" t="n">
        <v>45811</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7494-2023</t>
        </is>
      </c>
      <c r="B861" s="1" t="n">
        <v>44971</v>
      </c>
      <c r="C861" s="1" t="n">
        <v>45811</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7481-2023</t>
        </is>
      </c>
      <c r="B862" s="1" t="n">
        <v>44971</v>
      </c>
      <c r="C862" s="1" t="n">
        <v>45811</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45811</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7581-2023</t>
        </is>
      </c>
      <c r="B864" s="1" t="n">
        <v>44972</v>
      </c>
      <c r="C864" s="1" t="n">
        <v>45811</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8246-2023</t>
        </is>
      </c>
      <c r="B865" s="1" t="n">
        <v>44974</v>
      </c>
      <c r="C865" s="1" t="n">
        <v>45811</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8244-2023</t>
        </is>
      </c>
      <c r="B866" s="1" t="n">
        <v>44974</v>
      </c>
      <c r="C866" s="1" t="n">
        <v>45811</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8249-2023</t>
        </is>
      </c>
      <c r="B867" s="1" t="n">
        <v>44974</v>
      </c>
      <c r="C867" s="1" t="n">
        <v>45811</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8250-2023</t>
        </is>
      </c>
      <c r="B868" s="1" t="n">
        <v>44974</v>
      </c>
      <c r="C868" s="1" t="n">
        <v>45811</v>
      </c>
      <c r="D868" t="inlineStr">
        <is>
          <t>SKÅNE LÄN</t>
        </is>
      </c>
      <c r="E868" t="inlineStr">
        <is>
          <t>HÄSSLEHOLM</t>
        </is>
      </c>
      <c r="G868" t="n">
        <v>3</v>
      </c>
      <c r="H868" t="n">
        <v>0</v>
      </c>
      <c r="I868" t="n">
        <v>0</v>
      </c>
      <c r="J868" t="n">
        <v>0</v>
      </c>
      <c r="K868" t="n">
        <v>0</v>
      </c>
      <c r="L868" t="n">
        <v>0</v>
      </c>
      <c r="M868" t="n">
        <v>0</v>
      </c>
      <c r="N868" t="n">
        <v>0</v>
      </c>
      <c r="O868" t="n">
        <v>0</v>
      </c>
      <c r="P868" t="n">
        <v>0</v>
      </c>
      <c r="Q868" t="n">
        <v>0</v>
      </c>
      <c r="R868" s="2" t="inlineStr"/>
    </row>
    <row r="869" ht="15" customHeight="1">
      <c r="A869" t="inlineStr">
        <is>
          <t>A 8619-2023</t>
        </is>
      </c>
      <c r="B869" s="1" t="n">
        <v>44977</v>
      </c>
      <c r="C869" s="1" t="n">
        <v>45811</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8803-2023</t>
        </is>
      </c>
      <c r="B870" s="1" t="n">
        <v>44978</v>
      </c>
      <c r="C870" s="1" t="n">
        <v>45811</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8807-2023</t>
        </is>
      </c>
      <c r="B871" s="1" t="n">
        <v>44978</v>
      </c>
      <c r="C871" s="1" t="n">
        <v>45811</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8793-2023</t>
        </is>
      </c>
      <c r="B872" s="1" t="n">
        <v>44978</v>
      </c>
      <c r="C872" s="1" t="n">
        <v>45811</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9308-2023</t>
        </is>
      </c>
      <c r="B873" s="1" t="n">
        <v>44980</v>
      </c>
      <c r="C873" s="1" t="n">
        <v>45811</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45811</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9485-2023</t>
        </is>
      </c>
      <c r="B875" s="1" t="n">
        <v>44981</v>
      </c>
      <c r="C875" s="1" t="n">
        <v>45811</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9502-2023</t>
        </is>
      </c>
      <c r="B876" s="1" t="n">
        <v>44981</v>
      </c>
      <c r="C876" s="1" t="n">
        <v>45811</v>
      </c>
      <c r="D876" t="inlineStr">
        <is>
          <t>SKÅNE LÄN</t>
        </is>
      </c>
      <c r="E876" t="inlineStr">
        <is>
          <t>HÄSSLEHOLM</t>
        </is>
      </c>
      <c r="G876" t="n">
        <v>0.4</v>
      </c>
      <c r="H876" t="n">
        <v>0</v>
      </c>
      <c r="I876" t="n">
        <v>0</v>
      </c>
      <c r="J876" t="n">
        <v>0</v>
      </c>
      <c r="K876" t="n">
        <v>0</v>
      </c>
      <c r="L876" t="n">
        <v>0</v>
      </c>
      <c r="M876" t="n">
        <v>0</v>
      </c>
      <c r="N876" t="n">
        <v>0</v>
      </c>
      <c r="O876" t="n">
        <v>0</v>
      </c>
      <c r="P876" t="n">
        <v>0</v>
      </c>
      <c r="Q876" t="n">
        <v>0</v>
      </c>
      <c r="R876" s="2" t="inlineStr"/>
    </row>
    <row r="877" ht="15" customHeight="1">
      <c r="A877" t="inlineStr">
        <is>
          <t>A 9692-2023</t>
        </is>
      </c>
      <c r="B877" s="1" t="n">
        <v>44984</v>
      </c>
      <c r="C877" s="1" t="n">
        <v>45811</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9697-2023</t>
        </is>
      </c>
      <c r="B878" s="1" t="n">
        <v>44984</v>
      </c>
      <c r="C878" s="1" t="n">
        <v>45811</v>
      </c>
      <c r="D878" t="inlineStr">
        <is>
          <t>SKÅNE LÄN</t>
        </is>
      </c>
      <c r="E878" t="inlineStr">
        <is>
          <t>HÄSSLEHOLM</t>
        </is>
      </c>
      <c r="G878" t="n">
        <v>0.3</v>
      </c>
      <c r="H878" t="n">
        <v>0</v>
      </c>
      <c r="I878" t="n">
        <v>0</v>
      </c>
      <c r="J878" t="n">
        <v>0</v>
      </c>
      <c r="K878" t="n">
        <v>0</v>
      </c>
      <c r="L878" t="n">
        <v>0</v>
      </c>
      <c r="M878" t="n">
        <v>0</v>
      </c>
      <c r="N878" t="n">
        <v>0</v>
      </c>
      <c r="O878" t="n">
        <v>0</v>
      </c>
      <c r="P878" t="n">
        <v>0</v>
      </c>
      <c r="Q878" t="n">
        <v>0</v>
      </c>
      <c r="R878" s="2" t="inlineStr"/>
    </row>
    <row r="879" ht="15" customHeight="1">
      <c r="A879" t="inlineStr">
        <is>
          <t>A 9709-2023</t>
        </is>
      </c>
      <c r="B879" s="1" t="n">
        <v>44984</v>
      </c>
      <c r="C879" s="1" t="n">
        <v>45811</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10897-2023</t>
        </is>
      </c>
      <c r="B880" s="1" t="n">
        <v>44985</v>
      </c>
      <c r="C880" s="1" t="n">
        <v>45811</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10220-2023</t>
        </is>
      </c>
      <c r="B881" s="1" t="n">
        <v>44986</v>
      </c>
      <c r="C881" s="1" t="n">
        <v>45811</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10277-2023</t>
        </is>
      </c>
      <c r="B882" s="1" t="n">
        <v>44986</v>
      </c>
      <c r="C882" s="1" t="n">
        <v>45811</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10221-2023</t>
        </is>
      </c>
      <c r="B883" s="1" t="n">
        <v>44986</v>
      </c>
      <c r="C883" s="1" t="n">
        <v>45811</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10270-2023</t>
        </is>
      </c>
      <c r="B884" s="1" t="n">
        <v>44986</v>
      </c>
      <c r="C884" s="1" t="n">
        <v>45811</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10290-2023</t>
        </is>
      </c>
      <c r="B885" s="1" t="n">
        <v>44986</v>
      </c>
      <c r="C885" s="1" t="n">
        <v>45811</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11121-2023</t>
        </is>
      </c>
      <c r="B886" s="1" t="n">
        <v>44986</v>
      </c>
      <c r="C886" s="1" t="n">
        <v>45811</v>
      </c>
      <c r="D886" t="inlineStr">
        <is>
          <t>SKÅNE LÄN</t>
        </is>
      </c>
      <c r="E886" t="inlineStr">
        <is>
          <t>HÄSSLEHOLM</t>
        </is>
      </c>
      <c r="F886" t="inlineStr">
        <is>
          <t>Kommuner</t>
        </is>
      </c>
      <c r="G886" t="n">
        <v>5.8</v>
      </c>
      <c r="H886" t="n">
        <v>0</v>
      </c>
      <c r="I886" t="n">
        <v>0</v>
      </c>
      <c r="J886" t="n">
        <v>0</v>
      </c>
      <c r="K886" t="n">
        <v>0</v>
      </c>
      <c r="L886" t="n">
        <v>0</v>
      </c>
      <c r="M886" t="n">
        <v>0</v>
      </c>
      <c r="N886" t="n">
        <v>0</v>
      </c>
      <c r="O886" t="n">
        <v>0</v>
      </c>
      <c r="P886" t="n">
        <v>0</v>
      </c>
      <c r="Q886" t="n">
        <v>0</v>
      </c>
      <c r="R886" s="2" t="inlineStr"/>
    </row>
    <row r="887" ht="15" customHeight="1">
      <c r="A887" t="inlineStr">
        <is>
          <t>A 11116-2023</t>
        </is>
      </c>
      <c r="B887" s="1" t="n">
        <v>44986</v>
      </c>
      <c r="C887" s="1" t="n">
        <v>45811</v>
      </c>
      <c r="D887" t="inlineStr">
        <is>
          <t>SKÅNE LÄN</t>
        </is>
      </c>
      <c r="E887" t="inlineStr">
        <is>
          <t>HÄSSLEHOLM</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10389-2023</t>
        </is>
      </c>
      <c r="B888" s="1" t="n">
        <v>44987</v>
      </c>
      <c r="C888" s="1" t="n">
        <v>45811</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10660-2023</t>
        </is>
      </c>
      <c r="B889" s="1" t="n">
        <v>44988</v>
      </c>
      <c r="C889" s="1" t="n">
        <v>45811</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11217-2023</t>
        </is>
      </c>
      <c r="B890" s="1" t="n">
        <v>44992</v>
      </c>
      <c r="C890" s="1" t="n">
        <v>45811</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11237-2023</t>
        </is>
      </c>
      <c r="B891" s="1" t="n">
        <v>44992</v>
      </c>
      <c r="C891" s="1" t="n">
        <v>45811</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11240-2023</t>
        </is>
      </c>
      <c r="B892" s="1" t="n">
        <v>44992</v>
      </c>
      <c r="C892" s="1" t="n">
        <v>45811</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11681-2023</t>
        </is>
      </c>
      <c r="B893" s="1" t="n">
        <v>44992</v>
      </c>
      <c r="C893" s="1" t="n">
        <v>45811</v>
      </c>
      <c r="D893" t="inlineStr">
        <is>
          <t>SKÅNE LÄN</t>
        </is>
      </c>
      <c r="E893" t="inlineStr">
        <is>
          <t>HÄSSLEHOLM</t>
        </is>
      </c>
      <c r="F893" t="inlineStr">
        <is>
          <t>Övriga Aktiebolag</t>
        </is>
      </c>
      <c r="G893" t="n">
        <v>1.6</v>
      </c>
      <c r="H893" t="n">
        <v>0</v>
      </c>
      <c r="I893" t="n">
        <v>0</v>
      </c>
      <c r="J893" t="n">
        <v>0</v>
      </c>
      <c r="K893" t="n">
        <v>0</v>
      </c>
      <c r="L893" t="n">
        <v>0</v>
      </c>
      <c r="M893" t="n">
        <v>0</v>
      </c>
      <c r="N893" t="n">
        <v>0</v>
      </c>
      <c r="O893" t="n">
        <v>0</v>
      </c>
      <c r="P893" t="n">
        <v>0</v>
      </c>
      <c r="Q893" t="n">
        <v>0</v>
      </c>
      <c r="R893" s="2" t="inlineStr"/>
    </row>
    <row r="894" ht="15" customHeight="1">
      <c r="A894" t="inlineStr">
        <is>
          <t>A 11715-2023</t>
        </is>
      </c>
      <c r="B894" s="1" t="n">
        <v>44992</v>
      </c>
      <c r="C894" s="1" t="n">
        <v>45811</v>
      </c>
      <c r="D894" t="inlineStr">
        <is>
          <t>SKÅNE LÄN</t>
        </is>
      </c>
      <c r="E894" t="inlineStr">
        <is>
          <t>HÄSSLEHOLM</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11840-2023</t>
        </is>
      </c>
      <c r="B895" s="1" t="n">
        <v>44995</v>
      </c>
      <c r="C895" s="1" t="n">
        <v>45811</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12162-2023</t>
        </is>
      </c>
      <c r="B896" s="1" t="n">
        <v>44998</v>
      </c>
      <c r="C896" s="1" t="n">
        <v>45811</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12346-2023</t>
        </is>
      </c>
      <c r="B897" s="1" t="n">
        <v>44999</v>
      </c>
      <c r="C897" s="1" t="n">
        <v>45811</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12344-2023</t>
        </is>
      </c>
      <c r="B898" s="1" t="n">
        <v>44999</v>
      </c>
      <c r="C898" s="1" t="n">
        <v>45811</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12469-2023</t>
        </is>
      </c>
      <c r="B899" s="1" t="n">
        <v>44999</v>
      </c>
      <c r="C899" s="1" t="n">
        <v>45811</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12570-2023</t>
        </is>
      </c>
      <c r="B900" s="1" t="n">
        <v>44999</v>
      </c>
      <c r="C900" s="1" t="n">
        <v>45811</v>
      </c>
      <c r="D900" t="inlineStr">
        <is>
          <t>SKÅNE LÄN</t>
        </is>
      </c>
      <c r="E900" t="inlineStr">
        <is>
          <t>HÄSSLEHOLM</t>
        </is>
      </c>
      <c r="G900" t="n">
        <v>3.4</v>
      </c>
      <c r="H900" t="n">
        <v>0</v>
      </c>
      <c r="I900" t="n">
        <v>0</v>
      </c>
      <c r="J900" t="n">
        <v>0</v>
      </c>
      <c r="K900" t="n">
        <v>0</v>
      </c>
      <c r="L900" t="n">
        <v>0</v>
      </c>
      <c r="M900" t="n">
        <v>0</v>
      </c>
      <c r="N900" t="n">
        <v>0</v>
      </c>
      <c r="O900" t="n">
        <v>0</v>
      </c>
      <c r="P900" t="n">
        <v>0</v>
      </c>
      <c r="Q900" t="n">
        <v>0</v>
      </c>
      <c r="R900" s="2" t="inlineStr"/>
    </row>
    <row r="901" ht="15" customHeight="1">
      <c r="A901" t="inlineStr">
        <is>
          <t>A 12558-2023</t>
        </is>
      </c>
      <c r="B901" s="1" t="n">
        <v>45000</v>
      </c>
      <c r="C901" s="1" t="n">
        <v>45811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12839-2023</t>
        </is>
      </c>
      <c r="B902" s="1" t="n">
        <v>45000</v>
      </c>
      <c r="C902" s="1" t="n">
        <v>45811</v>
      </c>
      <c r="D902" t="inlineStr">
        <is>
          <t>SKÅNE LÄN</t>
        </is>
      </c>
      <c r="E902" t="inlineStr">
        <is>
          <t>HÄSSLEHOLM</t>
        </is>
      </c>
      <c r="G902" t="n">
        <v>5</v>
      </c>
      <c r="H902" t="n">
        <v>0</v>
      </c>
      <c r="I902" t="n">
        <v>0</v>
      </c>
      <c r="J902" t="n">
        <v>0</v>
      </c>
      <c r="K902" t="n">
        <v>0</v>
      </c>
      <c r="L902" t="n">
        <v>0</v>
      </c>
      <c r="M902" t="n">
        <v>0</v>
      </c>
      <c r="N902" t="n">
        <v>0</v>
      </c>
      <c r="O902" t="n">
        <v>0</v>
      </c>
      <c r="P902" t="n">
        <v>0</v>
      </c>
      <c r="Q902" t="n">
        <v>0</v>
      </c>
      <c r="R902" s="2" t="inlineStr"/>
    </row>
    <row r="903" ht="15" customHeight="1">
      <c r="A903" t="inlineStr">
        <is>
          <t>A 12843-2023</t>
        </is>
      </c>
      <c r="B903" s="1" t="n">
        <v>45001</v>
      </c>
      <c r="C903" s="1" t="n">
        <v>45811</v>
      </c>
      <c r="D903" t="inlineStr">
        <is>
          <t>SKÅNE LÄN</t>
        </is>
      </c>
      <c r="E903" t="inlineStr">
        <is>
          <t>HÄSSLEHOLM</t>
        </is>
      </c>
      <c r="G903" t="n">
        <v>3.9</v>
      </c>
      <c r="H903" t="n">
        <v>0</v>
      </c>
      <c r="I903" t="n">
        <v>0</v>
      </c>
      <c r="J903" t="n">
        <v>0</v>
      </c>
      <c r="K903" t="n">
        <v>0</v>
      </c>
      <c r="L903" t="n">
        <v>0</v>
      </c>
      <c r="M903" t="n">
        <v>0</v>
      </c>
      <c r="N903" t="n">
        <v>0</v>
      </c>
      <c r="O903" t="n">
        <v>0</v>
      </c>
      <c r="P903" t="n">
        <v>0</v>
      </c>
      <c r="Q903" t="n">
        <v>0</v>
      </c>
      <c r="R903" s="2" t="inlineStr"/>
    </row>
    <row r="904" ht="15" customHeight="1">
      <c r="A904" t="inlineStr">
        <is>
          <t>A 13087-2023</t>
        </is>
      </c>
      <c r="B904" s="1" t="n">
        <v>45001</v>
      </c>
      <c r="C904" s="1" t="n">
        <v>45811</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13316-2023</t>
        </is>
      </c>
      <c r="B905" s="1" t="n">
        <v>45005</v>
      </c>
      <c r="C905" s="1" t="n">
        <v>45811</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13358-2023</t>
        </is>
      </c>
      <c r="B906" s="1" t="n">
        <v>45005</v>
      </c>
      <c r="C906" s="1" t="n">
        <v>45811</v>
      </c>
      <c r="D906" t="inlineStr">
        <is>
          <t>SKÅNE LÄN</t>
        </is>
      </c>
      <c r="E906" t="inlineStr">
        <is>
          <t>HÄSSLEHOLM</t>
        </is>
      </c>
      <c r="F906" t="inlineStr">
        <is>
          <t>Övriga Aktiebolag</t>
        </is>
      </c>
      <c r="G906" t="n">
        <v>0.5</v>
      </c>
      <c r="H906" t="n">
        <v>0</v>
      </c>
      <c r="I906" t="n">
        <v>0</v>
      </c>
      <c r="J906" t="n">
        <v>0</v>
      </c>
      <c r="K906" t="n">
        <v>0</v>
      </c>
      <c r="L906" t="n">
        <v>0</v>
      </c>
      <c r="M906" t="n">
        <v>0</v>
      </c>
      <c r="N906" t="n">
        <v>0</v>
      </c>
      <c r="O906" t="n">
        <v>0</v>
      </c>
      <c r="P906" t="n">
        <v>0</v>
      </c>
      <c r="Q906" t="n">
        <v>0</v>
      </c>
      <c r="R906" s="2" t="inlineStr"/>
    </row>
    <row r="907" ht="15" customHeight="1">
      <c r="A907" t="inlineStr">
        <is>
          <t>A 13673-2023</t>
        </is>
      </c>
      <c r="B907" s="1" t="n">
        <v>45006</v>
      </c>
      <c r="C907" s="1" t="n">
        <v>45811</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13932-2023</t>
        </is>
      </c>
      <c r="B908" s="1" t="n">
        <v>45008</v>
      </c>
      <c r="C908" s="1" t="n">
        <v>45811</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14008-2023</t>
        </is>
      </c>
      <c r="B909" s="1" t="n">
        <v>45008</v>
      </c>
      <c r="C909" s="1" t="n">
        <v>45811</v>
      </c>
      <c r="D909" t="inlineStr">
        <is>
          <t>SKÅNE LÄN</t>
        </is>
      </c>
      <c r="E909" t="inlineStr">
        <is>
          <t>HÄSSLEHOLM</t>
        </is>
      </c>
      <c r="G909" t="n">
        <v>3.3</v>
      </c>
      <c r="H909" t="n">
        <v>0</v>
      </c>
      <c r="I909" t="n">
        <v>0</v>
      </c>
      <c r="J909" t="n">
        <v>0</v>
      </c>
      <c r="K909" t="n">
        <v>0</v>
      </c>
      <c r="L909" t="n">
        <v>0</v>
      </c>
      <c r="M909" t="n">
        <v>0</v>
      </c>
      <c r="N909" t="n">
        <v>0</v>
      </c>
      <c r="O909" t="n">
        <v>0</v>
      </c>
      <c r="P909" t="n">
        <v>0</v>
      </c>
      <c r="Q909" t="n">
        <v>0</v>
      </c>
      <c r="R909" s="2" t="inlineStr"/>
    </row>
    <row r="910" ht="15" customHeight="1">
      <c r="A910" t="inlineStr">
        <is>
          <t>A 13961-2023</t>
        </is>
      </c>
      <c r="B910" s="1" t="n">
        <v>45008</v>
      </c>
      <c r="C910" s="1" t="n">
        <v>45811</v>
      </c>
      <c r="D910" t="inlineStr">
        <is>
          <t>SKÅNE LÄN</t>
        </is>
      </c>
      <c r="E910" t="inlineStr">
        <is>
          <t>HÄSSLEHOLM</t>
        </is>
      </c>
      <c r="G910" t="n">
        <v>3.8</v>
      </c>
      <c r="H910" t="n">
        <v>0</v>
      </c>
      <c r="I910" t="n">
        <v>0</v>
      </c>
      <c r="J910" t="n">
        <v>0</v>
      </c>
      <c r="K910" t="n">
        <v>0</v>
      </c>
      <c r="L910" t="n">
        <v>0</v>
      </c>
      <c r="M910" t="n">
        <v>0</v>
      </c>
      <c r="N910" t="n">
        <v>0</v>
      </c>
      <c r="O910" t="n">
        <v>0</v>
      </c>
      <c r="P910" t="n">
        <v>0</v>
      </c>
      <c r="Q910" t="n">
        <v>0</v>
      </c>
      <c r="R910" s="2" t="inlineStr"/>
    </row>
    <row r="911" ht="15" customHeight="1">
      <c r="A911" t="inlineStr">
        <is>
          <t>A 13998-2023</t>
        </is>
      </c>
      <c r="B911" s="1" t="n">
        <v>45008</v>
      </c>
      <c r="C911" s="1" t="n">
        <v>45811</v>
      </c>
      <c r="D911" t="inlineStr">
        <is>
          <t>SKÅNE LÄN</t>
        </is>
      </c>
      <c r="E911" t="inlineStr">
        <is>
          <t>HÄSSLEHOLM</t>
        </is>
      </c>
      <c r="G911" t="n">
        <v>4.8</v>
      </c>
      <c r="H911" t="n">
        <v>0</v>
      </c>
      <c r="I911" t="n">
        <v>0</v>
      </c>
      <c r="J911" t="n">
        <v>0</v>
      </c>
      <c r="K911" t="n">
        <v>0</v>
      </c>
      <c r="L911" t="n">
        <v>0</v>
      </c>
      <c r="M911" t="n">
        <v>0</v>
      </c>
      <c r="N911" t="n">
        <v>0</v>
      </c>
      <c r="O911" t="n">
        <v>0</v>
      </c>
      <c r="P911" t="n">
        <v>0</v>
      </c>
      <c r="Q911" t="n">
        <v>0</v>
      </c>
      <c r="R911" s="2" t="inlineStr"/>
    </row>
    <row r="912" ht="15" customHeight="1">
      <c r="A912" t="inlineStr">
        <is>
          <t>A 13954-2023</t>
        </is>
      </c>
      <c r="B912" s="1" t="n">
        <v>45008</v>
      </c>
      <c r="C912" s="1" t="n">
        <v>45811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14002-2023</t>
        </is>
      </c>
      <c r="B913" s="1" t="n">
        <v>45008</v>
      </c>
      <c r="C913" s="1" t="n">
        <v>45811</v>
      </c>
      <c r="D913" t="inlineStr">
        <is>
          <t>SKÅNE LÄN</t>
        </is>
      </c>
      <c r="E913" t="inlineStr">
        <is>
          <t>HÄSSLEHOLM</t>
        </is>
      </c>
      <c r="G913" t="n">
        <v>3.6</v>
      </c>
      <c r="H913" t="n">
        <v>0</v>
      </c>
      <c r="I913" t="n">
        <v>0</v>
      </c>
      <c r="J913" t="n">
        <v>0</v>
      </c>
      <c r="K913" t="n">
        <v>0</v>
      </c>
      <c r="L913" t="n">
        <v>0</v>
      </c>
      <c r="M913" t="n">
        <v>0</v>
      </c>
      <c r="N913" t="n">
        <v>0</v>
      </c>
      <c r="O913" t="n">
        <v>0</v>
      </c>
      <c r="P913" t="n">
        <v>0</v>
      </c>
      <c r="Q913" t="n">
        <v>0</v>
      </c>
      <c r="R913" s="2" t="inlineStr"/>
    </row>
    <row r="914" ht="15" customHeight="1">
      <c r="A914" t="inlineStr">
        <is>
          <t>A 13992-2023</t>
        </is>
      </c>
      <c r="B914" s="1" t="n">
        <v>45008</v>
      </c>
      <c r="C914" s="1" t="n">
        <v>45811</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14145-2023</t>
        </is>
      </c>
      <c r="B915" s="1" t="n">
        <v>45009</v>
      </c>
      <c r="C915" s="1" t="n">
        <v>45811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14633-2023</t>
        </is>
      </c>
      <c r="B916" s="1" t="n">
        <v>45013</v>
      </c>
      <c r="C916" s="1" t="n">
        <v>45811</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14612-2023</t>
        </is>
      </c>
      <c r="B917" s="1" t="n">
        <v>45013</v>
      </c>
      <c r="C917" s="1" t="n">
        <v>45811</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14666-2023</t>
        </is>
      </c>
      <c r="B918" s="1" t="n">
        <v>45013</v>
      </c>
      <c r="C918" s="1" t="n">
        <v>45811</v>
      </c>
      <c r="D918" t="inlineStr">
        <is>
          <t>SKÅNE LÄN</t>
        </is>
      </c>
      <c r="E918" t="inlineStr">
        <is>
          <t>HÄSSLEHOLM</t>
        </is>
      </c>
      <c r="G918" t="n">
        <v>3.1</v>
      </c>
      <c r="H918" t="n">
        <v>0</v>
      </c>
      <c r="I918" t="n">
        <v>0</v>
      </c>
      <c r="J918" t="n">
        <v>0</v>
      </c>
      <c r="K918" t="n">
        <v>0</v>
      </c>
      <c r="L918" t="n">
        <v>0</v>
      </c>
      <c r="M918" t="n">
        <v>0</v>
      </c>
      <c r="N918" t="n">
        <v>0</v>
      </c>
      <c r="O918" t="n">
        <v>0</v>
      </c>
      <c r="P918" t="n">
        <v>0</v>
      </c>
      <c r="Q918" t="n">
        <v>0</v>
      </c>
      <c r="R918" s="2" t="inlineStr"/>
    </row>
    <row r="919" ht="15" customHeight="1">
      <c r="A919" t="inlineStr">
        <is>
          <t>A 14615-2023</t>
        </is>
      </c>
      <c r="B919" s="1" t="n">
        <v>45013</v>
      </c>
      <c r="C919" s="1" t="n">
        <v>45811</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14700-2023</t>
        </is>
      </c>
      <c r="B920" s="1" t="n">
        <v>45014</v>
      </c>
      <c r="C920" s="1" t="n">
        <v>45811</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14939-2023</t>
        </is>
      </c>
      <c r="B921" s="1" t="n">
        <v>45014</v>
      </c>
      <c r="C921" s="1" t="n">
        <v>45811</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15053-2023</t>
        </is>
      </c>
      <c r="B922" s="1" t="n">
        <v>45015</v>
      </c>
      <c r="C922" s="1" t="n">
        <v>45811</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15055-2023</t>
        </is>
      </c>
      <c r="B923" s="1" t="n">
        <v>45015</v>
      </c>
      <c r="C923" s="1" t="n">
        <v>45811</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15060-2023</t>
        </is>
      </c>
      <c r="B924" s="1" t="n">
        <v>45015</v>
      </c>
      <c r="C924" s="1" t="n">
        <v>45811</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v>
      </c>
      <c r="C925" s="1" t="n">
        <v>45811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15133-2023</t>
        </is>
      </c>
      <c r="B926" s="1" t="n">
        <v>45016</v>
      </c>
      <c r="C926" s="1" t="n">
        <v>45811</v>
      </c>
      <c r="D926" t="inlineStr">
        <is>
          <t>SKÅNE LÄN</t>
        </is>
      </c>
      <c r="E926" t="inlineStr">
        <is>
          <t>HÄSSLEHOLM</t>
        </is>
      </c>
      <c r="G926" t="n">
        <v>7.8</v>
      </c>
      <c r="H926" t="n">
        <v>0</v>
      </c>
      <c r="I926" t="n">
        <v>0</v>
      </c>
      <c r="J926" t="n">
        <v>0</v>
      </c>
      <c r="K926" t="n">
        <v>0</v>
      </c>
      <c r="L926" t="n">
        <v>0</v>
      </c>
      <c r="M926" t="n">
        <v>0</v>
      </c>
      <c r="N926" t="n">
        <v>0</v>
      </c>
      <c r="O926" t="n">
        <v>0</v>
      </c>
      <c r="P926" t="n">
        <v>0</v>
      </c>
      <c r="Q926" t="n">
        <v>0</v>
      </c>
      <c r="R926" s="2" t="inlineStr"/>
    </row>
    <row r="927" ht="15" customHeight="1">
      <c r="A927" t="inlineStr">
        <is>
          <t>A 15546-2023</t>
        </is>
      </c>
      <c r="B927" s="1" t="n">
        <v>45018</v>
      </c>
      <c r="C927" s="1" t="n">
        <v>45811</v>
      </c>
      <c r="D927" t="inlineStr">
        <is>
          <t>SKÅNE LÄN</t>
        </is>
      </c>
      <c r="E927" t="inlineStr">
        <is>
          <t>HÄSSLEHOLM</t>
        </is>
      </c>
      <c r="G927" t="n">
        <v>4.2</v>
      </c>
      <c r="H927" t="n">
        <v>0</v>
      </c>
      <c r="I927" t="n">
        <v>0</v>
      </c>
      <c r="J927" t="n">
        <v>0</v>
      </c>
      <c r="K927" t="n">
        <v>0</v>
      </c>
      <c r="L927" t="n">
        <v>0</v>
      </c>
      <c r="M927" t="n">
        <v>0</v>
      </c>
      <c r="N927" t="n">
        <v>0</v>
      </c>
      <c r="O927" t="n">
        <v>0</v>
      </c>
      <c r="P927" t="n">
        <v>0</v>
      </c>
      <c r="Q927" t="n">
        <v>0</v>
      </c>
      <c r="R927" s="2" t="inlineStr"/>
    </row>
    <row r="928" ht="15" customHeight="1">
      <c r="A928" t="inlineStr">
        <is>
          <t>A 15508-2023</t>
        </is>
      </c>
      <c r="B928" s="1" t="n">
        <v>45020</v>
      </c>
      <c r="C928" s="1" t="n">
        <v>45811</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15603-2023</t>
        </is>
      </c>
      <c r="B929" s="1" t="n">
        <v>45020</v>
      </c>
      <c r="C929" s="1" t="n">
        <v>45811</v>
      </c>
      <c r="D929" t="inlineStr">
        <is>
          <t>SKÅNE LÄN</t>
        </is>
      </c>
      <c r="E929" t="inlineStr">
        <is>
          <t>HÄSSLEHOLM</t>
        </is>
      </c>
      <c r="G929" t="n">
        <v>3.7</v>
      </c>
      <c r="H929" t="n">
        <v>0</v>
      </c>
      <c r="I929" t="n">
        <v>0</v>
      </c>
      <c r="J929" t="n">
        <v>0</v>
      </c>
      <c r="K929" t="n">
        <v>0</v>
      </c>
      <c r="L929" t="n">
        <v>0</v>
      </c>
      <c r="M929" t="n">
        <v>0</v>
      </c>
      <c r="N929" t="n">
        <v>0</v>
      </c>
      <c r="O929" t="n">
        <v>0</v>
      </c>
      <c r="P929" t="n">
        <v>0</v>
      </c>
      <c r="Q929" t="n">
        <v>0</v>
      </c>
      <c r="R929" s="2" t="inlineStr"/>
    </row>
    <row r="930" ht="15" customHeight="1">
      <c r="A930" t="inlineStr">
        <is>
          <t>A 15698-2023</t>
        </is>
      </c>
      <c r="B930" s="1" t="n">
        <v>45021</v>
      </c>
      <c r="C930" s="1" t="n">
        <v>45811</v>
      </c>
      <c r="D930" t="inlineStr">
        <is>
          <t>SKÅNE LÄN</t>
        </is>
      </c>
      <c r="E930" t="inlineStr">
        <is>
          <t>HÄSSLEHOLM</t>
        </is>
      </c>
      <c r="F930" t="inlineStr">
        <is>
          <t>Kommuner</t>
        </is>
      </c>
      <c r="G930" t="n">
        <v>5.5</v>
      </c>
      <c r="H930" t="n">
        <v>0</v>
      </c>
      <c r="I930" t="n">
        <v>0</v>
      </c>
      <c r="J930" t="n">
        <v>0</v>
      </c>
      <c r="K930" t="n">
        <v>0</v>
      </c>
      <c r="L930" t="n">
        <v>0</v>
      </c>
      <c r="M930" t="n">
        <v>0</v>
      </c>
      <c r="N930" t="n">
        <v>0</v>
      </c>
      <c r="O930" t="n">
        <v>0</v>
      </c>
      <c r="P930" t="n">
        <v>0</v>
      </c>
      <c r="Q930" t="n">
        <v>0</v>
      </c>
      <c r="R930" s="2" t="inlineStr"/>
    </row>
    <row r="931" ht="15" customHeight="1">
      <c r="A931" t="inlineStr">
        <is>
          <t>A 15701-2023</t>
        </is>
      </c>
      <c r="B931" s="1" t="n">
        <v>45021</v>
      </c>
      <c r="C931" s="1" t="n">
        <v>45811</v>
      </c>
      <c r="D931" t="inlineStr">
        <is>
          <t>SKÅNE LÄN</t>
        </is>
      </c>
      <c r="E931" t="inlineStr">
        <is>
          <t>HÄSSLEHOLM</t>
        </is>
      </c>
      <c r="F931" t="inlineStr">
        <is>
          <t>Kommuner</t>
        </is>
      </c>
      <c r="G931" t="n">
        <v>3.5</v>
      </c>
      <c r="H931" t="n">
        <v>0</v>
      </c>
      <c r="I931" t="n">
        <v>0</v>
      </c>
      <c r="J931" t="n">
        <v>0</v>
      </c>
      <c r="K931" t="n">
        <v>0</v>
      </c>
      <c r="L931" t="n">
        <v>0</v>
      </c>
      <c r="M931" t="n">
        <v>0</v>
      </c>
      <c r="N931" t="n">
        <v>0</v>
      </c>
      <c r="O931" t="n">
        <v>0</v>
      </c>
      <c r="P931" t="n">
        <v>0</v>
      </c>
      <c r="Q931" t="n">
        <v>0</v>
      </c>
      <c r="R931" s="2" t="inlineStr"/>
    </row>
    <row r="932" ht="15" customHeight="1">
      <c r="A932" t="inlineStr">
        <is>
          <t>A 15990-2023</t>
        </is>
      </c>
      <c r="B932" s="1" t="n">
        <v>45023</v>
      </c>
      <c r="C932" s="1" t="n">
        <v>45811</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16017-2023</t>
        </is>
      </c>
      <c r="B933" s="1" t="n">
        <v>45026</v>
      </c>
      <c r="C933" s="1" t="n">
        <v>45811</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16454-2023</t>
        </is>
      </c>
      <c r="B934" s="1" t="n">
        <v>45029</v>
      </c>
      <c r="C934" s="1" t="n">
        <v>45811</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16891-2023</t>
        </is>
      </c>
      <c r="B935" s="1" t="n">
        <v>45033</v>
      </c>
      <c r="C935" s="1" t="n">
        <v>45811</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17176-2023</t>
        </is>
      </c>
      <c r="B936" s="1" t="n">
        <v>45034</v>
      </c>
      <c r="C936" s="1" t="n">
        <v>45811</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17535-2023</t>
        </is>
      </c>
      <c r="B937" s="1" t="n">
        <v>45036</v>
      </c>
      <c r="C937" s="1" t="n">
        <v>45811</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18063-2023</t>
        </is>
      </c>
      <c r="B938" s="1" t="n">
        <v>45040</v>
      </c>
      <c r="C938" s="1" t="n">
        <v>45811</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18086-2023</t>
        </is>
      </c>
      <c r="B939" s="1" t="n">
        <v>45040</v>
      </c>
      <c r="C939" s="1" t="n">
        <v>45811</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18041-2023</t>
        </is>
      </c>
      <c r="B940" s="1" t="n">
        <v>45040</v>
      </c>
      <c r="C940" s="1" t="n">
        <v>45811</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18335-2023</t>
        </is>
      </c>
      <c r="B941" s="1" t="n">
        <v>45041</v>
      </c>
      <c r="C941" s="1" t="n">
        <v>45811</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18623-2023</t>
        </is>
      </c>
      <c r="B942" s="1" t="n">
        <v>45043</v>
      </c>
      <c r="C942" s="1" t="n">
        <v>45811</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18577-2023</t>
        </is>
      </c>
      <c r="B943" s="1" t="n">
        <v>45043</v>
      </c>
      <c r="C943" s="1" t="n">
        <v>45811</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18580-2023</t>
        </is>
      </c>
      <c r="B944" s="1" t="n">
        <v>45043</v>
      </c>
      <c r="C944" s="1" t="n">
        <v>45811</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18908-2023</t>
        </is>
      </c>
      <c r="B945" s="1" t="n">
        <v>45044</v>
      </c>
      <c r="C945" s="1" t="n">
        <v>45811</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18800-2023</t>
        </is>
      </c>
      <c r="B946" s="1" t="n">
        <v>45044</v>
      </c>
      <c r="C946" s="1" t="n">
        <v>45811</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19151-2023</t>
        </is>
      </c>
      <c r="B947" s="1" t="n">
        <v>45044</v>
      </c>
      <c r="C947" s="1" t="n">
        <v>45811</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18938-2023</t>
        </is>
      </c>
      <c r="B948" s="1" t="n">
        <v>45044</v>
      </c>
      <c r="C948" s="1" t="n">
        <v>45811</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19141-2023</t>
        </is>
      </c>
      <c r="B949" s="1" t="n">
        <v>45048</v>
      </c>
      <c r="C949" s="1" t="n">
        <v>45811</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19367-2023</t>
        </is>
      </c>
      <c r="B950" s="1" t="n">
        <v>45049</v>
      </c>
      <c r="C950" s="1" t="n">
        <v>45811</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19593-2023</t>
        </is>
      </c>
      <c r="B951" s="1" t="n">
        <v>45050</v>
      </c>
      <c r="C951" s="1" t="n">
        <v>45811</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19739-2023</t>
        </is>
      </c>
      <c r="B952" s="1" t="n">
        <v>45051</v>
      </c>
      <c r="C952" s="1" t="n">
        <v>45811</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19735-2023</t>
        </is>
      </c>
      <c r="B953" s="1" t="n">
        <v>45051</v>
      </c>
      <c r="C953" s="1" t="n">
        <v>45811</v>
      </c>
      <c r="D953" t="inlineStr">
        <is>
          <t>SKÅNE LÄN</t>
        </is>
      </c>
      <c r="E953" t="inlineStr">
        <is>
          <t>HÄSSLEHOLM</t>
        </is>
      </c>
      <c r="G953" t="n">
        <v>4</v>
      </c>
      <c r="H953" t="n">
        <v>0</v>
      </c>
      <c r="I953" t="n">
        <v>0</v>
      </c>
      <c r="J953" t="n">
        <v>0</v>
      </c>
      <c r="K953" t="n">
        <v>0</v>
      </c>
      <c r="L953" t="n">
        <v>0</v>
      </c>
      <c r="M953" t="n">
        <v>0</v>
      </c>
      <c r="N953" t="n">
        <v>0</v>
      </c>
      <c r="O953" t="n">
        <v>0</v>
      </c>
      <c r="P953" t="n">
        <v>0</v>
      </c>
      <c r="Q953" t="n">
        <v>0</v>
      </c>
      <c r="R953" s="2" t="inlineStr"/>
    </row>
    <row r="954" ht="15" customHeight="1">
      <c r="A954" t="inlineStr">
        <is>
          <t>A 19796-2023</t>
        </is>
      </c>
      <c r="B954" s="1" t="n">
        <v>45051</v>
      </c>
      <c r="C954" s="1" t="n">
        <v>45811</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19744-2023</t>
        </is>
      </c>
      <c r="B955" s="1" t="n">
        <v>45051</v>
      </c>
      <c r="C955" s="1" t="n">
        <v>45811</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19978-2023</t>
        </is>
      </c>
      <c r="B956" s="1" t="n">
        <v>45054</v>
      </c>
      <c r="C956" s="1" t="n">
        <v>45811</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20058-2023</t>
        </is>
      </c>
      <c r="B957" s="1" t="n">
        <v>45054</v>
      </c>
      <c r="C957" s="1" t="n">
        <v>45811</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20185-2023</t>
        </is>
      </c>
      <c r="B958" s="1" t="n">
        <v>45055</v>
      </c>
      <c r="C958" s="1" t="n">
        <v>45811</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20203-2023</t>
        </is>
      </c>
      <c r="B959" s="1" t="n">
        <v>45055</v>
      </c>
      <c r="C959" s="1" t="n">
        <v>45811</v>
      </c>
      <c r="D959" t="inlineStr">
        <is>
          <t>SKÅNE LÄN</t>
        </is>
      </c>
      <c r="E959" t="inlineStr">
        <is>
          <t>HÄSSLEHOLM</t>
        </is>
      </c>
      <c r="G959" t="n">
        <v>4.3</v>
      </c>
      <c r="H959" t="n">
        <v>0</v>
      </c>
      <c r="I959" t="n">
        <v>0</v>
      </c>
      <c r="J959" t="n">
        <v>0</v>
      </c>
      <c r="K959" t="n">
        <v>0</v>
      </c>
      <c r="L959" t="n">
        <v>0</v>
      </c>
      <c r="M959" t="n">
        <v>0</v>
      </c>
      <c r="N959" t="n">
        <v>0</v>
      </c>
      <c r="O959" t="n">
        <v>0</v>
      </c>
      <c r="P959" t="n">
        <v>0</v>
      </c>
      <c r="Q959" t="n">
        <v>0</v>
      </c>
      <c r="R959" s="2" t="inlineStr"/>
    </row>
    <row r="960" ht="15" customHeight="1">
      <c r="A960" t="inlineStr">
        <is>
          <t>A 20187-2023</t>
        </is>
      </c>
      <c r="B960" s="1" t="n">
        <v>45055</v>
      </c>
      <c r="C960" s="1" t="n">
        <v>45811</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20846-2023</t>
        </is>
      </c>
      <c r="B961" s="1" t="n">
        <v>45056</v>
      </c>
      <c r="C961" s="1" t="n">
        <v>45811</v>
      </c>
      <c r="D961" t="inlineStr">
        <is>
          <t>SKÅNE LÄN</t>
        </is>
      </c>
      <c r="E961" t="inlineStr">
        <is>
          <t>HÄSSLEHOLM</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20566-2023</t>
        </is>
      </c>
      <c r="B962" s="1" t="n">
        <v>45057</v>
      </c>
      <c r="C962" s="1" t="n">
        <v>45811</v>
      </c>
      <c r="D962" t="inlineStr">
        <is>
          <t>SKÅNE LÄN</t>
        </is>
      </c>
      <c r="E962" t="inlineStr">
        <is>
          <t>HÄSSLEHOLM</t>
        </is>
      </c>
      <c r="G962" t="n">
        <v>5.2</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45811</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20800-2023</t>
        </is>
      </c>
      <c r="B964" s="1" t="n">
        <v>45058</v>
      </c>
      <c r="C964" s="1" t="n">
        <v>45811</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20666-2023</t>
        </is>
      </c>
      <c r="B965" s="1" t="n">
        <v>45058</v>
      </c>
      <c r="C965" s="1" t="n">
        <v>45811</v>
      </c>
      <c r="D965" t="inlineStr">
        <is>
          <t>SKÅNE LÄN</t>
        </is>
      </c>
      <c r="E965" t="inlineStr">
        <is>
          <t>HÄSSLEHOLM</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20797-2023</t>
        </is>
      </c>
      <c r="B966" s="1" t="n">
        <v>45058</v>
      </c>
      <c r="C966" s="1" t="n">
        <v>45811</v>
      </c>
      <c r="D966" t="inlineStr">
        <is>
          <t>SKÅNE LÄN</t>
        </is>
      </c>
      <c r="E966" t="inlineStr">
        <is>
          <t>HÄSSLEHOLM</t>
        </is>
      </c>
      <c r="G966" t="n">
        <v>5.4</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v>
      </c>
      <c r="C967" s="1" t="n">
        <v>45811</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21328-2023</t>
        </is>
      </c>
      <c r="B968" s="1" t="n">
        <v>45062</v>
      </c>
      <c r="C968" s="1" t="n">
        <v>45811</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21325-2023</t>
        </is>
      </c>
      <c r="B969" s="1" t="n">
        <v>45062</v>
      </c>
      <c r="C969" s="1" t="n">
        <v>45811</v>
      </c>
      <c r="D969" t="inlineStr">
        <is>
          <t>SKÅNE LÄN</t>
        </is>
      </c>
      <c r="E969" t="inlineStr">
        <is>
          <t>HÄSSLEHOLM</t>
        </is>
      </c>
      <c r="G969" t="n">
        <v>2.2</v>
      </c>
      <c r="H969" t="n">
        <v>0</v>
      </c>
      <c r="I969" t="n">
        <v>0</v>
      </c>
      <c r="J969" t="n">
        <v>0</v>
      </c>
      <c r="K969" t="n">
        <v>0</v>
      </c>
      <c r="L969" t="n">
        <v>0</v>
      </c>
      <c r="M969" t="n">
        <v>0</v>
      </c>
      <c r="N969" t="n">
        <v>0</v>
      </c>
      <c r="O969" t="n">
        <v>0</v>
      </c>
      <c r="P969" t="n">
        <v>0</v>
      </c>
      <c r="Q969" t="n">
        <v>0</v>
      </c>
      <c r="R969" s="2" t="inlineStr"/>
    </row>
    <row r="970" ht="15" customHeight="1">
      <c r="A970" t="inlineStr">
        <is>
          <t>A 21329-2023</t>
        </is>
      </c>
      <c r="B970" s="1" t="n">
        <v>45062</v>
      </c>
      <c r="C970" s="1" t="n">
        <v>45811</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21495-2023</t>
        </is>
      </c>
      <c r="B971" s="1" t="n">
        <v>45063</v>
      </c>
      <c r="C971" s="1" t="n">
        <v>45811</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21542-2023</t>
        </is>
      </c>
      <c r="B972" s="1" t="n">
        <v>45063</v>
      </c>
      <c r="C972" s="1" t="n">
        <v>45811</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21494-2023</t>
        </is>
      </c>
      <c r="B973" s="1" t="n">
        <v>45063</v>
      </c>
      <c r="C973" s="1" t="n">
        <v>45811</v>
      </c>
      <c r="D973" t="inlineStr">
        <is>
          <t>SKÅNE LÄN</t>
        </is>
      </c>
      <c r="E973" t="inlineStr">
        <is>
          <t>HÄSSLEHOLM</t>
        </is>
      </c>
      <c r="G973" t="n">
        <v>3.7</v>
      </c>
      <c r="H973" t="n">
        <v>0</v>
      </c>
      <c r="I973" t="n">
        <v>0</v>
      </c>
      <c r="J973" t="n">
        <v>0</v>
      </c>
      <c r="K973" t="n">
        <v>0</v>
      </c>
      <c r="L973" t="n">
        <v>0</v>
      </c>
      <c r="M973" t="n">
        <v>0</v>
      </c>
      <c r="N973" t="n">
        <v>0</v>
      </c>
      <c r="O973" t="n">
        <v>0</v>
      </c>
      <c r="P973" t="n">
        <v>0</v>
      </c>
      <c r="Q973" t="n">
        <v>0</v>
      </c>
      <c r="R973" s="2" t="inlineStr"/>
    </row>
    <row r="974" ht="15" customHeight="1">
      <c r="A974" t="inlineStr">
        <is>
          <t>A 21867-2023</t>
        </is>
      </c>
      <c r="B974" s="1" t="n">
        <v>45063</v>
      </c>
      <c r="C974" s="1" t="n">
        <v>45811</v>
      </c>
      <c r="D974" t="inlineStr">
        <is>
          <t>SKÅNE LÄN</t>
        </is>
      </c>
      <c r="E974" t="inlineStr">
        <is>
          <t>HÄSSLEHOLM</t>
        </is>
      </c>
      <c r="G974" t="n">
        <v>7.6</v>
      </c>
      <c r="H974" t="n">
        <v>0</v>
      </c>
      <c r="I974" t="n">
        <v>0</v>
      </c>
      <c r="J974" t="n">
        <v>0</v>
      </c>
      <c r="K974" t="n">
        <v>0</v>
      </c>
      <c r="L974" t="n">
        <v>0</v>
      </c>
      <c r="M974" t="n">
        <v>0</v>
      </c>
      <c r="N974" t="n">
        <v>0</v>
      </c>
      <c r="O974" t="n">
        <v>0</v>
      </c>
      <c r="P974" t="n">
        <v>0</v>
      </c>
      <c r="Q974" t="n">
        <v>0</v>
      </c>
      <c r="R974" s="2" t="inlineStr"/>
    </row>
    <row r="975" ht="15" customHeight="1">
      <c r="A975" t="inlineStr">
        <is>
          <t>A 22140-2023</t>
        </is>
      </c>
      <c r="B975" s="1" t="n">
        <v>45065</v>
      </c>
      <c r="C975" s="1" t="n">
        <v>45811</v>
      </c>
      <c r="D975" t="inlineStr">
        <is>
          <t>SKÅNE LÄN</t>
        </is>
      </c>
      <c r="E975" t="inlineStr">
        <is>
          <t>HÄSSLEHOLM</t>
        </is>
      </c>
      <c r="G975" t="n">
        <v>6.7</v>
      </c>
      <c r="H975" t="n">
        <v>0</v>
      </c>
      <c r="I975" t="n">
        <v>0</v>
      </c>
      <c r="J975" t="n">
        <v>0</v>
      </c>
      <c r="K975" t="n">
        <v>0</v>
      </c>
      <c r="L975" t="n">
        <v>0</v>
      </c>
      <c r="M975" t="n">
        <v>0</v>
      </c>
      <c r="N975" t="n">
        <v>0</v>
      </c>
      <c r="O975" t="n">
        <v>0</v>
      </c>
      <c r="P975" t="n">
        <v>0</v>
      </c>
      <c r="Q975" t="n">
        <v>0</v>
      </c>
      <c r="R975" s="2" t="inlineStr"/>
    </row>
    <row r="976" ht="15" customHeight="1">
      <c r="A976" t="inlineStr">
        <is>
          <t>A 21879-2023</t>
        </is>
      </c>
      <c r="B976" s="1" t="n">
        <v>45068</v>
      </c>
      <c r="C976" s="1" t="n">
        <v>45811</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21873-2023</t>
        </is>
      </c>
      <c r="B977" s="1" t="n">
        <v>45068</v>
      </c>
      <c r="C977" s="1" t="n">
        <v>45811</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21877-2023</t>
        </is>
      </c>
      <c r="B978" s="1" t="n">
        <v>45068</v>
      </c>
      <c r="C978" s="1" t="n">
        <v>45811</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22628-2023</t>
        </is>
      </c>
      <c r="B979" s="1" t="n">
        <v>45071</v>
      </c>
      <c r="C979" s="1" t="n">
        <v>45811</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22696-2023</t>
        </is>
      </c>
      <c r="B980" s="1" t="n">
        <v>45071</v>
      </c>
      <c r="C980" s="1" t="n">
        <v>45811</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23643-2023</t>
        </is>
      </c>
      <c r="B981" s="1" t="n">
        <v>45072</v>
      </c>
      <c r="C981" s="1" t="n">
        <v>45811</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23666-2023</t>
        </is>
      </c>
      <c r="B982" s="1" t="n">
        <v>45077</v>
      </c>
      <c r="C982" s="1" t="n">
        <v>45811</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45811</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23723-2023</t>
        </is>
      </c>
      <c r="B984" s="1" t="n">
        <v>45077</v>
      </c>
      <c r="C984" s="1" t="n">
        <v>45811</v>
      </c>
      <c r="D984" t="inlineStr">
        <is>
          <t>SKÅNE LÄN</t>
        </is>
      </c>
      <c r="E984" t="inlineStr">
        <is>
          <t>HÄSSLEHOLM</t>
        </is>
      </c>
      <c r="G984" t="n">
        <v>3.9</v>
      </c>
      <c r="H984" t="n">
        <v>0</v>
      </c>
      <c r="I984" t="n">
        <v>0</v>
      </c>
      <c r="J984" t="n">
        <v>0</v>
      </c>
      <c r="K984" t="n">
        <v>0</v>
      </c>
      <c r="L984" t="n">
        <v>0</v>
      </c>
      <c r="M984" t="n">
        <v>0</v>
      </c>
      <c r="N984" t="n">
        <v>0</v>
      </c>
      <c r="O984" t="n">
        <v>0</v>
      </c>
      <c r="P984" t="n">
        <v>0</v>
      </c>
      <c r="Q984" t="n">
        <v>0</v>
      </c>
      <c r="R984" s="2" t="inlineStr"/>
    </row>
    <row r="985" ht="15" customHeight="1">
      <c r="A985" t="inlineStr">
        <is>
          <t>A 23684-2023</t>
        </is>
      </c>
      <c r="B985" s="1" t="n">
        <v>45077</v>
      </c>
      <c r="C985" s="1" t="n">
        <v>45811</v>
      </c>
      <c r="D985" t="inlineStr">
        <is>
          <t>SKÅNE LÄN</t>
        </is>
      </c>
      <c r="E985" t="inlineStr">
        <is>
          <t>HÄSSLEHOLM</t>
        </is>
      </c>
      <c r="G985" t="n">
        <v>3.7</v>
      </c>
      <c r="H985" t="n">
        <v>0</v>
      </c>
      <c r="I985" t="n">
        <v>0</v>
      </c>
      <c r="J985" t="n">
        <v>0</v>
      </c>
      <c r="K985" t="n">
        <v>0</v>
      </c>
      <c r="L985" t="n">
        <v>0</v>
      </c>
      <c r="M985" t="n">
        <v>0</v>
      </c>
      <c r="N985" t="n">
        <v>0</v>
      </c>
      <c r="O985" t="n">
        <v>0</v>
      </c>
      <c r="P985" t="n">
        <v>0</v>
      </c>
      <c r="Q985" t="n">
        <v>0</v>
      </c>
      <c r="R985" s="2" t="inlineStr"/>
    </row>
    <row r="986" ht="15" customHeight="1">
      <c r="A986" t="inlineStr">
        <is>
          <t>A 23955-2023</t>
        </is>
      </c>
      <c r="B986" s="1" t="n">
        <v>45078</v>
      </c>
      <c r="C986" s="1" t="n">
        <v>45811</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23946-2023</t>
        </is>
      </c>
      <c r="B987" s="1" t="n">
        <v>45078</v>
      </c>
      <c r="C987" s="1" t="n">
        <v>45811</v>
      </c>
      <c r="D987" t="inlineStr">
        <is>
          <t>SKÅNE LÄN</t>
        </is>
      </c>
      <c r="E987" t="inlineStr">
        <is>
          <t>HÄSSLEHOLM</t>
        </is>
      </c>
      <c r="G987" t="n">
        <v>0.2</v>
      </c>
      <c r="H987" t="n">
        <v>0</v>
      </c>
      <c r="I987" t="n">
        <v>0</v>
      </c>
      <c r="J987" t="n">
        <v>0</v>
      </c>
      <c r="K987" t="n">
        <v>0</v>
      </c>
      <c r="L987" t="n">
        <v>0</v>
      </c>
      <c r="M987" t="n">
        <v>0</v>
      </c>
      <c r="N987" t="n">
        <v>0</v>
      </c>
      <c r="O987" t="n">
        <v>0</v>
      </c>
      <c r="P987" t="n">
        <v>0</v>
      </c>
      <c r="Q987" t="n">
        <v>0</v>
      </c>
      <c r="R987" s="2" t="inlineStr"/>
    </row>
    <row r="988" ht="15" customHeight="1">
      <c r="A988" t="inlineStr">
        <is>
          <t>A 23950-2023</t>
        </is>
      </c>
      <c r="B988" s="1" t="n">
        <v>45078</v>
      </c>
      <c r="C988" s="1" t="n">
        <v>45811</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23959-2023</t>
        </is>
      </c>
      <c r="B989" s="1" t="n">
        <v>45078</v>
      </c>
      <c r="C989" s="1" t="n">
        <v>45811</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23957-2023</t>
        </is>
      </c>
      <c r="B990" s="1" t="n">
        <v>45078</v>
      </c>
      <c r="C990" s="1" t="n">
        <v>45811</v>
      </c>
      <c r="D990" t="inlineStr">
        <is>
          <t>SKÅNE LÄN</t>
        </is>
      </c>
      <c r="E990" t="inlineStr">
        <is>
          <t>HÄSSLEHOLM</t>
        </is>
      </c>
      <c r="G990" t="n">
        <v>4.8</v>
      </c>
      <c r="H990" t="n">
        <v>0</v>
      </c>
      <c r="I990" t="n">
        <v>0</v>
      </c>
      <c r="J990" t="n">
        <v>0</v>
      </c>
      <c r="K990" t="n">
        <v>0</v>
      </c>
      <c r="L990" t="n">
        <v>0</v>
      </c>
      <c r="M990" t="n">
        <v>0</v>
      </c>
      <c r="N990" t="n">
        <v>0</v>
      </c>
      <c r="O990" t="n">
        <v>0</v>
      </c>
      <c r="P990" t="n">
        <v>0</v>
      </c>
      <c r="Q990" t="n">
        <v>0</v>
      </c>
      <c r="R990" s="2" t="inlineStr"/>
    </row>
    <row r="991" ht="15" customHeight="1">
      <c r="A991" t="inlineStr">
        <is>
          <t>A 23952-2023</t>
        </is>
      </c>
      <c r="B991" s="1" t="n">
        <v>45078</v>
      </c>
      <c r="C991" s="1" t="n">
        <v>45811</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23956-2023</t>
        </is>
      </c>
      <c r="B992" s="1" t="n">
        <v>45078</v>
      </c>
      <c r="C992" s="1" t="n">
        <v>45811</v>
      </c>
      <c r="D992" t="inlineStr">
        <is>
          <t>SKÅNE LÄN</t>
        </is>
      </c>
      <c r="E992" t="inlineStr">
        <is>
          <t>HÄSSLEHOLM</t>
        </is>
      </c>
      <c r="G992" t="n">
        <v>0.1</v>
      </c>
      <c r="H992" t="n">
        <v>0</v>
      </c>
      <c r="I992" t="n">
        <v>0</v>
      </c>
      <c r="J992" t="n">
        <v>0</v>
      </c>
      <c r="K992" t="n">
        <v>0</v>
      </c>
      <c r="L992" t="n">
        <v>0</v>
      </c>
      <c r="M992" t="n">
        <v>0</v>
      </c>
      <c r="N992" t="n">
        <v>0</v>
      </c>
      <c r="O992" t="n">
        <v>0</v>
      </c>
      <c r="P992" t="n">
        <v>0</v>
      </c>
      <c r="Q992" t="n">
        <v>0</v>
      </c>
      <c r="R992" s="2" t="inlineStr"/>
    </row>
    <row r="993" ht="15" customHeight="1">
      <c r="A993" t="inlineStr">
        <is>
          <t>A 24246-2023</t>
        </is>
      </c>
      <c r="B993" s="1" t="n">
        <v>45079</v>
      </c>
      <c r="C993" s="1" t="n">
        <v>45811</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24241-2023</t>
        </is>
      </c>
      <c r="B994" s="1" t="n">
        <v>45079</v>
      </c>
      <c r="C994" s="1" t="n">
        <v>45811</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24249-2023</t>
        </is>
      </c>
      <c r="B995" s="1" t="n">
        <v>45079</v>
      </c>
      <c r="C995" s="1" t="n">
        <v>45811</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25483-2023</t>
        </is>
      </c>
      <c r="B996" s="1" t="n">
        <v>45081</v>
      </c>
      <c r="C996" s="1" t="n">
        <v>45811</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24370-2023</t>
        </is>
      </c>
      <c r="B997" s="1" t="n">
        <v>45082</v>
      </c>
      <c r="C997" s="1" t="n">
        <v>45811</v>
      </c>
      <c r="D997" t="inlineStr">
        <is>
          <t>SKÅNE LÄN</t>
        </is>
      </c>
      <c r="E997" t="inlineStr">
        <is>
          <t>HÄSSLEHOLM</t>
        </is>
      </c>
      <c r="G997" t="n">
        <v>1.9</v>
      </c>
      <c r="H997" t="n">
        <v>0</v>
      </c>
      <c r="I997" t="n">
        <v>0</v>
      </c>
      <c r="J997" t="n">
        <v>0</v>
      </c>
      <c r="K997" t="n">
        <v>0</v>
      </c>
      <c r="L997" t="n">
        <v>0</v>
      </c>
      <c r="M997" t="n">
        <v>0</v>
      </c>
      <c r="N997" t="n">
        <v>0</v>
      </c>
      <c r="O997" t="n">
        <v>0</v>
      </c>
      <c r="P997" t="n">
        <v>0</v>
      </c>
      <c r="Q997" t="n">
        <v>0</v>
      </c>
      <c r="R997" s="2" t="inlineStr"/>
    </row>
    <row r="998" ht="15" customHeight="1">
      <c r="A998" t="inlineStr">
        <is>
          <t>A 24640-2023</t>
        </is>
      </c>
      <c r="B998" s="1" t="n">
        <v>45084</v>
      </c>
      <c r="C998" s="1" t="n">
        <v>45811</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24679-2023</t>
        </is>
      </c>
      <c r="B999" s="1" t="n">
        <v>45084</v>
      </c>
      <c r="C999" s="1" t="n">
        <v>45811</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25219-2023</t>
        </is>
      </c>
      <c r="B1000" s="1" t="n">
        <v>45086</v>
      </c>
      <c r="C1000" s="1" t="n">
        <v>45811</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25221-2023</t>
        </is>
      </c>
      <c r="B1001" s="1" t="n">
        <v>45086</v>
      </c>
      <c r="C1001" s="1" t="n">
        <v>45811</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25213-2023</t>
        </is>
      </c>
      <c r="B1002" s="1" t="n">
        <v>45086</v>
      </c>
      <c r="C1002" s="1" t="n">
        <v>45811</v>
      </c>
      <c r="D1002" t="inlineStr">
        <is>
          <t>SKÅNE LÄN</t>
        </is>
      </c>
      <c r="E1002" t="inlineStr">
        <is>
          <t>HÄSSLEHOLM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v>
      </c>
      <c r="C1003" s="1" t="n">
        <v>45811</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26397-2023</t>
        </is>
      </c>
      <c r="B1004" s="1" t="n">
        <v>45087</v>
      </c>
      <c r="C1004" s="1" t="n">
        <v>45811</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25511-2023</t>
        </is>
      </c>
      <c r="B1005" s="1" t="n">
        <v>45089</v>
      </c>
      <c r="C1005" s="1" t="n">
        <v>45811</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25773-2023</t>
        </is>
      </c>
      <c r="B1006" s="1" t="n">
        <v>45090</v>
      </c>
      <c r="C1006" s="1" t="n">
        <v>45811</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26641-2023</t>
        </is>
      </c>
      <c r="B1007" s="1" t="n">
        <v>45092</v>
      </c>
      <c r="C1007" s="1" t="n">
        <v>45811</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26642-2023</t>
        </is>
      </c>
      <c r="B1008" s="1" t="n">
        <v>45092</v>
      </c>
      <c r="C1008" s="1" t="n">
        <v>45811</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27502-2023</t>
        </is>
      </c>
      <c r="B1009" s="1" t="n">
        <v>45092</v>
      </c>
      <c r="C1009" s="1" t="n">
        <v>45811</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27478-2023</t>
        </is>
      </c>
      <c r="B1010" s="1" t="n">
        <v>45092</v>
      </c>
      <c r="C1010" s="1" t="n">
        <v>45811</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27297-2023</t>
        </is>
      </c>
      <c r="B1011" s="1" t="n">
        <v>45096</v>
      </c>
      <c r="C1011" s="1" t="n">
        <v>45811</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27291-2023</t>
        </is>
      </c>
      <c r="B1012" s="1" t="n">
        <v>45096</v>
      </c>
      <c r="C1012" s="1" t="n">
        <v>45811</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v>
      </c>
      <c r="C1013" s="1" t="n">
        <v>45811</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27481-2023</t>
        </is>
      </c>
      <c r="B1014" s="1" t="n">
        <v>45097</v>
      </c>
      <c r="C1014" s="1" t="n">
        <v>45811</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29287-2023</t>
        </is>
      </c>
      <c r="B1015" s="1" t="n">
        <v>45098</v>
      </c>
      <c r="C1015" s="1" t="n">
        <v>45811</v>
      </c>
      <c r="D1015" t="inlineStr">
        <is>
          <t>SKÅNE LÄN</t>
        </is>
      </c>
      <c r="E1015" t="inlineStr">
        <is>
          <t>HÄSSLEHOLM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28057-2023</t>
        </is>
      </c>
      <c r="B1016" s="1" t="n">
        <v>45099</v>
      </c>
      <c r="C1016" s="1" t="n">
        <v>45811</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28071-2023</t>
        </is>
      </c>
      <c r="B1017" s="1" t="n">
        <v>45099</v>
      </c>
      <c r="C1017" s="1" t="n">
        <v>45811</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28597-2023</t>
        </is>
      </c>
      <c r="B1018" s="1" t="n">
        <v>45103</v>
      </c>
      <c r="C1018" s="1" t="n">
        <v>45811</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29275-2023</t>
        </is>
      </c>
      <c r="B1019" s="1" t="n">
        <v>45105</v>
      </c>
      <c r="C1019" s="1" t="n">
        <v>45811</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29274-2023</t>
        </is>
      </c>
      <c r="B1020" s="1" t="n">
        <v>45105</v>
      </c>
      <c r="C1020" s="1" t="n">
        <v>45811</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29276-2023</t>
        </is>
      </c>
      <c r="B1021" s="1" t="n">
        <v>45105</v>
      </c>
      <c r="C1021" s="1" t="n">
        <v>45811</v>
      </c>
      <c r="D1021" t="inlineStr">
        <is>
          <t>SKÅNE LÄN</t>
        </is>
      </c>
      <c r="E1021" t="inlineStr">
        <is>
          <t>HÄSSLEHOLM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29889-2023</t>
        </is>
      </c>
      <c r="B1022" s="1" t="n">
        <v>45107</v>
      </c>
      <c r="C1022" s="1" t="n">
        <v>45811</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31995-2023</t>
        </is>
      </c>
      <c r="B1023" s="1" t="n">
        <v>45107</v>
      </c>
      <c r="C1023" s="1" t="n">
        <v>45811</v>
      </c>
      <c r="D1023" t="inlineStr">
        <is>
          <t>SKÅNE LÄN</t>
        </is>
      </c>
      <c r="E1023" t="inlineStr">
        <is>
          <t>HÄSSLEHOLM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29994-2023</t>
        </is>
      </c>
      <c r="B1024" s="1" t="n">
        <v>45109</v>
      </c>
      <c r="C1024" s="1" t="n">
        <v>45811</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30006-2023</t>
        </is>
      </c>
      <c r="B1025" s="1" t="n">
        <v>45109</v>
      </c>
      <c r="C1025" s="1" t="n">
        <v>45811</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30007-2023</t>
        </is>
      </c>
      <c r="B1026" s="1" t="n">
        <v>45109</v>
      </c>
      <c r="C1026" s="1" t="n">
        <v>45811</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30021-2023</t>
        </is>
      </c>
      <c r="B1027" s="1" t="n">
        <v>45110</v>
      </c>
      <c r="C1027" s="1" t="n">
        <v>45811</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30192-2023</t>
        </is>
      </c>
      <c r="B1028" s="1" t="n">
        <v>45110</v>
      </c>
      <c r="C1028" s="1" t="n">
        <v>45811</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32616-2023</t>
        </is>
      </c>
      <c r="B1029" s="1" t="n">
        <v>45111</v>
      </c>
      <c r="C1029" s="1" t="n">
        <v>45811</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31008-2023</t>
        </is>
      </c>
      <c r="B1030" s="1" t="n">
        <v>45113</v>
      </c>
      <c r="C1030" s="1" t="n">
        <v>45811</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31391-2023</t>
        </is>
      </c>
      <c r="B1031" s="1" t="n">
        <v>45114</v>
      </c>
      <c r="C1031" s="1" t="n">
        <v>45811</v>
      </c>
      <c r="D1031" t="inlineStr">
        <is>
          <t>SKÅNE LÄN</t>
        </is>
      </c>
      <c r="E1031" t="inlineStr">
        <is>
          <t>HÄSSLEHOLM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31581-2023</t>
        </is>
      </c>
      <c r="B1032" s="1" t="n">
        <v>45117</v>
      </c>
      <c r="C1032" s="1" t="n">
        <v>45811</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31872-2023</t>
        </is>
      </c>
      <c r="B1033" s="1" t="n">
        <v>45118</v>
      </c>
      <c r="C1033" s="1" t="n">
        <v>45811</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31946-2023</t>
        </is>
      </c>
      <c r="B1034" s="1" t="n">
        <v>45119</v>
      </c>
      <c r="C1034" s="1" t="n">
        <v>45811</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31986-2023</t>
        </is>
      </c>
      <c r="B1035" s="1" t="n">
        <v>45119</v>
      </c>
      <c r="C1035" s="1" t="n">
        <v>45811</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32061-2023</t>
        </is>
      </c>
      <c r="B1036" s="1" t="n">
        <v>45119</v>
      </c>
      <c r="C1036" s="1" t="n">
        <v>45811</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31944-2023</t>
        </is>
      </c>
      <c r="B1037" s="1" t="n">
        <v>45119</v>
      </c>
      <c r="C1037" s="1" t="n">
        <v>45811</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31998-2023</t>
        </is>
      </c>
      <c r="B1038" s="1" t="n">
        <v>45119</v>
      </c>
      <c r="C1038" s="1" t="n">
        <v>45811</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32567-2023</t>
        </is>
      </c>
      <c r="B1039" s="1" t="n">
        <v>45121</v>
      </c>
      <c r="C1039" s="1" t="n">
        <v>45811</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32794-2023</t>
        </is>
      </c>
      <c r="B1040" s="1" t="n">
        <v>45124</v>
      </c>
      <c r="C1040" s="1" t="n">
        <v>45811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33938-2023</t>
        </is>
      </c>
      <c r="B1041" s="1" t="n">
        <v>45124</v>
      </c>
      <c r="C1041" s="1" t="n">
        <v>45811</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32967-2023</t>
        </is>
      </c>
      <c r="B1042" s="1" t="n">
        <v>45125</v>
      </c>
      <c r="C1042" s="1" t="n">
        <v>45811</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32968-2023</t>
        </is>
      </c>
      <c r="B1043" s="1" t="n">
        <v>45125</v>
      </c>
      <c r="C1043" s="1" t="n">
        <v>45811</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32999-2023</t>
        </is>
      </c>
      <c r="B1044" s="1" t="n">
        <v>45125</v>
      </c>
      <c r="C1044" s="1" t="n">
        <v>45811</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32957-2023</t>
        </is>
      </c>
      <c r="B1045" s="1" t="n">
        <v>45125</v>
      </c>
      <c r="C1045" s="1" t="n">
        <v>45811</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32958-2023</t>
        </is>
      </c>
      <c r="B1046" s="1" t="n">
        <v>45125</v>
      </c>
      <c r="C1046" s="1" t="n">
        <v>45811</v>
      </c>
      <c r="D1046" t="inlineStr">
        <is>
          <t>SKÅNE LÄN</t>
        </is>
      </c>
      <c r="E1046" t="inlineStr">
        <is>
          <t>HÄSSLEHOLM</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33095-2023</t>
        </is>
      </c>
      <c r="B1047" s="1" t="n">
        <v>45126</v>
      </c>
      <c r="C1047" s="1" t="n">
        <v>45811</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33056-2023</t>
        </is>
      </c>
      <c r="B1048" s="1" t="n">
        <v>45126</v>
      </c>
      <c r="C1048" s="1" t="n">
        <v>45811</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33520-2023</t>
        </is>
      </c>
      <c r="B1049" s="1" t="n">
        <v>45131</v>
      </c>
      <c r="C1049" s="1" t="n">
        <v>45811</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33597-2023</t>
        </is>
      </c>
      <c r="B1050" s="1" t="n">
        <v>45132</v>
      </c>
      <c r="C1050" s="1" t="n">
        <v>45811</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33598-2023</t>
        </is>
      </c>
      <c r="B1051" s="1" t="n">
        <v>45132</v>
      </c>
      <c r="C1051" s="1" t="n">
        <v>45811</v>
      </c>
      <c r="D1051" t="inlineStr">
        <is>
          <t>SKÅNE LÄN</t>
        </is>
      </c>
      <c r="E1051" t="inlineStr">
        <is>
          <t>HÄSSLEHOLM</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33599-2023</t>
        </is>
      </c>
      <c r="B1052" s="1" t="n">
        <v>45132</v>
      </c>
      <c r="C1052" s="1" t="n">
        <v>45811</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34187-2023</t>
        </is>
      </c>
      <c r="B1053" s="1" t="n">
        <v>45138</v>
      </c>
      <c r="C1053" s="1" t="n">
        <v>45811</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34369-2023</t>
        </is>
      </c>
      <c r="B1054" s="1" t="n">
        <v>45139</v>
      </c>
      <c r="C1054" s="1" t="n">
        <v>45811</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34834-2023</t>
        </is>
      </c>
      <c r="B1055" s="1" t="n">
        <v>45141</v>
      </c>
      <c r="C1055" s="1" t="n">
        <v>45811</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34876-2023</t>
        </is>
      </c>
      <c r="B1056" s="1" t="n">
        <v>45142</v>
      </c>
      <c r="C1056" s="1" t="n">
        <v>45811</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34884-2023</t>
        </is>
      </c>
      <c r="B1057" s="1" t="n">
        <v>45142</v>
      </c>
      <c r="C1057" s="1" t="n">
        <v>45811</v>
      </c>
      <c r="D1057" t="inlineStr">
        <is>
          <t>SKÅNE LÄN</t>
        </is>
      </c>
      <c r="E1057" t="inlineStr">
        <is>
          <t>HÄSSLEHOLM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34890-2023</t>
        </is>
      </c>
      <c r="B1058" s="1" t="n">
        <v>45142</v>
      </c>
      <c r="C1058" s="1" t="n">
        <v>45811</v>
      </c>
      <c r="D1058" t="inlineStr">
        <is>
          <t>SKÅNE LÄN</t>
        </is>
      </c>
      <c r="E1058" t="inlineStr">
        <is>
          <t>HÄSSLEHOLM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34886-2023</t>
        </is>
      </c>
      <c r="B1059" s="1" t="n">
        <v>45142</v>
      </c>
      <c r="C1059" s="1" t="n">
        <v>45811</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34887-2023</t>
        </is>
      </c>
      <c r="B1060" s="1" t="n">
        <v>45142</v>
      </c>
      <c r="C1060" s="1" t="n">
        <v>45811</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34883-2023</t>
        </is>
      </c>
      <c r="B1061" s="1" t="n">
        <v>45142</v>
      </c>
      <c r="C1061" s="1" t="n">
        <v>45811</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v>
      </c>
      <c r="C1062" s="1" t="n">
        <v>45811</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35082-2023</t>
        </is>
      </c>
      <c r="B1063" s="1" t="n">
        <v>45145</v>
      </c>
      <c r="C1063" s="1" t="n">
        <v>45811</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35150-2023</t>
        </is>
      </c>
      <c r="B1064" s="1" t="n">
        <v>45145</v>
      </c>
      <c r="C1064" s="1" t="n">
        <v>45811</v>
      </c>
      <c r="D1064" t="inlineStr">
        <is>
          <t>SKÅNE LÄN</t>
        </is>
      </c>
      <c r="E1064" t="inlineStr">
        <is>
          <t>HÄSSLEHOLM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35089-2023</t>
        </is>
      </c>
      <c r="B1065" s="1" t="n">
        <v>45145</v>
      </c>
      <c r="C1065" s="1" t="n">
        <v>45811</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35237-2023</t>
        </is>
      </c>
      <c r="B1066" s="1" t="n">
        <v>45145</v>
      </c>
      <c r="C1066" s="1" t="n">
        <v>45811</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35085-2023</t>
        </is>
      </c>
      <c r="B1067" s="1" t="n">
        <v>45145</v>
      </c>
      <c r="C1067" s="1" t="n">
        <v>45811</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35108-2023</t>
        </is>
      </c>
      <c r="B1068" s="1" t="n">
        <v>45145</v>
      </c>
      <c r="C1068" s="1" t="n">
        <v>45811</v>
      </c>
      <c r="D1068" t="inlineStr">
        <is>
          <t>SKÅNE LÄN</t>
        </is>
      </c>
      <c r="E1068" t="inlineStr">
        <is>
          <t>HÄSSLEHOLM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35299-2023</t>
        </is>
      </c>
      <c r="B1069" s="1" t="n">
        <v>45146</v>
      </c>
      <c r="C1069" s="1" t="n">
        <v>45811</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35462-2023</t>
        </is>
      </c>
      <c r="B1070" s="1" t="n">
        <v>45146</v>
      </c>
      <c r="C1070" s="1" t="n">
        <v>45811</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35468-2023</t>
        </is>
      </c>
      <c r="B1071" s="1" t="n">
        <v>45146</v>
      </c>
      <c r="C1071" s="1" t="n">
        <v>45811</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35640-2023</t>
        </is>
      </c>
      <c r="B1072" s="1" t="n">
        <v>45147</v>
      </c>
      <c r="C1072" s="1" t="n">
        <v>45811</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35644-2023</t>
        </is>
      </c>
      <c r="B1073" s="1" t="n">
        <v>45147</v>
      </c>
      <c r="C1073" s="1" t="n">
        <v>45811</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35890-2023</t>
        </is>
      </c>
      <c r="B1074" s="1" t="n">
        <v>45148</v>
      </c>
      <c r="C1074" s="1" t="n">
        <v>45811</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35894-2023</t>
        </is>
      </c>
      <c r="B1075" s="1" t="n">
        <v>45148</v>
      </c>
      <c r="C1075" s="1" t="n">
        <v>45811</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35810-2023</t>
        </is>
      </c>
      <c r="B1076" s="1" t="n">
        <v>45148</v>
      </c>
      <c r="C1076" s="1" t="n">
        <v>45811</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35892-2023</t>
        </is>
      </c>
      <c r="B1077" s="1" t="n">
        <v>45148</v>
      </c>
      <c r="C1077" s="1" t="n">
        <v>45811</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35833-2023</t>
        </is>
      </c>
      <c r="B1078" s="1" t="n">
        <v>45148</v>
      </c>
      <c r="C1078" s="1" t="n">
        <v>45811</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35889-2023</t>
        </is>
      </c>
      <c r="B1079" s="1" t="n">
        <v>45148</v>
      </c>
      <c r="C1079" s="1" t="n">
        <v>45811</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35893-2023</t>
        </is>
      </c>
      <c r="B1080" s="1" t="n">
        <v>45148</v>
      </c>
      <c r="C1080" s="1" t="n">
        <v>45811</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35895-2023</t>
        </is>
      </c>
      <c r="B1081" s="1" t="n">
        <v>45148</v>
      </c>
      <c r="C1081" s="1" t="n">
        <v>45811</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36240-2023</t>
        </is>
      </c>
      <c r="B1082" s="1" t="n">
        <v>45150</v>
      </c>
      <c r="C1082" s="1" t="n">
        <v>45811</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36733-2023</t>
        </is>
      </c>
      <c r="B1083" s="1" t="n">
        <v>45153</v>
      </c>
      <c r="C1083" s="1" t="n">
        <v>45811</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36818-2023</t>
        </is>
      </c>
      <c r="B1084" s="1" t="n">
        <v>45154</v>
      </c>
      <c r="C1084" s="1" t="n">
        <v>45811</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36811-2023</t>
        </is>
      </c>
      <c r="B1085" s="1" t="n">
        <v>45154</v>
      </c>
      <c r="C1085" s="1" t="n">
        <v>45811</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36911-2023</t>
        </is>
      </c>
      <c r="B1086" s="1" t="n">
        <v>45154</v>
      </c>
      <c r="C1086" s="1" t="n">
        <v>45811</v>
      </c>
      <c r="D1086" t="inlineStr">
        <is>
          <t>SKÅNE LÄN</t>
        </is>
      </c>
      <c r="E1086" t="inlineStr">
        <is>
          <t>HÄSSLEHOLM</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36795-2023</t>
        </is>
      </c>
      <c r="B1087" s="1" t="n">
        <v>45154</v>
      </c>
      <c r="C1087" s="1" t="n">
        <v>45811</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36813-2023</t>
        </is>
      </c>
      <c r="B1088" s="1" t="n">
        <v>45154</v>
      </c>
      <c r="C1088" s="1" t="n">
        <v>45811</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37294-2023</t>
        </is>
      </c>
      <c r="B1089" s="1" t="n">
        <v>45156</v>
      </c>
      <c r="C1089" s="1" t="n">
        <v>45811</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37300-2023</t>
        </is>
      </c>
      <c r="B1090" s="1" t="n">
        <v>45156</v>
      </c>
      <c r="C1090" s="1" t="n">
        <v>45811</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38211-2023</t>
        </is>
      </c>
      <c r="B1091" s="1" t="n">
        <v>45161</v>
      </c>
      <c r="C1091" s="1" t="n">
        <v>45811</v>
      </c>
      <c r="D1091" t="inlineStr">
        <is>
          <t>SKÅNE LÄN</t>
        </is>
      </c>
      <c r="E1091" t="inlineStr">
        <is>
          <t>HÄSSLEHOLM</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38307-2023</t>
        </is>
      </c>
      <c r="B1092" s="1" t="n">
        <v>45161</v>
      </c>
      <c r="C1092" s="1" t="n">
        <v>45811</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38888-2023</t>
        </is>
      </c>
      <c r="B1093" s="1" t="n">
        <v>45161</v>
      </c>
      <c r="C1093" s="1" t="n">
        <v>45811</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38222-2023</t>
        </is>
      </c>
      <c r="B1094" s="1" t="n">
        <v>45161</v>
      </c>
      <c r="C1094" s="1" t="n">
        <v>45811</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38221-2023</t>
        </is>
      </c>
      <c r="B1095" s="1" t="n">
        <v>45161</v>
      </c>
      <c r="C1095" s="1" t="n">
        <v>45811</v>
      </c>
      <c r="D1095" t="inlineStr">
        <is>
          <t>SKÅNE LÄN</t>
        </is>
      </c>
      <c r="E1095" t="inlineStr">
        <is>
          <t>HÄSSLEHOLM</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v>
      </c>
      <c r="C1096" s="1" t="n">
        <v>45811</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39915-2023</t>
        </is>
      </c>
      <c r="B1097" s="1" t="n">
        <v>45168</v>
      </c>
      <c r="C1097" s="1" t="n">
        <v>45811</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41209-2023</t>
        </is>
      </c>
      <c r="B1098" s="1" t="n">
        <v>45174</v>
      </c>
      <c r="C1098" s="1" t="n">
        <v>45811</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41211-2023</t>
        </is>
      </c>
      <c r="B1099" s="1" t="n">
        <v>45174</v>
      </c>
      <c r="C1099" s="1" t="n">
        <v>45811</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41261-2023</t>
        </is>
      </c>
      <c r="B1100" s="1" t="n">
        <v>45174</v>
      </c>
      <c r="C1100" s="1" t="n">
        <v>45811</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41873-2023</t>
        </is>
      </c>
      <c r="B1101" s="1" t="n">
        <v>45176</v>
      </c>
      <c r="C1101" s="1" t="n">
        <v>45811</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42078-2023</t>
        </is>
      </c>
      <c r="B1102" s="1" t="n">
        <v>45177</v>
      </c>
      <c r="C1102" s="1" t="n">
        <v>45811</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42364-2023</t>
        </is>
      </c>
      <c r="B1103" s="1" t="n">
        <v>45180</v>
      </c>
      <c r="C1103" s="1" t="n">
        <v>45811</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42370-2023</t>
        </is>
      </c>
      <c r="B1104" s="1" t="n">
        <v>45180</v>
      </c>
      <c r="C1104" s="1" t="n">
        <v>45811</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43629-2023</t>
        </is>
      </c>
      <c r="B1105" s="1" t="n">
        <v>45184</v>
      </c>
      <c r="C1105" s="1" t="n">
        <v>45811</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44767-2023</t>
        </is>
      </c>
      <c r="B1106" s="1" t="n">
        <v>45186</v>
      </c>
      <c r="C1106" s="1" t="n">
        <v>45811</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44789-2023</t>
        </is>
      </c>
      <c r="B1107" s="1" t="n">
        <v>45186</v>
      </c>
      <c r="C1107" s="1" t="n">
        <v>45811</v>
      </c>
      <c r="D1107" t="inlineStr">
        <is>
          <t>SKÅNE LÄN</t>
        </is>
      </c>
      <c r="E1107" t="inlineStr">
        <is>
          <t>HÄSSLEHOLM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43677-2023</t>
        </is>
      </c>
      <c r="B1108" s="1" t="n">
        <v>45187</v>
      </c>
      <c r="C1108" s="1" t="n">
        <v>45811</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43828-2023</t>
        </is>
      </c>
      <c r="B1109" s="1" t="n">
        <v>45187</v>
      </c>
      <c r="C1109" s="1" t="n">
        <v>45811</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44042-2023</t>
        </is>
      </c>
      <c r="B1110" s="1" t="n">
        <v>45188</v>
      </c>
      <c r="C1110" s="1" t="n">
        <v>45811</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44671-2023</t>
        </is>
      </c>
      <c r="B1111" s="1" t="n">
        <v>45189</v>
      </c>
      <c r="C1111" s="1" t="n">
        <v>45811</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44741-2023</t>
        </is>
      </c>
      <c r="B1112" s="1" t="n">
        <v>45190</v>
      </c>
      <c r="C1112" s="1" t="n">
        <v>45811</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44838-2023</t>
        </is>
      </c>
      <c r="B1113" s="1" t="n">
        <v>45190</v>
      </c>
      <c r="C1113" s="1" t="n">
        <v>45811</v>
      </c>
      <c r="D1113" t="inlineStr">
        <is>
          <t>SKÅNE LÄN</t>
        </is>
      </c>
      <c r="E1113" t="inlineStr">
        <is>
          <t>HÄSSLEHOLM</t>
        </is>
      </c>
      <c r="F1113" t="inlineStr">
        <is>
          <t>Kommuner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44842-2023</t>
        </is>
      </c>
      <c r="B1114" s="1" t="n">
        <v>45190</v>
      </c>
      <c r="C1114" s="1" t="n">
        <v>45811</v>
      </c>
      <c r="D1114" t="inlineStr">
        <is>
          <t>SKÅNE LÄN</t>
        </is>
      </c>
      <c r="E1114" t="inlineStr">
        <is>
          <t>HÄSSLEHOLM</t>
        </is>
      </c>
      <c r="F1114" t="inlineStr">
        <is>
          <t>Kommuner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v>
      </c>
      <c r="C1115" s="1" t="n">
        <v>45811</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45220-2023</t>
        </is>
      </c>
      <c r="B1116" s="1" t="n">
        <v>45191</v>
      </c>
      <c r="C1116" s="1" t="n">
        <v>45811</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45222-2023</t>
        </is>
      </c>
      <c r="B1117" s="1" t="n">
        <v>45191</v>
      </c>
      <c r="C1117" s="1" t="n">
        <v>45811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45353-2023</t>
        </is>
      </c>
      <c r="B1118" s="1" t="n">
        <v>45192</v>
      </c>
      <c r="C1118" s="1" t="n">
        <v>45811</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45361-2023</t>
        </is>
      </c>
      <c r="B1119" s="1" t="n">
        <v>45192</v>
      </c>
      <c r="C1119" s="1" t="n">
        <v>45811</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45461-2023</t>
        </is>
      </c>
      <c r="B1120" s="1" t="n">
        <v>45194</v>
      </c>
      <c r="C1120" s="1" t="n">
        <v>45811</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45470-2023</t>
        </is>
      </c>
      <c r="B1121" s="1" t="n">
        <v>45194</v>
      </c>
      <c r="C1121" s="1" t="n">
        <v>45811</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45663-2023</t>
        </is>
      </c>
      <c r="B1122" s="1" t="n">
        <v>45194</v>
      </c>
      <c r="C1122" s="1" t="n">
        <v>45811</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45803-2023</t>
        </is>
      </c>
      <c r="B1123" s="1" t="n">
        <v>45195</v>
      </c>
      <c r="C1123" s="1" t="n">
        <v>45811</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46288-2023</t>
        </is>
      </c>
      <c r="B1124" s="1" t="n">
        <v>45197</v>
      </c>
      <c r="C1124" s="1" t="n">
        <v>45811</v>
      </c>
      <c r="D1124" t="inlineStr">
        <is>
          <t>SKÅNE LÄN</t>
        </is>
      </c>
      <c r="E1124" t="inlineStr">
        <is>
          <t>HÄSSLEHOLM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46641-2023</t>
        </is>
      </c>
      <c r="B1125" s="1" t="n">
        <v>45198</v>
      </c>
      <c r="C1125" s="1" t="n">
        <v>45811</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46680-2023</t>
        </is>
      </c>
      <c r="B1126" s="1" t="n">
        <v>45198</v>
      </c>
      <c r="C1126" s="1" t="n">
        <v>45811</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46645-2023</t>
        </is>
      </c>
      <c r="B1127" s="1" t="n">
        <v>45198</v>
      </c>
      <c r="C1127" s="1" t="n">
        <v>45811</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47249-2023</t>
        </is>
      </c>
      <c r="B1128" s="1" t="n">
        <v>45202</v>
      </c>
      <c r="C1128" s="1" t="n">
        <v>45811</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47248-2023</t>
        </is>
      </c>
      <c r="B1129" s="1" t="n">
        <v>45202</v>
      </c>
      <c r="C1129" s="1" t="n">
        <v>45811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48046-2023</t>
        </is>
      </c>
      <c r="B1130" s="1" t="n">
        <v>45204</v>
      </c>
      <c r="C1130" s="1" t="n">
        <v>45811</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47840-2023</t>
        </is>
      </c>
      <c r="B1131" s="1" t="n">
        <v>45204</v>
      </c>
      <c r="C1131" s="1" t="n">
        <v>45811</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47915-2023</t>
        </is>
      </c>
      <c r="B1132" s="1" t="n">
        <v>45204</v>
      </c>
      <c r="C1132" s="1" t="n">
        <v>45811</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48335-2023</t>
        </is>
      </c>
      <c r="B1133" s="1" t="n">
        <v>45205</v>
      </c>
      <c r="C1133" s="1" t="n">
        <v>45811</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48326-2023</t>
        </is>
      </c>
      <c r="B1134" s="1" t="n">
        <v>45205</v>
      </c>
      <c r="C1134" s="1" t="n">
        <v>45811</v>
      </c>
      <c r="D1134" t="inlineStr">
        <is>
          <t>SKÅNE LÄN</t>
        </is>
      </c>
      <c r="E1134" t="inlineStr">
        <is>
          <t>HÄSSLEHOLM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48677-2023</t>
        </is>
      </c>
      <c r="B1135" s="1" t="n">
        <v>45208</v>
      </c>
      <c r="C1135" s="1" t="n">
        <v>45811</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48627-2023</t>
        </is>
      </c>
      <c r="B1136" s="1" t="n">
        <v>45208</v>
      </c>
      <c r="C1136" s="1" t="n">
        <v>45811</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v>
      </c>
      <c r="C1137" s="1" t="n">
        <v>45811</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48844-2023</t>
        </is>
      </c>
      <c r="B1138" s="1" t="n">
        <v>45209</v>
      </c>
      <c r="C1138" s="1" t="n">
        <v>45811</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48798-2023</t>
        </is>
      </c>
      <c r="B1139" s="1" t="n">
        <v>45209</v>
      </c>
      <c r="C1139" s="1" t="n">
        <v>45811</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45811</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49107-2023</t>
        </is>
      </c>
      <c r="B1141" s="1" t="n">
        <v>45210</v>
      </c>
      <c r="C1141" s="1" t="n">
        <v>45811</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49111-2023</t>
        </is>
      </c>
      <c r="B1142" s="1" t="n">
        <v>45210</v>
      </c>
      <c r="C1142" s="1" t="n">
        <v>45811</v>
      </c>
      <c r="D1142" t="inlineStr">
        <is>
          <t>SKÅNE LÄN</t>
        </is>
      </c>
      <c r="E1142" t="inlineStr">
        <is>
          <t>HÄSSLEHOLM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50607-2023</t>
        </is>
      </c>
      <c r="B1143" s="1" t="n">
        <v>45210</v>
      </c>
      <c r="C1143" s="1" t="n">
        <v>45811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50781-2023</t>
        </is>
      </c>
      <c r="B1144" s="1" t="n">
        <v>45210</v>
      </c>
      <c r="C1144" s="1" t="n">
        <v>45811</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50616-2023</t>
        </is>
      </c>
      <c r="B1145" s="1" t="n">
        <v>45210</v>
      </c>
      <c r="C1145" s="1" t="n">
        <v>45811</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51323-2023</t>
        </is>
      </c>
      <c r="B1146" s="1" t="n">
        <v>45212</v>
      </c>
      <c r="C1146" s="1" t="n">
        <v>45811</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51245-2023</t>
        </is>
      </c>
      <c r="B1147" s="1" t="n">
        <v>45212</v>
      </c>
      <c r="C1147" s="1" t="n">
        <v>45811</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50000-2023</t>
        </is>
      </c>
      <c r="B1148" s="1" t="n">
        <v>45215</v>
      </c>
      <c r="C1148" s="1" t="n">
        <v>45811</v>
      </c>
      <c r="D1148" t="inlineStr">
        <is>
          <t>SKÅNE LÄN</t>
        </is>
      </c>
      <c r="E1148" t="inlineStr">
        <is>
          <t>HÄSSLEHOLM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49937-2023</t>
        </is>
      </c>
      <c r="B1149" s="1" t="n">
        <v>45215</v>
      </c>
      <c r="C1149" s="1" t="n">
        <v>45811</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49942-2023</t>
        </is>
      </c>
      <c r="B1150" s="1" t="n">
        <v>45215</v>
      </c>
      <c r="C1150" s="1" t="n">
        <v>45811</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49950-2023</t>
        </is>
      </c>
      <c r="B1151" s="1" t="n">
        <v>45215</v>
      </c>
      <c r="C1151" s="1" t="n">
        <v>45811</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50571-2023</t>
        </is>
      </c>
      <c r="B1152" s="1" t="n">
        <v>45217</v>
      </c>
      <c r="C1152" s="1" t="n">
        <v>45811</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50659-2023</t>
        </is>
      </c>
      <c r="B1153" s="1" t="n">
        <v>45217</v>
      </c>
      <c r="C1153" s="1" t="n">
        <v>45811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50664-2023</t>
        </is>
      </c>
      <c r="B1154" s="1" t="n">
        <v>45217</v>
      </c>
      <c r="C1154" s="1" t="n">
        <v>45811</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50587-2023</t>
        </is>
      </c>
      <c r="B1155" s="1" t="n">
        <v>45217</v>
      </c>
      <c r="C1155" s="1" t="n">
        <v>45811</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50669-2023</t>
        </is>
      </c>
      <c r="B1156" s="1" t="n">
        <v>45217</v>
      </c>
      <c r="C1156" s="1" t="n">
        <v>45811</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50548-2023</t>
        </is>
      </c>
      <c r="B1157" s="1" t="n">
        <v>45217</v>
      </c>
      <c r="C1157" s="1" t="n">
        <v>45811</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50657-2023</t>
        </is>
      </c>
      <c r="B1158" s="1" t="n">
        <v>45217</v>
      </c>
      <c r="C1158" s="1" t="n">
        <v>45811</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50557-2023</t>
        </is>
      </c>
      <c r="B1159" s="1" t="n">
        <v>45217</v>
      </c>
      <c r="C1159" s="1" t="n">
        <v>45811</v>
      </c>
      <c r="D1159" t="inlineStr">
        <is>
          <t>SKÅNE LÄN</t>
        </is>
      </c>
      <c r="E1159" t="inlineStr">
        <is>
          <t>HÄSSLEHOLM</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50564-2023</t>
        </is>
      </c>
      <c r="B1160" s="1" t="n">
        <v>45217</v>
      </c>
      <c r="C1160" s="1" t="n">
        <v>45811</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51018-2023</t>
        </is>
      </c>
      <c r="B1161" s="1" t="n">
        <v>45218</v>
      </c>
      <c r="C1161" s="1" t="n">
        <v>45811</v>
      </c>
      <c r="D1161" t="inlineStr">
        <is>
          <t>SKÅNE LÄN</t>
        </is>
      </c>
      <c r="E1161" t="inlineStr">
        <is>
          <t>HÄSSLEHOLM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52548-2023</t>
        </is>
      </c>
      <c r="B1162" s="1" t="n">
        <v>45218</v>
      </c>
      <c r="C1162" s="1" t="n">
        <v>45811</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52608-2023</t>
        </is>
      </c>
      <c r="B1163" s="1" t="n">
        <v>45219</v>
      </c>
      <c r="C1163" s="1" t="n">
        <v>45811</v>
      </c>
      <c r="D1163" t="inlineStr">
        <is>
          <t>SKÅNE LÄN</t>
        </is>
      </c>
      <c r="E1163" t="inlineStr">
        <is>
          <t>HÄSSLEHOLM</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51565-2023</t>
        </is>
      </c>
      <c r="B1164" s="1" t="n">
        <v>45222</v>
      </c>
      <c r="C1164" s="1" t="n">
        <v>45811</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51752-2023</t>
        </is>
      </c>
      <c r="B1165" s="1" t="n">
        <v>45222</v>
      </c>
      <c r="C1165" s="1" t="n">
        <v>45811</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51571-2023</t>
        </is>
      </c>
      <c r="B1166" s="1" t="n">
        <v>45222</v>
      </c>
      <c r="C1166" s="1" t="n">
        <v>45811</v>
      </c>
      <c r="D1166" t="inlineStr">
        <is>
          <t>SKÅNE LÄN</t>
        </is>
      </c>
      <c r="E1166" t="inlineStr">
        <is>
          <t>HÄSSLEHOLM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52340-2023</t>
        </is>
      </c>
      <c r="B1167" s="1" t="n">
        <v>45224</v>
      </c>
      <c r="C1167" s="1" t="n">
        <v>45811</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52337-2023</t>
        </is>
      </c>
      <c r="B1168" s="1" t="n">
        <v>45224</v>
      </c>
      <c r="C1168" s="1" t="n">
        <v>45811</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52341-2023</t>
        </is>
      </c>
      <c r="B1169" s="1" t="n">
        <v>45224</v>
      </c>
      <c r="C1169" s="1" t="n">
        <v>45811</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53870-2023</t>
        </is>
      </c>
      <c r="B1170" s="1" t="n">
        <v>45224</v>
      </c>
      <c r="C1170" s="1" t="n">
        <v>45811</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52973-2023</t>
        </is>
      </c>
      <c r="B1171" s="1" t="n">
        <v>45226</v>
      </c>
      <c r="C1171" s="1" t="n">
        <v>45811</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53350-2023</t>
        </is>
      </c>
      <c r="B1172" s="1" t="n">
        <v>45229</v>
      </c>
      <c r="C1172" s="1" t="n">
        <v>45811</v>
      </c>
      <c r="D1172" t="inlineStr">
        <is>
          <t>SKÅNE LÄN</t>
        </is>
      </c>
      <c r="E1172" t="inlineStr">
        <is>
          <t>HÄSSLEHOLM</t>
        </is>
      </c>
      <c r="F1172" t="inlineStr">
        <is>
          <t>Kommuner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53623-2023</t>
        </is>
      </c>
      <c r="B1173" s="1" t="n">
        <v>45230</v>
      </c>
      <c r="C1173" s="1" t="n">
        <v>45811</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53880-2023</t>
        </is>
      </c>
      <c r="B1174" s="1" t="n">
        <v>45231</v>
      </c>
      <c r="C1174" s="1" t="n">
        <v>45811</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53887-2023</t>
        </is>
      </c>
      <c r="B1175" s="1" t="n">
        <v>45231</v>
      </c>
      <c r="C1175" s="1" t="n">
        <v>45811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53897-2023</t>
        </is>
      </c>
      <c r="B1176" s="1" t="n">
        <v>45231</v>
      </c>
      <c r="C1176" s="1" t="n">
        <v>45811</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54473-2023</t>
        </is>
      </c>
      <c r="B1177" s="1" t="n">
        <v>45233</v>
      </c>
      <c r="C1177" s="1" t="n">
        <v>45811</v>
      </c>
      <c r="D1177" t="inlineStr">
        <is>
          <t>SKÅNE LÄN</t>
        </is>
      </c>
      <c r="E1177" t="inlineStr">
        <is>
          <t>HÄSSLEHOLM</t>
        </is>
      </c>
      <c r="G1177" t="n">
        <v>24.5</v>
      </c>
      <c r="H1177" t="n">
        <v>0</v>
      </c>
      <c r="I1177" t="n">
        <v>0</v>
      </c>
      <c r="J1177" t="n">
        <v>0</v>
      </c>
      <c r="K1177" t="n">
        <v>0</v>
      </c>
      <c r="L1177" t="n">
        <v>0</v>
      </c>
      <c r="M1177" t="n">
        <v>0</v>
      </c>
      <c r="N1177" t="n">
        <v>0</v>
      </c>
      <c r="O1177" t="n">
        <v>0</v>
      </c>
      <c r="P1177" t="n">
        <v>0</v>
      </c>
      <c r="Q1177" t="n">
        <v>0</v>
      </c>
      <c r="R1177" s="2" t="inlineStr"/>
    </row>
    <row r="1178" ht="15" customHeight="1">
      <c r="A1178" t="inlineStr">
        <is>
          <t>A 54471-2023</t>
        </is>
      </c>
      <c r="B1178" s="1" t="n">
        <v>45233</v>
      </c>
      <c r="C1178" s="1" t="n">
        <v>45811</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54376-2023</t>
        </is>
      </c>
      <c r="B1179" s="1" t="n">
        <v>45233</v>
      </c>
      <c r="C1179" s="1" t="n">
        <v>45811</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54658-2023</t>
        </is>
      </c>
      <c r="B1180" s="1" t="n">
        <v>45235</v>
      </c>
      <c r="C1180" s="1" t="n">
        <v>45811</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54659-2023</t>
        </is>
      </c>
      <c r="B1181" s="1" t="n">
        <v>45235</v>
      </c>
      <c r="C1181" s="1" t="n">
        <v>45811</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56101-2023</t>
        </is>
      </c>
      <c r="B1182" s="1" t="n">
        <v>45236</v>
      </c>
      <c r="C1182" s="1" t="n">
        <v>45811</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55284-2023</t>
        </is>
      </c>
      <c r="B1183" s="1" t="n">
        <v>45237</v>
      </c>
      <c r="C1183" s="1" t="n">
        <v>45811</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55218-2023</t>
        </is>
      </c>
      <c r="B1184" s="1" t="n">
        <v>45237</v>
      </c>
      <c r="C1184" s="1" t="n">
        <v>45811</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56397-2023</t>
        </is>
      </c>
      <c r="B1185" s="1" t="n">
        <v>45237</v>
      </c>
      <c r="C1185" s="1" t="n">
        <v>45811</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56080-2023</t>
        </is>
      </c>
      <c r="B1186" s="1" t="n">
        <v>45240</v>
      </c>
      <c r="C1186" s="1" t="n">
        <v>45811</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56355-2023</t>
        </is>
      </c>
      <c r="B1187" s="1" t="n">
        <v>45243</v>
      </c>
      <c r="C1187" s="1" t="n">
        <v>45811</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56386-2023</t>
        </is>
      </c>
      <c r="B1188" s="1" t="n">
        <v>45243</v>
      </c>
      <c r="C1188" s="1" t="n">
        <v>45811</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57735-2023</t>
        </is>
      </c>
      <c r="B1189" s="1" t="n">
        <v>45243</v>
      </c>
      <c r="C1189" s="1" t="n">
        <v>45811</v>
      </c>
      <c r="D1189" t="inlineStr">
        <is>
          <t>SKÅNE LÄN</t>
        </is>
      </c>
      <c r="E1189" t="inlineStr">
        <is>
          <t>HÄSSLEHOLM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57272-2023</t>
        </is>
      </c>
      <c r="B1190" s="1" t="n">
        <v>45245</v>
      </c>
      <c r="C1190" s="1" t="n">
        <v>45811</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57277-2023</t>
        </is>
      </c>
      <c r="B1191" s="1" t="n">
        <v>45245</v>
      </c>
      <c r="C1191" s="1" t="n">
        <v>45811</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57275-2023</t>
        </is>
      </c>
      <c r="B1192" s="1" t="n">
        <v>45245</v>
      </c>
      <c r="C1192" s="1" t="n">
        <v>45811</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57695-2023</t>
        </is>
      </c>
      <c r="B1193" s="1" t="n">
        <v>45246</v>
      </c>
      <c r="C1193" s="1" t="n">
        <v>45811</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57749-2023</t>
        </is>
      </c>
      <c r="B1194" s="1" t="n">
        <v>45246</v>
      </c>
      <c r="C1194" s="1" t="n">
        <v>45811</v>
      </c>
      <c r="D1194" t="inlineStr">
        <is>
          <t>SKÅNE LÄN</t>
        </is>
      </c>
      <c r="E1194" t="inlineStr">
        <is>
          <t>HÄSSLEHOLM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57963-2023</t>
        </is>
      </c>
      <c r="B1195" s="1" t="n">
        <v>45247</v>
      </c>
      <c r="C1195" s="1" t="n">
        <v>45811</v>
      </c>
      <c r="D1195" t="inlineStr">
        <is>
          <t>SKÅNE LÄN</t>
        </is>
      </c>
      <c r="E1195" t="inlineStr">
        <is>
          <t>HÄSSLEHOLM</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58815-2023</t>
        </is>
      </c>
      <c r="B1196" s="1" t="n">
        <v>45247</v>
      </c>
      <c r="C1196" s="1" t="n">
        <v>45811</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57967-2023</t>
        </is>
      </c>
      <c r="B1197" s="1" t="n">
        <v>45247</v>
      </c>
      <c r="C1197" s="1" t="n">
        <v>45811</v>
      </c>
      <c r="D1197" t="inlineStr">
        <is>
          <t>SKÅNE LÄN</t>
        </is>
      </c>
      <c r="E1197" t="inlineStr">
        <is>
          <t>HÄSSLEHOLM</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58915-2023</t>
        </is>
      </c>
      <c r="B1198" s="1" t="n">
        <v>45250</v>
      </c>
      <c r="C1198" s="1" t="n">
        <v>45811</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58834-2023</t>
        </is>
      </c>
      <c r="B1199" s="1" t="n">
        <v>45250</v>
      </c>
      <c r="C1199" s="1" t="n">
        <v>45811</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59028-2023</t>
        </is>
      </c>
      <c r="B1200" s="1" t="n">
        <v>45252</v>
      </c>
      <c r="C1200" s="1" t="n">
        <v>45811</v>
      </c>
      <c r="D1200" t="inlineStr">
        <is>
          <t>SKÅNE LÄN</t>
        </is>
      </c>
      <c r="E1200" t="inlineStr">
        <is>
          <t>HÄSSLEHOLM</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58906-2023</t>
        </is>
      </c>
      <c r="B1201" s="1" t="n">
        <v>45252</v>
      </c>
      <c r="C1201" s="1" t="n">
        <v>45811</v>
      </c>
      <c r="D1201" t="inlineStr">
        <is>
          <t>SKÅNE LÄN</t>
        </is>
      </c>
      <c r="E1201" t="inlineStr">
        <is>
          <t>HÄSSLEHOLM</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59059-2023</t>
        </is>
      </c>
      <c r="B1202" s="1" t="n">
        <v>45252</v>
      </c>
      <c r="C1202" s="1" t="n">
        <v>45811</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59109-2023</t>
        </is>
      </c>
      <c r="B1203" s="1" t="n">
        <v>45253</v>
      </c>
      <c r="C1203" s="1" t="n">
        <v>45811</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59431-2023</t>
        </is>
      </c>
      <c r="B1204" s="1" t="n">
        <v>45254</v>
      </c>
      <c r="C1204" s="1" t="n">
        <v>45811</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59434-2023</t>
        </is>
      </c>
      <c r="B1205" s="1" t="n">
        <v>45254</v>
      </c>
      <c r="C1205" s="1" t="n">
        <v>45811</v>
      </c>
      <c r="D1205" t="inlineStr">
        <is>
          <t>SKÅNE LÄN</t>
        </is>
      </c>
      <c r="E1205" t="inlineStr">
        <is>
          <t>HÄSSLEHOLM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59429-2023</t>
        </is>
      </c>
      <c r="B1206" s="1" t="n">
        <v>45254</v>
      </c>
      <c r="C1206" s="1" t="n">
        <v>45811</v>
      </c>
      <c r="D1206" t="inlineStr">
        <is>
          <t>SKÅNE LÄN</t>
        </is>
      </c>
      <c r="E1206" t="inlineStr">
        <is>
          <t>HÄSSLEHOLM</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59433-2023</t>
        </is>
      </c>
      <c r="B1207" s="1" t="n">
        <v>45254</v>
      </c>
      <c r="C1207" s="1" t="n">
        <v>45811</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59556-2023</t>
        </is>
      </c>
      <c r="B1208" s="1" t="n">
        <v>45254</v>
      </c>
      <c r="C1208" s="1" t="n">
        <v>45811</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60515-2023</t>
        </is>
      </c>
      <c r="B1209" s="1" t="n">
        <v>45259</v>
      </c>
      <c r="C1209" s="1" t="n">
        <v>45811</v>
      </c>
      <c r="D1209" t="inlineStr">
        <is>
          <t>SKÅNE LÄN</t>
        </is>
      </c>
      <c r="E1209" t="inlineStr">
        <is>
          <t>HÄSSLEHOLM</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60509-2023</t>
        </is>
      </c>
      <c r="B1210" s="1" t="n">
        <v>45259</v>
      </c>
      <c r="C1210" s="1" t="n">
        <v>45811</v>
      </c>
      <c r="D1210" t="inlineStr">
        <is>
          <t>SKÅNE LÄN</t>
        </is>
      </c>
      <c r="E1210" t="inlineStr">
        <is>
          <t>HÄSSLEHOLM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60561-2023</t>
        </is>
      </c>
      <c r="B1211" s="1" t="n">
        <v>45259</v>
      </c>
      <c r="C1211" s="1" t="n">
        <v>45811</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60586-2023</t>
        </is>
      </c>
      <c r="B1212" s="1" t="n">
        <v>45259</v>
      </c>
      <c r="C1212" s="1" t="n">
        <v>45811</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60653-2023</t>
        </is>
      </c>
      <c r="B1213" s="1" t="n">
        <v>45260</v>
      </c>
      <c r="C1213" s="1" t="n">
        <v>45811</v>
      </c>
      <c r="D1213" t="inlineStr">
        <is>
          <t>SKÅNE LÄN</t>
        </is>
      </c>
      <c r="E1213" t="inlineStr">
        <is>
          <t>HÄSSLEHOLM</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60774-2023</t>
        </is>
      </c>
      <c r="B1214" s="1" t="n">
        <v>45260</v>
      </c>
      <c r="C1214" s="1" t="n">
        <v>45811</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60704-2023</t>
        </is>
      </c>
      <c r="B1215" s="1" t="n">
        <v>45260</v>
      </c>
      <c r="C1215" s="1" t="n">
        <v>45811</v>
      </c>
      <c r="D1215" t="inlineStr">
        <is>
          <t>SKÅNE LÄN</t>
        </is>
      </c>
      <c r="E1215" t="inlineStr">
        <is>
          <t>HÄSSLEHOLM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61041-2023</t>
        </is>
      </c>
      <c r="B1216" s="1" t="n">
        <v>45261</v>
      </c>
      <c r="C1216" s="1" t="n">
        <v>45811</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61407-2023</t>
        </is>
      </c>
      <c r="B1217" s="1" t="n">
        <v>45264</v>
      </c>
      <c r="C1217" s="1" t="n">
        <v>45811</v>
      </c>
      <c r="D1217" t="inlineStr">
        <is>
          <t>SKÅNE LÄN</t>
        </is>
      </c>
      <c r="E1217" t="inlineStr">
        <is>
          <t>HÄSSLEHOLM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61271-2023</t>
        </is>
      </c>
      <c r="B1218" s="1" t="n">
        <v>45264</v>
      </c>
      <c r="C1218" s="1" t="n">
        <v>45811</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61578-2023</t>
        </is>
      </c>
      <c r="B1219" s="1" t="n">
        <v>45265</v>
      </c>
      <c r="C1219" s="1" t="n">
        <v>45811</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61655-2023</t>
        </is>
      </c>
      <c r="B1220" s="1" t="n">
        <v>45265</v>
      </c>
      <c r="C1220" s="1" t="n">
        <v>45811</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61562-2023</t>
        </is>
      </c>
      <c r="B1221" s="1" t="n">
        <v>45265</v>
      </c>
      <c r="C1221" s="1" t="n">
        <v>45811</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61569-2023</t>
        </is>
      </c>
      <c r="B1222" s="1" t="n">
        <v>45265</v>
      </c>
      <c r="C1222" s="1" t="n">
        <v>45811</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61574-2023</t>
        </is>
      </c>
      <c r="B1223" s="1" t="n">
        <v>45265</v>
      </c>
      <c r="C1223" s="1" t="n">
        <v>45811</v>
      </c>
      <c r="D1223" t="inlineStr">
        <is>
          <t>SKÅNE LÄN</t>
        </is>
      </c>
      <c r="E1223" t="inlineStr">
        <is>
          <t>HÄSSLEHOLM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61731-2023</t>
        </is>
      </c>
      <c r="B1224" s="1" t="n">
        <v>45265</v>
      </c>
      <c r="C1224" s="1" t="n">
        <v>45811</v>
      </c>
      <c r="D1224" t="inlineStr">
        <is>
          <t>SKÅNE LÄN</t>
        </is>
      </c>
      <c r="E1224" t="inlineStr">
        <is>
          <t>HÄSSLEHOLM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61929-2023</t>
        </is>
      </c>
      <c r="B1225" s="1" t="n">
        <v>45266</v>
      </c>
      <c r="C1225" s="1" t="n">
        <v>45811</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61934-2023</t>
        </is>
      </c>
      <c r="B1226" s="1" t="n">
        <v>45266</v>
      </c>
      <c r="C1226" s="1" t="n">
        <v>45811</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62055-2023</t>
        </is>
      </c>
      <c r="B1227" s="1" t="n">
        <v>45266</v>
      </c>
      <c r="C1227" s="1" t="n">
        <v>45811</v>
      </c>
      <c r="D1227" t="inlineStr">
        <is>
          <t>SKÅNE LÄN</t>
        </is>
      </c>
      <c r="E1227" t="inlineStr">
        <is>
          <t>HÄSSLEHOLM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61932-2023</t>
        </is>
      </c>
      <c r="B1228" s="1" t="n">
        <v>45266</v>
      </c>
      <c r="C1228" s="1" t="n">
        <v>45811</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62277-2023</t>
        </is>
      </c>
      <c r="B1229" s="1" t="n">
        <v>45266</v>
      </c>
      <c r="C1229" s="1" t="n">
        <v>45811</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63141-2023</t>
        </is>
      </c>
      <c r="B1230" s="1" t="n">
        <v>45273</v>
      </c>
      <c r="C1230" s="1" t="n">
        <v>45811</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63119-2023</t>
        </is>
      </c>
      <c r="B1231" s="1" t="n">
        <v>45273</v>
      </c>
      <c r="C1231" s="1" t="n">
        <v>45811</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63610-2023</t>
        </is>
      </c>
      <c r="B1232" s="1" t="n">
        <v>45275</v>
      </c>
      <c r="C1232" s="1" t="n">
        <v>45811</v>
      </c>
      <c r="D1232" t="inlineStr">
        <is>
          <t>SKÅNE LÄN</t>
        </is>
      </c>
      <c r="E1232" t="inlineStr">
        <is>
          <t>HÄSSLEHOLM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64063-2023</t>
        </is>
      </c>
      <c r="B1233" s="1" t="n">
        <v>45279</v>
      </c>
      <c r="C1233" s="1" t="n">
        <v>45811</v>
      </c>
      <c r="D1233" t="inlineStr">
        <is>
          <t>SKÅNE LÄN</t>
        </is>
      </c>
      <c r="E1233" t="inlineStr">
        <is>
          <t>HÄSSLEHOLM</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64765-2023</t>
        </is>
      </c>
      <c r="B1234" s="1" t="n">
        <v>45282</v>
      </c>
      <c r="C1234" s="1" t="n">
        <v>45811</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64884-2023</t>
        </is>
      </c>
      <c r="B1235" s="1" t="n">
        <v>45282</v>
      </c>
      <c r="C1235" s="1" t="n">
        <v>45811</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64883-2023</t>
        </is>
      </c>
      <c r="B1236" s="1" t="n">
        <v>45282</v>
      </c>
      <c r="C1236" s="1" t="n">
        <v>45811</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146-2024</t>
        </is>
      </c>
      <c r="B1237" s="1" t="n">
        <v>45294</v>
      </c>
      <c r="C1237" s="1" t="n">
        <v>45811</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257-2024</t>
        </is>
      </c>
      <c r="B1238" s="1" t="n">
        <v>45294</v>
      </c>
      <c r="C1238" s="1" t="n">
        <v>45811</v>
      </c>
      <c r="D1238" t="inlineStr">
        <is>
          <t>SKÅNE LÄN</t>
        </is>
      </c>
      <c r="E1238" t="inlineStr">
        <is>
          <t>HÄSSLEHOLM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259-2024</t>
        </is>
      </c>
      <c r="B1239" s="1" t="n">
        <v>45294</v>
      </c>
      <c r="C1239" s="1" t="n">
        <v>45811</v>
      </c>
      <c r="D1239" t="inlineStr">
        <is>
          <t>SKÅNE LÄN</t>
        </is>
      </c>
      <c r="E1239" t="inlineStr">
        <is>
          <t>HÄSSLEHOLM</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260-2024</t>
        </is>
      </c>
      <c r="B1240" s="1" t="n">
        <v>45294</v>
      </c>
      <c r="C1240" s="1" t="n">
        <v>45811</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444-2024</t>
        </is>
      </c>
      <c r="B1241" s="1" t="n">
        <v>45296</v>
      </c>
      <c r="C1241" s="1" t="n">
        <v>45811</v>
      </c>
      <c r="D1241" t="inlineStr">
        <is>
          <t>SKÅNE LÄN</t>
        </is>
      </c>
      <c r="E1241" t="inlineStr">
        <is>
          <t>HÄSSLEHOLM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524-2024</t>
        </is>
      </c>
      <c r="B1242" s="1" t="n">
        <v>45299</v>
      </c>
      <c r="C1242" s="1" t="n">
        <v>45811</v>
      </c>
      <c r="D1242" t="inlineStr">
        <is>
          <t>SKÅNE LÄN</t>
        </is>
      </c>
      <c r="E1242" t="inlineStr">
        <is>
          <t>HÄSSLEHOLM</t>
        </is>
      </c>
      <c r="G1242" t="n">
        <v>29.4</v>
      </c>
      <c r="H1242" t="n">
        <v>0</v>
      </c>
      <c r="I1242" t="n">
        <v>0</v>
      </c>
      <c r="J1242" t="n">
        <v>0</v>
      </c>
      <c r="K1242" t="n">
        <v>0</v>
      </c>
      <c r="L1242" t="n">
        <v>0</v>
      </c>
      <c r="M1242" t="n">
        <v>0</v>
      </c>
      <c r="N1242" t="n">
        <v>0</v>
      </c>
      <c r="O1242" t="n">
        <v>0</v>
      </c>
      <c r="P1242" t="n">
        <v>0</v>
      </c>
      <c r="Q1242" t="n">
        <v>0</v>
      </c>
      <c r="R1242" s="2" t="inlineStr"/>
    </row>
    <row r="1243" ht="15" customHeight="1">
      <c r="A1243" t="inlineStr">
        <is>
          <t>A 677-2024</t>
        </is>
      </c>
      <c r="B1243" s="1" t="n">
        <v>45300</v>
      </c>
      <c r="C1243" s="1" t="n">
        <v>45811</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1197-2024</t>
        </is>
      </c>
      <c r="B1244" s="1" t="n">
        <v>45302</v>
      </c>
      <c r="C1244" s="1" t="n">
        <v>45811</v>
      </c>
      <c r="D1244" t="inlineStr">
        <is>
          <t>SKÅNE LÄN</t>
        </is>
      </c>
      <c r="E1244" t="inlineStr">
        <is>
          <t>HÄSSLEHOLM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v>
      </c>
      <c r="C1245" s="1" t="n">
        <v>45811</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1124-2024</t>
        </is>
      </c>
      <c r="B1246" s="1" t="n">
        <v>45302</v>
      </c>
      <c r="C1246" s="1" t="n">
        <v>45811</v>
      </c>
      <c r="D1246" t="inlineStr">
        <is>
          <t>SKÅNE LÄN</t>
        </is>
      </c>
      <c r="E1246" t="inlineStr">
        <is>
          <t>HÄSSLEHOLM</t>
        </is>
      </c>
      <c r="F1246" t="inlineStr">
        <is>
          <t>Kommuner</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1119-2024</t>
        </is>
      </c>
      <c r="B1247" s="1" t="n">
        <v>45302</v>
      </c>
      <c r="C1247" s="1" t="n">
        <v>45811</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1289-2024</t>
        </is>
      </c>
      <c r="B1248" s="1" t="n">
        <v>45303</v>
      </c>
      <c r="C1248" s="1" t="n">
        <v>45811</v>
      </c>
      <c r="D1248" t="inlineStr">
        <is>
          <t>SKÅNE LÄN</t>
        </is>
      </c>
      <c r="E1248" t="inlineStr">
        <is>
          <t>HÄSSLEHOLM</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1543-2024</t>
        </is>
      </c>
      <c r="B1249" s="1" t="n">
        <v>45306</v>
      </c>
      <c r="C1249" s="1" t="n">
        <v>45811</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1538-2024</t>
        </is>
      </c>
      <c r="B1250" s="1" t="n">
        <v>45306</v>
      </c>
      <c r="C1250" s="1" t="n">
        <v>45811</v>
      </c>
      <c r="D1250" t="inlineStr">
        <is>
          <t>SKÅNE LÄN</t>
        </is>
      </c>
      <c r="E1250" t="inlineStr">
        <is>
          <t>HÄSSLEHOLM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1521-2024</t>
        </is>
      </c>
      <c r="B1251" s="1" t="n">
        <v>45306</v>
      </c>
      <c r="C1251" s="1" t="n">
        <v>45811</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2181-2024</t>
        </is>
      </c>
      <c r="B1252" s="1" t="n">
        <v>45309</v>
      </c>
      <c r="C1252" s="1" t="n">
        <v>45811</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2098-2024</t>
        </is>
      </c>
      <c r="B1253" s="1" t="n">
        <v>45309</v>
      </c>
      <c r="C1253" s="1" t="n">
        <v>45811</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2290-2024</t>
        </is>
      </c>
      <c r="B1254" s="1" t="n">
        <v>45310</v>
      </c>
      <c r="C1254" s="1" t="n">
        <v>45811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2479-2024</t>
        </is>
      </c>
      <c r="B1255" s="1" t="n">
        <v>45313</v>
      </c>
      <c r="C1255" s="1" t="n">
        <v>45811</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2567-2024</t>
        </is>
      </c>
      <c r="B1256" s="1" t="n">
        <v>45313</v>
      </c>
      <c r="C1256" s="1" t="n">
        <v>45811</v>
      </c>
      <c r="D1256" t="inlineStr">
        <is>
          <t>SKÅNE LÄN</t>
        </is>
      </c>
      <c r="E1256" t="inlineStr">
        <is>
          <t>HÄSSLEHOLM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2596-2024</t>
        </is>
      </c>
      <c r="B1257" s="1" t="n">
        <v>45313</v>
      </c>
      <c r="C1257" s="1" t="n">
        <v>45811</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2490-2024</t>
        </is>
      </c>
      <c r="B1258" s="1" t="n">
        <v>45313</v>
      </c>
      <c r="C1258" s="1" t="n">
        <v>45811</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2597-2024</t>
        </is>
      </c>
      <c r="B1259" s="1" t="n">
        <v>45313</v>
      </c>
      <c r="C1259" s="1" t="n">
        <v>45811</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2589-2024</t>
        </is>
      </c>
      <c r="B1260" s="1" t="n">
        <v>45313</v>
      </c>
      <c r="C1260" s="1" t="n">
        <v>45811</v>
      </c>
      <c r="D1260" t="inlineStr">
        <is>
          <t>SKÅNE LÄN</t>
        </is>
      </c>
      <c r="E1260" t="inlineStr">
        <is>
          <t>HÄSSLEHOLM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2595-2024</t>
        </is>
      </c>
      <c r="B1261" s="1" t="n">
        <v>45313</v>
      </c>
      <c r="C1261" s="1" t="n">
        <v>45811</v>
      </c>
      <c r="D1261" t="inlineStr">
        <is>
          <t>SKÅNE LÄN</t>
        </is>
      </c>
      <c r="E1261" t="inlineStr">
        <is>
          <t>HÄSSLEHOLM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2688-2024</t>
        </is>
      </c>
      <c r="B1262" s="1" t="n">
        <v>45314</v>
      </c>
      <c r="C1262" s="1" t="n">
        <v>45811</v>
      </c>
      <c r="D1262" t="inlineStr">
        <is>
          <t>SKÅNE LÄN</t>
        </is>
      </c>
      <c r="E1262" t="inlineStr">
        <is>
          <t>HÄSSLEHOLM</t>
        </is>
      </c>
      <c r="F1262" t="inlineStr">
        <is>
          <t>Övriga Aktiebolag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2681-2024</t>
        </is>
      </c>
      <c r="B1263" s="1" t="n">
        <v>45314</v>
      </c>
      <c r="C1263" s="1" t="n">
        <v>45811</v>
      </c>
      <c r="D1263" t="inlineStr">
        <is>
          <t>SKÅNE LÄN</t>
        </is>
      </c>
      <c r="E1263" t="inlineStr">
        <is>
          <t>HÄSSLEHOLM</t>
        </is>
      </c>
      <c r="F1263" t="inlineStr">
        <is>
          <t>Övriga Aktiebolag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2712-2024</t>
        </is>
      </c>
      <c r="B1264" s="1" t="n">
        <v>45314</v>
      </c>
      <c r="C1264" s="1" t="n">
        <v>45811</v>
      </c>
      <c r="D1264" t="inlineStr">
        <is>
          <t>SKÅNE LÄN</t>
        </is>
      </c>
      <c r="E1264" t="inlineStr">
        <is>
          <t>HÄSSLEHOLM</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3507-2024</t>
        </is>
      </c>
      <c r="B1265" s="1" t="n">
        <v>45320</v>
      </c>
      <c r="C1265" s="1" t="n">
        <v>45811</v>
      </c>
      <c r="D1265" t="inlineStr">
        <is>
          <t>SKÅNE LÄN</t>
        </is>
      </c>
      <c r="E1265" t="inlineStr">
        <is>
          <t>HÄSSLEHOLM</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3480-2024</t>
        </is>
      </c>
      <c r="B1266" s="1" t="n">
        <v>45320</v>
      </c>
      <c r="C1266" s="1" t="n">
        <v>45811</v>
      </c>
      <c r="D1266" t="inlineStr">
        <is>
          <t>SKÅNE LÄN</t>
        </is>
      </c>
      <c r="E1266" t="inlineStr">
        <is>
          <t>HÄSSLEHOLM</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3500-2024</t>
        </is>
      </c>
      <c r="B1267" s="1" t="n">
        <v>45320</v>
      </c>
      <c r="C1267" s="1" t="n">
        <v>45811</v>
      </c>
      <c r="D1267" t="inlineStr">
        <is>
          <t>SKÅNE LÄN</t>
        </is>
      </c>
      <c r="E1267" t="inlineStr">
        <is>
          <t>HÄSSLEHOLM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3650-2024</t>
        </is>
      </c>
      <c r="B1268" s="1" t="n">
        <v>45321</v>
      </c>
      <c r="C1268" s="1" t="n">
        <v>45811</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3723-2024</t>
        </is>
      </c>
      <c r="B1269" s="1" t="n">
        <v>45321</v>
      </c>
      <c r="C1269" s="1" t="n">
        <v>45811</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3663-2024</t>
        </is>
      </c>
      <c r="B1270" s="1" t="n">
        <v>45321</v>
      </c>
      <c r="C1270" s="1" t="n">
        <v>45811</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3699-2024</t>
        </is>
      </c>
      <c r="B1271" s="1" t="n">
        <v>45321</v>
      </c>
      <c r="C1271" s="1" t="n">
        <v>45811</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3746-2024</t>
        </is>
      </c>
      <c r="B1272" s="1" t="n">
        <v>45321</v>
      </c>
      <c r="C1272" s="1" t="n">
        <v>45811</v>
      </c>
      <c r="D1272" t="inlineStr">
        <is>
          <t>SKÅNE LÄN</t>
        </is>
      </c>
      <c r="E1272" t="inlineStr">
        <is>
          <t>HÄSSLEHOLM</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3726-2024</t>
        </is>
      </c>
      <c r="B1273" s="1" t="n">
        <v>45321</v>
      </c>
      <c r="C1273" s="1" t="n">
        <v>45811</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3886-2024</t>
        </is>
      </c>
      <c r="B1274" s="1" t="n">
        <v>45322</v>
      </c>
      <c r="C1274" s="1" t="n">
        <v>45811</v>
      </c>
      <c r="D1274" t="inlineStr">
        <is>
          <t>SKÅNE LÄN</t>
        </is>
      </c>
      <c r="E1274" t="inlineStr">
        <is>
          <t>HÄSSLEHOLM</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3890-2024</t>
        </is>
      </c>
      <c r="B1275" s="1" t="n">
        <v>45322</v>
      </c>
      <c r="C1275" s="1" t="n">
        <v>45811</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3889-2024</t>
        </is>
      </c>
      <c r="B1276" s="1" t="n">
        <v>45322</v>
      </c>
      <c r="C1276" s="1" t="n">
        <v>45811</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3888-2024</t>
        </is>
      </c>
      <c r="B1277" s="1" t="n">
        <v>45322</v>
      </c>
      <c r="C1277" s="1" t="n">
        <v>45811</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4119-2024</t>
        </is>
      </c>
      <c r="B1278" s="1" t="n">
        <v>45323</v>
      </c>
      <c r="C1278" s="1" t="n">
        <v>45811</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4009-2024</t>
        </is>
      </c>
      <c r="B1279" s="1" t="n">
        <v>45323</v>
      </c>
      <c r="C1279" s="1" t="n">
        <v>45811</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4356-2024</t>
        </is>
      </c>
      <c r="B1280" s="1" t="n">
        <v>45325</v>
      </c>
      <c r="C1280" s="1" t="n">
        <v>45811</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4513-2024</t>
        </is>
      </c>
      <c r="B1281" s="1" t="n">
        <v>45327</v>
      </c>
      <c r="C1281" s="1" t="n">
        <v>45811</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4512-2024</t>
        </is>
      </c>
      <c r="B1282" s="1" t="n">
        <v>45327</v>
      </c>
      <c r="C1282" s="1" t="n">
        <v>45811</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4516-2024</t>
        </is>
      </c>
      <c r="B1283" s="1" t="n">
        <v>45327</v>
      </c>
      <c r="C1283" s="1" t="n">
        <v>45811</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4604-2024</t>
        </is>
      </c>
      <c r="B1284" s="1" t="n">
        <v>45328</v>
      </c>
      <c r="C1284" s="1" t="n">
        <v>45811</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4605-2024</t>
        </is>
      </c>
      <c r="B1285" s="1" t="n">
        <v>45328</v>
      </c>
      <c r="C1285" s="1" t="n">
        <v>45811</v>
      </c>
      <c r="D1285" t="inlineStr">
        <is>
          <t>SKÅNE LÄN</t>
        </is>
      </c>
      <c r="E1285" t="inlineStr">
        <is>
          <t>HÄSSLEHOLM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4626-2024</t>
        </is>
      </c>
      <c r="B1286" s="1" t="n">
        <v>45328</v>
      </c>
      <c r="C1286" s="1" t="n">
        <v>45811</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4602-2024</t>
        </is>
      </c>
      <c r="B1287" s="1" t="n">
        <v>45328</v>
      </c>
      <c r="C1287" s="1" t="n">
        <v>45811</v>
      </c>
      <c r="D1287" t="inlineStr">
        <is>
          <t>SKÅNE LÄN</t>
        </is>
      </c>
      <c r="E1287" t="inlineStr">
        <is>
          <t>HÄSSLEHOLM</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4750-2024</t>
        </is>
      </c>
      <c r="B1288" s="1" t="n">
        <v>45328</v>
      </c>
      <c r="C1288" s="1" t="n">
        <v>45811</v>
      </c>
      <c r="D1288" t="inlineStr">
        <is>
          <t>SKÅNE LÄN</t>
        </is>
      </c>
      <c r="E1288" t="inlineStr">
        <is>
          <t>HÄSSLEHOLM</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4882-2024</t>
        </is>
      </c>
      <c r="B1289" s="1" t="n">
        <v>45329</v>
      </c>
      <c r="C1289" s="1" t="n">
        <v>45811</v>
      </c>
      <c r="D1289" t="inlineStr">
        <is>
          <t>SKÅNE LÄN</t>
        </is>
      </c>
      <c r="E1289" t="inlineStr">
        <is>
          <t>HÄSSLEHOLM</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4876-2024</t>
        </is>
      </c>
      <c r="B1290" s="1" t="n">
        <v>45329</v>
      </c>
      <c r="C1290" s="1" t="n">
        <v>45811</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4895-2024</t>
        </is>
      </c>
      <c r="B1291" s="1" t="n">
        <v>45329</v>
      </c>
      <c r="C1291" s="1" t="n">
        <v>45811</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4916-2024</t>
        </is>
      </c>
      <c r="B1292" s="1" t="n">
        <v>45329</v>
      </c>
      <c r="C1292" s="1" t="n">
        <v>45811</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5016-2024</t>
        </is>
      </c>
      <c r="B1293" s="1" t="n">
        <v>45329</v>
      </c>
      <c r="C1293" s="1" t="n">
        <v>45811</v>
      </c>
      <c r="D1293" t="inlineStr">
        <is>
          <t>SKÅNE LÄN</t>
        </is>
      </c>
      <c r="E1293" t="inlineStr">
        <is>
          <t>HÄSSLEHOLM</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4894-2024</t>
        </is>
      </c>
      <c r="B1294" s="1" t="n">
        <v>45329</v>
      </c>
      <c r="C1294" s="1" t="n">
        <v>45811</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5015-2024</t>
        </is>
      </c>
      <c r="B1295" s="1" t="n">
        <v>45329</v>
      </c>
      <c r="C1295" s="1" t="n">
        <v>45811</v>
      </c>
      <c r="D1295" t="inlineStr">
        <is>
          <t>SKÅNE LÄN</t>
        </is>
      </c>
      <c r="E1295" t="inlineStr">
        <is>
          <t>HÄSSLEHOLM</t>
        </is>
      </c>
      <c r="F1295" t="inlineStr">
        <is>
          <t>Övriga Aktiebolag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5226-2024</t>
        </is>
      </c>
      <c r="B1296" s="1" t="n">
        <v>45330</v>
      </c>
      <c r="C1296" s="1" t="n">
        <v>45811</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5395-2024</t>
        </is>
      </c>
      <c r="B1297" s="1" t="n">
        <v>45331</v>
      </c>
      <c r="C1297" s="1" t="n">
        <v>45811</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5307-2024</t>
        </is>
      </c>
      <c r="B1298" s="1" t="n">
        <v>45331</v>
      </c>
      <c r="C1298" s="1" t="n">
        <v>45811</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5780-2024</t>
        </is>
      </c>
      <c r="B1299" s="1" t="n">
        <v>45335</v>
      </c>
      <c r="C1299" s="1" t="n">
        <v>45811</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5852-2024</t>
        </is>
      </c>
      <c r="B1300" s="1" t="n">
        <v>45335</v>
      </c>
      <c r="C1300" s="1" t="n">
        <v>45811</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5980-2024</t>
        </is>
      </c>
      <c r="B1301" s="1" t="n">
        <v>45335</v>
      </c>
      <c r="C1301" s="1" t="n">
        <v>45811</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6192-2024</t>
        </is>
      </c>
      <c r="B1302" s="1" t="n">
        <v>45337</v>
      </c>
      <c r="C1302" s="1" t="n">
        <v>45811</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6612-2024</t>
        </is>
      </c>
      <c r="B1303" s="1" t="n">
        <v>45341</v>
      </c>
      <c r="C1303" s="1" t="n">
        <v>45811</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6619-2024</t>
        </is>
      </c>
      <c r="B1304" s="1" t="n">
        <v>45341</v>
      </c>
      <c r="C1304" s="1" t="n">
        <v>45811</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6618-2024</t>
        </is>
      </c>
      <c r="B1305" s="1" t="n">
        <v>45341</v>
      </c>
      <c r="C1305" s="1" t="n">
        <v>45811</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6645-2024</t>
        </is>
      </c>
      <c r="B1306" s="1" t="n">
        <v>45341</v>
      </c>
      <c r="C1306" s="1" t="n">
        <v>45811</v>
      </c>
      <c r="D1306" t="inlineStr">
        <is>
          <t>SKÅNE LÄN</t>
        </is>
      </c>
      <c r="E1306" t="inlineStr">
        <is>
          <t>HÄSSLEHOLM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6921-2024</t>
        </is>
      </c>
      <c r="B1307" s="1" t="n">
        <v>45343</v>
      </c>
      <c r="C1307" s="1" t="n">
        <v>45811</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7351-2024</t>
        </is>
      </c>
      <c r="B1308" s="1" t="n">
        <v>45345</v>
      </c>
      <c r="C1308" s="1" t="n">
        <v>45811</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7345-2024</t>
        </is>
      </c>
      <c r="B1309" s="1" t="n">
        <v>45345</v>
      </c>
      <c r="C1309" s="1" t="n">
        <v>45811</v>
      </c>
      <c r="D1309" t="inlineStr">
        <is>
          <t>SKÅNE LÄN</t>
        </is>
      </c>
      <c r="E1309" t="inlineStr">
        <is>
          <t>HÄSSLEHOLM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7511-2024</t>
        </is>
      </c>
      <c r="B1310" s="1" t="n">
        <v>45348</v>
      </c>
      <c r="C1310" s="1" t="n">
        <v>45811</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7652-2024</t>
        </is>
      </c>
      <c r="B1311" s="1" t="n">
        <v>45348</v>
      </c>
      <c r="C1311" s="1" t="n">
        <v>45811</v>
      </c>
      <c r="D1311" t="inlineStr">
        <is>
          <t>SKÅNE LÄN</t>
        </is>
      </c>
      <c r="E1311" t="inlineStr">
        <is>
          <t>HÄSSLEHOLM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7653-2024</t>
        </is>
      </c>
      <c r="B1312" s="1" t="n">
        <v>45348</v>
      </c>
      <c r="C1312" s="1" t="n">
        <v>45811</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7604-2024</t>
        </is>
      </c>
      <c r="B1313" s="1" t="n">
        <v>45348</v>
      </c>
      <c r="C1313" s="1" t="n">
        <v>45811</v>
      </c>
      <c r="D1313" t="inlineStr">
        <is>
          <t>SKÅNE LÄN</t>
        </is>
      </c>
      <c r="E1313" t="inlineStr">
        <is>
          <t>HÄSSLEHOLM</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7865-2024</t>
        </is>
      </c>
      <c r="B1314" s="1" t="n">
        <v>45348</v>
      </c>
      <c r="C1314" s="1" t="n">
        <v>45811</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7818-2024</t>
        </is>
      </c>
      <c r="B1315" s="1" t="n">
        <v>45349</v>
      </c>
      <c r="C1315" s="1" t="n">
        <v>45811</v>
      </c>
      <c r="D1315" t="inlineStr">
        <is>
          <t>SKÅNE LÄN</t>
        </is>
      </c>
      <c r="E1315" t="inlineStr">
        <is>
          <t>HÄSSLEHOLM</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7890-2024</t>
        </is>
      </c>
      <c r="B1316" s="1" t="n">
        <v>45350</v>
      </c>
      <c r="C1316" s="1" t="n">
        <v>45811</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8160-2024</t>
        </is>
      </c>
      <c r="B1317" s="1" t="n">
        <v>45351</v>
      </c>
      <c r="C1317" s="1" t="n">
        <v>45811</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8433-2024</t>
        </is>
      </c>
      <c r="B1318" s="1" t="n">
        <v>45353</v>
      </c>
      <c r="C1318" s="1" t="n">
        <v>45811</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8524-2024</t>
        </is>
      </c>
      <c r="B1319" s="1" t="n">
        <v>45355</v>
      </c>
      <c r="C1319" s="1" t="n">
        <v>45811</v>
      </c>
      <c r="D1319" t="inlineStr">
        <is>
          <t>SKÅNE LÄN</t>
        </is>
      </c>
      <c r="E1319" t="inlineStr">
        <is>
          <t>HÄSSLEHOLM</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8752-2024</t>
        </is>
      </c>
      <c r="B1320" s="1" t="n">
        <v>45356</v>
      </c>
      <c r="C1320" s="1" t="n">
        <v>45811</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8749-2024</t>
        </is>
      </c>
      <c r="B1321" s="1" t="n">
        <v>45356</v>
      </c>
      <c r="C1321" s="1" t="n">
        <v>45811</v>
      </c>
      <c r="D1321" t="inlineStr">
        <is>
          <t>SKÅNE LÄN</t>
        </is>
      </c>
      <c r="E1321" t="inlineStr">
        <is>
          <t>HÄSSLEHOLM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8755-2024</t>
        </is>
      </c>
      <c r="B1322" s="1" t="n">
        <v>45356</v>
      </c>
      <c r="C1322" s="1" t="n">
        <v>45811</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8759-2024</t>
        </is>
      </c>
      <c r="B1323" s="1" t="n">
        <v>45356</v>
      </c>
      <c r="C1323" s="1" t="n">
        <v>45811</v>
      </c>
      <c r="D1323" t="inlineStr">
        <is>
          <t>SKÅNE LÄN</t>
        </is>
      </c>
      <c r="E1323" t="inlineStr">
        <is>
          <t>HÄSSLEHOLM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8760-2024</t>
        </is>
      </c>
      <c r="B1324" s="1" t="n">
        <v>45356</v>
      </c>
      <c r="C1324" s="1" t="n">
        <v>45811</v>
      </c>
      <c r="D1324" t="inlineStr">
        <is>
          <t>SKÅNE LÄN</t>
        </is>
      </c>
      <c r="E1324" t="inlineStr">
        <is>
          <t>HÄSSLEHOLM</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9747-2024</t>
        </is>
      </c>
      <c r="B1325" s="1" t="n">
        <v>45362</v>
      </c>
      <c r="C1325" s="1" t="n">
        <v>45811</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9938-2024</t>
        </is>
      </c>
      <c r="B1326" s="1" t="n">
        <v>45363</v>
      </c>
      <c r="C1326" s="1" t="n">
        <v>45811</v>
      </c>
      <c r="D1326" t="inlineStr">
        <is>
          <t>SKÅNE LÄN</t>
        </is>
      </c>
      <c r="E1326" t="inlineStr">
        <is>
          <t>HÄSSLEHOLM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10020-2024</t>
        </is>
      </c>
      <c r="B1327" s="1" t="n">
        <v>45364</v>
      </c>
      <c r="C1327" s="1" t="n">
        <v>45811</v>
      </c>
      <c r="D1327" t="inlineStr">
        <is>
          <t>SKÅNE LÄN</t>
        </is>
      </c>
      <c r="E1327" t="inlineStr">
        <is>
          <t>HÄSSLEHOLM</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10028-2024</t>
        </is>
      </c>
      <c r="B1328" s="1" t="n">
        <v>45364</v>
      </c>
      <c r="C1328" s="1" t="n">
        <v>45811</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10115-2024</t>
        </is>
      </c>
      <c r="B1329" s="1" t="n">
        <v>45364</v>
      </c>
      <c r="C1329" s="1" t="n">
        <v>45811</v>
      </c>
      <c r="D1329" t="inlineStr">
        <is>
          <t>SKÅNE LÄN</t>
        </is>
      </c>
      <c r="E1329" t="inlineStr">
        <is>
          <t>HÄSSLEHOLM</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10409-2024</t>
        </is>
      </c>
      <c r="B1330" s="1" t="n">
        <v>45365</v>
      </c>
      <c r="C1330" s="1" t="n">
        <v>45811</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10802-2024</t>
        </is>
      </c>
      <c r="B1331" s="1" t="n">
        <v>45369</v>
      </c>
      <c r="C1331" s="1" t="n">
        <v>45811</v>
      </c>
      <c r="D1331" t="inlineStr">
        <is>
          <t>SKÅNE LÄN</t>
        </is>
      </c>
      <c r="E1331" t="inlineStr">
        <is>
          <t>HÄSSLEHOLM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10928-2024</t>
        </is>
      </c>
      <c r="B1332" s="1" t="n">
        <v>45370</v>
      </c>
      <c r="C1332" s="1" t="n">
        <v>45811</v>
      </c>
      <c r="D1332" t="inlineStr">
        <is>
          <t>SKÅNE LÄN</t>
        </is>
      </c>
      <c r="E1332" t="inlineStr">
        <is>
          <t>HÄSSLEHOLM</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10944-2024</t>
        </is>
      </c>
      <c r="B1333" s="1" t="n">
        <v>45370</v>
      </c>
      <c r="C1333" s="1" t="n">
        <v>45811</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11907-2024</t>
        </is>
      </c>
      <c r="B1334" s="1" t="n">
        <v>45376</v>
      </c>
      <c r="C1334" s="1" t="n">
        <v>45811</v>
      </c>
      <c r="D1334" t="inlineStr">
        <is>
          <t>SKÅNE LÄN</t>
        </is>
      </c>
      <c r="E1334" t="inlineStr">
        <is>
          <t>HÄSSLEHOLM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12172-2024</t>
        </is>
      </c>
      <c r="B1335" s="1" t="n">
        <v>45377</v>
      </c>
      <c r="C1335" s="1" t="n">
        <v>45811</v>
      </c>
      <c r="D1335" t="inlineStr">
        <is>
          <t>SKÅNE LÄN</t>
        </is>
      </c>
      <c r="E1335" t="inlineStr">
        <is>
          <t>HÄSSLEHOLM</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12114-2024</t>
        </is>
      </c>
      <c r="B1336" s="1" t="n">
        <v>45377</v>
      </c>
      <c r="C1336" s="1" t="n">
        <v>45811</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12314-2024</t>
        </is>
      </c>
      <c r="B1337" s="1" t="n">
        <v>45378</v>
      </c>
      <c r="C1337" s="1" t="n">
        <v>45811</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12338-2024</t>
        </is>
      </c>
      <c r="B1338" s="1" t="n">
        <v>45378</v>
      </c>
      <c r="C1338" s="1" t="n">
        <v>45811</v>
      </c>
      <c r="D1338" t="inlineStr">
        <is>
          <t>SKÅNE LÄN</t>
        </is>
      </c>
      <c r="E1338" t="inlineStr">
        <is>
          <t>HÄSSLEHOLM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12491-2024</t>
        </is>
      </c>
      <c r="B1339" s="1" t="n">
        <v>45379</v>
      </c>
      <c r="C1339" s="1" t="n">
        <v>45811</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12468-2024</t>
        </is>
      </c>
      <c r="B1340" s="1" t="n">
        <v>45379</v>
      </c>
      <c r="C1340" s="1" t="n">
        <v>45811</v>
      </c>
      <c r="D1340" t="inlineStr">
        <is>
          <t>SKÅNE LÄN</t>
        </is>
      </c>
      <c r="E1340" t="inlineStr">
        <is>
          <t>HÄSSLEHOLM</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12492-2024</t>
        </is>
      </c>
      <c r="B1341" s="1" t="n">
        <v>45379</v>
      </c>
      <c r="C1341" s="1" t="n">
        <v>45811</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12780-2024</t>
        </is>
      </c>
      <c r="B1342" s="1" t="n">
        <v>45384</v>
      </c>
      <c r="C1342" s="1" t="n">
        <v>45811</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12908-2024</t>
        </is>
      </c>
      <c r="B1343" s="1" t="n">
        <v>45385</v>
      </c>
      <c r="C1343" s="1" t="n">
        <v>45811</v>
      </c>
      <c r="D1343" t="inlineStr">
        <is>
          <t>SKÅNE LÄN</t>
        </is>
      </c>
      <c r="E1343" t="inlineStr">
        <is>
          <t>HÄSSLEHOLM</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13018-2024</t>
        </is>
      </c>
      <c r="B1344" s="1" t="n">
        <v>45385</v>
      </c>
      <c r="C1344" s="1" t="n">
        <v>45811</v>
      </c>
      <c r="D1344" t="inlineStr">
        <is>
          <t>SKÅNE LÄN</t>
        </is>
      </c>
      <c r="E1344" t="inlineStr">
        <is>
          <t>HÄSSLEHOLM</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13007-2024</t>
        </is>
      </c>
      <c r="B1345" s="1" t="n">
        <v>45385</v>
      </c>
      <c r="C1345" s="1" t="n">
        <v>45811</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13149-2024</t>
        </is>
      </c>
      <c r="B1346" s="1" t="n">
        <v>45386</v>
      </c>
      <c r="C1346" s="1" t="n">
        <v>45811</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13646-2024</t>
        </is>
      </c>
      <c r="B1347" s="1" t="n">
        <v>45387</v>
      </c>
      <c r="C1347" s="1" t="n">
        <v>45811</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13424-2024</t>
        </is>
      </c>
      <c r="B1348" s="1" t="n">
        <v>45387</v>
      </c>
      <c r="C1348" s="1" t="n">
        <v>45811</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13719-2024</t>
        </is>
      </c>
      <c r="B1349" s="1" t="n">
        <v>45390</v>
      </c>
      <c r="C1349" s="1" t="n">
        <v>45811</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13897-2024</t>
        </is>
      </c>
      <c r="B1350" s="1" t="n">
        <v>45391</v>
      </c>
      <c r="C1350" s="1" t="n">
        <v>45811</v>
      </c>
      <c r="D1350" t="inlineStr">
        <is>
          <t>SKÅNE LÄN</t>
        </is>
      </c>
      <c r="E1350" t="inlineStr">
        <is>
          <t>HÄSSLEHOLM</t>
        </is>
      </c>
      <c r="F1350" t="inlineStr">
        <is>
          <t>Kommuner</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13890-2024</t>
        </is>
      </c>
      <c r="B1351" s="1" t="n">
        <v>45391</v>
      </c>
      <c r="C1351" s="1" t="n">
        <v>45811</v>
      </c>
      <c r="D1351" t="inlineStr">
        <is>
          <t>SKÅNE LÄN</t>
        </is>
      </c>
      <c r="E1351" t="inlineStr">
        <is>
          <t>HÄSSLEHOLM</t>
        </is>
      </c>
      <c r="F1351" t="inlineStr">
        <is>
          <t>Kommuner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45811</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45811</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45811</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45811</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45811</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45811</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45811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45811</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45811</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45811</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45811</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45811</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45811</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45811</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45811</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45811</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45811</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45811</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45811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45811</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45811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45811</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45811</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45811</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45811</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45811</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45811</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45811</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45811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45811</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45811</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45811</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45811</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45811</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45811</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45811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45811</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45811</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45811</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45811</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45811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45811</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45811</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45811</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45811</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45811</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45811</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45811</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45811</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45811</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45811</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45811</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45811</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45811</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45811</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45811</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45811</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45811</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45811</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45811</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45811</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45811</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45811</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45811</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45811</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45811</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45811</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45811</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45811</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45811</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45811</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45811</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45811</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45811</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45811</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45811</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45811</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45811</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45811</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45811</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45811</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45811</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45811</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45811</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45811</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45811</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45811</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45811</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45811</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45811</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45811</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45811</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45811</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45811</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45811</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45811</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45811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45811</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45811</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45811</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45811</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45811</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45811</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45811</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45811</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45811</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45811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45811</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45811</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45811</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45811</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45811</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45811</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45811</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45811</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45811</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45811</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45811</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45811</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45811</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45811</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45811</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45811</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45811</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45811</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45811</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45811</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45811</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45811</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45811</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45811</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45811</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45811</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45811</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45811</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45811</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45811</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45811</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45811</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45811</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45811</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45811</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45811</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45811</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45811</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45811</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45811</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45811</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45811</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45811</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45811</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45811</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45811</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45811</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45811</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45811</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45811</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45811</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45811</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45811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45811</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45811</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45811</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45811</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45811</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45811</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45811</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45811</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45811</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45811</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45811</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45811</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45811</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45811</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45811</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45811</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45811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45811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45811</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45811</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45811</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45811</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45811</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45811</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45811</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45811</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45811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45811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45811</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45811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45811</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45811</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45811</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45811</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45811</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45811</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45811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45811</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45811</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45811</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45811</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45811</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45811</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45811</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45811</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45811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45811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45811</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45811</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45811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45811</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45811</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45811</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45811</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45811</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45811</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45811</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45811</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45811</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45811</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45811</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45811</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45811</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45811</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45811</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45811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45811</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45811</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45811</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45811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45811</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45811</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45811</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45811</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45811</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45811</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45811</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45811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45811</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45811</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45811</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45811</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45811</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45811</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45811</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45811</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45811</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45811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45811</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45811</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45811</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45811</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45811</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45811</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45811</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45811</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45811</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45811</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45811</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45811</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45811</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45811</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45811</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45811</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45811</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45811</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45811</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45811</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45811</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45811</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45811</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45811</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45811</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45811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45811</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45811</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45811</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45811</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45811</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45811</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45811</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45811</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45811</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45811</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45811</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45811</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45811</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45811</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45811</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45811</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45811</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45811</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45811</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45811</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45811</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45811</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45811</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45811</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45811</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45811</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45811</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45811</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45811</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45811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45811</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45811</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45811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45811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45811</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45811</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45811</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45811</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45811</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45811</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45811</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45811</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45811</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45811</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45811</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45811</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45811</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45811</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45811</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45811</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45811</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45811</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45811</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45811</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45811</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45811</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45811</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45811</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45811</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45811</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45811</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45811</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45811</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45811</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45811</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45811</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45811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45811</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45811</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45811</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45811</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45811</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45811</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45811</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45811</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45811</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45811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45811</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45811</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45811</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45811</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45811</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45811</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45811</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45811</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45811</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45811</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45811</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45811</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45811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45811</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45811</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45811</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45811</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45811</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45811</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45811</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45811</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45811</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45811</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45811</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45811</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45811</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45811</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45811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45811</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45811</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45811</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45811</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45811</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45811</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45811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45811</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45811</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45811</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45811</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45811</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45811</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45811</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45811</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45811</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45811</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45811</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45811</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45811</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45811</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45811</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45811</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45811</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45811</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45811</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45811</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45811</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45811</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45811</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45811</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45811</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45811</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45811</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45811</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45811</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45811</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45811</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45811</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45811</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45811</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45811</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45811</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45811</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45811</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45811</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45811</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45811</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45811</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45811</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45811</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45811</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45811</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45811</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45811</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45811</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45811</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45811</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45811</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45811</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45811</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45811</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45811</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45811</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45811</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45811</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45811</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45811</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20872-2025</t>
        </is>
      </c>
      <c r="B1799" s="1" t="n">
        <v>45777</v>
      </c>
      <c r="C1799" s="1" t="n">
        <v>45811</v>
      </c>
      <c r="D1799" t="inlineStr">
        <is>
          <t>SKÅNE LÄN</t>
        </is>
      </c>
      <c r="E1799" t="inlineStr">
        <is>
          <t>HÄSSLEHOLM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45811</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20970-2025</t>
        </is>
      </c>
      <c r="B1801" s="1" t="n">
        <v>45777</v>
      </c>
      <c r="C1801" s="1" t="n">
        <v>45811</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45811</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45811</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45811</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45811</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v>
      </c>
      <c r="C1806" s="1" t="n">
        <v>45811</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22587-2025</t>
        </is>
      </c>
      <c r="B1807" s="1" t="n">
        <v>45789</v>
      </c>
      <c r="C1807" s="1" t="n">
        <v>45811</v>
      </c>
      <c r="D1807" t="inlineStr">
        <is>
          <t>SKÅNE LÄN</t>
        </is>
      </c>
      <c r="E1807" t="inlineStr">
        <is>
          <t>HÄSSLEHOLM</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22678-2025</t>
        </is>
      </c>
      <c r="B1808" s="1" t="n">
        <v>45789</v>
      </c>
      <c r="C1808" s="1" t="n">
        <v>45811</v>
      </c>
      <c r="D1808" t="inlineStr">
        <is>
          <t>SKÅNE LÄN</t>
        </is>
      </c>
      <c r="E1808" t="inlineStr">
        <is>
          <t>HÄSSLEHOLM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23005-2025</t>
        </is>
      </c>
      <c r="B1809" s="1" t="n">
        <v>45790</v>
      </c>
      <c r="C1809" s="1" t="n">
        <v>45811</v>
      </c>
      <c r="D1809" t="inlineStr">
        <is>
          <t>SKÅNE LÄN</t>
        </is>
      </c>
      <c r="E1809" t="inlineStr">
        <is>
          <t>HÄSSLEHOLM</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23007-2025</t>
        </is>
      </c>
      <c r="B1810" s="1" t="n">
        <v>45790</v>
      </c>
      <c r="C1810" s="1" t="n">
        <v>45811</v>
      </c>
      <c r="D1810" t="inlineStr">
        <is>
          <t>SKÅNE LÄN</t>
        </is>
      </c>
      <c r="E1810" t="inlineStr">
        <is>
          <t>HÄSSLEHOLM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45811</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45811</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24047-2025</t>
        </is>
      </c>
      <c r="B1813" s="1" t="n">
        <v>45796</v>
      </c>
      <c r="C1813" s="1" t="n">
        <v>45811</v>
      </c>
      <c r="D1813" t="inlineStr">
        <is>
          <t>SKÅNE LÄN</t>
        </is>
      </c>
      <c r="E1813" t="inlineStr">
        <is>
          <t>HÄSSLEHOLM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24039-2025</t>
        </is>
      </c>
      <c r="B1814" s="1" t="n">
        <v>45796</v>
      </c>
      <c r="C1814" s="1" t="n">
        <v>45811</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24029-2025</t>
        </is>
      </c>
      <c r="B1815" s="1" t="n">
        <v>45796</v>
      </c>
      <c r="C1815" s="1" t="n">
        <v>45811</v>
      </c>
      <c r="D1815" t="inlineStr">
        <is>
          <t>SKÅNE LÄN</t>
        </is>
      </c>
      <c r="E1815" t="inlineStr">
        <is>
          <t>HÄSSLEHOLM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45811</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45811</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45811</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24904-2025</t>
        </is>
      </c>
      <c r="B1819" s="1" t="n">
        <v>45799</v>
      </c>
      <c r="C1819" s="1" t="n">
        <v>45811</v>
      </c>
      <c r="D1819" t="inlineStr">
        <is>
          <t>SKÅNE LÄN</t>
        </is>
      </c>
      <c r="E1819" t="inlineStr">
        <is>
          <t>HÄSSLEHOLM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24985-2025</t>
        </is>
      </c>
      <c r="B1820" s="1" t="n">
        <v>45799</v>
      </c>
      <c r="C1820" s="1" t="n">
        <v>45811</v>
      </c>
      <c r="D1820" t="inlineStr">
        <is>
          <t>SKÅNE LÄN</t>
        </is>
      </c>
      <c r="E1820" t="inlineStr">
        <is>
          <t>HÄSSLEHOLM</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45811</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45811</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25431-2025</t>
        </is>
      </c>
      <c r="B1823" s="1" t="n">
        <v>45800</v>
      </c>
      <c r="C1823" s="1" t="n">
        <v>45811</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25430-2025</t>
        </is>
      </c>
      <c r="B1824" s="1" t="n">
        <v>45800</v>
      </c>
      <c r="C1824" s="1" t="n">
        <v>45811</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25432-2025</t>
        </is>
      </c>
      <c r="B1825" s="1" t="n">
        <v>45800</v>
      </c>
      <c r="C1825" s="1" t="n">
        <v>45811</v>
      </c>
      <c r="D1825" t="inlineStr">
        <is>
          <t>SKÅNE LÄN</t>
        </is>
      </c>
      <c r="E1825" t="inlineStr">
        <is>
          <t>HÄSSLEHOLM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45811</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25615-2025</t>
        </is>
      </c>
      <c r="B1827" s="1" t="n">
        <v>45803</v>
      </c>
      <c r="C1827" s="1" t="n">
        <v>45811</v>
      </c>
      <c r="D1827" t="inlineStr">
        <is>
          <t>SKÅNE LÄN</t>
        </is>
      </c>
      <c r="E1827" t="inlineStr">
        <is>
          <t>HÄSSLEHOLM</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26244-2025</t>
        </is>
      </c>
      <c r="B1828" s="1" t="n">
        <v>45805</v>
      </c>
      <c r="C1828" s="1" t="n">
        <v>45811</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26232-2025</t>
        </is>
      </c>
      <c r="B1829" s="1" t="n">
        <v>45805</v>
      </c>
      <c r="C1829" s="1" t="n">
        <v>45811</v>
      </c>
      <c r="D1829" t="inlineStr">
        <is>
          <t>SKÅNE LÄN</t>
        </is>
      </c>
      <c r="E1829" t="inlineStr">
        <is>
          <t>HÄSSLEHOLM</t>
        </is>
      </c>
      <c r="G1829" t="n">
        <v>0.8</v>
      </c>
      <c r="H1829" t="n">
        <v>0</v>
      </c>
      <c r="I1829" t="n">
        <v>0</v>
      </c>
      <c r="J1829" t="n">
        <v>0</v>
      </c>
      <c r="K1829" t="n">
        <v>0</v>
      </c>
      <c r="L1829" t="n">
        <v>0</v>
      </c>
      <c r="M1829" t="n">
        <v>0</v>
      </c>
      <c r="N1829" t="n">
        <v>0</v>
      </c>
      <c r="O1829" t="n">
        <v>0</v>
      </c>
      <c r="P1829" t="n">
        <v>0</v>
      </c>
      <c r="Q1829" t="n">
        <v>0</v>
      </c>
      <c r="R1829" s="2" t="inlineStr"/>
    </row>
    <row r="1830">
      <c r="A1830" t="inlineStr">
        <is>
          <t>A 26857-2025</t>
        </is>
      </c>
      <c r="B1830" s="1" t="n">
        <v>45810</v>
      </c>
      <c r="C1830" s="1" t="n">
        <v>45811</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2025-06-03T18:11:32Z</dcterms:created>
  <dcterms:modified xmlns:dcterms="http://purl.org/dc/terms/" xmlns:xsi="http://www.w3.org/2001/XMLSchema-instance" xsi:type="dcterms:W3CDTF">2025-06-03T18:11:34Z</dcterms:modified>
</cp:coreProperties>
</file>