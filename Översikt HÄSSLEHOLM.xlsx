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45752</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45752</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45752</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55656-2019</t>
        </is>
      </c>
      <c r="B14" s="1" t="n">
        <v>43760</v>
      </c>
      <c r="C14" s="1" t="n">
        <v>45752</v>
      </c>
      <c r="D14" t="inlineStr">
        <is>
          <t>SKÅNE LÄN</t>
        </is>
      </c>
      <c r="E14" t="inlineStr">
        <is>
          <t>HÄSSLEHOLM</t>
        </is>
      </c>
      <c r="G14" t="n">
        <v>1.8</v>
      </c>
      <c r="H14" t="n">
        <v>2</v>
      </c>
      <c r="I14" t="n">
        <v>0</v>
      </c>
      <c r="J14" t="n">
        <v>0</v>
      </c>
      <c r="K14" t="n">
        <v>2</v>
      </c>
      <c r="L14" t="n">
        <v>0</v>
      </c>
      <c r="M14" t="n">
        <v>0</v>
      </c>
      <c r="N14" t="n">
        <v>0</v>
      </c>
      <c r="O14" t="n">
        <v>2</v>
      </c>
      <c r="P14" t="n">
        <v>2</v>
      </c>
      <c r="Q14" t="n">
        <v>2</v>
      </c>
      <c r="R14" s="2" t="inlineStr">
        <is>
          <t>Hedblomster
Sandödla</t>
        </is>
      </c>
      <c r="S14">
        <f>HYPERLINK("https://klasma.github.io/Logging_1293/artfynd/A 55656-2019 artfynd.xlsx", "A 55656-2019")</f>
        <v/>
      </c>
      <c r="T14">
        <f>HYPERLINK("https://klasma.github.io/Logging_1293/kartor/A 55656-2019 karta.png", "A 55656-2019")</f>
        <v/>
      </c>
      <c r="V14">
        <f>HYPERLINK("https://klasma.github.io/Logging_1293/klagomål/A 55656-2019 FSC-klagomål.docx", "A 55656-2019")</f>
        <v/>
      </c>
      <c r="W14">
        <f>HYPERLINK("https://klasma.github.io/Logging_1293/klagomålsmail/A 55656-2019 FSC-klagomål mail.docx", "A 55656-2019")</f>
        <v/>
      </c>
      <c r="X14">
        <f>HYPERLINK("https://klasma.github.io/Logging_1293/tillsyn/A 55656-2019 tillsynsbegäran.docx", "A 55656-2019")</f>
        <v/>
      </c>
      <c r="Y14">
        <f>HYPERLINK("https://klasma.github.io/Logging_1293/tillsynsmail/A 55656-2019 tillsynsbegäran mail.docx", "A 55656-2019")</f>
        <v/>
      </c>
    </row>
    <row r="15" ht="15" customHeight="1">
      <c r="A15" t="inlineStr">
        <is>
          <t>A 8861-2020</t>
        </is>
      </c>
      <c r="B15" s="1" t="n">
        <v>43878</v>
      </c>
      <c r="C15" s="1" t="n">
        <v>45752</v>
      </c>
      <c r="D15" t="inlineStr">
        <is>
          <t>SKÅNE LÄN</t>
        </is>
      </c>
      <c r="E15" t="inlineStr">
        <is>
          <t>HÄSSLEHOLM</t>
        </is>
      </c>
      <c r="G15" t="n">
        <v>10.5</v>
      </c>
      <c r="H15" t="n">
        <v>0</v>
      </c>
      <c r="I15" t="n">
        <v>2</v>
      </c>
      <c r="J15" t="n">
        <v>0</v>
      </c>
      <c r="K15" t="n">
        <v>0</v>
      </c>
      <c r="L15" t="n">
        <v>0</v>
      </c>
      <c r="M15" t="n">
        <v>0</v>
      </c>
      <c r="N15" t="n">
        <v>0</v>
      </c>
      <c r="O15" t="n">
        <v>0</v>
      </c>
      <c r="P15" t="n">
        <v>0</v>
      </c>
      <c r="Q15" t="n">
        <v>2</v>
      </c>
      <c r="R15" s="2" t="inlineStr">
        <is>
          <t>Bågpraktmossa
Västlig hakmossa</t>
        </is>
      </c>
      <c r="S15">
        <f>HYPERLINK("https://klasma.github.io/Logging_1293/artfynd/A 8861-2020 artfynd.xlsx", "A 8861-2020")</f>
        <v/>
      </c>
      <c r="T15">
        <f>HYPERLINK("https://klasma.github.io/Logging_1293/kartor/A 8861-2020 karta.png", "A 8861-2020")</f>
        <v/>
      </c>
      <c r="V15">
        <f>HYPERLINK("https://klasma.github.io/Logging_1293/klagomål/A 8861-2020 FSC-klagomål.docx", "A 8861-2020")</f>
        <v/>
      </c>
      <c r="W15">
        <f>HYPERLINK("https://klasma.github.io/Logging_1293/klagomålsmail/A 8861-2020 FSC-klagomål mail.docx", "A 8861-2020")</f>
        <v/>
      </c>
      <c r="X15">
        <f>HYPERLINK("https://klasma.github.io/Logging_1293/tillsyn/A 8861-2020 tillsynsbegäran.docx", "A 8861-2020")</f>
        <v/>
      </c>
      <c r="Y15">
        <f>HYPERLINK("https://klasma.github.io/Logging_1293/tillsynsmail/A 8861-2020 tillsynsbegäran mail.docx", "A 8861-2020")</f>
        <v/>
      </c>
    </row>
    <row r="16" ht="15" customHeight="1">
      <c r="A16" t="inlineStr">
        <is>
          <t>A 44167-2021</t>
        </is>
      </c>
      <c r="B16" s="1" t="n">
        <v>44434</v>
      </c>
      <c r="C16" s="1" t="n">
        <v>45752</v>
      </c>
      <c r="D16" t="inlineStr">
        <is>
          <t>SKÅNE LÄN</t>
        </is>
      </c>
      <c r="E16" t="inlineStr">
        <is>
          <t>HÄSSLEHOLM</t>
        </is>
      </c>
      <c r="G16" t="n">
        <v>0.7</v>
      </c>
      <c r="H16" t="n">
        <v>0</v>
      </c>
      <c r="I16" t="n">
        <v>1</v>
      </c>
      <c r="J16" t="n">
        <v>0</v>
      </c>
      <c r="K16" t="n">
        <v>0</v>
      </c>
      <c r="L16" t="n">
        <v>0</v>
      </c>
      <c r="M16" t="n">
        <v>1</v>
      </c>
      <c r="N16" t="n">
        <v>0</v>
      </c>
      <c r="O16" t="n">
        <v>1</v>
      </c>
      <c r="P16" t="n">
        <v>1</v>
      </c>
      <c r="Q16" t="n">
        <v>2</v>
      </c>
      <c r="R16" s="2" t="inlineStr">
        <is>
          <t>Naverlönn
Platt fjädermossa</t>
        </is>
      </c>
      <c r="S16">
        <f>HYPERLINK("https://klasma.github.io/Logging_1293/artfynd/A 44167-2021 artfynd.xlsx", "A 44167-2021")</f>
        <v/>
      </c>
      <c r="T16">
        <f>HYPERLINK("https://klasma.github.io/Logging_1293/kartor/A 44167-2021 karta.png", "A 44167-2021")</f>
        <v/>
      </c>
      <c r="V16">
        <f>HYPERLINK("https://klasma.github.io/Logging_1293/klagomål/A 44167-2021 FSC-klagomål.docx", "A 44167-2021")</f>
        <v/>
      </c>
      <c r="W16">
        <f>HYPERLINK("https://klasma.github.io/Logging_1293/klagomålsmail/A 44167-2021 FSC-klagomål mail.docx", "A 44167-2021")</f>
        <v/>
      </c>
      <c r="X16">
        <f>HYPERLINK("https://klasma.github.io/Logging_1293/tillsyn/A 44167-2021 tillsynsbegäran.docx", "A 44167-2021")</f>
        <v/>
      </c>
      <c r="Y16">
        <f>HYPERLINK("https://klasma.github.io/Logging_1293/tillsynsmail/A 44167-2021 tillsynsbegäran mail.docx", "A 44167-2021")</f>
        <v/>
      </c>
    </row>
    <row r="17" ht="15" customHeight="1">
      <c r="A17" t="inlineStr">
        <is>
          <t>A 2194-2025</t>
        </is>
      </c>
      <c r="B17" s="1" t="n">
        <v>45673</v>
      </c>
      <c r="C17" s="1" t="n">
        <v>45752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4595-2025</t>
        </is>
      </c>
      <c r="B18" s="1" t="n">
        <v>45687</v>
      </c>
      <c r="C18" s="1" t="n">
        <v>45752</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45752</v>
      </c>
      <c r="D19" t="inlineStr">
        <is>
          <t>SKÅNE LÄN</t>
        </is>
      </c>
      <c r="E19" t="inlineStr">
        <is>
          <t>HÄSSLEHOLM</t>
        </is>
      </c>
      <c r="G19" t="n">
        <v>2</v>
      </c>
      <c r="H19" t="n">
        <v>2</v>
      </c>
      <c r="I19" t="n">
        <v>0</v>
      </c>
      <c r="J19" t="n">
        <v>1</v>
      </c>
      <c r="K19" t="n">
        <v>0</v>
      </c>
      <c r="L19" t="n">
        <v>1</v>
      </c>
      <c r="M19" t="n">
        <v>0</v>
      </c>
      <c r="N19" t="n">
        <v>0</v>
      </c>
      <c r="O19" t="n">
        <v>2</v>
      </c>
      <c r="P19" t="n">
        <v>1</v>
      </c>
      <c r="Q19" t="n">
        <v>2</v>
      </c>
      <c r="R19" s="2" t="inlineStr">
        <is>
          <t>Grönfink
Entita</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8257-2025</t>
        </is>
      </c>
      <c r="B20" s="1" t="n">
        <v>45708</v>
      </c>
      <c r="C20" s="1" t="n">
        <v>45752</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45752</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45752</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45752</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45752</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45752</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45752</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45752</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45752</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45752</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45752</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45752</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45752</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45752</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45752</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45752</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45752</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45752</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45752</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45752</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45752</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45752</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45752</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45752</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45752</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45752</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45752</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45752</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45752</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45752</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45752</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45752</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45752</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45752</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45752</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45752</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45752</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45752</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45752</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45752</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45752</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45752</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45752</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45752</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45752</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45752</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45752</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45752</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45752</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45752</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45752</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45752</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45752</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45752</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45752</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45752</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45752</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45752</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45752</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45752</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45752</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45752</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45752</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45752</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45752</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45752</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45752</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45752</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45752</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45752</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45752</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45752</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45752</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45752</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45752</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45752</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45752</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45752</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45752</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45752</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45752</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45752</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45752</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45752</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45752</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45752</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45752</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45752</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45752</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45752</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45752</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45752</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45752</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45752</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45752</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45752</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45752</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45752</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45752</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45752</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45752</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45752</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45752</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45752</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45752</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45752</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45752</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45752</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45752</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45752</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45752</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45752</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45752</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45752</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45752</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45752</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45752</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45752</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45752</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45752</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45752</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45752</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45752</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45752</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45752</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45752</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45752</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45752</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45752</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45752</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45752</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45752</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45752</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45752</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45752</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45752</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45752</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45752</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45752</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45752</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45752</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45752</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45752</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45752</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45752</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45752</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45752</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45752</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45752</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45752</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45752</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45752</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45752</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45752</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45752</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45752</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45752</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45752</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45752</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45752</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45752</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45752</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45752</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45752</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45752</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45752</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45752</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45752</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45752</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45752</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45752</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45752</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45752</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45752</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45752</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45752</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45752</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45752</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45752</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45752</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45752</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45752</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45752</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45752</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45752</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45752</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45752</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45752</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45752</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45752</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45752</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45752</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45752</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45752</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45752</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45752</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45752</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45752</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45752</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45752</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45752</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45752</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45752</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45752</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45752</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45752</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45752</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45752</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45752</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45752</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45752</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45752</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45752</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45752</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45752</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45752</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45752</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45752</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45752</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45752</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45752</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45752</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45752</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45752</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45752</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45752</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45752</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45752</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45752</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45752</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45752</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45752</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45752</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45752</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45752</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45752</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45752</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45752</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45752</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45752</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45752</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45752</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45752</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45752</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45752</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45752</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45752</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45752</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45752</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45752</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45752</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45752</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45752</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45752</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45752</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45752</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45752</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45752</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45752</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45752</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45752</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45752</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45752</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45752</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45752</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45752</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45752</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45752</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45752</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45752</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45752</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45752</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45752</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45752</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45752</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45752</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45752</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45752</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45752</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45752</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45752</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45752</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45752</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45752</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45752</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45752</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45752</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45752</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45752</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45752</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45752</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45752</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45752</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45752</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45752</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45752</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45752</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45752</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45752</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45752</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45752</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45752</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45752</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45752</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45752</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45752</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45752</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45752</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45752</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45752</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45752</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45752</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45752</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45752</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45752</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45752</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45752</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45752</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45752</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45752</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45752</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45752</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45752</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45752</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45752</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45752</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45752</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45752</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45752</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45752</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45752</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45752</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45752</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45752</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45752</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45752</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45752</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45752</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45752</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45752</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45752</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45752</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45752</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45752</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45752</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45752</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45752</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45752</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45752</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45752</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45752</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45752</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45752</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45752</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45752</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45752</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45752</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45752</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45752</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45752</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45752</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45752</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45752</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45752</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45752</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45752</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45752</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45752</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45752</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45752</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45752</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45752</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45752</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45752</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45752</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45752</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45752</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45752</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45752</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45752</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45752</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45752</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45752</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45752</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45752</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45752</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45752</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45752</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45752</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45752</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45752</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45752</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45752</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45752</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45752</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45752</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45752</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45752</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45752</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45752</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45752</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45752</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45752</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45752</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45752</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45752</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45752</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45752</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45752</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45752</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45752</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45752</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45752</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45752</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45752</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45752</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45752</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45752</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45752</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45752</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45752</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45752</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45752</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45752</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45752</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45752</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45752</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45752</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45752</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45752</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45752</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45752</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45752</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45752</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45752</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45752</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45752</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45752</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45752</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45752</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45752</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45752</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45752</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45752</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45752</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45752</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45752</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45752</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45752</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45752</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45752</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45752</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45752</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45752</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45752</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45752</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45752</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45752</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45752</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45752</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45752</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45752</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45752</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45752</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45752</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45752</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45752</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45752</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45752</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45752</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45752</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45752</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45752</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45752</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45752</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45752</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45752</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45752</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45752</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45752</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45752</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45752</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45752</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45752</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45752</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45752</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45752</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45752</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45752</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45752</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45752</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45752</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45752</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45752</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45752</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45752</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45752</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45752</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45752</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45752</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45752</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45752</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45752</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45752</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45752</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45752</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45752</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45752</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45752</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45752</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45752</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45752</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45752</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45752</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45752</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45752</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45752</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45752</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45752</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45752</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45752</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45752</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45752</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45752</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45752</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45752</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45752</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45752</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45752</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45752</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45752</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45752</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45752</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45752</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45752</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45752</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45752</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45752</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45752</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45752</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45752</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45752</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45752</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45752</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45752</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45752</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45752</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45752</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45752</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45752</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45752</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45752</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45752</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45752</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45752</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45752</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45752</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45752</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45752</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45752</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45752</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45752</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45752</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45752</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45752</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45752</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45752</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45752</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45752</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45752</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45752</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45752</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45752</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45752</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45752</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45752</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45752</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45752</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45752</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45752</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45752</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45752</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45752</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45752</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45752</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45752</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45752</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45752</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45752</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45752</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45752</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45752</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45752</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45752</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45752</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45752</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45752</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45752</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45752</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45752</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45752</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45752</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45752</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45752</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45752</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45752</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45752</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45752</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45752</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45752</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45752</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45752</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45752</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45752</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45752</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45752</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45752</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45752</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45752</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45752</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45752</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45752</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45752</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45752</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45752</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45752</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45752</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45752</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45752</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45752</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45752</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45752</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45752</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45752</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45752</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45752</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45752</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45752</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45752</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45752</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45752</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45752</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45752</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45752</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45752</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45752</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45752</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45752</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45752</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45752</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45752</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45752</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45752</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45752</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45752</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45752</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45752</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45752</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45752</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45752</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45752</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45752</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45752</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45752</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45752</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45752</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45752</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45752</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45752</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45752</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45752</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45752</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45752</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45752</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45752</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45752</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45752</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45752</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45752</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45752</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45752</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45752</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45752</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45752</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45752</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45752</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45752</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45752</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45752</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45752</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45752</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45752</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45752</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45752</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45752</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45752</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45752</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45752</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45752</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45752</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45752</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45752</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45752</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45752</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45752</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45752</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45752</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45752</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45752</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45752</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45752</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45752</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45752</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45752</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45752</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45752</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45752</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45752</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45752</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45752</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45752</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45752</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45752</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45752</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45752</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45752</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45752</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45752</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45752</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45752</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45752</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45752</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45752</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45752</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45752</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45752</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45752</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45752</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45752</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45752</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45752</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45752</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45752</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45752</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45752</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45752</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45752</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45752</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45752</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45752</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45752</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45752</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45752</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45752</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45752</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45752</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45752</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45752</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45752</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45752</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45752</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45752</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45752</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45752</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45752</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45752</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45752</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45752</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45752</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45752</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45752</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45752</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45752</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45752</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45752</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45752</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45752</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45752</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45752</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45752</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45752</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45752</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45752</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45752</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45752</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45752</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45752</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45752</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45752</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45752</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45752</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45752</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45752</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45752</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45752</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45752</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45752</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45752</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45752</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45752</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45752</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45752</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45752</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45752</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45752</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45752</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45752</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45752</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45752</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45752</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45752</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45752</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45752</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45752</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45752</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45752</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45752</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45752</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45752</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45752</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45752</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45752</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45752</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45752</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45752</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45752</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45752</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45752</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45752</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45752</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45752</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45752</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45752</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45752</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45752</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45752</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45752</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45752</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45752</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45752</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45752</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45752</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45752</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45752</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45752</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45752</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45752</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45752</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45752</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45752</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45752</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45752</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45752</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45752</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45752</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45752</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45752</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45752</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45752</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45752</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45752</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45752</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45752</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45752</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45752</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45752</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45752</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45752</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45752</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45752</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45752</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45752</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45752</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45752</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45752</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45752</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45752</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45752</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45752</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45752</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45752</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45752</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45752</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45752</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45752</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45752</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45752</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45752</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45752</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45752</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45752</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45752</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45752</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45752</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45752</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45752</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45752</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45752</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45752</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45752</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45752</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45752</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45752</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45752</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45752</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45752</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45752</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45752</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45752</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45752</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45752</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45752</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45752</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45752</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45752</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45752</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45752</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45752</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45752</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45752</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45752</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45752</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45752</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45752</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45752</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45752</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45752</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45752</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45752</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45752</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45752</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45752</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45752</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45752</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45752</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45752</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45752</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45752</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45752</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45752</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45752</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45752</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45752</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45752</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45752</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45752</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45752</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45752</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45752</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45752</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45752</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45752</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45752</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45752</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45752</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45752</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45752</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45752</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45752</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45752</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45752</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45752</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45752</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45752</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45752</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45752</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45752</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45752</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45752</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45752</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45752</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45752</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45752</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45752</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45752</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45752</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45752</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45752</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45752</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45752</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45752</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45752</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45752</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45752</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45752</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45752</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45752</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45752</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45752</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45752</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45752</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45752</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45752</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45752</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45752</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45752</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45752</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45752</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45752</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45752</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45752</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45752</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45752</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45752</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45752</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45752</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45752</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45752</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45752</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45752</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45752</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45752</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45752</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45752</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45752</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45752</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45752</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45752</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45752</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45752</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45752</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45752</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45752</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45752</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45752</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45752</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45752</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45752</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45752</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45752</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45752</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45752</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45752</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45752</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45752</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45752</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45752</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45752</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45752</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45752</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45752</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45752</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45752</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45752</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45752</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45752</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45752</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45752</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45752</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45752</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45752</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45752</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45752</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45752</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45752</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45752</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45752</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45752</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45752</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45752</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45752</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45752</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45752</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45752</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45752</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45752</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45752</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45752</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45752</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45752</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45752</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45752</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45752</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45752</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45752</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45752</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45752</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45752</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45752</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45752</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45752</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45752</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45752</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45752</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45752</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45752</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45752</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45752</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45752</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45752</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45752</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45752</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45752</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45752</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45752</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45752</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45752</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45752</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45752</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45752</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45752</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45752</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45752</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45752</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45752</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45752</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45752</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45752</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45752</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45752</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45752</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45752</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45752</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45752</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45752</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45752</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45752</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45752</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45752</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45752</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45752</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45752</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45752</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45752</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45752</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45752</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45752</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45752</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45752</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45752</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45752</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45752</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45752</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45752</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45752</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45752</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45752</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45752</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45752</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45752</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45752</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45752</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45752</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45752</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45752</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45752</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45752</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45752</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45752</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45752</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45752</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45752</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45752</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45752</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45752</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45752</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45752</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45752</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45752</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45752</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45752</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45752</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45752</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45752</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45752</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45752</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45752</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45752</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45752</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45752</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45752</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45752</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45752</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45752</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45752</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45752</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45752</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45752</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45752</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45752</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45752</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45752</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45752</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45752</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45752</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45752</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45752</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45752</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45752</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45752</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45752</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45752</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45752</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45752</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45752</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45752</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45752</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45752</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45752</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45752</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45752</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45752</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45752</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45752</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45752</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45752</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45752</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45752</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45752</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45752</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45752</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45752</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45752</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45752</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45752</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45752</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45752</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45752</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45752</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45752</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45752</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45752</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45752</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45752</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45752</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45752</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45752</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45752</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45752</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45752</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45752</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45752</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45752</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45752</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45752</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45752</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45752</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45752</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45752</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45752</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45752</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45752</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45752</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45752</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45752</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45752</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45752</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45752</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45752</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45752</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45752</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45752</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45752</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45752</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45752</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45752</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45752</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45752</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45752</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45752</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45752</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45752</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45752</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45752</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45752</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45752</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45752</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45752</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45752</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45752</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45752</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45752</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45752</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45752</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45752</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45752</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45752</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45752</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45752</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45752</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45752</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45752</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45752</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45752</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45752</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45752</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45752</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45752</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45752</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45752</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45752</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45752</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45752</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45752</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45752</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45752</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45752</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45752</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45752</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45752</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45752</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45752</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45752</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45752</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45752</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45752</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45752</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45752</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45752</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45752</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45752</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45752</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45752</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45752</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45752</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45752</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45752</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45752</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45752</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45752</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45752</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45752</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45752</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45752</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45752</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45752</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45752</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45752</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45752</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45752</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45752</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45752</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45752</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45752</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45752</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45752</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45752</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45752</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45752</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45752</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45752</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45752</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45752</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45752</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45752</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45752</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45752</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45752</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45752</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45752</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45752</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45752</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45752</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45752</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45752</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45752</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45752</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45752</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45752</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45752</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45752</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45752</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45752</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45752</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45752</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45752</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45752</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45752</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45752</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45752</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45752</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45752</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45752</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45752</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45752</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45752</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45752</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45752</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45752</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45752</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45752</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45752</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45752</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45752</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45752</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45752</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45752</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45752</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45752</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45752</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45752</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45752</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45752</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45752</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45752</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45752</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45752</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45752</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45752</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45752</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45752</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45752</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45752</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45752</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45752</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45752</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45752</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45752</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45752</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45752</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45752</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45752</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45752</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45752</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45752</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45752</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45752</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45752</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45752</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45752</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45752</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45752</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45752</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45752</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45752</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45752</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45752</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45752</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45752</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45752</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45752</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45752</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45752</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45752</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45752</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45752</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45752</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45752</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45752</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45752</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45752</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45752</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45752</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45752</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45752</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45752</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45752</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45752</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45752</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45752</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45752</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45752</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45752</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45752</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45752</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45752</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45752</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45752</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45752</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45752</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45752</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45752</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45752</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45752</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45752</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45752</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45752</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45752</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45752</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45752</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45752</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45752</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45752</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45752</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45752</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45752</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45752</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45752</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45752</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45752</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45752</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45752</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45752</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45752</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45752</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45752</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45752</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45752</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45752</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45752</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45752</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45752</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45752</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45752</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45752</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45752</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45752</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45752</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45752</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45752</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45752</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45752</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45752</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45752</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45752</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45752</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45752</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45752</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45752</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45752</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45752</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45752</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45752</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45752</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45752</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45752</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45752</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45752</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45752</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45752</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45752</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45752</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45752</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45752</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45752</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45752</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45752</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45752</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45752</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45752</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45752</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45752</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45752</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45752</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45752</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45752</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45752</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45752</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45752</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45752</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45752</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45752</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45752</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45752</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45752</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45752</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45752</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45752</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45752</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45752</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45752</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45752</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45752</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45752</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45752</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45752</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45752</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45752</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45752</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45752</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45752</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45752</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45752</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45752</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45752</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45752</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45752</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45752</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45752</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45752</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45752</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45752</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45752</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45752</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45752</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45752</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45752</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45752</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45752</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45752</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45752</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45752</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45752</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45752</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45752</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45752</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45752</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45752</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45752</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45752</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45752</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45752</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45752</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45752</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45752</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45752</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45752</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45752</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45752</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45752</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11422-2025</t>
        </is>
      </c>
      <c r="B1729" s="1" t="n">
        <v>45726</v>
      </c>
      <c r="C1729" s="1" t="n">
        <v>45752</v>
      </c>
      <c r="D1729" t="inlineStr">
        <is>
          <t>SKÅNE LÄN</t>
        </is>
      </c>
      <c r="E1729" t="inlineStr">
        <is>
          <t>HÄSSLEHOLM</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11446-2025</t>
        </is>
      </c>
      <c r="B1730" s="1" t="n">
        <v>45726</v>
      </c>
      <c r="C1730" s="1" t="n">
        <v>45752</v>
      </c>
      <c r="D1730" t="inlineStr">
        <is>
          <t>SKÅNE LÄN</t>
        </is>
      </c>
      <c r="E1730" t="inlineStr">
        <is>
          <t>HÄSSLEHOLM</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11470-2025</t>
        </is>
      </c>
      <c r="B1731" s="1" t="n">
        <v>45726</v>
      </c>
      <c r="C1731" s="1" t="n">
        <v>45752</v>
      </c>
      <c r="D1731" t="inlineStr">
        <is>
          <t>SKÅNE LÄN</t>
        </is>
      </c>
      <c r="E1731" t="inlineStr">
        <is>
          <t>HÄSSLEHOLM</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11266-2025</t>
        </is>
      </c>
      <c r="B1732" s="1" t="n">
        <v>45726</v>
      </c>
      <c r="C1732" s="1" t="n">
        <v>45752</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11466-2025</t>
        </is>
      </c>
      <c r="B1733" s="1" t="n">
        <v>45726</v>
      </c>
      <c r="C1733" s="1" t="n">
        <v>45752</v>
      </c>
      <c r="D1733" t="inlineStr">
        <is>
          <t>SKÅNE LÄN</t>
        </is>
      </c>
      <c r="E1733" t="inlineStr">
        <is>
          <t>HÄSSLEHOLM</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45752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45752</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45752</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45752</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45752</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45752</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45752</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45752</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45752</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45752</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45752</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45752</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45752</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45752</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45752</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45752</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45752</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45752</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45752</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45752</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45752</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45752</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45752</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45752</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13851-2025</t>
        </is>
      </c>
      <c r="B1758" s="1" t="n">
        <v>45737</v>
      </c>
      <c r="C1758" s="1" t="n">
        <v>45752</v>
      </c>
      <c r="D1758" t="inlineStr">
        <is>
          <t>SKÅNE LÄN</t>
        </is>
      </c>
      <c r="E1758" t="inlineStr">
        <is>
          <t>HÄSSLEHOLM</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13856-2025</t>
        </is>
      </c>
      <c r="B1759" s="1" t="n">
        <v>45737</v>
      </c>
      <c r="C1759" s="1" t="n">
        <v>45752</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45752</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45752</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45752</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45752</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45752</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45752</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16019-2025</t>
        </is>
      </c>
      <c r="B1766" s="1" t="n">
        <v>45749</v>
      </c>
      <c r="C1766" s="1" t="n">
        <v>45752</v>
      </c>
      <c r="D1766" t="inlineStr">
        <is>
          <t>SKÅNE LÄN</t>
        </is>
      </c>
      <c r="E1766" t="inlineStr">
        <is>
          <t>HÄSSLEHOLM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16016-2025</t>
        </is>
      </c>
      <c r="B1767" s="1" t="n">
        <v>45749</v>
      </c>
      <c r="C1767" s="1" t="n">
        <v>45752</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16024-2025</t>
        </is>
      </c>
      <c r="B1768" s="1" t="n">
        <v>45749</v>
      </c>
      <c r="C1768" s="1" t="n">
        <v>45752</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15897-2025</t>
        </is>
      </c>
      <c r="B1769" s="1" t="n">
        <v>45749</v>
      </c>
      <c r="C1769" s="1" t="n">
        <v>45752</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45752</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45752</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16285-2025</t>
        </is>
      </c>
      <c r="B1772" s="1" t="n">
        <v>45751</v>
      </c>
      <c r="C1772" s="1" t="n">
        <v>45752</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16388-2025</t>
        </is>
      </c>
      <c r="B1773" s="1" t="n">
        <v>45751</v>
      </c>
      <c r="C1773" s="1" t="n">
        <v>45752</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16550-2025</t>
        </is>
      </c>
      <c r="B1774" s="1" t="n">
        <v>45751</v>
      </c>
      <c r="C1774" s="1" t="n">
        <v>45752</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16357-2025</t>
        </is>
      </c>
      <c r="B1775" s="1" t="n">
        <v>45751</v>
      </c>
      <c r="C1775" s="1" t="n">
        <v>45752</v>
      </c>
      <c r="D1775" t="inlineStr">
        <is>
          <t>SKÅNE LÄN</t>
        </is>
      </c>
      <c r="E1775" t="inlineStr">
        <is>
          <t>HÄSSLEHOLM</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16474-2025</t>
        </is>
      </c>
      <c r="B1776" s="1" t="n">
        <v>45751</v>
      </c>
      <c r="C1776" s="1" t="n">
        <v>45752</v>
      </c>
      <c r="D1776" t="inlineStr">
        <is>
          <t>SKÅNE LÄN</t>
        </is>
      </c>
      <c r="E1776" t="inlineStr">
        <is>
          <t>HÄSSLEHOLM</t>
        </is>
      </c>
      <c r="G1776" t="n">
        <v>5.9</v>
      </c>
      <c r="H1776" t="n">
        <v>0</v>
      </c>
      <c r="I1776" t="n">
        <v>0</v>
      </c>
      <c r="J1776" t="n">
        <v>0</v>
      </c>
      <c r="K1776" t="n">
        <v>0</v>
      </c>
      <c r="L1776" t="n">
        <v>0</v>
      </c>
      <c r="M1776" t="n">
        <v>0</v>
      </c>
      <c r="N1776" t="n">
        <v>0</v>
      </c>
      <c r="O1776" t="n">
        <v>0</v>
      </c>
      <c r="P1776" t="n">
        <v>0</v>
      </c>
      <c r="Q1776" t="n">
        <v>0</v>
      </c>
      <c r="R1776" s="2" t="inlineStr"/>
    </row>
    <row r="1777">
      <c r="A1777" t="inlineStr">
        <is>
          <t>A 16368-2025</t>
        </is>
      </c>
      <c r="B1777" s="1" t="n">
        <v>45751</v>
      </c>
      <c r="C1777" s="1" t="n">
        <v>45752</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2025-04-05T16:35:58Z</dcterms:created>
  <dcterms:modified xmlns:dcterms="http://purl.org/dc/terms/" xmlns:xsi="http://www.w3.org/2001/XMLSchema-instance" xsi:type="dcterms:W3CDTF">2025-04-05T16:36:00Z</dcterms:modified>
</cp:coreProperties>
</file>