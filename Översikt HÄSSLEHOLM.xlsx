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46158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46158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46158</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46158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46158</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46158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46158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46158</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46158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46158</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46158</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46158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46158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46158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46158</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46158</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21659-2026</t>
        </is>
      </c>
      <c r="B18" s="1" t="n">
        <v>46149.4594212963</v>
      </c>
      <c r="C18" s="1" t="n">
        <v>46158</v>
      </c>
      <c r="D18" t="inlineStr">
        <is>
          <t>SKÅNE LÄN</t>
        </is>
      </c>
      <c r="E18" t="inlineStr">
        <is>
          <t>HÄSSLEHOLM</t>
        </is>
      </c>
      <c r="G18" t="n">
        <v>1.8</v>
      </c>
      <c r="H18" t="n">
        <v>2</v>
      </c>
      <c r="I18" t="n">
        <v>0</v>
      </c>
      <c r="J18" t="n">
        <v>0</v>
      </c>
      <c r="K18" t="n">
        <v>0</v>
      </c>
      <c r="L18" t="n">
        <v>0</v>
      </c>
      <c r="M18" t="n">
        <v>0</v>
      </c>
      <c r="N18" t="n">
        <v>0</v>
      </c>
      <c r="O18" t="n">
        <v>0</v>
      </c>
      <c r="P18" t="n">
        <v>0</v>
      </c>
      <c r="Q18" t="n">
        <v>2</v>
      </c>
      <c r="R18" s="2" t="inlineStr">
        <is>
          <t>Göktyta
Skogsduva</t>
        </is>
      </c>
      <c r="S18">
        <f>HYPERLINK("https://klasma.github.io/Logging_1293/artfynd/A 21659-2026 artfynd.xlsx", "A 21659-2026")</f>
        <v/>
      </c>
      <c r="T18">
        <f>HYPERLINK("https://klasma.github.io/Logging_1293/kartor/A 21659-2026 karta.png", "A 21659-2026")</f>
        <v/>
      </c>
      <c r="V18">
        <f>HYPERLINK("https://klasma.github.io/Logging_1293/klagomål/A 21659-2026 FSC-klagomål.docx", "A 21659-2026")</f>
        <v/>
      </c>
      <c r="W18">
        <f>HYPERLINK("https://klasma.github.io/Logging_1293/klagomålsmail/A 21659-2026 FSC-klagomål mail.docx", "A 21659-2026")</f>
        <v/>
      </c>
      <c r="X18">
        <f>HYPERLINK("https://klasma.github.io/Logging_1293/tillsyn/A 21659-2026 tillsynsbegäran.docx", "A 21659-2026")</f>
        <v/>
      </c>
      <c r="Y18">
        <f>HYPERLINK("https://klasma.github.io/Logging_1293/tillsynsmail/A 21659-2026 tillsynsbegäran mail.docx", "A 21659-2026")</f>
        <v/>
      </c>
      <c r="Z18">
        <f>HYPERLINK("https://klasma.github.io/Logging_1293/fåglar/A 21659-2026 prioriterade fågelarter.docx", "A 21659-2026")</f>
        <v/>
      </c>
    </row>
    <row r="19" ht="15" customHeight="1">
      <c r="A19" t="inlineStr">
        <is>
          <t>A 22504-2026</t>
        </is>
      </c>
      <c r="B19" s="1" t="n">
        <v>46154</v>
      </c>
      <c r="C19" s="1" t="n">
        <v>46158</v>
      </c>
      <c r="D19" t="inlineStr">
        <is>
          <t>SKÅNE LÄN</t>
        </is>
      </c>
      <c r="E19" t="inlineStr">
        <is>
          <t>HÄSSLEHOLM</t>
        </is>
      </c>
      <c r="G19" t="n">
        <v>35.3</v>
      </c>
      <c r="H19" t="n">
        <v>0</v>
      </c>
      <c r="I19" t="n">
        <v>1</v>
      </c>
      <c r="J19" t="n">
        <v>1</v>
      </c>
      <c r="K19" t="n">
        <v>0</v>
      </c>
      <c r="L19" t="n">
        <v>0</v>
      </c>
      <c r="M19" t="n">
        <v>0</v>
      </c>
      <c r="N19" t="n">
        <v>0</v>
      </c>
      <c r="O19" t="n">
        <v>1</v>
      </c>
      <c r="P19" t="n">
        <v>0</v>
      </c>
      <c r="Q19" t="n">
        <v>2</v>
      </c>
      <c r="R19" s="2" t="inlineStr">
        <is>
          <t>Asp
Rostfläck</t>
        </is>
      </c>
      <c r="S19">
        <f>HYPERLINK("https://klasma.github.io/Logging_1293/artfynd/A 22504-2026 artfynd.xlsx", "A 22504-2026")</f>
        <v/>
      </c>
      <c r="T19">
        <f>HYPERLINK("https://klasma.github.io/Logging_1293/kartor/A 22504-2026 karta.png", "A 22504-2026")</f>
        <v/>
      </c>
      <c r="V19">
        <f>HYPERLINK("https://klasma.github.io/Logging_1293/klagomål/A 22504-2026 FSC-klagomål.docx", "A 22504-2026")</f>
        <v/>
      </c>
      <c r="W19">
        <f>HYPERLINK("https://klasma.github.io/Logging_1293/klagomålsmail/A 22504-2026 FSC-klagomål mail.docx", "A 22504-2026")</f>
        <v/>
      </c>
      <c r="X19">
        <f>HYPERLINK("https://klasma.github.io/Logging_1293/tillsyn/A 22504-2026 tillsynsbegäran.docx", "A 22504-2026")</f>
        <v/>
      </c>
      <c r="Y19">
        <f>HYPERLINK("https://klasma.github.io/Logging_1293/tillsynsmail/A 22504-2026 tillsynsbegäran mail.docx", "A 22504-2026")</f>
        <v/>
      </c>
    </row>
    <row r="20" ht="15" customHeight="1">
      <c r="A20" t="inlineStr">
        <is>
          <t>A 8257-2025</t>
        </is>
      </c>
      <c r="B20" s="1" t="n">
        <v>45708.49938657408</v>
      </c>
      <c r="C20" s="1" t="n">
        <v>46158</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13705-2022</t>
        </is>
      </c>
      <c r="B21" s="1" t="n">
        <v>44648</v>
      </c>
      <c r="C21" s="1" t="n">
        <v>46158</v>
      </c>
      <c r="D21" t="inlineStr">
        <is>
          <t>SKÅNE LÄN</t>
        </is>
      </c>
      <c r="E21" t="inlineStr">
        <is>
          <t>HÄSSLEHOLM</t>
        </is>
      </c>
      <c r="G21" t="n">
        <v>1.5</v>
      </c>
      <c r="H21" t="n">
        <v>1</v>
      </c>
      <c r="I21" t="n">
        <v>0</v>
      </c>
      <c r="J21" t="n">
        <v>0</v>
      </c>
      <c r="K21" t="n">
        <v>0</v>
      </c>
      <c r="L21" t="n">
        <v>0</v>
      </c>
      <c r="M21" t="n">
        <v>0</v>
      </c>
      <c r="N21" t="n">
        <v>0</v>
      </c>
      <c r="O21" t="n">
        <v>0</v>
      </c>
      <c r="P21" t="n">
        <v>0</v>
      </c>
      <c r="Q21" t="n">
        <v>1</v>
      </c>
      <c r="R21" s="2" t="inlineStr">
        <is>
          <t>Grönvit nattviol</t>
        </is>
      </c>
      <c r="S21">
        <f>HYPERLINK("https://klasma.github.io/Logging_1293/artfynd/A 13705-2022 artfynd.xlsx", "A 13705-2022")</f>
        <v/>
      </c>
      <c r="T21">
        <f>HYPERLINK("https://klasma.github.io/Logging_1293/kartor/A 13705-2022 karta.png", "A 13705-2022")</f>
        <v/>
      </c>
      <c r="V21">
        <f>HYPERLINK("https://klasma.github.io/Logging_1293/klagomål/A 13705-2022 FSC-klagomål.docx", "A 13705-2022")</f>
        <v/>
      </c>
      <c r="W21">
        <f>HYPERLINK("https://klasma.github.io/Logging_1293/klagomålsmail/A 13705-2022 FSC-klagomål mail.docx", "A 13705-2022")</f>
        <v/>
      </c>
      <c r="X21">
        <f>HYPERLINK("https://klasma.github.io/Logging_1293/tillsyn/A 13705-2022 tillsynsbegäran.docx", "A 13705-2022")</f>
        <v/>
      </c>
      <c r="Y21">
        <f>HYPERLINK("https://klasma.github.io/Logging_1293/tillsynsmail/A 13705-2022 tillsynsbegäran mail.docx", "A 13705-2022")</f>
        <v/>
      </c>
    </row>
    <row r="22" ht="15" customHeight="1">
      <c r="A22" t="inlineStr">
        <is>
          <t>A 46602-2023</t>
        </is>
      </c>
      <c r="B22" s="1" t="n">
        <v>45194</v>
      </c>
      <c r="C22" s="1" t="n">
        <v>46158</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43874-2022</t>
        </is>
      </c>
      <c r="B23" s="1" t="n">
        <v>44838.44738425926</v>
      </c>
      <c r="C23" s="1" t="n">
        <v>46158</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60925-2024</t>
        </is>
      </c>
      <c r="B24" s="1" t="n">
        <v>45645.3550462963</v>
      </c>
      <c r="C24" s="1" t="n">
        <v>46158</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40613-2025</t>
        </is>
      </c>
      <c r="B25" s="1" t="n">
        <v>45896</v>
      </c>
      <c r="C25" s="1" t="n">
        <v>46158</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54523-2024</t>
        </is>
      </c>
      <c r="B26" s="1" t="n">
        <v>45617</v>
      </c>
      <c r="C26" s="1" t="n">
        <v>46158</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46158</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4619-2025</t>
        </is>
      </c>
      <c r="B28" s="1" t="n">
        <v>45687</v>
      </c>
      <c r="C28" s="1" t="n">
        <v>46158</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9289-2025</t>
        </is>
      </c>
      <c r="B29" s="1" t="n">
        <v>45714</v>
      </c>
      <c r="C29" s="1" t="n">
        <v>46158</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46158</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46158</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36690-2025</t>
        </is>
      </c>
      <c r="B32" s="1" t="n">
        <v>45873.42915509259</v>
      </c>
      <c r="C32" s="1" t="n">
        <v>46158</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57533-2025</t>
        </is>
      </c>
      <c r="B33" s="1" t="n">
        <v>45980.63923611111</v>
      </c>
      <c r="C33" s="1" t="n">
        <v>46158</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13894-2026</t>
        </is>
      </c>
      <c r="B34" s="1" t="n">
        <v>46098</v>
      </c>
      <c r="C34" s="1" t="n">
        <v>46158</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16107-2025</t>
        </is>
      </c>
      <c r="B35" s="1" t="n">
        <v>45750.34537037037</v>
      </c>
      <c r="C35" s="1" t="n">
        <v>46158</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46158</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46158</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7862-2024</t>
        </is>
      </c>
      <c r="B38" s="1" t="n">
        <v>45348</v>
      </c>
      <c r="C38" s="1" t="n">
        <v>46158</v>
      </c>
      <c r="D38" t="inlineStr">
        <is>
          <t>SKÅNE LÄN</t>
        </is>
      </c>
      <c r="E38" t="inlineStr">
        <is>
          <t>HÄSSLEHOLM</t>
        </is>
      </c>
      <c r="G38" t="n">
        <v>5</v>
      </c>
      <c r="H38" t="n">
        <v>0</v>
      </c>
      <c r="I38" t="n">
        <v>1</v>
      </c>
      <c r="J38" t="n">
        <v>0</v>
      </c>
      <c r="K38" t="n">
        <v>0</v>
      </c>
      <c r="L38" t="n">
        <v>0</v>
      </c>
      <c r="M38" t="n">
        <v>0</v>
      </c>
      <c r="N38" t="n">
        <v>0</v>
      </c>
      <c r="O38" t="n">
        <v>0</v>
      </c>
      <c r="P38" t="n">
        <v>0</v>
      </c>
      <c r="Q38" t="n">
        <v>1</v>
      </c>
      <c r="R38" s="2" t="inlineStr">
        <is>
          <t>Stor revmossa</t>
        </is>
      </c>
      <c r="S38">
        <f>HYPERLINK("https://klasma.github.io/Logging_1293/artfynd/A 7862-2024 artfynd.xlsx", "A 7862-2024")</f>
        <v/>
      </c>
      <c r="T38">
        <f>HYPERLINK("https://klasma.github.io/Logging_1293/kartor/A 7862-2024 karta.png", "A 7862-2024")</f>
        <v/>
      </c>
      <c r="V38">
        <f>HYPERLINK("https://klasma.github.io/Logging_1293/klagomål/A 7862-2024 FSC-klagomål.docx", "A 7862-2024")</f>
        <v/>
      </c>
      <c r="W38">
        <f>HYPERLINK("https://klasma.github.io/Logging_1293/klagomålsmail/A 7862-2024 FSC-klagomål mail.docx", "A 7862-2024")</f>
        <v/>
      </c>
      <c r="X38">
        <f>HYPERLINK("https://klasma.github.io/Logging_1293/tillsyn/A 7862-2024 tillsynsbegäran.docx", "A 7862-2024")</f>
        <v/>
      </c>
      <c r="Y38">
        <f>HYPERLINK("https://klasma.github.io/Logging_1293/tillsynsmail/A 7862-2024 tillsynsbegäran mail.docx", "A 7862-2024")</f>
        <v/>
      </c>
    </row>
    <row r="39" ht="15" customHeight="1">
      <c r="A39" t="inlineStr">
        <is>
          <t>A 20280-2025</t>
        </is>
      </c>
      <c r="B39" s="1" t="n">
        <v>45774.38790509259</v>
      </c>
      <c r="C39" s="1" t="n">
        <v>46158</v>
      </c>
      <c r="D39" t="inlineStr">
        <is>
          <t>SKÅNE LÄN</t>
        </is>
      </c>
      <c r="E39" t="inlineStr">
        <is>
          <t>HÄSSLEHOLM</t>
        </is>
      </c>
      <c r="G39" t="n">
        <v>3</v>
      </c>
      <c r="H39" t="n">
        <v>0</v>
      </c>
      <c r="I39" t="n">
        <v>0</v>
      </c>
      <c r="J39" t="n">
        <v>0</v>
      </c>
      <c r="K39" t="n">
        <v>1</v>
      </c>
      <c r="L39" t="n">
        <v>0</v>
      </c>
      <c r="M39" t="n">
        <v>0</v>
      </c>
      <c r="N39" t="n">
        <v>0</v>
      </c>
      <c r="O39" t="n">
        <v>1</v>
      </c>
      <c r="P39" t="n">
        <v>1</v>
      </c>
      <c r="Q39" t="n">
        <v>1</v>
      </c>
      <c r="R39" s="2" t="inlineStr">
        <is>
          <t>Revig blodrot</t>
        </is>
      </c>
      <c r="S39">
        <f>HYPERLINK("https://klasma.github.io/Logging_1293/artfynd/A 20280-2025 artfynd.xlsx", "A 20280-2025")</f>
        <v/>
      </c>
      <c r="T39">
        <f>HYPERLINK("https://klasma.github.io/Logging_1293/kartor/A 20280-2025 karta.png", "A 20280-2025")</f>
        <v/>
      </c>
      <c r="V39">
        <f>HYPERLINK("https://klasma.github.io/Logging_1293/klagomål/A 20280-2025 FSC-klagomål.docx", "A 20280-2025")</f>
        <v/>
      </c>
      <c r="W39">
        <f>HYPERLINK("https://klasma.github.io/Logging_1293/klagomålsmail/A 20280-2025 FSC-klagomål mail.docx", "A 20280-2025")</f>
        <v/>
      </c>
      <c r="X39">
        <f>HYPERLINK("https://klasma.github.io/Logging_1293/tillsyn/A 20280-2025 tillsynsbegäran.docx", "A 20280-2025")</f>
        <v/>
      </c>
      <c r="Y39">
        <f>HYPERLINK("https://klasma.github.io/Logging_1293/tillsynsmail/A 20280-2025 tillsynsbegäran mail.docx", "A 20280-2025")</f>
        <v/>
      </c>
    </row>
    <row r="40" ht="15" customHeight="1">
      <c r="A40" t="inlineStr">
        <is>
          <t>A 61707-2024</t>
        </is>
      </c>
      <c r="B40" s="1" t="n">
        <v>45648.61747685185</v>
      </c>
      <c r="C40" s="1" t="n">
        <v>46158</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6634-2024</t>
        </is>
      </c>
      <c r="B41" s="1" t="n">
        <v>45341</v>
      </c>
      <c r="C41" s="1" t="n">
        <v>46158</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37457-2022</t>
        </is>
      </c>
      <c r="B42" s="1" t="n">
        <v>44809</v>
      </c>
      <c r="C42" s="1" t="n">
        <v>46158</v>
      </c>
      <c r="D42" t="inlineStr">
        <is>
          <t>SKÅNE LÄN</t>
        </is>
      </c>
      <c r="E42" t="inlineStr">
        <is>
          <t>HÄSSLEHOLM</t>
        </is>
      </c>
      <c r="G42" t="n">
        <v>2.4</v>
      </c>
      <c r="H42" t="n">
        <v>0</v>
      </c>
      <c r="I42" t="n">
        <v>0</v>
      </c>
      <c r="J42" t="n">
        <v>0</v>
      </c>
      <c r="K42" t="n">
        <v>0</v>
      </c>
      <c r="L42" t="n">
        <v>0</v>
      </c>
      <c r="M42" t="n">
        <v>0</v>
      </c>
      <c r="N42" t="n">
        <v>0</v>
      </c>
      <c r="O42" t="n">
        <v>0</v>
      </c>
      <c r="P42" t="n">
        <v>0</v>
      </c>
      <c r="Q42" t="n">
        <v>0</v>
      </c>
      <c r="R42" s="2" t="inlineStr"/>
    </row>
    <row r="43" ht="15" customHeight="1">
      <c r="A43" t="inlineStr">
        <is>
          <t>A 55618-2022</t>
        </is>
      </c>
      <c r="B43" s="1" t="n">
        <v>44883</v>
      </c>
      <c r="C43" s="1" t="n">
        <v>46158</v>
      </c>
      <c r="D43" t="inlineStr">
        <is>
          <t>SKÅNE LÄN</t>
        </is>
      </c>
      <c r="E43" t="inlineStr">
        <is>
          <t>HÄSSLEHOLM</t>
        </is>
      </c>
      <c r="F43" t="inlineStr">
        <is>
          <t>Övriga Aktiebolag</t>
        </is>
      </c>
      <c r="G43" t="n">
        <v>0.7</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46158</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46158</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46158</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46158</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46158</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46158</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46158</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46158</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46158</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46158</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46158</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46158</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46158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46158</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46158</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46158</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49324-2021</t>
        </is>
      </c>
      <c r="B60" s="1" t="n">
        <v>44454.55060185185</v>
      </c>
      <c r="C60" s="1" t="n">
        <v>46158</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46158</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46158</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24496-2021</t>
        </is>
      </c>
      <c r="B63" s="1" t="n">
        <v>44337</v>
      </c>
      <c r="C63" s="1" t="n">
        <v>46158</v>
      </c>
      <c r="D63" t="inlineStr">
        <is>
          <t>SKÅNE LÄN</t>
        </is>
      </c>
      <c r="E63" t="inlineStr">
        <is>
          <t>HÄSSLEHOLM</t>
        </is>
      </c>
      <c r="G63" t="n">
        <v>0.9</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46158</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46158</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46158</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46158</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46158</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46158</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46158</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46158</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46158</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46158</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46158</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46158</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46158</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46158</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46158</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46158</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46158</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46158</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46158</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46158</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46158</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46158</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46158</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46158</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46158</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46158</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46158</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46158</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46158</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46158</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46158</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46158</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30879-2021</t>
        </is>
      </c>
      <c r="B96" s="1" t="n">
        <v>44365</v>
      </c>
      <c r="C96" s="1" t="n">
        <v>46158</v>
      </c>
      <c r="D96" t="inlineStr">
        <is>
          <t>SKÅNE LÄN</t>
        </is>
      </c>
      <c r="E96" t="inlineStr">
        <is>
          <t>HÄSSLEHOLM</t>
        </is>
      </c>
      <c r="G96" t="n">
        <v>1</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46158</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46158</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46158</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46158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46158</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46158</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45349-2022</t>
        </is>
      </c>
      <c r="B103" s="1" t="n">
        <v>44844.6118287037</v>
      </c>
      <c r="C103" s="1" t="n">
        <v>46158</v>
      </c>
      <c r="D103" t="inlineStr">
        <is>
          <t>SKÅNE LÄN</t>
        </is>
      </c>
      <c r="E103" t="inlineStr">
        <is>
          <t>HÄSSLEHOLM</t>
        </is>
      </c>
      <c r="G103" t="n">
        <v>6.2</v>
      </c>
      <c r="H103" t="n">
        <v>0</v>
      </c>
      <c r="I103" t="n">
        <v>0</v>
      </c>
      <c r="J103" t="n">
        <v>0</v>
      </c>
      <c r="K103" t="n">
        <v>0</v>
      </c>
      <c r="L103" t="n">
        <v>0</v>
      </c>
      <c r="M103" t="n">
        <v>0</v>
      </c>
      <c r="N103" t="n">
        <v>0</v>
      </c>
      <c r="O103" t="n">
        <v>0</v>
      </c>
      <c r="P103" t="n">
        <v>0</v>
      </c>
      <c r="Q103" t="n">
        <v>0</v>
      </c>
      <c r="R103" s="2" t="inlineStr"/>
    </row>
    <row r="104" ht="15" customHeight="1">
      <c r="A104" t="inlineStr">
        <is>
          <t>A 15118-2022</t>
        </is>
      </c>
      <c r="B104" s="1" t="n">
        <v>44659</v>
      </c>
      <c r="C104" s="1" t="n">
        <v>46158</v>
      </c>
      <c r="D104" t="inlineStr">
        <is>
          <t>SKÅNE LÄN</t>
        </is>
      </c>
      <c r="E104" t="inlineStr">
        <is>
          <t>HÄSSLEHOLM</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46158</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43639-2021</t>
        </is>
      </c>
      <c r="B106" s="1" t="n">
        <v>44433</v>
      </c>
      <c r="C106" s="1" t="n">
        <v>46158</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74293-2021</t>
        </is>
      </c>
      <c r="B107" s="1" t="n">
        <v>44558</v>
      </c>
      <c r="C107" s="1" t="n">
        <v>46158</v>
      </c>
      <c r="D107" t="inlineStr">
        <is>
          <t>SKÅNE LÄN</t>
        </is>
      </c>
      <c r="E107" t="inlineStr">
        <is>
          <t>HÄSSLEHOLM</t>
        </is>
      </c>
      <c r="F107" t="inlineStr">
        <is>
          <t>Kyrkan</t>
        </is>
      </c>
      <c r="G107" t="n">
        <v>3.3</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46158</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46158</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46158</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46158</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46158</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34027-2021</t>
        </is>
      </c>
      <c r="B113" s="1" t="n">
        <v>44379</v>
      </c>
      <c r="C113" s="1" t="n">
        <v>46158</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32792-2021</t>
        </is>
      </c>
      <c r="B114" s="1" t="n">
        <v>44375</v>
      </c>
      <c r="C114" s="1" t="n">
        <v>46158</v>
      </c>
      <c r="D114" t="inlineStr">
        <is>
          <t>SKÅNE LÄN</t>
        </is>
      </c>
      <c r="E114" t="inlineStr">
        <is>
          <t>HÄSSLEHOLM</t>
        </is>
      </c>
      <c r="G114" t="n">
        <v>1</v>
      </c>
      <c r="H114" t="n">
        <v>0</v>
      </c>
      <c r="I114" t="n">
        <v>0</v>
      </c>
      <c r="J114" t="n">
        <v>0</v>
      </c>
      <c r="K114" t="n">
        <v>0</v>
      </c>
      <c r="L114" t="n">
        <v>0</v>
      </c>
      <c r="M114" t="n">
        <v>0</v>
      </c>
      <c r="N114" t="n">
        <v>0</v>
      </c>
      <c r="O114" t="n">
        <v>0</v>
      </c>
      <c r="P114" t="n">
        <v>0</v>
      </c>
      <c r="Q114" t="n">
        <v>0</v>
      </c>
      <c r="R114" s="2" t="inlineStr"/>
    </row>
    <row r="115" ht="15" customHeight="1">
      <c r="A115" t="inlineStr">
        <is>
          <t>A 3167-2022</t>
        </is>
      </c>
      <c r="B115" s="1" t="n">
        <v>44582</v>
      </c>
      <c r="C115" s="1" t="n">
        <v>46158</v>
      </c>
      <c r="D115" t="inlineStr">
        <is>
          <t>SKÅNE LÄN</t>
        </is>
      </c>
      <c r="E115" t="inlineStr">
        <is>
          <t>HÄSSLEHOLM</t>
        </is>
      </c>
      <c r="F115" t="inlineStr">
        <is>
          <t>Kommuner</t>
        </is>
      </c>
      <c r="G115" t="n">
        <v>1.5</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46158</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34679-2021</t>
        </is>
      </c>
      <c r="B117" s="1" t="n">
        <v>44382</v>
      </c>
      <c r="C117" s="1" t="n">
        <v>46158</v>
      </c>
      <c r="D117" t="inlineStr">
        <is>
          <t>SKÅNE LÄN</t>
        </is>
      </c>
      <c r="E117" t="inlineStr">
        <is>
          <t>HÄSSLEHOLM</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46158</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46158</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46158</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64607-2021</t>
        </is>
      </c>
      <c r="B121" s="1" t="n">
        <v>44511</v>
      </c>
      <c r="C121" s="1" t="n">
        <v>46158</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2631-2022</t>
        </is>
      </c>
      <c r="B122" s="1" t="n">
        <v>44580</v>
      </c>
      <c r="C122" s="1" t="n">
        <v>46158</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15423-2022</t>
        </is>
      </c>
      <c r="B123" s="1" t="n">
        <v>44659</v>
      </c>
      <c r="C123" s="1" t="n">
        <v>46158</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56989-2021</t>
        </is>
      </c>
      <c r="B124" s="1" t="n">
        <v>44482</v>
      </c>
      <c r="C124" s="1" t="n">
        <v>46158</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25383-2021</t>
        </is>
      </c>
      <c r="B125" s="1" t="n">
        <v>44342</v>
      </c>
      <c r="C125" s="1" t="n">
        <v>46158</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51159-2021</t>
        </is>
      </c>
      <c r="B126" s="1" t="n">
        <v>44461</v>
      </c>
      <c r="C126" s="1" t="n">
        <v>46158</v>
      </c>
      <c r="D126" t="inlineStr">
        <is>
          <t>SKÅNE LÄN</t>
        </is>
      </c>
      <c r="E126" t="inlineStr">
        <is>
          <t>HÄSSLEHOLM</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46158</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46158</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32892-2021</t>
        </is>
      </c>
      <c r="B129" s="1" t="n">
        <v>44375</v>
      </c>
      <c r="C129" s="1" t="n">
        <v>46158</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39102-2022</t>
        </is>
      </c>
      <c r="B130" s="1" t="n">
        <v>44817.43260416666</v>
      </c>
      <c r="C130" s="1" t="n">
        <v>46158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47112-2021</t>
        </is>
      </c>
      <c r="B131" s="1" t="n">
        <v>44446</v>
      </c>
      <c r="C131" s="1" t="n">
        <v>46158</v>
      </c>
      <c r="D131" t="inlineStr">
        <is>
          <t>SKÅNE LÄN</t>
        </is>
      </c>
      <c r="E131" t="inlineStr">
        <is>
          <t>HÄSSLEHOLM</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6414-2022</t>
        </is>
      </c>
      <c r="B132" s="1" t="n">
        <v>44600</v>
      </c>
      <c r="C132" s="1" t="n">
        <v>46158</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56431-2021</t>
        </is>
      </c>
      <c r="B133" s="1" t="n">
        <v>44480</v>
      </c>
      <c r="C133" s="1" t="n">
        <v>46158</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52567-2021</t>
        </is>
      </c>
      <c r="B134" s="1" t="n">
        <v>44466</v>
      </c>
      <c r="C134" s="1" t="n">
        <v>46158</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74297-2021</t>
        </is>
      </c>
      <c r="B135" s="1" t="n">
        <v>44558</v>
      </c>
      <c r="C135" s="1" t="n">
        <v>46158</v>
      </c>
      <c r="D135" t="inlineStr">
        <is>
          <t>SKÅNE LÄN</t>
        </is>
      </c>
      <c r="E135" t="inlineStr">
        <is>
          <t>HÄSSLEHOLM</t>
        </is>
      </c>
      <c r="F135" t="inlineStr">
        <is>
          <t>Kyrkan</t>
        </is>
      </c>
      <c r="G135" t="n">
        <v>3.8</v>
      </c>
      <c r="H135" t="n">
        <v>0</v>
      </c>
      <c r="I135" t="n">
        <v>0</v>
      </c>
      <c r="J135" t="n">
        <v>0</v>
      </c>
      <c r="K135" t="n">
        <v>0</v>
      </c>
      <c r="L135" t="n">
        <v>0</v>
      </c>
      <c r="M135" t="n">
        <v>0</v>
      </c>
      <c r="N135" t="n">
        <v>0</v>
      </c>
      <c r="O135" t="n">
        <v>0</v>
      </c>
      <c r="P135" t="n">
        <v>0</v>
      </c>
      <c r="Q135" t="n">
        <v>0</v>
      </c>
      <c r="R135" s="2" t="inlineStr"/>
    </row>
    <row r="136" ht="15" customHeight="1">
      <c r="A136" t="inlineStr">
        <is>
          <t>A 52295-2021</t>
        </is>
      </c>
      <c r="B136" s="1" t="n">
        <v>44463</v>
      </c>
      <c r="C136" s="1" t="n">
        <v>46158</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68909-2021</t>
        </is>
      </c>
      <c r="B137" s="1" t="n">
        <v>44530.46730324074</v>
      </c>
      <c r="C137" s="1" t="n">
        <v>46158</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5091-2022</t>
        </is>
      </c>
      <c r="B138" s="1" t="n">
        <v>44593.85114583333</v>
      </c>
      <c r="C138" s="1" t="n">
        <v>46158</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60260-2021</t>
        </is>
      </c>
      <c r="B139" s="1" t="n">
        <v>44495</v>
      </c>
      <c r="C139" s="1" t="n">
        <v>46158</v>
      </c>
      <c r="D139" t="inlineStr">
        <is>
          <t>SKÅNE LÄN</t>
        </is>
      </c>
      <c r="E139" t="inlineStr">
        <is>
          <t>HÄSSLEHOLM</t>
        </is>
      </c>
      <c r="G139" t="n">
        <v>2.1</v>
      </c>
      <c r="H139" t="n">
        <v>0</v>
      </c>
      <c r="I139" t="n">
        <v>0</v>
      </c>
      <c r="J139" t="n">
        <v>0</v>
      </c>
      <c r="K139" t="n">
        <v>0</v>
      </c>
      <c r="L139" t="n">
        <v>0</v>
      </c>
      <c r="M139" t="n">
        <v>0</v>
      </c>
      <c r="N139" t="n">
        <v>0</v>
      </c>
      <c r="O139" t="n">
        <v>0</v>
      </c>
      <c r="P139" t="n">
        <v>0</v>
      </c>
      <c r="Q139" t="n">
        <v>0</v>
      </c>
      <c r="R139" s="2" t="inlineStr"/>
    </row>
    <row r="140" ht="15" customHeight="1">
      <c r="A140" t="inlineStr">
        <is>
          <t>A 15986-2022</t>
        </is>
      </c>
      <c r="B140" s="1" t="n">
        <v>44664</v>
      </c>
      <c r="C140" s="1" t="n">
        <v>46158</v>
      </c>
      <c r="D140" t="inlineStr">
        <is>
          <t>SKÅNE LÄN</t>
        </is>
      </c>
      <c r="E140" t="inlineStr">
        <is>
          <t>HÄSSLEHOLM</t>
        </is>
      </c>
      <c r="F140" t="inlineStr">
        <is>
          <t>Kyrkan</t>
        </is>
      </c>
      <c r="G140" t="n">
        <v>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46158</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51888-2021</t>
        </is>
      </c>
      <c r="B142" s="1" t="n">
        <v>44462</v>
      </c>
      <c r="C142" s="1" t="n">
        <v>46158</v>
      </c>
      <c r="D142" t="inlineStr">
        <is>
          <t>SKÅNE LÄN</t>
        </is>
      </c>
      <c r="E142" t="inlineStr">
        <is>
          <t>HÄSSLEHOLM</t>
        </is>
      </c>
      <c r="G142" t="n">
        <v>5.6</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46158</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44669-2022</t>
        </is>
      </c>
      <c r="B144" s="1" t="n">
        <v>44840</v>
      </c>
      <c r="C144" s="1" t="n">
        <v>46158</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26386-2022</t>
        </is>
      </c>
      <c r="B145" s="1" t="n">
        <v>44735.6803125</v>
      </c>
      <c r="C145" s="1" t="n">
        <v>46158</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25469-2022</t>
        </is>
      </c>
      <c r="B146" s="1" t="n">
        <v>44732</v>
      </c>
      <c r="C146" s="1" t="n">
        <v>46158</v>
      </c>
      <c r="D146" t="inlineStr">
        <is>
          <t>SKÅNE LÄN</t>
        </is>
      </c>
      <c r="E146" t="inlineStr">
        <is>
          <t>HÄSSLEHOLM</t>
        </is>
      </c>
      <c r="G146" t="n">
        <v>4.2</v>
      </c>
      <c r="H146" t="n">
        <v>0</v>
      </c>
      <c r="I146" t="n">
        <v>0</v>
      </c>
      <c r="J146" t="n">
        <v>0</v>
      </c>
      <c r="K146" t="n">
        <v>0</v>
      </c>
      <c r="L146" t="n">
        <v>0</v>
      </c>
      <c r="M146" t="n">
        <v>0</v>
      </c>
      <c r="N146" t="n">
        <v>0</v>
      </c>
      <c r="O146" t="n">
        <v>0</v>
      </c>
      <c r="P146" t="n">
        <v>0</v>
      </c>
      <c r="Q146" t="n">
        <v>0</v>
      </c>
      <c r="R146" s="2" t="inlineStr"/>
    </row>
    <row r="147" ht="15" customHeight="1">
      <c r="A147" t="inlineStr">
        <is>
          <t>A 73513-2021</t>
        </is>
      </c>
      <c r="B147" s="1" t="n">
        <v>44551.69012731482</v>
      </c>
      <c r="C147" s="1" t="n">
        <v>46158</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2858-2022</t>
        </is>
      </c>
      <c r="B148" s="1" t="n">
        <v>44581</v>
      </c>
      <c r="C148" s="1" t="n">
        <v>46158</v>
      </c>
      <c r="D148" t="inlineStr">
        <is>
          <t>SKÅNE LÄN</t>
        </is>
      </c>
      <c r="E148" t="inlineStr">
        <is>
          <t>HÄSSLEHOLM</t>
        </is>
      </c>
      <c r="F148" t="inlineStr">
        <is>
          <t>Övriga Aktiebolag</t>
        </is>
      </c>
      <c r="G148" t="n">
        <v>1.3</v>
      </c>
      <c r="H148" t="n">
        <v>0</v>
      </c>
      <c r="I148" t="n">
        <v>0</v>
      </c>
      <c r="J148" t="n">
        <v>0</v>
      </c>
      <c r="K148" t="n">
        <v>0</v>
      </c>
      <c r="L148" t="n">
        <v>0</v>
      </c>
      <c r="M148" t="n">
        <v>0</v>
      </c>
      <c r="N148" t="n">
        <v>0</v>
      </c>
      <c r="O148" t="n">
        <v>0</v>
      </c>
      <c r="P148" t="n">
        <v>0</v>
      </c>
      <c r="Q148" t="n">
        <v>0</v>
      </c>
      <c r="R148" s="2" t="inlineStr"/>
    </row>
    <row r="149" ht="15" customHeight="1">
      <c r="A149" t="inlineStr">
        <is>
          <t>A 27959-2022</t>
        </is>
      </c>
      <c r="B149" s="1" t="n">
        <v>44744</v>
      </c>
      <c r="C149" s="1" t="n">
        <v>46158</v>
      </c>
      <c r="D149" t="inlineStr">
        <is>
          <t>SKÅNE LÄN</t>
        </is>
      </c>
      <c r="E149" t="inlineStr">
        <is>
          <t>HÄSSLEHOLM</t>
        </is>
      </c>
      <c r="G149" t="n">
        <v>3</v>
      </c>
      <c r="H149" t="n">
        <v>0</v>
      </c>
      <c r="I149" t="n">
        <v>0</v>
      </c>
      <c r="J149" t="n">
        <v>0</v>
      </c>
      <c r="K149" t="n">
        <v>0</v>
      </c>
      <c r="L149" t="n">
        <v>0</v>
      </c>
      <c r="M149" t="n">
        <v>0</v>
      </c>
      <c r="N149" t="n">
        <v>0</v>
      </c>
      <c r="O149" t="n">
        <v>0</v>
      </c>
      <c r="P149" t="n">
        <v>0</v>
      </c>
      <c r="Q149" t="n">
        <v>0</v>
      </c>
      <c r="R149" s="2" t="inlineStr"/>
    </row>
    <row r="150" ht="15" customHeight="1">
      <c r="A150" t="inlineStr">
        <is>
          <t>A 418-2022</t>
        </is>
      </c>
      <c r="B150" s="1" t="n">
        <v>44565.84958333334</v>
      </c>
      <c r="C150" s="1" t="n">
        <v>46158</v>
      </c>
      <c r="D150" t="inlineStr">
        <is>
          <t>SKÅNE LÄN</t>
        </is>
      </c>
      <c r="E150" t="inlineStr">
        <is>
          <t>HÄSSLEHOLM</t>
        </is>
      </c>
      <c r="G150" t="n">
        <v>0</v>
      </c>
      <c r="H150" t="n">
        <v>0</v>
      </c>
      <c r="I150" t="n">
        <v>0</v>
      </c>
      <c r="J150" t="n">
        <v>0</v>
      </c>
      <c r="K150" t="n">
        <v>0</v>
      </c>
      <c r="L150" t="n">
        <v>0</v>
      </c>
      <c r="M150" t="n">
        <v>0</v>
      </c>
      <c r="N150" t="n">
        <v>0</v>
      </c>
      <c r="O150" t="n">
        <v>0</v>
      </c>
      <c r="P150" t="n">
        <v>0</v>
      </c>
      <c r="Q150" t="n">
        <v>0</v>
      </c>
      <c r="R150" s="2" t="inlineStr"/>
    </row>
    <row r="151" ht="15" customHeight="1">
      <c r="A151" t="inlineStr">
        <is>
          <t>A 23830-2021</t>
        </is>
      </c>
      <c r="B151" s="1" t="n">
        <v>44335</v>
      </c>
      <c r="C151" s="1" t="n">
        <v>46158</v>
      </c>
      <c r="D151" t="inlineStr">
        <is>
          <t>SKÅNE LÄN</t>
        </is>
      </c>
      <c r="E151" t="inlineStr">
        <is>
          <t>HÄSSLEHOLM</t>
        </is>
      </c>
      <c r="G151" t="n">
        <v>18.7</v>
      </c>
      <c r="H151" t="n">
        <v>0</v>
      </c>
      <c r="I151" t="n">
        <v>0</v>
      </c>
      <c r="J151" t="n">
        <v>0</v>
      </c>
      <c r="K151" t="n">
        <v>0</v>
      </c>
      <c r="L151" t="n">
        <v>0</v>
      </c>
      <c r="M151" t="n">
        <v>0</v>
      </c>
      <c r="N151" t="n">
        <v>0</v>
      </c>
      <c r="O151" t="n">
        <v>0</v>
      </c>
      <c r="P151" t="n">
        <v>0</v>
      </c>
      <c r="Q151" t="n">
        <v>0</v>
      </c>
      <c r="R151" s="2" t="inlineStr"/>
    </row>
    <row r="152" ht="15" customHeight="1">
      <c r="A152" t="inlineStr">
        <is>
          <t>A 51893-2021</t>
        </is>
      </c>
      <c r="B152" s="1" t="n">
        <v>44462</v>
      </c>
      <c r="C152" s="1" t="n">
        <v>46158</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55394-2022</t>
        </is>
      </c>
      <c r="B153" s="1" t="n">
        <v>44887.57112268519</v>
      </c>
      <c r="C153" s="1" t="n">
        <v>46158</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45357-2022</t>
        </is>
      </c>
      <c r="B154" s="1" t="n">
        <v>44844.61952546296</v>
      </c>
      <c r="C154" s="1" t="n">
        <v>46158</v>
      </c>
      <c r="D154" t="inlineStr">
        <is>
          <t>SKÅNE LÄN</t>
        </is>
      </c>
      <c r="E154" t="inlineStr">
        <is>
          <t>HÄSSLEHOLM</t>
        </is>
      </c>
      <c r="G154" t="n">
        <v>5.8</v>
      </c>
      <c r="H154" t="n">
        <v>0</v>
      </c>
      <c r="I154" t="n">
        <v>0</v>
      </c>
      <c r="J154" t="n">
        <v>0</v>
      </c>
      <c r="K154" t="n">
        <v>0</v>
      </c>
      <c r="L154" t="n">
        <v>0</v>
      </c>
      <c r="M154" t="n">
        <v>0</v>
      </c>
      <c r="N154" t="n">
        <v>0</v>
      </c>
      <c r="O154" t="n">
        <v>0</v>
      </c>
      <c r="P154" t="n">
        <v>0</v>
      </c>
      <c r="Q154" t="n">
        <v>0</v>
      </c>
      <c r="R154" s="2" t="inlineStr"/>
    </row>
    <row r="155" ht="15" customHeight="1">
      <c r="A155" t="inlineStr">
        <is>
          <t>A 45989-2021</t>
        </is>
      </c>
      <c r="B155" s="1" t="n">
        <v>44441.74627314815</v>
      </c>
      <c r="C155" s="1" t="n">
        <v>46158</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7904-2022</t>
        </is>
      </c>
      <c r="B156" s="1" t="n">
        <v>44607</v>
      </c>
      <c r="C156" s="1" t="n">
        <v>46158</v>
      </c>
      <c r="D156" t="inlineStr">
        <is>
          <t>SKÅNE LÄN</t>
        </is>
      </c>
      <c r="E156" t="inlineStr">
        <is>
          <t>HÄSSLEHOLM</t>
        </is>
      </c>
      <c r="F156" t="inlineStr">
        <is>
          <t>Kyrkan</t>
        </is>
      </c>
      <c r="G156" t="n">
        <v>3.9</v>
      </c>
      <c r="H156" t="n">
        <v>0</v>
      </c>
      <c r="I156" t="n">
        <v>0</v>
      </c>
      <c r="J156" t="n">
        <v>0</v>
      </c>
      <c r="K156" t="n">
        <v>0</v>
      </c>
      <c r="L156" t="n">
        <v>0</v>
      </c>
      <c r="M156" t="n">
        <v>0</v>
      </c>
      <c r="N156" t="n">
        <v>0</v>
      </c>
      <c r="O156" t="n">
        <v>0</v>
      </c>
      <c r="P156" t="n">
        <v>0</v>
      </c>
      <c r="Q156" t="n">
        <v>0</v>
      </c>
      <c r="R156" s="2" t="inlineStr"/>
    </row>
    <row r="157" ht="15" customHeight="1">
      <c r="A157" t="inlineStr">
        <is>
          <t>A 51895-2021</t>
        </is>
      </c>
      <c r="B157" s="1" t="n">
        <v>44462</v>
      </c>
      <c r="C157" s="1" t="n">
        <v>46158</v>
      </c>
      <c r="D157" t="inlineStr">
        <is>
          <t>SKÅNE LÄN</t>
        </is>
      </c>
      <c r="E157" t="inlineStr">
        <is>
          <t>HÄSSLEHOLM</t>
        </is>
      </c>
      <c r="G157" t="n">
        <v>5.7</v>
      </c>
      <c r="H157" t="n">
        <v>0</v>
      </c>
      <c r="I157" t="n">
        <v>0</v>
      </c>
      <c r="J157" t="n">
        <v>0</v>
      </c>
      <c r="K157" t="n">
        <v>0</v>
      </c>
      <c r="L157" t="n">
        <v>0</v>
      </c>
      <c r="M157" t="n">
        <v>0</v>
      </c>
      <c r="N157" t="n">
        <v>0</v>
      </c>
      <c r="O157" t="n">
        <v>0</v>
      </c>
      <c r="P157" t="n">
        <v>0</v>
      </c>
      <c r="Q157" t="n">
        <v>0</v>
      </c>
      <c r="R157" s="2" t="inlineStr"/>
    </row>
    <row r="158" ht="15" customHeight="1">
      <c r="A158" t="inlineStr">
        <is>
          <t>A 7250-2022</t>
        </is>
      </c>
      <c r="B158" s="1" t="n">
        <v>44606</v>
      </c>
      <c r="C158" s="1" t="n">
        <v>46158</v>
      </c>
      <c r="D158" t="inlineStr">
        <is>
          <t>SKÅNE LÄN</t>
        </is>
      </c>
      <c r="E158" t="inlineStr">
        <is>
          <t>HÄSSLEHOLM</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219-2022</t>
        </is>
      </c>
      <c r="B159" s="1" t="n">
        <v>44564</v>
      </c>
      <c r="C159" s="1" t="n">
        <v>46158</v>
      </c>
      <c r="D159" t="inlineStr">
        <is>
          <t>SKÅNE LÄN</t>
        </is>
      </c>
      <c r="E159" t="inlineStr">
        <is>
          <t>HÄSSLEHOLM</t>
        </is>
      </c>
      <c r="G159" t="n">
        <v>0.8</v>
      </c>
      <c r="H159" t="n">
        <v>0</v>
      </c>
      <c r="I159" t="n">
        <v>0</v>
      </c>
      <c r="J159" t="n">
        <v>0</v>
      </c>
      <c r="K159" t="n">
        <v>0</v>
      </c>
      <c r="L159" t="n">
        <v>0</v>
      </c>
      <c r="M159" t="n">
        <v>0</v>
      </c>
      <c r="N159" t="n">
        <v>0</v>
      </c>
      <c r="O159" t="n">
        <v>0</v>
      </c>
      <c r="P159" t="n">
        <v>0</v>
      </c>
      <c r="Q159" t="n">
        <v>0</v>
      </c>
      <c r="R159" s="2" t="inlineStr"/>
    </row>
    <row r="160" ht="15" customHeight="1">
      <c r="A160" t="inlineStr">
        <is>
          <t>A 6048-2022</t>
        </is>
      </c>
      <c r="B160" s="1" t="n">
        <v>44599.5174537037</v>
      </c>
      <c r="C160" s="1" t="n">
        <v>46158</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55412-2022</t>
        </is>
      </c>
      <c r="B161" s="1" t="n">
        <v>44882</v>
      </c>
      <c r="C161" s="1" t="n">
        <v>46158</v>
      </c>
      <c r="D161" t="inlineStr">
        <is>
          <t>SKÅNE LÄN</t>
        </is>
      </c>
      <c r="E161" t="inlineStr">
        <is>
          <t>HÄSSLEHOLM</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53576-2022</t>
        </is>
      </c>
      <c r="B162" s="1" t="n">
        <v>44875</v>
      </c>
      <c r="C162" s="1" t="n">
        <v>46158</v>
      </c>
      <c r="D162" t="inlineStr">
        <is>
          <t>SKÅNE LÄN</t>
        </is>
      </c>
      <c r="E162" t="inlineStr">
        <is>
          <t>HÄSSLEHOLM</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6253-2022</t>
        </is>
      </c>
      <c r="B163" s="1" t="n">
        <v>44600</v>
      </c>
      <c r="C163" s="1" t="n">
        <v>46158</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7262-2022</t>
        </is>
      </c>
      <c r="B164" s="1" t="n">
        <v>44606</v>
      </c>
      <c r="C164" s="1" t="n">
        <v>46158</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64826-2021</t>
        </is>
      </c>
      <c r="B165" s="1" t="n">
        <v>44512.55935185185</v>
      </c>
      <c r="C165" s="1" t="n">
        <v>46158</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23967-2022</t>
        </is>
      </c>
      <c r="B166" s="1" t="n">
        <v>44722.74079861111</v>
      </c>
      <c r="C166" s="1" t="n">
        <v>46158</v>
      </c>
      <c r="D166" t="inlineStr">
        <is>
          <t>SKÅNE LÄN</t>
        </is>
      </c>
      <c r="E166" t="inlineStr">
        <is>
          <t>HÄSSLEHOLM</t>
        </is>
      </c>
      <c r="F166" t="inlineStr">
        <is>
          <t>Kyrkan</t>
        </is>
      </c>
      <c r="G166" t="n">
        <v>12.4</v>
      </c>
      <c r="H166" t="n">
        <v>0</v>
      </c>
      <c r="I166" t="n">
        <v>0</v>
      </c>
      <c r="J166" t="n">
        <v>0</v>
      </c>
      <c r="K166" t="n">
        <v>0</v>
      </c>
      <c r="L166" t="n">
        <v>0</v>
      </c>
      <c r="M166" t="n">
        <v>0</v>
      </c>
      <c r="N166" t="n">
        <v>0</v>
      </c>
      <c r="O166" t="n">
        <v>0</v>
      </c>
      <c r="P166" t="n">
        <v>0</v>
      </c>
      <c r="Q166" t="n">
        <v>0</v>
      </c>
      <c r="R166" s="2" t="inlineStr"/>
    </row>
    <row r="167" ht="15" customHeight="1">
      <c r="A167" t="inlineStr">
        <is>
          <t>A 25464-2022</t>
        </is>
      </c>
      <c r="B167" s="1" t="n">
        <v>44729</v>
      </c>
      <c r="C167" s="1" t="n">
        <v>46158</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8177-2022</t>
        </is>
      </c>
      <c r="B168" s="1" t="n">
        <v>44607</v>
      </c>
      <c r="C168" s="1" t="n">
        <v>46158</v>
      </c>
      <c r="D168" t="inlineStr">
        <is>
          <t>SKÅNE LÄN</t>
        </is>
      </c>
      <c r="E168" t="inlineStr">
        <is>
          <t>HÄSSLEHOLM</t>
        </is>
      </c>
      <c r="F168" t="inlineStr">
        <is>
          <t>Kyrkan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30344-2022</t>
        </is>
      </c>
      <c r="B169" s="1" t="n">
        <v>44760.50783564815</v>
      </c>
      <c r="C169" s="1" t="n">
        <v>46158</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56527-2021</t>
        </is>
      </c>
      <c r="B170" s="1" t="n">
        <v>44480</v>
      </c>
      <c r="C170" s="1" t="n">
        <v>46158</v>
      </c>
      <c r="D170" t="inlineStr">
        <is>
          <t>SKÅNE LÄN</t>
        </is>
      </c>
      <c r="E170" t="inlineStr">
        <is>
          <t>HÄSSLEHOLM</t>
        </is>
      </c>
      <c r="F170" t="inlineStr">
        <is>
          <t>Kyrkan</t>
        </is>
      </c>
      <c r="G170" t="n">
        <v>2.7</v>
      </c>
      <c r="H170" t="n">
        <v>0</v>
      </c>
      <c r="I170" t="n">
        <v>0</v>
      </c>
      <c r="J170" t="n">
        <v>0</v>
      </c>
      <c r="K170" t="n">
        <v>0</v>
      </c>
      <c r="L170" t="n">
        <v>0</v>
      </c>
      <c r="M170" t="n">
        <v>0</v>
      </c>
      <c r="N170" t="n">
        <v>0</v>
      </c>
      <c r="O170" t="n">
        <v>0</v>
      </c>
      <c r="P170" t="n">
        <v>0</v>
      </c>
      <c r="Q170" t="n">
        <v>0</v>
      </c>
      <c r="R170" s="2" t="inlineStr"/>
    </row>
    <row r="171" ht="15" customHeight="1">
      <c r="A171" t="inlineStr">
        <is>
          <t>A 25788-2021</t>
        </is>
      </c>
      <c r="B171" s="1" t="n">
        <v>44343</v>
      </c>
      <c r="C171" s="1" t="n">
        <v>46158</v>
      </c>
      <c r="D171" t="inlineStr">
        <is>
          <t>SKÅNE LÄN</t>
        </is>
      </c>
      <c r="E171" t="inlineStr">
        <is>
          <t>HÄSSLEHOLM</t>
        </is>
      </c>
      <c r="G171" t="n">
        <v>4.8</v>
      </c>
      <c r="H171" t="n">
        <v>0</v>
      </c>
      <c r="I171" t="n">
        <v>0</v>
      </c>
      <c r="J171" t="n">
        <v>0</v>
      </c>
      <c r="K171" t="n">
        <v>0</v>
      </c>
      <c r="L171" t="n">
        <v>0</v>
      </c>
      <c r="M171" t="n">
        <v>0</v>
      </c>
      <c r="N171" t="n">
        <v>0</v>
      </c>
      <c r="O171" t="n">
        <v>0</v>
      </c>
      <c r="P171" t="n">
        <v>0</v>
      </c>
      <c r="Q171" t="n">
        <v>0</v>
      </c>
      <c r="R171" s="2" t="inlineStr"/>
    </row>
    <row r="172" ht="15" customHeight="1">
      <c r="A172" t="inlineStr">
        <is>
          <t>A 3992-2022</t>
        </is>
      </c>
      <c r="B172" s="1" t="n">
        <v>44587</v>
      </c>
      <c r="C172" s="1" t="n">
        <v>46158</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25955-2022</t>
        </is>
      </c>
      <c r="B173" s="1" t="n">
        <v>44734</v>
      </c>
      <c r="C173" s="1" t="n">
        <v>46158</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20657-2022</t>
        </is>
      </c>
      <c r="B174" s="1" t="n">
        <v>44700</v>
      </c>
      <c r="C174" s="1" t="n">
        <v>46158</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7306-2025</t>
        </is>
      </c>
      <c r="B175" s="1" t="n">
        <v>45702</v>
      </c>
      <c r="C175" s="1" t="n">
        <v>46158</v>
      </c>
      <c r="D175" t="inlineStr">
        <is>
          <t>SKÅNE LÄN</t>
        </is>
      </c>
      <c r="E175" t="inlineStr">
        <is>
          <t>HÄSSLEHOLM</t>
        </is>
      </c>
      <c r="F175" t="inlineStr">
        <is>
          <t>Övriga Aktiebolag</t>
        </is>
      </c>
      <c r="G175" t="n">
        <v>3.3</v>
      </c>
      <c r="H175" t="n">
        <v>0</v>
      </c>
      <c r="I175" t="n">
        <v>0</v>
      </c>
      <c r="J175" t="n">
        <v>0</v>
      </c>
      <c r="K175" t="n">
        <v>0</v>
      </c>
      <c r="L175" t="n">
        <v>0</v>
      </c>
      <c r="M175" t="n">
        <v>0</v>
      </c>
      <c r="N175" t="n">
        <v>0</v>
      </c>
      <c r="O175" t="n">
        <v>0</v>
      </c>
      <c r="P175" t="n">
        <v>0</v>
      </c>
      <c r="Q175" t="n">
        <v>0</v>
      </c>
      <c r="R175" s="2" t="inlineStr"/>
    </row>
    <row r="176" ht="15" customHeight="1">
      <c r="A176" t="inlineStr">
        <is>
          <t>A 7308-2025</t>
        </is>
      </c>
      <c r="B176" s="1" t="n">
        <v>45702</v>
      </c>
      <c r="C176" s="1" t="n">
        <v>46158</v>
      </c>
      <c r="D176" t="inlineStr">
        <is>
          <t>SKÅNE LÄN</t>
        </is>
      </c>
      <c r="E176" t="inlineStr">
        <is>
          <t>HÄSSLEHOLM</t>
        </is>
      </c>
      <c r="F176" t="inlineStr">
        <is>
          <t>Övriga Aktiebolag</t>
        </is>
      </c>
      <c r="G176" t="n">
        <v>4.8</v>
      </c>
      <c r="H176" t="n">
        <v>0</v>
      </c>
      <c r="I176" t="n">
        <v>0</v>
      </c>
      <c r="J176" t="n">
        <v>0</v>
      </c>
      <c r="K176" t="n">
        <v>0</v>
      </c>
      <c r="L176" t="n">
        <v>0</v>
      </c>
      <c r="M176" t="n">
        <v>0</v>
      </c>
      <c r="N176" t="n">
        <v>0</v>
      </c>
      <c r="O176" t="n">
        <v>0</v>
      </c>
      <c r="P176" t="n">
        <v>0</v>
      </c>
      <c r="Q176" t="n">
        <v>0</v>
      </c>
      <c r="R176" s="2" t="inlineStr"/>
    </row>
    <row r="177" ht="15" customHeight="1">
      <c r="A177" t="inlineStr">
        <is>
          <t>A 28236-2022</t>
        </is>
      </c>
      <c r="B177" s="1" t="n">
        <v>44746</v>
      </c>
      <c r="C177" s="1" t="n">
        <v>46158</v>
      </c>
      <c r="D177" t="inlineStr">
        <is>
          <t>SKÅNE LÄN</t>
        </is>
      </c>
      <c r="E177" t="inlineStr">
        <is>
          <t>HÄSSLEHOLM</t>
        </is>
      </c>
      <c r="G177" t="n">
        <v>3.5</v>
      </c>
      <c r="H177" t="n">
        <v>0</v>
      </c>
      <c r="I177" t="n">
        <v>0</v>
      </c>
      <c r="J177" t="n">
        <v>0</v>
      </c>
      <c r="K177" t="n">
        <v>0</v>
      </c>
      <c r="L177" t="n">
        <v>0</v>
      </c>
      <c r="M177" t="n">
        <v>0</v>
      </c>
      <c r="N177" t="n">
        <v>0</v>
      </c>
      <c r="O177" t="n">
        <v>0</v>
      </c>
      <c r="P177" t="n">
        <v>0</v>
      </c>
      <c r="Q177" t="n">
        <v>0</v>
      </c>
      <c r="R177" s="2" t="inlineStr"/>
    </row>
    <row r="178" ht="15" customHeight="1">
      <c r="A178" t="inlineStr">
        <is>
          <t>A 4512-2024</t>
        </is>
      </c>
      <c r="B178" s="1" t="n">
        <v>45327.6312962963</v>
      </c>
      <c r="C178" s="1" t="n">
        <v>46158</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5016-2024</t>
        </is>
      </c>
      <c r="B179" s="1" t="n">
        <v>45329</v>
      </c>
      <c r="C179" s="1" t="n">
        <v>46158</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4916-2024</t>
        </is>
      </c>
      <c r="B180" s="1" t="n">
        <v>45329</v>
      </c>
      <c r="C180" s="1" t="n">
        <v>46158</v>
      </c>
      <c r="D180" t="inlineStr">
        <is>
          <t>SKÅNE LÄN</t>
        </is>
      </c>
      <c r="E180" t="inlineStr">
        <is>
          <t>HÄSSLEHOLM</t>
        </is>
      </c>
      <c r="G180" t="n">
        <v>1.3</v>
      </c>
      <c r="H180" t="n">
        <v>0</v>
      </c>
      <c r="I180" t="n">
        <v>0</v>
      </c>
      <c r="J180" t="n">
        <v>0</v>
      </c>
      <c r="K180" t="n">
        <v>0</v>
      </c>
      <c r="L180" t="n">
        <v>0</v>
      </c>
      <c r="M180" t="n">
        <v>0</v>
      </c>
      <c r="N180" t="n">
        <v>0</v>
      </c>
      <c r="O180" t="n">
        <v>0</v>
      </c>
      <c r="P180" t="n">
        <v>0</v>
      </c>
      <c r="Q180" t="n">
        <v>0</v>
      </c>
      <c r="R180" s="2" t="inlineStr"/>
    </row>
    <row r="181" ht="15" customHeight="1">
      <c r="A181" t="inlineStr">
        <is>
          <t>A 18580-2023</t>
        </is>
      </c>
      <c r="B181" s="1" t="n">
        <v>45043.37037037037</v>
      </c>
      <c r="C181" s="1" t="n">
        <v>46158</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20279-2025</t>
        </is>
      </c>
      <c r="B182" s="1" t="n">
        <v>45774.38643518519</v>
      </c>
      <c r="C182" s="1" t="n">
        <v>46158</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46158</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17335-2024</t>
        </is>
      </c>
      <c r="B184" s="1" t="n">
        <v>45414.5687962963</v>
      </c>
      <c r="C184" s="1" t="n">
        <v>46158</v>
      </c>
      <c r="D184" t="inlineStr">
        <is>
          <t>SKÅNE LÄN</t>
        </is>
      </c>
      <c r="E184" t="inlineStr">
        <is>
          <t>HÄSSLEHOLM</t>
        </is>
      </c>
      <c r="G184" t="n">
        <v>1.5</v>
      </c>
      <c r="H184" t="n">
        <v>0</v>
      </c>
      <c r="I184" t="n">
        <v>0</v>
      </c>
      <c r="J184" t="n">
        <v>0</v>
      </c>
      <c r="K184" t="n">
        <v>0</v>
      </c>
      <c r="L184" t="n">
        <v>0</v>
      </c>
      <c r="M184" t="n">
        <v>0</v>
      </c>
      <c r="N184" t="n">
        <v>0</v>
      </c>
      <c r="O184" t="n">
        <v>0</v>
      </c>
      <c r="P184" t="n">
        <v>0</v>
      </c>
      <c r="Q184" t="n">
        <v>0</v>
      </c>
      <c r="R184" s="2" t="inlineStr"/>
    </row>
    <row r="185" ht="15" customHeight="1">
      <c r="A185" t="inlineStr">
        <is>
          <t>A 50000-2023</t>
        </is>
      </c>
      <c r="B185" s="1" t="n">
        <v>45215.4434837963</v>
      </c>
      <c r="C185" s="1" t="n">
        <v>46158</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62199-2022</t>
        </is>
      </c>
      <c r="B186" s="1" t="n">
        <v>44915</v>
      </c>
      <c r="C186" s="1" t="n">
        <v>46158</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50607-2023</t>
        </is>
      </c>
      <c r="B187" s="1" t="n">
        <v>45210</v>
      </c>
      <c r="C187" s="1" t="n">
        <v>46158</v>
      </c>
      <c r="D187" t="inlineStr">
        <is>
          <t>SKÅNE LÄN</t>
        </is>
      </c>
      <c r="E187" t="inlineStr">
        <is>
          <t>HÄSSLEHOLM</t>
        </is>
      </c>
      <c r="G187" t="n">
        <v>1.8</v>
      </c>
      <c r="H187" t="n">
        <v>0</v>
      </c>
      <c r="I187" t="n">
        <v>0</v>
      </c>
      <c r="J187" t="n">
        <v>0</v>
      </c>
      <c r="K187" t="n">
        <v>0</v>
      </c>
      <c r="L187" t="n">
        <v>0</v>
      </c>
      <c r="M187" t="n">
        <v>0</v>
      </c>
      <c r="N187" t="n">
        <v>0</v>
      </c>
      <c r="O187" t="n">
        <v>0</v>
      </c>
      <c r="P187" t="n">
        <v>0</v>
      </c>
      <c r="Q187" t="n">
        <v>0</v>
      </c>
      <c r="R187" s="2" t="inlineStr"/>
    </row>
    <row r="188" ht="15" customHeight="1">
      <c r="A188" t="inlineStr">
        <is>
          <t>A 50616-2023</t>
        </is>
      </c>
      <c r="B188" s="1" t="n">
        <v>45210</v>
      </c>
      <c r="C188" s="1" t="n">
        <v>46158</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677-2024</t>
        </is>
      </c>
      <c r="B189" s="1" t="n">
        <v>45300</v>
      </c>
      <c r="C189" s="1" t="n">
        <v>46158</v>
      </c>
      <c r="D189" t="inlineStr">
        <is>
          <t>SKÅNE LÄN</t>
        </is>
      </c>
      <c r="E189" t="inlineStr">
        <is>
          <t>HÄSSLEHOLM</t>
        </is>
      </c>
      <c r="G189" t="n">
        <v>6.8</v>
      </c>
      <c r="H189" t="n">
        <v>0</v>
      </c>
      <c r="I189" t="n">
        <v>0</v>
      </c>
      <c r="J189" t="n">
        <v>0</v>
      </c>
      <c r="K189" t="n">
        <v>0</v>
      </c>
      <c r="L189" t="n">
        <v>0</v>
      </c>
      <c r="M189" t="n">
        <v>0</v>
      </c>
      <c r="N189" t="n">
        <v>0</v>
      </c>
      <c r="O189" t="n">
        <v>0</v>
      </c>
      <c r="P189" t="n">
        <v>0</v>
      </c>
      <c r="Q189" t="n">
        <v>0</v>
      </c>
      <c r="R189" s="2" t="inlineStr"/>
    </row>
    <row r="190" ht="15" customHeight="1">
      <c r="A190" t="inlineStr">
        <is>
          <t>A 9323-2025</t>
        </is>
      </c>
      <c r="B190" s="1" t="n">
        <v>45714.73532407408</v>
      </c>
      <c r="C190" s="1" t="n">
        <v>46158</v>
      </c>
      <c r="D190" t="inlineStr">
        <is>
          <t>SKÅNE LÄN</t>
        </is>
      </c>
      <c r="E190" t="inlineStr">
        <is>
          <t>HÄSSLEHOLM</t>
        </is>
      </c>
      <c r="G190" t="n">
        <v>5.2</v>
      </c>
      <c r="H190" t="n">
        <v>0</v>
      </c>
      <c r="I190" t="n">
        <v>0</v>
      </c>
      <c r="J190" t="n">
        <v>0</v>
      </c>
      <c r="K190" t="n">
        <v>0</v>
      </c>
      <c r="L190" t="n">
        <v>0</v>
      </c>
      <c r="M190" t="n">
        <v>0</v>
      </c>
      <c r="N190" t="n">
        <v>0</v>
      </c>
      <c r="O190" t="n">
        <v>0</v>
      </c>
      <c r="P190" t="n">
        <v>0</v>
      </c>
      <c r="Q190" t="n">
        <v>0</v>
      </c>
      <c r="R190" s="2" t="inlineStr"/>
    </row>
    <row r="191" ht="15" customHeight="1">
      <c r="A191" t="inlineStr">
        <is>
          <t>A 49250-2022</t>
        </is>
      </c>
      <c r="B191" s="1" t="n">
        <v>44858</v>
      </c>
      <c r="C191" s="1" t="n">
        <v>46158</v>
      </c>
      <c r="D191" t="inlineStr">
        <is>
          <t>SKÅNE LÄN</t>
        </is>
      </c>
      <c r="E191" t="inlineStr">
        <is>
          <t>HÄSSLEHOLM</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15562-2024</t>
        </is>
      </c>
      <c r="B192" s="1" t="n">
        <v>45401.64975694445</v>
      </c>
      <c r="C192" s="1" t="n">
        <v>46158</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12936-2025</t>
        </is>
      </c>
      <c r="B193" s="1" t="n">
        <v>45734</v>
      </c>
      <c r="C193" s="1" t="n">
        <v>46158</v>
      </c>
      <c r="D193" t="inlineStr">
        <is>
          <t>SKÅNE LÄN</t>
        </is>
      </c>
      <c r="E193" t="inlineStr">
        <is>
          <t>HÄSSLEHOLM</t>
        </is>
      </c>
      <c r="G193" t="n">
        <v>1.7</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46158</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15036-2024</t>
        </is>
      </c>
      <c r="B195" s="1" t="n">
        <v>45399.48100694444</v>
      </c>
      <c r="C195" s="1" t="n">
        <v>46158</v>
      </c>
      <c r="D195" t="inlineStr">
        <is>
          <t>SKÅNE LÄN</t>
        </is>
      </c>
      <c r="E195" t="inlineStr">
        <is>
          <t>HÄSSLEHOLM</t>
        </is>
      </c>
      <c r="G195" t="n">
        <v>1.6</v>
      </c>
      <c r="H195" t="n">
        <v>0</v>
      </c>
      <c r="I195" t="n">
        <v>0</v>
      </c>
      <c r="J195" t="n">
        <v>0</v>
      </c>
      <c r="K195" t="n">
        <v>0</v>
      </c>
      <c r="L195" t="n">
        <v>0</v>
      </c>
      <c r="M195" t="n">
        <v>0</v>
      </c>
      <c r="N195" t="n">
        <v>0</v>
      </c>
      <c r="O195" t="n">
        <v>0</v>
      </c>
      <c r="P195" t="n">
        <v>0</v>
      </c>
      <c r="Q195" t="n">
        <v>0</v>
      </c>
      <c r="R195" s="2" t="inlineStr"/>
    </row>
    <row r="196" ht="15" customHeight="1">
      <c r="A196" t="inlineStr">
        <is>
          <t>A 8749-2024</t>
        </is>
      </c>
      <c r="B196" s="1" t="n">
        <v>45356.50387731481</v>
      </c>
      <c r="C196" s="1" t="n">
        <v>46158</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8752-2024</t>
        </is>
      </c>
      <c r="B197" s="1" t="n">
        <v>45356</v>
      </c>
      <c r="C197" s="1" t="n">
        <v>46158</v>
      </c>
      <c r="D197" t="inlineStr">
        <is>
          <t>SKÅNE LÄN</t>
        </is>
      </c>
      <c r="E197" t="inlineStr">
        <is>
          <t>HÄSSLEHOLM</t>
        </is>
      </c>
      <c r="G197" t="n">
        <v>3.4</v>
      </c>
      <c r="H197" t="n">
        <v>0</v>
      </c>
      <c r="I197" t="n">
        <v>0</v>
      </c>
      <c r="J197" t="n">
        <v>0</v>
      </c>
      <c r="K197" t="n">
        <v>0</v>
      </c>
      <c r="L197" t="n">
        <v>0</v>
      </c>
      <c r="M197" t="n">
        <v>0</v>
      </c>
      <c r="N197" t="n">
        <v>0</v>
      </c>
      <c r="O197" t="n">
        <v>0</v>
      </c>
      <c r="P197" t="n">
        <v>0</v>
      </c>
      <c r="Q197" t="n">
        <v>0</v>
      </c>
      <c r="R197" s="2" t="inlineStr"/>
    </row>
    <row r="198" ht="15" customHeight="1">
      <c r="A198" t="inlineStr">
        <is>
          <t>A 42906-2022</t>
        </is>
      </c>
      <c r="B198" s="1" t="n">
        <v>44833</v>
      </c>
      <c r="C198" s="1" t="n">
        <v>46158</v>
      </c>
      <c r="D198" t="inlineStr">
        <is>
          <t>SKÅNE LÄN</t>
        </is>
      </c>
      <c r="E198" t="inlineStr">
        <is>
          <t>HÄSSLEHOLM</t>
        </is>
      </c>
      <c r="G198" t="n">
        <v>1.1</v>
      </c>
      <c r="H198" t="n">
        <v>0</v>
      </c>
      <c r="I198" t="n">
        <v>0</v>
      </c>
      <c r="J198" t="n">
        <v>0</v>
      </c>
      <c r="K198" t="n">
        <v>0</v>
      </c>
      <c r="L198" t="n">
        <v>0</v>
      </c>
      <c r="M198" t="n">
        <v>0</v>
      </c>
      <c r="N198" t="n">
        <v>0</v>
      </c>
      <c r="O198" t="n">
        <v>0</v>
      </c>
      <c r="P198" t="n">
        <v>0</v>
      </c>
      <c r="Q198" t="n">
        <v>0</v>
      </c>
      <c r="R198" s="2" t="inlineStr"/>
    </row>
    <row r="199" ht="15" customHeight="1">
      <c r="A199" t="inlineStr">
        <is>
          <t>A 58915-2023</t>
        </is>
      </c>
      <c r="B199" s="1" t="n">
        <v>45250</v>
      </c>
      <c r="C199" s="1" t="n">
        <v>46158</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44697-2021</t>
        </is>
      </c>
      <c r="B200" s="1" t="n">
        <v>44438</v>
      </c>
      <c r="C200" s="1" t="n">
        <v>46158</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20494-2024</t>
        </is>
      </c>
      <c r="B201" s="1" t="n">
        <v>45435</v>
      </c>
      <c r="C201" s="1" t="n">
        <v>46158</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53067-2022</t>
        </is>
      </c>
      <c r="B202" s="1" t="n">
        <v>44873</v>
      </c>
      <c r="C202" s="1" t="n">
        <v>46158</v>
      </c>
      <c r="D202" t="inlineStr">
        <is>
          <t>SKÅNE LÄN</t>
        </is>
      </c>
      <c r="E202" t="inlineStr">
        <is>
          <t>HÄSSLEHOLM</t>
        </is>
      </c>
      <c r="G202" t="n">
        <v>1.2</v>
      </c>
      <c r="H202" t="n">
        <v>0</v>
      </c>
      <c r="I202" t="n">
        <v>0</v>
      </c>
      <c r="J202" t="n">
        <v>0</v>
      </c>
      <c r="K202" t="n">
        <v>0</v>
      </c>
      <c r="L202" t="n">
        <v>0</v>
      </c>
      <c r="M202" t="n">
        <v>0</v>
      </c>
      <c r="N202" t="n">
        <v>0</v>
      </c>
      <c r="O202" t="n">
        <v>0</v>
      </c>
      <c r="P202" t="n">
        <v>0</v>
      </c>
      <c r="Q202" t="n">
        <v>0</v>
      </c>
      <c r="R202" s="2" t="inlineStr"/>
    </row>
    <row r="203" ht="15" customHeight="1">
      <c r="A203" t="inlineStr">
        <is>
          <t>A 57033-2022</t>
        </is>
      </c>
      <c r="B203" s="1" t="n">
        <v>44895.31270833333</v>
      </c>
      <c r="C203" s="1" t="n">
        <v>46158</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61929-2023</t>
        </is>
      </c>
      <c r="B204" s="1" t="n">
        <v>45266</v>
      </c>
      <c r="C204" s="1" t="n">
        <v>46158</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61186-2022</t>
        </is>
      </c>
      <c r="B205" s="1" t="n">
        <v>44915.50745370371</v>
      </c>
      <c r="C205" s="1" t="n">
        <v>46158</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1120-2024</t>
        </is>
      </c>
      <c r="B206" s="1" t="n">
        <v>45302.4452662037</v>
      </c>
      <c r="C206" s="1" t="n">
        <v>46158</v>
      </c>
      <c r="D206" t="inlineStr">
        <is>
          <t>SKÅNE LÄN</t>
        </is>
      </c>
      <c r="E206" t="inlineStr">
        <is>
          <t>HÄSSLEHOLM</t>
        </is>
      </c>
      <c r="G206" t="n">
        <v>2.7</v>
      </c>
      <c r="H206" t="n">
        <v>0</v>
      </c>
      <c r="I206" t="n">
        <v>0</v>
      </c>
      <c r="J206" t="n">
        <v>0</v>
      </c>
      <c r="K206" t="n">
        <v>0</v>
      </c>
      <c r="L206" t="n">
        <v>0</v>
      </c>
      <c r="M206" t="n">
        <v>0</v>
      </c>
      <c r="N206" t="n">
        <v>0</v>
      </c>
      <c r="O206" t="n">
        <v>0</v>
      </c>
      <c r="P206" t="n">
        <v>0</v>
      </c>
      <c r="Q206" t="n">
        <v>0</v>
      </c>
      <c r="R206" s="2" t="inlineStr"/>
    </row>
    <row r="207" ht="15" customHeight="1">
      <c r="A207" t="inlineStr">
        <is>
          <t>A 27177-2024</t>
        </is>
      </c>
      <c r="B207" s="1" t="n">
        <v>45471.57201388889</v>
      </c>
      <c r="C207" s="1" t="n">
        <v>46158</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13018-2024</t>
        </is>
      </c>
      <c r="B208" s="1" t="n">
        <v>45385.58274305556</v>
      </c>
      <c r="C208" s="1" t="n">
        <v>46158</v>
      </c>
      <c r="D208" t="inlineStr">
        <is>
          <t>SKÅNE LÄN</t>
        </is>
      </c>
      <c r="E208" t="inlineStr">
        <is>
          <t>HÄSSLEHOLM</t>
        </is>
      </c>
      <c r="G208" t="n">
        <v>4.8</v>
      </c>
      <c r="H208" t="n">
        <v>0</v>
      </c>
      <c r="I208" t="n">
        <v>0</v>
      </c>
      <c r="J208" t="n">
        <v>0</v>
      </c>
      <c r="K208" t="n">
        <v>0</v>
      </c>
      <c r="L208" t="n">
        <v>0</v>
      </c>
      <c r="M208" t="n">
        <v>0</v>
      </c>
      <c r="N208" t="n">
        <v>0</v>
      </c>
      <c r="O208" t="n">
        <v>0</v>
      </c>
      <c r="P208" t="n">
        <v>0</v>
      </c>
      <c r="Q208" t="n">
        <v>0</v>
      </c>
      <c r="R208" s="2" t="inlineStr"/>
    </row>
    <row r="209" ht="15" customHeight="1">
      <c r="A209" t="inlineStr">
        <is>
          <t>A 42428-2022</t>
        </is>
      </c>
      <c r="B209" s="1" t="n">
        <v>44831</v>
      </c>
      <c r="C209" s="1" t="n">
        <v>46158</v>
      </c>
      <c r="D209" t="inlineStr">
        <is>
          <t>SKÅNE LÄN</t>
        </is>
      </c>
      <c r="E209" t="inlineStr">
        <is>
          <t>HÄSSLEHOLM</t>
        </is>
      </c>
      <c r="G209" t="n">
        <v>2.8</v>
      </c>
      <c r="H209" t="n">
        <v>0</v>
      </c>
      <c r="I209" t="n">
        <v>0</v>
      </c>
      <c r="J209" t="n">
        <v>0</v>
      </c>
      <c r="K209" t="n">
        <v>0</v>
      </c>
      <c r="L209" t="n">
        <v>0</v>
      </c>
      <c r="M209" t="n">
        <v>0</v>
      </c>
      <c r="N209" t="n">
        <v>0</v>
      </c>
      <c r="O209" t="n">
        <v>0</v>
      </c>
      <c r="P209" t="n">
        <v>0</v>
      </c>
      <c r="Q209" t="n">
        <v>0</v>
      </c>
      <c r="R209" s="2" t="inlineStr"/>
    </row>
    <row r="210" ht="15" customHeight="1">
      <c r="A210" t="inlineStr">
        <is>
          <t>A 22595-2024</t>
        </is>
      </c>
      <c r="B210" s="1" t="n">
        <v>45447.61053240741</v>
      </c>
      <c r="C210" s="1" t="n">
        <v>46158</v>
      </c>
      <c r="D210" t="inlineStr">
        <is>
          <t>SKÅNE LÄN</t>
        </is>
      </c>
      <c r="E210" t="inlineStr">
        <is>
          <t>HÄSSLEHOLM</t>
        </is>
      </c>
      <c r="G210" t="n">
        <v>0.9</v>
      </c>
      <c r="H210" t="n">
        <v>0</v>
      </c>
      <c r="I210" t="n">
        <v>0</v>
      </c>
      <c r="J210" t="n">
        <v>0</v>
      </c>
      <c r="K210" t="n">
        <v>0</v>
      </c>
      <c r="L210" t="n">
        <v>0</v>
      </c>
      <c r="M210" t="n">
        <v>0</v>
      </c>
      <c r="N210" t="n">
        <v>0</v>
      </c>
      <c r="O210" t="n">
        <v>0</v>
      </c>
      <c r="P210" t="n">
        <v>0</v>
      </c>
      <c r="Q210" t="n">
        <v>0</v>
      </c>
      <c r="R210" s="2" t="inlineStr"/>
    </row>
    <row r="211" ht="15" customHeight="1">
      <c r="A211" t="inlineStr">
        <is>
          <t>A 34342-2021</t>
        </is>
      </c>
      <c r="B211" s="1" t="n">
        <v>44379</v>
      </c>
      <c r="C211" s="1" t="n">
        <v>46158</v>
      </c>
      <c r="D211" t="inlineStr">
        <is>
          <t>SKÅNE LÄN</t>
        </is>
      </c>
      <c r="E211" t="inlineStr">
        <is>
          <t>HÄSSLEHOLM</t>
        </is>
      </c>
      <c r="G211" t="n">
        <v>7</v>
      </c>
      <c r="H211" t="n">
        <v>0</v>
      </c>
      <c r="I211" t="n">
        <v>0</v>
      </c>
      <c r="J211" t="n">
        <v>0</v>
      </c>
      <c r="K211" t="n">
        <v>0</v>
      </c>
      <c r="L211" t="n">
        <v>0</v>
      </c>
      <c r="M211" t="n">
        <v>0</v>
      </c>
      <c r="N211" t="n">
        <v>0</v>
      </c>
      <c r="O211" t="n">
        <v>0</v>
      </c>
      <c r="P211" t="n">
        <v>0</v>
      </c>
      <c r="Q211" t="n">
        <v>0</v>
      </c>
      <c r="R211" s="2" t="inlineStr"/>
    </row>
    <row r="212" ht="15" customHeight="1">
      <c r="A212" t="inlineStr">
        <is>
          <t>A 42776-2021</t>
        </is>
      </c>
      <c r="B212" s="1" t="n">
        <v>44428</v>
      </c>
      <c r="C212" s="1" t="n">
        <v>46158</v>
      </c>
      <c r="D212" t="inlineStr">
        <is>
          <t>SKÅNE LÄN</t>
        </is>
      </c>
      <c r="E212" t="inlineStr">
        <is>
          <t>HÄSSLEHOLM</t>
        </is>
      </c>
      <c r="G212" t="n">
        <v>3.2</v>
      </c>
      <c r="H212" t="n">
        <v>0</v>
      </c>
      <c r="I212" t="n">
        <v>0</v>
      </c>
      <c r="J212" t="n">
        <v>0</v>
      </c>
      <c r="K212" t="n">
        <v>0</v>
      </c>
      <c r="L212" t="n">
        <v>0</v>
      </c>
      <c r="M212" t="n">
        <v>0</v>
      </c>
      <c r="N212" t="n">
        <v>0</v>
      </c>
      <c r="O212" t="n">
        <v>0</v>
      </c>
      <c r="P212" t="n">
        <v>0</v>
      </c>
      <c r="Q212" t="n">
        <v>0</v>
      </c>
      <c r="R212" s="2" t="inlineStr"/>
    </row>
    <row r="213" ht="15" customHeight="1">
      <c r="A213" t="inlineStr">
        <is>
          <t>A 12780-2024</t>
        </is>
      </c>
      <c r="B213" s="1" t="n">
        <v>45384.59726851852</v>
      </c>
      <c r="C213" s="1" t="n">
        <v>46158</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8759-2024</t>
        </is>
      </c>
      <c r="B214" s="1" t="n">
        <v>45356.52271990741</v>
      </c>
      <c r="C214" s="1" t="n">
        <v>46158</v>
      </c>
      <c r="D214" t="inlineStr">
        <is>
          <t>SKÅNE LÄN</t>
        </is>
      </c>
      <c r="E214" t="inlineStr">
        <is>
          <t>HÄSSLEHOLM</t>
        </is>
      </c>
      <c r="G214" t="n">
        <v>5.7</v>
      </c>
      <c r="H214" t="n">
        <v>0</v>
      </c>
      <c r="I214" t="n">
        <v>0</v>
      </c>
      <c r="J214" t="n">
        <v>0</v>
      </c>
      <c r="K214" t="n">
        <v>0</v>
      </c>
      <c r="L214" t="n">
        <v>0</v>
      </c>
      <c r="M214" t="n">
        <v>0</v>
      </c>
      <c r="N214" t="n">
        <v>0</v>
      </c>
      <c r="O214" t="n">
        <v>0</v>
      </c>
      <c r="P214" t="n">
        <v>0</v>
      </c>
      <c r="Q214" t="n">
        <v>0</v>
      </c>
      <c r="R214" s="2" t="inlineStr"/>
    </row>
    <row r="215" ht="15" customHeight="1">
      <c r="A215" t="inlineStr">
        <is>
          <t>A 38148-2022</t>
        </is>
      </c>
      <c r="B215" s="1" t="n">
        <v>44811</v>
      </c>
      <c r="C215" s="1" t="n">
        <v>46158</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28457-2024</t>
        </is>
      </c>
      <c r="B216" s="1" t="n">
        <v>45477.68884259259</v>
      </c>
      <c r="C216" s="1" t="n">
        <v>46158</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22594-2024</t>
        </is>
      </c>
      <c r="B217" s="1" t="n">
        <v>45447.60892361111</v>
      </c>
      <c r="C217" s="1" t="n">
        <v>46158</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55056-2021</t>
        </is>
      </c>
      <c r="B218" s="1" t="n">
        <v>44474.62072916667</v>
      </c>
      <c r="C218" s="1" t="n">
        <v>46158</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4042-2023</t>
        </is>
      </c>
      <c r="B219" s="1" t="n">
        <v>44952.59950231481</v>
      </c>
      <c r="C219" s="1" t="n">
        <v>46158</v>
      </c>
      <c r="D219" t="inlineStr">
        <is>
          <t>SKÅNE LÄN</t>
        </is>
      </c>
      <c r="E219" t="inlineStr">
        <is>
          <t>HÄSSLEHOLM</t>
        </is>
      </c>
      <c r="G219" t="n">
        <v>2.7</v>
      </c>
      <c r="H219" t="n">
        <v>0</v>
      </c>
      <c r="I219" t="n">
        <v>0</v>
      </c>
      <c r="J219" t="n">
        <v>0</v>
      </c>
      <c r="K219" t="n">
        <v>0</v>
      </c>
      <c r="L219" t="n">
        <v>0</v>
      </c>
      <c r="M219" t="n">
        <v>0</v>
      </c>
      <c r="N219" t="n">
        <v>0</v>
      </c>
      <c r="O219" t="n">
        <v>0</v>
      </c>
      <c r="P219" t="n">
        <v>0</v>
      </c>
      <c r="Q219" t="n">
        <v>0</v>
      </c>
      <c r="R219" s="2" t="inlineStr"/>
    </row>
    <row r="220" ht="15" customHeight="1">
      <c r="A220" t="inlineStr">
        <is>
          <t>A 33927-2021</t>
        </is>
      </c>
      <c r="B220" s="1" t="n">
        <v>44378</v>
      </c>
      <c r="C220" s="1" t="n">
        <v>46158</v>
      </c>
      <c r="D220" t="inlineStr">
        <is>
          <t>SKÅNE LÄN</t>
        </is>
      </c>
      <c r="E220" t="inlineStr">
        <is>
          <t>HÄSSLEHOLM</t>
        </is>
      </c>
      <c r="G220" t="n">
        <v>16.7</v>
      </c>
      <c r="H220" t="n">
        <v>0</v>
      </c>
      <c r="I220" t="n">
        <v>0</v>
      </c>
      <c r="J220" t="n">
        <v>0</v>
      </c>
      <c r="K220" t="n">
        <v>0</v>
      </c>
      <c r="L220" t="n">
        <v>0</v>
      </c>
      <c r="M220" t="n">
        <v>0</v>
      </c>
      <c r="N220" t="n">
        <v>0</v>
      </c>
      <c r="O220" t="n">
        <v>0</v>
      </c>
      <c r="P220" t="n">
        <v>0</v>
      </c>
      <c r="Q220" t="n">
        <v>0</v>
      </c>
      <c r="R220" s="2" t="inlineStr"/>
    </row>
    <row r="221" ht="15" customHeight="1">
      <c r="A221" t="inlineStr">
        <is>
          <t>A 3123-2023</t>
        </is>
      </c>
      <c r="B221" s="1" t="n">
        <v>44946.4925</v>
      </c>
      <c r="C221" s="1" t="n">
        <v>46158</v>
      </c>
      <c r="D221" t="inlineStr">
        <is>
          <t>SKÅNE LÄN</t>
        </is>
      </c>
      <c r="E221" t="inlineStr">
        <is>
          <t>HÄSSLEHOLM</t>
        </is>
      </c>
      <c r="G221" t="n">
        <v>3.5</v>
      </c>
      <c r="H221" t="n">
        <v>0</v>
      </c>
      <c r="I221" t="n">
        <v>0</v>
      </c>
      <c r="J221" t="n">
        <v>0</v>
      </c>
      <c r="K221" t="n">
        <v>0</v>
      </c>
      <c r="L221" t="n">
        <v>0</v>
      </c>
      <c r="M221" t="n">
        <v>0</v>
      </c>
      <c r="N221" t="n">
        <v>0</v>
      </c>
      <c r="O221" t="n">
        <v>0</v>
      </c>
      <c r="P221" t="n">
        <v>0</v>
      </c>
      <c r="Q221" t="n">
        <v>0</v>
      </c>
      <c r="R221" s="2" t="inlineStr"/>
    </row>
    <row r="222" ht="15" customHeight="1">
      <c r="A222" t="inlineStr">
        <is>
          <t>A 3126-2023</t>
        </is>
      </c>
      <c r="B222" s="1" t="n">
        <v>44946.49570601852</v>
      </c>
      <c r="C222" s="1" t="n">
        <v>46158</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25057-2024</t>
        </is>
      </c>
      <c r="B223" s="1" t="n">
        <v>45462</v>
      </c>
      <c r="C223" s="1" t="n">
        <v>46158</v>
      </c>
      <c r="D223" t="inlineStr">
        <is>
          <t>SKÅNE LÄN</t>
        </is>
      </c>
      <c r="E223" t="inlineStr">
        <is>
          <t>HÄSSLEHOLM</t>
        </is>
      </c>
      <c r="G223" t="n">
        <v>4.3</v>
      </c>
      <c r="H223" t="n">
        <v>0</v>
      </c>
      <c r="I223" t="n">
        <v>0</v>
      </c>
      <c r="J223" t="n">
        <v>0</v>
      </c>
      <c r="K223" t="n">
        <v>0</v>
      </c>
      <c r="L223" t="n">
        <v>0</v>
      </c>
      <c r="M223" t="n">
        <v>0</v>
      </c>
      <c r="N223" t="n">
        <v>0</v>
      </c>
      <c r="O223" t="n">
        <v>0</v>
      </c>
      <c r="P223" t="n">
        <v>0</v>
      </c>
      <c r="Q223" t="n">
        <v>0</v>
      </c>
      <c r="R223" s="2" t="inlineStr"/>
    </row>
    <row r="224" ht="15" customHeight="1">
      <c r="A224" t="inlineStr">
        <is>
          <t>A 24865-2024</t>
        </is>
      </c>
      <c r="B224" s="1" t="n">
        <v>45461.48974537037</v>
      </c>
      <c r="C224" s="1" t="n">
        <v>46158</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25213-2023</t>
        </is>
      </c>
      <c r="B225" s="1" t="n">
        <v>45086.60010416667</v>
      </c>
      <c r="C225" s="1" t="n">
        <v>46158</v>
      </c>
      <c r="D225" t="inlineStr">
        <is>
          <t>SKÅNE LÄN</t>
        </is>
      </c>
      <c r="E225" t="inlineStr">
        <is>
          <t>HÄSSLEHOLM</t>
        </is>
      </c>
      <c r="G225" t="n">
        <v>7.2</v>
      </c>
      <c r="H225" t="n">
        <v>0</v>
      </c>
      <c r="I225" t="n">
        <v>0</v>
      </c>
      <c r="J225" t="n">
        <v>0</v>
      </c>
      <c r="K225" t="n">
        <v>0</v>
      </c>
      <c r="L225" t="n">
        <v>0</v>
      </c>
      <c r="M225" t="n">
        <v>0</v>
      </c>
      <c r="N225" t="n">
        <v>0</v>
      </c>
      <c r="O225" t="n">
        <v>0</v>
      </c>
      <c r="P225" t="n">
        <v>0</v>
      </c>
      <c r="Q225" t="n">
        <v>0</v>
      </c>
      <c r="R225" s="2" t="inlineStr"/>
    </row>
    <row r="226" ht="15" customHeight="1">
      <c r="A226" t="inlineStr">
        <is>
          <t>A 51287-2022</t>
        </is>
      </c>
      <c r="B226" s="1" t="n">
        <v>44868.83146990741</v>
      </c>
      <c r="C226" s="1" t="n">
        <v>46158</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10028-2024</t>
        </is>
      </c>
      <c r="B227" s="1" t="n">
        <v>45363.97292824074</v>
      </c>
      <c r="C227" s="1" t="n">
        <v>46158</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12468-2024</t>
        </is>
      </c>
      <c r="B228" s="1" t="n">
        <v>45379</v>
      </c>
      <c r="C228" s="1" t="n">
        <v>46158</v>
      </c>
      <c r="D228" t="inlineStr">
        <is>
          <t>SKÅNE LÄN</t>
        </is>
      </c>
      <c r="E228" t="inlineStr">
        <is>
          <t>HÄSSLEHOLM</t>
        </is>
      </c>
      <c r="G228" t="n">
        <v>15.5</v>
      </c>
      <c r="H228" t="n">
        <v>0</v>
      </c>
      <c r="I228" t="n">
        <v>0</v>
      </c>
      <c r="J228" t="n">
        <v>0</v>
      </c>
      <c r="K228" t="n">
        <v>0</v>
      </c>
      <c r="L228" t="n">
        <v>0</v>
      </c>
      <c r="M228" t="n">
        <v>0</v>
      </c>
      <c r="N228" t="n">
        <v>0</v>
      </c>
      <c r="O228" t="n">
        <v>0</v>
      </c>
      <c r="P228" t="n">
        <v>0</v>
      </c>
      <c r="Q228" t="n">
        <v>0</v>
      </c>
      <c r="R228" s="2" t="inlineStr"/>
    </row>
    <row r="229" ht="15" customHeight="1">
      <c r="A229" t="inlineStr">
        <is>
          <t>A 61158-2022</t>
        </is>
      </c>
      <c r="B229" s="1" t="n">
        <v>44915.47112268519</v>
      </c>
      <c r="C229" s="1" t="n">
        <v>46158</v>
      </c>
      <c r="D229" t="inlineStr">
        <is>
          <t>SKÅNE LÄN</t>
        </is>
      </c>
      <c r="E229" t="inlineStr">
        <is>
          <t>HÄSSLEHOLM</t>
        </is>
      </c>
      <c r="G229" t="n">
        <v>8.4</v>
      </c>
      <c r="H229" t="n">
        <v>0</v>
      </c>
      <c r="I229" t="n">
        <v>0</v>
      </c>
      <c r="J229" t="n">
        <v>0</v>
      </c>
      <c r="K229" t="n">
        <v>0</v>
      </c>
      <c r="L229" t="n">
        <v>0</v>
      </c>
      <c r="M229" t="n">
        <v>0</v>
      </c>
      <c r="N229" t="n">
        <v>0</v>
      </c>
      <c r="O229" t="n">
        <v>0</v>
      </c>
      <c r="P229" t="n">
        <v>0</v>
      </c>
      <c r="Q229" t="n">
        <v>0</v>
      </c>
      <c r="R229" s="2" t="inlineStr"/>
    </row>
    <row r="230" ht="15" customHeight="1">
      <c r="A230" t="inlineStr">
        <is>
          <t>A 10020-2024</t>
        </is>
      </c>
      <c r="B230" s="1" t="n">
        <v>45363.96944444445</v>
      </c>
      <c r="C230" s="1" t="n">
        <v>46158</v>
      </c>
      <c r="D230" t="inlineStr">
        <is>
          <t>SKÅNE LÄN</t>
        </is>
      </c>
      <c r="E230" t="inlineStr">
        <is>
          <t>HÄSSLEHOLM</t>
        </is>
      </c>
      <c r="G230" t="n">
        <v>5.3</v>
      </c>
      <c r="H230" t="n">
        <v>0</v>
      </c>
      <c r="I230" t="n">
        <v>0</v>
      </c>
      <c r="J230" t="n">
        <v>0</v>
      </c>
      <c r="K230" t="n">
        <v>0</v>
      </c>
      <c r="L230" t="n">
        <v>0</v>
      </c>
      <c r="M230" t="n">
        <v>0</v>
      </c>
      <c r="N230" t="n">
        <v>0</v>
      </c>
      <c r="O230" t="n">
        <v>0</v>
      </c>
      <c r="P230" t="n">
        <v>0</v>
      </c>
      <c r="Q230" t="n">
        <v>0</v>
      </c>
      <c r="R230" s="2" t="inlineStr"/>
    </row>
    <row r="231" ht="15" customHeight="1">
      <c r="A231" t="inlineStr">
        <is>
          <t>A 63487-2025</t>
        </is>
      </c>
      <c r="B231" s="1" t="n">
        <v>46013.46878472222</v>
      </c>
      <c r="C231" s="1" t="n">
        <v>46158</v>
      </c>
      <c r="D231" t="inlineStr">
        <is>
          <t>SKÅNE LÄN</t>
        </is>
      </c>
      <c r="E231" t="inlineStr">
        <is>
          <t>HÄSSLEHOLM</t>
        </is>
      </c>
      <c r="F231" t="inlineStr">
        <is>
          <t>Kommuner</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4009-2024</t>
        </is>
      </c>
      <c r="B232" s="1" t="n">
        <v>45323</v>
      </c>
      <c r="C232" s="1" t="n">
        <v>46158</v>
      </c>
      <c r="D232" t="inlineStr">
        <is>
          <t>SKÅNE LÄN</t>
        </is>
      </c>
      <c r="E232" t="inlineStr">
        <is>
          <t>HÄSSLEHOLM</t>
        </is>
      </c>
      <c r="G232" t="n">
        <v>2.4</v>
      </c>
      <c r="H232" t="n">
        <v>0</v>
      </c>
      <c r="I232" t="n">
        <v>0</v>
      </c>
      <c r="J232" t="n">
        <v>0</v>
      </c>
      <c r="K232" t="n">
        <v>0</v>
      </c>
      <c r="L232" t="n">
        <v>0</v>
      </c>
      <c r="M232" t="n">
        <v>0</v>
      </c>
      <c r="N232" t="n">
        <v>0</v>
      </c>
      <c r="O232" t="n">
        <v>0</v>
      </c>
      <c r="P232" t="n">
        <v>0</v>
      </c>
      <c r="Q232" t="n">
        <v>0</v>
      </c>
      <c r="R232" s="2" t="inlineStr"/>
    </row>
    <row r="233" ht="15" customHeight="1">
      <c r="A233" t="inlineStr">
        <is>
          <t>A 60848-2022</t>
        </is>
      </c>
      <c r="B233" s="1" t="n">
        <v>44914</v>
      </c>
      <c r="C233" s="1" t="n">
        <v>46158</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63414-2025</t>
        </is>
      </c>
      <c r="B234" s="1" t="n">
        <v>46013.32008101852</v>
      </c>
      <c r="C234" s="1" t="n">
        <v>46158</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1560-2023</t>
        </is>
      </c>
      <c r="B235" s="1" t="n">
        <v>44937</v>
      </c>
      <c r="C235" s="1" t="n">
        <v>46158</v>
      </c>
      <c r="D235" t="inlineStr">
        <is>
          <t>SKÅNE LÄN</t>
        </is>
      </c>
      <c r="E235" t="inlineStr">
        <is>
          <t>HÄSSLEHOLM</t>
        </is>
      </c>
      <c r="G235" t="n">
        <v>6.8</v>
      </c>
      <c r="H235" t="n">
        <v>0</v>
      </c>
      <c r="I235" t="n">
        <v>0</v>
      </c>
      <c r="J235" t="n">
        <v>0</v>
      </c>
      <c r="K235" t="n">
        <v>0</v>
      </c>
      <c r="L235" t="n">
        <v>0</v>
      </c>
      <c r="M235" t="n">
        <v>0</v>
      </c>
      <c r="N235" t="n">
        <v>0</v>
      </c>
      <c r="O235" t="n">
        <v>0</v>
      </c>
      <c r="P235" t="n">
        <v>0</v>
      </c>
      <c r="Q235" t="n">
        <v>0</v>
      </c>
      <c r="R235" s="2" t="inlineStr"/>
    </row>
    <row r="236" ht="15" customHeight="1">
      <c r="A236" t="inlineStr">
        <is>
          <t>A 8160-2024</t>
        </is>
      </c>
      <c r="B236" s="1" t="n">
        <v>45351</v>
      </c>
      <c r="C236" s="1" t="n">
        <v>46158</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63415-2025</t>
        </is>
      </c>
      <c r="B237" s="1" t="n">
        <v>46013.32163194445</v>
      </c>
      <c r="C237" s="1" t="n">
        <v>46158</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63416-2025</t>
        </is>
      </c>
      <c r="B238" s="1" t="n">
        <v>46013.3232175926</v>
      </c>
      <c r="C238" s="1" t="n">
        <v>46158</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37486-2024</t>
        </is>
      </c>
      <c r="B239" s="1" t="n">
        <v>45541</v>
      </c>
      <c r="C239" s="1" t="n">
        <v>46158</v>
      </c>
      <c r="D239" t="inlineStr">
        <is>
          <t>SKÅNE LÄN</t>
        </is>
      </c>
      <c r="E239" t="inlineStr">
        <is>
          <t>HÄSSLEHOLM</t>
        </is>
      </c>
      <c r="G239" t="n">
        <v>8.5</v>
      </c>
      <c r="H239" t="n">
        <v>0</v>
      </c>
      <c r="I239" t="n">
        <v>0</v>
      </c>
      <c r="J239" t="n">
        <v>0</v>
      </c>
      <c r="K239" t="n">
        <v>0</v>
      </c>
      <c r="L239" t="n">
        <v>0</v>
      </c>
      <c r="M239" t="n">
        <v>0</v>
      </c>
      <c r="N239" t="n">
        <v>0</v>
      </c>
      <c r="O239" t="n">
        <v>0</v>
      </c>
      <c r="P239" t="n">
        <v>0</v>
      </c>
      <c r="Q239" t="n">
        <v>0</v>
      </c>
      <c r="R239" s="2" t="inlineStr"/>
    </row>
    <row r="240" ht="15" customHeight="1">
      <c r="A240" t="inlineStr">
        <is>
          <t>A 44838-2023</t>
        </is>
      </c>
      <c r="B240" s="1" t="n">
        <v>45190</v>
      </c>
      <c r="C240" s="1" t="n">
        <v>46158</v>
      </c>
      <c r="D240" t="inlineStr">
        <is>
          <t>SKÅNE LÄN</t>
        </is>
      </c>
      <c r="E240" t="inlineStr">
        <is>
          <t>HÄSSLEHOLM</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57649-2022</t>
        </is>
      </c>
      <c r="B241" s="1" t="n">
        <v>44897.42755787037</v>
      </c>
      <c r="C241" s="1" t="n">
        <v>46158</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57665-2022</t>
        </is>
      </c>
      <c r="B242" s="1" t="n">
        <v>44897.4494212963</v>
      </c>
      <c r="C242" s="1" t="n">
        <v>46158</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57676-2022</t>
        </is>
      </c>
      <c r="B243" s="1" t="n">
        <v>44897</v>
      </c>
      <c r="C243" s="1" t="n">
        <v>46158</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34342-2021</t>
        </is>
      </c>
      <c r="B244" s="1" t="n">
        <v>44379</v>
      </c>
      <c r="C244" s="1" t="n">
        <v>46158</v>
      </c>
      <c r="D244" t="inlineStr">
        <is>
          <t>SKÅNE LÄN</t>
        </is>
      </c>
      <c r="E244" t="inlineStr">
        <is>
          <t>HÄSSLEHOLM</t>
        </is>
      </c>
      <c r="G244" t="n">
        <v>7</v>
      </c>
      <c r="H244" t="n">
        <v>0</v>
      </c>
      <c r="I244" t="n">
        <v>0</v>
      </c>
      <c r="J244" t="n">
        <v>0</v>
      </c>
      <c r="K244" t="n">
        <v>0</v>
      </c>
      <c r="L244" t="n">
        <v>0</v>
      </c>
      <c r="M244" t="n">
        <v>0</v>
      </c>
      <c r="N244" t="n">
        <v>0</v>
      </c>
      <c r="O244" t="n">
        <v>0</v>
      </c>
      <c r="P244" t="n">
        <v>0</v>
      </c>
      <c r="Q244" t="n">
        <v>0</v>
      </c>
      <c r="R244" s="2" t="inlineStr"/>
    </row>
    <row r="245" ht="15" customHeight="1">
      <c r="A245" t="inlineStr">
        <is>
          <t>A 15072-2024</t>
        </is>
      </c>
      <c r="B245" s="1" t="n">
        <v>45399.5996875</v>
      </c>
      <c r="C245" s="1" t="n">
        <v>46158</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16930-2024</t>
        </is>
      </c>
      <c r="B246" s="1" t="n">
        <v>45411</v>
      </c>
      <c r="C246" s="1" t="n">
        <v>46158</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6316-2026</t>
        </is>
      </c>
      <c r="B247" s="1" t="n">
        <v>46055</v>
      </c>
      <c r="C247" s="1" t="n">
        <v>46158</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63709-2025</t>
        </is>
      </c>
      <c r="B248" s="1" t="n">
        <v>46014.61700231482</v>
      </c>
      <c r="C248" s="1" t="n">
        <v>46158</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54671-2022</t>
        </is>
      </c>
      <c r="B249" s="1" t="n">
        <v>44883</v>
      </c>
      <c r="C249" s="1" t="n">
        <v>46158</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11262-2025</t>
        </is>
      </c>
      <c r="B250" s="1" t="n">
        <v>45726</v>
      </c>
      <c r="C250" s="1" t="n">
        <v>46158</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5395-2024</t>
        </is>
      </c>
      <c r="B251" s="1" t="n">
        <v>45331</v>
      </c>
      <c r="C251" s="1" t="n">
        <v>46158</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6328-2026</t>
        </is>
      </c>
      <c r="B252" s="1" t="n">
        <v>46055</v>
      </c>
      <c r="C252" s="1" t="n">
        <v>46158</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56069-2024</t>
        </is>
      </c>
      <c r="B253" s="1" t="n">
        <v>45624.38006944444</v>
      </c>
      <c r="C253" s="1" t="n">
        <v>46158</v>
      </c>
      <c r="D253" t="inlineStr">
        <is>
          <t>SKÅNE LÄN</t>
        </is>
      </c>
      <c r="E253" t="inlineStr">
        <is>
          <t>HÄSSLEHOLM</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53887-2023</t>
        </is>
      </c>
      <c r="B254" s="1" t="n">
        <v>45231.52675925926</v>
      </c>
      <c r="C254" s="1" t="n">
        <v>46158</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63712-2025</t>
        </is>
      </c>
      <c r="B255" s="1" t="n">
        <v>46014.63092592593</v>
      </c>
      <c r="C255" s="1" t="n">
        <v>46158</v>
      </c>
      <c r="D255" t="inlineStr">
        <is>
          <t>SKÅNE LÄN</t>
        </is>
      </c>
      <c r="E255" t="inlineStr">
        <is>
          <t>HÄSSLEHOLM</t>
        </is>
      </c>
      <c r="G255" t="n">
        <v>3.9</v>
      </c>
      <c r="H255" t="n">
        <v>0</v>
      </c>
      <c r="I255" t="n">
        <v>0</v>
      </c>
      <c r="J255" t="n">
        <v>0</v>
      </c>
      <c r="K255" t="n">
        <v>0</v>
      </c>
      <c r="L255" t="n">
        <v>0</v>
      </c>
      <c r="M255" t="n">
        <v>0</v>
      </c>
      <c r="N255" t="n">
        <v>0</v>
      </c>
      <c r="O255" t="n">
        <v>0</v>
      </c>
      <c r="P255" t="n">
        <v>0</v>
      </c>
      <c r="Q255" t="n">
        <v>0</v>
      </c>
      <c r="R255" s="2" t="inlineStr"/>
    </row>
    <row r="256" ht="15" customHeight="1">
      <c r="A256" t="inlineStr">
        <is>
          <t>A 49167-2022</t>
        </is>
      </c>
      <c r="B256" s="1" t="n">
        <v>44860</v>
      </c>
      <c r="C256" s="1" t="n">
        <v>46158</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28071-2023</t>
        </is>
      </c>
      <c r="B257" s="1" t="n">
        <v>45099.37755787037</v>
      </c>
      <c r="C257" s="1" t="n">
        <v>46158</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60797-2024</t>
        </is>
      </c>
      <c r="B258" s="1" t="n">
        <v>45644</v>
      </c>
      <c r="C258" s="1" t="n">
        <v>46158</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3507-2024</t>
        </is>
      </c>
      <c r="B259" s="1" t="n">
        <v>45320.4906712963</v>
      </c>
      <c r="C259" s="1" t="n">
        <v>46158</v>
      </c>
      <c r="D259" t="inlineStr">
        <is>
          <t>SKÅNE LÄN</t>
        </is>
      </c>
      <c r="E259" t="inlineStr">
        <is>
          <t>HÄSSLEHOLM</t>
        </is>
      </c>
      <c r="G259" t="n">
        <v>6.4</v>
      </c>
      <c r="H259" t="n">
        <v>0</v>
      </c>
      <c r="I259" t="n">
        <v>0</v>
      </c>
      <c r="J259" t="n">
        <v>0</v>
      </c>
      <c r="K259" t="n">
        <v>0</v>
      </c>
      <c r="L259" t="n">
        <v>0</v>
      </c>
      <c r="M259" t="n">
        <v>0</v>
      </c>
      <c r="N259" t="n">
        <v>0</v>
      </c>
      <c r="O259" t="n">
        <v>0</v>
      </c>
      <c r="P259" t="n">
        <v>0</v>
      </c>
      <c r="Q259" t="n">
        <v>0</v>
      </c>
      <c r="R259" s="2" t="inlineStr"/>
    </row>
    <row r="260" ht="15" customHeight="1">
      <c r="A260" t="inlineStr">
        <is>
          <t>A 4119-2024</t>
        </is>
      </c>
      <c r="B260" s="1" t="n">
        <v>45323.67920138889</v>
      </c>
      <c r="C260" s="1" t="n">
        <v>46158</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48877-2024</t>
        </is>
      </c>
      <c r="B261" s="1" t="n">
        <v>45594.31729166667</v>
      </c>
      <c r="C261" s="1" t="n">
        <v>46158</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47647-2024</t>
        </is>
      </c>
      <c r="B262" s="1" t="n">
        <v>45588</v>
      </c>
      <c r="C262" s="1" t="n">
        <v>46158</v>
      </c>
      <c r="D262" t="inlineStr">
        <is>
          <t>SKÅNE LÄN</t>
        </is>
      </c>
      <c r="E262" t="inlineStr">
        <is>
          <t>HÄSSLEHOLM</t>
        </is>
      </c>
      <c r="G262" t="n">
        <v>6.5</v>
      </c>
      <c r="H262" t="n">
        <v>0</v>
      </c>
      <c r="I262" t="n">
        <v>0</v>
      </c>
      <c r="J262" t="n">
        <v>0</v>
      </c>
      <c r="K262" t="n">
        <v>0</v>
      </c>
      <c r="L262" t="n">
        <v>0</v>
      </c>
      <c r="M262" t="n">
        <v>0</v>
      </c>
      <c r="N262" t="n">
        <v>0</v>
      </c>
      <c r="O262" t="n">
        <v>0</v>
      </c>
      <c r="P262" t="n">
        <v>0</v>
      </c>
      <c r="Q262" t="n">
        <v>0</v>
      </c>
      <c r="R262" s="2" t="inlineStr"/>
    </row>
    <row r="263" ht="15" customHeight="1">
      <c r="A263" t="inlineStr">
        <is>
          <t>A 1619-2022</t>
        </is>
      </c>
      <c r="B263" s="1" t="n">
        <v>44573</v>
      </c>
      <c r="C263" s="1" t="n">
        <v>46158</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24034-2025</t>
        </is>
      </c>
      <c r="B264" s="1" t="n">
        <v>45796.48251157408</v>
      </c>
      <c r="C264" s="1" t="n">
        <v>46158</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24039-2025</t>
        </is>
      </c>
      <c r="B265" s="1" t="n">
        <v>45796.48675925926</v>
      </c>
      <c r="C265" s="1" t="n">
        <v>46158</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22132-2024</t>
        </is>
      </c>
      <c r="B266" s="1" t="n">
        <v>45444.37234953704</v>
      </c>
      <c r="C266" s="1" t="n">
        <v>46158</v>
      </c>
      <c r="D266" t="inlineStr">
        <is>
          <t>SKÅNE LÄN</t>
        </is>
      </c>
      <c r="E266" t="inlineStr">
        <is>
          <t>HÄSSLEHOLM</t>
        </is>
      </c>
      <c r="G266" t="n">
        <v>3.1</v>
      </c>
      <c r="H266" t="n">
        <v>0</v>
      </c>
      <c r="I266" t="n">
        <v>0</v>
      </c>
      <c r="J266" t="n">
        <v>0</v>
      </c>
      <c r="K266" t="n">
        <v>0</v>
      </c>
      <c r="L266" t="n">
        <v>0</v>
      </c>
      <c r="M266" t="n">
        <v>0</v>
      </c>
      <c r="N266" t="n">
        <v>0</v>
      </c>
      <c r="O266" t="n">
        <v>0</v>
      </c>
      <c r="P266" t="n">
        <v>0</v>
      </c>
      <c r="Q266" t="n">
        <v>0</v>
      </c>
      <c r="R266" s="2" t="inlineStr"/>
    </row>
    <row r="267" ht="15" customHeight="1">
      <c r="A267" t="inlineStr">
        <is>
          <t>A 54171-2022</t>
        </is>
      </c>
      <c r="B267" s="1" t="n">
        <v>44881</v>
      </c>
      <c r="C267" s="1" t="n">
        <v>46158</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7681-2025</t>
        </is>
      </c>
      <c r="B268" s="1" t="n">
        <v>45706.36758101852</v>
      </c>
      <c r="C268" s="1" t="n">
        <v>46158</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3245-2022</t>
        </is>
      </c>
      <c r="B269" s="1" t="n">
        <v>44583.39136574074</v>
      </c>
      <c r="C269" s="1" t="n">
        <v>46158</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24032-2025</t>
        </is>
      </c>
      <c r="B270" s="1" t="n">
        <v>45796.478125</v>
      </c>
      <c r="C270" s="1" t="n">
        <v>46158</v>
      </c>
      <c r="D270" t="inlineStr">
        <is>
          <t>SKÅNE LÄN</t>
        </is>
      </c>
      <c r="E270" t="inlineStr">
        <is>
          <t>HÄSSLEHOLM</t>
        </is>
      </c>
      <c r="G270" t="n">
        <v>2.2</v>
      </c>
      <c r="H270" t="n">
        <v>0</v>
      </c>
      <c r="I270" t="n">
        <v>0</v>
      </c>
      <c r="J270" t="n">
        <v>0</v>
      </c>
      <c r="K270" t="n">
        <v>0</v>
      </c>
      <c r="L270" t="n">
        <v>0</v>
      </c>
      <c r="M270" t="n">
        <v>0</v>
      </c>
      <c r="N270" t="n">
        <v>0</v>
      </c>
      <c r="O270" t="n">
        <v>0</v>
      </c>
      <c r="P270" t="n">
        <v>0</v>
      </c>
      <c r="Q270" t="n">
        <v>0</v>
      </c>
      <c r="R270" s="2" t="inlineStr"/>
    </row>
    <row r="271" ht="15" customHeight="1">
      <c r="A271" t="inlineStr">
        <is>
          <t>A 31255-2024</t>
        </is>
      </c>
      <c r="B271" s="1" t="n">
        <v>45503.69114583333</v>
      </c>
      <c r="C271" s="1" t="n">
        <v>46158</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5252-2025</t>
        </is>
      </c>
      <c r="B272" s="1" t="n">
        <v>45692.3449537037</v>
      </c>
      <c r="C272" s="1" t="n">
        <v>46158</v>
      </c>
      <c r="D272" t="inlineStr">
        <is>
          <t>SKÅNE LÄN</t>
        </is>
      </c>
      <c r="E272" t="inlineStr">
        <is>
          <t>HÄSSLEHOLM</t>
        </is>
      </c>
      <c r="G272" t="n">
        <v>2.1</v>
      </c>
      <c r="H272" t="n">
        <v>0</v>
      </c>
      <c r="I272" t="n">
        <v>0</v>
      </c>
      <c r="J272" t="n">
        <v>0</v>
      </c>
      <c r="K272" t="n">
        <v>0</v>
      </c>
      <c r="L272" t="n">
        <v>0</v>
      </c>
      <c r="M272" t="n">
        <v>0</v>
      </c>
      <c r="N272" t="n">
        <v>0</v>
      </c>
      <c r="O272" t="n">
        <v>0</v>
      </c>
      <c r="P272" t="n">
        <v>0</v>
      </c>
      <c r="Q272" t="n">
        <v>0</v>
      </c>
      <c r="R272" s="2" t="inlineStr"/>
    </row>
    <row r="273" ht="15" customHeight="1">
      <c r="A273" t="inlineStr">
        <is>
          <t>A 24047-2025</t>
        </is>
      </c>
      <c r="B273" s="1" t="n">
        <v>45796.49528935185</v>
      </c>
      <c r="C273" s="1" t="n">
        <v>46158</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60789-2024</t>
        </is>
      </c>
      <c r="B274" s="1" t="n">
        <v>45644</v>
      </c>
      <c r="C274" s="1" t="n">
        <v>46158</v>
      </c>
      <c r="D274" t="inlineStr">
        <is>
          <t>SKÅNE LÄN</t>
        </is>
      </c>
      <c r="E274" t="inlineStr">
        <is>
          <t>HÄSSLEHOLM</t>
        </is>
      </c>
      <c r="G274" t="n">
        <v>3</v>
      </c>
      <c r="H274" t="n">
        <v>0</v>
      </c>
      <c r="I274" t="n">
        <v>0</v>
      </c>
      <c r="J274" t="n">
        <v>0</v>
      </c>
      <c r="K274" t="n">
        <v>0</v>
      </c>
      <c r="L274" t="n">
        <v>0</v>
      </c>
      <c r="M274" t="n">
        <v>0</v>
      </c>
      <c r="N274" t="n">
        <v>0</v>
      </c>
      <c r="O274" t="n">
        <v>0</v>
      </c>
      <c r="P274" t="n">
        <v>0</v>
      </c>
      <c r="Q274" t="n">
        <v>0</v>
      </c>
      <c r="R274" s="2" t="inlineStr"/>
    </row>
    <row r="275" ht="15" customHeight="1">
      <c r="A275" t="inlineStr">
        <is>
          <t>A 4787-2023</t>
        </is>
      </c>
      <c r="B275" s="1" t="n">
        <v>44957.60079861111</v>
      </c>
      <c r="C275" s="1" t="n">
        <v>46158</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4788-2023</t>
        </is>
      </c>
      <c r="B276" s="1" t="n">
        <v>44957.60130787037</v>
      </c>
      <c r="C276" s="1" t="n">
        <v>46158</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24029-2025</t>
        </is>
      </c>
      <c r="B277" s="1" t="n">
        <v>45796.47552083333</v>
      </c>
      <c r="C277" s="1" t="n">
        <v>46158</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32210-2024</t>
        </is>
      </c>
      <c r="B278" s="1" t="n">
        <v>45511.67777777778</v>
      </c>
      <c r="C278" s="1" t="n">
        <v>46158</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59431-2023</t>
        </is>
      </c>
      <c r="B279" s="1" t="n">
        <v>45254.29207175926</v>
      </c>
      <c r="C279" s="1" t="n">
        <v>46158</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59433-2023</t>
        </is>
      </c>
      <c r="B280" s="1" t="n">
        <v>45254.29768518519</v>
      </c>
      <c r="C280" s="1" t="n">
        <v>46158</v>
      </c>
      <c r="D280" t="inlineStr">
        <is>
          <t>SKÅNE LÄN</t>
        </is>
      </c>
      <c r="E280" t="inlineStr">
        <is>
          <t>HÄSSLEHOLM</t>
        </is>
      </c>
      <c r="G280" t="n">
        <v>3.1</v>
      </c>
      <c r="H280" t="n">
        <v>0</v>
      </c>
      <c r="I280" t="n">
        <v>0</v>
      </c>
      <c r="J280" t="n">
        <v>0</v>
      </c>
      <c r="K280" t="n">
        <v>0</v>
      </c>
      <c r="L280" t="n">
        <v>0</v>
      </c>
      <c r="M280" t="n">
        <v>0</v>
      </c>
      <c r="N280" t="n">
        <v>0</v>
      </c>
      <c r="O280" t="n">
        <v>0</v>
      </c>
      <c r="P280" t="n">
        <v>0</v>
      </c>
      <c r="Q280" t="n">
        <v>0</v>
      </c>
      <c r="R280" s="2" t="inlineStr"/>
    </row>
    <row r="281" ht="15" customHeight="1">
      <c r="A281" t="inlineStr">
        <is>
          <t>A 24675-2025</t>
        </is>
      </c>
      <c r="B281" s="1" t="n">
        <v>45798.653125</v>
      </c>
      <c r="C281" s="1" t="n">
        <v>46158</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23864-2024</t>
        </is>
      </c>
      <c r="B282" s="1" t="n">
        <v>45455</v>
      </c>
      <c r="C282" s="1" t="n">
        <v>46158</v>
      </c>
      <c r="D282" t="inlineStr">
        <is>
          <t>SKÅNE LÄN</t>
        </is>
      </c>
      <c r="E282" t="inlineStr">
        <is>
          <t>HÄSSLEHOLM</t>
        </is>
      </c>
      <c r="G282" t="n">
        <v>6.2</v>
      </c>
      <c r="H282" t="n">
        <v>0</v>
      </c>
      <c r="I282" t="n">
        <v>0</v>
      </c>
      <c r="J282" t="n">
        <v>0</v>
      </c>
      <c r="K282" t="n">
        <v>0</v>
      </c>
      <c r="L282" t="n">
        <v>0</v>
      </c>
      <c r="M282" t="n">
        <v>0</v>
      </c>
      <c r="N282" t="n">
        <v>0</v>
      </c>
      <c r="O282" t="n">
        <v>0</v>
      </c>
      <c r="P282" t="n">
        <v>0</v>
      </c>
      <c r="Q282" t="n">
        <v>0</v>
      </c>
      <c r="R282" s="2" t="inlineStr"/>
    </row>
    <row r="283" ht="15" customHeight="1">
      <c r="A283" t="inlineStr">
        <is>
          <t>A 10562-2025</t>
        </is>
      </c>
      <c r="B283" s="1" t="n">
        <v>45721.52913194444</v>
      </c>
      <c r="C283" s="1" t="n">
        <v>46158</v>
      </c>
      <c r="D283" t="inlineStr">
        <is>
          <t>SKÅNE LÄN</t>
        </is>
      </c>
      <c r="E283" t="inlineStr">
        <is>
          <t>HÄSSLEHOLM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4734-2025</t>
        </is>
      </c>
      <c r="B284" s="1" t="n">
        <v>45688.44030092593</v>
      </c>
      <c r="C284" s="1" t="n">
        <v>46158</v>
      </c>
      <c r="D284" t="inlineStr">
        <is>
          <t>SKÅNE LÄN</t>
        </is>
      </c>
      <c r="E284" t="inlineStr">
        <is>
          <t>HÄSSLEHOLM</t>
        </is>
      </c>
      <c r="G284" t="n">
        <v>19.6</v>
      </c>
      <c r="H284" t="n">
        <v>0</v>
      </c>
      <c r="I284" t="n">
        <v>0</v>
      </c>
      <c r="J284" t="n">
        <v>0</v>
      </c>
      <c r="K284" t="n">
        <v>0</v>
      </c>
      <c r="L284" t="n">
        <v>0</v>
      </c>
      <c r="M284" t="n">
        <v>0</v>
      </c>
      <c r="N284" t="n">
        <v>0</v>
      </c>
      <c r="O284" t="n">
        <v>0</v>
      </c>
      <c r="P284" t="n">
        <v>0</v>
      </c>
      <c r="Q284" t="n">
        <v>0</v>
      </c>
      <c r="R284" s="2" t="inlineStr"/>
    </row>
    <row r="285" ht="15" customHeight="1">
      <c r="A285" t="inlineStr">
        <is>
          <t>A 32512-2024</t>
        </is>
      </c>
      <c r="B285" s="1" t="n">
        <v>45513.45613425926</v>
      </c>
      <c r="C285" s="1" t="n">
        <v>46158</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54174-2022</t>
        </is>
      </c>
      <c r="B286" s="1" t="n">
        <v>44881</v>
      </c>
      <c r="C286" s="1" t="n">
        <v>46158</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52235-2021</t>
        </is>
      </c>
      <c r="B287" s="1" t="n">
        <v>44463.60085648148</v>
      </c>
      <c r="C287" s="1" t="n">
        <v>46158</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55522-2024</t>
        </is>
      </c>
      <c r="B288" s="1" t="n">
        <v>45622</v>
      </c>
      <c r="C288" s="1" t="n">
        <v>46158</v>
      </c>
      <c r="D288" t="inlineStr">
        <is>
          <t>SKÅNE LÄN</t>
        </is>
      </c>
      <c r="E288" t="inlineStr">
        <is>
          <t>HÄSSLEHOLM</t>
        </is>
      </c>
      <c r="G288" t="n">
        <v>5.6</v>
      </c>
      <c r="H288" t="n">
        <v>0</v>
      </c>
      <c r="I288" t="n">
        <v>0</v>
      </c>
      <c r="J288" t="n">
        <v>0</v>
      </c>
      <c r="K288" t="n">
        <v>0</v>
      </c>
      <c r="L288" t="n">
        <v>0</v>
      </c>
      <c r="M288" t="n">
        <v>0</v>
      </c>
      <c r="N288" t="n">
        <v>0</v>
      </c>
      <c r="O288" t="n">
        <v>0</v>
      </c>
      <c r="P288" t="n">
        <v>0</v>
      </c>
      <c r="Q288" t="n">
        <v>0</v>
      </c>
      <c r="R288" s="2" t="inlineStr"/>
    </row>
    <row r="289" ht="15" customHeight="1">
      <c r="A289" t="inlineStr">
        <is>
          <t>A 53302-2022</t>
        </is>
      </c>
      <c r="B289" s="1" t="n">
        <v>44877</v>
      </c>
      <c r="C289" s="1" t="n">
        <v>46158</v>
      </c>
      <c r="D289" t="inlineStr">
        <is>
          <t>SKÅNE LÄN</t>
        </is>
      </c>
      <c r="E289" t="inlineStr">
        <is>
          <t>HÄSSLEHOLM</t>
        </is>
      </c>
      <c r="G289" t="n">
        <v>0.1</v>
      </c>
      <c r="H289" t="n">
        <v>0</v>
      </c>
      <c r="I289" t="n">
        <v>0</v>
      </c>
      <c r="J289" t="n">
        <v>0</v>
      </c>
      <c r="K289" t="n">
        <v>0</v>
      </c>
      <c r="L289" t="n">
        <v>0</v>
      </c>
      <c r="M289" t="n">
        <v>0</v>
      </c>
      <c r="N289" t="n">
        <v>0</v>
      </c>
      <c r="O289" t="n">
        <v>0</v>
      </c>
      <c r="P289" t="n">
        <v>0</v>
      </c>
      <c r="Q289" t="n">
        <v>0</v>
      </c>
      <c r="R289" s="2" t="inlineStr"/>
    </row>
    <row r="290" ht="15" customHeight="1">
      <c r="A290" t="inlineStr">
        <is>
          <t>A 5242-2025</t>
        </is>
      </c>
      <c r="B290" s="1" t="n">
        <v>45692.32883101852</v>
      </c>
      <c r="C290" s="1" t="n">
        <v>46158</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52642-2021</t>
        </is>
      </c>
      <c r="B291" s="1" t="n">
        <v>44466.64298611111</v>
      </c>
      <c r="C291" s="1" t="n">
        <v>46158</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29850-2024</t>
        </is>
      </c>
      <c r="B292" s="1" t="n">
        <v>45485.64620370371</v>
      </c>
      <c r="C292" s="1" t="n">
        <v>46158</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26403-2024</t>
        </is>
      </c>
      <c r="B293" s="1" t="n">
        <v>45469.44505787037</v>
      </c>
      <c r="C293" s="1" t="n">
        <v>46158</v>
      </c>
      <c r="D293" t="inlineStr">
        <is>
          <t>SKÅNE LÄN</t>
        </is>
      </c>
      <c r="E293" t="inlineStr">
        <is>
          <t>HÄSSLEHOLM</t>
        </is>
      </c>
      <c r="G293" t="n">
        <v>2.6</v>
      </c>
      <c r="H293" t="n">
        <v>0</v>
      </c>
      <c r="I293" t="n">
        <v>0</v>
      </c>
      <c r="J293" t="n">
        <v>0</v>
      </c>
      <c r="K293" t="n">
        <v>0</v>
      </c>
      <c r="L293" t="n">
        <v>0</v>
      </c>
      <c r="M293" t="n">
        <v>0</v>
      </c>
      <c r="N293" t="n">
        <v>0</v>
      </c>
      <c r="O293" t="n">
        <v>0</v>
      </c>
      <c r="P293" t="n">
        <v>0</v>
      </c>
      <c r="Q293" t="n">
        <v>0</v>
      </c>
      <c r="R293" s="2" t="inlineStr"/>
    </row>
    <row r="294" ht="15" customHeight="1">
      <c r="A294" t="inlineStr">
        <is>
          <t>A 26403-2024</t>
        </is>
      </c>
      <c r="B294" s="1" t="n">
        <v>45469.44505787037</v>
      </c>
      <c r="C294" s="1" t="n">
        <v>46158</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35711-2024</t>
        </is>
      </c>
      <c r="B295" s="1" t="n">
        <v>45532</v>
      </c>
      <c r="C295" s="1" t="n">
        <v>46158</v>
      </c>
      <c r="D295" t="inlineStr">
        <is>
          <t>SKÅNE LÄN</t>
        </is>
      </c>
      <c r="E295" t="inlineStr">
        <is>
          <t>HÄSSLEHOLM</t>
        </is>
      </c>
      <c r="G295" t="n">
        <v>1.4</v>
      </c>
      <c r="H295" t="n">
        <v>0</v>
      </c>
      <c r="I295" t="n">
        <v>0</v>
      </c>
      <c r="J295" t="n">
        <v>0</v>
      </c>
      <c r="K295" t="n">
        <v>0</v>
      </c>
      <c r="L295" t="n">
        <v>0</v>
      </c>
      <c r="M295" t="n">
        <v>0</v>
      </c>
      <c r="N295" t="n">
        <v>0</v>
      </c>
      <c r="O295" t="n">
        <v>0</v>
      </c>
      <c r="P295" t="n">
        <v>0</v>
      </c>
      <c r="Q295" t="n">
        <v>0</v>
      </c>
      <c r="R295" s="2" t="inlineStr"/>
    </row>
    <row r="296" ht="15" customHeight="1">
      <c r="A296" t="inlineStr">
        <is>
          <t>A 42735-2024</t>
        </is>
      </c>
      <c r="B296" s="1" t="n">
        <v>45566.47274305556</v>
      </c>
      <c r="C296" s="1" t="n">
        <v>46158</v>
      </c>
      <c r="D296" t="inlineStr">
        <is>
          <t>SKÅNE LÄN</t>
        </is>
      </c>
      <c r="E296" t="inlineStr">
        <is>
          <t>HÄSSLEHOLM</t>
        </is>
      </c>
      <c r="G296" t="n">
        <v>3.7</v>
      </c>
      <c r="H296" t="n">
        <v>0</v>
      </c>
      <c r="I296" t="n">
        <v>0</v>
      </c>
      <c r="J296" t="n">
        <v>0</v>
      </c>
      <c r="K296" t="n">
        <v>0</v>
      </c>
      <c r="L296" t="n">
        <v>0</v>
      </c>
      <c r="M296" t="n">
        <v>0</v>
      </c>
      <c r="N296" t="n">
        <v>0</v>
      </c>
      <c r="O296" t="n">
        <v>0</v>
      </c>
      <c r="P296" t="n">
        <v>0</v>
      </c>
      <c r="Q296" t="n">
        <v>0</v>
      </c>
      <c r="R296" s="2" t="inlineStr"/>
    </row>
    <row r="297" ht="15" customHeight="1">
      <c r="A297" t="inlineStr">
        <is>
          <t>A 24658-2025</t>
        </is>
      </c>
      <c r="B297" s="1" t="n">
        <v>45798.64134259259</v>
      </c>
      <c r="C297" s="1" t="n">
        <v>46158</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24776-2025</t>
        </is>
      </c>
      <c r="B298" s="1" t="n">
        <v>45799.40640046296</v>
      </c>
      <c r="C298" s="1" t="n">
        <v>46158</v>
      </c>
      <c r="D298" t="inlineStr">
        <is>
          <t>SKÅNE LÄN</t>
        </is>
      </c>
      <c r="E298" t="inlineStr">
        <is>
          <t>HÄSSLEHOLM</t>
        </is>
      </c>
      <c r="G298" t="n">
        <v>5.4</v>
      </c>
      <c r="H298" t="n">
        <v>0</v>
      </c>
      <c r="I298" t="n">
        <v>0</v>
      </c>
      <c r="J298" t="n">
        <v>0</v>
      </c>
      <c r="K298" t="n">
        <v>0</v>
      </c>
      <c r="L298" t="n">
        <v>0</v>
      </c>
      <c r="M298" t="n">
        <v>0</v>
      </c>
      <c r="N298" t="n">
        <v>0</v>
      </c>
      <c r="O298" t="n">
        <v>0</v>
      </c>
      <c r="P298" t="n">
        <v>0</v>
      </c>
      <c r="Q298" t="n">
        <v>0</v>
      </c>
      <c r="R298" s="2" t="inlineStr"/>
    </row>
    <row r="299" ht="15" customHeight="1">
      <c r="A299" t="inlineStr">
        <is>
          <t>A 24250-2025</t>
        </is>
      </c>
      <c r="B299" s="1" t="n">
        <v>45797.40260416667</v>
      </c>
      <c r="C299" s="1" t="n">
        <v>46158</v>
      </c>
      <c r="D299" t="inlineStr">
        <is>
          <t>SKÅNE LÄN</t>
        </is>
      </c>
      <c r="E299" t="inlineStr">
        <is>
          <t>HÄSSLEHOLM</t>
        </is>
      </c>
      <c r="G299" t="n">
        <v>2.3</v>
      </c>
      <c r="H299" t="n">
        <v>0</v>
      </c>
      <c r="I299" t="n">
        <v>0</v>
      </c>
      <c r="J299" t="n">
        <v>0</v>
      </c>
      <c r="K299" t="n">
        <v>0</v>
      </c>
      <c r="L299" t="n">
        <v>0</v>
      </c>
      <c r="M299" t="n">
        <v>0</v>
      </c>
      <c r="N299" t="n">
        <v>0</v>
      </c>
      <c r="O299" t="n">
        <v>0</v>
      </c>
      <c r="P299" t="n">
        <v>0</v>
      </c>
      <c r="Q299" t="n">
        <v>0</v>
      </c>
      <c r="R299" s="2" t="inlineStr"/>
    </row>
    <row r="300" ht="15" customHeight="1">
      <c r="A300" t="inlineStr">
        <is>
          <t>A 62041-2022</t>
        </is>
      </c>
      <c r="B300" s="1" t="n">
        <v>44918.55743055556</v>
      </c>
      <c r="C300" s="1" t="n">
        <v>46158</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32826-2024</t>
        </is>
      </c>
      <c r="B301" s="1" t="n">
        <v>45516.59056712963</v>
      </c>
      <c r="C301" s="1" t="n">
        <v>46158</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9239-2025</t>
        </is>
      </c>
      <c r="B302" s="1" t="n">
        <v>45714</v>
      </c>
      <c r="C302" s="1" t="n">
        <v>46158</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16121-2025</t>
        </is>
      </c>
      <c r="B303" s="1" t="n">
        <v>45750.40384259259</v>
      </c>
      <c r="C303" s="1" t="n">
        <v>46158</v>
      </c>
      <c r="D303" t="inlineStr">
        <is>
          <t>SKÅNE LÄN</t>
        </is>
      </c>
      <c r="E303" t="inlineStr">
        <is>
          <t>HÄSSLEHOLM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28599-2024</t>
        </is>
      </c>
      <c r="B304" s="1" t="n">
        <v>45478.4247800926</v>
      </c>
      <c r="C304" s="1" t="n">
        <v>46158</v>
      </c>
      <c r="D304" t="inlineStr">
        <is>
          <t>SKÅNE LÄN</t>
        </is>
      </c>
      <c r="E304" t="inlineStr">
        <is>
          <t>HÄSSLEHOLM</t>
        </is>
      </c>
      <c r="G304" t="n">
        <v>8.6</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46158</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40734-2024</t>
        </is>
      </c>
      <c r="B306" s="1" t="n">
        <v>45558</v>
      </c>
      <c r="C306" s="1" t="n">
        <v>46158</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40738-2024</t>
        </is>
      </c>
      <c r="B307" s="1" t="n">
        <v>45558</v>
      </c>
      <c r="C307" s="1" t="n">
        <v>46158</v>
      </c>
      <c r="D307" t="inlineStr">
        <is>
          <t>SKÅNE LÄN</t>
        </is>
      </c>
      <c r="E307" t="inlineStr">
        <is>
          <t>HÄSSLEHOLM</t>
        </is>
      </c>
      <c r="G307" t="n">
        <v>2.6</v>
      </c>
      <c r="H307" t="n">
        <v>0</v>
      </c>
      <c r="I307" t="n">
        <v>0</v>
      </c>
      <c r="J307" t="n">
        <v>0</v>
      </c>
      <c r="K307" t="n">
        <v>0</v>
      </c>
      <c r="L307" t="n">
        <v>0</v>
      </c>
      <c r="M307" t="n">
        <v>0</v>
      </c>
      <c r="N307" t="n">
        <v>0</v>
      </c>
      <c r="O307" t="n">
        <v>0</v>
      </c>
      <c r="P307" t="n">
        <v>0</v>
      </c>
      <c r="Q307" t="n">
        <v>0</v>
      </c>
      <c r="R307" s="2" t="inlineStr"/>
    </row>
    <row r="308" ht="15" customHeight="1">
      <c r="A308" t="inlineStr">
        <is>
          <t>A 11446-2025</t>
        </is>
      </c>
      <c r="B308" s="1" t="n">
        <v>45726</v>
      </c>
      <c r="C308" s="1" t="n">
        <v>46158</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16860-2025</t>
        </is>
      </c>
      <c r="B309" s="1" t="n">
        <v>45751</v>
      </c>
      <c r="C309" s="1" t="n">
        <v>46158</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27837-2024</t>
        </is>
      </c>
      <c r="B310" s="1" t="n">
        <v>45475</v>
      </c>
      <c r="C310" s="1" t="n">
        <v>46158</v>
      </c>
      <c r="D310" t="inlineStr">
        <is>
          <t>SKÅNE LÄN</t>
        </is>
      </c>
      <c r="E310" t="inlineStr">
        <is>
          <t>HÄSSLEHOLM</t>
        </is>
      </c>
      <c r="F310" t="inlineStr">
        <is>
          <t>Kommuner</t>
        </is>
      </c>
      <c r="G310" t="n">
        <v>2.3</v>
      </c>
      <c r="H310" t="n">
        <v>0</v>
      </c>
      <c r="I310" t="n">
        <v>0</v>
      </c>
      <c r="J310" t="n">
        <v>0</v>
      </c>
      <c r="K310" t="n">
        <v>0</v>
      </c>
      <c r="L310" t="n">
        <v>0</v>
      </c>
      <c r="M310" t="n">
        <v>0</v>
      </c>
      <c r="N310" t="n">
        <v>0</v>
      </c>
      <c r="O310" t="n">
        <v>0</v>
      </c>
      <c r="P310" t="n">
        <v>0</v>
      </c>
      <c r="Q310" t="n">
        <v>0</v>
      </c>
      <c r="R310" s="2" t="inlineStr"/>
    </row>
    <row r="311" ht="15" customHeight="1">
      <c r="A311" t="inlineStr">
        <is>
          <t>A 29659-2024</t>
        </is>
      </c>
      <c r="B311" s="1" t="n">
        <v>45484.92587962963</v>
      </c>
      <c r="C311" s="1" t="n">
        <v>46158</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9556-2025</t>
        </is>
      </c>
      <c r="B312" s="1" t="n">
        <v>45714</v>
      </c>
      <c r="C312" s="1" t="n">
        <v>46158</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1679-2022</t>
        </is>
      </c>
      <c r="B313" s="1" t="n">
        <v>44573</v>
      </c>
      <c r="C313" s="1" t="n">
        <v>46158</v>
      </c>
      <c r="D313" t="inlineStr">
        <is>
          <t>SKÅNE LÄN</t>
        </is>
      </c>
      <c r="E313" t="inlineStr">
        <is>
          <t>HÄSSLEHOLM</t>
        </is>
      </c>
      <c r="F313" t="inlineStr">
        <is>
          <t>Kyrkan</t>
        </is>
      </c>
      <c r="G313" t="n">
        <v>4.3</v>
      </c>
      <c r="H313" t="n">
        <v>0</v>
      </c>
      <c r="I313" t="n">
        <v>0</v>
      </c>
      <c r="J313" t="n">
        <v>0</v>
      </c>
      <c r="K313" t="n">
        <v>0</v>
      </c>
      <c r="L313" t="n">
        <v>0</v>
      </c>
      <c r="M313" t="n">
        <v>0</v>
      </c>
      <c r="N313" t="n">
        <v>0</v>
      </c>
      <c r="O313" t="n">
        <v>0</v>
      </c>
      <c r="P313" t="n">
        <v>0</v>
      </c>
      <c r="Q313" t="n">
        <v>0</v>
      </c>
      <c r="R313" s="2" t="inlineStr"/>
    </row>
    <row r="314" ht="15" customHeight="1">
      <c r="A314" t="inlineStr">
        <is>
          <t>A 37141-2021</t>
        </is>
      </c>
      <c r="B314" s="1" t="n">
        <v>44396</v>
      </c>
      <c r="C314" s="1" t="n">
        <v>46158</v>
      </c>
      <c r="D314" t="inlineStr">
        <is>
          <t>SKÅNE LÄN</t>
        </is>
      </c>
      <c r="E314" t="inlineStr">
        <is>
          <t>HÄSSLEHOLM</t>
        </is>
      </c>
      <c r="G314" t="n">
        <v>12.8</v>
      </c>
      <c r="H314" t="n">
        <v>0</v>
      </c>
      <c r="I314" t="n">
        <v>0</v>
      </c>
      <c r="J314" t="n">
        <v>0</v>
      </c>
      <c r="K314" t="n">
        <v>0</v>
      </c>
      <c r="L314" t="n">
        <v>0</v>
      </c>
      <c r="M314" t="n">
        <v>0</v>
      </c>
      <c r="N314" t="n">
        <v>0</v>
      </c>
      <c r="O314" t="n">
        <v>0</v>
      </c>
      <c r="P314" t="n">
        <v>0</v>
      </c>
      <c r="Q314" t="n">
        <v>0</v>
      </c>
      <c r="R314" s="2" t="inlineStr"/>
    </row>
    <row r="315" ht="15" customHeight="1">
      <c r="A315" t="inlineStr">
        <is>
          <t>A 39453-2025</t>
        </is>
      </c>
      <c r="B315" s="1" t="n">
        <v>45889</v>
      </c>
      <c r="C315" s="1" t="n">
        <v>46158</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259-2024</t>
        </is>
      </c>
      <c r="B316" s="1" t="n">
        <v>45294</v>
      </c>
      <c r="C316" s="1" t="n">
        <v>46158</v>
      </c>
      <c r="D316" t="inlineStr">
        <is>
          <t>SKÅNE LÄN</t>
        </is>
      </c>
      <c r="E316" t="inlineStr">
        <is>
          <t>HÄSSLEHOLM</t>
        </is>
      </c>
      <c r="G316" t="n">
        <v>8</v>
      </c>
      <c r="H316" t="n">
        <v>0</v>
      </c>
      <c r="I316" t="n">
        <v>0</v>
      </c>
      <c r="J316" t="n">
        <v>0</v>
      </c>
      <c r="K316" t="n">
        <v>0</v>
      </c>
      <c r="L316" t="n">
        <v>0</v>
      </c>
      <c r="M316" t="n">
        <v>0</v>
      </c>
      <c r="N316" t="n">
        <v>0</v>
      </c>
      <c r="O316" t="n">
        <v>0</v>
      </c>
      <c r="P316" t="n">
        <v>0</v>
      </c>
      <c r="Q316" t="n">
        <v>0</v>
      </c>
      <c r="R316" s="2" t="inlineStr"/>
    </row>
    <row r="317" ht="15" customHeight="1">
      <c r="A317" t="inlineStr">
        <is>
          <t>A 45399-2022</t>
        </is>
      </c>
      <c r="B317" s="1" t="n">
        <v>44844.70513888889</v>
      </c>
      <c r="C317" s="1" t="n">
        <v>46158</v>
      </c>
      <c r="D317" t="inlineStr">
        <is>
          <t>SKÅNE LÄN</t>
        </is>
      </c>
      <c r="E317" t="inlineStr">
        <is>
          <t>HÄSSLEHOLM</t>
        </is>
      </c>
      <c r="G317" t="n">
        <v>0</v>
      </c>
      <c r="H317" t="n">
        <v>0</v>
      </c>
      <c r="I317" t="n">
        <v>0</v>
      </c>
      <c r="J317" t="n">
        <v>0</v>
      </c>
      <c r="K317" t="n">
        <v>0</v>
      </c>
      <c r="L317" t="n">
        <v>0</v>
      </c>
      <c r="M317" t="n">
        <v>0</v>
      </c>
      <c r="N317" t="n">
        <v>0</v>
      </c>
      <c r="O317" t="n">
        <v>0</v>
      </c>
      <c r="P317" t="n">
        <v>0</v>
      </c>
      <c r="Q317" t="n">
        <v>0</v>
      </c>
      <c r="R317" s="2" t="inlineStr"/>
    </row>
    <row r="318" ht="15" customHeight="1">
      <c r="A318" t="inlineStr">
        <is>
          <t>A 39457-2025</t>
        </is>
      </c>
      <c r="B318" s="1" t="n">
        <v>45889.76887731482</v>
      </c>
      <c r="C318" s="1" t="n">
        <v>46158</v>
      </c>
      <c r="D318" t="inlineStr">
        <is>
          <t>SKÅNE LÄN</t>
        </is>
      </c>
      <c r="E318" t="inlineStr">
        <is>
          <t>HÄSSLEHOLM</t>
        </is>
      </c>
      <c r="G318" t="n">
        <v>6.6</v>
      </c>
      <c r="H318" t="n">
        <v>0</v>
      </c>
      <c r="I318" t="n">
        <v>0</v>
      </c>
      <c r="J318" t="n">
        <v>0</v>
      </c>
      <c r="K318" t="n">
        <v>0</v>
      </c>
      <c r="L318" t="n">
        <v>0</v>
      </c>
      <c r="M318" t="n">
        <v>0</v>
      </c>
      <c r="N318" t="n">
        <v>0</v>
      </c>
      <c r="O318" t="n">
        <v>0</v>
      </c>
      <c r="P318" t="n">
        <v>0</v>
      </c>
      <c r="Q318" t="n">
        <v>0</v>
      </c>
      <c r="R318" s="2" t="inlineStr"/>
    </row>
    <row r="319" ht="15" customHeight="1">
      <c r="A319" t="inlineStr">
        <is>
          <t>A 49379-2021</t>
        </is>
      </c>
      <c r="B319" s="1" t="n">
        <v>44454</v>
      </c>
      <c r="C319" s="1" t="n">
        <v>46158</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32881-2024</t>
        </is>
      </c>
      <c r="B320" s="1" t="n">
        <v>45516</v>
      </c>
      <c r="C320" s="1" t="n">
        <v>46158</v>
      </c>
      <c r="D320" t="inlineStr">
        <is>
          <t>SKÅNE LÄN</t>
        </is>
      </c>
      <c r="E320" t="inlineStr">
        <is>
          <t>HÄSSLEHOLM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2743-2023</t>
        </is>
      </c>
      <c r="B321" s="1" t="n">
        <v>44944</v>
      </c>
      <c r="C321" s="1" t="n">
        <v>46158</v>
      </c>
      <c r="D321" t="inlineStr">
        <is>
          <t>SKÅNE LÄN</t>
        </is>
      </c>
      <c r="E321" t="inlineStr">
        <is>
          <t>HÄSSLEHOLM</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25372-2025</t>
        </is>
      </c>
      <c r="B322" s="1" t="n">
        <v>45799</v>
      </c>
      <c r="C322" s="1" t="n">
        <v>46158</v>
      </c>
      <c r="D322" t="inlineStr">
        <is>
          <t>SKÅNE LÄN</t>
        </is>
      </c>
      <c r="E322" t="inlineStr">
        <is>
          <t>HÄSSLEHOLM</t>
        </is>
      </c>
      <c r="G322" t="n">
        <v>3.1</v>
      </c>
      <c r="H322" t="n">
        <v>0</v>
      </c>
      <c r="I322" t="n">
        <v>0</v>
      </c>
      <c r="J322" t="n">
        <v>0</v>
      </c>
      <c r="K322" t="n">
        <v>0</v>
      </c>
      <c r="L322" t="n">
        <v>0</v>
      </c>
      <c r="M322" t="n">
        <v>0</v>
      </c>
      <c r="N322" t="n">
        <v>0</v>
      </c>
      <c r="O322" t="n">
        <v>0</v>
      </c>
      <c r="P322" t="n">
        <v>0</v>
      </c>
      <c r="Q322" t="n">
        <v>0</v>
      </c>
      <c r="R322" s="2" t="inlineStr"/>
    </row>
    <row r="323" ht="15" customHeight="1">
      <c r="A323" t="inlineStr">
        <is>
          <t>A 9399-2025</t>
        </is>
      </c>
      <c r="B323" s="1" t="n">
        <v>45715.37861111111</v>
      </c>
      <c r="C323" s="1" t="n">
        <v>46158</v>
      </c>
      <c r="D323" t="inlineStr">
        <is>
          <t>SKÅNE LÄN</t>
        </is>
      </c>
      <c r="E323" t="inlineStr">
        <is>
          <t>HÄSSLEHOLM</t>
        </is>
      </c>
      <c r="G323" t="n">
        <v>5.2</v>
      </c>
      <c r="H323" t="n">
        <v>0</v>
      </c>
      <c r="I323" t="n">
        <v>0</v>
      </c>
      <c r="J323" t="n">
        <v>0</v>
      </c>
      <c r="K323" t="n">
        <v>0</v>
      </c>
      <c r="L323" t="n">
        <v>0</v>
      </c>
      <c r="M323" t="n">
        <v>0</v>
      </c>
      <c r="N323" t="n">
        <v>0</v>
      </c>
      <c r="O323" t="n">
        <v>0</v>
      </c>
      <c r="P323" t="n">
        <v>0</v>
      </c>
      <c r="Q323" t="n">
        <v>0</v>
      </c>
      <c r="R323" s="2" t="inlineStr"/>
    </row>
    <row r="324" ht="15" customHeight="1">
      <c r="A324" t="inlineStr">
        <is>
          <t>A 39366-2025</t>
        </is>
      </c>
      <c r="B324" s="1" t="n">
        <v>45889</v>
      </c>
      <c r="C324" s="1" t="n">
        <v>46158</v>
      </c>
      <c r="D324" t="inlineStr">
        <is>
          <t>SKÅNE LÄN</t>
        </is>
      </c>
      <c r="E324" t="inlineStr">
        <is>
          <t>HÄSSLEHOLM</t>
        </is>
      </c>
      <c r="G324" t="n">
        <v>1</v>
      </c>
      <c r="H324" t="n">
        <v>0</v>
      </c>
      <c r="I324" t="n">
        <v>0</v>
      </c>
      <c r="J324" t="n">
        <v>0</v>
      </c>
      <c r="K324" t="n">
        <v>0</v>
      </c>
      <c r="L324" t="n">
        <v>0</v>
      </c>
      <c r="M324" t="n">
        <v>0</v>
      </c>
      <c r="N324" t="n">
        <v>0</v>
      </c>
      <c r="O324" t="n">
        <v>0</v>
      </c>
      <c r="P324" t="n">
        <v>0</v>
      </c>
      <c r="Q324" t="n">
        <v>0</v>
      </c>
      <c r="R324" s="2" t="inlineStr"/>
    </row>
    <row r="325" ht="15" customHeight="1">
      <c r="A325" t="inlineStr">
        <is>
          <t>A 51565-2023</t>
        </is>
      </c>
      <c r="B325" s="1" t="n">
        <v>45222</v>
      </c>
      <c r="C325" s="1" t="n">
        <v>46158</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62044-2022</t>
        </is>
      </c>
      <c r="B326" s="1" t="n">
        <v>44918.55976851852</v>
      </c>
      <c r="C326" s="1" t="n">
        <v>46158</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25430-2025</t>
        </is>
      </c>
      <c r="B327" s="1" t="n">
        <v>45800.78212962963</v>
      </c>
      <c r="C327" s="1" t="n">
        <v>46158</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6164-2023</t>
        </is>
      </c>
      <c r="B328" s="1" t="n">
        <v>44964.66871527778</v>
      </c>
      <c r="C328" s="1" t="n">
        <v>46158</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11470-2025</t>
        </is>
      </c>
      <c r="B329" s="1" t="n">
        <v>45726</v>
      </c>
      <c r="C329" s="1" t="n">
        <v>46158</v>
      </c>
      <c r="D329" t="inlineStr">
        <is>
          <t>SKÅNE LÄN</t>
        </is>
      </c>
      <c r="E329" t="inlineStr">
        <is>
          <t>HÄSSLEHOLM</t>
        </is>
      </c>
      <c r="G329" t="n">
        <v>0.4</v>
      </c>
      <c r="H329" t="n">
        <v>0</v>
      </c>
      <c r="I329" t="n">
        <v>0</v>
      </c>
      <c r="J329" t="n">
        <v>0</v>
      </c>
      <c r="K329" t="n">
        <v>0</v>
      </c>
      <c r="L329" t="n">
        <v>0</v>
      </c>
      <c r="M329" t="n">
        <v>0</v>
      </c>
      <c r="N329" t="n">
        <v>0</v>
      </c>
      <c r="O329" t="n">
        <v>0</v>
      </c>
      <c r="P329" t="n">
        <v>0</v>
      </c>
      <c r="Q329" t="n">
        <v>0</v>
      </c>
      <c r="R329" s="2" t="inlineStr"/>
    </row>
    <row r="330" ht="15" customHeight="1">
      <c r="A330" t="inlineStr">
        <is>
          <t>A 25615-2025</t>
        </is>
      </c>
      <c r="B330" s="1" t="n">
        <v>45803</v>
      </c>
      <c r="C330" s="1" t="n">
        <v>46158</v>
      </c>
      <c r="D330" t="inlineStr">
        <is>
          <t>SKÅNE LÄN</t>
        </is>
      </c>
      <c r="E330" t="inlineStr">
        <is>
          <t>HÄSSLEHOLM</t>
        </is>
      </c>
      <c r="G330" t="n">
        <v>2.6</v>
      </c>
      <c r="H330" t="n">
        <v>0</v>
      </c>
      <c r="I330" t="n">
        <v>0</v>
      </c>
      <c r="J330" t="n">
        <v>0</v>
      </c>
      <c r="K330" t="n">
        <v>0</v>
      </c>
      <c r="L330" t="n">
        <v>0</v>
      </c>
      <c r="M330" t="n">
        <v>0</v>
      </c>
      <c r="N330" t="n">
        <v>0</v>
      </c>
      <c r="O330" t="n">
        <v>0</v>
      </c>
      <c r="P330" t="n">
        <v>0</v>
      </c>
      <c r="Q330" t="n">
        <v>0</v>
      </c>
      <c r="R330" s="2" t="inlineStr"/>
    </row>
    <row r="331" ht="15" customHeight="1">
      <c r="A331" t="inlineStr">
        <is>
          <t>A 39934-2025</t>
        </is>
      </c>
      <c r="B331" s="1" t="n">
        <v>45891.71465277778</v>
      </c>
      <c r="C331" s="1" t="n">
        <v>46158</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37318-2024</t>
        </is>
      </c>
      <c r="B332" s="1" t="n">
        <v>45540</v>
      </c>
      <c r="C332" s="1" t="n">
        <v>46158</v>
      </c>
      <c r="D332" t="inlineStr">
        <is>
          <t>SKÅNE LÄN</t>
        </is>
      </c>
      <c r="E332" t="inlineStr">
        <is>
          <t>HÄSSLEHOLM</t>
        </is>
      </c>
      <c r="G332" t="n">
        <v>3.9</v>
      </c>
      <c r="H332" t="n">
        <v>0</v>
      </c>
      <c r="I332" t="n">
        <v>0</v>
      </c>
      <c r="J332" t="n">
        <v>0</v>
      </c>
      <c r="K332" t="n">
        <v>0</v>
      </c>
      <c r="L332" t="n">
        <v>0</v>
      </c>
      <c r="M332" t="n">
        <v>0</v>
      </c>
      <c r="N332" t="n">
        <v>0</v>
      </c>
      <c r="O332" t="n">
        <v>0</v>
      </c>
      <c r="P332" t="n">
        <v>0</v>
      </c>
      <c r="Q332" t="n">
        <v>0</v>
      </c>
      <c r="R332" s="2" t="inlineStr"/>
    </row>
    <row r="333" ht="15" customHeight="1">
      <c r="A333" t="inlineStr">
        <is>
          <t>A 58891-2022</t>
        </is>
      </c>
      <c r="B333" s="1" t="n">
        <v>44896</v>
      </c>
      <c r="C333" s="1" t="n">
        <v>46158</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37324-2024</t>
        </is>
      </c>
      <c r="B334" s="1" t="n">
        <v>45540.50104166667</v>
      </c>
      <c r="C334" s="1" t="n">
        <v>46158</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25176-2024</t>
        </is>
      </c>
      <c r="B335" s="1" t="n">
        <v>45462.54582175926</v>
      </c>
      <c r="C335" s="1" t="n">
        <v>46158</v>
      </c>
      <c r="D335" t="inlineStr">
        <is>
          <t>SKÅNE LÄN</t>
        </is>
      </c>
      <c r="E335" t="inlineStr">
        <is>
          <t>HÄSSLEHOLM</t>
        </is>
      </c>
      <c r="G335" t="n">
        <v>3.8</v>
      </c>
      <c r="H335" t="n">
        <v>0</v>
      </c>
      <c r="I335" t="n">
        <v>0</v>
      </c>
      <c r="J335" t="n">
        <v>0</v>
      </c>
      <c r="K335" t="n">
        <v>0</v>
      </c>
      <c r="L335" t="n">
        <v>0</v>
      </c>
      <c r="M335" t="n">
        <v>0</v>
      </c>
      <c r="N335" t="n">
        <v>0</v>
      </c>
      <c r="O335" t="n">
        <v>0</v>
      </c>
      <c r="P335" t="n">
        <v>0</v>
      </c>
      <c r="Q335" t="n">
        <v>0</v>
      </c>
      <c r="R335" s="2" t="inlineStr"/>
    </row>
    <row r="336" ht="15" customHeight="1">
      <c r="A336" t="inlineStr">
        <is>
          <t>A 39937-2025</t>
        </is>
      </c>
      <c r="B336" s="1" t="n">
        <v>45891.73162037037</v>
      </c>
      <c r="C336" s="1" t="n">
        <v>46158</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25431-2025</t>
        </is>
      </c>
      <c r="B337" s="1" t="n">
        <v>45800.78340277778</v>
      </c>
      <c r="C337" s="1" t="n">
        <v>46158</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25432-2025</t>
        </is>
      </c>
      <c r="B338" s="1" t="n">
        <v>45800.7847800926</v>
      </c>
      <c r="C338" s="1" t="n">
        <v>46158</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11412-2025</t>
        </is>
      </c>
      <c r="B339" s="1" t="n">
        <v>45726</v>
      </c>
      <c r="C339" s="1" t="n">
        <v>46158</v>
      </c>
      <c r="D339" t="inlineStr">
        <is>
          <t>SKÅNE LÄN</t>
        </is>
      </c>
      <c r="E339" t="inlineStr">
        <is>
          <t>HÄSSLEHOLM</t>
        </is>
      </c>
      <c r="G339" t="n">
        <v>2.1</v>
      </c>
      <c r="H339" t="n">
        <v>0</v>
      </c>
      <c r="I339" t="n">
        <v>0</v>
      </c>
      <c r="J339" t="n">
        <v>0</v>
      </c>
      <c r="K339" t="n">
        <v>0</v>
      </c>
      <c r="L339" t="n">
        <v>0</v>
      </c>
      <c r="M339" t="n">
        <v>0</v>
      </c>
      <c r="N339" t="n">
        <v>0</v>
      </c>
      <c r="O339" t="n">
        <v>0</v>
      </c>
      <c r="P339" t="n">
        <v>0</v>
      </c>
      <c r="Q339" t="n">
        <v>0</v>
      </c>
      <c r="R339" s="2" t="inlineStr"/>
    </row>
    <row r="340" ht="15" customHeight="1">
      <c r="A340" t="inlineStr">
        <is>
          <t>A 9555-2025</t>
        </is>
      </c>
      <c r="B340" s="1" t="n">
        <v>45714</v>
      </c>
      <c r="C340" s="1" t="n">
        <v>46158</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40241-2025</t>
        </is>
      </c>
      <c r="B341" s="1" t="n">
        <v>45894.87251157407</v>
      </c>
      <c r="C341" s="1" t="n">
        <v>46158</v>
      </c>
      <c r="D341" t="inlineStr">
        <is>
          <t>SKÅNE LÄN</t>
        </is>
      </c>
      <c r="E341" t="inlineStr">
        <is>
          <t>HÄSSLEHOLM</t>
        </is>
      </c>
      <c r="G341" t="n">
        <v>3.8</v>
      </c>
      <c r="H341" t="n">
        <v>0</v>
      </c>
      <c r="I341" t="n">
        <v>0</v>
      </c>
      <c r="J341" t="n">
        <v>0</v>
      </c>
      <c r="K341" t="n">
        <v>0</v>
      </c>
      <c r="L341" t="n">
        <v>0</v>
      </c>
      <c r="M341" t="n">
        <v>0</v>
      </c>
      <c r="N341" t="n">
        <v>0</v>
      </c>
      <c r="O341" t="n">
        <v>0</v>
      </c>
      <c r="P341" t="n">
        <v>0</v>
      </c>
      <c r="Q341" t="n">
        <v>0</v>
      </c>
      <c r="R341" s="2" t="inlineStr"/>
    </row>
    <row r="342" ht="15" customHeight="1">
      <c r="A342" t="inlineStr">
        <is>
          <t>A 11466-2025</t>
        </is>
      </c>
      <c r="B342" s="1" t="n">
        <v>45726</v>
      </c>
      <c r="C342" s="1" t="n">
        <v>46158</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706-2026</t>
        </is>
      </c>
      <c r="B343" s="1" t="n">
        <v>46029.61739583333</v>
      </c>
      <c r="C343" s="1" t="n">
        <v>46158</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26232-2025</t>
        </is>
      </c>
      <c r="B344" s="1" t="n">
        <v>45805.56642361111</v>
      </c>
      <c r="C344" s="1" t="n">
        <v>46158</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3726-2024</t>
        </is>
      </c>
      <c r="B345" s="1" t="n">
        <v>45321</v>
      </c>
      <c r="C345" s="1" t="n">
        <v>46158</v>
      </c>
      <c r="D345" t="inlineStr">
        <is>
          <t>SKÅNE LÄN</t>
        </is>
      </c>
      <c r="E345" t="inlineStr">
        <is>
          <t>HÄSSLEHOLM</t>
        </is>
      </c>
      <c r="G345" t="n">
        <v>0.3</v>
      </c>
      <c r="H345" t="n">
        <v>0</v>
      </c>
      <c r="I345" t="n">
        <v>0</v>
      </c>
      <c r="J345" t="n">
        <v>0</v>
      </c>
      <c r="K345" t="n">
        <v>0</v>
      </c>
      <c r="L345" t="n">
        <v>0</v>
      </c>
      <c r="M345" t="n">
        <v>0</v>
      </c>
      <c r="N345" t="n">
        <v>0</v>
      </c>
      <c r="O345" t="n">
        <v>0</v>
      </c>
      <c r="P345" t="n">
        <v>0</v>
      </c>
      <c r="Q345" t="n">
        <v>0</v>
      </c>
      <c r="R345" s="2" t="inlineStr"/>
    </row>
    <row r="346" ht="15" customHeight="1">
      <c r="A346" t="inlineStr">
        <is>
          <t>A 39044-2024</t>
        </is>
      </c>
      <c r="B346" s="1" t="n">
        <v>45548.47707175926</v>
      </c>
      <c r="C346" s="1" t="n">
        <v>46158</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26244-2025</t>
        </is>
      </c>
      <c r="B347" s="1" t="n">
        <v>45805.57364583333</v>
      </c>
      <c r="C347" s="1" t="n">
        <v>46158</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14255-2024</t>
        </is>
      </c>
      <c r="B348" s="1" t="n">
        <v>45393</v>
      </c>
      <c r="C348" s="1" t="n">
        <v>46158</v>
      </c>
      <c r="D348" t="inlineStr">
        <is>
          <t>SKÅNE LÄN</t>
        </is>
      </c>
      <c r="E348" t="inlineStr">
        <is>
          <t>HÄSSLEHOLM</t>
        </is>
      </c>
      <c r="G348" t="n">
        <v>11.9</v>
      </c>
      <c r="H348" t="n">
        <v>0</v>
      </c>
      <c r="I348" t="n">
        <v>0</v>
      </c>
      <c r="J348" t="n">
        <v>0</v>
      </c>
      <c r="K348" t="n">
        <v>0</v>
      </c>
      <c r="L348" t="n">
        <v>0</v>
      </c>
      <c r="M348" t="n">
        <v>0</v>
      </c>
      <c r="N348" t="n">
        <v>0</v>
      </c>
      <c r="O348" t="n">
        <v>0</v>
      </c>
      <c r="P348" t="n">
        <v>0</v>
      </c>
      <c r="Q348" t="n">
        <v>0</v>
      </c>
      <c r="R348" s="2" t="inlineStr"/>
    </row>
    <row r="349" ht="15" customHeight="1">
      <c r="A349" t="inlineStr">
        <is>
          <t>A 38358-2024</t>
        </is>
      </c>
      <c r="B349" s="1" t="n">
        <v>45545.79068287037</v>
      </c>
      <c r="C349" s="1" t="n">
        <v>46158</v>
      </c>
      <c r="D349" t="inlineStr">
        <is>
          <t>SKÅNE LÄN</t>
        </is>
      </c>
      <c r="E349" t="inlineStr">
        <is>
          <t>HÄSSLEHOLM</t>
        </is>
      </c>
      <c r="G349" t="n">
        <v>9</v>
      </c>
      <c r="H349" t="n">
        <v>0</v>
      </c>
      <c r="I349" t="n">
        <v>0</v>
      </c>
      <c r="J349" t="n">
        <v>0</v>
      </c>
      <c r="K349" t="n">
        <v>0</v>
      </c>
      <c r="L349" t="n">
        <v>0</v>
      </c>
      <c r="M349" t="n">
        <v>0</v>
      </c>
      <c r="N349" t="n">
        <v>0</v>
      </c>
      <c r="O349" t="n">
        <v>0</v>
      </c>
      <c r="P349" t="n">
        <v>0</v>
      </c>
      <c r="Q349" t="n">
        <v>0</v>
      </c>
      <c r="R349" s="2" t="inlineStr"/>
    </row>
    <row r="350" ht="15" customHeight="1">
      <c r="A350" t="inlineStr">
        <is>
          <t>A 20058-2023</t>
        </is>
      </c>
      <c r="B350" s="1" t="n">
        <v>45054.68476851852</v>
      </c>
      <c r="C350" s="1" t="n">
        <v>46158</v>
      </c>
      <c r="D350" t="inlineStr">
        <is>
          <t>SKÅNE LÄN</t>
        </is>
      </c>
      <c r="E350" t="inlineStr">
        <is>
          <t>HÄSSLEHOLM</t>
        </is>
      </c>
      <c r="G350" t="n">
        <v>1.4</v>
      </c>
      <c r="H350" t="n">
        <v>0</v>
      </c>
      <c r="I350" t="n">
        <v>0</v>
      </c>
      <c r="J350" t="n">
        <v>0</v>
      </c>
      <c r="K350" t="n">
        <v>0</v>
      </c>
      <c r="L350" t="n">
        <v>0</v>
      </c>
      <c r="M350" t="n">
        <v>0</v>
      </c>
      <c r="N350" t="n">
        <v>0</v>
      </c>
      <c r="O350" t="n">
        <v>0</v>
      </c>
      <c r="P350" t="n">
        <v>0</v>
      </c>
      <c r="Q350" t="n">
        <v>0</v>
      </c>
      <c r="R350" s="2" t="inlineStr"/>
    </row>
    <row r="351" ht="15" customHeight="1">
      <c r="A351" t="inlineStr">
        <is>
          <t>A 10897-2023</t>
        </is>
      </c>
      <c r="B351" s="1" t="n">
        <v>44985</v>
      </c>
      <c r="C351" s="1" t="n">
        <v>46158</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16108-2025</t>
        </is>
      </c>
      <c r="B352" s="1" t="n">
        <v>45750.34667824074</v>
      </c>
      <c r="C352" s="1" t="n">
        <v>46158</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56986-2024</t>
        </is>
      </c>
      <c r="B353" s="1" t="n">
        <v>45626</v>
      </c>
      <c r="C353" s="1" t="n">
        <v>46158</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931-2026</t>
        </is>
      </c>
      <c r="B354" s="1" t="n">
        <v>46030.51495370371</v>
      </c>
      <c r="C354" s="1" t="n">
        <v>46158</v>
      </c>
      <c r="D354" t="inlineStr">
        <is>
          <t>SKÅNE LÄN</t>
        </is>
      </c>
      <c r="E354" t="inlineStr">
        <is>
          <t>HÄSSLEHOLM</t>
        </is>
      </c>
      <c r="F354" t="inlineStr">
        <is>
          <t>Övriga Aktiebolag</t>
        </is>
      </c>
      <c r="G354" t="n">
        <v>2.3</v>
      </c>
      <c r="H354" t="n">
        <v>0</v>
      </c>
      <c r="I354" t="n">
        <v>0</v>
      </c>
      <c r="J354" t="n">
        <v>0</v>
      </c>
      <c r="K354" t="n">
        <v>0</v>
      </c>
      <c r="L354" t="n">
        <v>0</v>
      </c>
      <c r="M354" t="n">
        <v>0</v>
      </c>
      <c r="N354" t="n">
        <v>0</v>
      </c>
      <c r="O354" t="n">
        <v>0</v>
      </c>
      <c r="P354" t="n">
        <v>0</v>
      </c>
      <c r="Q354" t="n">
        <v>0</v>
      </c>
      <c r="R354" s="2" t="inlineStr"/>
    </row>
    <row r="355" ht="15" customHeight="1">
      <c r="A355" t="inlineStr">
        <is>
          <t>A 49111-2023</t>
        </is>
      </c>
      <c r="B355" s="1" t="n">
        <v>45210.44464120371</v>
      </c>
      <c r="C355" s="1" t="n">
        <v>46158</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16368-2025</t>
        </is>
      </c>
      <c r="B356" s="1" t="n">
        <v>45751</v>
      </c>
      <c r="C356" s="1" t="n">
        <v>46158</v>
      </c>
      <c r="D356" t="inlineStr">
        <is>
          <t>SKÅNE LÄN</t>
        </is>
      </c>
      <c r="E356" t="inlineStr">
        <is>
          <t>HÄSSLEHOLM</t>
        </is>
      </c>
      <c r="G356" t="n">
        <v>5</v>
      </c>
      <c r="H356" t="n">
        <v>0</v>
      </c>
      <c r="I356" t="n">
        <v>0</v>
      </c>
      <c r="J356" t="n">
        <v>0</v>
      </c>
      <c r="K356" t="n">
        <v>0</v>
      </c>
      <c r="L356" t="n">
        <v>0</v>
      </c>
      <c r="M356" t="n">
        <v>0</v>
      </c>
      <c r="N356" t="n">
        <v>0</v>
      </c>
      <c r="O356" t="n">
        <v>0</v>
      </c>
      <c r="P356" t="n">
        <v>0</v>
      </c>
      <c r="Q356" t="n">
        <v>0</v>
      </c>
      <c r="R356" s="2" t="inlineStr"/>
    </row>
    <row r="357" ht="15" customHeight="1">
      <c r="A357" t="inlineStr">
        <is>
          <t>A 41400-2025</t>
        </is>
      </c>
      <c r="B357" s="1" t="n">
        <v>45901</v>
      </c>
      <c r="C357" s="1" t="n">
        <v>46158</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27393-2025</t>
        </is>
      </c>
      <c r="B358" s="1" t="n">
        <v>45812.68295138889</v>
      </c>
      <c r="C358" s="1" t="n">
        <v>46158</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34299-2024</t>
        </is>
      </c>
      <c r="B359" s="1" t="n">
        <v>45524</v>
      </c>
      <c r="C359" s="1" t="n">
        <v>46158</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41401-2025</t>
        </is>
      </c>
      <c r="B360" s="1" t="n">
        <v>45901</v>
      </c>
      <c r="C360" s="1" t="n">
        <v>46158</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60846-2022</t>
        </is>
      </c>
      <c r="B361" s="1" t="n">
        <v>44914</v>
      </c>
      <c r="C361" s="1" t="n">
        <v>46158</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54408-2024</t>
        </is>
      </c>
      <c r="B362" s="1" t="n">
        <v>45617.47263888889</v>
      </c>
      <c r="C362" s="1" t="n">
        <v>46158</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14008-2023</t>
        </is>
      </c>
      <c r="B363" s="1" t="n">
        <v>45008.56725694444</v>
      </c>
      <c r="C363" s="1" t="n">
        <v>46158</v>
      </c>
      <c r="D363" t="inlineStr">
        <is>
          <t>SKÅNE LÄN</t>
        </is>
      </c>
      <c r="E363" t="inlineStr">
        <is>
          <t>HÄSSLEHOLM</t>
        </is>
      </c>
      <c r="G363" t="n">
        <v>3.3</v>
      </c>
      <c r="H363" t="n">
        <v>0</v>
      </c>
      <c r="I363" t="n">
        <v>0</v>
      </c>
      <c r="J363" t="n">
        <v>0</v>
      </c>
      <c r="K363" t="n">
        <v>0</v>
      </c>
      <c r="L363" t="n">
        <v>0</v>
      </c>
      <c r="M363" t="n">
        <v>0</v>
      </c>
      <c r="N363" t="n">
        <v>0</v>
      </c>
      <c r="O363" t="n">
        <v>0</v>
      </c>
      <c r="P363" t="n">
        <v>0</v>
      </c>
      <c r="Q363" t="n">
        <v>0</v>
      </c>
      <c r="R363" s="2" t="inlineStr"/>
    </row>
    <row r="364" ht="15" customHeight="1">
      <c r="A364" t="inlineStr">
        <is>
          <t>A 20493-2024</t>
        </is>
      </c>
      <c r="B364" s="1" t="n">
        <v>45435</v>
      </c>
      <c r="C364" s="1" t="n">
        <v>46158</v>
      </c>
      <c r="D364" t="inlineStr">
        <is>
          <t>SKÅNE LÄN</t>
        </is>
      </c>
      <c r="E364" t="inlineStr">
        <is>
          <t>HÄSSLEHOLM</t>
        </is>
      </c>
      <c r="G364" t="n">
        <v>1.2</v>
      </c>
      <c r="H364" t="n">
        <v>0</v>
      </c>
      <c r="I364" t="n">
        <v>0</v>
      </c>
      <c r="J364" t="n">
        <v>0</v>
      </c>
      <c r="K364" t="n">
        <v>0</v>
      </c>
      <c r="L364" t="n">
        <v>0</v>
      </c>
      <c r="M364" t="n">
        <v>0</v>
      </c>
      <c r="N364" t="n">
        <v>0</v>
      </c>
      <c r="O364" t="n">
        <v>0</v>
      </c>
      <c r="P364" t="n">
        <v>0</v>
      </c>
      <c r="Q364" t="n">
        <v>0</v>
      </c>
      <c r="R364" s="2" t="inlineStr"/>
    </row>
    <row r="365" ht="15" customHeight="1">
      <c r="A365" t="inlineStr">
        <is>
          <t>A 13851-2025</t>
        </is>
      </c>
      <c r="B365" s="1" t="n">
        <v>45737.56777777777</v>
      </c>
      <c r="C365" s="1" t="n">
        <v>46158</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28240-2025</t>
        </is>
      </c>
      <c r="B366" s="1" t="n">
        <v>45817</v>
      </c>
      <c r="C366" s="1" t="n">
        <v>46158</v>
      </c>
      <c r="D366" t="inlineStr">
        <is>
          <t>SKÅNE LÄN</t>
        </is>
      </c>
      <c r="E366" t="inlineStr">
        <is>
          <t>HÄSSLEHOLM</t>
        </is>
      </c>
      <c r="G366" t="n">
        <v>7.7</v>
      </c>
      <c r="H366" t="n">
        <v>0</v>
      </c>
      <c r="I366" t="n">
        <v>0</v>
      </c>
      <c r="J366" t="n">
        <v>0</v>
      </c>
      <c r="K366" t="n">
        <v>0</v>
      </c>
      <c r="L366" t="n">
        <v>0</v>
      </c>
      <c r="M366" t="n">
        <v>0</v>
      </c>
      <c r="N366" t="n">
        <v>0</v>
      </c>
      <c r="O366" t="n">
        <v>0</v>
      </c>
      <c r="P366" t="n">
        <v>0</v>
      </c>
      <c r="Q366" t="n">
        <v>0</v>
      </c>
      <c r="R366" s="2" t="inlineStr"/>
    </row>
    <row r="367" ht="15" customHeight="1">
      <c r="A367" t="inlineStr">
        <is>
          <t>A 41874-2024</t>
        </is>
      </c>
      <c r="B367" s="1" t="n">
        <v>45561</v>
      </c>
      <c r="C367" s="1" t="n">
        <v>46158</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28095-2025</t>
        </is>
      </c>
      <c r="B368" s="1" t="n">
        <v>45817</v>
      </c>
      <c r="C368" s="1" t="n">
        <v>46158</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11798-2022</t>
        </is>
      </c>
      <c r="B369" s="1" t="n">
        <v>44634.64900462963</v>
      </c>
      <c r="C369" s="1" t="n">
        <v>46158</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13890-2024</t>
        </is>
      </c>
      <c r="B370" s="1" t="n">
        <v>45391</v>
      </c>
      <c r="C370" s="1" t="n">
        <v>46158</v>
      </c>
      <c r="D370" t="inlineStr">
        <is>
          <t>SKÅNE LÄN</t>
        </is>
      </c>
      <c r="E370" t="inlineStr">
        <is>
          <t>HÄSSLEHOLM</t>
        </is>
      </c>
      <c r="F370" t="inlineStr">
        <is>
          <t>Kommuner</t>
        </is>
      </c>
      <c r="G370" t="n">
        <v>1.4</v>
      </c>
      <c r="H370" t="n">
        <v>0</v>
      </c>
      <c r="I370" t="n">
        <v>0</v>
      </c>
      <c r="J370" t="n">
        <v>0</v>
      </c>
      <c r="K370" t="n">
        <v>0</v>
      </c>
      <c r="L370" t="n">
        <v>0</v>
      </c>
      <c r="M370" t="n">
        <v>0</v>
      </c>
      <c r="N370" t="n">
        <v>0</v>
      </c>
      <c r="O370" t="n">
        <v>0</v>
      </c>
      <c r="P370" t="n">
        <v>0</v>
      </c>
      <c r="Q370" t="n">
        <v>0</v>
      </c>
      <c r="R370" s="2" t="inlineStr"/>
    </row>
    <row r="371" ht="15" customHeight="1">
      <c r="A371" t="inlineStr">
        <is>
          <t>A 39223-2024</t>
        </is>
      </c>
      <c r="B371" s="1" t="n">
        <v>45550</v>
      </c>
      <c r="C371" s="1" t="n">
        <v>46158</v>
      </c>
      <c r="D371" t="inlineStr">
        <is>
          <t>SKÅNE LÄN</t>
        </is>
      </c>
      <c r="E371" t="inlineStr">
        <is>
          <t>HÄSSLEHOLM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27940-2025</t>
        </is>
      </c>
      <c r="B372" s="1" t="n">
        <v>45817.50439814815</v>
      </c>
      <c r="C372" s="1" t="n">
        <v>46158</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27887-2025</t>
        </is>
      </c>
      <c r="B373" s="1" t="n">
        <v>45817.45994212963</v>
      </c>
      <c r="C373" s="1" t="n">
        <v>46158</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49827-2022</t>
        </is>
      </c>
      <c r="B374" s="1" t="n">
        <v>44859</v>
      </c>
      <c r="C374" s="1" t="n">
        <v>46158</v>
      </c>
      <c r="D374" t="inlineStr">
        <is>
          <t>SKÅNE LÄN</t>
        </is>
      </c>
      <c r="E374" t="inlineStr">
        <is>
          <t>HÄSSLEHOLM</t>
        </is>
      </c>
      <c r="G374" t="n">
        <v>6.1</v>
      </c>
      <c r="H374" t="n">
        <v>0</v>
      </c>
      <c r="I374" t="n">
        <v>0</v>
      </c>
      <c r="J374" t="n">
        <v>0</v>
      </c>
      <c r="K374" t="n">
        <v>0</v>
      </c>
      <c r="L374" t="n">
        <v>0</v>
      </c>
      <c r="M374" t="n">
        <v>0</v>
      </c>
      <c r="N374" t="n">
        <v>0</v>
      </c>
      <c r="O374" t="n">
        <v>0</v>
      </c>
      <c r="P374" t="n">
        <v>0</v>
      </c>
      <c r="Q374" t="n">
        <v>0</v>
      </c>
      <c r="R374" s="2" t="inlineStr"/>
    </row>
    <row r="375" ht="15" customHeight="1">
      <c r="A375" t="inlineStr">
        <is>
          <t>A 28251-2025</t>
        </is>
      </c>
      <c r="B375" s="1" t="n">
        <v>45817</v>
      </c>
      <c r="C375" s="1" t="n">
        <v>46158</v>
      </c>
      <c r="D375" t="inlineStr">
        <is>
          <t>SKÅNE LÄN</t>
        </is>
      </c>
      <c r="E375" t="inlineStr">
        <is>
          <t>HÄSSLEHOLM</t>
        </is>
      </c>
      <c r="G375" t="n">
        <v>7.2</v>
      </c>
      <c r="H375" t="n">
        <v>0</v>
      </c>
      <c r="I375" t="n">
        <v>0</v>
      </c>
      <c r="J375" t="n">
        <v>0</v>
      </c>
      <c r="K375" t="n">
        <v>0</v>
      </c>
      <c r="L375" t="n">
        <v>0</v>
      </c>
      <c r="M375" t="n">
        <v>0</v>
      </c>
      <c r="N375" t="n">
        <v>0</v>
      </c>
      <c r="O375" t="n">
        <v>0</v>
      </c>
      <c r="P375" t="n">
        <v>0</v>
      </c>
      <c r="Q375" t="n">
        <v>0</v>
      </c>
      <c r="R375" s="2" t="inlineStr"/>
    </row>
    <row r="376" ht="15" customHeight="1">
      <c r="A376" t="inlineStr">
        <is>
          <t>A 27934-2025</t>
        </is>
      </c>
      <c r="B376" s="1" t="n">
        <v>45817.49761574074</v>
      </c>
      <c r="C376" s="1" t="n">
        <v>46158</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13932-2023</t>
        </is>
      </c>
      <c r="B377" s="1" t="n">
        <v>45008.43935185186</v>
      </c>
      <c r="C377" s="1" t="n">
        <v>46158</v>
      </c>
      <c r="D377" t="inlineStr">
        <is>
          <t>SKÅNE LÄN</t>
        </is>
      </c>
      <c r="E377" t="inlineStr">
        <is>
          <t>HÄSSLEHOLM</t>
        </is>
      </c>
      <c r="G377" t="n">
        <v>3.3</v>
      </c>
      <c r="H377" t="n">
        <v>0</v>
      </c>
      <c r="I377" t="n">
        <v>0</v>
      </c>
      <c r="J377" t="n">
        <v>0</v>
      </c>
      <c r="K377" t="n">
        <v>0</v>
      </c>
      <c r="L377" t="n">
        <v>0</v>
      </c>
      <c r="M377" t="n">
        <v>0</v>
      </c>
      <c r="N377" t="n">
        <v>0</v>
      </c>
      <c r="O377" t="n">
        <v>0</v>
      </c>
      <c r="P377" t="n">
        <v>0</v>
      </c>
      <c r="Q377" t="n">
        <v>0</v>
      </c>
      <c r="R377" s="2" t="inlineStr"/>
    </row>
    <row r="378" ht="15" customHeight="1">
      <c r="A378" t="inlineStr">
        <is>
          <t>A 28122-2025</t>
        </is>
      </c>
      <c r="B378" s="1" t="n">
        <v>45817</v>
      </c>
      <c r="C378" s="1" t="n">
        <v>46158</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17138-2025</t>
        </is>
      </c>
      <c r="B379" s="1" t="n">
        <v>45755.80378472222</v>
      </c>
      <c r="C379" s="1" t="n">
        <v>46158</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15512-2025</t>
        </is>
      </c>
      <c r="B380" s="1" t="n">
        <v>45747</v>
      </c>
      <c r="C380" s="1" t="n">
        <v>46158</v>
      </c>
      <c r="D380" t="inlineStr">
        <is>
          <t>SKÅNE LÄN</t>
        </is>
      </c>
      <c r="E380" t="inlineStr">
        <is>
          <t>HÄSSLEHOLM</t>
        </is>
      </c>
      <c r="G380" t="n">
        <v>3.5</v>
      </c>
      <c r="H380" t="n">
        <v>0</v>
      </c>
      <c r="I380" t="n">
        <v>0</v>
      </c>
      <c r="J380" t="n">
        <v>0</v>
      </c>
      <c r="K380" t="n">
        <v>0</v>
      </c>
      <c r="L380" t="n">
        <v>0</v>
      </c>
      <c r="M380" t="n">
        <v>0</v>
      </c>
      <c r="N380" t="n">
        <v>0</v>
      </c>
      <c r="O380" t="n">
        <v>0</v>
      </c>
      <c r="P380" t="n">
        <v>0</v>
      </c>
      <c r="Q380" t="n">
        <v>0</v>
      </c>
      <c r="R380" s="2" t="inlineStr"/>
    </row>
    <row r="381" ht="15" customHeight="1">
      <c r="A381" t="inlineStr">
        <is>
          <t>A 1640-2026</t>
        </is>
      </c>
      <c r="B381" s="1" t="n">
        <v>46034.4961574074</v>
      </c>
      <c r="C381" s="1" t="n">
        <v>46158</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14700-2023</t>
        </is>
      </c>
      <c r="B382" s="1" t="n">
        <v>45014.38376157408</v>
      </c>
      <c r="C382" s="1" t="n">
        <v>46158</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3531-2023</t>
        </is>
      </c>
      <c r="B383" s="1" t="n">
        <v>44950</v>
      </c>
      <c r="C383" s="1" t="n">
        <v>46158</v>
      </c>
      <c r="D383" t="inlineStr">
        <is>
          <t>SKÅNE LÄN</t>
        </is>
      </c>
      <c r="E383" t="inlineStr">
        <is>
          <t>HÄSSLEHOLM</t>
        </is>
      </c>
      <c r="G383" t="n">
        <v>10.1</v>
      </c>
      <c r="H383" t="n">
        <v>0</v>
      </c>
      <c r="I383" t="n">
        <v>0</v>
      </c>
      <c r="J383" t="n">
        <v>0</v>
      </c>
      <c r="K383" t="n">
        <v>0</v>
      </c>
      <c r="L383" t="n">
        <v>0</v>
      </c>
      <c r="M383" t="n">
        <v>0</v>
      </c>
      <c r="N383" t="n">
        <v>0</v>
      </c>
      <c r="O383" t="n">
        <v>0</v>
      </c>
      <c r="P383" t="n">
        <v>0</v>
      </c>
      <c r="Q383" t="n">
        <v>0</v>
      </c>
      <c r="R383" s="2" t="inlineStr"/>
    </row>
    <row r="384" ht="15" customHeight="1">
      <c r="A384" t="inlineStr">
        <is>
          <t>A 4579-2025</t>
        </is>
      </c>
      <c r="B384" s="1" t="n">
        <v>45687.5009375</v>
      </c>
      <c r="C384" s="1" t="n">
        <v>46158</v>
      </c>
      <c r="D384" t="inlineStr">
        <is>
          <t>SKÅNE LÄN</t>
        </is>
      </c>
      <c r="E384" t="inlineStr">
        <is>
          <t>HÄSSLEHOLM</t>
        </is>
      </c>
      <c r="G384" t="n">
        <v>2.8</v>
      </c>
      <c r="H384" t="n">
        <v>0</v>
      </c>
      <c r="I384" t="n">
        <v>0</v>
      </c>
      <c r="J384" t="n">
        <v>0</v>
      </c>
      <c r="K384" t="n">
        <v>0</v>
      </c>
      <c r="L384" t="n">
        <v>0</v>
      </c>
      <c r="M384" t="n">
        <v>0</v>
      </c>
      <c r="N384" t="n">
        <v>0</v>
      </c>
      <c r="O384" t="n">
        <v>0</v>
      </c>
      <c r="P384" t="n">
        <v>0</v>
      </c>
      <c r="Q384" t="n">
        <v>0</v>
      </c>
      <c r="R384" s="2" t="inlineStr"/>
    </row>
    <row r="385" ht="15" customHeight="1">
      <c r="A385" t="inlineStr">
        <is>
          <t>A 18623-2023</t>
        </is>
      </c>
      <c r="B385" s="1" t="n">
        <v>45043</v>
      </c>
      <c r="C385" s="1" t="n">
        <v>46158</v>
      </c>
      <c r="D385" t="inlineStr">
        <is>
          <t>SKÅNE LÄN</t>
        </is>
      </c>
      <c r="E385" t="inlineStr">
        <is>
          <t>HÄSSLEHOLM</t>
        </is>
      </c>
      <c r="G385" t="n">
        <v>3.2</v>
      </c>
      <c r="H385" t="n">
        <v>0</v>
      </c>
      <c r="I385" t="n">
        <v>0</v>
      </c>
      <c r="J385" t="n">
        <v>0</v>
      </c>
      <c r="K385" t="n">
        <v>0</v>
      </c>
      <c r="L385" t="n">
        <v>0</v>
      </c>
      <c r="M385" t="n">
        <v>0</v>
      </c>
      <c r="N385" t="n">
        <v>0</v>
      </c>
      <c r="O385" t="n">
        <v>0</v>
      </c>
      <c r="P385" t="n">
        <v>0</v>
      </c>
      <c r="Q385" t="n">
        <v>0</v>
      </c>
      <c r="R385" s="2" t="inlineStr"/>
    </row>
    <row r="386" ht="15" customHeight="1">
      <c r="A386" t="inlineStr">
        <is>
          <t>A 2306-2026</t>
        </is>
      </c>
      <c r="B386" s="1" t="n">
        <v>46034</v>
      </c>
      <c r="C386" s="1" t="n">
        <v>46158</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10115-2024</t>
        </is>
      </c>
      <c r="B387" s="1" t="n">
        <v>45364.55339120371</v>
      </c>
      <c r="C387" s="1" t="n">
        <v>46158</v>
      </c>
      <c r="D387" t="inlineStr">
        <is>
          <t>SKÅNE LÄN</t>
        </is>
      </c>
      <c r="E387" t="inlineStr">
        <is>
          <t>HÄSSLEHOLM</t>
        </is>
      </c>
      <c r="G387" t="n">
        <v>7</v>
      </c>
      <c r="H387" t="n">
        <v>0</v>
      </c>
      <c r="I387" t="n">
        <v>0</v>
      </c>
      <c r="J387" t="n">
        <v>0</v>
      </c>
      <c r="K387" t="n">
        <v>0</v>
      </c>
      <c r="L387" t="n">
        <v>0</v>
      </c>
      <c r="M387" t="n">
        <v>0</v>
      </c>
      <c r="N387" t="n">
        <v>0</v>
      </c>
      <c r="O387" t="n">
        <v>0</v>
      </c>
      <c r="P387" t="n">
        <v>0</v>
      </c>
      <c r="Q387" t="n">
        <v>0</v>
      </c>
      <c r="R387" s="2" t="inlineStr"/>
    </row>
    <row r="388" ht="15" customHeight="1">
      <c r="A388" t="inlineStr">
        <is>
          <t>A 1645-2026</t>
        </is>
      </c>
      <c r="B388" s="1" t="n">
        <v>46034.5069212963</v>
      </c>
      <c r="C388" s="1" t="n">
        <v>46158</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3663-2024</t>
        </is>
      </c>
      <c r="B389" s="1" t="n">
        <v>45321.34775462963</v>
      </c>
      <c r="C389" s="1" t="n">
        <v>46158</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1656-2026</t>
        </is>
      </c>
      <c r="B390" s="1" t="n">
        <v>46034.54035879629</v>
      </c>
      <c r="C390" s="1" t="n">
        <v>46158</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42520-2025</t>
        </is>
      </c>
      <c r="B391" s="1" t="n">
        <v>45905.54846064815</v>
      </c>
      <c r="C391" s="1" t="n">
        <v>46158</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1659-2026</t>
        </is>
      </c>
      <c r="B392" s="1" t="n">
        <v>46034.55335648148</v>
      </c>
      <c r="C392" s="1" t="n">
        <v>46158</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43333-2025</t>
        </is>
      </c>
      <c r="B393" s="1" t="n">
        <v>45910</v>
      </c>
      <c r="C393" s="1" t="n">
        <v>46158</v>
      </c>
      <c r="D393" t="inlineStr">
        <is>
          <t>SKÅNE LÄN</t>
        </is>
      </c>
      <c r="E393" t="inlineStr">
        <is>
          <t>HÄSSLEHOLM</t>
        </is>
      </c>
      <c r="G393" t="n">
        <v>10.1</v>
      </c>
      <c r="H393" t="n">
        <v>0</v>
      </c>
      <c r="I393" t="n">
        <v>0</v>
      </c>
      <c r="J393" t="n">
        <v>0</v>
      </c>
      <c r="K393" t="n">
        <v>0</v>
      </c>
      <c r="L393" t="n">
        <v>0</v>
      </c>
      <c r="M393" t="n">
        <v>0</v>
      </c>
      <c r="N393" t="n">
        <v>0</v>
      </c>
      <c r="O393" t="n">
        <v>0</v>
      </c>
      <c r="P393" t="n">
        <v>0</v>
      </c>
      <c r="Q393" t="n">
        <v>0</v>
      </c>
      <c r="R393" s="2" t="inlineStr"/>
    </row>
    <row r="394" ht="15" customHeight="1">
      <c r="A394" t="inlineStr">
        <is>
          <t>A 2618-2026</t>
        </is>
      </c>
      <c r="B394" s="1" t="n">
        <v>46035</v>
      </c>
      <c r="C394" s="1" t="n">
        <v>46158</v>
      </c>
      <c r="D394" t="inlineStr">
        <is>
          <t>SKÅNE LÄN</t>
        </is>
      </c>
      <c r="E394" t="inlineStr">
        <is>
          <t>HÄSSLEHOLM</t>
        </is>
      </c>
      <c r="F394" t="inlineStr">
        <is>
          <t>Kyrkan</t>
        </is>
      </c>
      <c r="G394" t="n">
        <v>4.8</v>
      </c>
      <c r="H394" t="n">
        <v>0</v>
      </c>
      <c r="I394" t="n">
        <v>0</v>
      </c>
      <c r="J394" t="n">
        <v>0</v>
      </c>
      <c r="K394" t="n">
        <v>0</v>
      </c>
      <c r="L394" t="n">
        <v>0</v>
      </c>
      <c r="M394" t="n">
        <v>0</v>
      </c>
      <c r="N394" t="n">
        <v>0</v>
      </c>
      <c r="O394" t="n">
        <v>0</v>
      </c>
      <c r="P394" t="n">
        <v>0</v>
      </c>
      <c r="Q394" t="n">
        <v>0</v>
      </c>
      <c r="R394" s="2" t="inlineStr"/>
    </row>
    <row r="395" ht="15" customHeight="1">
      <c r="A395" t="inlineStr">
        <is>
          <t>A 2617-2026</t>
        </is>
      </c>
      <c r="B395" s="1" t="n">
        <v>46035</v>
      </c>
      <c r="C395" s="1" t="n">
        <v>46158</v>
      </c>
      <c r="D395" t="inlineStr">
        <is>
          <t>SKÅNE LÄN</t>
        </is>
      </c>
      <c r="E395" t="inlineStr">
        <is>
          <t>HÄSSLEHOLM</t>
        </is>
      </c>
      <c r="F395" t="inlineStr">
        <is>
          <t>Kyrkan</t>
        </is>
      </c>
      <c r="G395" t="n">
        <v>5.5</v>
      </c>
      <c r="H395" t="n">
        <v>0</v>
      </c>
      <c r="I395" t="n">
        <v>0</v>
      </c>
      <c r="J395" t="n">
        <v>0</v>
      </c>
      <c r="K395" t="n">
        <v>0</v>
      </c>
      <c r="L395" t="n">
        <v>0</v>
      </c>
      <c r="M395" t="n">
        <v>0</v>
      </c>
      <c r="N395" t="n">
        <v>0</v>
      </c>
      <c r="O395" t="n">
        <v>0</v>
      </c>
      <c r="P395" t="n">
        <v>0</v>
      </c>
      <c r="Q395" t="n">
        <v>0</v>
      </c>
      <c r="R395" s="2" t="inlineStr"/>
    </row>
    <row r="396" ht="15" customHeight="1">
      <c r="A396" t="inlineStr">
        <is>
          <t>A 43332-2025</t>
        </is>
      </c>
      <c r="B396" s="1" t="n">
        <v>45910.70217592592</v>
      </c>
      <c r="C396" s="1" t="n">
        <v>46158</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29170-2025</t>
        </is>
      </c>
      <c r="B397" s="1" t="n">
        <v>45821.69766203704</v>
      </c>
      <c r="C397" s="1" t="n">
        <v>46158</v>
      </c>
      <c r="D397" t="inlineStr">
        <is>
          <t>SKÅNE LÄN</t>
        </is>
      </c>
      <c r="E397" t="inlineStr">
        <is>
          <t>HÄSSLEHOLM</t>
        </is>
      </c>
      <c r="G397" t="n">
        <v>3.1</v>
      </c>
      <c r="H397" t="n">
        <v>0</v>
      </c>
      <c r="I397" t="n">
        <v>0</v>
      </c>
      <c r="J397" t="n">
        <v>0</v>
      </c>
      <c r="K397" t="n">
        <v>0</v>
      </c>
      <c r="L397" t="n">
        <v>0</v>
      </c>
      <c r="M397" t="n">
        <v>0</v>
      </c>
      <c r="N397" t="n">
        <v>0</v>
      </c>
      <c r="O397" t="n">
        <v>0</v>
      </c>
      <c r="P397" t="n">
        <v>0</v>
      </c>
      <c r="Q397" t="n">
        <v>0</v>
      </c>
      <c r="R397" s="2" t="inlineStr"/>
    </row>
    <row r="398" ht="15" customHeight="1">
      <c r="A398" t="inlineStr">
        <is>
          <t>A 67801-2021</t>
        </is>
      </c>
      <c r="B398" s="1" t="n">
        <v>44525</v>
      </c>
      <c r="C398" s="1" t="n">
        <v>46158</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45398-2024</t>
        </is>
      </c>
      <c r="B399" s="1" t="n">
        <v>45576.56260416667</v>
      </c>
      <c r="C399" s="1" t="n">
        <v>46158</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29168-2025</t>
        </is>
      </c>
      <c r="B400" s="1" t="n">
        <v>45821.69547453704</v>
      </c>
      <c r="C400" s="1" t="n">
        <v>46158</v>
      </c>
      <c r="D400" t="inlineStr">
        <is>
          <t>SKÅNE LÄN</t>
        </is>
      </c>
      <c r="E400" t="inlineStr">
        <is>
          <t>HÄSSLEHOLM</t>
        </is>
      </c>
      <c r="G400" t="n">
        <v>1.7</v>
      </c>
      <c r="H400" t="n">
        <v>0</v>
      </c>
      <c r="I400" t="n">
        <v>0</v>
      </c>
      <c r="J400" t="n">
        <v>0</v>
      </c>
      <c r="K400" t="n">
        <v>0</v>
      </c>
      <c r="L400" t="n">
        <v>0</v>
      </c>
      <c r="M400" t="n">
        <v>0</v>
      </c>
      <c r="N400" t="n">
        <v>0</v>
      </c>
      <c r="O400" t="n">
        <v>0</v>
      </c>
      <c r="P400" t="n">
        <v>0</v>
      </c>
      <c r="Q400" t="n">
        <v>0</v>
      </c>
      <c r="R400" s="2" t="inlineStr"/>
    </row>
    <row r="401" ht="15" customHeight="1">
      <c r="A401" t="inlineStr">
        <is>
          <t>A 4809-2025</t>
        </is>
      </c>
      <c r="B401" s="1" t="n">
        <v>45688.60148148148</v>
      </c>
      <c r="C401" s="1" t="n">
        <v>46158</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43516-2025</t>
        </is>
      </c>
      <c r="B402" s="1" t="n">
        <v>45911</v>
      </c>
      <c r="C402" s="1" t="n">
        <v>46158</v>
      </c>
      <c r="D402" t="inlineStr">
        <is>
          <t>SKÅNE LÄN</t>
        </is>
      </c>
      <c r="E402" t="inlineStr">
        <is>
          <t>HÄSSLEHOLM</t>
        </is>
      </c>
      <c r="G402" t="n">
        <v>2.4</v>
      </c>
      <c r="H402" t="n">
        <v>0</v>
      </c>
      <c r="I402" t="n">
        <v>0</v>
      </c>
      <c r="J402" t="n">
        <v>0</v>
      </c>
      <c r="K402" t="n">
        <v>0</v>
      </c>
      <c r="L402" t="n">
        <v>0</v>
      </c>
      <c r="M402" t="n">
        <v>0</v>
      </c>
      <c r="N402" t="n">
        <v>0</v>
      </c>
      <c r="O402" t="n">
        <v>0</v>
      </c>
      <c r="P402" t="n">
        <v>0</v>
      </c>
      <c r="Q402" t="n">
        <v>0</v>
      </c>
      <c r="R402" s="2" t="inlineStr"/>
    </row>
    <row r="403" ht="15" customHeight="1">
      <c r="A403" t="inlineStr">
        <is>
          <t>A 29171-2025</t>
        </is>
      </c>
      <c r="B403" s="1" t="n">
        <v>45821.69863425926</v>
      </c>
      <c r="C403" s="1" t="n">
        <v>46158</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43738-2025</t>
        </is>
      </c>
      <c r="B404" s="1" t="n">
        <v>45912.45037037037</v>
      </c>
      <c r="C404" s="1" t="n">
        <v>46158</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43741-2025</t>
        </is>
      </c>
      <c r="B405" s="1" t="n">
        <v>45912.45541666666</v>
      </c>
      <c r="C405" s="1" t="n">
        <v>46158</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59030-2024</t>
        </is>
      </c>
      <c r="B406" s="1" t="n">
        <v>45636.68916666666</v>
      </c>
      <c r="C406" s="1" t="n">
        <v>46158</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43869-2025</t>
        </is>
      </c>
      <c r="B407" s="1" t="n">
        <v>45912.66452546296</v>
      </c>
      <c r="C407" s="1" t="n">
        <v>46158</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30010-2025</t>
        </is>
      </c>
      <c r="B408" s="1" t="n">
        <v>45826</v>
      </c>
      <c r="C408" s="1" t="n">
        <v>46158</v>
      </c>
      <c r="D408" t="inlineStr">
        <is>
          <t>SKÅNE LÄN</t>
        </is>
      </c>
      <c r="E408" t="inlineStr">
        <is>
          <t>HÄSSLEHOLM</t>
        </is>
      </c>
      <c r="G408" t="n">
        <v>4.5</v>
      </c>
      <c r="H408" t="n">
        <v>0</v>
      </c>
      <c r="I408" t="n">
        <v>0</v>
      </c>
      <c r="J408" t="n">
        <v>0</v>
      </c>
      <c r="K408" t="n">
        <v>0</v>
      </c>
      <c r="L408" t="n">
        <v>0</v>
      </c>
      <c r="M408" t="n">
        <v>0</v>
      </c>
      <c r="N408" t="n">
        <v>0</v>
      </c>
      <c r="O408" t="n">
        <v>0</v>
      </c>
      <c r="P408" t="n">
        <v>0</v>
      </c>
      <c r="Q408" t="n">
        <v>0</v>
      </c>
      <c r="R408" s="2" t="inlineStr"/>
    </row>
    <row r="409" ht="15" customHeight="1">
      <c r="A409" t="inlineStr">
        <is>
          <t>A 7481-2023</t>
        </is>
      </c>
      <c r="B409" s="1" t="n">
        <v>44971</v>
      </c>
      <c r="C409" s="1" t="n">
        <v>46158</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35150-2023</t>
        </is>
      </c>
      <c r="B410" s="1" t="n">
        <v>45145</v>
      </c>
      <c r="C410" s="1" t="n">
        <v>46158</v>
      </c>
      <c r="D410" t="inlineStr">
        <is>
          <t>SKÅNE LÄN</t>
        </is>
      </c>
      <c r="E410" t="inlineStr">
        <is>
          <t>HÄSSLEHOLM</t>
        </is>
      </c>
      <c r="G410" t="n">
        <v>4.9</v>
      </c>
      <c r="H410" t="n">
        <v>0</v>
      </c>
      <c r="I410" t="n">
        <v>0</v>
      </c>
      <c r="J410" t="n">
        <v>0</v>
      </c>
      <c r="K410" t="n">
        <v>0</v>
      </c>
      <c r="L410" t="n">
        <v>0</v>
      </c>
      <c r="M410" t="n">
        <v>0</v>
      </c>
      <c r="N410" t="n">
        <v>0</v>
      </c>
      <c r="O410" t="n">
        <v>0</v>
      </c>
      <c r="P410" t="n">
        <v>0</v>
      </c>
      <c r="Q410" t="n">
        <v>0</v>
      </c>
      <c r="R410" s="2" t="inlineStr"/>
    </row>
    <row r="411" ht="15" customHeight="1">
      <c r="A411" t="inlineStr">
        <is>
          <t>A 44330-2025</t>
        </is>
      </c>
      <c r="B411" s="1" t="n">
        <v>45916.42120370371</v>
      </c>
      <c r="C411" s="1" t="n">
        <v>46158</v>
      </c>
      <c r="D411" t="inlineStr">
        <is>
          <t>SKÅNE LÄN</t>
        </is>
      </c>
      <c r="E411" t="inlineStr">
        <is>
          <t>HÄSSLEHOLM</t>
        </is>
      </c>
      <c r="G411" t="n">
        <v>2.7</v>
      </c>
      <c r="H411" t="n">
        <v>0</v>
      </c>
      <c r="I411" t="n">
        <v>0</v>
      </c>
      <c r="J411" t="n">
        <v>0</v>
      </c>
      <c r="K411" t="n">
        <v>0</v>
      </c>
      <c r="L411" t="n">
        <v>0</v>
      </c>
      <c r="M411" t="n">
        <v>0</v>
      </c>
      <c r="N411" t="n">
        <v>0</v>
      </c>
      <c r="O411" t="n">
        <v>0</v>
      </c>
      <c r="P411" t="n">
        <v>0</v>
      </c>
      <c r="Q411" t="n">
        <v>0</v>
      </c>
      <c r="R411" s="2" t="inlineStr"/>
    </row>
    <row r="412" ht="15" customHeight="1">
      <c r="A412" t="inlineStr">
        <is>
          <t>A 44523-2025</t>
        </is>
      </c>
      <c r="B412" s="1" t="n">
        <v>45916</v>
      </c>
      <c r="C412" s="1" t="n">
        <v>46158</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3298-2026</t>
        </is>
      </c>
      <c r="B413" s="1" t="n">
        <v>46041</v>
      </c>
      <c r="C413" s="1" t="n">
        <v>46158</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12507-2022</t>
        </is>
      </c>
      <c r="B414" s="1" t="n">
        <v>44638</v>
      </c>
      <c r="C414" s="1" t="n">
        <v>46158</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44515-2025</t>
        </is>
      </c>
      <c r="B415" s="1" t="n">
        <v>45916.7062037037</v>
      </c>
      <c r="C415" s="1" t="n">
        <v>46158</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22690-2022</t>
        </is>
      </c>
      <c r="B416" s="1" t="n">
        <v>44714.5421875</v>
      </c>
      <c r="C416" s="1" t="n">
        <v>46158</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57079-2022</t>
        </is>
      </c>
      <c r="B417" s="1" t="n">
        <v>44895</v>
      </c>
      <c r="C417" s="1" t="n">
        <v>46158</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44624-2025</t>
        </is>
      </c>
      <c r="B418" s="1" t="n">
        <v>45917.47152777778</v>
      </c>
      <c r="C418" s="1" t="n">
        <v>46158</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61498-2022</t>
        </is>
      </c>
      <c r="B419" s="1" t="n">
        <v>44910</v>
      </c>
      <c r="C419" s="1" t="n">
        <v>46158</v>
      </c>
      <c r="D419" t="inlineStr">
        <is>
          <t>SKÅNE LÄN</t>
        </is>
      </c>
      <c r="E419" t="inlineStr">
        <is>
          <t>HÄSSLEHOLM</t>
        </is>
      </c>
      <c r="F419" t="inlineStr">
        <is>
          <t>Kyrkan</t>
        </is>
      </c>
      <c r="G419" t="n">
        <v>3.2</v>
      </c>
      <c r="H419" t="n">
        <v>0</v>
      </c>
      <c r="I419" t="n">
        <v>0</v>
      </c>
      <c r="J419" t="n">
        <v>0</v>
      </c>
      <c r="K419" t="n">
        <v>0</v>
      </c>
      <c r="L419" t="n">
        <v>0</v>
      </c>
      <c r="M419" t="n">
        <v>0</v>
      </c>
      <c r="N419" t="n">
        <v>0</v>
      </c>
      <c r="O419" t="n">
        <v>0</v>
      </c>
      <c r="P419" t="n">
        <v>0</v>
      </c>
      <c r="Q419" t="n">
        <v>0</v>
      </c>
      <c r="R419" s="2" t="inlineStr"/>
    </row>
    <row r="420" ht="15" customHeight="1">
      <c r="A420" t="inlineStr">
        <is>
          <t>A 31159-2025</t>
        </is>
      </c>
      <c r="B420" s="1" t="n">
        <v>45832.65322916667</v>
      </c>
      <c r="C420" s="1" t="n">
        <v>46158</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15417-2022</t>
        </is>
      </c>
      <c r="B421" s="1" t="n">
        <v>44659</v>
      </c>
      <c r="C421" s="1" t="n">
        <v>46158</v>
      </c>
      <c r="D421" t="inlineStr">
        <is>
          <t>SKÅNE LÄN</t>
        </is>
      </c>
      <c r="E421" t="inlineStr">
        <is>
          <t>HÄSSLEHOLM</t>
        </is>
      </c>
      <c r="F421" t="inlineStr">
        <is>
          <t>Kyrkan</t>
        </is>
      </c>
      <c r="G421" t="n">
        <v>2.9</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46158</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45084-2025</t>
        </is>
      </c>
      <c r="B423" s="1" t="n">
        <v>45918</v>
      </c>
      <c r="C423" s="1" t="n">
        <v>46158</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36240-2023</t>
        </is>
      </c>
      <c r="B424" s="1" t="n">
        <v>45150.89295138889</v>
      </c>
      <c r="C424" s="1" t="n">
        <v>46158</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44616-2025</t>
        </is>
      </c>
      <c r="B425" s="1" t="n">
        <v>45917.45572916666</v>
      </c>
      <c r="C425" s="1" t="n">
        <v>46158</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20564-2023</t>
        </is>
      </c>
      <c r="B426" s="1" t="n">
        <v>45057</v>
      </c>
      <c r="C426" s="1" t="n">
        <v>46158</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44614-2025</t>
        </is>
      </c>
      <c r="B427" s="1" t="n">
        <v>45917.45422453704</v>
      </c>
      <c r="C427" s="1" t="n">
        <v>46158</v>
      </c>
      <c r="D427" t="inlineStr">
        <is>
          <t>SKÅNE LÄN</t>
        </is>
      </c>
      <c r="E427" t="inlineStr">
        <is>
          <t>HÄSSLEHOLM</t>
        </is>
      </c>
      <c r="G427" t="n">
        <v>5.4</v>
      </c>
      <c r="H427" t="n">
        <v>0</v>
      </c>
      <c r="I427" t="n">
        <v>0</v>
      </c>
      <c r="J427" t="n">
        <v>0</v>
      </c>
      <c r="K427" t="n">
        <v>0</v>
      </c>
      <c r="L427" t="n">
        <v>0</v>
      </c>
      <c r="M427" t="n">
        <v>0</v>
      </c>
      <c r="N427" t="n">
        <v>0</v>
      </c>
      <c r="O427" t="n">
        <v>0</v>
      </c>
      <c r="P427" t="n">
        <v>0</v>
      </c>
      <c r="Q427" t="n">
        <v>0</v>
      </c>
      <c r="R427" s="2" t="inlineStr"/>
    </row>
    <row r="428" ht="15" customHeight="1">
      <c r="A428" t="inlineStr">
        <is>
          <t>A 3904-2026</t>
        </is>
      </c>
      <c r="B428" s="1" t="n">
        <v>46043.69711805556</v>
      </c>
      <c r="C428" s="1" t="n">
        <v>46158</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41694-2024</t>
        </is>
      </c>
      <c r="B429" s="1" t="n">
        <v>45560.68341435185</v>
      </c>
      <c r="C429" s="1" t="n">
        <v>46158</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45495-2025</t>
        </is>
      </c>
      <c r="B430" s="1" t="n">
        <v>45922.56369212963</v>
      </c>
      <c r="C430" s="1" t="n">
        <v>46158</v>
      </c>
      <c r="D430" t="inlineStr">
        <is>
          <t>SKÅNE LÄN</t>
        </is>
      </c>
      <c r="E430" t="inlineStr">
        <is>
          <t>HÄSSLEHOLM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47757-2024</t>
        </is>
      </c>
      <c r="B431" s="1" t="n">
        <v>45588.55075231481</v>
      </c>
      <c r="C431" s="1" t="n">
        <v>46158</v>
      </c>
      <c r="D431" t="inlineStr">
        <is>
          <t>SKÅNE LÄN</t>
        </is>
      </c>
      <c r="E431" t="inlineStr">
        <is>
          <t>HÄSSLEHOLM</t>
        </is>
      </c>
      <c r="G431" t="n">
        <v>5.5</v>
      </c>
      <c r="H431" t="n">
        <v>0</v>
      </c>
      <c r="I431" t="n">
        <v>0</v>
      </c>
      <c r="J431" t="n">
        <v>0</v>
      </c>
      <c r="K431" t="n">
        <v>0</v>
      </c>
      <c r="L431" t="n">
        <v>0</v>
      </c>
      <c r="M431" t="n">
        <v>0</v>
      </c>
      <c r="N431" t="n">
        <v>0</v>
      </c>
      <c r="O431" t="n">
        <v>0</v>
      </c>
      <c r="P431" t="n">
        <v>0</v>
      </c>
      <c r="Q431" t="n">
        <v>0</v>
      </c>
      <c r="R431" s="2" t="inlineStr"/>
    </row>
    <row r="432" ht="15" customHeight="1">
      <c r="A432" t="inlineStr">
        <is>
          <t>A 45176-2025</t>
        </is>
      </c>
      <c r="B432" s="1" t="n">
        <v>45919.52307870371</v>
      </c>
      <c r="C432" s="1" t="n">
        <v>46158</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2663-2023</t>
        </is>
      </c>
      <c r="B433" s="1" t="n">
        <v>44942</v>
      </c>
      <c r="C433" s="1" t="n">
        <v>46158</v>
      </c>
      <c r="D433" t="inlineStr">
        <is>
          <t>SKÅNE LÄN</t>
        </is>
      </c>
      <c r="E433" t="inlineStr">
        <is>
          <t>HÄSSLEHOLM</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45273-2025</t>
        </is>
      </c>
      <c r="B434" s="1" t="n">
        <v>45919.70486111111</v>
      </c>
      <c r="C434" s="1" t="n">
        <v>46158</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45314-2025</t>
        </is>
      </c>
      <c r="B435" s="1" t="n">
        <v>45921.81738425926</v>
      </c>
      <c r="C435" s="1" t="n">
        <v>46158</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7192-2025</t>
        </is>
      </c>
      <c r="B436" s="1" t="n">
        <v>45702.44746527778</v>
      </c>
      <c r="C436" s="1" t="n">
        <v>46158</v>
      </c>
      <c r="D436" t="inlineStr">
        <is>
          <t>SKÅNE LÄN</t>
        </is>
      </c>
      <c r="E436" t="inlineStr">
        <is>
          <t>HÄSSLEHOLM</t>
        </is>
      </c>
      <c r="G436" t="n">
        <v>1.2</v>
      </c>
      <c r="H436" t="n">
        <v>0</v>
      </c>
      <c r="I436" t="n">
        <v>0</v>
      </c>
      <c r="J436" t="n">
        <v>0</v>
      </c>
      <c r="K436" t="n">
        <v>0</v>
      </c>
      <c r="L436" t="n">
        <v>0</v>
      </c>
      <c r="M436" t="n">
        <v>0</v>
      </c>
      <c r="N436" t="n">
        <v>0</v>
      </c>
      <c r="O436" t="n">
        <v>0</v>
      </c>
      <c r="P436" t="n">
        <v>0</v>
      </c>
      <c r="Q436" t="n">
        <v>0</v>
      </c>
      <c r="R436" s="2" t="inlineStr"/>
    </row>
    <row r="437" ht="15" customHeight="1">
      <c r="A437" t="inlineStr">
        <is>
          <t>A 3715-2026</t>
        </is>
      </c>
      <c r="B437" s="1" t="n">
        <v>46043.48746527778</v>
      </c>
      <c r="C437" s="1" t="n">
        <v>46158</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45516-2025</t>
        </is>
      </c>
      <c r="B438" s="1" t="n">
        <v>45922</v>
      </c>
      <c r="C438" s="1" t="n">
        <v>46158</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27954-2022</t>
        </is>
      </c>
      <c r="B439" s="1" t="n">
        <v>44743</v>
      </c>
      <c r="C439" s="1" t="n">
        <v>46158</v>
      </c>
      <c r="D439" t="inlineStr">
        <is>
          <t>SKÅNE LÄN</t>
        </is>
      </c>
      <c r="E439" t="inlineStr">
        <is>
          <t>HÄSSLEHOLM</t>
        </is>
      </c>
      <c r="G439" t="n">
        <v>9.4</v>
      </c>
      <c r="H439" t="n">
        <v>0</v>
      </c>
      <c r="I439" t="n">
        <v>0</v>
      </c>
      <c r="J439" t="n">
        <v>0</v>
      </c>
      <c r="K439" t="n">
        <v>0</v>
      </c>
      <c r="L439" t="n">
        <v>0</v>
      </c>
      <c r="M439" t="n">
        <v>0</v>
      </c>
      <c r="N439" t="n">
        <v>0</v>
      </c>
      <c r="O439" t="n">
        <v>0</v>
      </c>
      <c r="P439" t="n">
        <v>0</v>
      </c>
      <c r="Q439" t="n">
        <v>0</v>
      </c>
      <c r="R439" s="2" t="inlineStr"/>
    </row>
    <row r="440" ht="15" customHeight="1">
      <c r="A440" t="inlineStr">
        <is>
          <t>A 45514-2025</t>
        </is>
      </c>
      <c r="B440" s="1" t="n">
        <v>45922</v>
      </c>
      <c r="C440" s="1" t="n">
        <v>46158</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45221-2025</t>
        </is>
      </c>
      <c r="B441" s="1" t="n">
        <v>45919.57760416667</v>
      </c>
      <c r="C441" s="1" t="n">
        <v>46158</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45414-2025</t>
        </is>
      </c>
      <c r="B442" s="1" t="n">
        <v>45920</v>
      </c>
      <c r="C442" s="1" t="n">
        <v>46158</v>
      </c>
      <c r="D442" t="inlineStr">
        <is>
          <t>SKÅNE LÄN</t>
        </is>
      </c>
      <c r="E442" t="inlineStr">
        <is>
          <t>HÄSSLEHOLM</t>
        </is>
      </c>
      <c r="G442" t="n">
        <v>14.7</v>
      </c>
      <c r="H442" t="n">
        <v>0</v>
      </c>
      <c r="I442" t="n">
        <v>0</v>
      </c>
      <c r="J442" t="n">
        <v>0</v>
      </c>
      <c r="K442" t="n">
        <v>0</v>
      </c>
      <c r="L442" t="n">
        <v>0</v>
      </c>
      <c r="M442" t="n">
        <v>0</v>
      </c>
      <c r="N442" t="n">
        <v>0</v>
      </c>
      <c r="O442" t="n">
        <v>0</v>
      </c>
      <c r="P442" t="n">
        <v>0</v>
      </c>
      <c r="Q442" t="n">
        <v>0</v>
      </c>
      <c r="R442" s="2" t="inlineStr"/>
    </row>
    <row r="443" ht="15" customHeight="1">
      <c r="A443" t="inlineStr">
        <is>
          <t>A 45443-2025</t>
        </is>
      </c>
      <c r="B443" s="1" t="n">
        <v>45920</v>
      </c>
      <c r="C443" s="1" t="n">
        <v>46158</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45496-2025</t>
        </is>
      </c>
      <c r="B444" s="1" t="n">
        <v>45922</v>
      </c>
      <c r="C444" s="1" t="n">
        <v>46158</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45458-2025</t>
        </is>
      </c>
      <c r="B445" s="1" t="n">
        <v>45920</v>
      </c>
      <c r="C445" s="1" t="n">
        <v>46158</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45465-2025</t>
        </is>
      </c>
      <c r="B446" s="1" t="n">
        <v>45920</v>
      </c>
      <c r="C446" s="1" t="n">
        <v>46158</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45984-2021</t>
        </is>
      </c>
      <c r="B447" s="1" t="n">
        <v>44441</v>
      </c>
      <c r="C447" s="1" t="n">
        <v>46158</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9678-2025</t>
        </is>
      </c>
      <c r="B448" s="1" t="n">
        <v>45716</v>
      </c>
      <c r="C448" s="1" t="n">
        <v>46158</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45683-2025</t>
        </is>
      </c>
      <c r="B449" s="1" t="n">
        <v>45923.37590277778</v>
      </c>
      <c r="C449" s="1" t="n">
        <v>46158</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61170-2022</t>
        </is>
      </c>
      <c r="B450" s="1" t="n">
        <v>44915.48543981482</v>
      </c>
      <c r="C450" s="1" t="n">
        <v>46158</v>
      </c>
      <c r="D450" t="inlineStr">
        <is>
          <t>SKÅNE LÄN</t>
        </is>
      </c>
      <c r="E450" t="inlineStr">
        <is>
          <t>HÄSSLEHOLM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6835-2023</t>
        </is>
      </c>
      <c r="B451" s="1" t="n">
        <v>44967</v>
      </c>
      <c r="C451" s="1" t="n">
        <v>46158</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11121-2023</t>
        </is>
      </c>
      <c r="B452" s="1" t="n">
        <v>44986</v>
      </c>
      <c r="C452" s="1" t="n">
        <v>46158</v>
      </c>
      <c r="D452" t="inlineStr">
        <is>
          <t>SKÅNE LÄN</t>
        </is>
      </c>
      <c r="E452" t="inlineStr">
        <is>
          <t>HÄSSLEHOLM</t>
        </is>
      </c>
      <c r="F452" t="inlineStr">
        <is>
          <t>Kommuner</t>
        </is>
      </c>
      <c r="G452" t="n">
        <v>5.8</v>
      </c>
      <c r="H452" t="n">
        <v>0</v>
      </c>
      <c r="I452" t="n">
        <v>0</v>
      </c>
      <c r="J452" t="n">
        <v>0</v>
      </c>
      <c r="K452" t="n">
        <v>0</v>
      </c>
      <c r="L452" t="n">
        <v>0</v>
      </c>
      <c r="M452" t="n">
        <v>0</v>
      </c>
      <c r="N452" t="n">
        <v>0</v>
      </c>
      <c r="O452" t="n">
        <v>0</v>
      </c>
      <c r="P452" t="n">
        <v>0</v>
      </c>
      <c r="Q452" t="n">
        <v>0</v>
      </c>
      <c r="R452" s="2" t="inlineStr"/>
    </row>
    <row r="453" ht="15" customHeight="1">
      <c r="A453" t="inlineStr">
        <is>
          <t>A 3862-2026</t>
        </is>
      </c>
      <c r="B453" s="1" t="n">
        <v>46043.62646990741</v>
      </c>
      <c r="C453" s="1" t="n">
        <v>46158</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31933-2024</t>
        </is>
      </c>
      <c r="B454" s="1" t="n">
        <v>45510.41123842593</v>
      </c>
      <c r="C454" s="1" t="n">
        <v>46158</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9098-2022</t>
        </is>
      </c>
      <c r="B455" s="1" t="n">
        <v>44615</v>
      </c>
      <c r="C455" s="1" t="n">
        <v>46158</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12338-2024</t>
        </is>
      </c>
      <c r="B456" s="1" t="n">
        <v>45378.72869212963</v>
      </c>
      <c r="C456" s="1" t="n">
        <v>46158</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46158</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46158</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11116-2023</t>
        </is>
      </c>
      <c r="B459" s="1" t="n">
        <v>44986</v>
      </c>
      <c r="C459" s="1" t="n">
        <v>46158</v>
      </c>
      <c r="D459" t="inlineStr">
        <is>
          <t>SKÅNE LÄN</t>
        </is>
      </c>
      <c r="E459" t="inlineStr">
        <is>
          <t>HÄSSLEHOLM</t>
        </is>
      </c>
      <c r="F459" t="inlineStr">
        <is>
          <t>Kommuner</t>
        </is>
      </c>
      <c r="G459" t="n">
        <v>15.1</v>
      </c>
      <c r="H459" t="n">
        <v>0</v>
      </c>
      <c r="I459" t="n">
        <v>0</v>
      </c>
      <c r="J459" t="n">
        <v>0</v>
      </c>
      <c r="K459" t="n">
        <v>0</v>
      </c>
      <c r="L459" t="n">
        <v>0</v>
      </c>
      <c r="M459" t="n">
        <v>0</v>
      </c>
      <c r="N459" t="n">
        <v>0</v>
      </c>
      <c r="O459" t="n">
        <v>0</v>
      </c>
      <c r="P459" t="n">
        <v>0</v>
      </c>
      <c r="Q459" t="n">
        <v>0</v>
      </c>
      <c r="R459" s="2" t="inlineStr"/>
    </row>
    <row r="460" ht="15" customHeight="1">
      <c r="A460" t="inlineStr">
        <is>
          <t>A 32585-2025</t>
        </is>
      </c>
      <c r="B460" s="1" t="n">
        <v>45838.60021990741</v>
      </c>
      <c r="C460" s="1" t="n">
        <v>46158</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34883-2023</t>
        </is>
      </c>
      <c r="B461" s="1" t="n">
        <v>45142.37902777778</v>
      </c>
      <c r="C461" s="1" t="n">
        <v>46158</v>
      </c>
      <c r="D461" t="inlineStr">
        <is>
          <t>SKÅNE LÄN</t>
        </is>
      </c>
      <c r="E461" t="inlineStr">
        <is>
          <t>HÄSSLEHOLM</t>
        </is>
      </c>
      <c r="G461" t="n">
        <v>2.5</v>
      </c>
      <c r="H461" t="n">
        <v>0</v>
      </c>
      <c r="I461" t="n">
        <v>0</v>
      </c>
      <c r="J461" t="n">
        <v>0</v>
      </c>
      <c r="K461" t="n">
        <v>0</v>
      </c>
      <c r="L461" t="n">
        <v>0</v>
      </c>
      <c r="M461" t="n">
        <v>0</v>
      </c>
      <c r="N461" t="n">
        <v>0</v>
      </c>
      <c r="O461" t="n">
        <v>0</v>
      </c>
      <c r="P461" t="n">
        <v>0</v>
      </c>
      <c r="Q461" t="n">
        <v>0</v>
      </c>
      <c r="R461" s="2" t="inlineStr"/>
    </row>
    <row r="462" ht="15" customHeight="1">
      <c r="A462" t="inlineStr">
        <is>
          <t>A 34886-2023</t>
        </is>
      </c>
      <c r="B462" s="1" t="n">
        <v>45142.38450231482</v>
      </c>
      <c r="C462" s="1" t="n">
        <v>46158</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45762-2025</t>
        </is>
      </c>
      <c r="B463" s="1" t="n">
        <v>45923.51548611111</v>
      </c>
      <c r="C463" s="1" t="n">
        <v>46158</v>
      </c>
      <c r="D463" t="inlineStr">
        <is>
          <t>SKÅNE LÄN</t>
        </is>
      </c>
      <c r="E463" t="inlineStr">
        <is>
          <t>HÄSSLEHOLM</t>
        </is>
      </c>
      <c r="G463" t="n">
        <v>2.3</v>
      </c>
      <c r="H463" t="n">
        <v>0</v>
      </c>
      <c r="I463" t="n">
        <v>0</v>
      </c>
      <c r="J463" t="n">
        <v>0</v>
      </c>
      <c r="K463" t="n">
        <v>0</v>
      </c>
      <c r="L463" t="n">
        <v>0</v>
      </c>
      <c r="M463" t="n">
        <v>0</v>
      </c>
      <c r="N463" t="n">
        <v>0</v>
      </c>
      <c r="O463" t="n">
        <v>0</v>
      </c>
      <c r="P463" t="n">
        <v>0</v>
      </c>
      <c r="Q463" t="n">
        <v>0</v>
      </c>
      <c r="R463" s="2" t="inlineStr"/>
    </row>
    <row r="464" ht="15" customHeight="1">
      <c r="A464" t="inlineStr">
        <is>
          <t>A 7476-2025</t>
        </is>
      </c>
      <c r="B464" s="1" t="n">
        <v>45702</v>
      </c>
      <c r="C464" s="1" t="n">
        <v>46158</v>
      </c>
      <c r="D464" t="inlineStr">
        <is>
          <t>SKÅNE LÄN</t>
        </is>
      </c>
      <c r="E464" t="inlineStr">
        <is>
          <t>HÄSSLEHOLM</t>
        </is>
      </c>
      <c r="F464" t="inlineStr">
        <is>
          <t>Övriga Aktiebolag</t>
        </is>
      </c>
      <c r="G464" t="n">
        <v>2.1</v>
      </c>
      <c r="H464" t="n">
        <v>0</v>
      </c>
      <c r="I464" t="n">
        <v>0</v>
      </c>
      <c r="J464" t="n">
        <v>0</v>
      </c>
      <c r="K464" t="n">
        <v>0</v>
      </c>
      <c r="L464" t="n">
        <v>0</v>
      </c>
      <c r="M464" t="n">
        <v>0</v>
      </c>
      <c r="N464" t="n">
        <v>0</v>
      </c>
      <c r="O464" t="n">
        <v>0</v>
      </c>
      <c r="P464" t="n">
        <v>0</v>
      </c>
      <c r="Q464" t="n">
        <v>0</v>
      </c>
      <c r="R464" s="2" t="inlineStr"/>
    </row>
    <row r="465" ht="15" customHeight="1">
      <c r="A465" t="inlineStr">
        <is>
          <t>A 9668-2025</t>
        </is>
      </c>
      <c r="B465" s="1" t="n">
        <v>45716</v>
      </c>
      <c r="C465" s="1" t="n">
        <v>46158</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54659-2023</t>
        </is>
      </c>
      <c r="B466" s="1" t="n">
        <v>45235</v>
      </c>
      <c r="C466" s="1" t="n">
        <v>46158</v>
      </c>
      <c r="D466" t="inlineStr">
        <is>
          <t>SKÅNE LÄN</t>
        </is>
      </c>
      <c r="E466" t="inlineStr">
        <is>
          <t>HÄSSLEHOLM</t>
        </is>
      </c>
      <c r="G466" t="n">
        <v>5</v>
      </c>
      <c r="H466" t="n">
        <v>0</v>
      </c>
      <c r="I466" t="n">
        <v>0</v>
      </c>
      <c r="J466" t="n">
        <v>0</v>
      </c>
      <c r="K466" t="n">
        <v>0</v>
      </c>
      <c r="L466" t="n">
        <v>0</v>
      </c>
      <c r="M466" t="n">
        <v>0</v>
      </c>
      <c r="N466" t="n">
        <v>0</v>
      </c>
      <c r="O466" t="n">
        <v>0</v>
      </c>
      <c r="P466" t="n">
        <v>0</v>
      </c>
      <c r="Q466" t="n">
        <v>0</v>
      </c>
      <c r="R466" s="2" t="inlineStr"/>
    </row>
    <row r="467" ht="15" customHeight="1">
      <c r="A467" t="inlineStr">
        <is>
          <t>A 32592-2025</t>
        </is>
      </c>
      <c r="B467" s="1" t="n">
        <v>45838.61020833333</v>
      </c>
      <c r="C467" s="1" t="n">
        <v>46158</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46605-2025</t>
        </is>
      </c>
      <c r="B468" s="1" t="n">
        <v>45926.41214120371</v>
      </c>
      <c r="C468" s="1" t="n">
        <v>46158</v>
      </c>
      <c r="D468" t="inlineStr">
        <is>
          <t>SKÅNE LÄN</t>
        </is>
      </c>
      <c r="E468" t="inlineStr">
        <is>
          <t>HÄSSLEHOLM</t>
        </is>
      </c>
      <c r="G468" t="n">
        <v>0.4</v>
      </c>
      <c r="H468" t="n">
        <v>0</v>
      </c>
      <c r="I468" t="n">
        <v>0</v>
      </c>
      <c r="J468" t="n">
        <v>0</v>
      </c>
      <c r="K468" t="n">
        <v>0</v>
      </c>
      <c r="L468" t="n">
        <v>0</v>
      </c>
      <c r="M468" t="n">
        <v>0</v>
      </c>
      <c r="N468" t="n">
        <v>0</v>
      </c>
      <c r="O468" t="n">
        <v>0</v>
      </c>
      <c r="P468" t="n">
        <v>0</v>
      </c>
      <c r="Q468" t="n">
        <v>0</v>
      </c>
      <c r="R468" s="2" t="inlineStr"/>
    </row>
    <row r="469" ht="15" customHeight="1">
      <c r="A469" t="inlineStr">
        <is>
          <t>A 4981-2026</t>
        </is>
      </c>
      <c r="B469" s="1" t="n">
        <v>46049.37100694444</v>
      </c>
      <c r="C469" s="1" t="n">
        <v>46158</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5516-2026</t>
        </is>
      </c>
      <c r="B470" s="1" t="n">
        <v>46050.64197916666</v>
      </c>
      <c r="C470" s="1" t="n">
        <v>46158</v>
      </c>
      <c r="D470" t="inlineStr">
        <is>
          <t>SKÅNE LÄN</t>
        </is>
      </c>
      <c r="E470" t="inlineStr">
        <is>
          <t>HÄSSLEHOLM</t>
        </is>
      </c>
      <c r="G470" t="n">
        <v>1.9</v>
      </c>
      <c r="H470" t="n">
        <v>0</v>
      </c>
      <c r="I470" t="n">
        <v>0</v>
      </c>
      <c r="J470" t="n">
        <v>0</v>
      </c>
      <c r="K470" t="n">
        <v>0</v>
      </c>
      <c r="L470" t="n">
        <v>0</v>
      </c>
      <c r="M470" t="n">
        <v>0</v>
      </c>
      <c r="N470" t="n">
        <v>0</v>
      </c>
      <c r="O470" t="n">
        <v>0</v>
      </c>
      <c r="P470" t="n">
        <v>0</v>
      </c>
      <c r="Q470" t="n">
        <v>0</v>
      </c>
      <c r="R470" s="2" t="inlineStr"/>
    </row>
    <row r="471" ht="15" customHeight="1">
      <c r="A471" t="inlineStr">
        <is>
          <t>A 4994-2026</t>
        </is>
      </c>
      <c r="B471" s="1" t="n">
        <v>46049</v>
      </c>
      <c r="C471" s="1" t="n">
        <v>46158</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5103-2026</t>
        </is>
      </c>
      <c r="B472" s="1" t="n">
        <v>46049.56725694444</v>
      </c>
      <c r="C472" s="1" t="n">
        <v>46158</v>
      </c>
      <c r="D472" t="inlineStr">
        <is>
          <t>SKÅNE LÄN</t>
        </is>
      </c>
      <c r="E472" t="inlineStr">
        <is>
          <t>HÄSSLEHOLM</t>
        </is>
      </c>
      <c r="G472" t="n">
        <v>5.4</v>
      </c>
      <c r="H472" t="n">
        <v>0</v>
      </c>
      <c r="I472" t="n">
        <v>0</v>
      </c>
      <c r="J472" t="n">
        <v>0</v>
      </c>
      <c r="K472" t="n">
        <v>0</v>
      </c>
      <c r="L472" t="n">
        <v>0</v>
      </c>
      <c r="M472" t="n">
        <v>0</v>
      </c>
      <c r="N472" t="n">
        <v>0</v>
      </c>
      <c r="O472" t="n">
        <v>0</v>
      </c>
      <c r="P472" t="n">
        <v>0</v>
      </c>
      <c r="Q472" t="n">
        <v>0</v>
      </c>
      <c r="R472" s="2" t="inlineStr"/>
    </row>
    <row r="473" ht="15" customHeight="1">
      <c r="A473" t="inlineStr">
        <is>
          <t>A 5497-2026</t>
        </is>
      </c>
      <c r="B473" s="1" t="n">
        <v>46050.61875</v>
      </c>
      <c r="C473" s="1" t="n">
        <v>46158</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5503-2026</t>
        </is>
      </c>
      <c r="B474" s="1" t="n">
        <v>46050.62509259259</v>
      </c>
      <c r="C474" s="1" t="n">
        <v>46158</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12558-2023</t>
        </is>
      </c>
      <c r="B475" s="1" t="n">
        <v>45000.36103009259</v>
      </c>
      <c r="C475" s="1" t="n">
        <v>46158</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13673-2023</t>
        </is>
      </c>
      <c r="B476" s="1" t="n">
        <v>45006.87957175926</v>
      </c>
      <c r="C476" s="1" t="n">
        <v>46158</v>
      </c>
      <c r="D476" t="inlineStr">
        <is>
          <t>SKÅNE LÄN</t>
        </is>
      </c>
      <c r="E476" t="inlineStr">
        <is>
          <t>HÄSSLEHOLM</t>
        </is>
      </c>
      <c r="G476" t="n">
        <v>3.2</v>
      </c>
      <c r="H476" t="n">
        <v>0</v>
      </c>
      <c r="I476" t="n">
        <v>0</v>
      </c>
      <c r="J476" t="n">
        <v>0</v>
      </c>
      <c r="K476" t="n">
        <v>0</v>
      </c>
      <c r="L476" t="n">
        <v>0</v>
      </c>
      <c r="M476" t="n">
        <v>0</v>
      </c>
      <c r="N476" t="n">
        <v>0</v>
      </c>
      <c r="O476" t="n">
        <v>0</v>
      </c>
      <c r="P476" t="n">
        <v>0</v>
      </c>
      <c r="Q476" t="n">
        <v>0</v>
      </c>
      <c r="R476" s="2" t="inlineStr"/>
    </row>
    <row r="477" ht="15" customHeight="1">
      <c r="A477" t="inlineStr">
        <is>
          <t>A 46761-2025</t>
        </is>
      </c>
      <c r="B477" s="1" t="n">
        <v>45926.62289351852</v>
      </c>
      <c r="C477" s="1" t="n">
        <v>46158</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48844-2023</t>
        </is>
      </c>
      <c r="B478" s="1" t="n">
        <v>45209</v>
      </c>
      <c r="C478" s="1" t="n">
        <v>46158</v>
      </c>
      <c r="D478" t="inlineStr">
        <is>
          <t>SKÅNE LÄN</t>
        </is>
      </c>
      <c r="E478" t="inlineStr">
        <is>
          <t>HÄSSLEHOLM</t>
        </is>
      </c>
      <c r="G478" t="n">
        <v>4</v>
      </c>
      <c r="H478" t="n">
        <v>0</v>
      </c>
      <c r="I478" t="n">
        <v>0</v>
      </c>
      <c r="J478" t="n">
        <v>0</v>
      </c>
      <c r="K478" t="n">
        <v>0</v>
      </c>
      <c r="L478" t="n">
        <v>0</v>
      </c>
      <c r="M478" t="n">
        <v>0</v>
      </c>
      <c r="N478" t="n">
        <v>0</v>
      </c>
      <c r="O478" t="n">
        <v>0</v>
      </c>
      <c r="P478" t="n">
        <v>0</v>
      </c>
      <c r="Q478" t="n">
        <v>0</v>
      </c>
      <c r="R478" s="2" t="inlineStr"/>
    </row>
    <row r="479" ht="15" customHeight="1">
      <c r="A479" t="inlineStr">
        <is>
          <t>A 46786-2025</t>
        </is>
      </c>
      <c r="B479" s="1" t="n">
        <v>45926.64484953704</v>
      </c>
      <c r="C479" s="1" t="n">
        <v>46158</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47259-2025</t>
        </is>
      </c>
      <c r="B480" s="1" t="n">
        <v>45930</v>
      </c>
      <c r="C480" s="1" t="n">
        <v>46158</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29649-2025</t>
        </is>
      </c>
      <c r="B481" s="1" t="n">
        <v>45825.47446759259</v>
      </c>
      <c r="C481" s="1" t="n">
        <v>46158</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21329-2023</t>
        </is>
      </c>
      <c r="B482" s="1" t="n">
        <v>45062</v>
      </c>
      <c r="C482" s="1" t="n">
        <v>46158</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5757-2026</t>
        </is>
      </c>
      <c r="B483" s="1" t="n">
        <v>46051.61309027778</v>
      </c>
      <c r="C483" s="1" t="n">
        <v>46158</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47473-2025</t>
        </is>
      </c>
      <c r="B484" s="1" t="n">
        <v>45930.67763888889</v>
      </c>
      <c r="C484" s="1" t="n">
        <v>46158</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46855-2025</t>
        </is>
      </c>
      <c r="B485" s="1" t="n">
        <v>45928.88497685185</v>
      </c>
      <c r="C485" s="1" t="n">
        <v>46158</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33948-2025</t>
        </is>
      </c>
      <c r="B486" s="1" t="n">
        <v>45842.65945601852</v>
      </c>
      <c r="C486" s="1" t="n">
        <v>46158</v>
      </c>
      <c r="D486" t="inlineStr">
        <is>
          <t>SKÅNE LÄN</t>
        </is>
      </c>
      <c r="E486" t="inlineStr">
        <is>
          <t>HÄSSLEHOLM</t>
        </is>
      </c>
      <c r="G486" t="n">
        <v>8.5</v>
      </c>
      <c r="H486" t="n">
        <v>0</v>
      </c>
      <c r="I486" t="n">
        <v>0</v>
      </c>
      <c r="J486" t="n">
        <v>0</v>
      </c>
      <c r="K486" t="n">
        <v>0</v>
      </c>
      <c r="L486" t="n">
        <v>0</v>
      </c>
      <c r="M486" t="n">
        <v>0</v>
      </c>
      <c r="N486" t="n">
        <v>0</v>
      </c>
      <c r="O486" t="n">
        <v>0</v>
      </c>
      <c r="P486" t="n">
        <v>0</v>
      </c>
      <c r="Q486" t="n">
        <v>0</v>
      </c>
      <c r="R486" s="2" t="inlineStr"/>
    </row>
    <row r="487" ht="15" customHeight="1">
      <c r="A487" t="inlineStr">
        <is>
          <t>A 47466-2025</t>
        </is>
      </c>
      <c r="B487" s="1" t="n">
        <v>45930.66677083333</v>
      </c>
      <c r="C487" s="1" t="n">
        <v>46158</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45222-2023</t>
        </is>
      </c>
      <c r="B488" s="1" t="n">
        <v>45191</v>
      </c>
      <c r="C488" s="1" t="n">
        <v>46158</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5759-2026</t>
        </is>
      </c>
      <c r="B489" s="1" t="n">
        <v>46051.61814814815</v>
      </c>
      <c r="C489" s="1" t="n">
        <v>46158</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58632-2025</t>
        </is>
      </c>
      <c r="B490" s="1" t="n">
        <v>45986</v>
      </c>
      <c r="C490" s="1" t="n">
        <v>46158</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13310-2025</t>
        </is>
      </c>
      <c r="B491" s="1" t="n">
        <v>45735.58814814815</v>
      </c>
      <c r="C491" s="1" t="n">
        <v>46158</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33875-2025</t>
        </is>
      </c>
      <c r="B492" s="1" t="n">
        <v>45842.55300925926</v>
      </c>
      <c r="C492" s="1" t="n">
        <v>46158</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47126-2025</t>
        </is>
      </c>
      <c r="B493" s="1" t="n">
        <v>45929.685625</v>
      </c>
      <c r="C493" s="1" t="n">
        <v>46158</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47127-2025</t>
        </is>
      </c>
      <c r="B494" s="1" t="n">
        <v>45929.6893287037</v>
      </c>
      <c r="C494" s="1" t="n">
        <v>46158</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25538-2024</t>
        </is>
      </c>
      <c r="B495" s="1" t="n">
        <v>45463</v>
      </c>
      <c r="C495" s="1" t="n">
        <v>46158</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33877-2025</t>
        </is>
      </c>
      <c r="B496" s="1" t="n">
        <v>45842.55564814815</v>
      </c>
      <c r="C496" s="1" t="n">
        <v>46158</v>
      </c>
      <c r="D496" t="inlineStr">
        <is>
          <t>SKÅNE LÄN</t>
        </is>
      </c>
      <c r="E496" t="inlineStr">
        <is>
          <t>HÄSSLEHOLM</t>
        </is>
      </c>
      <c r="G496" t="n">
        <v>3.9</v>
      </c>
      <c r="H496" t="n">
        <v>0</v>
      </c>
      <c r="I496" t="n">
        <v>0</v>
      </c>
      <c r="J496" t="n">
        <v>0</v>
      </c>
      <c r="K496" t="n">
        <v>0</v>
      </c>
      <c r="L496" t="n">
        <v>0</v>
      </c>
      <c r="M496" t="n">
        <v>0</v>
      </c>
      <c r="N496" t="n">
        <v>0</v>
      </c>
      <c r="O496" t="n">
        <v>0</v>
      </c>
      <c r="P496" t="n">
        <v>0</v>
      </c>
      <c r="Q496" t="n">
        <v>0</v>
      </c>
      <c r="R496" s="2" t="inlineStr"/>
    </row>
    <row r="497" ht="15" customHeight="1">
      <c r="A497" t="inlineStr">
        <is>
          <t>A 33879-2025</t>
        </is>
      </c>
      <c r="B497" s="1" t="n">
        <v>45842.55766203703</v>
      </c>
      <c r="C497" s="1" t="n">
        <v>46158</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33562-2025</t>
        </is>
      </c>
      <c r="B498" s="1" t="n">
        <v>45841.57803240741</v>
      </c>
      <c r="C498" s="1" t="n">
        <v>46158</v>
      </c>
      <c r="D498" t="inlineStr">
        <is>
          <t>SKÅNE LÄN</t>
        </is>
      </c>
      <c r="E498" t="inlineStr">
        <is>
          <t>HÄSSLEHOLM</t>
        </is>
      </c>
      <c r="G498" t="n">
        <v>2.8</v>
      </c>
      <c r="H498" t="n">
        <v>0</v>
      </c>
      <c r="I498" t="n">
        <v>0</v>
      </c>
      <c r="J498" t="n">
        <v>0</v>
      </c>
      <c r="K498" t="n">
        <v>0</v>
      </c>
      <c r="L498" t="n">
        <v>0</v>
      </c>
      <c r="M498" t="n">
        <v>0</v>
      </c>
      <c r="N498" t="n">
        <v>0</v>
      </c>
      <c r="O498" t="n">
        <v>0</v>
      </c>
      <c r="P498" t="n">
        <v>0</v>
      </c>
      <c r="Q498" t="n">
        <v>0</v>
      </c>
      <c r="R498" s="2" t="inlineStr"/>
    </row>
    <row r="499" ht="15" customHeight="1">
      <c r="A499" t="inlineStr">
        <is>
          <t>A 33950-2025</t>
        </is>
      </c>
      <c r="B499" s="1" t="n">
        <v>45842</v>
      </c>
      <c r="C499" s="1" t="n">
        <v>46158</v>
      </c>
      <c r="D499" t="inlineStr">
        <is>
          <t>SKÅNE LÄN</t>
        </is>
      </c>
      <c r="E499" t="inlineStr">
        <is>
          <t>HÄSSLEHOLM</t>
        </is>
      </c>
      <c r="G499" t="n">
        <v>5.7</v>
      </c>
      <c r="H499" t="n">
        <v>0</v>
      </c>
      <c r="I499" t="n">
        <v>0</v>
      </c>
      <c r="J499" t="n">
        <v>0</v>
      </c>
      <c r="K499" t="n">
        <v>0</v>
      </c>
      <c r="L499" t="n">
        <v>0</v>
      </c>
      <c r="M499" t="n">
        <v>0</v>
      </c>
      <c r="N499" t="n">
        <v>0</v>
      </c>
      <c r="O499" t="n">
        <v>0</v>
      </c>
      <c r="P499" t="n">
        <v>0</v>
      </c>
      <c r="Q499" t="n">
        <v>0</v>
      </c>
      <c r="R499" s="2" t="inlineStr"/>
    </row>
    <row r="500" ht="15" customHeight="1">
      <c r="A500" t="inlineStr">
        <is>
          <t>A 15055-2023</t>
        </is>
      </c>
      <c r="B500" s="1" t="n">
        <v>45015</v>
      </c>
      <c r="C500" s="1" t="n">
        <v>46158</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25726-2025</t>
        </is>
      </c>
      <c r="B501" s="1" t="n">
        <v>45803</v>
      </c>
      <c r="C501" s="1" t="n">
        <v>46158</v>
      </c>
      <c r="D501" t="inlineStr">
        <is>
          <t>SKÅNE LÄN</t>
        </is>
      </c>
      <c r="E501" t="inlineStr">
        <is>
          <t>HÄSSLEHOLM</t>
        </is>
      </c>
      <c r="G501" t="n">
        <v>5.5</v>
      </c>
      <c r="H501" t="n">
        <v>0</v>
      </c>
      <c r="I501" t="n">
        <v>0</v>
      </c>
      <c r="J501" t="n">
        <v>0</v>
      </c>
      <c r="K501" t="n">
        <v>0</v>
      </c>
      <c r="L501" t="n">
        <v>0</v>
      </c>
      <c r="M501" t="n">
        <v>0</v>
      </c>
      <c r="N501" t="n">
        <v>0</v>
      </c>
      <c r="O501" t="n">
        <v>0</v>
      </c>
      <c r="P501" t="n">
        <v>0</v>
      </c>
      <c r="Q501" t="n">
        <v>0</v>
      </c>
      <c r="R501" s="2" t="inlineStr"/>
    </row>
    <row r="502" ht="15" customHeight="1">
      <c r="A502" t="inlineStr">
        <is>
          <t>A 25324-2024</t>
        </is>
      </c>
      <c r="B502" s="1" t="n">
        <v>45462.804375</v>
      </c>
      <c r="C502" s="1" t="n">
        <v>46158</v>
      </c>
      <c r="D502" t="inlineStr">
        <is>
          <t>SKÅNE LÄN</t>
        </is>
      </c>
      <c r="E502" t="inlineStr">
        <is>
          <t>HÄSSLEHOLM</t>
        </is>
      </c>
      <c r="G502" t="n">
        <v>0.2</v>
      </c>
      <c r="H502" t="n">
        <v>0</v>
      </c>
      <c r="I502" t="n">
        <v>0</v>
      </c>
      <c r="J502" t="n">
        <v>0</v>
      </c>
      <c r="K502" t="n">
        <v>0</v>
      </c>
      <c r="L502" t="n">
        <v>0</v>
      </c>
      <c r="M502" t="n">
        <v>0</v>
      </c>
      <c r="N502" t="n">
        <v>0</v>
      </c>
      <c r="O502" t="n">
        <v>0</v>
      </c>
      <c r="P502" t="n">
        <v>0</v>
      </c>
      <c r="Q502" t="n">
        <v>0</v>
      </c>
      <c r="R502" s="2" t="inlineStr"/>
    </row>
    <row r="503" ht="15" customHeight="1">
      <c r="A503" t="inlineStr">
        <is>
          <t>A 34174-2025</t>
        </is>
      </c>
      <c r="B503" s="1" t="n">
        <v>45844</v>
      </c>
      <c r="C503" s="1" t="n">
        <v>46158</v>
      </c>
      <c r="D503" t="inlineStr">
        <is>
          <t>SKÅNE LÄN</t>
        </is>
      </c>
      <c r="E503" t="inlineStr">
        <is>
          <t>HÄSSLEHOLM</t>
        </is>
      </c>
      <c r="G503" t="n">
        <v>4.7</v>
      </c>
      <c r="H503" t="n">
        <v>0</v>
      </c>
      <c r="I503" t="n">
        <v>0</v>
      </c>
      <c r="J503" t="n">
        <v>0</v>
      </c>
      <c r="K503" t="n">
        <v>0</v>
      </c>
      <c r="L503" t="n">
        <v>0</v>
      </c>
      <c r="M503" t="n">
        <v>0</v>
      </c>
      <c r="N503" t="n">
        <v>0</v>
      </c>
      <c r="O503" t="n">
        <v>0</v>
      </c>
      <c r="P503" t="n">
        <v>0</v>
      </c>
      <c r="Q503" t="n">
        <v>0</v>
      </c>
      <c r="R503" s="2" t="inlineStr"/>
    </row>
    <row r="504" ht="15" customHeight="1">
      <c r="A504" t="inlineStr">
        <is>
          <t>A 34177-2025</t>
        </is>
      </c>
      <c r="B504" s="1" t="n">
        <v>45844</v>
      </c>
      <c r="C504" s="1" t="n">
        <v>46158</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2290-2024</t>
        </is>
      </c>
      <c r="B505" s="1" t="n">
        <v>45310</v>
      </c>
      <c r="C505" s="1" t="n">
        <v>46158</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22678-2025</t>
        </is>
      </c>
      <c r="B506" s="1" t="n">
        <v>45789.49725694444</v>
      </c>
      <c r="C506" s="1" t="n">
        <v>46158</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32958-2023</t>
        </is>
      </c>
      <c r="B507" s="1" t="n">
        <v>45125.52142361111</v>
      </c>
      <c r="C507" s="1" t="n">
        <v>46158</v>
      </c>
      <c r="D507" t="inlineStr">
        <is>
          <t>SKÅNE LÄN</t>
        </is>
      </c>
      <c r="E507" t="inlineStr">
        <is>
          <t>HÄSSLEHOLM</t>
        </is>
      </c>
      <c r="G507" t="n">
        <v>7.9</v>
      </c>
      <c r="H507" t="n">
        <v>0</v>
      </c>
      <c r="I507" t="n">
        <v>0</v>
      </c>
      <c r="J507" t="n">
        <v>0</v>
      </c>
      <c r="K507" t="n">
        <v>0</v>
      </c>
      <c r="L507" t="n">
        <v>0</v>
      </c>
      <c r="M507" t="n">
        <v>0</v>
      </c>
      <c r="N507" t="n">
        <v>0</v>
      </c>
      <c r="O507" t="n">
        <v>0</v>
      </c>
      <c r="P507" t="n">
        <v>0</v>
      </c>
      <c r="Q507" t="n">
        <v>0</v>
      </c>
      <c r="R507" s="2" t="inlineStr"/>
    </row>
    <row r="508" ht="15" customHeight="1">
      <c r="A508" t="inlineStr">
        <is>
          <t>A 13316-2023</t>
        </is>
      </c>
      <c r="B508" s="1" t="n">
        <v>45005.39013888889</v>
      </c>
      <c r="C508" s="1" t="n">
        <v>46158</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48184-2025</t>
        </is>
      </c>
      <c r="B509" s="1" t="n">
        <v>45933.46131944445</v>
      </c>
      <c r="C509" s="1" t="n">
        <v>46158</v>
      </c>
      <c r="D509" t="inlineStr">
        <is>
          <t>SKÅNE LÄN</t>
        </is>
      </c>
      <c r="E509" t="inlineStr">
        <is>
          <t>HÄSSLEHOLM</t>
        </is>
      </c>
      <c r="G509" t="n">
        <v>3</v>
      </c>
      <c r="H509" t="n">
        <v>0</v>
      </c>
      <c r="I509" t="n">
        <v>0</v>
      </c>
      <c r="J509" t="n">
        <v>0</v>
      </c>
      <c r="K509" t="n">
        <v>0</v>
      </c>
      <c r="L509" t="n">
        <v>0</v>
      </c>
      <c r="M509" t="n">
        <v>0</v>
      </c>
      <c r="N509" t="n">
        <v>0</v>
      </c>
      <c r="O509" t="n">
        <v>0</v>
      </c>
      <c r="P509" t="n">
        <v>0</v>
      </c>
      <c r="Q509" t="n">
        <v>0</v>
      </c>
      <c r="R509" s="2" t="inlineStr"/>
    </row>
    <row r="510" ht="15" customHeight="1">
      <c r="A510" t="inlineStr">
        <is>
          <t>A 48185-2025</t>
        </is>
      </c>
      <c r="B510" s="1" t="n">
        <v>45933.46434027778</v>
      </c>
      <c r="C510" s="1" t="n">
        <v>46158</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65235-2021</t>
        </is>
      </c>
      <c r="B511" s="1" t="n">
        <v>44515</v>
      </c>
      <c r="C511" s="1" t="n">
        <v>46158</v>
      </c>
      <c r="D511" t="inlineStr">
        <is>
          <t>SKÅNE LÄN</t>
        </is>
      </c>
      <c r="E511" t="inlineStr">
        <is>
          <t>HÄSSLEHOLM</t>
        </is>
      </c>
      <c r="G511" t="n">
        <v>2.5</v>
      </c>
      <c r="H511" t="n">
        <v>0</v>
      </c>
      <c r="I511" t="n">
        <v>0</v>
      </c>
      <c r="J511" t="n">
        <v>0</v>
      </c>
      <c r="K511" t="n">
        <v>0</v>
      </c>
      <c r="L511" t="n">
        <v>0</v>
      </c>
      <c r="M511" t="n">
        <v>0</v>
      </c>
      <c r="N511" t="n">
        <v>0</v>
      </c>
      <c r="O511" t="n">
        <v>0</v>
      </c>
      <c r="P511" t="n">
        <v>0</v>
      </c>
      <c r="Q511" t="n">
        <v>0</v>
      </c>
      <c r="R511" s="2" t="inlineStr"/>
    </row>
    <row r="512" ht="15" customHeight="1">
      <c r="A512" t="inlineStr">
        <is>
          <t>A 13358-2023</t>
        </is>
      </c>
      <c r="B512" s="1" t="n">
        <v>45005</v>
      </c>
      <c r="C512" s="1" t="n">
        <v>46158</v>
      </c>
      <c r="D512" t="inlineStr">
        <is>
          <t>SKÅNE LÄN</t>
        </is>
      </c>
      <c r="E512" t="inlineStr">
        <is>
          <t>HÄSSLEHOLM</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5316-2023</t>
        </is>
      </c>
      <c r="B513" s="1" t="n">
        <v>44959</v>
      </c>
      <c r="C513" s="1" t="n">
        <v>46158</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32794-2023</t>
        </is>
      </c>
      <c r="B514" s="1" t="n">
        <v>45124.40446759259</v>
      </c>
      <c r="C514" s="1" t="n">
        <v>46158</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48722-2025</t>
        </is>
      </c>
      <c r="B515" s="1" t="n">
        <v>45935</v>
      </c>
      <c r="C515" s="1" t="n">
        <v>46158</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28211-2022</t>
        </is>
      </c>
      <c r="B516" s="1" t="n">
        <v>44746</v>
      </c>
      <c r="C516" s="1" t="n">
        <v>46158</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12162-2023</t>
        </is>
      </c>
      <c r="B517" s="1" t="n">
        <v>44998.49619212963</v>
      </c>
      <c r="C517" s="1" t="n">
        <v>46158</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14702-2025</t>
        </is>
      </c>
      <c r="B518" s="1" t="n">
        <v>45742.60403935185</v>
      </c>
      <c r="C518" s="1" t="n">
        <v>46158</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9669-2025</t>
        </is>
      </c>
      <c r="B519" s="1" t="n">
        <v>45716.32921296296</v>
      </c>
      <c r="C519" s="1" t="n">
        <v>46158</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34869-2025</t>
        </is>
      </c>
      <c r="B520" s="1" t="n">
        <v>45849</v>
      </c>
      <c r="C520" s="1" t="n">
        <v>46158</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59109-2023</t>
        </is>
      </c>
      <c r="B521" s="1" t="n">
        <v>45253.30819444444</v>
      </c>
      <c r="C521" s="1" t="n">
        <v>46158</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6309-2026</t>
        </is>
      </c>
      <c r="B522" s="1" t="n">
        <v>46055.57369212963</v>
      </c>
      <c r="C522" s="1" t="n">
        <v>46158</v>
      </c>
      <c r="D522" t="inlineStr">
        <is>
          <t>SKÅNE LÄN</t>
        </is>
      </c>
      <c r="E522" t="inlineStr">
        <is>
          <t>HÄSSLEHOLM</t>
        </is>
      </c>
      <c r="G522" t="n">
        <v>3.5</v>
      </c>
      <c r="H522" t="n">
        <v>0</v>
      </c>
      <c r="I522" t="n">
        <v>0</v>
      </c>
      <c r="J522" t="n">
        <v>0</v>
      </c>
      <c r="K522" t="n">
        <v>0</v>
      </c>
      <c r="L522" t="n">
        <v>0</v>
      </c>
      <c r="M522" t="n">
        <v>0</v>
      </c>
      <c r="N522" t="n">
        <v>0</v>
      </c>
      <c r="O522" t="n">
        <v>0</v>
      </c>
      <c r="P522" t="n">
        <v>0</v>
      </c>
      <c r="Q522" t="n">
        <v>0</v>
      </c>
      <c r="R522" s="2" t="inlineStr"/>
    </row>
    <row r="523" ht="15" customHeight="1">
      <c r="A523" t="inlineStr">
        <is>
          <t>A 49135-2025</t>
        </is>
      </c>
      <c r="B523" s="1" t="n">
        <v>45938.00990740741</v>
      </c>
      <c r="C523" s="1" t="n">
        <v>46158</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49136-2025</t>
        </is>
      </c>
      <c r="B524" s="1" t="n">
        <v>45938.01277777777</v>
      </c>
      <c r="C524" s="1" t="n">
        <v>46158</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49137-2025</t>
        </is>
      </c>
      <c r="B525" s="1" t="n">
        <v>45938.05672453704</v>
      </c>
      <c r="C525" s="1" t="n">
        <v>46158</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58888-2024</t>
        </is>
      </c>
      <c r="B526" s="1" t="n">
        <v>45636.45962962963</v>
      </c>
      <c r="C526" s="1" t="n">
        <v>46158</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35259-2025</t>
        </is>
      </c>
      <c r="B527" s="1" t="n">
        <v>45853.76912037037</v>
      </c>
      <c r="C527" s="1" t="n">
        <v>46158</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20970-2025</t>
        </is>
      </c>
      <c r="B528" s="1" t="n">
        <v>45777.45417824074</v>
      </c>
      <c r="C528" s="1" t="n">
        <v>46158</v>
      </c>
      <c r="D528" t="inlineStr">
        <is>
          <t>SKÅNE LÄN</t>
        </is>
      </c>
      <c r="E528" t="inlineStr">
        <is>
          <t>HÄSSLEHOLM</t>
        </is>
      </c>
      <c r="G528" t="n">
        <v>2.2</v>
      </c>
      <c r="H528" t="n">
        <v>0</v>
      </c>
      <c r="I528" t="n">
        <v>0</v>
      </c>
      <c r="J528" t="n">
        <v>0</v>
      </c>
      <c r="K528" t="n">
        <v>0</v>
      </c>
      <c r="L528" t="n">
        <v>0</v>
      </c>
      <c r="M528" t="n">
        <v>0</v>
      </c>
      <c r="N528" t="n">
        <v>0</v>
      </c>
      <c r="O528" t="n">
        <v>0</v>
      </c>
      <c r="P528" t="n">
        <v>0</v>
      </c>
      <c r="Q528" t="n">
        <v>0</v>
      </c>
      <c r="R528" s="2" t="inlineStr"/>
    </row>
    <row r="529" ht="15" customHeight="1">
      <c r="A529" t="inlineStr">
        <is>
          <t>A 6299-2026</t>
        </is>
      </c>
      <c r="B529" s="1" t="n">
        <v>46055.56623842593</v>
      </c>
      <c r="C529" s="1" t="n">
        <v>46158</v>
      </c>
      <c r="D529" t="inlineStr">
        <is>
          <t>SKÅNE LÄN</t>
        </is>
      </c>
      <c r="E529" t="inlineStr">
        <is>
          <t>HÄSSLEHOLM</t>
        </is>
      </c>
      <c r="G529" t="n">
        <v>5.2</v>
      </c>
      <c r="H529" t="n">
        <v>0</v>
      </c>
      <c r="I529" t="n">
        <v>0</v>
      </c>
      <c r="J529" t="n">
        <v>0</v>
      </c>
      <c r="K529" t="n">
        <v>0</v>
      </c>
      <c r="L529" t="n">
        <v>0</v>
      </c>
      <c r="M529" t="n">
        <v>0</v>
      </c>
      <c r="N529" t="n">
        <v>0</v>
      </c>
      <c r="O529" t="n">
        <v>0</v>
      </c>
      <c r="P529" t="n">
        <v>0</v>
      </c>
      <c r="Q529" t="n">
        <v>0</v>
      </c>
      <c r="R529" s="2" t="inlineStr"/>
    </row>
    <row r="530" ht="15" customHeight="1">
      <c r="A530" t="inlineStr">
        <is>
          <t>A 17413-2025</t>
        </is>
      </c>
      <c r="B530" s="1" t="n">
        <v>45757.37480324074</v>
      </c>
      <c r="C530" s="1" t="n">
        <v>46158</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6165-2023</t>
        </is>
      </c>
      <c r="B531" s="1" t="n">
        <v>44964.67114583333</v>
      </c>
      <c r="C531" s="1" t="n">
        <v>46158</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6363-2026</t>
        </is>
      </c>
      <c r="B532" s="1" t="n">
        <v>46055.62319444444</v>
      </c>
      <c r="C532" s="1" t="n">
        <v>46158</v>
      </c>
      <c r="D532" t="inlineStr">
        <is>
          <t>SKÅNE LÄN</t>
        </is>
      </c>
      <c r="E532" t="inlineStr">
        <is>
          <t>HÄSSLEHOLM</t>
        </is>
      </c>
      <c r="G532" t="n">
        <v>4.4</v>
      </c>
      <c r="H532" t="n">
        <v>0</v>
      </c>
      <c r="I532" t="n">
        <v>0</v>
      </c>
      <c r="J532" t="n">
        <v>0</v>
      </c>
      <c r="K532" t="n">
        <v>0</v>
      </c>
      <c r="L532" t="n">
        <v>0</v>
      </c>
      <c r="M532" t="n">
        <v>0</v>
      </c>
      <c r="N532" t="n">
        <v>0</v>
      </c>
      <c r="O532" t="n">
        <v>0</v>
      </c>
      <c r="P532" t="n">
        <v>0</v>
      </c>
      <c r="Q532" t="n">
        <v>0</v>
      </c>
      <c r="R532" s="2" t="inlineStr"/>
    </row>
    <row r="533" ht="15" customHeight="1">
      <c r="A533" t="inlineStr">
        <is>
          <t>A 16017-2023</t>
        </is>
      </c>
      <c r="B533" s="1" t="n">
        <v>45026</v>
      </c>
      <c r="C533" s="1" t="n">
        <v>46158</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31989-2024</t>
        </is>
      </c>
      <c r="B534" s="1" t="n">
        <v>45510.58085648148</v>
      </c>
      <c r="C534" s="1" t="n">
        <v>46158</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49845-2025</t>
        </is>
      </c>
      <c r="B535" s="1" t="n">
        <v>45940.48015046296</v>
      </c>
      <c r="C535" s="1" t="n">
        <v>46158</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35640-2023</t>
        </is>
      </c>
      <c r="B536" s="1" t="n">
        <v>45147</v>
      </c>
      <c r="C536" s="1" t="n">
        <v>46158</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6449-2026</t>
        </is>
      </c>
      <c r="B537" s="1" t="n">
        <v>46055.87239583334</v>
      </c>
      <c r="C537" s="1" t="n">
        <v>46158</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48771-2024</t>
        </is>
      </c>
      <c r="B538" s="1" t="n">
        <v>45593.61284722222</v>
      </c>
      <c r="C538" s="1" t="n">
        <v>46158</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24241-2023</t>
        </is>
      </c>
      <c r="B539" s="1" t="n">
        <v>45079.61476851852</v>
      </c>
      <c r="C539" s="1" t="n">
        <v>46158</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23987-2024</t>
        </is>
      </c>
      <c r="B540" s="1" t="n">
        <v>45456</v>
      </c>
      <c r="C540" s="1" t="n">
        <v>46158</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19739-2023</t>
        </is>
      </c>
      <c r="B541" s="1" t="n">
        <v>45051</v>
      </c>
      <c r="C541" s="1" t="n">
        <v>46158</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6295-2026</t>
        </is>
      </c>
      <c r="B542" s="1" t="n">
        <v>46055.56115740741</v>
      </c>
      <c r="C542" s="1" t="n">
        <v>46158</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59246-2024</t>
        </is>
      </c>
      <c r="B543" s="1" t="n">
        <v>45636</v>
      </c>
      <c r="C543" s="1" t="n">
        <v>46158</v>
      </c>
      <c r="D543" t="inlineStr">
        <is>
          <t>SKÅNE LÄN</t>
        </is>
      </c>
      <c r="E543" t="inlineStr">
        <is>
          <t>HÄSSLEHOLM</t>
        </is>
      </c>
      <c r="G543" t="n">
        <v>2.6</v>
      </c>
      <c r="H543" t="n">
        <v>0</v>
      </c>
      <c r="I543" t="n">
        <v>0</v>
      </c>
      <c r="J543" t="n">
        <v>0</v>
      </c>
      <c r="K543" t="n">
        <v>0</v>
      </c>
      <c r="L543" t="n">
        <v>0</v>
      </c>
      <c r="M543" t="n">
        <v>0</v>
      </c>
      <c r="N543" t="n">
        <v>0</v>
      </c>
      <c r="O543" t="n">
        <v>0</v>
      </c>
      <c r="P543" t="n">
        <v>0</v>
      </c>
      <c r="Q543" t="n">
        <v>0</v>
      </c>
      <c r="R543" s="2" t="inlineStr"/>
    </row>
    <row r="544" ht="15" customHeight="1">
      <c r="A544" t="inlineStr">
        <is>
          <t>A 23666-2023</t>
        </is>
      </c>
      <c r="B544" s="1" t="n">
        <v>45077</v>
      </c>
      <c r="C544" s="1" t="n">
        <v>46158</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35237-2023</t>
        </is>
      </c>
      <c r="B545" s="1" t="n">
        <v>45145.74532407407</v>
      </c>
      <c r="C545" s="1" t="n">
        <v>46158</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260-2024</t>
        </is>
      </c>
      <c r="B546" s="1" t="n">
        <v>45294</v>
      </c>
      <c r="C546" s="1" t="n">
        <v>46158</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57275-2023</t>
        </is>
      </c>
      <c r="B547" s="1" t="n">
        <v>45245.58886574074</v>
      </c>
      <c r="C547" s="1" t="n">
        <v>46158</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24904-2025</t>
        </is>
      </c>
      <c r="B548" s="1" t="n">
        <v>45799</v>
      </c>
      <c r="C548" s="1" t="n">
        <v>46158</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50676-2025</t>
        </is>
      </c>
      <c r="B549" s="1" t="n">
        <v>45945</v>
      </c>
      <c r="C549" s="1" t="n">
        <v>46158</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50677-2025</t>
        </is>
      </c>
      <c r="B550" s="1" t="n">
        <v>45945</v>
      </c>
      <c r="C550" s="1" t="n">
        <v>46158</v>
      </c>
      <c r="D550" t="inlineStr">
        <is>
          <t>SKÅNE LÄN</t>
        </is>
      </c>
      <c r="E550" t="inlineStr">
        <is>
          <t>HÄSSLEHOLM</t>
        </is>
      </c>
      <c r="G550" t="n">
        <v>2.3</v>
      </c>
      <c r="H550" t="n">
        <v>0</v>
      </c>
      <c r="I550" t="n">
        <v>0</v>
      </c>
      <c r="J550" t="n">
        <v>0</v>
      </c>
      <c r="K550" t="n">
        <v>0</v>
      </c>
      <c r="L550" t="n">
        <v>0</v>
      </c>
      <c r="M550" t="n">
        <v>0</v>
      </c>
      <c r="N550" t="n">
        <v>0</v>
      </c>
      <c r="O550" t="n">
        <v>0</v>
      </c>
      <c r="P550" t="n">
        <v>0</v>
      </c>
      <c r="Q550" t="n">
        <v>0</v>
      </c>
      <c r="R550" s="2" t="inlineStr"/>
    </row>
    <row r="551" ht="15" customHeight="1">
      <c r="A551" t="inlineStr">
        <is>
          <t>A 50834-2025</t>
        </is>
      </c>
      <c r="B551" s="1" t="n">
        <v>45946.55746527778</v>
      </c>
      <c r="C551" s="1" t="n">
        <v>46158</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36085-2025</t>
        </is>
      </c>
      <c r="B552" s="1" t="n">
        <v>45866.46190972222</v>
      </c>
      <c r="C552" s="1" t="n">
        <v>46158</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50839-2025</t>
        </is>
      </c>
      <c r="B553" s="1" t="n">
        <v>45946</v>
      </c>
      <c r="C553" s="1" t="n">
        <v>46158</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27304-2023</t>
        </is>
      </c>
      <c r="B554" s="1" t="n">
        <v>45096.65199074074</v>
      </c>
      <c r="C554" s="1" t="n">
        <v>46158</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50678-2025</t>
        </is>
      </c>
      <c r="B555" s="1" t="n">
        <v>45945</v>
      </c>
      <c r="C555" s="1" t="n">
        <v>46158</v>
      </c>
      <c r="D555" t="inlineStr">
        <is>
          <t>SKÅNE LÄN</t>
        </is>
      </c>
      <c r="E555" t="inlineStr">
        <is>
          <t>HÄSSLEHOLM</t>
        </is>
      </c>
      <c r="G555" t="n">
        <v>1.2</v>
      </c>
      <c r="H555" t="n">
        <v>0</v>
      </c>
      <c r="I555" t="n">
        <v>0</v>
      </c>
      <c r="J555" t="n">
        <v>0</v>
      </c>
      <c r="K555" t="n">
        <v>0</v>
      </c>
      <c r="L555" t="n">
        <v>0</v>
      </c>
      <c r="M555" t="n">
        <v>0</v>
      </c>
      <c r="N555" t="n">
        <v>0</v>
      </c>
      <c r="O555" t="n">
        <v>0</v>
      </c>
      <c r="P555" t="n">
        <v>0</v>
      </c>
      <c r="Q555" t="n">
        <v>0</v>
      </c>
      <c r="R555" s="2" t="inlineStr"/>
    </row>
    <row r="556" ht="15" customHeight="1">
      <c r="A556" t="inlineStr">
        <is>
          <t>A 1886-2025</t>
        </is>
      </c>
      <c r="B556" s="1" t="n">
        <v>45671</v>
      </c>
      <c r="C556" s="1" t="n">
        <v>46158</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15536-2025</t>
        </is>
      </c>
      <c r="B557" s="1" t="n">
        <v>45747</v>
      </c>
      <c r="C557" s="1" t="n">
        <v>46158</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48191-2021</t>
        </is>
      </c>
      <c r="B558" s="1" t="n">
        <v>44449</v>
      </c>
      <c r="C558" s="1" t="n">
        <v>46158</v>
      </c>
      <c r="D558" t="inlineStr">
        <is>
          <t>SKÅNE LÄN</t>
        </is>
      </c>
      <c r="E558" t="inlineStr">
        <is>
          <t>HÄSSLEHOLM</t>
        </is>
      </c>
      <c r="G558" t="n">
        <v>6</v>
      </c>
      <c r="H558" t="n">
        <v>0</v>
      </c>
      <c r="I558" t="n">
        <v>0</v>
      </c>
      <c r="J558" t="n">
        <v>0</v>
      </c>
      <c r="K558" t="n">
        <v>0</v>
      </c>
      <c r="L558" t="n">
        <v>0</v>
      </c>
      <c r="M558" t="n">
        <v>0</v>
      </c>
      <c r="N558" t="n">
        <v>0</v>
      </c>
      <c r="O558" t="n">
        <v>0</v>
      </c>
      <c r="P558" t="n">
        <v>0</v>
      </c>
      <c r="Q558" t="n">
        <v>0</v>
      </c>
      <c r="R558" s="2" t="inlineStr"/>
    </row>
    <row r="559" ht="15" customHeight="1">
      <c r="A559" t="inlineStr">
        <is>
          <t>A 50829-2025</t>
        </is>
      </c>
      <c r="B559" s="1" t="n">
        <v>45946.55309027778</v>
      </c>
      <c r="C559" s="1" t="n">
        <v>46158</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6845-2023</t>
        </is>
      </c>
      <c r="B560" s="1" t="n">
        <v>44967</v>
      </c>
      <c r="C560" s="1" t="n">
        <v>46158</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36130-2025</t>
        </is>
      </c>
      <c r="B561" s="1" t="n">
        <v>45866.62273148148</v>
      </c>
      <c r="C561" s="1" t="n">
        <v>46158</v>
      </c>
      <c r="D561" t="inlineStr">
        <is>
          <t>SKÅNE LÄN</t>
        </is>
      </c>
      <c r="E561" t="inlineStr">
        <is>
          <t>HÄSSLEHOLM</t>
        </is>
      </c>
      <c r="G561" t="n">
        <v>4.7</v>
      </c>
      <c r="H561" t="n">
        <v>0</v>
      </c>
      <c r="I561" t="n">
        <v>0</v>
      </c>
      <c r="J561" t="n">
        <v>0</v>
      </c>
      <c r="K561" t="n">
        <v>0</v>
      </c>
      <c r="L561" t="n">
        <v>0</v>
      </c>
      <c r="M561" t="n">
        <v>0</v>
      </c>
      <c r="N561" t="n">
        <v>0</v>
      </c>
      <c r="O561" t="n">
        <v>0</v>
      </c>
      <c r="P561" t="n">
        <v>0</v>
      </c>
      <c r="Q561" t="n">
        <v>0</v>
      </c>
      <c r="R561" s="2" t="inlineStr"/>
    </row>
    <row r="562" ht="15" customHeight="1">
      <c r="A562" t="inlineStr">
        <is>
          <t>A 49824-2024</t>
        </is>
      </c>
      <c r="B562" s="1" t="n">
        <v>45597</v>
      </c>
      <c r="C562" s="1" t="n">
        <v>46158</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32834-2024</t>
        </is>
      </c>
      <c r="B563" s="1" t="n">
        <v>45516.6025</v>
      </c>
      <c r="C563" s="1" t="n">
        <v>46158</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19666-2025</t>
        </is>
      </c>
      <c r="B564" s="1" t="n">
        <v>45770.69326388889</v>
      </c>
      <c r="C564" s="1" t="n">
        <v>46158</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49199-2024</t>
        </is>
      </c>
      <c r="B565" s="1" t="n">
        <v>45595</v>
      </c>
      <c r="C565" s="1" t="n">
        <v>46158</v>
      </c>
      <c r="D565" t="inlineStr">
        <is>
          <t>SKÅNE LÄN</t>
        </is>
      </c>
      <c r="E565" t="inlineStr">
        <is>
          <t>HÄSSLEHOLM</t>
        </is>
      </c>
      <c r="G565" t="n">
        <v>5.2</v>
      </c>
      <c r="H565" t="n">
        <v>0</v>
      </c>
      <c r="I565" t="n">
        <v>0</v>
      </c>
      <c r="J565" t="n">
        <v>0</v>
      </c>
      <c r="K565" t="n">
        <v>0</v>
      </c>
      <c r="L565" t="n">
        <v>0</v>
      </c>
      <c r="M565" t="n">
        <v>0</v>
      </c>
      <c r="N565" t="n">
        <v>0</v>
      </c>
      <c r="O565" t="n">
        <v>0</v>
      </c>
      <c r="P565" t="n">
        <v>0</v>
      </c>
      <c r="Q565" t="n">
        <v>0</v>
      </c>
      <c r="R565" s="2" t="inlineStr"/>
    </row>
    <row r="566" ht="15" customHeight="1">
      <c r="A566" t="inlineStr">
        <is>
          <t>A 58886-2024</t>
        </is>
      </c>
      <c r="B566" s="1" t="n">
        <v>45636.45380787037</v>
      </c>
      <c r="C566" s="1" t="n">
        <v>46158</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36361-2025</t>
        </is>
      </c>
      <c r="B567" s="1" t="n">
        <v>45867</v>
      </c>
      <c r="C567" s="1" t="n">
        <v>46158</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51024-2025</t>
        </is>
      </c>
      <c r="B568" s="1" t="n">
        <v>45947.395</v>
      </c>
      <c r="C568" s="1" t="n">
        <v>46158</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13345-2025</t>
        </is>
      </c>
      <c r="B569" s="1" t="n">
        <v>45735.63017361111</v>
      </c>
      <c r="C569" s="1" t="n">
        <v>46158</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36358-2025</t>
        </is>
      </c>
      <c r="B570" s="1" t="n">
        <v>45867</v>
      </c>
      <c r="C570" s="1" t="n">
        <v>46158</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12469-2023</t>
        </is>
      </c>
      <c r="B571" s="1" t="n">
        <v>44999.62109953703</v>
      </c>
      <c r="C571" s="1" t="n">
        <v>46158</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36359-2025</t>
        </is>
      </c>
      <c r="B572" s="1" t="n">
        <v>45867</v>
      </c>
      <c r="C572" s="1" t="n">
        <v>46158</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36259-2025</t>
        </is>
      </c>
      <c r="B573" s="1" t="n">
        <v>45867.59799768519</v>
      </c>
      <c r="C573" s="1" t="n">
        <v>46158</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48663-2024</t>
        </is>
      </c>
      <c r="B574" s="1" t="n">
        <v>45593.48892361111</v>
      </c>
      <c r="C574" s="1" t="n">
        <v>46158</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51097-2025</t>
        </is>
      </c>
      <c r="B575" s="1" t="n">
        <v>45947.48018518519</v>
      </c>
      <c r="C575" s="1" t="n">
        <v>46158</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50659-2023</t>
        </is>
      </c>
      <c r="B576" s="1" t="n">
        <v>45217</v>
      </c>
      <c r="C576" s="1" t="n">
        <v>46158</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6877-2026</t>
        </is>
      </c>
      <c r="B577" s="1" t="n">
        <v>46057.45768518518</v>
      </c>
      <c r="C577" s="1" t="n">
        <v>46158</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7244-2026</t>
        </is>
      </c>
      <c r="B578" s="1" t="n">
        <v>46058.58646990741</v>
      </c>
      <c r="C578" s="1" t="n">
        <v>46158</v>
      </c>
      <c r="D578" t="inlineStr">
        <is>
          <t>SKÅNE LÄN</t>
        </is>
      </c>
      <c r="E578" t="inlineStr">
        <is>
          <t>HÄSSLEHOLM</t>
        </is>
      </c>
      <c r="G578" t="n">
        <v>7</v>
      </c>
      <c r="H578" t="n">
        <v>0</v>
      </c>
      <c r="I578" t="n">
        <v>0</v>
      </c>
      <c r="J578" t="n">
        <v>0</v>
      </c>
      <c r="K578" t="n">
        <v>0</v>
      </c>
      <c r="L578" t="n">
        <v>0</v>
      </c>
      <c r="M578" t="n">
        <v>0</v>
      </c>
      <c r="N578" t="n">
        <v>0</v>
      </c>
      <c r="O578" t="n">
        <v>0</v>
      </c>
      <c r="P578" t="n">
        <v>0</v>
      </c>
      <c r="Q578" t="n">
        <v>0</v>
      </c>
      <c r="R578" s="2" t="inlineStr"/>
    </row>
    <row r="579" ht="15" customHeight="1">
      <c r="A579" t="inlineStr">
        <is>
          <t>A 27464-2022</t>
        </is>
      </c>
      <c r="B579" s="1" t="n">
        <v>44742.58704861111</v>
      </c>
      <c r="C579" s="1" t="n">
        <v>46158</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46158</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46158</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50525-2024</t>
        </is>
      </c>
      <c r="B582" s="1" t="n">
        <v>45601</v>
      </c>
      <c r="C582" s="1" t="n">
        <v>46158</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27242-2022</t>
        </is>
      </c>
      <c r="B583" s="1" t="n">
        <v>44741</v>
      </c>
      <c r="C583" s="1" t="n">
        <v>46158</v>
      </c>
      <c r="D583" t="inlineStr">
        <is>
          <t>SKÅNE LÄN</t>
        </is>
      </c>
      <c r="E583" t="inlineStr">
        <is>
          <t>HÄSSLEHOLM</t>
        </is>
      </c>
      <c r="G583" t="n">
        <v>1.9</v>
      </c>
      <c r="H583" t="n">
        <v>0</v>
      </c>
      <c r="I583" t="n">
        <v>0</v>
      </c>
      <c r="J583" t="n">
        <v>0</v>
      </c>
      <c r="K583" t="n">
        <v>0</v>
      </c>
      <c r="L583" t="n">
        <v>0</v>
      </c>
      <c r="M583" t="n">
        <v>0</v>
      </c>
      <c r="N583" t="n">
        <v>0</v>
      </c>
      <c r="O583" t="n">
        <v>0</v>
      </c>
      <c r="P583" t="n">
        <v>0</v>
      </c>
      <c r="Q583" t="n">
        <v>0</v>
      </c>
      <c r="R583" s="2" t="inlineStr"/>
    </row>
    <row r="584" ht="15" customHeight="1">
      <c r="A584" t="inlineStr">
        <is>
          <t>A 51640-2025</t>
        </is>
      </c>
      <c r="B584" s="1" t="n">
        <v>45951.44361111111</v>
      </c>
      <c r="C584" s="1" t="n">
        <v>46158</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51597-2025</t>
        </is>
      </c>
      <c r="B585" s="1" t="n">
        <v>45951.37163194444</v>
      </c>
      <c r="C585" s="1" t="n">
        <v>46158</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8209-2025</t>
        </is>
      </c>
      <c r="B586" s="1" t="n">
        <v>45708.44244212963</v>
      </c>
      <c r="C586" s="1" t="n">
        <v>46158</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36938-2025</t>
        </is>
      </c>
      <c r="B587" s="1" t="n">
        <v>45874.58476851852</v>
      </c>
      <c r="C587" s="1" t="n">
        <v>46158</v>
      </c>
      <c r="D587" t="inlineStr">
        <is>
          <t>SKÅNE LÄN</t>
        </is>
      </c>
      <c r="E587" t="inlineStr">
        <is>
          <t>HÄSSLEHOLM</t>
        </is>
      </c>
      <c r="G587" t="n">
        <v>3.7</v>
      </c>
      <c r="H587" t="n">
        <v>0</v>
      </c>
      <c r="I587" t="n">
        <v>0</v>
      </c>
      <c r="J587" t="n">
        <v>0</v>
      </c>
      <c r="K587" t="n">
        <v>0</v>
      </c>
      <c r="L587" t="n">
        <v>0</v>
      </c>
      <c r="M587" t="n">
        <v>0</v>
      </c>
      <c r="N587" t="n">
        <v>0</v>
      </c>
      <c r="O587" t="n">
        <v>0</v>
      </c>
      <c r="P587" t="n">
        <v>0</v>
      </c>
      <c r="Q587" t="n">
        <v>0</v>
      </c>
      <c r="R587" s="2" t="inlineStr"/>
    </row>
    <row r="588" ht="15" customHeight="1">
      <c r="A588" t="inlineStr">
        <is>
          <t>A 52126-2025</t>
        </is>
      </c>
      <c r="B588" s="1" t="n">
        <v>45952.72109953704</v>
      </c>
      <c r="C588" s="1" t="n">
        <v>46158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27197-2021</t>
        </is>
      </c>
      <c r="B589" s="1" t="n">
        <v>44350</v>
      </c>
      <c r="C589" s="1" t="n">
        <v>46158</v>
      </c>
      <c r="D589" t="inlineStr">
        <is>
          <t>SKÅNE LÄN</t>
        </is>
      </c>
      <c r="E589" t="inlineStr">
        <is>
          <t>HÄSSLEHOLM</t>
        </is>
      </c>
      <c r="G589" t="n">
        <v>1.8</v>
      </c>
      <c r="H589" t="n">
        <v>0</v>
      </c>
      <c r="I589" t="n">
        <v>0</v>
      </c>
      <c r="J589" t="n">
        <v>0</v>
      </c>
      <c r="K589" t="n">
        <v>0</v>
      </c>
      <c r="L589" t="n">
        <v>0</v>
      </c>
      <c r="M589" t="n">
        <v>0</v>
      </c>
      <c r="N589" t="n">
        <v>0</v>
      </c>
      <c r="O589" t="n">
        <v>0</v>
      </c>
      <c r="P589" t="n">
        <v>0</v>
      </c>
      <c r="Q589" t="n">
        <v>0</v>
      </c>
      <c r="R589" s="2" t="inlineStr"/>
    </row>
    <row r="590" ht="15" customHeight="1">
      <c r="A590" t="inlineStr">
        <is>
          <t>A 33465-2024</t>
        </is>
      </c>
      <c r="B590" s="1" t="n">
        <v>45519.59619212963</v>
      </c>
      <c r="C590" s="1" t="n">
        <v>46158</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31986-2023</t>
        </is>
      </c>
      <c r="B591" s="1" t="n">
        <v>45119</v>
      </c>
      <c r="C591" s="1" t="n">
        <v>46158</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41209-2023</t>
        </is>
      </c>
      <c r="B592" s="1" t="n">
        <v>45174.43481481481</v>
      </c>
      <c r="C592" s="1" t="n">
        <v>46158</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61197-2024</t>
        </is>
      </c>
      <c r="B593" s="1" t="n">
        <v>45645.63184027778</v>
      </c>
      <c r="C593" s="1" t="n">
        <v>46158</v>
      </c>
      <c r="D593" t="inlineStr">
        <is>
          <t>SKÅNE LÄN</t>
        </is>
      </c>
      <c r="E593" t="inlineStr">
        <is>
          <t>HÄSSLEHOLM</t>
        </is>
      </c>
      <c r="G593" t="n">
        <v>0.8</v>
      </c>
      <c r="H593" t="n">
        <v>0</v>
      </c>
      <c r="I593" t="n">
        <v>0</v>
      </c>
      <c r="J593" t="n">
        <v>0</v>
      </c>
      <c r="K593" t="n">
        <v>0</v>
      </c>
      <c r="L593" t="n">
        <v>0</v>
      </c>
      <c r="M593" t="n">
        <v>0</v>
      </c>
      <c r="N593" t="n">
        <v>0</v>
      </c>
      <c r="O593" t="n">
        <v>0</v>
      </c>
      <c r="P593" t="n">
        <v>0</v>
      </c>
      <c r="Q593" t="n">
        <v>0</v>
      </c>
      <c r="R593" s="2" t="inlineStr"/>
    </row>
    <row r="594" ht="15" customHeight="1">
      <c r="A594" t="inlineStr">
        <is>
          <t>A 53018-2025</t>
        </is>
      </c>
      <c r="B594" s="1" t="n">
        <v>45957.90064814815</v>
      </c>
      <c r="C594" s="1" t="n">
        <v>46158</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13549-2025</t>
        </is>
      </c>
      <c r="B595" s="1" t="n">
        <v>45736</v>
      </c>
      <c r="C595" s="1" t="n">
        <v>46158</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53056-2025</t>
        </is>
      </c>
      <c r="B596" s="1" t="n">
        <v>45958.36518518518</v>
      </c>
      <c r="C596" s="1" t="n">
        <v>46158</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35833-2023</t>
        </is>
      </c>
      <c r="B597" s="1" t="n">
        <v>45148</v>
      </c>
      <c r="C597" s="1" t="n">
        <v>46158</v>
      </c>
      <c r="D597" t="inlineStr">
        <is>
          <t>SKÅNE LÄN</t>
        </is>
      </c>
      <c r="E597" t="inlineStr">
        <is>
          <t>HÄSSLEHOLM</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37286-2025</t>
        </is>
      </c>
      <c r="B598" s="1" t="n">
        <v>45876.50116898148</v>
      </c>
      <c r="C598" s="1" t="n">
        <v>46158</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57491-2024</t>
        </is>
      </c>
      <c r="B599" s="1" t="n">
        <v>45629</v>
      </c>
      <c r="C599" s="1" t="n">
        <v>46158</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53020-2025</t>
        </is>
      </c>
      <c r="B600" s="1" t="n">
        <v>45957.90707175926</v>
      </c>
      <c r="C600" s="1" t="n">
        <v>46158</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37271-2025</t>
        </is>
      </c>
      <c r="B601" s="1" t="n">
        <v>45876.47828703704</v>
      </c>
      <c r="C601" s="1" t="n">
        <v>46158</v>
      </c>
      <c r="D601" t="inlineStr">
        <is>
          <t>SKÅNE LÄN</t>
        </is>
      </c>
      <c r="E601" t="inlineStr">
        <is>
          <t>HÄSSLEHOLM</t>
        </is>
      </c>
      <c r="G601" t="n">
        <v>4.1</v>
      </c>
      <c r="H601" t="n">
        <v>0</v>
      </c>
      <c r="I601" t="n">
        <v>0</v>
      </c>
      <c r="J601" t="n">
        <v>0</v>
      </c>
      <c r="K601" t="n">
        <v>0</v>
      </c>
      <c r="L601" t="n">
        <v>0</v>
      </c>
      <c r="M601" t="n">
        <v>0</v>
      </c>
      <c r="N601" t="n">
        <v>0</v>
      </c>
      <c r="O601" t="n">
        <v>0</v>
      </c>
      <c r="P601" t="n">
        <v>0</v>
      </c>
      <c r="Q601" t="n">
        <v>0</v>
      </c>
      <c r="R601" s="2" t="inlineStr"/>
    </row>
    <row r="602" ht="15" customHeight="1">
      <c r="A602" t="inlineStr">
        <is>
          <t>A 58250-2024</t>
        </is>
      </c>
      <c r="B602" s="1" t="n">
        <v>45632.55643518519</v>
      </c>
      <c r="C602" s="1" t="n">
        <v>46158</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26207-2021</t>
        </is>
      </c>
      <c r="B603" s="1" t="n">
        <v>44347</v>
      </c>
      <c r="C603" s="1" t="n">
        <v>46158</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32981-2025</t>
        </is>
      </c>
      <c r="B604" s="1" t="n">
        <v>45839.86820601852</v>
      </c>
      <c r="C604" s="1" t="n">
        <v>46158</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6798-2025</t>
        </is>
      </c>
      <c r="B605" s="1" t="n">
        <v>45700.668125</v>
      </c>
      <c r="C605" s="1" t="n">
        <v>46158</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69357-2021</t>
        </is>
      </c>
      <c r="B606" s="1" t="n">
        <v>44531</v>
      </c>
      <c r="C606" s="1" t="n">
        <v>46158</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18109-2025</t>
        </is>
      </c>
      <c r="B607" s="1" t="n">
        <v>45761</v>
      </c>
      <c r="C607" s="1" t="n">
        <v>46158</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16862-2025</t>
        </is>
      </c>
      <c r="B608" s="1" t="n">
        <v>45751</v>
      </c>
      <c r="C608" s="1" t="n">
        <v>46158</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53424-2025</t>
        </is>
      </c>
      <c r="B609" s="1" t="n">
        <v>45959</v>
      </c>
      <c r="C609" s="1" t="n">
        <v>46158</v>
      </c>
      <c r="D609" t="inlineStr">
        <is>
          <t>SKÅNE LÄN</t>
        </is>
      </c>
      <c r="E609" t="inlineStr">
        <is>
          <t>HÄSSLEHOLM</t>
        </is>
      </c>
      <c r="G609" t="n">
        <v>3.4</v>
      </c>
      <c r="H609" t="n">
        <v>0</v>
      </c>
      <c r="I609" t="n">
        <v>0</v>
      </c>
      <c r="J609" t="n">
        <v>0</v>
      </c>
      <c r="K609" t="n">
        <v>0</v>
      </c>
      <c r="L609" t="n">
        <v>0</v>
      </c>
      <c r="M609" t="n">
        <v>0</v>
      </c>
      <c r="N609" t="n">
        <v>0</v>
      </c>
      <c r="O609" t="n">
        <v>0</v>
      </c>
      <c r="P609" t="n">
        <v>0</v>
      </c>
      <c r="Q609" t="n">
        <v>0</v>
      </c>
      <c r="R609" s="2" t="inlineStr"/>
    </row>
    <row r="610" ht="15" customHeight="1">
      <c r="A610" t="inlineStr">
        <is>
          <t>A 37898-2021</t>
        </is>
      </c>
      <c r="B610" s="1" t="n">
        <v>44403</v>
      </c>
      <c r="C610" s="1" t="n">
        <v>46158</v>
      </c>
      <c r="D610" t="inlineStr">
        <is>
          <t>SKÅNE LÄN</t>
        </is>
      </c>
      <c r="E610" t="inlineStr">
        <is>
          <t>HÄSSLEHOLM</t>
        </is>
      </c>
      <c r="F610" t="inlineStr">
        <is>
          <t>Kommuner</t>
        </is>
      </c>
      <c r="G610" t="n">
        <v>8.4</v>
      </c>
      <c r="H610" t="n">
        <v>0</v>
      </c>
      <c r="I610" t="n">
        <v>0</v>
      </c>
      <c r="J610" t="n">
        <v>0</v>
      </c>
      <c r="K610" t="n">
        <v>0</v>
      </c>
      <c r="L610" t="n">
        <v>0</v>
      </c>
      <c r="M610" t="n">
        <v>0</v>
      </c>
      <c r="N610" t="n">
        <v>0</v>
      </c>
      <c r="O610" t="n">
        <v>0</v>
      </c>
      <c r="P610" t="n">
        <v>0</v>
      </c>
      <c r="Q610" t="n">
        <v>0</v>
      </c>
      <c r="R610" s="2" t="inlineStr"/>
    </row>
    <row r="611" ht="15" customHeight="1">
      <c r="A611" t="inlineStr">
        <is>
          <t>A 35810-2023</t>
        </is>
      </c>
      <c r="B611" s="1" t="n">
        <v>45148.44046296296</v>
      </c>
      <c r="C611" s="1" t="n">
        <v>46158</v>
      </c>
      <c r="D611" t="inlineStr">
        <is>
          <t>SKÅNE LÄN</t>
        </is>
      </c>
      <c r="E611" t="inlineStr">
        <is>
          <t>HÄSSLEHOLM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23172-2022</t>
        </is>
      </c>
      <c r="B612" s="1" t="n">
        <v>44719</v>
      </c>
      <c r="C612" s="1" t="n">
        <v>46158</v>
      </c>
      <c r="D612" t="inlineStr">
        <is>
          <t>SKÅNE LÄN</t>
        </is>
      </c>
      <c r="E612" t="inlineStr">
        <is>
          <t>HÄSSLEHOLM</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23173-2022</t>
        </is>
      </c>
      <c r="B613" s="1" t="n">
        <v>44719.72155092593</v>
      </c>
      <c r="C613" s="1" t="n">
        <v>46158</v>
      </c>
      <c r="D613" t="inlineStr">
        <is>
          <t>SKÅNE LÄN</t>
        </is>
      </c>
      <c r="E613" t="inlineStr">
        <is>
          <t>HÄSSLEHOLM</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63473-2025</t>
        </is>
      </c>
      <c r="B614" s="1" t="n">
        <v>46013.44364583334</v>
      </c>
      <c r="C614" s="1" t="n">
        <v>46158</v>
      </c>
      <c r="D614" t="inlineStr">
        <is>
          <t>SKÅNE LÄN</t>
        </is>
      </c>
      <c r="E614" t="inlineStr">
        <is>
          <t>HÄSSLEHOLM</t>
        </is>
      </c>
      <c r="F614" t="inlineStr">
        <is>
          <t>Kommuner</t>
        </is>
      </c>
      <c r="G614" t="n">
        <v>5.9</v>
      </c>
      <c r="H614" t="n">
        <v>0</v>
      </c>
      <c r="I614" t="n">
        <v>0</v>
      </c>
      <c r="J614" t="n">
        <v>0</v>
      </c>
      <c r="K614" t="n">
        <v>0</v>
      </c>
      <c r="L614" t="n">
        <v>0</v>
      </c>
      <c r="M614" t="n">
        <v>0</v>
      </c>
      <c r="N614" t="n">
        <v>0</v>
      </c>
      <c r="O614" t="n">
        <v>0</v>
      </c>
      <c r="P614" t="n">
        <v>0</v>
      </c>
      <c r="Q614" t="n">
        <v>0</v>
      </c>
      <c r="R614" s="2" t="inlineStr"/>
    </row>
    <row r="615" ht="15" customHeight="1">
      <c r="A615" t="inlineStr">
        <is>
          <t>A 52608-2023</t>
        </is>
      </c>
      <c r="B615" s="1" t="n">
        <v>45219</v>
      </c>
      <c r="C615" s="1" t="n">
        <v>46158</v>
      </c>
      <c r="D615" t="inlineStr">
        <is>
          <t>SKÅNE LÄN</t>
        </is>
      </c>
      <c r="E615" t="inlineStr">
        <is>
          <t>HÄSSLEHOLM</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8239-2025</t>
        </is>
      </c>
      <c r="B616" s="1" t="n">
        <v>45708.47984953703</v>
      </c>
      <c r="C616" s="1" t="n">
        <v>46158</v>
      </c>
      <c r="D616" t="inlineStr">
        <is>
          <t>SKÅNE LÄN</t>
        </is>
      </c>
      <c r="E616" t="inlineStr">
        <is>
          <t>HÄSSLEHOLM</t>
        </is>
      </c>
      <c r="G616" t="n">
        <v>2.7</v>
      </c>
      <c r="H616" t="n">
        <v>0</v>
      </c>
      <c r="I616" t="n">
        <v>0</v>
      </c>
      <c r="J616" t="n">
        <v>0</v>
      </c>
      <c r="K616" t="n">
        <v>0</v>
      </c>
      <c r="L616" t="n">
        <v>0</v>
      </c>
      <c r="M616" t="n">
        <v>0</v>
      </c>
      <c r="N616" t="n">
        <v>0</v>
      </c>
      <c r="O616" t="n">
        <v>0</v>
      </c>
      <c r="P616" t="n">
        <v>0</v>
      </c>
      <c r="Q616" t="n">
        <v>0</v>
      </c>
      <c r="R616" s="2" t="inlineStr"/>
    </row>
    <row r="617" ht="15" customHeight="1">
      <c r="A617" t="inlineStr">
        <is>
          <t>A 56355-2023</t>
        </is>
      </c>
      <c r="B617" s="1" t="n">
        <v>45243.3702662037</v>
      </c>
      <c r="C617" s="1" t="n">
        <v>46158</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9394-2025</t>
        </is>
      </c>
      <c r="B618" s="1" t="n">
        <v>45715.36387731481</v>
      </c>
      <c r="C618" s="1" t="n">
        <v>46158</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7305-2025</t>
        </is>
      </c>
      <c r="B619" s="1" t="n">
        <v>45702</v>
      </c>
      <c r="C619" s="1" t="n">
        <v>46158</v>
      </c>
      <c r="D619" t="inlineStr">
        <is>
          <t>SKÅNE LÄN</t>
        </is>
      </c>
      <c r="E619" t="inlineStr">
        <is>
          <t>HÄSSLEHOLM</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52341-2023</t>
        </is>
      </c>
      <c r="B620" s="1" t="n">
        <v>45224.67006944444</v>
      </c>
      <c r="C620" s="1" t="n">
        <v>46158</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27173-2024</t>
        </is>
      </c>
      <c r="B621" s="1" t="n">
        <v>45471.57048611111</v>
      </c>
      <c r="C621" s="1" t="n">
        <v>46158</v>
      </c>
      <c r="D621" t="inlineStr">
        <is>
          <t>SKÅNE LÄN</t>
        </is>
      </c>
      <c r="E621" t="inlineStr">
        <is>
          <t>HÄSSLEHOLM</t>
        </is>
      </c>
      <c r="G621" t="n">
        <v>1.8</v>
      </c>
      <c r="H621" t="n">
        <v>0</v>
      </c>
      <c r="I621" t="n">
        <v>0</v>
      </c>
      <c r="J621" t="n">
        <v>0</v>
      </c>
      <c r="K621" t="n">
        <v>0</v>
      </c>
      <c r="L621" t="n">
        <v>0</v>
      </c>
      <c r="M621" t="n">
        <v>0</v>
      </c>
      <c r="N621" t="n">
        <v>0</v>
      </c>
      <c r="O621" t="n">
        <v>0</v>
      </c>
      <c r="P621" t="n">
        <v>0</v>
      </c>
      <c r="Q621" t="n">
        <v>0</v>
      </c>
      <c r="R621" s="2" t="inlineStr"/>
    </row>
    <row r="622" ht="15" customHeight="1">
      <c r="A622" t="inlineStr">
        <is>
          <t>A 7721-2026</t>
        </is>
      </c>
      <c r="B622" s="1" t="n">
        <v>46059</v>
      </c>
      <c r="C622" s="1" t="n">
        <v>46158</v>
      </c>
      <c r="D622" t="inlineStr">
        <is>
          <t>SKÅNE LÄN</t>
        </is>
      </c>
      <c r="E622" t="inlineStr">
        <is>
          <t>HÄSSLEHOLM</t>
        </is>
      </c>
      <c r="G622" t="n">
        <v>3.3</v>
      </c>
      <c r="H622" t="n">
        <v>0</v>
      </c>
      <c r="I622" t="n">
        <v>0</v>
      </c>
      <c r="J622" t="n">
        <v>0</v>
      </c>
      <c r="K622" t="n">
        <v>0</v>
      </c>
      <c r="L622" t="n">
        <v>0</v>
      </c>
      <c r="M622" t="n">
        <v>0</v>
      </c>
      <c r="N622" t="n">
        <v>0</v>
      </c>
      <c r="O622" t="n">
        <v>0</v>
      </c>
      <c r="P622" t="n">
        <v>0</v>
      </c>
      <c r="Q622" t="n">
        <v>0</v>
      </c>
      <c r="R622" s="2" t="inlineStr"/>
    </row>
    <row r="623" ht="15" customHeight="1">
      <c r="A623" t="inlineStr">
        <is>
          <t>A 15800-2025</t>
        </is>
      </c>
      <c r="B623" s="1" t="n">
        <v>45748.64831018518</v>
      </c>
      <c r="C623" s="1" t="n">
        <v>46158</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47161-2025</t>
        </is>
      </c>
      <c r="B624" s="1" t="n">
        <v>45929</v>
      </c>
      <c r="C624" s="1" t="n">
        <v>46158</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40780-2022</t>
        </is>
      </c>
      <c r="B625" s="1" t="n">
        <v>44820</v>
      </c>
      <c r="C625" s="1" t="n">
        <v>46158</v>
      </c>
      <c r="D625" t="inlineStr">
        <is>
          <t>SKÅNE LÄN</t>
        </is>
      </c>
      <c r="E625" t="inlineStr">
        <is>
          <t>HÄSSLEHOLM</t>
        </is>
      </c>
      <c r="G625" t="n">
        <v>7.4</v>
      </c>
      <c r="H625" t="n">
        <v>0</v>
      </c>
      <c r="I625" t="n">
        <v>0</v>
      </c>
      <c r="J625" t="n">
        <v>0</v>
      </c>
      <c r="K625" t="n">
        <v>0</v>
      </c>
      <c r="L625" t="n">
        <v>0</v>
      </c>
      <c r="M625" t="n">
        <v>0</v>
      </c>
      <c r="N625" t="n">
        <v>0</v>
      </c>
      <c r="O625" t="n">
        <v>0</v>
      </c>
      <c r="P625" t="n">
        <v>0</v>
      </c>
      <c r="Q625" t="n">
        <v>0</v>
      </c>
      <c r="R625" s="2" t="inlineStr"/>
    </row>
    <row r="626" ht="15" customHeight="1">
      <c r="A626" t="inlineStr">
        <is>
          <t>A 54668-2025</t>
        </is>
      </c>
      <c r="B626" s="1" t="n">
        <v>45966.40803240741</v>
      </c>
      <c r="C626" s="1" t="n">
        <v>46158</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51245-2023</t>
        </is>
      </c>
      <c r="B627" s="1" t="n">
        <v>45212</v>
      </c>
      <c r="C627" s="1" t="n">
        <v>46158</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7785-2026</t>
        </is>
      </c>
      <c r="B628" s="1" t="n">
        <v>46062.58422453704</v>
      </c>
      <c r="C628" s="1" t="n">
        <v>46158</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54763-2025</t>
        </is>
      </c>
      <c r="B629" s="1" t="n">
        <v>45966.60167824074</v>
      </c>
      <c r="C629" s="1" t="n">
        <v>46158</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54664-2025</t>
        </is>
      </c>
      <c r="B630" s="1" t="n">
        <v>45966.40738425926</v>
      </c>
      <c r="C630" s="1" t="n">
        <v>46158</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1557-2023</t>
        </is>
      </c>
      <c r="B631" s="1" t="n">
        <v>44937</v>
      </c>
      <c r="C631" s="1" t="n">
        <v>46158</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54771-2025</t>
        </is>
      </c>
      <c r="B632" s="1" t="n">
        <v>45966.60829861111</v>
      </c>
      <c r="C632" s="1" t="n">
        <v>46158</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8538-2026</t>
        </is>
      </c>
      <c r="B633" s="1" t="n">
        <v>46064</v>
      </c>
      <c r="C633" s="1" t="n">
        <v>46158</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14981-2026</t>
        </is>
      </c>
      <c r="B634" s="1" t="n">
        <v>46104</v>
      </c>
      <c r="C634" s="1" t="n">
        <v>46158</v>
      </c>
      <c r="D634" t="inlineStr">
        <is>
          <t>SKÅNE LÄN</t>
        </is>
      </c>
      <c r="E634" t="inlineStr">
        <is>
          <t>HÄSSLEHOLM</t>
        </is>
      </c>
      <c r="G634" t="n">
        <v>7.7</v>
      </c>
      <c r="H634" t="n">
        <v>0</v>
      </c>
      <c r="I634" t="n">
        <v>0</v>
      </c>
      <c r="J634" t="n">
        <v>0</v>
      </c>
      <c r="K634" t="n">
        <v>0</v>
      </c>
      <c r="L634" t="n">
        <v>0</v>
      </c>
      <c r="M634" t="n">
        <v>0</v>
      </c>
      <c r="N634" t="n">
        <v>0</v>
      </c>
      <c r="O634" t="n">
        <v>0</v>
      </c>
      <c r="P634" t="n">
        <v>0</v>
      </c>
      <c r="Q634" t="n">
        <v>0</v>
      </c>
      <c r="R634" s="2" t="inlineStr"/>
    </row>
    <row r="635" ht="15" customHeight="1">
      <c r="A635" t="inlineStr">
        <is>
          <t>A 8539-2026</t>
        </is>
      </c>
      <c r="B635" s="1" t="n">
        <v>46064</v>
      </c>
      <c r="C635" s="1" t="n">
        <v>46158</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8367-2026</t>
        </is>
      </c>
      <c r="B636" s="1" t="n">
        <v>46064</v>
      </c>
      <c r="C636" s="1" t="n">
        <v>46158</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8852-2026</t>
        </is>
      </c>
      <c r="B637" s="1" t="n">
        <v>46066.66105324074</v>
      </c>
      <c r="C637" s="1" t="n">
        <v>46158</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8674-2026</t>
        </is>
      </c>
      <c r="B638" s="1" t="n">
        <v>46066.4059837963</v>
      </c>
      <c r="C638" s="1" t="n">
        <v>46158</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48747-2022</t>
        </is>
      </c>
      <c r="B639" s="1" t="n">
        <v>44859</v>
      </c>
      <c r="C639" s="1" t="n">
        <v>46158</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7153-2025</t>
        </is>
      </c>
      <c r="B640" s="1" t="n">
        <v>45702.38512731482</v>
      </c>
      <c r="C640" s="1" t="n">
        <v>46158</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55268-2025</t>
        </is>
      </c>
      <c r="B641" s="1" t="n">
        <v>45968.6715625</v>
      </c>
      <c r="C641" s="1" t="n">
        <v>46158</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58689-2025</t>
        </is>
      </c>
      <c r="B642" s="1" t="n">
        <v>45986</v>
      </c>
      <c r="C642" s="1" t="n">
        <v>46158</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27297-2023</t>
        </is>
      </c>
      <c r="B643" s="1" t="n">
        <v>45096</v>
      </c>
      <c r="C643" s="1" t="n">
        <v>46158</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7581-2023</t>
        </is>
      </c>
      <c r="B644" s="1" t="n">
        <v>44972.39556712963</v>
      </c>
      <c r="C644" s="1" t="n">
        <v>46158</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21141-2024</t>
        </is>
      </c>
      <c r="B645" s="1" t="n">
        <v>45440.39012731481</v>
      </c>
      <c r="C645" s="1" t="n">
        <v>46158</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55549-2025</t>
        </is>
      </c>
      <c r="B646" s="1" t="n">
        <v>45971.63805555556</v>
      </c>
      <c r="C646" s="1" t="n">
        <v>46158</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55455-2025</t>
        </is>
      </c>
      <c r="B647" s="1" t="n">
        <v>45971</v>
      </c>
      <c r="C647" s="1" t="n">
        <v>46158</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9747-2024</t>
        </is>
      </c>
      <c r="B648" s="1" t="n">
        <v>45362</v>
      </c>
      <c r="C648" s="1" t="n">
        <v>46158</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55458-2025</t>
        </is>
      </c>
      <c r="B649" s="1" t="n">
        <v>45971</v>
      </c>
      <c r="C649" s="1" t="n">
        <v>46158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11603-2025</t>
        </is>
      </c>
      <c r="B650" s="1" t="n">
        <v>45727</v>
      </c>
      <c r="C650" s="1" t="n">
        <v>46158</v>
      </c>
      <c r="D650" t="inlineStr">
        <is>
          <t>SKÅNE LÄN</t>
        </is>
      </c>
      <c r="E650" t="inlineStr">
        <is>
          <t>HÄSSLEHOLM</t>
        </is>
      </c>
      <c r="G650" t="n">
        <v>5.6</v>
      </c>
      <c r="H650" t="n">
        <v>0</v>
      </c>
      <c r="I650" t="n">
        <v>0</v>
      </c>
      <c r="J650" t="n">
        <v>0</v>
      </c>
      <c r="K650" t="n">
        <v>0</v>
      </c>
      <c r="L650" t="n">
        <v>0</v>
      </c>
      <c r="M650" t="n">
        <v>0</v>
      </c>
      <c r="N650" t="n">
        <v>0</v>
      </c>
      <c r="O650" t="n">
        <v>0</v>
      </c>
      <c r="P650" t="n">
        <v>0</v>
      </c>
      <c r="Q650" t="n">
        <v>0</v>
      </c>
      <c r="R650" s="2" t="inlineStr"/>
    </row>
    <row r="651" ht="15" customHeight="1">
      <c r="A651" t="inlineStr">
        <is>
          <t>A 13712-2025</t>
        </is>
      </c>
      <c r="B651" s="1" t="n">
        <v>45737</v>
      </c>
      <c r="C651" s="1" t="n">
        <v>46158</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26857-2025</t>
        </is>
      </c>
      <c r="B652" s="1" t="n">
        <v>45810</v>
      </c>
      <c r="C652" s="1" t="n">
        <v>46158</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46288-2023</t>
        </is>
      </c>
      <c r="B653" s="1" t="n">
        <v>45197.30221064815</v>
      </c>
      <c r="C653" s="1" t="n">
        <v>46158</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57967-2023</t>
        </is>
      </c>
      <c r="B654" s="1" t="n">
        <v>45247.57984953704</v>
      </c>
      <c r="C654" s="1" t="n">
        <v>46158</v>
      </c>
      <c r="D654" t="inlineStr">
        <is>
          <t>SKÅNE LÄN</t>
        </is>
      </c>
      <c r="E654" t="inlineStr">
        <is>
          <t>HÄSSLEHOLM</t>
        </is>
      </c>
      <c r="G654" t="n">
        <v>8.6</v>
      </c>
      <c r="H654" t="n">
        <v>0</v>
      </c>
      <c r="I654" t="n">
        <v>0</v>
      </c>
      <c r="J654" t="n">
        <v>0</v>
      </c>
      <c r="K654" t="n">
        <v>0</v>
      </c>
      <c r="L654" t="n">
        <v>0</v>
      </c>
      <c r="M654" t="n">
        <v>0</v>
      </c>
      <c r="N654" t="n">
        <v>0</v>
      </c>
      <c r="O654" t="n">
        <v>0</v>
      </c>
      <c r="P654" t="n">
        <v>0</v>
      </c>
      <c r="Q654" t="n">
        <v>0</v>
      </c>
      <c r="R654" s="2" t="inlineStr"/>
    </row>
    <row r="655" ht="15" customHeight="1">
      <c r="A655" t="inlineStr">
        <is>
          <t>A 19744-2023</t>
        </is>
      </c>
      <c r="B655" s="1" t="n">
        <v>45051</v>
      </c>
      <c r="C655" s="1" t="n">
        <v>46158</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15990-2023</t>
        </is>
      </c>
      <c r="B656" s="1" t="n">
        <v>45023.39584490741</v>
      </c>
      <c r="C656" s="1" t="n">
        <v>46158</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47907-2021</t>
        </is>
      </c>
      <c r="B657" s="1" t="n">
        <v>44448</v>
      </c>
      <c r="C657" s="1" t="n">
        <v>46158</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7513-2025</t>
        </is>
      </c>
      <c r="B658" s="1" t="n">
        <v>45702</v>
      </c>
      <c r="C658" s="1" t="n">
        <v>46158</v>
      </c>
      <c r="D658" t="inlineStr">
        <is>
          <t>SKÅNE LÄN</t>
        </is>
      </c>
      <c r="E658" t="inlineStr">
        <is>
          <t>HÄSSLEHOLM</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45400-2022</t>
        </is>
      </c>
      <c r="B659" s="1" t="n">
        <v>44844.713125</v>
      </c>
      <c r="C659" s="1" t="n">
        <v>46158</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54874-2022</t>
        </is>
      </c>
      <c r="B660" s="1" t="n">
        <v>44881</v>
      </c>
      <c r="C660" s="1" t="n">
        <v>46158</v>
      </c>
      <c r="D660" t="inlineStr">
        <is>
          <t>SKÅNE LÄN</t>
        </is>
      </c>
      <c r="E660" t="inlineStr">
        <is>
          <t>HÄSSLEHOLM</t>
        </is>
      </c>
      <c r="G660" t="n">
        <v>8.1</v>
      </c>
      <c r="H660" t="n">
        <v>0</v>
      </c>
      <c r="I660" t="n">
        <v>0</v>
      </c>
      <c r="J660" t="n">
        <v>0</v>
      </c>
      <c r="K660" t="n">
        <v>0</v>
      </c>
      <c r="L660" t="n">
        <v>0</v>
      </c>
      <c r="M660" t="n">
        <v>0</v>
      </c>
      <c r="N660" t="n">
        <v>0</v>
      </c>
      <c r="O660" t="n">
        <v>0</v>
      </c>
      <c r="P660" t="n">
        <v>0</v>
      </c>
      <c r="Q660" t="n">
        <v>0</v>
      </c>
      <c r="R660" s="2" t="inlineStr"/>
    </row>
    <row r="661" ht="15" customHeight="1">
      <c r="A661" t="inlineStr">
        <is>
          <t>A 32154-2024</t>
        </is>
      </c>
      <c r="B661" s="1" t="n">
        <v>45511</v>
      </c>
      <c r="C661" s="1" t="n">
        <v>46158</v>
      </c>
      <c r="D661" t="inlineStr">
        <is>
          <t>SKÅNE LÄN</t>
        </is>
      </c>
      <c r="E661" t="inlineStr">
        <is>
          <t>HÄSSLEHOLM</t>
        </is>
      </c>
      <c r="G661" t="n">
        <v>6.4</v>
      </c>
      <c r="H661" t="n">
        <v>0</v>
      </c>
      <c r="I661" t="n">
        <v>0</v>
      </c>
      <c r="J661" t="n">
        <v>0</v>
      </c>
      <c r="K661" t="n">
        <v>0</v>
      </c>
      <c r="L661" t="n">
        <v>0</v>
      </c>
      <c r="M661" t="n">
        <v>0</v>
      </c>
      <c r="N661" t="n">
        <v>0</v>
      </c>
      <c r="O661" t="n">
        <v>0</v>
      </c>
      <c r="P661" t="n">
        <v>0</v>
      </c>
      <c r="Q661" t="n">
        <v>0</v>
      </c>
      <c r="R661" s="2" t="inlineStr"/>
    </row>
    <row r="662" ht="15" customHeight="1">
      <c r="A662" t="inlineStr">
        <is>
          <t>A 1706-2025</t>
        </is>
      </c>
      <c r="B662" s="1" t="n">
        <v>45670</v>
      </c>
      <c r="C662" s="1" t="n">
        <v>46158</v>
      </c>
      <c r="D662" t="inlineStr">
        <is>
          <t>SKÅNE LÄN</t>
        </is>
      </c>
      <c r="E662" t="inlineStr">
        <is>
          <t>HÄSSLEHOLM</t>
        </is>
      </c>
      <c r="G662" t="n">
        <v>5</v>
      </c>
      <c r="H662" t="n">
        <v>0</v>
      </c>
      <c r="I662" t="n">
        <v>0</v>
      </c>
      <c r="J662" t="n">
        <v>0</v>
      </c>
      <c r="K662" t="n">
        <v>0</v>
      </c>
      <c r="L662" t="n">
        <v>0</v>
      </c>
      <c r="M662" t="n">
        <v>0</v>
      </c>
      <c r="N662" t="n">
        <v>0</v>
      </c>
      <c r="O662" t="n">
        <v>0</v>
      </c>
      <c r="P662" t="n">
        <v>0</v>
      </c>
      <c r="Q662" t="n">
        <v>0</v>
      </c>
      <c r="R662" s="2" t="inlineStr"/>
    </row>
    <row r="663" ht="15" customHeight="1">
      <c r="A663" t="inlineStr">
        <is>
          <t>A 61625-2022</t>
        </is>
      </c>
      <c r="B663" s="1" t="n">
        <v>44916</v>
      </c>
      <c r="C663" s="1" t="n">
        <v>46158</v>
      </c>
      <c r="D663" t="inlineStr">
        <is>
          <t>SKÅNE LÄN</t>
        </is>
      </c>
      <c r="E663" t="inlineStr">
        <is>
          <t>HÄSSLEHOLM</t>
        </is>
      </c>
      <c r="G663" t="n">
        <v>2.4</v>
      </c>
      <c r="H663" t="n">
        <v>0</v>
      </c>
      <c r="I663" t="n">
        <v>0</v>
      </c>
      <c r="J663" t="n">
        <v>0</v>
      </c>
      <c r="K663" t="n">
        <v>0</v>
      </c>
      <c r="L663" t="n">
        <v>0</v>
      </c>
      <c r="M663" t="n">
        <v>0</v>
      </c>
      <c r="N663" t="n">
        <v>0</v>
      </c>
      <c r="O663" t="n">
        <v>0</v>
      </c>
      <c r="P663" t="n">
        <v>0</v>
      </c>
      <c r="Q663" t="n">
        <v>0</v>
      </c>
      <c r="R663" s="2" t="inlineStr"/>
    </row>
    <row r="664" ht="15" customHeight="1">
      <c r="A664" t="inlineStr">
        <is>
          <t>A 31268-2024</t>
        </is>
      </c>
      <c r="B664" s="1" t="n">
        <v>45504</v>
      </c>
      <c r="C664" s="1" t="n">
        <v>46158</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56794-2025</t>
        </is>
      </c>
      <c r="B665" s="1" t="n">
        <v>45978.43039351852</v>
      </c>
      <c r="C665" s="1" t="n">
        <v>46158</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13856-2025</t>
        </is>
      </c>
      <c r="B666" s="1" t="n">
        <v>45737.57289351852</v>
      </c>
      <c r="C666" s="1" t="n">
        <v>46158</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36568-2024</t>
        </is>
      </c>
      <c r="B667" s="1" t="n">
        <v>45537</v>
      </c>
      <c r="C667" s="1" t="n">
        <v>46158</v>
      </c>
      <c r="D667" t="inlineStr">
        <is>
          <t>SKÅNE LÄN</t>
        </is>
      </c>
      <c r="E667" t="inlineStr">
        <is>
          <t>HÄSSLEHOLM</t>
        </is>
      </c>
      <c r="G667" t="n">
        <v>4.3</v>
      </c>
      <c r="H667" t="n">
        <v>0</v>
      </c>
      <c r="I667" t="n">
        <v>0</v>
      </c>
      <c r="J667" t="n">
        <v>0</v>
      </c>
      <c r="K667" t="n">
        <v>0</v>
      </c>
      <c r="L667" t="n">
        <v>0</v>
      </c>
      <c r="M667" t="n">
        <v>0</v>
      </c>
      <c r="N667" t="n">
        <v>0</v>
      </c>
      <c r="O667" t="n">
        <v>0</v>
      </c>
      <c r="P667" t="n">
        <v>0</v>
      </c>
      <c r="Q667" t="n">
        <v>0</v>
      </c>
      <c r="R667" s="2" t="inlineStr"/>
    </row>
    <row r="668" ht="15" customHeight="1">
      <c r="A668" t="inlineStr">
        <is>
          <t>A 56667-2025</t>
        </is>
      </c>
      <c r="B668" s="1" t="n">
        <v>45975.68508101852</v>
      </c>
      <c r="C668" s="1" t="n">
        <v>46158</v>
      </c>
      <c r="D668" t="inlineStr">
        <is>
          <t>SKÅNE LÄN</t>
        </is>
      </c>
      <c r="E668" t="inlineStr">
        <is>
          <t>HÄSSLEHOLM</t>
        </is>
      </c>
      <c r="G668" t="n">
        <v>4.4</v>
      </c>
      <c r="H668" t="n">
        <v>0</v>
      </c>
      <c r="I668" t="n">
        <v>0</v>
      </c>
      <c r="J668" t="n">
        <v>0</v>
      </c>
      <c r="K668" t="n">
        <v>0</v>
      </c>
      <c r="L668" t="n">
        <v>0</v>
      </c>
      <c r="M668" t="n">
        <v>0</v>
      </c>
      <c r="N668" t="n">
        <v>0</v>
      </c>
      <c r="O668" t="n">
        <v>0</v>
      </c>
      <c r="P668" t="n">
        <v>0</v>
      </c>
      <c r="Q668" t="n">
        <v>0</v>
      </c>
      <c r="R668" s="2" t="inlineStr"/>
    </row>
    <row r="669" ht="15" customHeight="1">
      <c r="A669" t="inlineStr">
        <is>
          <t>A 32794-2021</t>
        </is>
      </c>
      <c r="B669" s="1" t="n">
        <v>44375</v>
      </c>
      <c r="C669" s="1" t="n">
        <v>46158</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56798-2025</t>
        </is>
      </c>
      <c r="B670" s="1" t="n">
        <v>45978.43378472222</v>
      </c>
      <c r="C670" s="1" t="n">
        <v>46158</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13961-2023</t>
        </is>
      </c>
      <c r="B671" s="1" t="n">
        <v>45008</v>
      </c>
      <c r="C671" s="1" t="n">
        <v>46158</v>
      </c>
      <c r="D671" t="inlineStr">
        <is>
          <t>SKÅNE LÄN</t>
        </is>
      </c>
      <c r="E671" t="inlineStr">
        <is>
          <t>HÄSSLEHOLM</t>
        </is>
      </c>
      <c r="G671" t="n">
        <v>3.8</v>
      </c>
      <c r="H671" t="n">
        <v>0</v>
      </c>
      <c r="I671" t="n">
        <v>0</v>
      </c>
      <c r="J671" t="n">
        <v>0</v>
      </c>
      <c r="K671" t="n">
        <v>0</v>
      </c>
      <c r="L671" t="n">
        <v>0</v>
      </c>
      <c r="M671" t="n">
        <v>0</v>
      </c>
      <c r="N671" t="n">
        <v>0</v>
      </c>
      <c r="O671" t="n">
        <v>0</v>
      </c>
      <c r="P671" t="n">
        <v>0</v>
      </c>
      <c r="Q671" t="n">
        <v>0</v>
      </c>
      <c r="R671" s="2" t="inlineStr"/>
    </row>
    <row r="672" ht="15" customHeight="1">
      <c r="A672" t="inlineStr">
        <is>
          <t>A 56797-2025</t>
        </is>
      </c>
      <c r="B672" s="1" t="n">
        <v>45978.43273148148</v>
      </c>
      <c r="C672" s="1" t="n">
        <v>46158</v>
      </c>
      <c r="D672" t="inlineStr">
        <is>
          <t>SKÅNE LÄN</t>
        </is>
      </c>
      <c r="E672" t="inlineStr">
        <is>
          <t>HÄSSLEHOLM</t>
        </is>
      </c>
      <c r="G672" t="n">
        <v>1.5</v>
      </c>
      <c r="H672" t="n">
        <v>0</v>
      </c>
      <c r="I672" t="n">
        <v>0</v>
      </c>
      <c r="J672" t="n">
        <v>0</v>
      </c>
      <c r="K672" t="n">
        <v>0</v>
      </c>
      <c r="L672" t="n">
        <v>0</v>
      </c>
      <c r="M672" t="n">
        <v>0</v>
      </c>
      <c r="N672" t="n">
        <v>0</v>
      </c>
      <c r="O672" t="n">
        <v>0</v>
      </c>
      <c r="P672" t="n">
        <v>0</v>
      </c>
      <c r="Q672" t="n">
        <v>0</v>
      </c>
      <c r="R672" s="2" t="inlineStr"/>
    </row>
    <row r="673" ht="15" customHeight="1">
      <c r="A673" t="inlineStr">
        <is>
          <t>A 3855-2023</t>
        </is>
      </c>
      <c r="B673" s="1" t="n">
        <v>44951.69708333333</v>
      </c>
      <c r="C673" s="1" t="n">
        <v>46158</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34301-2024</t>
        </is>
      </c>
      <c r="B674" s="1" t="n">
        <v>45524</v>
      </c>
      <c r="C674" s="1" t="n">
        <v>46158</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15060-2023</t>
        </is>
      </c>
      <c r="B675" s="1" t="n">
        <v>45015.69832175926</v>
      </c>
      <c r="C675" s="1" t="n">
        <v>46158</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54171-2021</t>
        </is>
      </c>
      <c r="B676" s="1" t="n">
        <v>44470</v>
      </c>
      <c r="C676" s="1" t="n">
        <v>46158</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30092-2025</t>
        </is>
      </c>
      <c r="B677" s="1" t="n">
        <v>45826</v>
      </c>
      <c r="C677" s="1" t="n">
        <v>46158</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30109-2025</t>
        </is>
      </c>
      <c r="B678" s="1" t="n">
        <v>45826</v>
      </c>
      <c r="C678" s="1" t="n">
        <v>46158</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55569-2025</t>
        </is>
      </c>
      <c r="B679" s="1" t="n">
        <v>45971</v>
      </c>
      <c r="C679" s="1" t="n">
        <v>46158</v>
      </c>
      <c r="D679" t="inlineStr">
        <is>
          <t>SKÅNE LÄN</t>
        </is>
      </c>
      <c r="E679" t="inlineStr">
        <is>
          <t>HÄSSLEHOLM</t>
        </is>
      </c>
      <c r="G679" t="n">
        <v>4.2</v>
      </c>
      <c r="H679" t="n">
        <v>0</v>
      </c>
      <c r="I679" t="n">
        <v>0</v>
      </c>
      <c r="J679" t="n">
        <v>0</v>
      </c>
      <c r="K679" t="n">
        <v>0</v>
      </c>
      <c r="L679" t="n">
        <v>0</v>
      </c>
      <c r="M679" t="n">
        <v>0</v>
      </c>
      <c r="N679" t="n">
        <v>0</v>
      </c>
      <c r="O679" t="n">
        <v>0</v>
      </c>
      <c r="P679" t="n">
        <v>0</v>
      </c>
      <c r="Q679" t="n">
        <v>0</v>
      </c>
      <c r="R679" s="2" t="inlineStr"/>
    </row>
    <row r="680" ht="15" customHeight="1">
      <c r="A680" t="inlineStr">
        <is>
          <t>A 13347-2025</t>
        </is>
      </c>
      <c r="B680" s="1" t="n">
        <v>45735.63175925926</v>
      </c>
      <c r="C680" s="1" t="n">
        <v>46158</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57817-2025</t>
        </is>
      </c>
      <c r="B681" s="1" t="n">
        <v>45981.59475694445</v>
      </c>
      <c r="C681" s="1" t="n">
        <v>46158</v>
      </c>
      <c r="D681" t="inlineStr">
        <is>
          <t>SKÅNE LÄN</t>
        </is>
      </c>
      <c r="E681" t="inlineStr">
        <is>
          <t>HÄSSLEHOLM</t>
        </is>
      </c>
      <c r="G681" t="n">
        <v>3.8</v>
      </c>
      <c r="H681" t="n">
        <v>0</v>
      </c>
      <c r="I681" t="n">
        <v>0</v>
      </c>
      <c r="J681" t="n">
        <v>0</v>
      </c>
      <c r="K681" t="n">
        <v>0</v>
      </c>
      <c r="L681" t="n">
        <v>0</v>
      </c>
      <c r="M681" t="n">
        <v>0</v>
      </c>
      <c r="N681" t="n">
        <v>0</v>
      </c>
      <c r="O681" t="n">
        <v>0</v>
      </c>
      <c r="P681" t="n">
        <v>0</v>
      </c>
      <c r="Q681" t="n">
        <v>0</v>
      </c>
      <c r="R681" s="2" t="inlineStr"/>
    </row>
    <row r="682" ht="15" customHeight="1">
      <c r="A682" t="inlineStr">
        <is>
          <t>A 13198-2025</t>
        </is>
      </c>
      <c r="B682" s="1" t="n">
        <v>45735</v>
      </c>
      <c r="C682" s="1" t="n">
        <v>46158</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3135-2023</t>
        </is>
      </c>
      <c r="B683" s="1" t="n">
        <v>44946.51672453704</v>
      </c>
      <c r="C683" s="1" t="n">
        <v>46158</v>
      </c>
      <c r="D683" t="inlineStr">
        <is>
          <t>SKÅNE LÄN</t>
        </is>
      </c>
      <c r="E683" t="inlineStr">
        <is>
          <t>HÄSSLEHOLM</t>
        </is>
      </c>
      <c r="G683" t="n">
        <v>7.2</v>
      </c>
      <c r="H683" t="n">
        <v>0</v>
      </c>
      <c r="I683" t="n">
        <v>0</v>
      </c>
      <c r="J683" t="n">
        <v>0</v>
      </c>
      <c r="K683" t="n">
        <v>0</v>
      </c>
      <c r="L683" t="n">
        <v>0</v>
      </c>
      <c r="M683" t="n">
        <v>0</v>
      </c>
      <c r="N683" t="n">
        <v>0</v>
      </c>
      <c r="O683" t="n">
        <v>0</v>
      </c>
      <c r="P683" t="n">
        <v>0</v>
      </c>
      <c r="Q683" t="n">
        <v>0</v>
      </c>
      <c r="R683" s="2" t="inlineStr"/>
    </row>
    <row r="684" ht="15" customHeight="1">
      <c r="A684" t="inlineStr">
        <is>
          <t>A 59429-2023</t>
        </is>
      </c>
      <c r="B684" s="1" t="n">
        <v>45254.2875</v>
      </c>
      <c r="C684" s="1" t="n">
        <v>46158</v>
      </c>
      <c r="D684" t="inlineStr">
        <is>
          <t>SKÅNE LÄN</t>
        </is>
      </c>
      <c r="E684" t="inlineStr">
        <is>
          <t>HÄSSLEHOLM</t>
        </is>
      </c>
      <c r="G684" t="n">
        <v>0</v>
      </c>
      <c r="H684" t="n">
        <v>0</v>
      </c>
      <c r="I684" t="n">
        <v>0</v>
      </c>
      <c r="J684" t="n">
        <v>0</v>
      </c>
      <c r="K684" t="n">
        <v>0</v>
      </c>
      <c r="L684" t="n">
        <v>0</v>
      </c>
      <c r="M684" t="n">
        <v>0</v>
      </c>
      <c r="N684" t="n">
        <v>0</v>
      </c>
      <c r="O684" t="n">
        <v>0</v>
      </c>
      <c r="P684" t="n">
        <v>0</v>
      </c>
      <c r="Q684" t="n">
        <v>0</v>
      </c>
      <c r="R684" s="2" t="inlineStr"/>
    </row>
    <row r="685" ht="15" customHeight="1">
      <c r="A685" t="inlineStr">
        <is>
          <t>A 40202-2022</t>
        </is>
      </c>
      <c r="B685" s="1" t="n">
        <v>44820.60614583334</v>
      </c>
      <c r="C685" s="1" t="n">
        <v>46158</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54326-2022</t>
        </is>
      </c>
      <c r="B686" s="1" t="n">
        <v>44882.42965277778</v>
      </c>
      <c r="C686" s="1" t="n">
        <v>46158</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41998-2021</t>
        </is>
      </c>
      <c r="B687" s="1" t="n">
        <v>44425</v>
      </c>
      <c r="C687" s="1" t="n">
        <v>46158</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58241-2025</t>
        </is>
      </c>
      <c r="B688" s="1" t="n">
        <v>45985.38797453704</v>
      </c>
      <c r="C688" s="1" t="n">
        <v>46158</v>
      </c>
      <c r="D688" t="inlineStr">
        <is>
          <t>SKÅNE LÄN</t>
        </is>
      </c>
      <c r="E688" t="inlineStr">
        <is>
          <t>HÄSSLEHOLM</t>
        </is>
      </c>
      <c r="G688" t="n">
        <v>3.6</v>
      </c>
      <c r="H688" t="n">
        <v>0</v>
      </c>
      <c r="I688" t="n">
        <v>0</v>
      </c>
      <c r="J688" t="n">
        <v>0</v>
      </c>
      <c r="K688" t="n">
        <v>0</v>
      </c>
      <c r="L688" t="n">
        <v>0</v>
      </c>
      <c r="M688" t="n">
        <v>0</v>
      </c>
      <c r="N688" t="n">
        <v>0</v>
      </c>
      <c r="O688" t="n">
        <v>0</v>
      </c>
      <c r="P688" t="n">
        <v>0</v>
      </c>
      <c r="Q688" t="n">
        <v>0</v>
      </c>
      <c r="R688" s="2" t="inlineStr"/>
    </row>
    <row r="689" ht="15" customHeight="1">
      <c r="A689" t="inlineStr">
        <is>
          <t>A 61524-2022</t>
        </is>
      </c>
      <c r="B689" s="1" t="n">
        <v>44910</v>
      </c>
      <c r="C689" s="1" t="n">
        <v>46158</v>
      </c>
      <c r="D689" t="inlineStr">
        <is>
          <t>SKÅNE LÄN</t>
        </is>
      </c>
      <c r="E689" t="inlineStr">
        <is>
          <t>HÄSSLEHOLM</t>
        </is>
      </c>
      <c r="F689" t="inlineStr">
        <is>
          <t>Kyrkan</t>
        </is>
      </c>
      <c r="G689" t="n">
        <v>2.1</v>
      </c>
      <c r="H689" t="n">
        <v>0</v>
      </c>
      <c r="I689" t="n">
        <v>0</v>
      </c>
      <c r="J689" t="n">
        <v>0</v>
      </c>
      <c r="K689" t="n">
        <v>0</v>
      </c>
      <c r="L689" t="n">
        <v>0</v>
      </c>
      <c r="M689" t="n">
        <v>0</v>
      </c>
      <c r="N689" t="n">
        <v>0</v>
      </c>
      <c r="O689" t="n">
        <v>0</v>
      </c>
      <c r="P689" t="n">
        <v>0</v>
      </c>
      <c r="Q689" t="n">
        <v>0</v>
      </c>
      <c r="R689" s="2" t="inlineStr"/>
    </row>
    <row r="690" ht="15" customHeight="1">
      <c r="A690" t="inlineStr">
        <is>
          <t>A 10051-2026</t>
        </is>
      </c>
      <c r="B690" s="1" t="n">
        <v>46073</v>
      </c>
      <c r="C690" s="1" t="n">
        <v>46158</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61533-2022</t>
        </is>
      </c>
      <c r="B691" s="1" t="n">
        <v>44910</v>
      </c>
      <c r="C691" s="1" t="n">
        <v>46158</v>
      </c>
      <c r="D691" t="inlineStr">
        <is>
          <t>SKÅNE LÄN</t>
        </is>
      </c>
      <c r="E691" t="inlineStr">
        <is>
          <t>HÄSSLEHOLM</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46158</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8619-2023</t>
        </is>
      </c>
      <c r="B693" s="1" t="n">
        <v>44977.81979166667</v>
      </c>
      <c r="C693" s="1" t="n">
        <v>46158</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49219-2021</t>
        </is>
      </c>
      <c r="B694" s="1" t="n">
        <v>44454</v>
      </c>
      <c r="C694" s="1" t="n">
        <v>46158</v>
      </c>
      <c r="D694" t="inlineStr">
        <is>
          <t>SKÅNE LÄN</t>
        </is>
      </c>
      <c r="E694" t="inlineStr">
        <is>
          <t>HÄSSLEHOLM</t>
        </is>
      </c>
      <c r="G694" t="n">
        <v>7.8</v>
      </c>
      <c r="H694" t="n">
        <v>0</v>
      </c>
      <c r="I694" t="n">
        <v>0</v>
      </c>
      <c r="J694" t="n">
        <v>0</v>
      </c>
      <c r="K694" t="n">
        <v>0</v>
      </c>
      <c r="L694" t="n">
        <v>0</v>
      </c>
      <c r="M694" t="n">
        <v>0</v>
      </c>
      <c r="N694" t="n">
        <v>0</v>
      </c>
      <c r="O694" t="n">
        <v>0</v>
      </c>
      <c r="P694" t="n">
        <v>0</v>
      </c>
      <c r="Q694" t="n">
        <v>0</v>
      </c>
      <c r="R694" s="2" t="inlineStr"/>
    </row>
    <row r="695" ht="15" customHeight="1">
      <c r="A695" t="inlineStr">
        <is>
          <t>A 46000-2021</t>
        </is>
      </c>
      <c r="B695" s="1" t="n">
        <v>44441</v>
      </c>
      <c r="C695" s="1" t="n">
        <v>46158</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62171-2022</t>
        </is>
      </c>
      <c r="B696" s="1" t="n">
        <v>44915</v>
      </c>
      <c r="C696" s="1" t="n">
        <v>46158</v>
      </c>
      <c r="D696" t="inlineStr">
        <is>
          <t>SKÅNE LÄN</t>
        </is>
      </c>
      <c r="E696" t="inlineStr">
        <is>
          <t>HÄSSLEHOLM</t>
        </is>
      </c>
      <c r="F696" t="inlineStr">
        <is>
          <t>Kyrkan</t>
        </is>
      </c>
      <c r="G696" t="n">
        <v>9</v>
      </c>
      <c r="H696" t="n">
        <v>0</v>
      </c>
      <c r="I696" t="n">
        <v>0</v>
      </c>
      <c r="J696" t="n">
        <v>0</v>
      </c>
      <c r="K696" t="n">
        <v>0</v>
      </c>
      <c r="L696" t="n">
        <v>0</v>
      </c>
      <c r="M696" t="n">
        <v>0</v>
      </c>
      <c r="N696" t="n">
        <v>0</v>
      </c>
      <c r="O696" t="n">
        <v>0</v>
      </c>
      <c r="P696" t="n">
        <v>0</v>
      </c>
      <c r="Q696" t="n">
        <v>0</v>
      </c>
      <c r="R696" s="2" t="inlineStr"/>
    </row>
    <row r="697" ht="15" customHeight="1">
      <c r="A697" t="inlineStr">
        <is>
          <t>A 32100-2024</t>
        </is>
      </c>
      <c r="B697" s="1" t="n">
        <v>45511.41451388889</v>
      </c>
      <c r="C697" s="1" t="n">
        <v>46158</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33481-2024</t>
        </is>
      </c>
      <c r="B698" s="1" t="n">
        <v>45519</v>
      </c>
      <c r="C698" s="1" t="n">
        <v>46158</v>
      </c>
      <c r="D698" t="inlineStr">
        <is>
          <t>SKÅNE LÄN</t>
        </is>
      </c>
      <c r="E698" t="inlineStr">
        <is>
          <t>HÄSSLEHOLM</t>
        </is>
      </c>
      <c r="G698" t="n">
        <v>3</v>
      </c>
      <c r="H698" t="n">
        <v>0</v>
      </c>
      <c r="I698" t="n">
        <v>0</v>
      </c>
      <c r="J698" t="n">
        <v>0</v>
      </c>
      <c r="K698" t="n">
        <v>0</v>
      </c>
      <c r="L698" t="n">
        <v>0</v>
      </c>
      <c r="M698" t="n">
        <v>0</v>
      </c>
      <c r="N698" t="n">
        <v>0</v>
      </c>
      <c r="O698" t="n">
        <v>0</v>
      </c>
      <c r="P698" t="n">
        <v>0</v>
      </c>
      <c r="Q698" t="n">
        <v>0</v>
      </c>
      <c r="R698" s="2" t="inlineStr"/>
    </row>
    <row r="699" ht="15" customHeight="1">
      <c r="A699" t="inlineStr">
        <is>
          <t>A 48807-2021</t>
        </is>
      </c>
      <c r="B699" s="1" t="n">
        <v>44452</v>
      </c>
      <c r="C699" s="1" t="n">
        <v>46158</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58933-2025</t>
        </is>
      </c>
      <c r="B700" s="1" t="n">
        <v>45987.56107638889</v>
      </c>
      <c r="C700" s="1" t="n">
        <v>46158</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54176-2022</t>
        </is>
      </c>
      <c r="B701" s="1" t="n">
        <v>44881</v>
      </c>
      <c r="C701" s="1" t="n">
        <v>46158</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16614-2025</t>
        </is>
      </c>
      <c r="B702" s="1" t="n">
        <v>45754.283125</v>
      </c>
      <c r="C702" s="1" t="n">
        <v>46158</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23723-2023</t>
        </is>
      </c>
      <c r="B703" s="1" t="n">
        <v>45077</v>
      </c>
      <c r="C703" s="1" t="n">
        <v>46158</v>
      </c>
      <c r="D703" t="inlineStr">
        <is>
          <t>SKÅNE LÄN</t>
        </is>
      </c>
      <c r="E703" t="inlineStr">
        <is>
          <t>HÄSSLEHOLM</t>
        </is>
      </c>
      <c r="G703" t="n">
        <v>3.9</v>
      </c>
      <c r="H703" t="n">
        <v>0</v>
      </c>
      <c r="I703" t="n">
        <v>0</v>
      </c>
      <c r="J703" t="n">
        <v>0</v>
      </c>
      <c r="K703" t="n">
        <v>0</v>
      </c>
      <c r="L703" t="n">
        <v>0</v>
      </c>
      <c r="M703" t="n">
        <v>0</v>
      </c>
      <c r="N703" t="n">
        <v>0</v>
      </c>
      <c r="O703" t="n">
        <v>0</v>
      </c>
      <c r="P703" t="n">
        <v>0</v>
      </c>
      <c r="Q703" t="n">
        <v>0</v>
      </c>
      <c r="R703" s="2" t="inlineStr"/>
    </row>
    <row r="704" ht="15" customHeight="1">
      <c r="A704" t="inlineStr">
        <is>
          <t>A 4945-2022</t>
        </is>
      </c>
      <c r="B704" s="1" t="n">
        <v>44593</v>
      </c>
      <c r="C704" s="1" t="n">
        <v>46158</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53055-2021</t>
        </is>
      </c>
      <c r="B705" s="1" t="n">
        <v>44467</v>
      </c>
      <c r="C705" s="1" t="n">
        <v>46158</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47248-2023</t>
        </is>
      </c>
      <c r="B706" s="1" t="n">
        <v>45202</v>
      </c>
      <c r="C706" s="1" t="n">
        <v>46158</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38306-2022</t>
        </is>
      </c>
      <c r="B707" s="1" t="n">
        <v>44812.57515046297</v>
      </c>
      <c r="C707" s="1" t="n">
        <v>46158</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56065-2025</t>
        </is>
      </c>
      <c r="B708" s="1" t="n">
        <v>45973</v>
      </c>
      <c r="C708" s="1" t="n">
        <v>46158</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35845-2022</t>
        </is>
      </c>
      <c r="B709" s="1" t="n">
        <v>44802</v>
      </c>
      <c r="C709" s="1" t="n">
        <v>46158</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12503-2022</t>
        </is>
      </c>
      <c r="B710" s="1" t="n">
        <v>44638</v>
      </c>
      <c r="C710" s="1" t="n">
        <v>46158</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1616-2025</t>
        </is>
      </c>
      <c r="B711" s="1" t="n">
        <v>45670</v>
      </c>
      <c r="C711" s="1" t="n">
        <v>46158</v>
      </c>
      <c r="D711" t="inlineStr">
        <is>
          <t>SKÅNE LÄN</t>
        </is>
      </c>
      <c r="E711" t="inlineStr">
        <is>
          <t>HÄSSLEHOLM</t>
        </is>
      </c>
      <c r="G711" t="n">
        <v>3.6</v>
      </c>
      <c r="H711" t="n">
        <v>0</v>
      </c>
      <c r="I711" t="n">
        <v>0</v>
      </c>
      <c r="J711" t="n">
        <v>0</v>
      </c>
      <c r="K711" t="n">
        <v>0</v>
      </c>
      <c r="L711" t="n">
        <v>0</v>
      </c>
      <c r="M711" t="n">
        <v>0</v>
      </c>
      <c r="N711" t="n">
        <v>0</v>
      </c>
      <c r="O711" t="n">
        <v>0</v>
      </c>
      <c r="P711" t="n">
        <v>0</v>
      </c>
      <c r="Q711" t="n">
        <v>0</v>
      </c>
      <c r="R711" s="2" t="inlineStr"/>
    </row>
    <row r="712" ht="15" customHeight="1">
      <c r="A712" t="inlineStr">
        <is>
          <t>A 59722-2025</t>
        </is>
      </c>
      <c r="B712" s="1" t="n">
        <v>45992.5474537037</v>
      </c>
      <c r="C712" s="1" t="n">
        <v>46158</v>
      </c>
      <c r="D712" t="inlineStr">
        <is>
          <t>SKÅNE LÄN</t>
        </is>
      </c>
      <c r="E712" t="inlineStr">
        <is>
          <t>HÄSSLEHOLM</t>
        </is>
      </c>
      <c r="G712" t="n">
        <v>1.6</v>
      </c>
      <c r="H712" t="n">
        <v>0</v>
      </c>
      <c r="I712" t="n">
        <v>0</v>
      </c>
      <c r="J712" t="n">
        <v>0</v>
      </c>
      <c r="K712" t="n">
        <v>0</v>
      </c>
      <c r="L712" t="n">
        <v>0</v>
      </c>
      <c r="M712" t="n">
        <v>0</v>
      </c>
      <c r="N712" t="n">
        <v>0</v>
      </c>
      <c r="O712" t="n">
        <v>0</v>
      </c>
      <c r="P712" t="n">
        <v>0</v>
      </c>
      <c r="Q712" t="n">
        <v>0</v>
      </c>
      <c r="R712" s="2" t="inlineStr"/>
    </row>
    <row r="713" ht="15" customHeight="1">
      <c r="A713" t="inlineStr">
        <is>
          <t>A 23950-2023</t>
        </is>
      </c>
      <c r="B713" s="1" t="n">
        <v>45078.61771990741</v>
      </c>
      <c r="C713" s="1" t="n">
        <v>46158</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23952-2023</t>
        </is>
      </c>
      <c r="B714" s="1" t="n">
        <v>45078.62064814815</v>
      </c>
      <c r="C714" s="1" t="n">
        <v>46158</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2144-2023</t>
        </is>
      </c>
      <c r="B715" s="1" t="n">
        <v>44940.79054398148</v>
      </c>
      <c r="C715" s="1" t="n">
        <v>46158</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46158</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16550-2025</t>
        </is>
      </c>
      <c r="B717" s="1" t="n">
        <v>45751.69412037037</v>
      </c>
      <c r="C717" s="1" t="n">
        <v>46158</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16285-2025</t>
        </is>
      </c>
      <c r="B718" s="1" t="n">
        <v>45751.30045138889</v>
      </c>
      <c r="C718" s="1" t="n">
        <v>46158</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46158</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15897-2025</t>
        </is>
      </c>
      <c r="B720" s="1" t="n">
        <v>45749.41598379629</v>
      </c>
      <c r="C720" s="1" t="n">
        <v>46158</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61504-2022</t>
        </is>
      </c>
      <c r="B721" s="1" t="n">
        <v>44910</v>
      </c>
      <c r="C721" s="1" t="n">
        <v>46158</v>
      </c>
      <c r="D721" t="inlineStr">
        <is>
          <t>SKÅNE LÄN</t>
        </is>
      </c>
      <c r="E721" t="inlineStr">
        <is>
          <t>HÄSSLEHOLM</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29275-2023</t>
        </is>
      </c>
      <c r="B722" s="1" t="n">
        <v>45105</v>
      </c>
      <c r="C722" s="1" t="n">
        <v>46158</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27502-2023</t>
        </is>
      </c>
      <c r="B723" s="1" t="n">
        <v>45092</v>
      </c>
      <c r="C723" s="1" t="n">
        <v>46158</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54473-2023</t>
        </is>
      </c>
      <c r="B724" s="1" t="n">
        <v>45233</v>
      </c>
      <c r="C724" s="1" t="n">
        <v>46158</v>
      </c>
      <c r="D724" t="inlineStr">
        <is>
          <t>SKÅNE LÄN</t>
        </is>
      </c>
      <c r="E724" t="inlineStr">
        <is>
          <t>HÄSSLEHOLM</t>
        </is>
      </c>
      <c r="G724" t="n">
        <v>24.5</v>
      </c>
      <c r="H724" t="n">
        <v>0</v>
      </c>
      <c r="I724" t="n">
        <v>0</v>
      </c>
      <c r="J724" t="n">
        <v>0</v>
      </c>
      <c r="K724" t="n">
        <v>0</v>
      </c>
      <c r="L724" t="n">
        <v>0</v>
      </c>
      <c r="M724" t="n">
        <v>0</v>
      </c>
      <c r="N724" t="n">
        <v>0</v>
      </c>
      <c r="O724" t="n">
        <v>0</v>
      </c>
      <c r="P724" t="n">
        <v>0</v>
      </c>
      <c r="Q724" t="n">
        <v>0</v>
      </c>
      <c r="R724" s="2" t="inlineStr"/>
    </row>
    <row r="725" ht="15" customHeight="1">
      <c r="A725" t="inlineStr">
        <is>
          <t>A 26641-2023</t>
        </is>
      </c>
      <c r="B725" s="1" t="n">
        <v>45092.89619212963</v>
      </c>
      <c r="C725" s="1" t="n">
        <v>46158</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51752-2023</t>
        </is>
      </c>
      <c r="B726" s="1" t="n">
        <v>45222</v>
      </c>
      <c r="C726" s="1" t="n">
        <v>46158</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20800-2023</t>
        </is>
      </c>
      <c r="B727" s="1" t="n">
        <v>45058.61640046296</v>
      </c>
      <c r="C727" s="1" t="n">
        <v>46158</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49219-2024</t>
        </is>
      </c>
      <c r="B728" s="1" t="n">
        <v>45595.40923611111</v>
      </c>
      <c r="C728" s="1" t="n">
        <v>46158</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7152-2025</t>
        </is>
      </c>
      <c r="B729" s="1" t="n">
        <v>45702.3837037037</v>
      </c>
      <c r="C729" s="1" t="n">
        <v>46158</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7160-2025</t>
        </is>
      </c>
      <c r="B730" s="1" t="n">
        <v>45702.3875462963</v>
      </c>
      <c r="C730" s="1" t="n">
        <v>46158</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14939-2023</t>
        </is>
      </c>
      <c r="B731" s="1" t="n">
        <v>45014</v>
      </c>
      <c r="C731" s="1" t="n">
        <v>46158</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61322-2025</t>
        </is>
      </c>
      <c r="B732" s="1" t="n">
        <v>46000</v>
      </c>
      <c r="C732" s="1" t="n">
        <v>46158</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15104-2023</t>
        </is>
      </c>
      <c r="B733" s="1" t="n">
        <v>45016.40576388889</v>
      </c>
      <c r="C733" s="1" t="n">
        <v>46158</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66321-2021</t>
        </is>
      </c>
      <c r="B734" s="1" t="n">
        <v>44518</v>
      </c>
      <c r="C734" s="1" t="n">
        <v>46158</v>
      </c>
      <c r="D734" t="inlineStr">
        <is>
          <t>SKÅNE LÄN</t>
        </is>
      </c>
      <c r="E734" t="inlineStr">
        <is>
          <t>HÄSSLEHOLM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21494-2023</t>
        </is>
      </c>
      <c r="B735" s="1" t="n">
        <v>45063</v>
      </c>
      <c r="C735" s="1" t="n">
        <v>46158</v>
      </c>
      <c r="D735" t="inlineStr">
        <is>
          <t>SKÅNE LÄN</t>
        </is>
      </c>
      <c r="E735" t="inlineStr">
        <is>
          <t>HÄSSLEHOLM</t>
        </is>
      </c>
      <c r="G735" t="n">
        <v>3.7</v>
      </c>
      <c r="H735" t="n">
        <v>0</v>
      </c>
      <c r="I735" t="n">
        <v>0</v>
      </c>
      <c r="J735" t="n">
        <v>0</v>
      </c>
      <c r="K735" t="n">
        <v>0</v>
      </c>
      <c r="L735" t="n">
        <v>0</v>
      </c>
      <c r="M735" t="n">
        <v>0</v>
      </c>
      <c r="N735" t="n">
        <v>0</v>
      </c>
      <c r="O735" t="n">
        <v>0</v>
      </c>
      <c r="P735" t="n">
        <v>0</v>
      </c>
      <c r="Q735" t="n">
        <v>0</v>
      </c>
      <c r="R735" s="2" t="inlineStr"/>
    </row>
    <row r="736" ht="15" customHeight="1">
      <c r="A736" t="inlineStr">
        <is>
          <t>A 21495-2023</t>
        </is>
      </c>
      <c r="B736" s="1" t="n">
        <v>45063</v>
      </c>
      <c r="C736" s="1" t="n">
        <v>46158</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61474-2025</t>
        </is>
      </c>
      <c r="B737" s="1" t="n">
        <v>46001.61886574074</v>
      </c>
      <c r="C737" s="1" t="n">
        <v>46158</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40739-2024</t>
        </is>
      </c>
      <c r="B738" s="1" t="n">
        <v>45558</v>
      </c>
      <c r="C738" s="1" t="n">
        <v>46158</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64884-2023</t>
        </is>
      </c>
      <c r="B739" s="1" t="n">
        <v>45282.57809027778</v>
      </c>
      <c r="C739" s="1" t="n">
        <v>46158</v>
      </c>
      <c r="D739" t="inlineStr">
        <is>
          <t>SKÅNE LÄN</t>
        </is>
      </c>
      <c r="E739" t="inlineStr">
        <is>
          <t>HÄSSLEHOLM</t>
        </is>
      </c>
      <c r="G739" t="n">
        <v>4.6</v>
      </c>
      <c r="H739" t="n">
        <v>0</v>
      </c>
      <c r="I739" t="n">
        <v>0</v>
      </c>
      <c r="J739" t="n">
        <v>0</v>
      </c>
      <c r="K739" t="n">
        <v>0</v>
      </c>
      <c r="L739" t="n">
        <v>0</v>
      </c>
      <c r="M739" t="n">
        <v>0</v>
      </c>
      <c r="N739" t="n">
        <v>0</v>
      </c>
      <c r="O739" t="n">
        <v>0</v>
      </c>
      <c r="P739" t="n">
        <v>0</v>
      </c>
      <c r="Q739" t="n">
        <v>0</v>
      </c>
      <c r="R739" s="2" t="inlineStr"/>
    </row>
    <row r="740" ht="15" customHeight="1">
      <c r="A740" t="inlineStr">
        <is>
          <t>A 22140-2023</t>
        </is>
      </c>
      <c r="B740" s="1" t="n">
        <v>45065</v>
      </c>
      <c r="C740" s="1" t="n">
        <v>46158</v>
      </c>
      <c r="D740" t="inlineStr">
        <is>
          <t>SKÅNE LÄN</t>
        </is>
      </c>
      <c r="E740" t="inlineStr">
        <is>
          <t>HÄSSLEHOLM</t>
        </is>
      </c>
      <c r="G740" t="n">
        <v>6.7</v>
      </c>
      <c r="H740" t="n">
        <v>0</v>
      </c>
      <c r="I740" t="n">
        <v>0</v>
      </c>
      <c r="J740" t="n">
        <v>0</v>
      </c>
      <c r="K740" t="n">
        <v>0</v>
      </c>
      <c r="L740" t="n">
        <v>0</v>
      </c>
      <c r="M740" t="n">
        <v>0</v>
      </c>
      <c r="N740" t="n">
        <v>0</v>
      </c>
      <c r="O740" t="n">
        <v>0</v>
      </c>
      <c r="P740" t="n">
        <v>0</v>
      </c>
      <c r="Q740" t="n">
        <v>0</v>
      </c>
      <c r="R740" s="2" t="inlineStr"/>
    </row>
    <row r="741" ht="15" customHeight="1">
      <c r="A741" t="inlineStr">
        <is>
          <t>A 31944-2023</t>
        </is>
      </c>
      <c r="B741" s="1" t="n">
        <v>45119.34895833334</v>
      </c>
      <c r="C741" s="1" t="n">
        <v>46158</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7890-2024</t>
        </is>
      </c>
      <c r="B742" s="1" t="n">
        <v>45350.40780092592</v>
      </c>
      <c r="C742" s="1" t="n">
        <v>46158</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31946-2023</t>
        </is>
      </c>
      <c r="B743" s="1" t="n">
        <v>45119.35158564815</v>
      </c>
      <c r="C743" s="1" t="n">
        <v>46158</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8755-2024</t>
        </is>
      </c>
      <c r="B744" s="1" t="n">
        <v>45356</v>
      </c>
      <c r="C744" s="1" t="n">
        <v>46158</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62376-2025</t>
        </is>
      </c>
      <c r="B745" s="1" t="n">
        <v>46006</v>
      </c>
      <c r="C745" s="1" t="n">
        <v>46158</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17996-2026</t>
        </is>
      </c>
      <c r="B746" s="1" t="n">
        <v>46124.87434027778</v>
      </c>
      <c r="C746" s="1" t="n">
        <v>46158</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61178-2022</t>
        </is>
      </c>
      <c r="B747" s="1" t="n">
        <v>44915</v>
      </c>
      <c r="C747" s="1" t="n">
        <v>46158</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61185-2022</t>
        </is>
      </c>
      <c r="B748" s="1" t="n">
        <v>44915</v>
      </c>
      <c r="C748" s="1" t="n">
        <v>46158</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61691-2021</t>
        </is>
      </c>
      <c r="B749" s="1" t="n">
        <v>44501</v>
      </c>
      <c r="C749" s="1" t="n">
        <v>46158</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25221-2023</t>
        </is>
      </c>
      <c r="B750" s="1" t="n">
        <v>45086.60842592592</v>
      </c>
      <c r="C750" s="1" t="n">
        <v>46158</v>
      </c>
      <c r="D750" t="inlineStr">
        <is>
          <t>SKÅNE LÄN</t>
        </is>
      </c>
      <c r="E750" t="inlineStr">
        <is>
          <t>HÄSSLEHOLM</t>
        </is>
      </c>
      <c r="G750" t="n">
        <v>2.5</v>
      </c>
      <c r="H750" t="n">
        <v>0</v>
      </c>
      <c r="I750" t="n">
        <v>0</v>
      </c>
      <c r="J750" t="n">
        <v>0</v>
      </c>
      <c r="K750" t="n">
        <v>0</v>
      </c>
      <c r="L750" t="n">
        <v>0</v>
      </c>
      <c r="M750" t="n">
        <v>0</v>
      </c>
      <c r="N750" t="n">
        <v>0</v>
      </c>
      <c r="O750" t="n">
        <v>0</v>
      </c>
      <c r="P750" t="n">
        <v>0</v>
      </c>
      <c r="Q750" t="n">
        <v>0</v>
      </c>
      <c r="R750" s="2" t="inlineStr"/>
    </row>
    <row r="751" ht="15" customHeight="1">
      <c r="A751" t="inlineStr">
        <is>
          <t>A 59390-2021</t>
        </is>
      </c>
      <c r="B751" s="1" t="n">
        <v>44490</v>
      </c>
      <c r="C751" s="1" t="n">
        <v>46158</v>
      </c>
      <c r="D751" t="inlineStr">
        <is>
          <t>SKÅNE LÄN</t>
        </is>
      </c>
      <c r="E751" t="inlineStr">
        <is>
          <t>HÄSSLEHOLM</t>
        </is>
      </c>
      <c r="G751" t="n">
        <v>7.1</v>
      </c>
      <c r="H751" t="n">
        <v>0</v>
      </c>
      <c r="I751" t="n">
        <v>0</v>
      </c>
      <c r="J751" t="n">
        <v>0</v>
      </c>
      <c r="K751" t="n">
        <v>0</v>
      </c>
      <c r="L751" t="n">
        <v>0</v>
      </c>
      <c r="M751" t="n">
        <v>0</v>
      </c>
      <c r="N751" t="n">
        <v>0</v>
      </c>
      <c r="O751" t="n">
        <v>0</v>
      </c>
      <c r="P751" t="n">
        <v>0</v>
      </c>
      <c r="Q751" t="n">
        <v>0</v>
      </c>
      <c r="R751" s="2" t="inlineStr"/>
    </row>
    <row r="752" ht="15" customHeight="1">
      <c r="A752" t="inlineStr">
        <is>
          <t>A 41680-2024</t>
        </is>
      </c>
      <c r="B752" s="1" t="n">
        <v>45560</v>
      </c>
      <c r="C752" s="1" t="n">
        <v>46158</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46813-2024</t>
        </is>
      </c>
      <c r="B753" s="1" t="n">
        <v>45583</v>
      </c>
      <c r="C753" s="1" t="n">
        <v>46158</v>
      </c>
      <c r="D753" t="inlineStr">
        <is>
          <t>SKÅNE LÄN</t>
        </is>
      </c>
      <c r="E753" t="inlineStr">
        <is>
          <t>HÄSSLEHOLM</t>
        </is>
      </c>
      <c r="G753" t="n">
        <v>14.9</v>
      </c>
      <c r="H753" t="n">
        <v>0</v>
      </c>
      <c r="I753" t="n">
        <v>0</v>
      </c>
      <c r="J753" t="n">
        <v>0</v>
      </c>
      <c r="K753" t="n">
        <v>0</v>
      </c>
      <c r="L753" t="n">
        <v>0</v>
      </c>
      <c r="M753" t="n">
        <v>0</v>
      </c>
      <c r="N753" t="n">
        <v>0</v>
      </c>
      <c r="O753" t="n">
        <v>0</v>
      </c>
      <c r="P753" t="n">
        <v>0</v>
      </c>
      <c r="Q753" t="n">
        <v>0</v>
      </c>
      <c r="R753" s="2" t="inlineStr"/>
    </row>
    <row r="754" ht="15" customHeight="1">
      <c r="A754" t="inlineStr">
        <is>
          <t>A 63476-2025</t>
        </is>
      </c>
      <c r="B754" s="1" t="n">
        <v>46013.44621527778</v>
      </c>
      <c r="C754" s="1" t="n">
        <v>46158</v>
      </c>
      <c r="D754" t="inlineStr">
        <is>
          <t>SKÅNE LÄN</t>
        </is>
      </c>
      <c r="E754" t="inlineStr">
        <is>
          <t>HÄSSLEHOLM</t>
        </is>
      </c>
      <c r="F754" t="inlineStr">
        <is>
          <t>Kommuner</t>
        </is>
      </c>
      <c r="G754" t="n">
        <v>0.6</v>
      </c>
      <c r="H754" t="n">
        <v>0</v>
      </c>
      <c r="I754" t="n">
        <v>0</v>
      </c>
      <c r="J754" t="n">
        <v>0</v>
      </c>
      <c r="K754" t="n">
        <v>0</v>
      </c>
      <c r="L754" t="n">
        <v>0</v>
      </c>
      <c r="M754" t="n">
        <v>0</v>
      </c>
      <c r="N754" t="n">
        <v>0</v>
      </c>
      <c r="O754" t="n">
        <v>0</v>
      </c>
      <c r="P754" t="n">
        <v>0</v>
      </c>
      <c r="Q754" t="n">
        <v>0</v>
      </c>
      <c r="R754" s="2" t="inlineStr"/>
    </row>
    <row r="755" ht="15" customHeight="1">
      <c r="A755" t="inlineStr">
        <is>
          <t>A 62271-2025</t>
        </is>
      </c>
      <c r="B755" s="1" t="n">
        <v>46006.62256944444</v>
      </c>
      <c r="C755" s="1" t="n">
        <v>46158</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62264-2025</t>
        </is>
      </c>
      <c r="B756" s="1" t="n">
        <v>46006.61644675926</v>
      </c>
      <c r="C756" s="1" t="n">
        <v>46158</v>
      </c>
      <c r="D756" t="inlineStr">
        <is>
          <t>SKÅNE LÄN</t>
        </is>
      </c>
      <c r="E756" t="inlineStr">
        <is>
          <t>HÄSSLEHOLM</t>
        </is>
      </c>
      <c r="G756" t="n">
        <v>7.5</v>
      </c>
      <c r="H756" t="n">
        <v>0</v>
      </c>
      <c r="I756" t="n">
        <v>0</v>
      </c>
      <c r="J756" t="n">
        <v>0</v>
      </c>
      <c r="K756" t="n">
        <v>0</v>
      </c>
      <c r="L756" t="n">
        <v>0</v>
      </c>
      <c r="M756" t="n">
        <v>0</v>
      </c>
      <c r="N756" t="n">
        <v>0</v>
      </c>
      <c r="O756" t="n">
        <v>0</v>
      </c>
      <c r="P756" t="n">
        <v>0</v>
      </c>
      <c r="Q756" t="n">
        <v>0</v>
      </c>
      <c r="R756" s="2" t="inlineStr"/>
    </row>
    <row r="757" ht="15" customHeight="1">
      <c r="A757" t="inlineStr">
        <is>
          <t>A 50564-2023</t>
        </is>
      </c>
      <c r="B757" s="1" t="n">
        <v>45217.37957175926</v>
      </c>
      <c r="C757" s="1" t="n">
        <v>46158</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15133-2023</t>
        </is>
      </c>
      <c r="B758" s="1" t="n">
        <v>45016</v>
      </c>
      <c r="C758" s="1" t="n">
        <v>46158</v>
      </c>
      <c r="D758" t="inlineStr">
        <is>
          <t>SKÅNE LÄN</t>
        </is>
      </c>
      <c r="E758" t="inlineStr">
        <is>
          <t>HÄSSLEHOLM</t>
        </is>
      </c>
      <c r="G758" t="n">
        <v>7.8</v>
      </c>
      <c r="H758" t="n">
        <v>0</v>
      </c>
      <c r="I758" t="n">
        <v>0</v>
      </c>
      <c r="J758" t="n">
        <v>0</v>
      </c>
      <c r="K758" t="n">
        <v>0</v>
      </c>
      <c r="L758" t="n">
        <v>0</v>
      </c>
      <c r="M758" t="n">
        <v>0</v>
      </c>
      <c r="N758" t="n">
        <v>0</v>
      </c>
      <c r="O758" t="n">
        <v>0</v>
      </c>
      <c r="P758" t="n">
        <v>0</v>
      </c>
      <c r="Q758" t="n">
        <v>0</v>
      </c>
      <c r="R758" s="2" t="inlineStr"/>
    </row>
    <row r="759" ht="15" customHeight="1">
      <c r="A759" t="inlineStr">
        <is>
          <t>A 15053-2023</t>
        </is>
      </c>
      <c r="B759" s="1" t="n">
        <v>45015</v>
      </c>
      <c r="C759" s="1" t="n">
        <v>46158</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23857-2024</t>
        </is>
      </c>
      <c r="B760" s="1" t="n">
        <v>45455</v>
      </c>
      <c r="C760" s="1" t="n">
        <v>46158</v>
      </c>
      <c r="D760" t="inlineStr">
        <is>
          <t>SKÅNE LÄN</t>
        </is>
      </c>
      <c r="E760" t="inlineStr">
        <is>
          <t>HÄSSLEHOLM</t>
        </is>
      </c>
      <c r="G760" t="n">
        <v>3</v>
      </c>
      <c r="H760" t="n">
        <v>0</v>
      </c>
      <c r="I760" t="n">
        <v>0</v>
      </c>
      <c r="J760" t="n">
        <v>0</v>
      </c>
      <c r="K760" t="n">
        <v>0</v>
      </c>
      <c r="L760" t="n">
        <v>0</v>
      </c>
      <c r="M760" t="n">
        <v>0</v>
      </c>
      <c r="N760" t="n">
        <v>0</v>
      </c>
      <c r="O760" t="n">
        <v>0</v>
      </c>
      <c r="P760" t="n">
        <v>0</v>
      </c>
      <c r="Q760" t="n">
        <v>0</v>
      </c>
      <c r="R760" s="2" t="inlineStr"/>
    </row>
    <row r="761" ht="15" customHeight="1">
      <c r="A761" t="inlineStr">
        <is>
          <t>A 35644-2023</t>
        </is>
      </c>
      <c r="B761" s="1" t="n">
        <v>45147</v>
      </c>
      <c r="C761" s="1" t="n">
        <v>46158</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17835-2026</t>
        </is>
      </c>
      <c r="B762" s="1" t="n">
        <v>46121</v>
      </c>
      <c r="C762" s="1" t="n">
        <v>46158</v>
      </c>
      <c r="D762" t="inlineStr">
        <is>
          <t>SKÅNE LÄN</t>
        </is>
      </c>
      <c r="E762" t="inlineStr">
        <is>
          <t>HÄSSLEHOLM</t>
        </is>
      </c>
      <c r="G762" t="n">
        <v>12.6</v>
      </c>
      <c r="H762" t="n">
        <v>0</v>
      </c>
      <c r="I762" t="n">
        <v>0</v>
      </c>
      <c r="J762" t="n">
        <v>0</v>
      </c>
      <c r="K762" t="n">
        <v>0</v>
      </c>
      <c r="L762" t="n">
        <v>0</v>
      </c>
      <c r="M762" t="n">
        <v>0</v>
      </c>
      <c r="N762" t="n">
        <v>0</v>
      </c>
      <c r="O762" t="n">
        <v>0</v>
      </c>
      <c r="P762" t="n">
        <v>0</v>
      </c>
      <c r="Q762" t="n">
        <v>0</v>
      </c>
      <c r="R762" s="2" t="inlineStr"/>
    </row>
    <row r="763" ht="15" customHeight="1">
      <c r="A763" t="inlineStr">
        <is>
          <t>A 46185-2022</t>
        </is>
      </c>
      <c r="B763" s="1" t="n">
        <v>44847</v>
      </c>
      <c r="C763" s="1" t="n">
        <v>46158</v>
      </c>
      <c r="D763" t="inlineStr">
        <is>
          <t>SKÅNE LÄN</t>
        </is>
      </c>
      <c r="E763" t="inlineStr">
        <is>
          <t>HÄSSLEHOLM</t>
        </is>
      </c>
      <c r="G763" t="n">
        <v>16.8</v>
      </c>
      <c r="H763" t="n">
        <v>0</v>
      </c>
      <c r="I763" t="n">
        <v>0</v>
      </c>
      <c r="J763" t="n">
        <v>0</v>
      </c>
      <c r="K763" t="n">
        <v>0</v>
      </c>
      <c r="L763" t="n">
        <v>0</v>
      </c>
      <c r="M763" t="n">
        <v>0</v>
      </c>
      <c r="N763" t="n">
        <v>0</v>
      </c>
      <c r="O763" t="n">
        <v>0</v>
      </c>
      <c r="P763" t="n">
        <v>0</v>
      </c>
      <c r="Q763" t="n">
        <v>0</v>
      </c>
      <c r="R763" s="2" t="inlineStr"/>
    </row>
    <row r="764" ht="15" customHeight="1">
      <c r="A764" t="inlineStr">
        <is>
          <t>A 8433-2024</t>
        </is>
      </c>
      <c r="B764" s="1" t="n">
        <v>45353.48434027778</v>
      </c>
      <c r="C764" s="1" t="n">
        <v>46158</v>
      </c>
      <c r="D764" t="inlineStr">
        <is>
          <t>SKÅNE LÄN</t>
        </is>
      </c>
      <c r="E764" t="inlineStr">
        <is>
          <t>HÄSSLEHOLM</t>
        </is>
      </c>
      <c r="G764" t="n">
        <v>1.9</v>
      </c>
      <c r="H764" t="n">
        <v>0</v>
      </c>
      <c r="I764" t="n">
        <v>0</v>
      </c>
      <c r="J764" t="n">
        <v>0</v>
      </c>
      <c r="K764" t="n">
        <v>0</v>
      </c>
      <c r="L764" t="n">
        <v>0</v>
      </c>
      <c r="M764" t="n">
        <v>0</v>
      </c>
      <c r="N764" t="n">
        <v>0</v>
      </c>
      <c r="O764" t="n">
        <v>0</v>
      </c>
      <c r="P764" t="n">
        <v>0</v>
      </c>
      <c r="Q764" t="n">
        <v>0</v>
      </c>
      <c r="R764" s="2" t="inlineStr"/>
    </row>
    <row r="765" ht="15" customHeight="1">
      <c r="A765" t="inlineStr">
        <is>
          <t>A 62055-2023</t>
        </is>
      </c>
      <c r="B765" s="1" t="n">
        <v>45266.70287037037</v>
      </c>
      <c r="C765" s="1" t="n">
        <v>46158</v>
      </c>
      <c r="D765" t="inlineStr">
        <is>
          <t>SKÅNE LÄN</t>
        </is>
      </c>
      <c r="E765" t="inlineStr">
        <is>
          <t>HÄSSLEHOLM</t>
        </is>
      </c>
      <c r="G765" t="n">
        <v>5.2</v>
      </c>
      <c r="H765" t="n">
        <v>0</v>
      </c>
      <c r="I765" t="n">
        <v>0</v>
      </c>
      <c r="J765" t="n">
        <v>0</v>
      </c>
      <c r="K765" t="n">
        <v>0</v>
      </c>
      <c r="L765" t="n">
        <v>0</v>
      </c>
      <c r="M765" t="n">
        <v>0</v>
      </c>
      <c r="N765" t="n">
        <v>0</v>
      </c>
      <c r="O765" t="n">
        <v>0</v>
      </c>
      <c r="P765" t="n">
        <v>0</v>
      </c>
      <c r="Q765" t="n">
        <v>0</v>
      </c>
      <c r="R765" s="2" t="inlineStr"/>
    </row>
    <row r="766" ht="15" customHeight="1">
      <c r="A766" t="inlineStr">
        <is>
          <t>A 17844-2026</t>
        </is>
      </c>
      <c r="B766" s="1" t="n">
        <v>46121</v>
      </c>
      <c r="C766" s="1" t="n">
        <v>46158</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63284-2025</t>
        </is>
      </c>
      <c r="B767" s="1" t="n">
        <v>46010</v>
      </c>
      <c r="C767" s="1" t="n">
        <v>46158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63354-2025</t>
        </is>
      </c>
      <c r="B768" s="1" t="n">
        <v>46010.66957175926</v>
      </c>
      <c r="C768" s="1" t="n">
        <v>46158</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56767-2025</t>
        </is>
      </c>
      <c r="B769" s="1" t="n">
        <v>45978.38178240741</v>
      </c>
      <c r="C769" s="1" t="n">
        <v>46158</v>
      </c>
      <c r="D769" t="inlineStr">
        <is>
          <t>SKÅNE LÄN</t>
        </is>
      </c>
      <c r="E769" t="inlineStr">
        <is>
          <t>HÄSSLEHOLM</t>
        </is>
      </c>
      <c r="G769" t="n">
        <v>1.7</v>
      </c>
      <c r="H769" t="n">
        <v>0</v>
      </c>
      <c r="I769" t="n">
        <v>0</v>
      </c>
      <c r="J769" t="n">
        <v>0</v>
      </c>
      <c r="K769" t="n">
        <v>0</v>
      </c>
      <c r="L769" t="n">
        <v>0</v>
      </c>
      <c r="M769" t="n">
        <v>0</v>
      </c>
      <c r="N769" t="n">
        <v>0</v>
      </c>
      <c r="O769" t="n">
        <v>0</v>
      </c>
      <c r="P769" t="n">
        <v>0</v>
      </c>
      <c r="Q769" t="n">
        <v>0</v>
      </c>
      <c r="R769" s="2" t="inlineStr"/>
    </row>
    <row r="770" ht="15" customHeight="1">
      <c r="A770" t="inlineStr">
        <is>
          <t>A 56769-2025</t>
        </is>
      </c>
      <c r="B770" s="1" t="n">
        <v>45978.38429398148</v>
      </c>
      <c r="C770" s="1" t="n">
        <v>46158</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27349-2025</t>
        </is>
      </c>
      <c r="B771" s="1" t="n">
        <v>45812</v>
      </c>
      <c r="C771" s="1" t="n">
        <v>46158</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13555-2025</t>
        </is>
      </c>
      <c r="B772" s="1" t="n">
        <v>45736</v>
      </c>
      <c r="C772" s="1" t="n">
        <v>46158</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18398-2026</t>
        </is>
      </c>
      <c r="B773" s="1" t="n">
        <v>46126.66273148148</v>
      </c>
      <c r="C773" s="1" t="n">
        <v>46158</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28632-2024</t>
        </is>
      </c>
      <c r="B774" s="1" t="n">
        <v>45478</v>
      </c>
      <c r="C774" s="1" t="n">
        <v>46158</v>
      </c>
      <c r="D774" t="inlineStr">
        <is>
          <t>SKÅNE LÄN</t>
        </is>
      </c>
      <c r="E774" t="inlineStr">
        <is>
          <t>HÄSSLEHOLM</t>
        </is>
      </c>
      <c r="G774" t="n">
        <v>4</v>
      </c>
      <c r="H774" t="n">
        <v>0</v>
      </c>
      <c r="I774" t="n">
        <v>0</v>
      </c>
      <c r="J774" t="n">
        <v>0</v>
      </c>
      <c r="K774" t="n">
        <v>0</v>
      </c>
      <c r="L774" t="n">
        <v>0</v>
      </c>
      <c r="M774" t="n">
        <v>0</v>
      </c>
      <c r="N774" t="n">
        <v>0</v>
      </c>
      <c r="O774" t="n">
        <v>0</v>
      </c>
      <c r="P774" t="n">
        <v>0</v>
      </c>
      <c r="Q774" t="n">
        <v>0</v>
      </c>
      <c r="R774" s="2" t="inlineStr"/>
    </row>
    <row r="775" ht="15" customHeight="1">
      <c r="A775" t="inlineStr">
        <is>
          <t>A 62417-2025</t>
        </is>
      </c>
      <c r="B775" s="1" t="n">
        <v>46007</v>
      </c>
      <c r="C775" s="1" t="n">
        <v>46158</v>
      </c>
      <c r="D775" t="inlineStr">
        <is>
          <t>SKÅNE LÄN</t>
        </is>
      </c>
      <c r="E775" t="inlineStr">
        <is>
          <t>HÄSSLEHOLM</t>
        </is>
      </c>
      <c r="G775" t="n">
        <v>2</v>
      </c>
      <c r="H775" t="n">
        <v>0</v>
      </c>
      <c r="I775" t="n">
        <v>0</v>
      </c>
      <c r="J775" t="n">
        <v>0</v>
      </c>
      <c r="K775" t="n">
        <v>0</v>
      </c>
      <c r="L775" t="n">
        <v>0</v>
      </c>
      <c r="M775" t="n">
        <v>0</v>
      </c>
      <c r="N775" t="n">
        <v>0</v>
      </c>
      <c r="O775" t="n">
        <v>0</v>
      </c>
      <c r="P775" t="n">
        <v>0</v>
      </c>
      <c r="Q775" t="n">
        <v>0</v>
      </c>
      <c r="R775" s="2" t="inlineStr"/>
    </row>
    <row r="776" ht="15" customHeight="1">
      <c r="A776" t="inlineStr">
        <is>
          <t>A 63710-2025</t>
        </is>
      </c>
      <c r="B776" s="1" t="n">
        <v>46014.62143518519</v>
      </c>
      <c r="C776" s="1" t="n">
        <v>46158</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35712-2024</t>
        </is>
      </c>
      <c r="B777" s="1" t="n">
        <v>45532</v>
      </c>
      <c r="C777" s="1" t="n">
        <v>46158</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63510-2025</t>
        </is>
      </c>
      <c r="B778" s="1" t="n">
        <v>46013.49172453704</v>
      </c>
      <c r="C778" s="1" t="n">
        <v>46158</v>
      </c>
      <c r="D778" t="inlineStr">
        <is>
          <t>SKÅNE LÄN</t>
        </is>
      </c>
      <c r="E778" t="inlineStr">
        <is>
          <t>HÄSSLEHOLM</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33466-2024</t>
        </is>
      </c>
      <c r="B779" s="1" t="n">
        <v>45519</v>
      </c>
      <c r="C779" s="1" t="n">
        <v>46158</v>
      </c>
      <c r="D779" t="inlineStr">
        <is>
          <t>SKÅNE LÄN</t>
        </is>
      </c>
      <c r="E779" t="inlineStr">
        <is>
          <t>HÄSSLEHOLM</t>
        </is>
      </c>
      <c r="G779" t="n">
        <v>0.4</v>
      </c>
      <c r="H779" t="n">
        <v>0</v>
      </c>
      <c r="I779" t="n">
        <v>0</v>
      </c>
      <c r="J779" t="n">
        <v>0</v>
      </c>
      <c r="K779" t="n">
        <v>0</v>
      </c>
      <c r="L779" t="n">
        <v>0</v>
      </c>
      <c r="M779" t="n">
        <v>0</v>
      </c>
      <c r="N779" t="n">
        <v>0</v>
      </c>
      <c r="O779" t="n">
        <v>0</v>
      </c>
      <c r="P779" t="n">
        <v>0</v>
      </c>
      <c r="Q779" t="n">
        <v>0</v>
      </c>
      <c r="R779" s="2" t="inlineStr"/>
    </row>
    <row r="780" ht="15" customHeight="1">
      <c r="A780" t="inlineStr">
        <is>
          <t>A 26397-2023</t>
        </is>
      </c>
      <c r="B780" s="1" t="n">
        <v>45087</v>
      </c>
      <c r="C780" s="1" t="n">
        <v>46158</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27175-2024</t>
        </is>
      </c>
      <c r="B781" s="1" t="n">
        <v>45471.57111111111</v>
      </c>
      <c r="C781" s="1" t="n">
        <v>46158</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1197-2024</t>
        </is>
      </c>
      <c r="B782" s="1" t="n">
        <v>45302</v>
      </c>
      <c r="C782" s="1" t="n">
        <v>46158</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48097-2024</t>
        </is>
      </c>
      <c r="B783" s="1" t="n">
        <v>45589.61413194444</v>
      </c>
      <c r="C783" s="1" t="n">
        <v>46158</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18483-2026</t>
        </is>
      </c>
      <c r="B784" s="1" t="n">
        <v>46127.44652777778</v>
      </c>
      <c r="C784" s="1" t="n">
        <v>46158</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18484-2026</t>
        </is>
      </c>
      <c r="B785" s="1" t="n">
        <v>46126</v>
      </c>
      <c r="C785" s="1" t="n">
        <v>46158</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53077-2022</t>
        </is>
      </c>
      <c r="B786" s="1" t="n">
        <v>44873</v>
      </c>
      <c r="C786" s="1" t="n">
        <v>46158</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11998-2026</t>
        </is>
      </c>
      <c r="B787" s="1" t="n">
        <v>46085</v>
      </c>
      <c r="C787" s="1" t="n">
        <v>46158</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11999-2026</t>
        </is>
      </c>
      <c r="B788" s="1" t="n">
        <v>46085</v>
      </c>
      <c r="C788" s="1" t="n">
        <v>46158</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19020-2024</t>
        </is>
      </c>
      <c r="B789" s="1" t="n">
        <v>45427.66167824074</v>
      </c>
      <c r="C789" s="1" t="n">
        <v>46158</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52912-2022</t>
        </is>
      </c>
      <c r="B790" s="1" t="n">
        <v>44872</v>
      </c>
      <c r="C790" s="1" t="n">
        <v>46158</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24640-2023</t>
        </is>
      </c>
      <c r="B791" s="1" t="n">
        <v>45084.43181712963</v>
      </c>
      <c r="C791" s="1" t="n">
        <v>46158</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22535-2024</t>
        </is>
      </c>
      <c r="B792" s="1" t="n">
        <v>45447</v>
      </c>
      <c r="C792" s="1" t="n">
        <v>46158</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30007-2023</t>
        </is>
      </c>
      <c r="B793" s="1" t="n">
        <v>45109.80349537037</v>
      </c>
      <c r="C793" s="1" t="n">
        <v>46158</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1289-2024</t>
        </is>
      </c>
      <c r="B794" s="1" t="n">
        <v>45303.32234953704</v>
      </c>
      <c r="C794" s="1" t="n">
        <v>46158</v>
      </c>
      <c r="D794" t="inlineStr">
        <is>
          <t>SKÅNE LÄN</t>
        </is>
      </c>
      <c r="E794" t="inlineStr">
        <is>
          <t>HÄSSLEHOLM</t>
        </is>
      </c>
      <c r="G794" t="n">
        <v>4.6</v>
      </c>
      <c r="H794" t="n">
        <v>0</v>
      </c>
      <c r="I794" t="n">
        <v>0</v>
      </c>
      <c r="J794" t="n">
        <v>0</v>
      </c>
      <c r="K794" t="n">
        <v>0</v>
      </c>
      <c r="L794" t="n">
        <v>0</v>
      </c>
      <c r="M794" t="n">
        <v>0</v>
      </c>
      <c r="N794" t="n">
        <v>0</v>
      </c>
      <c r="O794" t="n">
        <v>0</v>
      </c>
      <c r="P794" t="n">
        <v>0</v>
      </c>
      <c r="Q794" t="n">
        <v>0</v>
      </c>
      <c r="R794" s="2" t="inlineStr"/>
    </row>
    <row r="795" ht="15" customHeight="1">
      <c r="A795" t="inlineStr">
        <is>
          <t>A 11715-2023</t>
        </is>
      </c>
      <c r="B795" s="1" t="n">
        <v>44992</v>
      </c>
      <c r="C795" s="1" t="n">
        <v>46158</v>
      </c>
      <c r="D795" t="inlineStr">
        <is>
          <t>SKÅNE LÄN</t>
        </is>
      </c>
      <c r="E795" t="inlineStr">
        <is>
          <t>HÄSSLEHOLM</t>
        </is>
      </c>
      <c r="F795" t="inlineStr">
        <is>
          <t>Övriga Aktiebolag</t>
        </is>
      </c>
      <c r="G795" t="n">
        <v>2</v>
      </c>
      <c r="H795" t="n">
        <v>0</v>
      </c>
      <c r="I795" t="n">
        <v>0</v>
      </c>
      <c r="J795" t="n">
        <v>0</v>
      </c>
      <c r="K795" t="n">
        <v>0</v>
      </c>
      <c r="L795" t="n">
        <v>0</v>
      </c>
      <c r="M795" t="n">
        <v>0</v>
      </c>
      <c r="N795" t="n">
        <v>0</v>
      </c>
      <c r="O795" t="n">
        <v>0</v>
      </c>
      <c r="P795" t="n">
        <v>0</v>
      </c>
      <c r="Q795" t="n">
        <v>0</v>
      </c>
      <c r="R795" s="2" t="inlineStr"/>
    </row>
    <row r="796" ht="15" customHeight="1">
      <c r="A796" t="inlineStr">
        <is>
          <t>A 25606-2024</t>
        </is>
      </c>
      <c r="B796" s="1" t="n">
        <v>45463.63179398148</v>
      </c>
      <c r="C796" s="1" t="n">
        <v>46158</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1538-2024</t>
        </is>
      </c>
      <c r="B797" s="1" t="n">
        <v>45306</v>
      </c>
      <c r="C797" s="1" t="n">
        <v>46158</v>
      </c>
      <c r="D797" t="inlineStr">
        <is>
          <t>SKÅNE LÄN</t>
        </is>
      </c>
      <c r="E797" t="inlineStr">
        <is>
          <t>HÄSSLEHOLM</t>
        </is>
      </c>
      <c r="G797" t="n">
        <v>4.8</v>
      </c>
      <c r="H797" t="n">
        <v>0</v>
      </c>
      <c r="I797" t="n">
        <v>0</v>
      </c>
      <c r="J797" t="n">
        <v>0</v>
      </c>
      <c r="K797" t="n">
        <v>0</v>
      </c>
      <c r="L797" t="n">
        <v>0</v>
      </c>
      <c r="M797" t="n">
        <v>0</v>
      </c>
      <c r="N797" t="n">
        <v>0</v>
      </c>
      <c r="O797" t="n">
        <v>0</v>
      </c>
      <c r="P797" t="n">
        <v>0</v>
      </c>
      <c r="Q797" t="n">
        <v>0</v>
      </c>
      <c r="R797" s="2" t="inlineStr"/>
    </row>
    <row r="798" ht="15" customHeight="1">
      <c r="A798" t="inlineStr">
        <is>
          <t>A 25533-2024</t>
        </is>
      </c>
      <c r="B798" s="1" t="n">
        <v>45463</v>
      </c>
      <c r="C798" s="1" t="n">
        <v>46158</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31934-2024</t>
        </is>
      </c>
      <c r="B799" s="1" t="n">
        <v>45510.41177083334</v>
      </c>
      <c r="C799" s="1" t="n">
        <v>46158</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29847-2024</t>
        </is>
      </c>
      <c r="B800" s="1" t="n">
        <v>45485.6278587963</v>
      </c>
      <c r="C800" s="1" t="n">
        <v>46158</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7653-2024</t>
        </is>
      </c>
      <c r="B801" s="1" t="n">
        <v>45348.69043981482</v>
      </c>
      <c r="C801" s="1" t="n">
        <v>46158</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19003-2026</t>
        </is>
      </c>
      <c r="B802" s="1" t="n">
        <v>46129.86017361111</v>
      </c>
      <c r="C802" s="1" t="n">
        <v>46158</v>
      </c>
      <c r="D802" t="inlineStr">
        <is>
          <t>SKÅNE LÄN</t>
        </is>
      </c>
      <c r="E802" t="inlineStr">
        <is>
          <t>HÄSSLEHOLM</t>
        </is>
      </c>
      <c r="G802" t="n">
        <v>9</v>
      </c>
      <c r="H802" t="n">
        <v>0</v>
      </c>
      <c r="I802" t="n">
        <v>0</v>
      </c>
      <c r="J802" t="n">
        <v>0</v>
      </c>
      <c r="K802" t="n">
        <v>0</v>
      </c>
      <c r="L802" t="n">
        <v>0</v>
      </c>
      <c r="M802" t="n">
        <v>0</v>
      </c>
      <c r="N802" t="n">
        <v>0</v>
      </c>
      <c r="O802" t="n">
        <v>0</v>
      </c>
      <c r="P802" t="n">
        <v>0</v>
      </c>
      <c r="Q802" t="n">
        <v>0</v>
      </c>
      <c r="R802" s="2" t="inlineStr"/>
    </row>
    <row r="803" ht="15" customHeight="1">
      <c r="A803" t="inlineStr">
        <is>
          <t>A 12570-2023</t>
        </is>
      </c>
      <c r="B803" s="1" t="n">
        <v>44999</v>
      </c>
      <c r="C803" s="1" t="n">
        <v>46158</v>
      </c>
      <c r="D803" t="inlineStr">
        <is>
          <t>SKÅNE LÄN</t>
        </is>
      </c>
      <c r="E803" t="inlineStr">
        <is>
          <t>HÄSSLEHOLM</t>
        </is>
      </c>
      <c r="G803" t="n">
        <v>3.4</v>
      </c>
      <c r="H803" t="n">
        <v>0</v>
      </c>
      <c r="I803" t="n">
        <v>0</v>
      </c>
      <c r="J803" t="n">
        <v>0</v>
      </c>
      <c r="K803" t="n">
        <v>0</v>
      </c>
      <c r="L803" t="n">
        <v>0</v>
      </c>
      <c r="M803" t="n">
        <v>0</v>
      </c>
      <c r="N803" t="n">
        <v>0</v>
      </c>
      <c r="O803" t="n">
        <v>0</v>
      </c>
      <c r="P803" t="n">
        <v>0</v>
      </c>
      <c r="Q803" t="n">
        <v>0</v>
      </c>
      <c r="R803" s="2" t="inlineStr"/>
    </row>
    <row r="804" ht="15" customHeight="1">
      <c r="A804" t="inlineStr">
        <is>
          <t>A 14926-2024</t>
        </is>
      </c>
      <c r="B804" s="1" t="n">
        <v>45398</v>
      </c>
      <c r="C804" s="1" t="n">
        <v>46158</v>
      </c>
      <c r="D804" t="inlineStr">
        <is>
          <t>SKÅNE LÄN</t>
        </is>
      </c>
      <c r="E804" t="inlineStr">
        <is>
          <t>HÄSSLEHOLM</t>
        </is>
      </c>
      <c r="G804" t="n">
        <v>3.4</v>
      </c>
      <c r="H804" t="n">
        <v>0</v>
      </c>
      <c r="I804" t="n">
        <v>0</v>
      </c>
      <c r="J804" t="n">
        <v>0</v>
      </c>
      <c r="K804" t="n">
        <v>0</v>
      </c>
      <c r="L804" t="n">
        <v>0</v>
      </c>
      <c r="M804" t="n">
        <v>0</v>
      </c>
      <c r="N804" t="n">
        <v>0</v>
      </c>
      <c r="O804" t="n">
        <v>0</v>
      </c>
      <c r="P804" t="n">
        <v>0</v>
      </c>
      <c r="Q804" t="n">
        <v>0</v>
      </c>
      <c r="R804" s="2" t="inlineStr"/>
    </row>
    <row r="805" ht="15" customHeight="1">
      <c r="A805" t="inlineStr">
        <is>
          <t>A 2688-2024</t>
        </is>
      </c>
      <c r="B805" s="1" t="n">
        <v>45314</v>
      </c>
      <c r="C805" s="1" t="n">
        <v>46158</v>
      </c>
      <c r="D805" t="inlineStr">
        <is>
          <t>SKÅNE LÄN</t>
        </is>
      </c>
      <c r="E805" t="inlineStr">
        <is>
          <t>HÄSSLEHOLM</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36733-2023</t>
        </is>
      </c>
      <c r="B806" s="1" t="n">
        <v>45153.69989583334</v>
      </c>
      <c r="C806" s="1" t="n">
        <v>46158</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8244-2023</t>
        </is>
      </c>
      <c r="B807" s="1" t="n">
        <v>44974</v>
      </c>
      <c r="C807" s="1" t="n">
        <v>46158</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8246-2023</t>
        </is>
      </c>
      <c r="B808" s="1" t="n">
        <v>44974</v>
      </c>
      <c r="C808" s="1" t="n">
        <v>46158</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34834-2023</t>
        </is>
      </c>
      <c r="B809" s="1" t="n">
        <v>45141.7199537037</v>
      </c>
      <c r="C809" s="1" t="n">
        <v>46158</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24679-2023</t>
        </is>
      </c>
      <c r="B810" s="1" t="n">
        <v>45084</v>
      </c>
      <c r="C810" s="1" t="n">
        <v>46158</v>
      </c>
      <c r="D810" t="inlineStr">
        <is>
          <t>SKÅNE LÄN</t>
        </is>
      </c>
      <c r="E810" t="inlineStr">
        <is>
          <t>HÄSSLEHOLM</t>
        </is>
      </c>
      <c r="G810" t="n">
        <v>7.1</v>
      </c>
      <c r="H810" t="n">
        <v>0</v>
      </c>
      <c r="I810" t="n">
        <v>0</v>
      </c>
      <c r="J810" t="n">
        <v>0</v>
      </c>
      <c r="K810" t="n">
        <v>0</v>
      </c>
      <c r="L810" t="n">
        <v>0</v>
      </c>
      <c r="M810" t="n">
        <v>0</v>
      </c>
      <c r="N810" t="n">
        <v>0</v>
      </c>
      <c r="O810" t="n">
        <v>0</v>
      </c>
      <c r="P810" t="n">
        <v>0</v>
      </c>
      <c r="Q810" t="n">
        <v>0</v>
      </c>
      <c r="R810" s="2" t="inlineStr"/>
    </row>
    <row r="811" ht="15" customHeight="1">
      <c r="A811" t="inlineStr">
        <is>
          <t>A 12493-2026</t>
        </is>
      </c>
      <c r="B811" s="1" t="n">
        <v>46090</v>
      </c>
      <c r="C811" s="1" t="n">
        <v>46158</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19101-2026</t>
        </is>
      </c>
      <c r="B812" s="1" t="n">
        <v>46132.43923611111</v>
      </c>
      <c r="C812" s="1" t="n">
        <v>46158</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15508-2023</t>
        </is>
      </c>
      <c r="B813" s="1" t="n">
        <v>45020.50045138889</v>
      </c>
      <c r="C813" s="1" t="n">
        <v>46158</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34187-2023</t>
        </is>
      </c>
      <c r="B814" s="1" t="n">
        <v>45138</v>
      </c>
      <c r="C814" s="1" t="n">
        <v>46158</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46158</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56062-2024</t>
        </is>
      </c>
      <c r="B816" s="1" t="n">
        <v>45624.37105324074</v>
      </c>
      <c r="C816" s="1" t="n">
        <v>46158</v>
      </c>
      <c r="D816" t="inlineStr">
        <is>
          <t>SKÅNE LÄN</t>
        </is>
      </c>
      <c r="E816" t="inlineStr">
        <is>
          <t>HÄSSLEHOLM</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45299-2024</t>
        </is>
      </c>
      <c r="B817" s="1" t="n">
        <v>45576.40599537037</v>
      </c>
      <c r="C817" s="1" t="n">
        <v>46158</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34369-2023</t>
        </is>
      </c>
      <c r="B818" s="1" t="n">
        <v>45139.47817129629</v>
      </c>
      <c r="C818" s="1" t="n">
        <v>46158</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19318-2026</t>
        </is>
      </c>
      <c r="B819" s="1" t="n">
        <v>46133.39378472222</v>
      </c>
      <c r="C819" s="1" t="n">
        <v>46158</v>
      </c>
      <c r="D819" t="inlineStr">
        <is>
          <t>SKÅNE LÄN</t>
        </is>
      </c>
      <c r="E819" t="inlineStr">
        <is>
          <t>HÄSSLEHOLM</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8378-2023</t>
        </is>
      </c>
      <c r="B820" s="1" t="n">
        <v>44971</v>
      </c>
      <c r="C820" s="1" t="n">
        <v>46158</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13199-2026</t>
        </is>
      </c>
      <c r="B821" s="1" t="n">
        <v>46093</v>
      </c>
      <c r="C821" s="1" t="n">
        <v>46158</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60704-2023</t>
        </is>
      </c>
      <c r="B822" s="1" t="n">
        <v>45260.51340277777</v>
      </c>
      <c r="C822" s="1" t="n">
        <v>46158</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61569-2023</t>
        </is>
      </c>
      <c r="B823" s="1" t="n">
        <v>45265</v>
      </c>
      <c r="C823" s="1" t="n">
        <v>46158</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13280-2026</t>
        </is>
      </c>
      <c r="B824" s="1" t="n">
        <v>46093.74789351852</v>
      </c>
      <c r="C824" s="1" t="n">
        <v>46158</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315-2022</t>
        </is>
      </c>
      <c r="B825" s="1" t="n">
        <v>44565.55630787037</v>
      </c>
      <c r="C825" s="1" t="n">
        <v>46158</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46158</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46158</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47394-2025</t>
        </is>
      </c>
      <c r="B828" s="1" t="n">
        <v>45930</v>
      </c>
      <c r="C828" s="1" t="n">
        <v>46158</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19642-2026</t>
        </is>
      </c>
      <c r="B829" s="1" t="n">
        <v>46134.57986111111</v>
      </c>
      <c r="C829" s="1" t="n">
        <v>46158</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38888-2023</t>
        </is>
      </c>
      <c r="B830" s="1" t="n">
        <v>45161</v>
      </c>
      <c r="C830" s="1" t="n">
        <v>46158</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5992-2022</t>
        </is>
      </c>
      <c r="B831" s="1" t="n">
        <v>44599</v>
      </c>
      <c r="C831" s="1" t="n">
        <v>46158</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11240-2023</t>
        </is>
      </c>
      <c r="B832" s="1" t="n">
        <v>44992</v>
      </c>
      <c r="C832" s="1" t="n">
        <v>46158</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3248-2022</t>
        </is>
      </c>
      <c r="B833" s="1" t="n">
        <v>44583</v>
      </c>
      <c r="C833" s="1" t="n">
        <v>46158</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6310-2025</t>
        </is>
      </c>
      <c r="B834" s="1" t="n">
        <v>45698</v>
      </c>
      <c r="C834" s="1" t="n">
        <v>46158</v>
      </c>
      <c r="D834" t="inlineStr">
        <is>
          <t>SKÅNE LÄN</t>
        </is>
      </c>
      <c r="E834" t="inlineStr">
        <is>
          <t>HÄSSLEHOLM</t>
        </is>
      </c>
      <c r="G834" t="n">
        <v>2.7</v>
      </c>
      <c r="H834" t="n">
        <v>0</v>
      </c>
      <c r="I834" t="n">
        <v>0</v>
      </c>
      <c r="J834" t="n">
        <v>0</v>
      </c>
      <c r="K834" t="n">
        <v>0</v>
      </c>
      <c r="L834" t="n">
        <v>0</v>
      </c>
      <c r="M834" t="n">
        <v>0</v>
      </c>
      <c r="N834" t="n">
        <v>0</v>
      </c>
      <c r="O834" t="n">
        <v>0</v>
      </c>
      <c r="P834" t="n">
        <v>0</v>
      </c>
      <c r="Q834" t="n">
        <v>0</v>
      </c>
      <c r="R834" s="2" t="inlineStr"/>
    </row>
    <row r="835" ht="15" customHeight="1">
      <c r="A835" t="inlineStr">
        <is>
          <t>A 16474-2025</t>
        </is>
      </c>
      <c r="B835" s="1" t="n">
        <v>45751.56834490741</v>
      </c>
      <c r="C835" s="1" t="n">
        <v>46158</v>
      </c>
      <c r="D835" t="inlineStr">
        <is>
          <t>SKÅNE LÄN</t>
        </is>
      </c>
      <c r="E835" t="inlineStr">
        <is>
          <t>HÄSSLEHOLM</t>
        </is>
      </c>
      <c r="G835" t="n">
        <v>5.9</v>
      </c>
      <c r="H835" t="n">
        <v>0</v>
      </c>
      <c r="I835" t="n">
        <v>0</v>
      </c>
      <c r="J835" t="n">
        <v>0</v>
      </c>
      <c r="K835" t="n">
        <v>0</v>
      </c>
      <c r="L835" t="n">
        <v>0</v>
      </c>
      <c r="M835" t="n">
        <v>0</v>
      </c>
      <c r="N835" t="n">
        <v>0</v>
      </c>
      <c r="O835" t="n">
        <v>0</v>
      </c>
      <c r="P835" t="n">
        <v>0</v>
      </c>
      <c r="Q835" t="n">
        <v>0</v>
      </c>
      <c r="R835" s="2" t="inlineStr"/>
    </row>
    <row r="836" ht="15" customHeight="1">
      <c r="A836" t="inlineStr">
        <is>
          <t>A 8524-2024</t>
        </is>
      </c>
      <c r="B836" s="1" t="n">
        <v>45355.48570601852</v>
      </c>
      <c r="C836" s="1" t="n">
        <v>46158</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22157-2024</t>
        </is>
      </c>
      <c r="B837" s="1" t="n">
        <v>45445.85290509259</v>
      </c>
      <c r="C837" s="1" t="n">
        <v>46158</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14145-2023</t>
        </is>
      </c>
      <c r="B838" s="1" t="n">
        <v>45009</v>
      </c>
      <c r="C838" s="1" t="n">
        <v>46158</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46158</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58272-2024</t>
        </is>
      </c>
      <c r="B840" s="1" t="n">
        <v>45632.57025462963</v>
      </c>
      <c r="C840" s="1" t="n">
        <v>46158</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45114.56143518518</v>
      </c>
      <c r="C841" s="1" t="n">
        <v>46158</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13588-2026</t>
        </is>
      </c>
      <c r="B842" s="1" t="n">
        <v>46095.80452546296</v>
      </c>
      <c r="C842" s="1" t="n">
        <v>46158</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45361-2023</t>
        </is>
      </c>
      <c r="B843" s="1" t="n">
        <v>45192.49068287037</v>
      </c>
      <c r="C843" s="1" t="n">
        <v>46158</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13282-2026</t>
        </is>
      </c>
      <c r="B844" s="1" t="n">
        <v>46093.75166666666</v>
      </c>
      <c r="C844" s="1" t="n">
        <v>46158</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20382-2026</t>
        </is>
      </c>
      <c r="B845" s="1" t="n">
        <v>46139</v>
      </c>
      <c r="C845" s="1" t="n">
        <v>46158</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45220-2023</t>
        </is>
      </c>
      <c r="B846" s="1" t="n">
        <v>45191</v>
      </c>
      <c r="C846" s="1" t="n">
        <v>46158</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38712-2024</t>
        </is>
      </c>
      <c r="B847" s="1" t="n">
        <v>45547</v>
      </c>
      <c r="C847" s="1" t="n">
        <v>46158</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57647-2024</t>
        </is>
      </c>
      <c r="B848" s="1" t="n">
        <v>45630</v>
      </c>
      <c r="C848" s="1" t="n">
        <v>46158</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61182-2024</t>
        </is>
      </c>
      <c r="B849" s="1" t="n">
        <v>45645</v>
      </c>
      <c r="C849" s="1" t="n">
        <v>46158</v>
      </c>
      <c r="D849" t="inlineStr">
        <is>
          <t>SKÅNE LÄN</t>
        </is>
      </c>
      <c r="E849" t="inlineStr">
        <is>
          <t>HÄSSLEHOLM</t>
        </is>
      </c>
      <c r="G849" t="n">
        <v>3.2</v>
      </c>
      <c r="H849" t="n">
        <v>0</v>
      </c>
      <c r="I849" t="n">
        <v>0</v>
      </c>
      <c r="J849" t="n">
        <v>0</v>
      </c>
      <c r="K849" t="n">
        <v>0</v>
      </c>
      <c r="L849" t="n">
        <v>0</v>
      </c>
      <c r="M849" t="n">
        <v>0</v>
      </c>
      <c r="N849" t="n">
        <v>0</v>
      </c>
      <c r="O849" t="n">
        <v>0</v>
      </c>
      <c r="P849" t="n">
        <v>0</v>
      </c>
      <c r="Q849" t="n">
        <v>0</v>
      </c>
      <c r="R849" s="2" t="inlineStr"/>
    </row>
    <row r="850" ht="15" customHeight="1">
      <c r="A850" t="inlineStr">
        <is>
          <t>A 13990-2022</t>
        </is>
      </c>
      <c r="B850" s="1" t="n">
        <v>44650</v>
      </c>
      <c r="C850" s="1" t="n">
        <v>46158</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47432-2025</t>
        </is>
      </c>
      <c r="B851" s="1" t="n">
        <v>45930</v>
      </c>
      <c r="C851" s="1" t="n">
        <v>46158</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47450-2025</t>
        </is>
      </c>
      <c r="B852" s="1" t="n">
        <v>45930</v>
      </c>
      <c r="C852" s="1" t="n">
        <v>46158</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14191-2026</t>
        </is>
      </c>
      <c r="B853" s="1" t="n">
        <v>46099.528125</v>
      </c>
      <c r="C853" s="1" t="n">
        <v>46158</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25219-2023</t>
        </is>
      </c>
      <c r="B854" s="1" t="n">
        <v>45086.60541666667</v>
      </c>
      <c r="C854" s="1" t="n">
        <v>46158</v>
      </c>
      <c r="D854" t="inlineStr">
        <is>
          <t>SKÅNE LÄN</t>
        </is>
      </c>
      <c r="E854" t="inlineStr">
        <is>
          <t>HÄSSLEHOLM</t>
        </is>
      </c>
      <c r="G854" t="n">
        <v>6.9</v>
      </c>
      <c r="H854" t="n">
        <v>0</v>
      </c>
      <c r="I854" t="n">
        <v>0</v>
      </c>
      <c r="J854" t="n">
        <v>0</v>
      </c>
      <c r="K854" t="n">
        <v>0</v>
      </c>
      <c r="L854" t="n">
        <v>0</v>
      </c>
      <c r="M854" t="n">
        <v>0</v>
      </c>
      <c r="N854" t="n">
        <v>0</v>
      </c>
      <c r="O854" t="n">
        <v>0</v>
      </c>
      <c r="P854" t="n">
        <v>0</v>
      </c>
      <c r="Q854" t="n">
        <v>0</v>
      </c>
      <c r="R854" s="2" t="inlineStr"/>
    </row>
    <row r="855" ht="15" customHeight="1">
      <c r="A855" t="inlineStr">
        <is>
          <t>A 9302-2025</t>
        </is>
      </c>
      <c r="B855" s="1" t="n">
        <v>45714.67233796296</v>
      </c>
      <c r="C855" s="1" t="n">
        <v>46158</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9322-2025</t>
        </is>
      </c>
      <c r="B856" s="1" t="n">
        <v>45714.72241898148</v>
      </c>
      <c r="C856" s="1" t="n">
        <v>46158</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19831-2026</t>
        </is>
      </c>
      <c r="B857" s="1" t="n">
        <v>46135</v>
      </c>
      <c r="C857" s="1" t="n">
        <v>46158</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37300-2023</t>
        </is>
      </c>
      <c r="B858" s="1" t="n">
        <v>45156</v>
      </c>
      <c r="C858" s="1" t="n">
        <v>46158</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13906-2026</t>
        </is>
      </c>
      <c r="B859" s="1" t="n">
        <v>46098</v>
      </c>
      <c r="C859" s="1" t="n">
        <v>46158</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19240-2026</t>
        </is>
      </c>
      <c r="B860" s="1" t="n">
        <v>46132</v>
      </c>
      <c r="C860" s="1" t="n">
        <v>46158</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47422-2025</t>
        </is>
      </c>
      <c r="B861" s="1" t="n">
        <v>45930</v>
      </c>
      <c r="C861" s="1" t="n">
        <v>46158</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39915-2023</t>
        </is>
      </c>
      <c r="B862" s="1" t="n">
        <v>45168.4684375</v>
      </c>
      <c r="C862" s="1" t="n">
        <v>46158</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13842-2026</t>
        </is>
      </c>
      <c r="B863" s="1" t="n">
        <v>46098.37758101852</v>
      </c>
      <c r="C863" s="1" t="n">
        <v>46158</v>
      </c>
      <c r="D863" t="inlineStr">
        <is>
          <t>SKÅNE LÄN</t>
        </is>
      </c>
      <c r="E863" t="inlineStr">
        <is>
          <t>HÄSSLEHOLM</t>
        </is>
      </c>
      <c r="G863" t="n">
        <v>10</v>
      </c>
      <c r="H863" t="n">
        <v>0</v>
      </c>
      <c r="I863" t="n">
        <v>0</v>
      </c>
      <c r="J863" t="n">
        <v>0</v>
      </c>
      <c r="K863" t="n">
        <v>0</v>
      </c>
      <c r="L863" t="n">
        <v>0</v>
      </c>
      <c r="M863" t="n">
        <v>0</v>
      </c>
      <c r="N863" t="n">
        <v>0</v>
      </c>
      <c r="O863" t="n">
        <v>0</v>
      </c>
      <c r="P863" t="n">
        <v>0</v>
      </c>
      <c r="Q863" t="n">
        <v>0</v>
      </c>
      <c r="R863" s="2" t="inlineStr"/>
    </row>
    <row r="864" ht="15" customHeight="1">
      <c r="A864" t="inlineStr">
        <is>
          <t>A 13886-2026</t>
        </is>
      </c>
      <c r="B864" s="1" t="n">
        <v>46098</v>
      </c>
      <c r="C864" s="1" t="n">
        <v>46158</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35890-2023</t>
        </is>
      </c>
      <c r="B865" s="1" t="n">
        <v>45148</v>
      </c>
      <c r="C865" s="1" t="n">
        <v>46158</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35895-2023</t>
        </is>
      </c>
      <c r="B866" s="1" t="n">
        <v>45148</v>
      </c>
      <c r="C866" s="1" t="n">
        <v>46158</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13910-2026</t>
        </is>
      </c>
      <c r="B867" s="1" t="n">
        <v>46098</v>
      </c>
      <c r="C867" s="1" t="n">
        <v>46158</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20381-2026</t>
        </is>
      </c>
      <c r="B868" s="1" t="n">
        <v>46139</v>
      </c>
      <c r="C868" s="1" t="n">
        <v>46158</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4750-2024</t>
        </is>
      </c>
      <c r="B869" s="1" t="n">
        <v>45328</v>
      </c>
      <c r="C869" s="1" t="n">
        <v>46158</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14541-2026</t>
        </is>
      </c>
      <c r="B870" s="1" t="n">
        <v>46100.67851851852</v>
      </c>
      <c r="C870" s="1" t="n">
        <v>46158</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23956-2023</t>
        </is>
      </c>
      <c r="B871" s="1" t="n">
        <v>45078.62302083334</v>
      </c>
      <c r="C871" s="1" t="n">
        <v>46158</v>
      </c>
      <c r="D871" t="inlineStr">
        <is>
          <t>SKÅNE LÄN</t>
        </is>
      </c>
      <c r="E871" t="inlineStr">
        <is>
          <t>HÄSSLEHOLM</t>
        </is>
      </c>
      <c r="G871" t="n">
        <v>0.1</v>
      </c>
      <c r="H871" t="n">
        <v>0</v>
      </c>
      <c r="I871" t="n">
        <v>0</v>
      </c>
      <c r="J871" t="n">
        <v>0</v>
      </c>
      <c r="K871" t="n">
        <v>0</v>
      </c>
      <c r="L871" t="n">
        <v>0</v>
      </c>
      <c r="M871" t="n">
        <v>0</v>
      </c>
      <c r="N871" t="n">
        <v>0</v>
      </c>
      <c r="O871" t="n">
        <v>0</v>
      </c>
      <c r="P871" t="n">
        <v>0</v>
      </c>
      <c r="Q871" t="n">
        <v>0</v>
      </c>
      <c r="R871" s="2" t="inlineStr"/>
    </row>
    <row r="872" ht="15" customHeight="1">
      <c r="A872" t="inlineStr">
        <is>
          <t>A 11708-2025</t>
        </is>
      </c>
      <c r="B872" s="1" t="n">
        <v>45727.58626157408</v>
      </c>
      <c r="C872" s="1" t="n">
        <v>46158</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14538-2026</t>
        </is>
      </c>
      <c r="B873" s="1" t="n">
        <v>46100.67711805556</v>
      </c>
      <c r="C873" s="1" t="n">
        <v>46158</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14549-2026</t>
        </is>
      </c>
      <c r="B874" s="1" t="n">
        <v>46100</v>
      </c>
      <c r="C874" s="1" t="n">
        <v>46158</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14540-2026</t>
        </is>
      </c>
      <c r="B875" s="1" t="n">
        <v>46100.67826388889</v>
      </c>
      <c r="C875" s="1" t="n">
        <v>46158</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48112-2024</t>
        </is>
      </c>
      <c r="B876" s="1" t="n">
        <v>45589.6295949074</v>
      </c>
      <c r="C876" s="1" t="n">
        <v>46158</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24246-2023</t>
        </is>
      </c>
      <c r="B877" s="1" t="n">
        <v>45079</v>
      </c>
      <c r="C877" s="1" t="n">
        <v>46158</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24249-2023</t>
        </is>
      </c>
      <c r="B878" s="1" t="n">
        <v>45079.62466435185</v>
      </c>
      <c r="C878" s="1" t="n">
        <v>46158</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52548-2023</t>
        </is>
      </c>
      <c r="B879" s="1" t="n">
        <v>45218</v>
      </c>
      <c r="C879" s="1" t="n">
        <v>46158</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14471-2026</t>
        </is>
      </c>
      <c r="B880" s="1" t="n">
        <v>46100.56711805556</v>
      </c>
      <c r="C880" s="1" t="n">
        <v>46158</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54807-2025</t>
        </is>
      </c>
      <c r="B881" s="1" t="n">
        <v>45966</v>
      </c>
      <c r="C881" s="1" t="n">
        <v>46158</v>
      </c>
      <c r="D881" t="inlineStr">
        <is>
          <t>SKÅNE LÄN</t>
        </is>
      </c>
      <c r="E881" t="inlineStr">
        <is>
          <t>HÄSSLEHOLM</t>
        </is>
      </c>
      <c r="G881" t="n">
        <v>1.3</v>
      </c>
      <c r="H881" t="n">
        <v>0</v>
      </c>
      <c r="I881" t="n">
        <v>0</v>
      </c>
      <c r="J881" t="n">
        <v>0</v>
      </c>
      <c r="K881" t="n">
        <v>0</v>
      </c>
      <c r="L881" t="n">
        <v>0</v>
      </c>
      <c r="M881" t="n">
        <v>0</v>
      </c>
      <c r="N881" t="n">
        <v>0</v>
      </c>
      <c r="O881" t="n">
        <v>0</v>
      </c>
      <c r="P881" t="n">
        <v>0</v>
      </c>
      <c r="Q881" t="n">
        <v>0</v>
      </c>
      <c r="R881" s="2" t="inlineStr"/>
    </row>
    <row r="882" ht="15" customHeight="1">
      <c r="A882" t="inlineStr">
        <is>
          <t>A 43696-2024</t>
        </is>
      </c>
      <c r="B882" s="1" t="n">
        <v>45569.58855324074</v>
      </c>
      <c r="C882" s="1" t="n">
        <v>46158</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12182-2025</t>
        </is>
      </c>
      <c r="B883" s="1" t="n">
        <v>45729</v>
      </c>
      <c r="C883" s="1" t="n">
        <v>46158</v>
      </c>
      <c r="D883" t="inlineStr">
        <is>
          <t>SKÅNE LÄN</t>
        </is>
      </c>
      <c r="E883" t="inlineStr">
        <is>
          <t>HÄSSLEHOLM</t>
        </is>
      </c>
      <c r="G883" t="n">
        <v>1.8</v>
      </c>
      <c r="H883" t="n">
        <v>0</v>
      </c>
      <c r="I883" t="n">
        <v>0</v>
      </c>
      <c r="J883" t="n">
        <v>0</v>
      </c>
      <c r="K883" t="n">
        <v>0</v>
      </c>
      <c r="L883" t="n">
        <v>0</v>
      </c>
      <c r="M883" t="n">
        <v>0</v>
      </c>
      <c r="N883" t="n">
        <v>0</v>
      </c>
      <c r="O883" t="n">
        <v>0</v>
      </c>
      <c r="P883" t="n">
        <v>0</v>
      </c>
      <c r="Q883" t="n">
        <v>0</v>
      </c>
      <c r="R883" s="2" t="inlineStr"/>
    </row>
    <row r="884" ht="15" customHeight="1">
      <c r="A884" t="inlineStr">
        <is>
          <t>A 20185-2023</t>
        </is>
      </c>
      <c r="B884" s="1" t="n">
        <v>45055.56795138889</v>
      </c>
      <c r="C884" s="1" t="n">
        <v>46158</v>
      </c>
      <c r="D884" t="inlineStr">
        <is>
          <t>SKÅNE LÄN</t>
        </is>
      </c>
      <c r="E884" t="inlineStr">
        <is>
          <t>HÄSSLEHOLM</t>
        </is>
      </c>
      <c r="G884" t="n">
        <v>3.5</v>
      </c>
      <c r="H884" t="n">
        <v>0</v>
      </c>
      <c r="I884" t="n">
        <v>0</v>
      </c>
      <c r="J884" t="n">
        <v>0</v>
      </c>
      <c r="K884" t="n">
        <v>0</v>
      </c>
      <c r="L884" t="n">
        <v>0</v>
      </c>
      <c r="M884" t="n">
        <v>0</v>
      </c>
      <c r="N884" t="n">
        <v>0</v>
      </c>
      <c r="O884" t="n">
        <v>0</v>
      </c>
      <c r="P884" t="n">
        <v>0</v>
      </c>
      <c r="Q884" t="n">
        <v>0</v>
      </c>
      <c r="R884" s="2" t="inlineStr"/>
    </row>
    <row r="885" ht="15" customHeight="1">
      <c r="A885" t="inlineStr">
        <is>
          <t>A 38376-2022</t>
        </is>
      </c>
      <c r="B885" s="1" t="n">
        <v>44812</v>
      </c>
      <c r="C885" s="1" t="n">
        <v>46158</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14965-2026</t>
        </is>
      </c>
      <c r="B886" s="1" t="n">
        <v>46104.56096064814</v>
      </c>
      <c r="C886" s="1" t="n">
        <v>46158</v>
      </c>
      <c r="D886" t="inlineStr">
        <is>
          <t>SKÅNE LÄN</t>
        </is>
      </c>
      <c r="E886" t="inlineStr">
        <is>
          <t>HÄSSLEHOLM</t>
        </is>
      </c>
      <c r="G886" t="n">
        <v>2.7</v>
      </c>
      <c r="H886" t="n">
        <v>0</v>
      </c>
      <c r="I886" t="n">
        <v>0</v>
      </c>
      <c r="J886" t="n">
        <v>0</v>
      </c>
      <c r="K886" t="n">
        <v>0</v>
      </c>
      <c r="L886" t="n">
        <v>0</v>
      </c>
      <c r="M886" t="n">
        <v>0</v>
      </c>
      <c r="N886" t="n">
        <v>0</v>
      </c>
      <c r="O886" t="n">
        <v>0</v>
      </c>
      <c r="P886" t="n">
        <v>0</v>
      </c>
      <c r="Q886" t="n">
        <v>0</v>
      </c>
      <c r="R886" s="2" t="inlineStr"/>
    </row>
    <row r="887" ht="15" customHeight="1">
      <c r="A887" t="inlineStr">
        <is>
          <t>A 14971-2026</t>
        </is>
      </c>
      <c r="B887" s="1" t="n">
        <v>46104.56393518519</v>
      </c>
      <c r="C887" s="1" t="n">
        <v>46158</v>
      </c>
      <c r="D887" t="inlineStr">
        <is>
          <t>SKÅNE LÄN</t>
        </is>
      </c>
      <c r="E887" t="inlineStr">
        <is>
          <t>HÄSSLEHOLM</t>
        </is>
      </c>
      <c r="G887" t="n">
        <v>2.8</v>
      </c>
      <c r="H887" t="n">
        <v>0</v>
      </c>
      <c r="I887" t="n">
        <v>0</v>
      </c>
      <c r="J887" t="n">
        <v>0</v>
      </c>
      <c r="K887" t="n">
        <v>0</v>
      </c>
      <c r="L887" t="n">
        <v>0</v>
      </c>
      <c r="M887" t="n">
        <v>0</v>
      </c>
      <c r="N887" t="n">
        <v>0</v>
      </c>
      <c r="O887" t="n">
        <v>0</v>
      </c>
      <c r="P887" t="n">
        <v>0</v>
      </c>
      <c r="Q887" t="n">
        <v>0</v>
      </c>
      <c r="R887" s="2" t="inlineStr"/>
    </row>
    <row r="888" ht="15" customHeight="1">
      <c r="A888" t="inlineStr">
        <is>
          <t>A 18908-2023</t>
        </is>
      </c>
      <c r="B888" s="1" t="n">
        <v>45044</v>
      </c>
      <c r="C888" s="1" t="n">
        <v>46158</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61436-2024</t>
        </is>
      </c>
      <c r="B889" s="1" t="n">
        <v>45646.46329861111</v>
      </c>
      <c r="C889" s="1" t="n">
        <v>46158</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32008-2024</t>
        </is>
      </c>
      <c r="B890" s="1" t="n">
        <v>45510</v>
      </c>
      <c r="C890" s="1" t="n">
        <v>46158</v>
      </c>
      <c r="D890" t="inlineStr">
        <is>
          <t>SKÅNE LÄN</t>
        </is>
      </c>
      <c r="E890" t="inlineStr">
        <is>
          <t>HÄSSLEHOLM</t>
        </is>
      </c>
      <c r="G890" t="n">
        <v>5.1</v>
      </c>
      <c r="H890" t="n">
        <v>0</v>
      </c>
      <c r="I890" t="n">
        <v>0</v>
      </c>
      <c r="J890" t="n">
        <v>0</v>
      </c>
      <c r="K890" t="n">
        <v>0</v>
      </c>
      <c r="L890" t="n">
        <v>0</v>
      </c>
      <c r="M890" t="n">
        <v>0</v>
      </c>
      <c r="N890" t="n">
        <v>0</v>
      </c>
      <c r="O890" t="n">
        <v>0</v>
      </c>
      <c r="P890" t="n">
        <v>0</v>
      </c>
      <c r="Q890" t="n">
        <v>0</v>
      </c>
      <c r="R890" s="2" t="inlineStr"/>
    </row>
    <row r="891" ht="15" customHeight="1">
      <c r="A891" t="inlineStr">
        <is>
          <t>A 54426-2025</t>
        </is>
      </c>
      <c r="B891" s="1" t="n">
        <v>45965</v>
      </c>
      <c r="C891" s="1" t="n">
        <v>46158</v>
      </c>
      <c r="D891" t="inlineStr">
        <is>
          <t>SKÅNE LÄN</t>
        </is>
      </c>
      <c r="E891" t="inlineStr">
        <is>
          <t>HÄSSLEHOLM</t>
        </is>
      </c>
      <c r="G891" t="n">
        <v>3.7</v>
      </c>
      <c r="H891" t="n">
        <v>0</v>
      </c>
      <c r="I891" t="n">
        <v>0</v>
      </c>
      <c r="J891" t="n">
        <v>0</v>
      </c>
      <c r="K891" t="n">
        <v>0</v>
      </c>
      <c r="L891" t="n">
        <v>0</v>
      </c>
      <c r="M891" t="n">
        <v>0</v>
      </c>
      <c r="N891" t="n">
        <v>0</v>
      </c>
      <c r="O891" t="n">
        <v>0</v>
      </c>
      <c r="P891" t="n">
        <v>0</v>
      </c>
      <c r="Q891" t="n">
        <v>0</v>
      </c>
      <c r="R891" s="2" t="inlineStr"/>
    </row>
    <row r="892" ht="15" customHeight="1">
      <c r="A892" t="inlineStr">
        <is>
          <t>A 15882-2026</t>
        </is>
      </c>
      <c r="B892" s="1" t="n">
        <v>46107</v>
      </c>
      <c r="C892" s="1" t="n">
        <v>46158</v>
      </c>
      <c r="D892" t="inlineStr">
        <is>
          <t>SKÅNE LÄN</t>
        </is>
      </c>
      <c r="E892" t="inlineStr">
        <is>
          <t>HÄSSLEHOLM</t>
        </is>
      </c>
      <c r="F892" t="inlineStr">
        <is>
          <t>Kyrkan</t>
        </is>
      </c>
      <c r="G892" t="n">
        <v>0.7</v>
      </c>
      <c r="H892" t="n">
        <v>0</v>
      </c>
      <c r="I892" t="n">
        <v>0</v>
      </c>
      <c r="J892" t="n">
        <v>0</v>
      </c>
      <c r="K892" t="n">
        <v>0</v>
      </c>
      <c r="L892" t="n">
        <v>0</v>
      </c>
      <c r="M892" t="n">
        <v>0</v>
      </c>
      <c r="N892" t="n">
        <v>0</v>
      </c>
      <c r="O892" t="n">
        <v>0</v>
      </c>
      <c r="P892" t="n">
        <v>0</v>
      </c>
      <c r="Q892" t="n">
        <v>0</v>
      </c>
      <c r="R892" s="2" t="inlineStr"/>
    </row>
    <row r="893" ht="15" customHeight="1">
      <c r="A893" t="inlineStr">
        <is>
          <t>A 21668-2026</t>
        </is>
      </c>
      <c r="B893" s="1" t="n">
        <v>46149.47572916667</v>
      </c>
      <c r="C893" s="1" t="n">
        <v>46158</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21613-2026</t>
        </is>
      </c>
      <c r="B894" s="1" t="n">
        <v>46149.40085648148</v>
      </c>
      <c r="C894" s="1" t="n">
        <v>46158</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54435-2024</t>
        </is>
      </c>
      <c r="B895" s="1" t="n">
        <v>45617.49494212963</v>
      </c>
      <c r="C895" s="1" t="n">
        <v>46158</v>
      </c>
      <c r="D895" t="inlineStr">
        <is>
          <t>SKÅNE LÄN</t>
        </is>
      </c>
      <c r="E895" t="inlineStr">
        <is>
          <t>HÄSSLEHOLM</t>
        </is>
      </c>
      <c r="G895" t="n">
        <v>2.3</v>
      </c>
      <c r="H895" t="n">
        <v>0</v>
      </c>
      <c r="I895" t="n">
        <v>0</v>
      </c>
      <c r="J895" t="n">
        <v>0</v>
      </c>
      <c r="K895" t="n">
        <v>0</v>
      </c>
      <c r="L895" t="n">
        <v>0</v>
      </c>
      <c r="M895" t="n">
        <v>0</v>
      </c>
      <c r="N895" t="n">
        <v>0</v>
      </c>
      <c r="O895" t="n">
        <v>0</v>
      </c>
      <c r="P895" t="n">
        <v>0</v>
      </c>
      <c r="Q895" t="n">
        <v>0</v>
      </c>
      <c r="R895" s="2" t="inlineStr"/>
    </row>
    <row r="896" ht="15" customHeight="1">
      <c r="A896" t="inlineStr">
        <is>
          <t>A 720-2025</t>
        </is>
      </c>
      <c r="B896" s="1" t="n">
        <v>45665.3744212963</v>
      </c>
      <c r="C896" s="1" t="n">
        <v>46158</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31581-2023</t>
        </is>
      </c>
      <c r="B897" s="1" t="n">
        <v>45117.45165509259</v>
      </c>
      <c r="C897" s="1" t="n">
        <v>46158</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54798-2025</t>
        </is>
      </c>
      <c r="B898" s="1" t="n">
        <v>45966</v>
      </c>
      <c r="C898" s="1" t="n">
        <v>46158</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15881-2026</t>
        </is>
      </c>
      <c r="B899" s="1" t="n">
        <v>46107</v>
      </c>
      <c r="C899" s="1" t="n">
        <v>46158</v>
      </c>
      <c r="D899" t="inlineStr">
        <is>
          <t>SKÅNE LÄN</t>
        </is>
      </c>
      <c r="E899" t="inlineStr">
        <is>
          <t>HÄSSLEHOLM</t>
        </is>
      </c>
      <c r="F899" t="inlineStr">
        <is>
          <t>Kyrkan</t>
        </is>
      </c>
      <c r="G899" t="n">
        <v>2.2</v>
      </c>
      <c r="H899" t="n">
        <v>0</v>
      </c>
      <c r="I899" t="n">
        <v>0</v>
      </c>
      <c r="J899" t="n">
        <v>0</v>
      </c>
      <c r="K899" t="n">
        <v>0</v>
      </c>
      <c r="L899" t="n">
        <v>0</v>
      </c>
      <c r="M899" t="n">
        <v>0</v>
      </c>
      <c r="N899" t="n">
        <v>0</v>
      </c>
      <c r="O899" t="n">
        <v>0</v>
      </c>
      <c r="P899" t="n">
        <v>0</v>
      </c>
      <c r="Q899" t="n">
        <v>0</v>
      </c>
      <c r="R899" s="2" t="inlineStr"/>
    </row>
    <row r="900" ht="15" customHeight="1">
      <c r="A900" t="inlineStr">
        <is>
          <t>A 21673-2026</t>
        </is>
      </c>
      <c r="B900" s="1" t="n">
        <v>46149.48615740741</v>
      </c>
      <c r="C900" s="1" t="n">
        <v>46158</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21674-2026</t>
        </is>
      </c>
      <c r="B901" s="1" t="n">
        <v>46149.4872337963</v>
      </c>
      <c r="C901" s="1" t="n">
        <v>46158</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33597-2023</t>
        </is>
      </c>
      <c r="B902" s="1" t="n">
        <v>45132</v>
      </c>
      <c r="C902" s="1" t="n">
        <v>46158</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33599-2023</t>
        </is>
      </c>
      <c r="B903" s="1" t="n">
        <v>45132</v>
      </c>
      <c r="C903" s="1" t="n">
        <v>46158</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21658-2026</t>
        </is>
      </c>
      <c r="B904" s="1" t="n">
        <v>46149.45797453704</v>
      </c>
      <c r="C904" s="1" t="n">
        <v>46158</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33938-2023</t>
        </is>
      </c>
      <c r="B905" s="1" t="n">
        <v>45124</v>
      </c>
      <c r="C905" s="1" t="n">
        <v>46158</v>
      </c>
      <c r="D905" t="inlineStr">
        <is>
          <t>SKÅNE LÄN</t>
        </is>
      </c>
      <c r="E905" t="inlineStr">
        <is>
          <t>HÄSSLEHOLM</t>
        </is>
      </c>
      <c r="G905" t="n">
        <v>1.8</v>
      </c>
      <c r="H905" t="n">
        <v>0</v>
      </c>
      <c r="I905" t="n">
        <v>0</v>
      </c>
      <c r="J905" t="n">
        <v>0</v>
      </c>
      <c r="K905" t="n">
        <v>0</v>
      </c>
      <c r="L905" t="n">
        <v>0</v>
      </c>
      <c r="M905" t="n">
        <v>0</v>
      </c>
      <c r="N905" t="n">
        <v>0</v>
      </c>
      <c r="O905" t="n">
        <v>0</v>
      </c>
      <c r="P905" t="n">
        <v>0</v>
      </c>
      <c r="Q905" t="n">
        <v>0</v>
      </c>
      <c r="R905" s="2" t="inlineStr"/>
    </row>
    <row r="906" ht="15" customHeight="1">
      <c r="A906" t="inlineStr">
        <is>
          <t>A 21615-2026</t>
        </is>
      </c>
      <c r="B906" s="1" t="n">
        <v>46149.40331018518</v>
      </c>
      <c r="C906" s="1" t="n">
        <v>46158</v>
      </c>
      <c r="D906" t="inlineStr">
        <is>
          <t>SKÅNE LÄN</t>
        </is>
      </c>
      <c r="E906" t="inlineStr">
        <is>
          <t>HÄSSLEHOLM</t>
        </is>
      </c>
      <c r="G906" t="n">
        <v>1.6</v>
      </c>
      <c r="H906" t="n">
        <v>0</v>
      </c>
      <c r="I906" t="n">
        <v>0</v>
      </c>
      <c r="J906" t="n">
        <v>0</v>
      </c>
      <c r="K906" t="n">
        <v>0</v>
      </c>
      <c r="L906" t="n">
        <v>0</v>
      </c>
      <c r="M906" t="n">
        <v>0</v>
      </c>
      <c r="N906" t="n">
        <v>0</v>
      </c>
      <c r="O906" t="n">
        <v>0</v>
      </c>
      <c r="P906" t="n">
        <v>0</v>
      </c>
      <c r="Q906" t="n">
        <v>0</v>
      </c>
      <c r="R906" s="2" t="inlineStr"/>
    </row>
    <row r="907" ht="15" customHeight="1">
      <c r="A907" t="inlineStr">
        <is>
          <t>A 22693-2022</t>
        </is>
      </c>
      <c r="B907" s="1" t="n">
        <v>44714.54729166667</v>
      </c>
      <c r="C907" s="1" t="n">
        <v>46158</v>
      </c>
      <c r="D907" t="inlineStr">
        <is>
          <t>SKÅNE LÄN</t>
        </is>
      </c>
      <c r="E907" t="inlineStr">
        <is>
          <t>HÄSSLEHOLM</t>
        </is>
      </c>
      <c r="G907" t="n">
        <v>2.8</v>
      </c>
      <c r="H907" t="n">
        <v>0</v>
      </c>
      <c r="I907" t="n">
        <v>0</v>
      </c>
      <c r="J907" t="n">
        <v>0</v>
      </c>
      <c r="K907" t="n">
        <v>0</v>
      </c>
      <c r="L907" t="n">
        <v>0</v>
      </c>
      <c r="M907" t="n">
        <v>0</v>
      </c>
      <c r="N907" t="n">
        <v>0</v>
      </c>
      <c r="O907" t="n">
        <v>0</v>
      </c>
      <c r="P907" t="n">
        <v>0</v>
      </c>
      <c r="Q907" t="n">
        <v>0</v>
      </c>
      <c r="R907" s="2" t="inlineStr"/>
    </row>
    <row r="908" ht="15" customHeight="1">
      <c r="A908" t="inlineStr">
        <is>
          <t>A 35889-2023</t>
        </is>
      </c>
      <c r="B908" s="1" t="n">
        <v>45148</v>
      </c>
      <c r="C908" s="1" t="n">
        <v>46158</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35894-2023</t>
        </is>
      </c>
      <c r="B909" s="1" t="n">
        <v>45148</v>
      </c>
      <c r="C909" s="1" t="n">
        <v>46158</v>
      </c>
      <c r="D909" t="inlineStr">
        <is>
          <t>SKÅNE LÄN</t>
        </is>
      </c>
      <c r="E909" t="inlineStr">
        <is>
          <t>HÄSSLEHOLM</t>
        </is>
      </c>
      <c r="G909" t="n">
        <v>1.5</v>
      </c>
      <c r="H909" t="n">
        <v>0</v>
      </c>
      <c r="I909" t="n">
        <v>0</v>
      </c>
      <c r="J909" t="n">
        <v>0</v>
      </c>
      <c r="K909" t="n">
        <v>0</v>
      </c>
      <c r="L909" t="n">
        <v>0</v>
      </c>
      <c r="M909" t="n">
        <v>0</v>
      </c>
      <c r="N909" t="n">
        <v>0</v>
      </c>
      <c r="O909" t="n">
        <v>0</v>
      </c>
      <c r="P909" t="n">
        <v>0</v>
      </c>
      <c r="Q909" t="n">
        <v>0</v>
      </c>
      <c r="R909" s="2" t="inlineStr"/>
    </row>
    <row r="910" ht="15" customHeight="1">
      <c r="A910" t="inlineStr">
        <is>
          <t>A 47352-2025</t>
        </is>
      </c>
      <c r="B910" s="1" t="n">
        <v>45930</v>
      </c>
      <c r="C910" s="1" t="n">
        <v>46158</v>
      </c>
      <c r="D910" t="inlineStr">
        <is>
          <t>SKÅNE LÄN</t>
        </is>
      </c>
      <c r="E910" t="inlineStr">
        <is>
          <t>HÄSSLEHOLM</t>
        </is>
      </c>
      <c r="G910" t="n">
        <v>15.9</v>
      </c>
      <c r="H910" t="n">
        <v>0</v>
      </c>
      <c r="I910" t="n">
        <v>0</v>
      </c>
      <c r="J910" t="n">
        <v>0</v>
      </c>
      <c r="K910" t="n">
        <v>0</v>
      </c>
      <c r="L910" t="n">
        <v>0</v>
      </c>
      <c r="M910" t="n">
        <v>0</v>
      </c>
      <c r="N910" t="n">
        <v>0</v>
      </c>
      <c r="O910" t="n">
        <v>0</v>
      </c>
      <c r="P910" t="n">
        <v>0</v>
      </c>
      <c r="Q910" t="n">
        <v>0</v>
      </c>
      <c r="R910" s="2" t="inlineStr"/>
    </row>
    <row r="911" ht="15" customHeight="1">
      <c r="A911" t="inlineStr">
        <is>
          <t>A 35974-2022</t>
        </is>
      </c>
      <c r="B911" s="1" t="n">
        <v>44802</v>
      </c>
      <c r="C911" s="1" t="n">
        <v>46158</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21807-2026</t>
        </is>
      </c>
      <c r="B912" s="1" t="n">
        <v>46148</v>
      </c>
      <c r="C912" s="1" t="n">
        <v>46158</v>
      </c>
      <c r="D912" t="inlineStr">
        <is>
          <t>SKÅNE LÄN</t>
        </is>
      </c>
      <c r="E912" t="inlineStr">
        <is>
          <t>HÄSSLEHOLM</t>
        </is>
      </c>
      <c r="G912" t="n">
        <v>5.2</v>
      </c>
      <c r="H912" t="n">
        <v>0</v>
      </c>
      <c r="I912" t="n">
        <v>0</v>
      </c>
      <c r="J912" t="n">
        <v>0</v>
      </c>
      <c r="K912" t="n">
        <v>0</v>
      </c>
      <c r="L912" t="n">
        <v>0</v>
      </c>
      <c r="M912" t="n">
        <v>0</v>
      </c>
      <c r="N912" t="n">
        <v>0</v>
      </c>
      <c r="O912" t="n">
        <v>0</v>
      </c>
      <c r="P912" t="n">
        <v>0</v>
      </c>
      <c r="Q912" t="n">
        <v>0</v>
      </c>
      <c r="R912" s="2" t="inlineStr"/>
    </row>
    <row r="913" ht="15" customHeight="1">
      <c r="A913" t="inlineStr">
        <is>
          <t>A 24906-2022</t>
        </is>
      </c>
      <c r="B913" s="1" t="n">
        <v>44728</v>
      </c>
      <c r="C913" s="1" t="n">
        <v>46158</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7150-2025</t>
        </is>
      </c>
      <c r="B914" s="1" t="n">
        <v>45702.38239583333</v>
      </c>
      <c r="C914" s="1" t="n">
        <v>46158</v>
      </c>
      <c r="D914" t="inlineStr">
        <is>
          <t>SKÅNE LÄN</t>
        </is>
      </c>
      <c r="E914" t="inlineStr">
        <is>
          <t>HÄSSLEHOLM</t>
        </is>
      </c>
      <c r="G914" t="n">
        <v>2.3</v>
      </c>
      <c r="H914" t="n">
        <v>0</v>
      </c>
      <c r="I914" t="n">
        <v>0</v>
      </c>
      <c r="J914" t="n">
        <v>0</v>
      </c>
      <c r="K914" t="n">
        <v>0</v>
      </c>
      <c r="L914" t="n">
        <v>0</v>
      </c>
      <c r="M914" t="n">
        <v>0</v>
      </c>
      <c r="N914" t="n">
        <v>0</v>
      </c>
      <c r="O914" t="n">
        <v>0</v>
      </c>
      <c r="P914" t="n">
        <v>0</v>
      </c>
      <c r="Q914" t="n">
        <v>0</v>
      </c>
      <c r="R914" s="2" t="inlineStr"/>
    </row>
    <row r="915" ht="15" customHeight="1">
      <c r="A915" t="inlineStr">
        <is>
          <t>A 15979-2026</t>
        </is>
      </c>
      <c r="B915" s="1" t="n">
        <v>46108.35431712963</v>
      </c>
      <c r="C915" s="1" t="n">
        <v>46158</v>
      </c>
      <c r="D915" t="inlineStr">
        <is>
          <t>SKÅNE LÄN</t>
        </is>
      </c>
      <c r="E915" t="inlineStr">
        <is>
          <t>HÄSSLEHOLM</t>
        </is>
      </c>
      <c r="G915" t="n">
        <v>2.7</v>
      </c>
      <c r="H915" t="n">
        <v>0</v>
      </c>
      <c r="I915" t="n">
        <v>0</v>
      </c>
      <c r="J915" t="n">
        <v>0</v>
      </c>
      <c r="K915" t="n">
        <v>0</v>
      </c>
      <c r="L915" t="n">
        <v>0</v>
      </c>
      <c r="M915" t="n">
        <v>0</v>
      </c>
      <c r="N915" t="n">
        <v>0</v>
      </c>
      <c r="O915" t="n">
        <v>0</v>
      </c>
      <c r="P915" t="n">
        <v>0</v>
      </c>
      <c r="Q915" t="n">
        <v>0</v>
      </c>
      <c r="R915" s="2" t="inlineStr"/>
    </row>
    <row r="916" ht="15" customHeight="1">
      <c r="A916" t="inlineStr">
        <is>
          <t>A 55303-2024</t>
        </is>
      </c>
      <c r="B916" s="1" t="n">
        <v>45621.6434837963</v>
      </c>
      <c r="C916" s="1" t="n">
        <v>46158</v>
      </c>
      <c r="D916" t="inlineStr">
        <is>
          <t>SKÅNE LÄN</t>
        </is>
      </c>
      <c r="E916" t="inlineStr">
        <is>
          <t>HÄSSLEHOLM</t>
        </is>
      </c>
      <c r="G916" t="n">
        <v>3.3</v>
      </c>
      <c r="H916" t="n">
        <v>0</v>
      </c>
      <c r="I916" t="n">
        <v>0</v>
      </c>
      <c r="J916" t="n">
        <v>0</v>
      </c>
      <c r="K916" t="n">
        <v>0</v>
      </c>
      <c r="L916" t="n">
        <v>0</v>
      </c>
      <c r="M916" t="n">
        <v>0</v>
      </c>
      <c r="N916" t="n">
        <v>0</v>
      </c>
      <c r="O916" t="n">
        <v>0</v>
      </c>
      <c r="P916" t="n">
        <v>0</v>
      </c>
      <c r="Q916" t="n">
        <v>0</v>
      </c>
      <c r="R916" s="2" t="inlineStr"/>
    </row>
    <row r="917" ht="15" customHeight="1">
      <c r="A917" t="inlineStr">
        <is>
          <t>A 16397-2022</t>
        </is>
      </c>
      <c r="B917" s="1" t="n">
        <v>44671</v>
      </c>
      <c r="C917" s="1" t="n">
        <v>46158</v>
      </c>
      <c r="D917" t="inlineStr">
        <is>
          <t>SKÅNE LÄN</t>
        </is>
      </c>
      <c r="E917" t="inlineStr">
        <is>
          <t>HÄSSLEHOLM</t>
        </is>
      </c>
      <c r="G917" t="n">
        <v>2.7</v>
      </c>
      <c r="H917" t="n">
        <v>0</v>
      </c>
      <c r="I917" t="n">
        <v>0</v>
      </c>
      <c r="J917" t="n">
        <v>0</v>
      </c>
      <c r="K917" t="n">
        <v>0</v>
      </c>
      <c r="L917" t="n">
        <v>0</v>
      </c>
      <c r="M917" t="n">
        <v>0</v>
      </c>
      <c r="N917" t="n">
        <v>0</v>
      </c>
      <c r="O917" t="n">
        <v>0</v>
      </c>
      <c r="P917" t="n">
        <v>0</v>
      </c>
      <c r="Q917" t="n">
        <v>0</v>
      </c>
      <c r="R917" s="2" t="inlineStr"/>
    </row>
    <row r="918" ht="15" customHeight="1">
      <c r="A918" t="inlineStr">
        <is>
          <t>A 16398-2022</t>
        </is>
      </c>
      <c r="B918" s="1" t="n">
        <v>44671</v>
      </c>
      <c r="C918" s="1" t="n">
        <v>46158</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59434-2023</t>
        </is>
      </c>
      <c r="B919" s="1" t="n">
        <v>45254.30440972222</v>
      </c>
      <c r="C919" s="1" t="n">
        <v>46158</v>
      </c>
      <c r="D919" t="inlineStr">
        <is>
          <t>SKÅNE LÄN</t>
        </is>
      </c>
      <c r="E919" t="inlineStr">
        <is>
          <t>HÄSSLEHOLM</t>
        </is>
      </c>
      <c r="G919" t="n">
        <v>3.6</v>
      </c>
      <c r="H919" t="n">
        <v>0</v>
      </c>
      <c r="I919" t="n">
        <v>0</v>
      </c>
      <c r="J919" t="n">
        <v>0</v>
      </c>
      <c r="K919" t="n">
        <v>0</v>
      </c>
      <c r="L919" t="n">
        <v>0</v>
      </c>
      <c r="M919" t="n">
        <v>0</v>
      </c>
      <c r="N919" t="n">
        <v>0</v>
      </c>
      <c r="O919" t="n">
        <v>0</v>
      </c>
      <c r="P919" t="n">
        <v>0</v>
      </c>
      <c r="Q919" t="n">
        <v>0</v>
      </c>
      <c r="R919" s="2" t="inlineStr"/>
    </row>
    <row r="920" ht="15" customHeight="1">
      <c r="A920" t="inlineStr">
        <is>
          <t>A 55284-2023</t>
        </is>
      </c>
      <c r="B920" s="1" t="n">
        <v>45237.74259259259</v>
      </c>
      <c r="C920" s="1" t="n">
        <v>46158</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22384-2024</t>
        </is>
      </c>
      <c r="B921" s="1" t="n">
        <v>45446.65592592592</v>
      </c>
      <c r="C921" s="1" t="n">
        <v>46158</v>
      </c>
      <c r="D921" t="inlineStr">
        <is>
          <t>SKÅNE LÄN</t>
        </is>
      </c>
      <c r="E921" t="inlineStr">
        <is>
          <t>HÄSSLEHOLM</t>
        </is>
      </c>
      <c r="G921" t="n">
        <v>2.4</v>
      </c>
      <c r="H921" t="n">
        <v>0</v>
      </c>
      <c r="I921" t="n">
        <v>0</v>
      </c>
      <c r="J921" t="n">
        <v>0</v>
      </c>
      <c r="K921" t="n">
        <v>0</v>
      </c>
      <c r="L921" t="n">
        <v>0</v>
      </c>
      <c r="M921" t="n">
        <v>0</v>
      </c>
      <c r="N921" t="n">
        <v>0</v>
      </c>
      <c r="O921" t="n">
        <v>0</v>
      </c>
      <c r="P921" t="n">
        <v>0</v>
      </c>
      <c r="Q921" t="n">
        <v>0</v>
      </c>
      <c r="R921" s="2" t="inlineStr"/>
    </row>
    <row r="922" ht="15" customHeight="1">
      <c r="A922" t="inlineStr">
        <is>
          <t>A 46641-2023</t>
        </is>
      </c>
      <c r="B922" s="1" t="n">
        <v>45198.44523148148</v>
      </c>
      <c r="C922" s="1" t="n">
        <v>46158</v>
      </c>
      <c r="D922" t="inlineStr">
        <is>
          <t>SKÅNE LÄN</t>
        </is>
      </c>
      <c r="E922" t="inlineStr">
        <is>
          <t>HÄSSLEHOLM</t>
        </is>
      </c>
      <c r="G922" t="n">
        <v>1.2</v>
      </c>
      <c r="H922" t="n">
        <v>0</v>
      </c>
      <c r="I922" t="n">
        <v>0</v>
      </c>
      <c r="J922" t="n">
        <v>0</v>
      </c>
      <c r="K922" t="n">
        <v>0</v>
      </c>
      <c r="L922" t="n">
        <v>0</v>
      </c>
      <c r="M922" t="n">
        <v>0</v>
      </c>
      <c r="N922" t="n">
        <v>0</v>
      </c>
      <c r="O922" t="n">
        <v>0</v>
      </c>
      <c r="P922" t="n">
        <v>0</v>
      </c>
      <c r="Q922" t="n">
        <v>0</v>
      </c>
      <c r="R922" s="2" t="inlineStr"/>
    </row>
    <row r="923" ht="15" customHeight="1">
      <c r="A923" t="inlineStr">
        <is>
          <t>A 46645-2023</t>
        </is>
      </c>
      <c r="B923" s="1" t="n">
        <v>45198.44686342592</v>
      </c>
      <c r="C923" s="1" t="n">
        <v>46158</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16470-2026</t>
        </is>
      </c>
      <c r="B924" s="1" t="n">
        <v>46112.37516203704</v>
      </c>
      <c r="C924" s="1" t="n">
        <v>46158</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59556-2023</t>
        </is>
      </c>
      <c r="B925" s="1" t="n">
        <v>45254.56313657408</v>
      </c>
      <c r="C925" s="1" t="n">
        <v>46158</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16476-2026</t>
        </is>
      </c>
      <c r="B926" s="1" t="n">
        <v>46112.38662037037</v>
      </c>
      <c r="C926" s="1" t="n">
        <v>46158</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9543-2025</t>
        </is>
      </c>
      <c r="B927" s="1" t="n">
        <v>45715</v>
      </c>
      <c r="C927" s="1" t="n">
        <v>46158</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51571-2023</t>
        </is>
      </c>
      <c r="B928" s="1" t="n">
        <v>45222</v>
      </c>
      <c r="C928" s="1" t="n">
        <v>46158</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27291-2023</t>
        </is>
      </c>
      <c r="B929" s="1" t="n">
        <v>45096</v>
      </c>
      <c r="C929" s="1" t="n">
        <v>46158</v>
      </c>
      <c r="D929" t="inlineStr">
        <is>
          <t>SKÅNE LÄN</t>
        </is>
      </c>
      <c r="E929" t="inlineStr">
        <is>
          <t>HÄSSLEHOLM</t>
        </is>
      </c>
      <c r="G929" t="n">
        <v>3.5</v>
      </c>
      <c r="H929" t="n">
        <v>0</v>
      </c>
      <c r="I929" t="n">
        <v>0</v>
      </c>
      <c r="J929" t="n">
        <v>0</v>
      </c>
      <c r="K929" t="n">
        <v>0</v>
      </c>
      <c r="L929" t="n">
        <v>0</v>
      </c>
      <c r="M929" t="n">
        <v>0</v>
      </c>
      <c r="N929" t="n">
        <v>0</v>
      </c>
      <c r="O929" t="n">
        <v>0</v>
      </c>
      <c r="P929" t="n">
        <v>0</v>
      </c>
      <c r="Q929" t="n">
        <v>0</v>
      </c>
      <c r="R929" s="2" t="inlineStr"/>
    </row>
    <row r="930" ht="15" customHeight="1">
      <c r="A930" t="inlineStr">
        <is>
          <t>A 48798-2023</t>
        </is>
      </c>
      <c r="B930" s="1" t="n">
        <v>45209.25318287037</v>
      </c>
      <c r="C930" s="1" t="n">
        <v>46158</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48627-2023</t>
        </is>
      </c>
      <c r="B931" s="1" t="n">
        <v>45208.57371527778</v>
      </c>
      <c r="C931" s="1" t="n">
        <v>46158</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17152-2025</t>
        </is>
      </c>
      <c r="B932" s="1" t="n">
        <v>45756.33318287037</v>
      </c>
      <c r="C932" s="1" t="n">
        <v>46158</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48326-2023</t>
        </is>
      </c>
      <c r="B933" s="1" t="n">
        <v>45205</v>
      </c>
      <c r="C933" s="1" t="n">
        <v>46158</v>
      </c>
      <c r="D933" t="inlineStr">
        <is>
          <t>SKÅNE LÄN</t>
        </is>
      </c>
      <c r="E933" t="inlineStr">
        <is>
          <t>HÄSSLEHOLM</t>
        </is>
      </c>
      <c r="G933" t="n">
        <v>12.7</v>
      </c>
      <c r="H933" t="n">
        <v>0</v>
      </c>
      <c r="I933" t="n">
        <v>0</v>
      </c>
      <c r="J933" t="n">
        <v>0</v>
      </c>
      <c r="K933" t="n">
        <v>0</v>
      </c>
      <c r="L933" t="n">
        <v>0</v>
      </c>
      <c r="M933" t="n">
        <v>0</v>
      </c>
      <c r="N933" t="n">
        <v>0</v>
      </c>
      <c r="O933" t="n">
        <v>0</v>
      </c>
      <c r="P933" t="n">
        <v>0</v>
      </c>
      <c r="Q933" t="n">
        <v>0</v>
      </c>
      <c r="R933" s="2" t="inlineStr"/>
    </row>
    <row r="934" ht="15" customHeight="1">
      <c r="A934" t="inlineStr">
        <is>
          <t>A 10752-2025</t>
        </is>
      </c>
      <c r="B934" s="1" t="n">
        <v>45722</v>
      </c>
      <c r="C934" s="1" t="n">
        <v>46158</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54462-2022</t>
        </is>
      </c>
      <c r="B935" s="1" t="n">
        <v>44882</v>
      </c>
      <c r="C935" s="1" t="n">
        <v>46158</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3890-2024</t>
        </is>
      </c>
      <c r="B936" s="1" t="n">
        <v>45322.45366898148</v>
      </c>
      <c r="C936" s="1" t="n">
        <v>46158</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54471-2023</t>
        </is>
      </c>
      <c r="B937" s="1" t="n">
        <v>45233.4640162037</v>
      </c>
      <c r="C937" s="1" t="n">
        <v>46158</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57963-2023</t>
        </is>
      </c>
      <c r="B938" s="1" t="n">
        <v>45247.57732638889</v>
      </c>
      <c r="C938" s="1" t="n">
        <v>46158</v>
      </c>
      <c r="D938" t="inlineStr">
        <is>
          <t>SKÅNE LÄN</t>
        </is>
      </c>
      <c r="E938" t="inlineStr">
        <is>
          <t>HÄSSLEHOLM</t>
        </is>
      </c>
      <c r="G938" t="n">
        <v>4.6</v>
      </c>
      <c r="H938" t="n">
        <v>0</v>
      </c>
      <c r="I938" t="n">
        <v>0</v>
      </c>
      <c r="J938" t="n">
        <v>0</v>
      </c>
      <c r="K938" t="n">
        <v>0</v>
      </c>
      <c r="L938" t="n">
        <v>0</v>
      </c>
      <c r="M938" t="n">
        <v>0</v>
      </c>
      <c r="N938" t="n">
        <v>0</v>
      </c>
      <c r="O938" t="n">
        <v>0</v>
      </c>
      <c r="P938" t="n">
        <v>0</v>
      </c>
      <c r="Q938" t="n">
        <v>0</v>
      </c>
      <c r="R938" s="2" t="inlineStr"/>
    </row>
    <row r="939" ht="15" customHeight="1">
      <c r="A939" t="inlineStr">
        <is>
          <t>A 59028-2023</t>
        </is>
      </c>
      <c r="B939" s="1" t="n">
        <v>45252.67900462963</v>
      </c>
      <c r="C939" s="1" t="n">
        <v>46158</v>
      </c>
      <c r="D939" t="inlineStr">
        <is>
          <t>SKÅNE LÄN</t>
        </is>
      </c>
      <c r="E939" t="inlineStr">
        <is>
          <t>HÄSSLEHOLM</t>
        </is>
      </c>
      <c r="G939" t="n">
        <v>2.5</v>
      </c>
      <c r="H939" t="n">
        <v>0</v>
      </c>
      <c r="I939" t="n">
        <v>0</v>
      </c>
      <c r="J939" t="n">
        <v>0</v>
      </c>
      <c r="K939" t="n">
        <v>0</v>
      </c>
      <c r="L939" t="n">
        <v>0</v>
      </c>
      <c r="M939" t="n">
        <v>0</v>
      </c>
      <c r="N939" t="n">
        <v>0</v>
      </c>
      <c r="O939" t="n">
        <v>0</v>
      </c>
      <c r="P939" t="n">
        <v>0</v>
      </c>
      <c r="Q939" t="n">
        <v>0</v>
      </c>
      <c r="R939" s="2" t="inlineStr"/>
    </row>
    <row r="940" ht="15" customHeight="1">
      <c r="A940" t="inlineStr">
        <is>
          <t>A 13544-2025</t>
        </is>
      </c>
      <c r="B940" s="1" t="n">
        <v>45736</v>
      </c>
      <c r="C940" s="1" t="n">
        <v>46158</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2712-2024</t>
        </is>
      </c>
      <c r="B941" s="1" t="n">
        <v>45314</v>
      </c>
      <c r="C941" s="1" t="n">
        <v>46158</v>
      </c>
      <c r="D941" t="inlineStr">
        <is>
          <t>SKÅNE LÄN</t>
        </is>
      </c>
      <c r="E941" t="inlineStr">
        <is>
          <t>HÄSSLEHOLM</t>
        </is>
      </c>
      <c r="G941" t="n">
        <v>11.3</v>
      </c>
      <c r="H941" t="n">
        <v>0</v>
      </c>
      <c r="I941" t="n">
        <v>0</v>
      </c>
      <c r="J941" t="n">
        <v>0</v>
      </c>
      <c r="K941" t="n">
        <v>0</v>
      </c>
      <c r="L941" t="n">
        <v>0</v>
      </c>
      <c r="M941" t="n">
        <v>0</v>
      </c>
      <c r="N941" t="n">
        <v>0</v>
      </c>
      <c r="O941" t="n">
        <v>0</v>
      </c>
      <c r="P941" t="n">
        <v>0</v>
      </c>
      <c r="Q941" t="n">
        <v>0</v>
      </c>
      <c r="R941" s="2" t="inlineStr"/>
    </row>
    <row r="942" ht="15" customHeight="1">
      <c r="A942" t="inlineStr">
        <is>
          <t>A 260-2024</t>
        </is>
      </c>
      <c r="B942" s="1" t="n">
        <v>45294</v>
      </c>
      <c r="C942" s="1" t="n">
        <v>46158</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8263-2025</t>
        </is>
      </c>
      <c r="B943" s="1" t="n">
        <v>45708.50398148148</v>
      </c>
      <c r="C943" s="1" t="n">
        <v>46158</v>
      </c>
      <c r="D943" t="inlineStr">
        <is>
          <t>SKÅNE LÄN</t>
        </is>
      </c>
      <c r="E943" t="inlineStr">
        <is>
          <t>HÄSSLEHOLM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30006-2023</t>
        </is>
      </c>
      <c r="B944" s="1" t="n">
        <v>45109.79962962963</v>
      </c>
      <c r="C944" s="1" t="n">
        <v>46158</v>
      </c>
      <c r="D944" t="inlineStr">
        <is>
          <t>SKÅNE LÄN</t>
        </is>
      </c>
      <c r="E944" t="inlineStr">
        <is>
          <t>HÄSSLEHOLM</t>
        </is>
      </c>
      <c r="G944" t="n">
        <v>1.7</v>
      </c>
      <c r="H944" t="n">
        <v>0</v>
      </c>
      <c r="I944" t="n">
        <v>0</v>
      </c>
      <c r="J944" t="n">
        <v>0</v>
      </c>
      <c r="K944" t="n">
        <v>0</v>
      </c>
      <c r="L944" t="n">
        <v>0</v>
      </c>
      <c r="M944" t="n">
        <v>0</v>
      </c>
      <c r="N944" t="n">
        <v>0</v>
      </c>
      <c r="O944" t="n">
        <v>0</v>
      </c>
      <c r="P944" t="n">
        <v>0</v>
      </c>
      <c r="Q944" t="n">
        <v>0</v>
      </c>
      <c r="R944" s="2" t="inlineStr"/>
    </row>
    <row r="945" ht="15" customHeight="1">
      <c r="A945" t="inlineStr">
        <is>
          <t>A 42364-2023</t>
        </is>
      </c>
      <c r="B945" s="1" t="n">
        <v>45180.54754629629</v>
      </c>
      <c r="C945" s="1" t="n">
        <v>46158</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61578-2023</t>
        </is>
      </c>
      <c r="B946" s="1" t="n">
        <v>45265.47399305556</v>
      </c>
      <c r="C946" s="1" t="n">
        <v>46158</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46158</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62277-2023</t>
        </is>
      </c>
      <c r="B948" s="1" t="n">
        <v>45266</v>
      </c>
      <c r="C948" s="1" t="n">
        <v>46158</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3888-2024</t>
        </is>
      </c>
      <c r="B949" s="1" t="n">
        <v>45322.45089120371</v>
      </c>
      <c r="C949" s="1" t="n">
        <v>46158</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3889-2024</t>
        </is>
      </c>
      <c r="B950" s="1" t="n">
        <v>45322.45234953704</v>
      </c>
      <c r="C950" s="1" t="n">
        <v>46158</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8249-2023</t>
        </is>
      </c>
      <c r="B951" s="1" t="n">
        <v>44974</v>
      </c>
      <c r="C951" s="1" t="n">
        <v>46158</v>
      </c>
      <c r="D951" t="inlineStr">
        <is>
          <t>SKÅNE LÄN</t>
        </is>
      </c>
      <c r="E951" t="inlineStr">
        <is>
          <t>HÄSSLEHOLM</t>
        </is>
      </c>
      <c r="G951" t="n">
        <v>5.8</v>
      </c>
      <c r="H951" t="n">
        <v>0</v>
      </c>
      <c r="I951" t="n">
        <v>0</v>
      </c>
      <c r="J951" t="n">
        <v>0</v>
      </c>
      <c r="K951" t="n">
        <v>0</v>
      </c>
      <c r="L951" t="n">
        <v>0</v>
      </c>
      <c r="M951" t="n">
        <v>0</v>
      </c>
      <c r="N951" t="n">
        <v>0</v>
      </c>
      <c r="O951" t="n">
        <v>0</v>
      </c>
      <c r="P951" t="n">
        <v>0</v>
      </c>
      <c r="Q951" t="n">
        <v>0</v>
      </c>
      <c r="R951" s="2" t="inlineStr"/>
    </row>
    <row r="952" ht="15" customHeight="1">
      <c r="A952" t="inlineStr">
        <is>
          <t>A 3480-2024</t>
        </is>
      </c>
      <c r="B952" s="1" t="n">
        <v>45320.43998842593</v>
      </c>
      <c r="C952" s="1" t="n">
        <v>46158</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55218-2023</t>
        </is>
      </c>
      <c r="B953" s="1" t="n">
        <v>45237</v>
      </c>
      <c r="C953" s="1" t="n">
        <v>46158</v>
      </c>
      <c r="D953" t="inlineStr">
        <is>
          <t>SKÅNE LÄN</t>
        </is>
      </c>
      <c r="E953" t="inlineStr">
        <is>
          <t>HÄSSLEHOLM</t>
        </is>
      </c>
      <c r="G953" t="n">
        <v>2</v>
      </c>
      <c r="H953" t="n">
        <v>0</v>
      </c>
      <c r="I953" t="n">
        <v>0</v>
      </c>
      <c r="J953" t="n">
        <v>0</v>
      </c>
      <c r="K953" t="n">
        <v>0</v>
      </c>
      <c r="L953" t="n">
        <v>0</v>
      </c>
      <c r="M953" t="n">
        <v>0</v>
      </c>
      <c r="N953" t="n">
        <v>0</v>
      </c>
      <c r="O953" t="n">
        <v>0</v>
      </c>
      <c r="P953" t="n">
        <v>0</v>
      </c>
      <c r="Q953" t="n">
        <v>0</v>
      </c>
      <c r="R953" s="2" t="inlineStr"/>
    </row>
    <row r="954" ht="15" customHeight="1">
      <c r="A954" t="inlineStr">
        <is>
          <t>A 1119-2024</t>
        </is>
      </c>
      <c r="B954" s="1" t="n">
        <v>45302</v>
      </c>
      <c r="C954" s="1" t="n">
        <v>46158</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9393-2025</t>
        </is>
      </c>
      <c r="B955" s="1" t="n">
        <v>45715.36230324074</v>
      </c>
      <c r="C955" s="1" t="n">
        <v>46158</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11422-2025</t>
        </is>
      </c>
      <c r="B956" s="1" t="n">
        <v>45726</v>
      </c>
      <c r="C956" s="1" t="n">
        <v>46158</v>
      </c>
      <c r="D956" t="inlineStr">
        <is>
          <t>SKÅNE LÄN</t>
        </is>
      </c>
      <c r="E956" t="inlineStr">
        <is>
          <t>HÄSSLEHOLM</t>
        </is>
      </c>
      <c r="G956" t="n">
        <v>14.9</v>
      </c>
      <c r="H956" t="n">
        <v>0</v>
      </c>
      <c r="I956" t="n">
        <v>0</v>
      </c>
      <c r="J956" t="n">
        <v>0</v>
      </c>
      <c r="K956" t="n">
        <v>0</v>
      </c>
      <c r="L956" t="n">
        <v>0</v>
      </c>
      <c r="M956" t="n">
        <v>0</v>
      </c>
      <c r="N956" t="n">
        <v>0</v>
      </c>
      <c r="O956" t="n">
        <v>0</v>
      </c>
      <c r="P956" t="n">
        <v>0</v>
      </c>
      <c r="Q956" t="n">
        <v>0</v>
      </c>
      <c r="R956" s="2" t="inlineStr"/>
    </row>
    <row r="957" ht="15" customHeight="1">
      <c r="A957" t="inlineStr">
        <is>
          <t>A 57277-2023</t>
        </is>
      </c>
      <c r="B957" s="1" t="n">
        <v>45245.59104166667</v>
      </c>
      <c r="C957" s="1" t="n">
        <v>46158</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9611-2025</t>
        </is>
      </c>
      <c r="B958" s="1" t="n">
        <v>45715</v>
      </c>
      <c r="C958" s="1" t="n">
        <v>46158</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5284-2023</t>
        </is>
      </c>
      <c r="B959" s="1" t="n">
        <v>44959.50608796296</v>
      </c>
      <c r="C959" s="1" t="n">
        <v>46158</v>
      </c>
      <c r="D959" t="inlineStr">
        <is>
          <t>SKÅNE LÄN</t>
        </is>
      </c>
      <c r="E959" t="inlineStr">
        <is>
          <t>HÄSSLEHOLM</t>
        </is>
      </c>
      <c r="G959" t="n">
        <v>0.4</v>
      </c>
      <c r="H959" t="n">
        <v>0</v>
      </c>
      <c r="I959" t="n">
        <v>0</v>
      </c>
      <c r="J959" t="n">
        <v>0</v>
      </c>
      <c r="K959" t="n">
        <v>0</v>
      </c>
      <c r="L959" t="n">
        <v>0</v>
      </c>
      <c r="M959" t="n">
        <v>0</v>
      </c>
      <c r="N959" t="n">
        <v>0</v>
      </c>
      <c r="O959" t="n">
        <v>0</v>
      </c>
      <c r="P959" t="n">
        <v>0</v>
      </c>
      <c r="Q959" t="n">
        <v>0</v>
      </c>
      <c r="R959" s="2" t="inlineStr"/>
    </row>
    <row r="960" ht="15" customHeight="1">
      <c r="A960" t="inlineStr">
        <is>
          <t>A 5285-2023</t>
        </is>
      </c>
      <c r="B960" s="1" t="n">
        <v>44959.50783564815</v>
      </c>
      <c r="C960" s="1" t="n">
        <v>46158</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57272-2023</t>
        </is>
      </c>
      <c r="B961" s="1" t="n">
        <v>45245</v>
      </c>
      <c r="C961" s="1" t="n">
        <v>46158</v>
      </c>
      <c r="D961" t="inlineStr">
        <is>
          <t>SKÅNE LÄN</t>
        </is>
      </c>
      <c r="E961" t="inlineStr">
        <is>
          <t>HÄSSLEHOLM</t>
        </is>
      </c>
      <c r="G961" t="n">
        <v>2.3</v>
      </c>
      <c r="H961" t="n">
        <v>0</v>
      </c>
      <c r="I961" t="n">
        <v>0</v>
      </c>
      <c r="J961" t="n">
        <v>0</v>
      </c>
      <c r="K961" t="n">
        <v>0</v>
      </c>
      <c r="L961" t="n">
        <v>0</v>
      </c>
      <c r="M961" t="n">
        <v>0</v>
      </c>
      <c r="N961" t="n">
        <v>0</v>
      </c>
      <c r="O961" t="n">
        <v>0</v>
      </c>
      <c r="P961" t="n">
        <v>0</v>
      </c>
      <c r="Q961" t="n">
        <v>0</v>
      </c>
      <c r="R961" s="2" t="inlineStr"/>
    </row>
    <row r="962" ht="15" customHeight="1">
      <c r="A962" t="inlineStr">
        <is>
          <t>A 2479-2024</t>
        </is>
      </c>
      <c r="B962" s="1" t="n">
        <v>45313.40148148148</v>
      </c>
      <c r="C962" s="1" t="n">
        <v>46158</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31160-2024</t>
        </is>
      </c>
      <c r="B963" s="1" t="n">
        <v>45503</v>
      </c>
      <c r="C963" s="1" t="n">
        <v>46158</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50664-2023</t>
        </is>
      </c>
      <c r="B964" s="1" t="n">
        <v>45217</v>
      </c>
      <c r="C964" s="1" t="n">
        <v>46158</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56490-2021</t>
        </is>
      </c>
      <c r="B965" s="1" t="n">
        <v>44480</v>
      </c>
      <c r="C965" s="1" t="n">
        <v>46158</v>
      </c>
      <c r="D965" t="inlineStr">
        <is>
          <t>SKÅNE LÄN</t>
        </is>
      </c>
      <c r="E965" t="inlineStr">
        <is>
          <t>HÄSSLEHOLM</t>
        </is>
      </c>
      <c r="F965" t="inlineStr">
        <is>
          <t>Kyrkan</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417-2022</t>
        </is>
      </c>
      <c r="B966" s="1" t="n">
        <v>44565.84615740741</v>
      </c>
      <c r="C966" s="1" t="n">
        <v>46158</v>
      </c>
      <c r="D966" t="inlineStr">
        <is>
          <t>SKÅNE LÄN</t>
        </is>
      </c>
      <c r="E966" t="inlineStr">
        <is>
          <t>HÄSSLEHOLM</t>
        </is>
      </c>
      <c r="G966" t="n">
        <v>0</v>
      </c>
      <c r="H966" t="n">
        <v>0</v>
      </c>
      <c r="I966" t="n">
        <v>0</v>
      </c>
      <c r="J966" t="n">
        <v>0</v>
      </c>
      <c r="K966" t="n">
        <v>0</v>
      </c>
      <c r="L966" t="n">
        <v>0</v>
      </c>
      <c r="M966" t="n">
        <v>0</v>
      </c>
      <c r="N966" t="n">
        <v>0</v>
      </c>
      <c r="O966" t="n">
        <v>0</v>
      </c>
      <c r="P966" t="n">
        <v>0</v>
      </c>
      <c r="Q966" t="n">
        <v>0</v>
      </c>
      <c r="R966" s="2" t="inlineStr"/>
    </row>
    <row r="967" ht="15" customHeight="1">
      <c r="A967" t="inlineStr">
        <is>
          <t>A 61934-2023</t>
        </is>
      </c>
      <c r="B967" s="1" t="n">
        <v>45266.54125</v>
      </c>
      <c r="C967" s="1" t="n">
        <v>46158</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41459-2022</t>
        </is>
      </c>
      <c r="B968" s="1" t="n">
        <v>44826.93372685185</v>
      </c>
      <c r="C968" s="1" t="n">
        <v>46158</v>
      </c>
      <c r="D968" t="inlineStr">
        <is>
          <t>SKÅNE LÄN</t>
        </is>
      </c>
      <c r="E968" t="inlineStr">
        <is>
          <t>HÄSSLEHOLM</t>
        </is>
      </c>
      <c r="G968" t="n">
        <v>2.3</v>
      </c>
      <c r="H968" t="n">
        <v>0</v>
      </c>
      <c r="I968" t="n">
        <v>0</v>
      </c>
      <c r="J968" t="n">
        <v>0</v>
      </c>
      <c r="K968" t="n">
        <v>0</v>
      </c>
      <c r="L968" t="n">
        <v>0</v>
      </c>
      <c r="M968" t="n">
        <v>0</v>
      </c>
      <c r="N968" t="n">
        <v>0</v>
      </c>
      <c r="O968" t="n">
        <v>0</v>
      </c>
      <c r="P968" t="n">
        <v>0</v>
      </c>
      <c r="Q968" t="n">
        <v>0</v>
      </c>
      <c r="R968" s="2" t="inlineStr"/>
    </row>
    <row r="969" ht="15" customHeight="1">
      <c r="A969" t="inlineStr">
        <is>
          <t>A 19151-2023</t>
        </is>
      </c>
      <c r="B969" s="1" t="n">
        <v>45044</v>
      </c>
      <c r="C969" s="1" t="n">
        <v>46158</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54658-2023</t>
        </is>
      </c>
      <c r="B970" s="1" t="n">
        <v>45235</v>
      </c>
      <c r="C970" s="1" t="n">
        <v>46158</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42370-2023</t>
        </is>
      </c>
      <c r="B971" s="1" t="n">
        <v>45180</v>
      </c>
      <c r="C971" s="1" t="n">
        <v>46158</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16951-2025</t>
        </is>
      </c>
      <c r="B972" s="1" t="n">
        <v>45755</v>
      </c>
      <c r="C972" s="1" t="n">
        <v>46158</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18063-2023</t>
        </is>
      </c>
      <c r="B973" s="1" t="n">
        <v>45040.62850694444</v>
      </c>
      <c r="C973" s="1" t="n">
        <v>46158</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14674-2025</t>
        </is>
      </c>
      <c r="B974" s="1" t="n">
        <v>45742.55548611111</v>
      </c>
      <c r="C974" s="1" t="n">
        <v>46158</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54777-2022</t>
        </is>
      </c>
      <c r="B975" s="1" t="n">
        <v>44883</v>
      </c>
      <c r="C975" s="1" t="n">
        <v>46158</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46158</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45078.62217592593</v>
      </c>
      <c r="C977" s="1" t="n">
        <v>46158</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23860-2024</t>
        </is>
      </c>
      <c r="B978" s="1" t="n">
        <v>45455</v>
      </c>
      <c r="C978" s="1" t="n">
        <v>46158</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524-2024</t>
        </is>
      </c>
      <c r="B979" s="1" t="n">
        <v>45299</v>
      </c>
      <c r="C979" s="1" t="n">
        <v>46158</v>
      </c>
      <c r="D979" t="inlineStr">
        <is>
          <t>SKÅNE LÄN</t>
        </is>
      </c>
      <c r="E979" t="inlineStr">
        <is>
          <t>HÄSSLEHOLM</t>
        </is>
      </c>
      <c r="G979" t="n">
        <v>29.4</v>
      </c>
      <c r="H979" t="n">
        <v>0</v>
      </c>
      <c r="I979" t="n">
        <v>0</v>
      </c>
      <c r="J979" t="n">
        <v>0</v>
      </c>
      <c r="K979" t="n">
        <v>0</v>
      </c>
      <c r="L979" t="n">
        <v>0</v>
      </c>
      <c r="M979" t="n">
        <v>0</v>
      </c>
      <c r="N979" t="n">
        <v>0</v>
      </c>
      <c r="O979" t="n">
        <v>0</v>
      </c>
      <c r="P979" t="n">
        <v>0</v>
      </c>
      <c r="Q979" t="n">
        <v>0</v>
      </c>
      <c r="R979" s="2" t="inlineStr"/>
    </row>
    <row r="980" ht="15" customHeight="1">
      <c r="A980" t="inlineStr">
        <is>
          <t>A 54518-2022</t>
        </is>
      </c>
      <c r="B980" s="1" t="n">
        <v>44882</v>
      </c>
      <c r="C980" s="1" t="n">
        <v>46158</v>
      </c>
      <c r="D980" t="inlineStr">
        <is>
          <t>SKÅNE LÄN</t>
        </is>
      </c>
      <c r="E980" t="inlineStr">
        <is>
          <t>HÄSSLEHOLM</t>
        </is>
      </c>
      <c r="F980" t="inlineStr">
        <is>
          <t>Övriga Aktiebolag</t>
        </is>
      </c>
      <c r="G980" t="n">
        <v>6.8</v>
      </c>
      <c r="H980" t="n">
        <v>0</v>
      </c>
      <c r="I980" t="n">
        <v>0</v>
      </c>
      <c r="J980" t="n">
        <v>0</v>
      </c>
      <c r="K980" t="n">
        <v>0</v>
      </c>
      <c r="L980" t="n">
        <v>0</v>
      </c>
      <c r="M980" t="n">
        <v>0</v>
      </c>
      <c r="N980" t="n">
        <v>0</v>
      </c>
      <c r="O980" t="n">
        <v>0</v>
      </c>
      <c r="P980" t="n">
        <v>0</v>
      </c>
      <c r="Q980" t="n">
        <v>0</v>
      </c>
      <c r="R980" s="2" t="inlineStr"/>
    </row>
    <row r="981" ht="15" customHeight="1">
      <c r="A981" t="inlineStr">
        <is>
          <t>A 7094-2023</t>
        </is>
      </c>
      <c r="B981" s="1" t="n">
        <v>44970.36958333333</v>
      </c>
      <c r="C981" s="1" t="n">
        <v>46158</v>
      </c>
      <c r="D981" t="inlineStr">
        <is>
          <t>SKÅNE LÄN</t>
        </is>
      </c>
      <c r="E981" t="inlineStr">
        <is>
          <t>HÄSSLEHOLM</t>
        </is>
      </c>
      <c r="G981" t="n">
        <v>3.6</v>
      </c>
      <c r="H981" t="n">
        <v>0</v>
      </c>
      <c r="I981" t="n">
        <v>0</v>
      </c>
      <c r="J981" t="n">
        <v>0</v>
      </c>
      <c r="K981" t="n">
        <v>0</v>
      </c>
      <c r="L981" t="n">
        <v>0</v>
      </c>
      <c r="M981" t="n">
        <v>0</v>
      </c>
      <c r="N981" t="n">
        <v>0</v>
      </c>
      <c r="O981" t="n">
        <v>0</v>
      </c>
      <c r="P981" t="n">
        <v>0</v>
      </c>
      <c r="Q981" t="n">
        <v>0</v>
      </c>
      <c r="R981" s="2" t="inlineStr"/>
    </row>
    <row r="982" ht="15" customHeight="1">
      <c r="A982" t="inlineStr">
        <is>
          <t>A 3500-2024</t>
        </is>
      </c>
      <c r="B982" s="1" t="n">
        <v>45320</v>
      </c>
      <c r="C982" s="1" t="n">
        <v>46158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11266-2025</t>
        </is>
      </c>
      <c r="B983" s="1" t="n">
        <v>45726</v>
      </c>
      <c r="C983" s="1" t="n">
        <v>46158</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49950-2023</t>
        </is>
      </c>
      <c r="B984" s="1" t="n">
        <v>45215</v>
      </c>
      <c r="C984" s="1" t="n">
        <v>46158</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29853-2024</t>
        </is>
      </c>
      <c r="B985" s="1" t="n">
        <v>45485.65844907407</v>
      </c>
      <c r="C985" s="1" t="n">
        <v>46158</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57695-2023</t>
        </is>
      </c>
      <c r="B986" s="1" t="n">
        <v>45246</v>
      </c>
      <c r="C986" s="1" t="n">
        <v>46158</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9615-2025</t>
        </is>
      </c>
      <c r="B987" s="1" t="n">
        <v>45715</v>
      </c>
      <c r="C987" s="1" t="n">
        <v>46158</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42232-2022</t>
        </is>
      </c>
      <c r="B988" s="1" t="n">
        <v>44830.77591435185</v>
      </c>
      <c r="C988" s="1" t="n">
        <v>46158</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38829-2024</t>
        </is>
      </c>
      <c r="B989" s="1" t="n">
        <v>45547.57247685185</v>
      </c>
      <c r="C989" s="1" t="n">
        <v>46158</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25542-2024</t>
        </is>
      </c>
      <c r="B990" s="1" t="n">
        <v>45463</v>
      </c>
      <c r="C990" s="1" t="n">
        <v>46158</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55454-2021</t>
        </is>
      </c>
      <c r="B991" s="1" t="n">
        <v>44475</v>
      </c>
      <c r="C991" s="1" t="n">
        <v>46158</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61489-2024</t>
        </is>
      </c>
      <c r="B992" s="1" t="n">
        <v>45646.54875</v>
      </c>
      <c r="C992" s="1" t="n">
        <v>46158</v>
      </c>
      <c r="D992" t="inlineStr">
        <is>
          <t>SKÅNE LÄN</t>
        </is>
      </c>
      <c r="E992" t="inlineStr">
        <is>
          <t>HÄSSLEHOLM</t>
        </is>
      </c>
      <c r="G992" t="n">
        <v>1.9</v>
      </c>
      <c r="H992" t="n">
        <v>0</v>
      </c>
      <c r="I992" t="n">
        <v>0</v>
      </c>
      <c r="J992" t="n">
        <v>0</v>
      </c>
      <c r="K992" t="n">
        <v>0</v>
      </c>
      <c r="L992" t="n">
        <v>0</v>
      </c>
      <c r="M992" t="n">
        <v>0</v>
      </c>
      <c r="N992" t="n">
        <v>0</v>
      </c>
      <c r="O992" t="n">
        <v>0</v>
      </c>
      <c r="P992" t="n">
        <v>0</v>
      </c>
      <c r="Q992" t="n">
        <v>0</v>
      </c>
      <c r="R992" s="2" t="inlineStr"/>
    </row>
    <row r="993" ht="15" customHeight="1">
      <c r="A993" t="inlineStr">
        <is>
          <t>A 26879-2024</t>
        </is>
      </c>
      <c r="B993" s="1" t="n">
        <v>45470</v>
      </c>
      <c r="C993" s="1" t="n">
        <v>46158</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59728-2022</t>
        </is>
      </c>
      <c r="B994" s="1" t="n">
        <v>44900</v>
      </c>
      <c r="C994" s="1" t="n">
        <v>46158</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3294-2025</t>
        </is>
      </c>
      <c r="B995" s="1" t="n">
        <v>45679.64125</v>
      </c>
      <c r="C995" s="1" t="n">
        <v>46158</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13897-2024</t>
        </is>
      </c>
      <c r="B996" s="1" t="n">
        <v>45391</v>
      </c>
      <c r="C996" s="1" t="n">
        <v>46158</v>
      </c>
      <c r="D996" t="inlineStr">
        <is>
          <t>SKÅNE LÄN</t>
        </is>
      </c>
      <c r="E996" t="inlineStr">
        <is>
          <t>HÄSSLEHOLM</t>
        </is>
      </c>
      <c r="F996" t="inlineStr">
        <is>
          <t>Kommuner</t>
        </is>
      </c>
      <c r="G996" t="n">
        <v>4</v>
      </c>
      <c r="H996" t="n">
        <v>0</v>
      </c>
      <c r="I996" t="n">
        <v>0</v>
      </c>
      <c r="J996" t="n">
        <v>0</v>
      </c>
      <c r="K996" t="n">
        <v>0</v>
      </c>
      <c r="L996" t="n">
        <v>0</v>
      </c>
      <c r="M996" t="n">
        <v>0</v>
      </c>
      <c r="N996" t="n">
        <v>0</v>
      </c>
      <c r="O996" t="n">
        <v>0</v>
      </c>
      <c r="P996" t="n">
        <v>0</v>
      </c>
      <c r="Q996" t="n">
        <v>0</v>
      </c>
      <c r="R996" s="2" t="inlineStr"/>
    </row>
    <row r="997" ht="15" customHeight="1">
      <c r="A997" t="inlineStr">
        <is>
          <t>A 7604-2024</t>
        </is>
      </c>
      <c r="B997" s="1" t="n">
        <v>45348</v>
      </c>
      <c r="C997" s="1" t="n">
        <v>46158</v>
      </c>
      <c r="D997" t="inlineStr">
        <is>
          <t>SKÅNE LÄN</t>
        </is>
      </c>
      <c r="E997" t="inlineStr">
        <is>
          <t>HÄSSLEHOLM</t>
        </is>
      </c>
      <c r="G997" t="n">
        <v>11.1</v>
      </c>
      <c r="H997" t="n">
        <v>0</v>
      </c>
      <c r="I997" t="n">
        <v>0</v>
      </c>
      <c r="J997" t="n">
        <v>0</v>
      </c>
      <c r="K997" t="n">
        <v>0</v>
      </c>
      <c r="L997" t="n">
        <v>0</v>
      </c>
      <c r="M997" t="n">
        <v>0</v>
      </c>
      <c r="N997" t="n">
        <v>0</v>
      </c>
      <c r="O997" t="n">
        <v>0</v>
      </c>
      <c r="P997" t="n">
        <v>0</v>
      </c>
      <c r="Q997" t="n">
        <v>0</v>
      </c>
      <c r="R997" s="2" t="inlineStr"/>
    </row>
    <row r="998" ht="15" customHeight="1">
      <c r="A998" t="inlineStr">
        <is>
          <t>A 36706-2022</t>
        </is>
      </c>
      <c r="B998" s="1" t="n">
        <v>44805.32891203704</v>
      </c>
      <c r="C998" s="1" t="n">
        <v>46158</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441-2022</t>
        </is>
      </c>
      <c r="B999" s="1" t="n">
        <v>44565.97125</v>
      </c>
      <c r="C999" s="1" t="n">
        <v>46158</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3364-2023</t>
        </is>
      </c>
      <c r="B1000" s="1" t="n">
        <v>44949</v>
      </c>
      <c r="C1000" s="1" t="n">
        <v>46158</v>
      </c>
      <c r="D1000" t="inlineStr">
        <is>
          <t>SKÅNE LÄN</t>
        </is>
      </c>
      <c r="E1000" t="inlineStr">
        <is>
          <t>HÄSSLEHOLM</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43629-2023</t>
        </is>
      </c>
      <c r="B1001" s="1" t="n">
        <v>45184</v>
      </c>
      <c r="C1001" s="1" t="n">
        <v>46158</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57656-2022</t>
        </is>
      </c>
      <c r="B1002" s="1" t="n">
        <v>44897.4325925926</v>
      </c>
      <c r="C1002" s="1" t="n">
        <v>46158</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8250-2023</t>
        </is>
      </c>
      <c r="B1003" s="1" t="n">
        <v>44974</v>
      </c>
      <c r="C1003" s="1" t="n">
        <v>46158</v>
      </c>
      <c r="D1003" t="inlineStr">
        <is>
          <t>SKÅNE LÄN</t>
        </is>
      </c>
      <c r="E1003" t="inlineStr">
        <is>
          <t>HÄSSLEHOLM</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6101-2022</t>
        </is>
      </c>
      <c r="B1004" s="1" t="n">
        <v>44599.63016203704</v>
      </c>
      <c r="C1004" s="1" t="n">
        <v>46158</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6842-2023</t>
        </is>
      </c>
      <c r="B1005" s="1" t="n">
        <v>44967</v>
      </c>
      <c r="C1005" s="1" t="n">
        <v>46158</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7202-2022</t>
        </is>
      </c>
      <c r="B1006" s="1" t="n">
        <v>44606</v>
      </c>
      <c r="C1006" s="1" t="n">
        <v>46158</v>
      </c>
      <c r="D1006" t="inlineStr">
        <is>
          <t>SKÅNE LÄN</t>
        </is>
      </c>
      <c r="E1006" t="inlineStr">
        <is>
          <t>HÄSSLEHOLM</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5054-2022</t>
        </is>
      </c>
      <c r="B1007" s="1" t="n">
        <v>44593.69065972222</v>
      </c>
      <c r="C1007" s="1" t="n">
        <v>46158</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49181-2024</t>
        </is>
      </c>
      <c r="B1008" s="1" t="n">
        <v>45595</v>
      </c>
      <c r="C1008" s="1" t="n">
        <v>46158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3349-2023</t>
        </is>
      </c>
      <c r="B1009" s="1" t="n">
        <v>44949</v>
      </c>
      <c r="C1009" s="1" t="n">
        <v>46158</v>
      </c>
      <c r="D1009" t="inlineStr">
        <is>
          <t>SKÅNE LÄN</t>
        </is>
      </c>
      <c r="E1009" t="inlineStr">
        <is>
          <t>HÄSSLEHOLM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49384-2021</t>
        </is>
      </c>
      <c r="B1010" s="1" t="n">
        <v>44454</v>
      </c>
      <c r="C1010" s="1" t="n">
        <v>46158</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60959-2022</t>
        </is>
      </c>
      <c r="B1011" s="1" t="n">
        <v>44914.64777777778</v>
      </c>
      <c r="C1011" s="1" t="n">
        <v>46158</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3746-2024</t>
        </is>
      </c>
      <c r="B1012" s="1" t="n">
        <v>45321.50745370371</v>
      </c>
      <c r="C1012" s="1" t="n">
        <v>46158</v>
      </c>
      <c r="D1012" t="inlineStr">
        <is>
          <t>SKÅNE LÄN</t>
        </is>
      </c>
      <c r="E1012" t="inlineStr">
        <is>
          <t>HÄSSLEHOLM</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44262-2021</t>
        </is>
      </c>
      <c r="B1013" s="1" t="n">
        <v>44434</v>
      </c>
      <c r="C1013" s="1" t="n">
        <v>46158</v>
      </c>
      <c r="D1013" t="inlineStr">
        <is>
          <t>SKÅNE LÄN</t>
        </is>
      </c>
      <c r="E1013" t="inlineStr">
        <is>
          <t>HÄSSLEHOLM</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1553-2023</t>
        </is>
      </c>
      <c r="B1014" s="1" t="n">
        <v>44937</v>
      </c>
      <c r="C1014" s="1" t="n">
        <v>46158</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1562-2023</t>
        </is>
      </c>
      <c r="B1015" s="1" t="n">
        <v>44937.60450231482</v>
      </c>
      <c r="C1015" s="1" t="n">
        <v>46158</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3452-2023</t>
        </is>
      </c>
      <c r="B1016" s="1" t="n">
        <v>44949</v>
      </c>
      <c r="C1016" s="1" t="n">
        <v>46158</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2596-2024</t>
        </is>
      </c>
      <c r="B1017" s="1" t="n">
        <v>45313.69969907407</v>
      </c>
      <c r="C1017" s="1" t="n">
        <v>46158</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2681-2024</t>
        </is>
      </c>
      <c r="B1018" s="1" t="n">
        <v>45314</v>
      </c>
      <c r="C1018" s="1" t="n">
        <v>46158</v>
      </c>
      <c r="D1018" t="inlineStr">
        <is>
          <t>SKÅNE LÄN</t>
        </is>
      </c>
      <c r="E1018" t="inlineStr">
        <is>
          <t>HÄSSLEHOLM</t>
        </is>
      </c>
      <c r="F1018" t="inlineStr">
        <is>
          <t>Övriga Aktiebolag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4187-2023</t>
        </is>
      </c>
      <c r="B1019" s="1" t="n">
        <v>44953</v>
      </c>
      <c r="C1019" s="1" t="n">
        <v>46158</v>
      </c>
      <c r="D1019" t="inlineStr">
        <is>
          <t>SKÅNE LÄN</t>
        </is>
      </c>
      <c r="E1019" t="inlineStr">
        <is>
          <t>HÄSSLEHOLM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4382-2023</t>
        </is>
      </c>
      <c r="B1020" s="1" t="n">
        <v>44955.61152777778</v>
      </c>
      <c r="C1020" s="1" t="n">
        <v>46158</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49107-2023</t>
        </is>
      </c>
      <c r="B1021" s="1" t="n">
        <v>45210.44337962963</v>
      </c>
      <c r="C1021" s="1" t="n">
        <v>46158</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5282-2023</t>
        </is>
      </c>
      <c r="B1022" s="1" t="n">
        <v>44959.50471064815</v>
      </c>
      <c r="C1022" s="1" t="n">
        <v>46158</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53897-2023</t>
        </is>
      </c>
      <c r="B1023" s="1" t="n">
        <v>45231.53934027778</v>
      </c>
      <c r="C1023" s="1" t="n">
        <v>46158</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20990-2023</t>
        </is>
      </c>
      <c r="B1024" s="1" t="n">
        <v>45061.46186342592</v>
      </c>
      <c r="C1024" s="1" t="n">
        <v>46158</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22696-2023</t>
        </is>
      </c>
      <c r="B1025" s="1" t="n">
        <v>45071.69464120371</v>
      </c>
      <c r="C1025" s="1" t="n">
        <v>46158</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33873-2021</t>
        </is>
      </c>
      <c r="B1026" s="1" t="n">
        <v>44378</v>
      </c>
      <c r="C1026" s="1" t="n">
        <v>46158</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34348-2022</t>
        </is>
      </c>
      <c r="B1027" s="1" t="n">
        <v>44792</v>
      </c>
      <c r="C1027" s="1" t="n">
        <v>46158</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6836-2023</t>
        </is>
      </c>
      <c r="B1028" s="1" t="n">
        <v>44967</v>
      </c>
      <c r="C1028" s="1" t="n">
        <v>46158</v>
      </c>
      <c r="D1028" t="inlineStr">
        <is>
          <t>SKÅNE LÄN</t>
        </is>
      </c>
      <c r="E1028" t="inlineStr">
        <is>
          <t>HÄSSLEHOLM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31931-2024</t>
        </is>
      </c>
      <c r="B1029" s="1" t="n">
        <v>45510.40878472223</v>
      </c>
      <c r="C1029" s="1" t="n">
        <v>46158</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8803-2023</t>
        </is>
      </c>
      <c r="B1030" s="1" t="n">
        <v>44978.61712962963</v>
      </c>
      <c r="C1030" s="1" t="n">
        <v>46158</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11681-2023</t>
        </is>
      </c>
      <c r="B1031" s="1" t="n">
        <v>44992</v>
      </c>
      <c r="C1031" s="1" t="n">
        <v>46158</v>
      </c>
      <c r="D1031" t="inlineStr">
        <is>
          <t>SKÅNE LÄN</t>
        </is>
      </c>
      <c r="E1031" t="inlineStr">
        <is>
          <t>HÄSSLEHOLM</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46222-2022</t>
        </is>
      </c>
      <c r="B1032" s="1" t="n">
        <v>44847.58725694445</v>
      </c>
      <c r="C1032" s="1" t="n">
        <v>46158</v>
      </c>
      <c r="D1032" t="inlineStr">
        <is>
          <t>SKÅNE LÄN</t>
        </is>
      </c>
      <c r="E1032" t="inlineStr">
        <is>
          <t>HÄSSLEHOLM</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50249-2024</t>
        </is>
      </c>
      <c r="B1033" s="1" t="n">
        <v>45600.56866898148</v>
      </c>
      <c r="C1033" s="1" t="n">
        <v>46158</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60843-2022</t>
        </is>
      </c>
      <c r="B1034" s="1" t="n">
        <v>44914</v>
      </c>
      <c r="C1034" s="1" t="n">
        <v>46158</v>
      </c>
      <c r="D1034" t="inlineStr">
        <is>
          <t>SKÅNE LÄN</t>
        </is>
      </c>
      <c r="E1034" t="inlineStr">
        <is>
          <t>HÄSSLEHOLM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51040-2024</t>
        </is>
      </c>
      <c r="B1035" s="1" t="n">
        <v>45603.43222222223</v>
      </c>
      <c r="C1035" s="1" t="n">
        <v>46158</v>
      </c>
      <c r="D1035" t="inlineStr">
        <is>
          <t>SKÅNE LÄN</t>
        </is>
      </c>
      <c r="E1035" t="inlineStr">
        <is>
          <t>HÄSSLEHOLM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56881-2021</t>
        </is>
      </c>
      <c r="B1036" s="1" t="n">
        <v>44481</v>
      </c>
      <c r="C1036" s="1" t="n">
        <v>46158</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45653-2024</t>
        </is>
      </c>
      <c r="B1037" s="1" t="n">
        <v>45579.48872685185</v>
      </c>
      <c r="C1037" s="1" t="n">
        <v>46158</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56956-2024</t>
        </is>
      </c>
      <c r="B1038" s="1" t="n">
        <v>45626</v>
      </c>
      <c r="C1038" s="1" t="n">
        <v>46158</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45392-2024</t>
        </is>
      </c>
      <c r="B1039" s="1" t="n">
        <v>45576.55008101852</v>
      </c>
      <c r="C1039" s="1" t="n">
        <v>46158</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20187-2023</t>
        </is>
      </c>
      <c r="B1040" s="1" t="n">
        <v>45055.57027777778</v>
      </c>
      <c r="C1040" s="1" t="n">
        <v>46158</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1543-2024</t>
        </is>
      </c>
      <c r="B1041" s="1" t="n">
        <v>45306</v>
      </c>
      <c r="C1041" s="1" t="n">
        <v>46158</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37038-2022</t>
        </is>
      </c>
      <c r="B1042" s="1" t="n">
        <v>44806.44232638889</v>
      </c>
      <c r="C1042" s="1" t="n">
        <v>46158</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16454-2023</t>
        </is>
      </c>
      <c r="B1043" s="1" t="n">
        <v>45029.48425925926</v>
      </c>
      <c r="C1043" s="1" t="n">
        <v>46158</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31572-2022</t>
        </is>
      </c>
      <c r="B1044" s="1" t="n">
        <v>44775</v>
      </c>
      <c r="C1044" s="1" t="n">
        <v>46158</v>
      </c>
      <c r="D1044" t="inlineStr">
        <is>
          <t>SKÅNE LÄN</t>
        </is>
      </c>
      <c r="E1044" t="inlineStr">
        <is>
          <t>HÄSSLEHOLM</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70087-2021</t>
        </is>
      </c>
      <c r="B1045" s="1" t="n">
        <v>44533</v>
      </c>
      <c r="C1045" s="1" t="n">
        <v>46158</v>
      </c>
      <c r="D1045" t="inlineStr">
        <is>
          <t>SKÅNE LÄN</t>
        </is>
      </c>
      <c r="E1045" t="inlineStr">
        <is>
          <t>HÄSSLEHOLM</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9375-2023</t>
        </is>
      </c>
      <c r="B1046" s="1" t="n">
        <v>44981</v>
      </c>
      <c r="C1046" s="1" t="n">
        <v>46158</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29287-2023</t>
        </is>
      </c>
      <c r="B1047" s="1" t="n">
        <v>45098</v>
      </c>
      <c r="C1047" s="1" t="n">
        <v>46158</v>
      </c>
      <c r="D1047" t="inlineStr">
        <is>
          <t>SKÅNE LÄN</t>
        </is>
      </c>
      <c r="E1047" t="inlineStr">
        <is>
          <t>HÄSSLEHOLM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55416-2021</t>
        </is>
      </c>
      <c r="B1048" s="1" t="n">
        <v>44475</v>
      </c>
      <c r="C1048" s="1" t="n">
        <v>46158</v>
      </c>
      <c r="D1048" t="inlineStr">
        <is>
          <t>SKÅNE LÄN</t>
        </is>
      </c>
      <c r="E1048" t="inlineStr">
        <is>
          <t>HÄSSLEHOLM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60509-2023</t>
        </is>
      </c>
      <c r="B1049" s="1" t="n">
        <v>45259</v>
      </c>
      <c r="C1049" s="1" t="n">
        <v>46158</v>
      </c>
      <c r="D1049" t="inlineStr">
        <is>
          <t>SKÅNE LÄN</t>
        </is>
      </c>
      <c r="E1049" t="inlineStr">
        <is>
          <t>HÄSSLEHOLM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21310-2022</t>
        </is>
      </c>
      <c r="B1050" s="1" t="n">
        <v>44705</v>
      </c>
      <c r="C1050" s="1" t="n">
        <v>46158</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9485-2023</t>
        </is>
      </c>
      <c r="B1051" s="1" t="n">
        <v>44981.60901620371</v>
      </c>
      <c r="C1051" s="1" t="n">
        <v>46158</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9502-2023</t>
        </is>
      </c>
      <c r="B1052" s="1" t="n">
        <v>44981.63278935185</v>
      </c>
      <c r="C1052" s="1" t="n">
        <v>46158</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10928-2024</t>
        </is>
      </c>
      <c r="B1053" s="1" t="n">
        <v>45370</v>
      </c>
      <c r="C1053" s="1" t="n">
        <v>46158</v>
      </c>
      <c r="D1053" t="inlineStr">
        <is>
          <t>SKÅNE LÄN</t>
        </is>
      </c>
      <c r="E1053" t="inlineStr">
        <is>
          <t>HÄSSLEHOLM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5890-2023</t>
        </is>
      </c>
      <c r="B1054" s="1" t="n">
        <v>44963.64527777778</v>
      </c>
      <c r="C1054" s="1" t="n">
        <v>46158</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5894-2023</t>
        </is>
      </c>
      <c r="B1055" s="1" t="n">
        <v>44963.65148148148</v>
      </c>
      <c r="C1055" s="1" t="n">
        <v>46158</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12843-2023</t>
        </is>
      </c>
      <c r="B1056" s="1" t="n">
        <v>45001.48423611111</v>
      </c>
      <c r="C1056" s="1" t="n">
        <v>46158</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10944-2024</t>
        </is>
      </c>
      <c r="B1057" s="1" t="n">
        <v>45370</v>
      </c>
      <c r="C1057" s="1" t="n">
        <v>46158</v>
      </c>
      <c r="D1057" t="inlineStr">
        <is>
          <t>SKÅNE LÄN</t>
        </is>
      </c>
      <c r="E1057" t="inlineStr">
        <is>
          <t>HÄSSLEHOLM</t>
        </is>
      </c>
      <c r="F1057" t="inlineStr">
        <is>
          <t>Övriga Aktiebolag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13309-2025</t>
        </is>
      </c>
      <c r="B1058" s="1" t="n">
        <v>45735.58512731481</v>
      </c>
      <c r="C1058" s="1" t="n">
        <v>46158</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5980-2024</t>
        </is>
      </c>
      <c r="B1059" s="1" t="n">
        <v>45335</v>
      </c>
      <c r="C1059" s="1" t="n">
        <v>46158</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42372-2024</t>
        </is>
      </c>
      <c r="B1060" s="1" t="n">
        <v>45564.5127199074</v>
      </c>
      <c r="C1060" s="1" t="n">
        <v>46158</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17699-2024</t>
        </is>
      </c>
      <c r="B1061" s="1" t="n">
        <v>45418.46094907408</v>
      </c>
      <c r="C1061" s="1" t="n">
        <v>46158</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17702-2024</t>
        </is>
      </c>
      <c r="B1062" s="1" t="n">
        <v>45418.46534722222</v>
      </c>
      <c r="C1062" s="1" t="n">
        <v>46158</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20566-2023</t>
        </is>
      </c>
      <c r="B1063" s="1" t="n">
        <v>45057</v>
      </c>
      <c r="C1063" s="1" t="n">
        <v>46158</v>
      </c>
      <c r="D1063" t="inlineStr">
        <is>
          <t>SKÅNE LÄN</t>
        </is>
      </c>
      <c r="E1063" t="inlineStr">
        <is>
          <t>HÄSSLEHOLM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32967-2023</t>
        </is>
      </c>
      <c r="B1064" s="1" t="n">
        <v>45125</v>
      </c>
      <c r="C1064" s="1" t="n">
        <v>46158</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32968-2023</t>
        </is>
      </c>
      <c r="B1065" s="1" t="n">
        <v>45125</v>
      </c>
      <c r="C1065" s="1" t="n">
        <v>46158</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42231-2022</t>
        </is>
      </c>
      <c r="B1066" s="1" t="n">
        <v>44830.77003472222</v>
      </c>
      <c r="C1066" s="1" t="n">
        <v>46158</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54982-2024</t>
        </is>
      </c>
      <c r="B1067" s="1" t="n">
        <v>45620.7580787037</v>
      </c>
      <c r="C1067" s="1" t="n">
        <v>46158</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36795-2023</t>
        </is>
      </c>
      <c r="B1068" s="1" t="n">
        <v>45154.38245370371</v>
      </c>
      <c r="C1068" s="1" t="n">
        <v>46158</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15698-2023</t>
        </is>
      </c>
      <c r="B1069" s="1" t="n">
        <v>45021</v>
      </c>
      <c r="C1069" s="1" t="n">
        <v>46158</v>
      </c>
      <c r="D1069" t="inlineStr">
        <is>
          <t>SKÅNE LÄN</t>
        </is>
      </c>
      <c r="E1069" t="inlineStr">
        <is>
          <t>HÄSSLEHOLM</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12584-2025</t>
        </is>
      </c>
      <c r="B1070" s="1" t="n">
        <v>45732</v>
      </c>
      <c r="C1070" s="1" t="n">
        <v>46158</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31998-2023</t>
        </is>
      </c>
      <c r="B1071" s="1" t="n">
        <v>45119</v>
      </c>
      <c r="C1071" s="1" t="n">
        <v>46158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4140-2023</t>
        </is>
      </c>
      <c r="B1072" s="1" t="n">
        <v>44953</v>
      </c>
      <c r="C1072" s="1" t="n">
        <v>46158</v>
      </c>
      <c r="D1072" t="inlineStr">
        <is>
          <t>SKÅNE LÄN</t>
        </is>
      </c>
      <c r="E1072" t="inlineStr">
        <is>
          <t>HÄSSLEHOLM</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25077-2024</t>
        </is>
      </c>
      <c r="B1073" s="1" t="n">
        <v>45462</v>
      </c>
      <c r="C1073" s="1" t="n">
        <v>46158</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46942-2024</t>
        </is>
      </c>
      <c r="B1074" s="1" t="n">
        <v>45585.6684375</v>
      </c>
      <c r="C1074" s="1" t="n">
        <v>46158</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33257-2024</t>
        </is>
      </c>
      <c r="B1075" s="1" t="n">
        <v>45518</v>
      </c>
      <c r="C1075" s="1" t="n">
        <v>46158</v>
      </c>
      <c r="D1075" t="inlineStr">
        <is>
          <t>SKÅNE LÄN</t>
        </is>
      </c>
      <c r="E1075" t="inlineStr">
        <is>
          <t>HÄSSLEHOLM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17492-2025</t>
        </is>
      </c>
      <c r="B1076" s="1" t="n">
        <v>45747</v>
      </c>
      <c r="C1076" s="1" t="n">
        <v>46158</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51618-2024</t>
        </is>
      </c>
      <c r="B1077" s="1" t="n">
        <v>45604.82615740741</v>
      </c>
      <c r="C1077" s="1" t="n">
        <v>46158</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10409-2024</t>
        </is>
      </c>
      <c r="B1078" s="1" t="n">
        <v>45365.6978125</v>
      </c>
      <c r="C1078" s="1" t="n">
        <v>46158</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31995-2023</t>
        </is>
      </c>
      <c r="B1079" s="1" t="n">
        <v>45107</v>
      </c>
      <c r="C1079" s="1" t="n">
        <v>46158</v>
      </c>
      <c r="D1079" t="inlineStr">
        <is>
          <t>SKÅNE LÄN</t>
        </is>
      </c>
      <c r="E1079" t="inlineStr">
        <is>
          <t>HÄSSLEHOLM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4356-2024</t>
        </is>
      </c>
      <c r="B1080" s="1" t="n">
        <v>45325.36195601852</v>
      </c>
      <c r="C1080" s="1" t="n">
        <v>46158</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47840-2023</t>
        </is>
      </c>
      <c r="B1081" s="1" t="n">
        <v>45204</v>
      </c>
      <c r="C1081" s="1" t="n">
        <v>46158</v>
      </c>
      <c r="D1081" t="inlineStr">
        <is>
          <t>SKÅNE LÄN</t>
        </is>
      </c>
      <c r="E1081" t="inlineStr">
        <is>
          <t>HÄSSLEHOLM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34888-2023</t>
        </is>
      </c>
      <c r="B1082" s="1" t="n">
        <v>45142.388125</v>
      </c>
      <c r="C1082" s="1" t="n">
        <v>46158</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53085-2022</t>
        </is>
      </c>
      <c r="B1083" s="1" t="n">
        <v>44873</v>
      </c>
      <c r="C1083" s="1" t="n">
        <v>46158</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16388-2025</t>
        </is>
      </c>
      <c r="B1084" s="1" t="n">
        <v>45751.42787037037</v>
      </c>
      <c r="C1084" s="1" t="n">
        <v>46158</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16668-2025</t>
        </is>
      </c>
      <c r="B1085" s="1" t="n">
        <v>45754.43009259259</v>
      </c>
      <c r="C1085" s="1" t="n">
        <v>46158</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9709-2023</t>
        </is>
      </c>
      <c r="B1086" s="1" t="n">
        <v>44984.48376157408</v>
      </c>
      <c r="C1086" s="1" t="n">
        <v>46158</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13646-2024</t>
        </is>
      </c>
      <c r="B1087" s="1" t="n">
        <v>45387</v>
      </c>
      <c r="C1087" s="1" t="n">
        <v>46158</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21867-2023</t>
        </is>
      </c>
      <c r="B1088" s="1" t="n">
        <v>45063</v>
      </c>
      <c r="C1088" s="1" t="n">
        <v>46158</v>
      </c>
      <c r="D1088" t="inlineStr">
        <is>
          <t>SKÅNE LÄN</t>
        </is>
      </c>
      <c r="E1088" t="inlineStr">
        <is>
          <t>HÄSSLEHOLM</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13087-2023</t>
        </is>
      </c>
      <c r="B1089" s="1" t="n">
        <v>45001</v>
      </c>
      <c r="C1089" s="1" t="n">
        <v>46158</v>
      </c>
      <c r="D1089" t="inlineStr">
        <is>
          <t>SKÅNE LÄN</t>
        </is>
      </c>
      <c r="E1089" t="inlineStr">
        <is>
          <t>HÄSSLEHOLM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52968-2022</t>
        </is>
      </c>
      <c r="B1090" s="1" t="n">
        <v>44875</v>
      </c>
      <c r="C1090" s="1" t="n">
        <v>46158</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62167-2022</t>
        </is>
      </c>
      <c r="B1091" s="1" t="n">
        <v>44915</v>
      </c>
      <c r="C1091" s="1" t="n">
        <v>46158</v>
      </c>
      <c r="D1091" t="inlineStr">
        <is>
          <t>SKÅNE LÄN</t>
        </is>
      </c>
      <c r="E1091" t="inlineStr">
        <is>
          <t>HÄSSLEHOLM</t>
        </is>
      </c>
      <c r="F1091" t="inlineStr">
        <is>
          <t>Kyrkan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62234-2022</t>
        </is>
      </c>
      <c r="B1092" s="1" t="n">
        <v>44922</v>
      </c>
      <c r="C1092" s="1" t="n">
        <v>46158</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44741-2023</t>
        </is>
      </c>
      <c r="B1093" s="1" t="n">
        <v>45190.38804398148</v>
      </c>
      <c r="C1093" s="1" t="n">
        <v>46158</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9397-2025</t>
        </is>
      </c>
      <c r="B1094" s="1" t="n">
        <v>45715.37361111111</v>
      </c>
      <c r="C1094" s="1" t="n">
        <v>46158</v>
      </c>
      <c r="D1094" t="inlineStr">
        <is>
          <t>SKÅNE LÄN</t>
        </is>
      </c>
      <c r="E1094" t="inlineStr">
        <is>
          <t>HÄSSLEHOLM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50899-2024</t>
        </is>
      </c>
      <c r="B1095" s="1" t="n">
        <v>45602.68584490741</v>
      </c>
      <c r="C1095" s="1" t="n">
        <v>46158</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48624-2021</t>
        </is>
      </c>
      <c r="B1096" s="1" t="n">
        <v>44452</v>
      </c>
      <c r="C1096" s="1" t="n">
        <v>46158</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10802-2024</t>
        </is>
      </c>
      <c r="B1097" s="1" t="n">
        <v>45369</v>
      </c>
      <c r="C1097" s="1" t="n">
        <v>46158</v>
      </c>
      <c r="D1097" t="inlineStr">
        <is>
          <t>SKÅNE LÄN</t>
        </is>
      </c>
      <c r="E1097" t="inlineStr">
        <is>
          <t>HÄSSLEHOLM</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48046-2023</t>
        </is>
      </c>
      <c r="B1098" s="1" t="n">
        <v>45204.85201388889</v>
      </c>
      <c r="C1098" s="1" t="n">
        <v>46158</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11607-2025</t>
        </is>
      </c>
      <c r="B1099" s="1" t="n">
        <v>45727</v>
      </c>
      <c r="C1099" s="1" t="n">
        <v>46158</v>
      </c>
      <c r="D1099" t="inlineStr">
        <is>
          <t>SKÅNE LÄN</t>
        </is>
      </c>
      <c r="E1099" t="inlineStr">
        <is>
          <t>HÄSSLEHOLM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49106-2023</t>
        </is>
      </c>
      <c r="B1100" s="1" t="n">
        <v>45210</v>
      </c>
      <c r="C1100" s="1" t="n">
        <v>46158</v>
      </c>
      <c r="D1100" t="inlineStr">
        <is>
          <t>SKÅNE LÄN</t>
        </is>
      </c>
      <c r="E1100" t="inlineStr">
        <is>
          <t>HÄSSLEHOLM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58815-2023</t>
        </is>
      </c>
      <c r="B1101" s="1" t="n">
        <v>45247</v>
      </c>
      <c r="C1101" s="1" t="n">
        <v>46158</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9697-2023</t>
        </is>
      </c>
      <c r="B1102" s="1" t="n">
        <v>44984</v>
      </c>
      <c r="C1102" s="1" t="n">
        <v>46158</v>
      </c>
      <c r="D1102" t="inlineStr">
        <is>
          <t>SKÅNE LÄN</t>
        </is>
      </c>
      <c r="E1102" t="inlineStr">
        <is>
          <t>HÄSSLEHOLM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27478-2023</t>
        </is>
      </c>
      <c r="B1103" s="1" t="n">
        <v>45092</v>
      </c>
      <c r="C1103" s="1" t="n">
        <v>46158</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1170-2025</t>
        </is>
      </c>
      <c r="B1104" s="1" t="n">
        <v>45667.29226851852</v>
      </c>
      <c r="C1104" s="1" t="n">
        <v>46158</v>
      </c>
      <c r="D1104" t="inlineStr">
        <is>
          <t>SKÅNE LÄN</t>
        </is>
      </c>
      <c r="E1104" t="inlineStr">
        <is>
          <t>HÄSSLEHOLM</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57749-2023</t>
        </is>
      </c>
      <c r="B1105" s="1" t="n">
        <v>45246</v>
      </c>
      <c r="C1105" s="1" t="n">
        <v>46158</v>
      </c>
      <c r="D1105" t="inlineStr">
        <is>
          <t>SKÅNE LÄN</t>
        </is>
      </c>
      <c r="E1105" t="inlineStr">
        <is>
          <t>HÄSSLEHOLM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45190.68653935185</v>
      </c>
      <c r="C1106" s="1" t="n">
        <v>46158</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18800-2023</t>
        </is>
      </c>
      <c r="B1107" s="1" t="n">
        <v>45044</v>
      </c>
      <c r="C1107" s="1" t="n">
        <v>46158</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25206-2023</t>
        </is>
      </c>
      <c r="B1108" s="1" t="n">
        <v>45086.59318287037</v>
      </c>
      <c r="C1108" s="1" t="n">
        <v>46158</v>
      </c>
      <c r="D1108" t="inlineStr">
        <is>
          <t>SKÅNE LÄN</t>
        </is>
      </c>
      <c r="E1108" t="inlineStr">
        <is>
          <t>HÄSSLEHOLM</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5116-2023</t>
        </is>
      </c>
      <c r="B1109" s="1" t="n">
        <v>44958.67546296296</v>
      </c>
      <c r="C1109" s="1" t="n">
        <v>46158</v>
      </c>
      <c r="D1109" t="inlineStr">
        <is>
          <t>SKÅNE LÄN</t>
        </is>
      </c>
      <c r="E1109" t="inlineStr">
        <is>
          <t>HÄSSLEHOLM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10220-2023</t>
        </is>
      </c>
      <c r="B1110" s="1" t="n">
        <v>44986.60916666667</v>
      </c>
      <c r="C1110" s="1" t="n">
        <v>46158</v>
      </c>
      <c r="D1110" t="inlineStr">
        <is>
          <t>SKÅNE LÄN</t>
        </is>
      </c>
      <c r="E1110" t="inlineStr">
        <is>
          <t>HÄSSLEHOLM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25611-2024</t>
        </is>
      </c>
      <c r="B1111" s="1" t="n">
        <v>45463</v>
      </c>
      <c r="C1111" s="1" t="n">
        <v>46158</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26536-2022</t>
        </is>
      </c>
      <c r="B1112" s="1" t="n">
        <v>44739.45496527778</v>
      </c>
      <c r="C1112" s="1" t="n">
        <v>46158</v>
      </c>
      <c r="D1112" t="inlineStr">
        <is>
          <t>SKÅNE LÄN</t>
        </is>
      </c>
      <c r="E1112" t="inlineStr">
        <is>
          <t>HÄSSLEHOLM</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16334-2024</t>
        </is>
      </c>
      <c r="B1113" s="1" t="n">
        <v>45407.54856481482</v>
      </c>
      <c r="C1113" s="1" t="n">
        <v>46158</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41873-2023</t>
        </is>
      </c>
      <c r="B1114" s="1" t="n">
        <v>45176</v>
      </c>
      <c r="C1114" s="1" t="n">
        <v>46158</v>
      </c>
      <c r="D1114" t="inlineStr">
        <is>
          <t>SKÅNE LÄN</t>
        </is>
      </c>
      <c r="E1114" t="inlineStr">
        <is>
          <t>HÄSSLEHOLM</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60973-2024</t>
        </is>
      </c>
      <c r="B1115" s="1" t="n">
        <v>45644</v>
      </c>
      <c r="C1115" s="1" t="n">
        <v>46158</v>
      </c>
      <c r="D1115" t="inlineStr">
        <is>
          <t>SKÅNE LÄN</t>
        </is>
      </c>
      <c r="E1115" t="inlineStr">
        <is>
          <t>HÄSSLEHOLM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38228-2021</t>
        </is>
      </c>
      <c r="B1116" s="1" t="n">
        <v>44405</v>
      </c>
      <c r="C1116" s="1" t="n">
        <v>46158</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14655-2025</t>
        </is>
      </c>
      <c r="B1117" s="1" t="n">
        <v>45742.5072337963</v>
      </c>
      <c r="C1117" s="1" t="n">
        <v>46158</v>
      </c>
      <c r="D1117" t="inlineStr">
        <is>
          <t>SKÅNE LÄN</t>
        </is>
      </c>
      <c r="E1117" t="inlineStr">
        <is>
          <t>HÄSSLEHOLM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59763-2022</t>
        </is>
      </c>
      <c r="B1118" s="1" t="n">
        <v>44900</v>
      </c>
      <c r="C1118" s="1" t="n">
        <v>46158</v>
      </c>
      <c r="D1118" t="inlineStr">
        <is>
          <t>SKÅNE LÄN</t>
        </is>
      </c>
      <c r="E1118" t="inlineStr">
        <is>
          <t>HÄSSLEHOLM</t>
        </is>
      </c>
      <c r="F1118" t="inlineStr">
        <is>
          <t>Övriga Aktiebolag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43061-2024</t>
        </is>
      </c>
      <c r="B1119" s="1" t="n">
        <v>45567</v>
      </c>
      <c r="C1119" s="1" t="n">
        <v>46158</v>
      </c>
      <c r="D1119" t="inlineStr">
        <is>
          <t>SKÅNE LÄN</t>
        </is>
      </c>
      <c r="E1119" t="inlineStr">
        <is>
          <t>HÄSSLEHOLM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21328-2023</t>
        </is>
      </c>
      <c r="B1120" s="1" t="n">
        <v>45062</v>
      </c>
      <c r="C1120" s="1" t="n">
        <v>46158</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10277-2023</t>
        </is>
      </c>
      <c r="B1121" s="1" t="n">
        <v>44986</v>
      </c>
      <c r="C1121" s="1" t="n">
        <v>46158</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10290-2023</t>
        </is>
      </c>
      <c r="B1122" s="1" t="n">
        <v>44986</v>
      </c>
      <c r="C1122" s="1" t="n">
        <v>46158</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6619-2024</t>
        </is>
      </c>
      <c r="B1123" s="1" t="n">
        <v>45341.6021412037</v>
      </c>
      <c r="C1123" s="1" t="n">
        <v>46158</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20666-2023</t>
        </is>
      </c>
      <c r="B1124" s="1" t="n">
        <v>45058.35664351852</v>
      </c>
      <c r="C1124" s="1" t="n">
        <v>46158</v>
      </c>
      <c r="D1124" t="inlineStr">
        <is>
          <t>SKÅNE LÄN</t>
        </is>
      </c>
      <c r="E1124" t="inlineStr">
        <is>
          <t>HÄSSLEHOLM</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19593-2023</t>
        </is>
      </c>
      <c r="B1125" s="1" t="n">
        <v>45050.75895833333</v>
      </c>
      <c r="C1125" s="1" t="n">
        <v>46158</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7494-2023</t>
        </is>
      </c>
      <c r="B1126" s="1" t="n">
        <v>44971.70835648148</v>
      </c>
      <c r="C1126" s="1" t="n">
        <v>46158</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6087-2025</t>
        </is>
      </c>
      <c r="B1127" s="1" t="n">
        <v>45697.69782407407</v>
      </c>
      <c r="C1127" s="1" t="n">
        <v>46158</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50571-2023</t>
        </is>
      </c>
      <c r="B1128" s="1" t="n">
        <v>45217.38359953704</v>
      </c>
      <c r="C1128" s="1" t="n">
        <v>46158</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18041-2023</t>
        </is>
      </c>
      <c r="B1129" s="1" t="n">
        <v>45040</v>
      </c>
      <c r="C1129" s="1" t="n">
        <v>46158</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16950-2025</t>
        </is>
      </c>
      <c r="B1130" s="1" t="n">
        <v>45755</v>
      </c>
      <c r="C1130" s="1" t="n">
        <v>46158</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58618-2024</t>
        </is>
      </c>
      <c r="B1131" s="1" t="n">
        <v>45635.56150462963</v>
      </c>
      <c r="C1131" s="1" t="n">
        <v>46158</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52337-2023</t>
        </is>
      </c>
      <c r="B1132" s="1" t="n">
        <v>45224.66359953704</v>
      </c>
      <c r="C1132" s="1" t="n">
        <v>46158</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13084-2025</t>
        </is>
      </c>
      <c r="B1133" s="1" t="n">
        <v>45734</v>
      </c>
      <c r="C1133" s="1" t="n">
        <v>46158</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27991-2024</t>
        </is>
      </c>
      <c r="B1134" s="1" t="n">
        <v>45476</v>
      </c>
      <c r="C1134" s="1" t="n">
        <v>46158</v>
      </c>
      <c r="D1134" t="inlineStr">
        <is>
          <t>SKÅNE LÄN</t>
        </is>
      </c>
      <c r="E1134" t="inlineStr">
        <is>
          <t>HÄSSLEHOLM</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6612-2024</t>
        </is>
      </c>
      <c r="B1135" s="1" t="n">
        <v>45341.58859953703</v>
      </c>
      <c r="C1135" s="1" t="n">
        <v>46158</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5887-2025</t>
        </is>
      </c>
      <c r="B1136" s="1" t="n">
        <v>45695.37925925926</v>
      </c>
      <c r="C1136" s="1" t="n">
        <v>46158</v>
      </c>
      <c r="D1136" t="inlineStr">
        <is>
          <t>SKÅNE LÄN</t>
        </is>
      </c>
      <c r="E1136" t="inlineStr">
        <is>
          <t>HÄSSLEHOLM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8760-2024</t>
        </is>
      </c>
      <c r="B1137" s="1" t="n">
        <v>45356.53420138889</v>
      </c>
      <c r="C1137" s="1" t="n">
        <v>46158</v>
      </c>
      <c r="D1137" t="inlineStr">
        <is>
          <t>SKÅNE LÄN</t>
        </is>
      </c>
      <c r="E1137" t="inlineStr">
        <is>
          <t>HÄSSLEHOLM</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48889-2024</t>
        </is>
      </c>
      <c r="B1138" s="1" t="n">
        <v>45594.33754629629</v>
      </c>
      <c r="C1138" s="1" t="n">
        <v>46158</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2567-2024</t>
        </is>
      </c>
      <c r="B1139" s="1" t="n">
        <v>45313.62460648148</v>
      </c>
      <c r="C1139" s="1" t="n">
        <v>46158</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29994-2023</t>
        </is>
      </c>
      <c r="B1140" s="1" t="n">
        <v>45109.60038194444</v>
      </c>
      <c r="C1140" s="1" t="n">
        <v>46158</v>
      </c>
      <c r="D1140" t="inlineStr">
        <is>
          <t>SKÅNE LÄN</t>
        </is>
      </c>
      <c r="E1140" t="inlineStr">
        <is>
          <t>HÄSSLEHOLM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20872-2025</t>
        </is>
      </c>
      <c r="B1141" s="1" t="n">
        <v>45777.34688657407</v>
      </c>
      <c r="C1141" s="1" t="n">
        <v>46158</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21091-2025</t>
        </is>
      </c>
      <c r="B1142" s="1" t="n">
        <v>45777</v>
      </c>
      <c r="C1142" s="1" t="n">
        <v>46158</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21206-2025</t>
        </is>
      </c>
      <c r="B1143" s="1" t="n">
        <v>45779.48318287037</v>
      </c>
      <c r="C1143" s="1" t="n">
        <v>46158</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29845-2024</t>
        </is>
      </c>
      <c r="B1144" s="1" t="n">
        <v>45485.6212037037</v>
      </c>
      <c r="C1144" s="1" t="n">
        <v>46158</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20006-2025</t>
        </is>
      </c>
      <c r="B1145" s="1" t="n">
        <v>45772.05032407407</v>
      </c>
      <c r="C1145" s="1" t="n">
        <v>46158</v>
      </c>
      <c r="D1145" t="inlineStr">
        <is>
          <t>SKÅNE LÄN</t>
        </is>
      </c>
      <c r="E1145" t="inlineStr">
        <is>
          <t>HÄSSLEHOLM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61533-2024</t>
        </is>
      </c>
      <c r="B1146" s="1" t="n">
        <v>45646</v>
      </c>
      <c r="C1146" s="1" t="n">
        <v>46158</v>
      </c>
      <c r="D1146" t="inlineStr">
        <is>
          <t>SKÅNE LÄN</t>
        </is>
      </c>
      <c r="E1146" t="inlineStr">
        <is>
          <t>HÄSSLEHOLM</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61537-2024</t>
        </is>
      </c>
      <c r="B1147" s="1" t="n">
        <v>45646</v>
      </c>
      <c r="C1147" s="1" t="n">
        <v>46158</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21638-2025</t>
        </is>
      </c>
      <c r="B1148" s="1" t="n">
        <v>45783.43087962963</v>
      </c>
      <c r="C1148" s="1" t="n">
        <v>46158</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7818-2024</t>
        </is>
      </c>
      <c r="B1149" s="1" t="n">
        <v>45349.68872685185</v>
      </c>
      <c r="C1149" s="1" t="n">
        <v>46158</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39111-2023</t>
        </is>
      </c>
      <c r="B1150" s="1" t="n">
        <v>45164.87140046297</v>
      </c>
      <c r="C1150" s="1" t="n">
        <v>46158</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60851-2024</t>
        </is>
      </c>
      <c r="B1151" s="1" t="n">
        <v>45644.66182870371</v>
      </c>
      <c r="C1151" s="1" t="n">
        <v>46158</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317-2025</t>
        </is>
      </c>
      <c r="B1152" s="1" t="n">
        <v>45660</v>
      </c>
      <c r="C1152" s="1" t="n">
        <v>46158</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21625-2025</t>
        </is>
      </c>
      <c r="B1153" s="1" t="n">
        <v>45783.41252314814</v>
      </c>
      <c r="C1153" s="1" t="n">
        <v>46158</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60920-2024</t>
        </is>
      </c>
      <c r="B1154" s="1" t="n">
        <v>45645.34442129629</v>
      </c>
      <c r="C1154" s="1" t="n">
        <v>46158</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1703-2025</t>
        </is>
      </c>
      <c r="B1155" s="1" t="n">
        <v>45670.80732638889</v>
      </c>
      <c r="C1155" s="1" t="n">
        <v>46158</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22024-2025</t>
        </is>
      </c>
      <c r="B1156" s="1" t="n">
        <v>45784.85322916666</v>
      </c>
      <c r="C1156" s="1" t="n">
        <v>46158</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29274-2023</t>
        </is>
      </c>
      <c r="B1157" s="1" t="n">
        <v>45105</v>
      </c>
      <c r="C1157" s="1" t="n">
        <v>46158</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34890-2023</t>
        </is>
      </c>
      <c r="B1158" s="1" t="n">
        <v>45142.39475694444</v>
      </c>
      <c r="C1158" s="1" t="n">
        <v>46158</v>
      </c>
      <c r="D1158" t="inlineStr">
        <is>
          <t>SKÅNE LÄN</t>
        </is>
      </c>
      <c r="E1158" t="inlineStr">
        <is>
          <t>HÄSSLEHOLM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3886-2024</t>
        </is>
      </c>
      <c r="B1159" s="1" t="n">
        <v>45322.44539351852</v>
      </c>
      <c r="C1159" s="1" t="n">
        <v>46158</v>
      </c>
      <c r="D1159" t="inlineStr">
        <is>
          <t>SKÅNE LÄN</t>
        </is>
      </c>
      <c r="E1159" t="inlineStr">
        <is>
          <t>HÄSSLEHOLM</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61932-2023</t>
        </is>
      </c>
      <c r="B1160" s="1" t="n">
        <v>45266.53761574074</v>
      </c>
      <c r="C1160" s="1" t="n">
        <v>46158</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13149-2024</t>
        </is>
      </c>
      <c r="B1161" s="1" t="n">
        <v>45386</v>
      </c>
      <c r="C1161" s="1" t="n">
        <v>46158</v>
      </c>
      <c r="D1161" t="inlineStr">
        <is>
          <t>SKÅNE LÄN</t>
        </is>
      </c>
      <c r="E1161" t="inlineStr">
        <is>
          <t>HÄSSLEHOLM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53466-2024</t>
        </is>
      </c>
      <c r="B1162" s="1" t="n">
        <v>45614.55304398148</v>
      </c>
      <c r="C1162" s="1" t="n">
        <v>46158</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10230-2025</t>
        </is>
      </c>
      <c r="B1163" s="1" t="n">
        <v>45720</v>
      </c>
      <c r="C1163" s="1" t="n">
        <v>46158</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19735-2023</t>
        </is>
      </c>
      <c r="B1164" s="1" t="n">
        <v>45051.52199074074</v>
      </c>
      <c r="C1164" s="1" t="n">
        <v>46158</v>
      </c>
      <c r="D1164" t="inlineStr">
        <is>
          <t>SKÅNE LÄN</t>
        </is>
      </c>
      <c r="E1164" t="inlineStr">
        <is>
          <t>HÄSSLEHOLM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48797-2023</t>
        </is>
      </c>
      <c r="B1165" s="1" t="n">
        <v>45209.24986111111</v>
      </c>
      <c r="C1165" s="1" t="n">
        <v>46158</v>
      </c>
      <c r="D1165" t="inlineStr">
        <is>
          <t>SKÅNE LÄN</t>
        </is>
      </c>
      <c r="E1165" t="inlineStr">
        <is>
          <t>HÄSSLEHOLM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5532-2025</t>
        </is>
      </c>
      <c r="B1166" s="1" t="n">
        <v>45693</v>
      </c>
      <c r="C1166" s="1" t="n">
        <v>46158</v>
      </c>
      <c r="D1166" t="inlineStr">
        <is>
          <t>SKÅNE LÄN</t>
        </is>
      </c>
      <c r="E1166" t="inlineStr">
        <is>
          <t>HÄSSLEHOLM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55662-2022</t>
        </is>
      </c>
      <c r="B1167" s="1" t="n">
        <v>44883</v>
      </c>
      <c r="C1167" s="1" t="n">
        <v>46158</v>
      </c>
      <c r="D1167" t="inlineStr">
        <is>
          <t>SKÅNE LÄN</t>
        </is>
      </c>
      <c r="E1167" t="inlineStr">
        <is>
          <t>HÄSSLEHOLM</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29844-2024</t>
        </is>
      </c>
      <c r="B1168" s="1" t="n">
        <v>45485</v>
      </c>
      <c r="C1168" s="1" t="n">
        <v>46158</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40536-2024</t>
        </is>
      </c>
      <c r="B1169" s="1" t="n">
        <v>45555.61314814815</v>
      </c>
      <c r="C1169" s="1" t="n">
        <v>46158</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33266-2024</t>
        </is>
      </c>
      <c r="B1170" s="1" t="n">
        <v>45518</v>
      </c>
      <c r="C1170" s="1" t="n">
        <v>46158</v>
      </c>
      <c r="D1170" t="inlineStr">
        <is>
          <t>SKÅNE LÄN</t>
        </is>
      </c>
      <c r="E1170" t="inlineStr">
        <is>
          <t>HÄSSLEHOLM</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56386-2023</t>
        </is>
      </c>
      <c r="B1171" s="1" t="n">
        <v>45243</v>
      </c>
      <c r="C1171" s="1" t="n">
        <v>46158</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2490-2024</t>
        </is>
      </c>
      <c r="B1172" s="1" t="n">
        <v>45313.43649305555</v>
      </c>
      <c r="C1172" s="1" t="n">
        <v>46158</v>
      </c>
      <c r="D1172" t="inlineStr">
        <is>
          <t>SKÅNE LÄN</t>
        </is>
      </c>
      <c r="E1172" t="inlineStr">
        <is>
          <t>HÄSSLEHOLM</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50244-2024</t>
        </is>
      </c>
      <c r="B1173" s="1" t="n">
        <v>45600.56502314815</v>
      </c>
      <c r="C1173" s="1" t="n">
        <v>46158</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9924-2025</t>
        </is>
      </c>
      <c r="B1174" s="1" t="n">
        <v>45717.72505787037</v>
      </c>
      <c r="C1174" s="1" t="n">
        <v>46158</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13007-2024</t>
        </is>
      </c>
      <c r="B1175" s="1" t="n">
        <v>45385.57092592592</v>
      </c>
      <c r="C1175" s="1" t="n">
        <v>46158</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23007-2025</t>
        </is>
      </c>
      <c r="B1176" s="1" t="n">
        <v>45790</v>
      </c>
      <c r="C1176" s="1" t="n">
        <v>46158</v>
      </c>
      <c r="D1176" t="inlineStr">
        <is>
          <t>SKÅNE LÄN</t>
        </is>
      </c>
      <c r="E1176" t="inlineStr">
        <is>
          <t>HÄSSLEHOLM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7221-2025</t>
        </is>
      </c>
      <c r="B1177" s="1" t="n">
        <v>45701</v>
      </c>
      <c r="C1177" s="1" t="n">
        <v>46158</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74030-2021</t>
        </is>
      </c>
      <c r="B1178" s="1" t="n">
        <v>44553</v>
      </c>
      <c r="C1178" s="1" t="n">
        <v>46158</v>
      </c>
      <c r="D1178" t="inlineStr">
        <is>
          <t>SKÅNE LÄN</t>
        </is>
      </c>
      <c r="E1178" t="inlineStr">
        <is>
          <t>HÄSSLEHOLM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27606-2024</t>
        </is>
      </c>
      <c r="B1179" s="1" t="n">
        <v>45474</v>
      </c>
      <c r="C1179" s="1" t="n">
        <v>46158</v>
      </c>
      <c r="D1179" t="inlineStr">
        <is>
          <t>SKÅNE LÄN</t>
        </is>
      </c>
      <c r="E1179" t="inlineStr">
        <is>
          <t>HÄSSLEHOLM</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56735-2024</t>
        </is>
      </c>
      <c r="B1180" s="1" t="n">
        <v>45628.36234953703</v>
      </c>
      <c r="C1180" s="1" t="n">
        <v>46158</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2621-2025</t>
        </is>
      </c>
      <c r="B1181" s="1" t="n">
        <v>45675.60765046296</v>
      </c>
      <c r="C1181" s="1" t="n">
        <v>46158</v>
      </c>
      <c r="D1181" t="inlineStr">
        <is>
          <t>SKÅNE LÄN</t>
        </is>
      </c>
      <c r="E1181" t="inlineStr">
        <is>
          <t>HÄSSLEHOLM</t>
        </is>
      </c>
      <c r="F1181" t="inlineStr">
        <is>
          <t>Kommuner</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23005-2025</t>
        </is>
      </c>
      <c r="B1182" s="1" t="n">
        <v>45790</v>
      </c>
      <c r="C1182" s="1" t="n">
        <v>46158</v>
      </c>
      <c r="D1182" t="inlineStr">
        <is>
          <t>SKÅNE LÄN</t>
        </is>
      </c>
      <c r="E1182" t="inlineStr">
        <is>
          <t>HÄSSLEHOLM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8737-2025</t>
        </is>
      </c>
      <c r="B1183" s="1" t="n">
        <v>45712.54578703704</v>
      </c>
      <c r="C1183" s="1" t="n">
        <v>46158</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22587-2025</t>
        </is>
      </c>
      <c r="B1184" s="1" t="n">
        <v>45789.39974537037</v>
      </c>
      <c r="C1184" s="1" t="n">
        <v>46158</v>
      </c>
      <c r="D1184" t="inlineStr">
        <is>
          <t>SKÅNE LÄN</t>
        </is>
      </c>
      <c r="E1184" t="inlineStr">
        <is>
          <t>HÄSSLEHOLM</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22592-2025</t>
        </is>
      </c>
      <c r="B1185" s="1" t="n">
        <v>45789.40502314815</v>
      </c>
      <c r="C1185" s="1" t="n">
        <v>46158</v>
      </c>
      <c r="D1185" t="inlineStr">
        <is>
          <t>SKÅNE LÄN</t>
        </is>
      </c>
      <c r="E1185" t="inlineStr">
        <is>
          <t>HÄSSLEHOLM</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17171-2025</t>
        </is>
      </c>
      <c r="B1186" s="1" t="n">
        <v>45755</v>
      </c>
      <c r="C1186" s="1" t="n">
        <v>46158</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13954-2023</t>
        </is>
      </c>
      <c r="B1187" s="1" t="n">
        <v>45008</v>
      </c>
      <c r="C1187" s="1" t="n">
        <v>46158</v>
      </c>
      <c r="D1187" t="inlineStr">
        <is>
          <t>SKÅNE LÄN</t>
        </is>
      </c>
      <c r="E1187" t="inlineStr">
        <is>
          <t>HÄSSLEHOLM</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51018-2023</t>
        </is>
      </c>
      <c r="B1188" s="1" t="n">
        <v>45218</v>
      </c>
      <c r="C1188" s="1" t="n">
        <v>46158</v>
      </c>
      <c r="D1188" t="inlineStr">
        <is>
          <t>SKÅNE LÄN</t>
        </is>
      </c>
      <c r="E1188" t="inlineStr">
        <is>
          <t>HÄSSLEHOLM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40152-2024</t>
        </is>
      </c>
      <c r="B1189" s="1" t="n">
        <v>45554</v>
      </c>
      <c r="C1189" s="1" t="n">
        <v>46158</v>
      </c>
      <c r="D1189" t="inlineStr">
        <is>
          <t>SKÅNE LÄN</t>
        </is>
      </c>
      <c r="E1189" t="inlineStr">
        <is>
          <t>HÄSSLEHOLM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31254-2024</t>
        </is>
      </c>
      <c r="B1190" s="1" t="n">
        <v>45503</v>
      </c>
      <c r="C1190" s="1" t="n">
        <v>46158</v>
      </c>
      <c r="D1190" t="inlineStr">
        <is>
          <t>SKÅNE LÄN</t>
        </is>
      </c>
      <c r="E1190" t="inlineStr">
        <is>
          <t>HÄSSLEHOLM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27825-2024</t>
        </is>
      </c>
      <c r="B1191" s="1" t="n">
        <v>45475</v>
      </c>
      <c r="C1191" s="1" t="n">
        <v>46158</v>
      </c>
      <c r="D1191" t="inlineStr">
        <is>
          <t>SKÅNE LÄN</t>
        </is>
      </c>
      <c r="E1191" t="inlineStr">
        <is>
          <t>HÄSSLEHOLM</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c r="A1192" t="inlineStr">
        <is>
          <t>A 37764-2022</t>
        </is>
      </c>
      <c r="B1192" s="1" t="n">
        <v>44810</v>
      </c>
      <c r="C1192" s="1" t="n">
        <v>46158</v>
      </c>
      <c r="D1192" t="inlineStr">
        <is>
          <t>SKÅNE LÄN</t>
        </is>
      </c>
      <c r="E1192" t="inlineStr">
        <is>
          <t>HÄSSLEHOLM</t>
        </is>
      </c>
      <c r="F1192" t="inlineStr">
        <is>
          <t>Kyrkan</t>
        </is>
      </c>
      <c r="G1192" t="n">
        <v>9.4</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2026-05-16T12:17:45Z</dcterms:created>
  <dcterms:modified xmlns:dcterms="http://purl.org/dc/terms/" xmlns:xsi="http://www.w3.org/2001/XMLSchema-instance" xsi:type="dcterms:W3CDTF">2026-05-16T12:17:46Z</dcterms:modified>
</cp:coreProperties>
</file>