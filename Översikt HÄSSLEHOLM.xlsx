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45970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45970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45970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45970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45970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45970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45970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45970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45970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45970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45970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45970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45970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45970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45970</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45970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45970</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45970</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45970</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45970</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14933-2023</t>
        </is>
      </c>
      <c r="B22" s="1" t="n">
        <v>45014</v>
      </c>
      <c r="C22" s="1" t="n">
        <v>45970</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8223-2025</t>
        </is>
      </c>
      <c r="B23" s="1" t="n">
        <v>45708.46127314815</v>
      </c>
      <c r="C23" s="1" t="n">
        <v>45970</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43874-2022</t>
        </is>
      </c>
      <c r="B24" s="1" t="n">
        <v>44838.44738425926</v>
      </c>
      <c r="C24" s="1" t="n">
        <v>45970</v>
      </c>
      <c r="D24" t="inlineStr">
        <is>
          <t>SKÅNE LÄN</t>
        </is>
      </c>
      <c r="E24" t="inlineStr">
        <is>
          <t>HÄSSLEHOLM</t>
        </is>
      </c>
      <c r="G24" t="n">
        <v>2.1</v>
      </c>
      <c r="H24" t="n">
        <v>0</v>
      </c>
      <c r="I24" t="n">
        <v>0</v>
      </c>
      <c r="J24" t="n">
        <v>1</v>
      </c>
      <c r="K24" t="n">
        <v>0</v>
      </c>
      <c r="L24" t="n">
        <v>0</v>
      </c>
      <c r="M24" t="n">
        <v>0</v>
      </c>
      <c r="N24" t="n">
        <v>0</v>
      </c>
      <c r="O24" t="n">
        <v>1</v>
      </c>
      <c r="P24" t="n">
        <v>0</v>
      </c>
      <c r="Q24" t="n">
        <v>1</v>
      </c>
      <c r="R24" s="2" t="inlineStr">
        <is>
          <t>Igelkott</t>
        </is>
      </c>
      <c r="S24">
        <f>HYPERLINK("https://klasma.github.io/Logging_1293/artfynd/A 43874-2022 artfynd.xlsx", "A 43874-2022")</f>
        <v/>
      </c>
      <c r="T24">
        <f>HYPERLINK("https://klasma.github.io/Logging_1293/kartor/A 43874-2022 karta.png", "A 43874-2022")</f>
        <v/>
      </c>
      <c r="V24">
        <f>HYPERLINK("https://klasma.github.io/Logging_1293/klagomål/A 43874-2022 FSC-klagomål.docx", "A 43874-2022")</f>
        <v/>
      </c>
      <c r="W24">
        <f>HYPERLINK("https://klasma.github.io/Logging_1293/klagomålsmail/A 43874-2022 FSC-klagomål mail.docx", "A 43874-2022")</f>
        <v/>
      </c>
      <c r="X24">
        <f>HYPERLINK("https://klasma.github.io/Logging_1293/tillsyn/A 43874-2022 tillsynsbegäran.docx", "A 43874-2022")</f>
        <v/>
      </c>
      <c r="Y24">
        <f>HYPERLINK("https://klasma.github.io/Logging_1293/tillsynsmail/A 43874-2022 tillsynsbegäran mail.docx", "A 43874-2022")</f>
        <v/>
      </c>
    </row>
    <row r="25" ht="15" customHeight="1">
      <c r="A25" t="inlineStr">
        <is>
          <t>A 29272-2023</t>
        </is>
      </c>
      <c r="B25" s="1" t="n">
        <v>45105</v>
      </c>
      <c r="C25" s="1" t="n">
        <v>45970</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4619-2025</t>
        </is>
      </c>
      <c r="B26" s="1" t="n">
        <v>45687</v>
      </c>
      <c r="C26" s="1" t="n">
        <v>45970</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7862-2024</t>
        </is>
      </c>
      <c r="B27" s="1" t="n">
        <v>45348</v>
      </c>
      <c r="C27" s="1" t="n">
        <v>45970</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20280-2025</t>
        </is>
      </c>
      <c r="B28" s="1" t="n">
        <v>45774.38790509259</v>
      </c>
      <c r="C28" s="1" t="n">
        <v>45970</v>
      </c>
      <c r="D28" t="inlineStr">
        <is>
          <t>SKÅNE LÄN</t>
        </is>
      </c>
      <c r="E28" t="inlineStr">
        <is>
          <t>HÄSSLEHOLM</t>
        </is>
      </c>
      <c r="G28" t="n">
        <v>3</v>
      </c>
      <c r="H28" t="n">
        <v>0</v>
      </c>
      <c r="I28" t="n">
        <v>0</v>
      </c>
      <c r="J28" t="n">
        <v>0</v>
      </c>
      <c r="K28" t="n">
        <v>1</v>
      </c>
      <c r="L28" t="n">
        <v>0</v>
      </c>
      <c r="M28" t="n">
        <v>0</v>
      </c>
      <c r="N28" t="n">
        <v>0</v>
      </c>
      <c r="O28" t="n">
        <v>1</v>
      </c>
      <c r="P28" t="n">
        <v>1</v>
      </c>
      <c r="Q28" t="n">
        <v>1</v>
      </c>
      <c r="R28" s="2" t="inlineStr">
        <is>
          <t>Revig blodrot</t>
        </is>
      </c>
      <c r="S28">
        <f>HYPERLINK("https://klasma.github.io/Logging_1293/artfynd/A 20280-2025 artfynd.xlsx", "A 20280-2025")</f>
        <v/>
      </c>
      <c r="T28">
        <f>HYPERLINK("https://klasma.github.io/Logging_1293/kartor/A 20280-2025 karta.png", "A 20280-2025")</f>
        <v/>
      </c>
      <c r="V28">
        <f>HYPERLINK("https://klasma.github.io/Logging_1293/klagomål/A 20280-2025 FSC-klagomål.docx", "A 20280-2025")</f>
        <v/>
      </c>
      <c r="W28">
        <f>HYPERLINK("https://klasma.github.io/Logging_1293/klagomålsmail/A 20280-2025 FSC-klagomål mail.docx", "A 20280-2025")</f>
        <v/>
      </c>
      <c r="X28">
        <f>HYPERLINK("https://klasma.github.io/Logging_1293/tillsyn/A 20280-2025 tillsynsbegäran.docx", "A 20280-2025")</f>
        <v/>
      </c>
      <c r="Y28">
        <f>HYPERLINK("https://klasma.github.io/Logging_1293/tillsynsmail/A 20280-2025 tillsynsbegäran mail.docx", "A 20280-2025")</f>
        <v/>
      </c>
    </row>
    <row r="29" ht="15" customHeight="1">
      <c r="A29" t="inlineStr">
        <is>
          <t>A 40613-2025</t>
        </is>
      </c>
      <c r="B29" s="1" t="n">
        <v>45896</v>
      </c>
      <c r="C29" s="1" t="n">
        <v>45970</v>
      </c>
      <c r="D29" t="inlineStr">
        <is>
          <t>SKÅNE LÄN</t>
        </is>
      </c>
      <c r="E29" t="inlineStr">
        <is>
          <t>HÄSSLEHOLM</t>
        </is>
      </c>
      <c r="F29" t="inlineStr">
        <is>
          <t>Kyrkan</t>
        </is>
      </c>
      <c r="G29" t="n">
        <v>3.4</v>
      </c>
      <c r="H29" t="n">
        <v>1</v>
      </c>
      <c r="I29" t="n">
        <v>0</v>
      </c>
      <c r="J29" t="n">
        <v>0</v>
      </c>
      <c r="K29" t="n">
        <v>0</v>
      </c>
      <c r="L29" t="n">
        <v>0</v>
      </c>
      <c r="M29" t="n">
        <v>0</v>
      </c>
      <c r="N29" t="n">
        <v>0</v>
      </c>
      <c r="O29" t="n">
        <v>0</v>
      </c>
      <c r="P29" t="n">
        <v>0</v>
      </c>
      <c r="Q29" t="n">
        <v>1</v>
      </c>
      <c r="R29" s="2" t="inlineStr">
        <is>
          <t>Revlummer</t>
        </is>
      </c>
      <c r="S29">
        <f>HYPERLINK("https://klasma.github.io/Logging_1293/artfynd/A 40613-2025 artfynd.xlsx", "A 40613-2025")</f>
        <v/>
      </c>
      <c r="T29">
        <f>HYPERLINK("https://klasma.github.io/Logging_1293/kartor/A 40613-2025 karta.png", "A 40613-2025")</f>
        <v/>
      </c>
      <c r="V29">
        <f>HYPERLINK("https://klasma.github.io/Logging_1293/klagomål/A 40613-2025 FSC-klagomål.docx", "A 40613-2025")</f>
        <v/>
      </c>
      <c r="W29">
        <f>HYPERLINK("https://klasma.github.io/Logging_1293/klagomålsmail/A 40613-2025 FSC-klagomål mail.docx", "A 40613-2025")</f>
        <v/>
      </c>
      <c r="X29">
        <f>HYPERLINK("https://klasma.github.io/Logging_1293/tillsyn/A 40613-2025 tillsynsbegäran.docx", "A 40613-2025")</f>
        <v/>
      </c>
      <c r="Y29">
        <f>HYPERLINK("https://klasma.github.io/Logging_1293/tillsynsmail/A 40613-2025 tillsynsbegäran mail.docx", "A 40613-2025")</f>
        <v/>
      </c>
    </row>
    <row r="30" ht="15" customHeight="1">
      <c r="A30" t="inlineStr">
        <is>
          <t>A 9289-2025</t>
        </is>
      </c>
      <c r="B30" s="1" t="n">
        <v>45714</v>
      </c>
      <c r="C30" s="1" t="n">
        <v>45970</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61707-2024</t>
        </is>
      </c>
      <c r="B31" s="1" t="n">
        <v>45648.61747685185</v>
      </c>
      <c r="C31" s="1" t="n">
        <v>45970</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Rödlånke</t>
        </is>
      </c>
      <c r="S31">
        <f>HYPERLINK("https://klasma.github.io/Logging_1293/artfynd/A 61707-2024 artfynd.xlsx", "A 61707-2024")</f>
        <v/>
      </c>
      <c r="T31">
        <f>HYPERLINK("https://klasma.github.io/Logging_1293/kartor/A 61707-2024 karta.png", "A 61707-2024")</f>
        <v/>
      </c>
      <c r="V31">
        <f>HYPERLINK("https://klasma.github.io/Logging_1293/klagomål/A 61707-2024 FSC-klagomål.docx", "A 61707-2024")</f>
        <v/>
      </c>
      <c r="W31">
        <f>HYPERLINK("https://klasma.github.io/Logging_1293/klagomålsmail/A 61707-2024 FSC-klagomål mail.docx", "A 61707-2024")</f>
        <v/>
      </c>
      <c r="X31">
        <f>HYPERLINK("https://klasma.github.io/Logging_1293/tillsyn/A 61707-2024 tillsynsbegäran.docx", "A 61707-2024")</f>
        <v/>
      </c>
      <c r="Y31">
        <f>HYPERLINK("https://klasma.github.io/Logging_1293/tillsynsmail/A 61707-2024 tillsynsbegäran mail.docx", "A 61707-2024")</f>
        <v/>
      </c>
    </row>
    <row r="32" ht="15" customHeight="1">
      <c r="A32" t="inlineStr">
        <is>
          <t>A 6634-2024</t>
        </is>
      </c>
      <c r="B32" s="1" t="n">
        <v>45341</v>
      </c>
      <c r="C32" s="1" t="n">
        <v>45970</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60925-2024</t>
        </is>
      </c>
      <c r="B33" s="1" t="n">
        <v>45645.3550462963</v>
      </c>
      <c r="C33" s="1" t="n">
        <v>45970</v>
      </c>
      <c r="D33" t="inlineStr">
        <is>
          <t>SKÅNE LÄN</t>
        </is>
      </c>
      <c r="E33" t="inlineStr">
        <is>
          <t>HÄSSLEHOLM</t>
        </is>
      </c>
      <c r="G33" t="n">
        <v>1.8</v>
      </c>
      <c r="H33" t="n">
        <v>0</v>
      </c>
      <c r="I33" t="n">
        <v>0</v>
      </c>
      <c r="J33" t="n">
        <v>0</v>
      </c>
      <c r="K33" t="n">
        <v>0</v>
      </c>
      <c r="L33" t="n">
        <v>1</v>
      </c>
      <c r="M33" t="n">
        <v>0</v>
      </c>
      <c r="N33" t="n">
        <v>0</v>
      </c>
      <c r="O33" t="n">
        <v>1</v>
      </c>
      <c r="P33" t="n">
        <v>1</v>
      </c>
      <c r="Q33" t="n">
        <v>1</v>
      </c>
      <c r="R33" s="2" t="inlineStr">
        <is>
          <t>Ask</t>
        </is>
      </c>
      <c r="S33">
        <f>HYPERLINK("https://klasma.github.io/Logging_1293/artfynd/A 60925-2024 artfynd.xlsx", "A 60925-2024")</f>
        <v/>
      </c>
      <c r="T33">
        <f>HYPERLINK("https://klasma.github.io/Logging_1293/kartor/A 60925-2024 karta.png", "A 60925-2024")</f>
        <v/>
      </c>
      <c r="V33">
        <f>HYPERLINK("https://klasma.github.io/Logging_1293/klagomål/A 60925-2024 FSC-klagomål.docx", "A 60925-2024")</f>
        <v/>
      </c>
      <c r="W33">
        <f>HYPERLINK("https://klasma.github.io/Logging_1293/klagomålsmail/A 60925-2024 FSC-klagomål mail.docx", "A 60925-2024")</f>
        <v/>
      </c>
      <c r="X33">
        <f>HYPERLINK("https://klasma.github.io/Logging_1293/tillsyn/A 60925-2024 tillsynsbegäran.docx", "A 60925-2024")</f>
        <v/>
      </c>
      <c r="Y33">
        <f>HYPERLINK("https://klasma.github.io/Logging_1293/tillsynsmail/A 60925-2024 tillsynsbegäran mail.docx", "A 60925-2024")</f>
        <v/>
      </c>
    </row>
    <row r="34" ht="15" customHeight="1">
      <c r="A34" t="inlineStr">
        <is>
          <t>A 54523-2024</t>
        </is>
      </c>
      <c r="B34" s="1" t="n">
        <v>45617</v>
      </c>
      <c r="C34" s="1" t="n">
        <v>45970</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45970</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16107-2025</t>
        </is>
      </c>
      <c r="B36" s="1" t="n">
        <v>45750.34537037037</v>
      </c>
      <c r="C36" s="1" t="n">
        <v>45970</v>
      </c>
      <c r="D36" t="inlineStr">
        <is>
          <t>SKÅNE LÄN</t>
        </is>
      </c>
      <c r="E36" t="inlineStr">
        <is>
          <t>HÄSSLEHOLM</t>
        </is>
      </c>
      <c r="G36" t="n">
        <v>1.4</v>
      </c>
      <c r="H36" t="n">
        <v>1</v>
      </c>
      <c r="I36" t="n">
        <v>0</v>
      </c>
      <c r="J36" t="n">
        <v>1</v>
      </c>
      <c r="K36" t="n">
        <v>0</v>
      </c>
      <c r="L36" t="n">
        <v>0</v>
      </c>
      <c r="M36" t="n">
        <v>0</v>
      </c>
      <c r="N36" t="n">
        <v>0</v>
      </c>
      <c r="O36" t="n">
        <v>1</v>
      </c>
      <c r="P36" t="n">
        <v>0</v>
      </c>
      <c r="Q36" t="n">
        <v>1</v>
      </c>
      <c r="R36" s="2" t="inlineStr">
        <is>
          <t>Spillkråka</t>
        </is>
      </c>
      <c r="S36">
        <f>HYPERLINK("https://klasma.github.io/Logging_1293/artfynd/A 16107-2025 artfynd.xlsx", "A 16107-2025")</f>
        <v/>
      </c>
      <c r="T36">
        <f>HYPERLINK("https://klasma.github.io/Logging_1293/kartor/A 16107-2025 karta.png", "A 16107-2025")</f>
        <v/>
      </c>
      <c r="V36">
        <f>HYPERLINK("https://klasma.github.io/Logging_1293/klagomål/A 16107-2025 FSC-klagomål.docx", "A 16107-2025")</f>
        <v/>
      </c>
      <c r="W36">
        <f>HYPERLINK("https://klasma.github.io/Logging_1293/klagomålsmail/A 16107-2025 FSC-klagomål mail.docx", "A 16107-2025")</f>
        <v/>
      </c>
      <c r="X36">
        <f>HYPERLINK("https://klasma.github.io/Logging_1293/tillsyn/A 16107-2025 tillsynsbegäran.docx", "A 16107-2025")</f>
        <v/>
      </c>
      <c r="Y36">
        <f>HYPERLINK("https://klasma.github.io/Logging_1293/tillsynsmail/A 16107-2025 tillsynsbegäran mail.docx", "A 16107-2025")</f>
        <v/>
      </c>
      <c r="Z36">
        <f>HYPERLINK("https://klasma.github.io/Logging_1293/fåglar/A 16107-2025 prioriterade fågelarter.docx", "A 16107-2025")</f>
        <v/>
      </c>
    </row>
    <row r="37" ht="15" customHeight="1">
      <c r="A37" t="inlineStr">
        <is>
          <t>A 49572-2022</t>
        </is>
      </c>
      <c r="B37" s="1" t="n">
        <v>44862.335</v>
      </c>
      <c r="C37" s="1" t="n">
        <v>45970</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36690-2025</t>
        </is>
      </c>
      <c r="B38" s="1" t="n">
        <v>45873.42915509259</v>
      </c>
      <c r="C38" s="1" t="n">
        <v>45970</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45970</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45970</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45970</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45970</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45970</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45970</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45970</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45970</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45970</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45970</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45970</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45970</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45970</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45970</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45970</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964-2021</t>
        </is>
      </c>
      <c r="B54" s="1" t="n">
        <v>44207</v>
      </c>
      <c r="C54" s="1" t="n">
        <v>45970</v>
      </c>
      <c r="D54" t="inlineStr">
        <is>
          <t>SKÅNE LÄN</t>
        </is>
      </c>
      <c r="E54" t="inlineStr">
        <is>
          <t>HÄSSLEHOLM</t>
        </is>
      </c>
      <c r="G54" t="n">
        <v>1</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45970</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45970</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45970</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45970</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45970</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45970</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45970</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45970</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45970</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45970</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45970</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45970</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45970</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45970</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45970</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45970</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45970</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45970</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45970</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45970</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45970</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45970</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45970</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45970</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45970</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45970</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45970</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45970</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45970</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45970</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45970</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45970</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45970</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45970</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45970</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45970</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45970</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45970</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45970</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45970</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45970</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45970</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45970</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45970</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45970</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45970</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45970</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45970</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45970</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45970</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45970</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45970</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59295-2020</t>
        </is>
      </c>
      <c r="B107" s="1" t="n">
        <v>44147</v>
      </c>
      <c r="C107" s="1" t="n">
        <v>45970</v>
      </c>
      <c r="D107" t="inlineStr">
        <is>
          <t>SKÅNE LÄN</t>
        </is>
      </c>
      <c r="E107" t="inlineStr">
        <is>
          <t>HÄSSLEHOLM</t>
        </is>
      </c>
      <c r="G107" t="n">
        <v>4.3</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45970</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69103-2020</t>
        </is>
      </c>
      <c r="B109" s="1" t="n">
        <v>44188</v>
      </c>
      <c r="C109" s="1" t="n">
        <v>45970</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45970</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22320-2021</t>
        </is>
      </c>
      <c r="B111" s="1" t="n">
        <v>44323</v>
      </c>
      <c r="C111" s="1" t="n">
        <v>45970</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45970</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9292-2022</t>
        </is>
      </c>
      <c r="B113" s="1" t="n">
        <v>44616</v>
      </c>
      <c r="C113" s="1" t="n">
        <v>45970</v>
      </c>
      <c r="D113" t="inlineStr">
        <is>
          <t>SKÅNE LÄN</t>
        </is>
      </c>
      <c r="E113" t="inlineStr">
        <is>
          <t>HÄSSLEHOLM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3277-2022</t>
        </is>
      </c>
      <c r="B114" s="1" t="n">
        <v>44584.41274305555</v>
      </c>
      <c r="C114" s="1" t="n">
        <v>45970</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45970</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45970</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45970</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45970</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45970</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45970</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45970</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45970</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45970</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44328-2021</t>
        </is>
      </c>
      <c r="B124" s="1" t="n">
        <v>44435</v>
      </c>
      <c r="C124" s="1" t="n">
        <v>45970</v>
      </c>
      <c r="D124" t="inlineStr">
        <is>
          <t>SKÅNE LÄN</t>
        </is>
      </c>
      <c r="E124" t="inlineStr">
        <is>
          <t>HÄSSLEHOLM</t>
        </is>
      </c>
      <c r="G124" t="n">
        <v>2.7</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45970</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45970</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45970</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45970</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45970</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45970</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45970</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45970</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45970</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45970</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45970</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45970</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45970</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45970</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45970</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45970</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33736-2021</t>
        </is>
      </c>
      <c r="B141" s="1" t="n">
        <v>44378</v>
      </c>
      <c r="C141" s="1" t="n">
        <v>45970</v>
      </c>
      <c r="D141" t="inlineStr">
        <is>
          <t>SKÅNE LÄN</t>
        </is>
      </c>
      <c r="E141" t="inlineStr">
        <is>
          <t>HÄSSLEHOLM</t>
        </is>
      </c>
      <c r="G141" t="n">
        <v>7.6</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45970</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45970</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45970</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40702-2021</t>
        </is>
      </c>
      <c r="B145" s="1" t="n">
        <v>44420.61719907408</v>
      </c>
      <c r="C145" s="1" t="n">
        <v>45970</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1535-2022</t>
        </is>
      </c>
      <c r="B146" s="1" t="n">
        <v>44573</v>
      </c>
      <c r="C146" s="1" t="n">
        <v>45970</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13982-2021</t>
        </is>
      </c>
      <c r="B147" s="1" t="n">
        <v>44277.57800925926</v>
      </c>
      <c r="C147" s="1" t="n">
        <v>45970</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20659-2021</t>
        </is>
      </c>
      <c r="B148" s="1" t="n">
        <v>44316</v>
      </c>
      <c r="C148" s="1" t="n">
        <v>45970</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21029-2021</t>
        </is>
      </c>
      <c r="B149" s="1" t="n">
        <v>44319.63366898148</v>
      </c>
      <c r="C149" s="1" t="n">
        <v>45970</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45970</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18515-2021</t>
        </is>
      </c>
      <c r="B151" s="1" t="n">
        <v>44305</v>
      </c>
      <c r="C151" s="1" t="n">
        <v>45970</v>
      </c>
      <c r="D151" t="inlineStr">
        <is>
          <t>SKÅNE LÄN</t>
        </is>
      </c>
      <c r="E151" t="inlineStr">
        <is>
          <t>HÄSSLEHOLM</t>
        </is>
      </c>
      <c r="F151" t="inlineStr">
        <is>
          <t>Övriga Aktiebolag</t>
        </is>
      </c>
      <c r="G151" t="n">
        <v>0.5</v>
      </c>
      <c r="H151" t="n">
        <v>0</v>
      </c>
      <c r="I151" t="n">
        <v>0</v>
      </c>
      <c r="J151" t="n">
        <v>0</v>
      </c>
      <c r="K151" t="n">
        <v>0</v>
      </c>
      <c r="L151" t="n">
        <v>0</v>
      </c>
      <c r="M151" t="n">
        <v>0</v>
      </c>
      <c r="N151" t="n">
        <v>0</v>
      </c>
      <c r="O151" t="n">
        <v>0</v>
      </c>
      <c r="P151" t="n">
        <v>0</v>
      </c>
      <c r="Q151" t="n">
        <v>0</v>
      </c>
      <c r="R151" s="2" t="inlineStr"/>
    </row>
    <row r="152" ht="15" customHeight="1">
      <c r="A152" t="inlineStr">
        <is>
          <t>A 18523-2021</t>
        </is>
      </c>
      <c r="B152" s="1" t="n">
        <v>44305</v>
      </c>
      <c r="C152" s="1" t="n">
        <v>45970</v>
      </c>
      <c r="D152" t="inlineStr">
        <is>
          <t>SKÅNE LÄN</t>
        </is>
      </c>
      <c r="E152" t="inlineStr">
        <is>
          <t>HÄSSLEHOLM</t>
        </is>
      </c>
      <c r="F152" t="inlineStr">
        <is>
          <t>Övriga Aktiebolag</t>
        </is>
      </c>
      <c r="G152" t="n">
        <v>1.2</v>
      </c>
      <c r="H152" t="n">
        <v>0</v>
      </c>
      <c r="I152" t="n">
        <v>0</v>
      </c>
      <c r="J152" t="n">
        <v>0</v>
      </c>
      <c r="K152" t="n">
        <v>0</v>
      </c>
      <c r="L152" t="n">
        <v>0</v>
      </c>
      <c r="M152" t="n">
        <v>0</v>
      </c>
      <c r="N152" t="n">
        <v>0</v>
      </c>
      <c r="O152" t="n">
        <v>0</v>
      </c>
      <c r="P152" t="n">
        <v>0</v>
      </c>
      <c r="Q152" t="n">
        <v>0</v>
      </c>
      <c r="R152" s="2" t="inlineStr"/>
    </row>
    <row r="153" ht="15" customHeight="1">
      <c r="A153" t="inlineStr">
        <is>
          <t>A 12617-2021</t>
        </is>
      </c>
      <c r="B153" s="1" t="n">
        <v>44270.45030092593</v>
      </c>
      <c r="C153" s="1" t="n">
        <v>45970</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66474-2020</t>
        </is>
      </c>
      <c r="B154" s="1" t="n">
        <v>44177</v>
      </c>
      <c r="C154" s="1" t="n">
        <v>45970</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45970</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15423-2022</t>
        </is>
      </c>
      <c r="B156" s="1" t="n">
        <v>44659</v>
      </c>
      <c r="C156" s="1" t="n">
        <v>45970</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56989-2021</t>
        </is>
      </c>
      <c r="B157" s="1" t="n">
        <v>44482</v>
      </c>
      <c r="C157" s="1" t="n">
        <v>45970</v>
      </c>
      <c r="D157" t="inlineStr">
        <is>
          <t>SKÅNE LÄN</t>
        </is>
      </c>
      <c r="E157" t="inlineStr">
        <is>
          <t>HÄSSLEHOLM</t>
        </is>
      </c>
      <c r="G157" t="n">
        <v>1.1</v>
      </c>
      <c r="H157" t="n">
        <v>0</v>
      </c>
      <c r="I157" t="n">
        <v>0</v>
      </c>
      <c r="J157" t="n">
        <v>0</v>
      </c>
      <c r="K157" t="n">
        <v>0</v>
      </c>
      <c r="L157" t="n">
        <v>0</v>
      </c>
      <c r="M157" t="n">
        <v>0</v>
      </c>
      <c r="N157" t="n">
        <v>0</v>
      </c>
      <c r="O157" t="n">
        <v>0</v>
      </c>
      <c r="P157" t="n">
        <v>0</v>
      </c>
      <c r="Q157" t="n">
        <v>0</v>
      </c>
      <c r="R157" s="2" t="inlineStr"/>
    </row>
    <row r="158" ht="15" customHeight="1">
      <c r="A158" t="inlineStr">
        <is>
          <t>A 51159-2021</t>
        </is>
      </c>
      <c r="B158" s="1" t="n">
        <v>44461</v>
      </c>
      <c r="C158" s="1" t="n">
        <v>45970</v>
      </c>
      <c r="D158" t="inlineStr">
        <is>
          <t>SKÅNE LÄN</t>
        </is>
      </c>
      <c r="E158" t="inlineStr">
        <is>
          <t>HÄSSLEHOLM</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25383-2021</t>
        </is>
      </c>
      <c r="B159" s="1" t="n">
        <v>44342</v>
      </c>
      <c r="C159" s="1" t="n">
        <v>45970</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27330-2021</t>
        </is>
      </c>
      <c r="B160" s="1" t="n">
        <v>44351</v>
      </c>
      <c r="C160" s="1" t="n">
        <v>45970</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59302-2020</t>
        </is>
      </c>
      <c r="B161" s="1" t="n">
        <v>44147</v>
      </c>
      <c r="C161" s="1" t="n">
        <v>45970</v>
      </c>
      <c r="D161" t="inlineStr">
        <is>
          <t>SKÅNE LÄN</t>
        </is>
      </c>
      <c r="E161" t="inlineStr">
        <is>
          <t>HÄSSLEHOLM</t>
        </is>
      </c>
      <c r="G161" t="n">
        <v>11.2</v>
      </c>
      <c r="H161" t="n">
        <v>0</v>
      </c>
      <c r="I161" t="n">
        <v>0</v>
      </c>
      <c r="J161" t="n">
        <v>0</v>
      </c>
      <c r="K161" t="n">
        <v>0</v>
      </c>
      <c r="L161" t="n">
        <v>0</v>
      </c>
      <c r="M161" t="n">
        <v>0</v>
      </c>
      <c r="N161" t="n">
        <v>0</v>
      </c>
      <c r="O161" t="n">
        <v>0</v>
      </c>
      <c r="P161" t="n">
        <v>0</v>
      </c>
      <c r="Q161" t="n">
        <v>0</v>
      </c>
      <c r="R161" s="2" t="inlineStr"/>
    </row>
    <row r="162" ht="15" customHeight="1">
      <c r="A162" t="inlineStr">
        <is>
          <t>A 354-2022</t>
        </is>
      </c>
      <c r="B162" s="1" t="n">
        <v>44565.62510416667</v>
      </c>
      <c r="C162" s="1" t="n">
        <v>45970</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32892-2021</t>
        </is>
      </c>
      <c r="B163" s="1" t="n">
        <v>44375</v>
      </c>
      <c r="C163" s="1" t="n">
        <v>45970</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1461-2021</t>
        </is>
      </c>
      <c r="B164" s="1" t="n">
        <v>44208</v>
      </c>
      <c r="C164" s="1" t="n">
        <v>45970</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39102-2022</t>
        </is>
      </c>
      <c r="B165" s="1" t="n">
        <v>44817.43260416666</v>
      </c>
      <c r="C165" s="1" t="n">
        <v>45970</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2858-2022</t>
        </is>
      </c>
      <c r="B166" s="1" t="n">
        <v>44581</v>
      </c>
      <c r="C166" s="1" t="n">
        <v>45970</v>
      </c>
      <c r="D166" t="inlineStr">
        <is>
          <t>SKÅNE LÄN</t>
        </is>
      </c>
      <c r="E166" t="inlineStr">
        <is>
          <t>HÄSSLEHOLM</t>
        </is>
      </c>
      <c r="F166" t="inlineStr">
        <is>
          <t>Övriga Aktiebolag</t>
        </is>
      </c>
      <c r="G166" t="n">
        <v>1.3</v>
      </c>
      <c r="H166" t="n">
        <v>0</v>
      </c>
      <c r="I166" t="n">
        <v>0</v>
      </c>
      <c r="J166" t="n">
        <v>0</v>
      </c>
      <c r="K166" t="n">
        <v>0</v>
      </c>
      <c r="L166" t="n">
        <v>0</v>
      </c>
      <c r="M166" t="n">
        <v>0</v>
      </c>
      <c r="N166" t="n">
        <v>0</v>
      </c>
      <c r="O166" t="n">
        <v>0</v>
      </c>
      <c r="P166" t="n">
        <v>0</v>
      </c>
      <c r="Q166" t="n">
        <v>0</v>
      </c>
      <c r="R166" s="2" t="inlineStr"/>
    </row>
    <row r="167" ht="15" customHeight="1">
      <c r="A167" t="inlineStr">
        <is>
          <t>A 23967-2022</t>
        </is>
      </c>
      <c r="B167" s="1" t="n">
        <v>44722.74079861111</v>
      </c>
      <c r="C167" s="1" t="n">
        <v>45970</v>
      </c>
      <c r="D167" t="inlineStr">
        <is>
          <t>SKÅNE LÄN</t>
        </is>
      </c>
      <c r="E167" t="inlineStr">
        <is>
          <t>HÄSSLEHOLM</t>
        </is>
      </c>
      <c r="F167" t="inlineStr">
        <is>
          <t>Kyrkan</t>
        </is>
      </c>
      <c r="G167" t="n">
        <v>12.4</v>
      </c>
      <c r="H167" t="n">
        <v>0</v>
      </c>
      <c r="I167" t="n">
        <v>0</v>
      </c>
      <c r="J167" t="n">
        <v>0</v>
      </c>
      <c r="K167" t="n">
        <v>0</v>
      </c>
      <c r="L167" t="n">
        <v>0</v>
      </c>
      <c r="M167" t="n">
        <v>0</v>
      </c>
      <c r="N167" t="n">
        <v>0</v>
      </c>
      <c r="O167" t="n">
        <v>0</v>
      </c>
      <c r="P167" t="n">
        <v>0</v>
      </c>
      <c r="Q167" t="n">
        <v>0</v>
      </c>
      <c r="R167" s="2" t="inlineStr"/>
    </row>
    <row r="168" ht="15" customHeight="1">
      <c r="A168" t="inlineStr">
        <is>
          <t>A 60597-2020</t>
        </is>
      </c>
      <c r="B168" s="1" t="n">
        <v>44152</v>
      </c>
      <c r="C168" s="1" t="n">
        <v>45970</v>
      </c>
      <c r="D168" t="inlineStr">
        <is>
          <t>SKÅNE LÄN</t>
        </is>
      </c>
      <c r="E168" t="inlineStr">
        <is>
          <t>HÄSSLEHOLM</t>
        </is>
      </c>
      <c r="G168" t="n">
        <v>3.4</v>
      </c>
      <c r="H168" t="n">
        <v>0</v>
      </c>
      <c r="I168" t="n">
        <v>0</v>
      </c>
      <c r="J168" t="n">
        <v>0</v>
      </c>
      <c r="K168" t="n">
        <v>0</v>
      </c>
      <c r="L168" t="n">
        <v>0</v>
      </c>
      <c r="M168" t="n">
        <v>0</v>
      </c>
      <c r="N168" t="n">
        <v>0</v>
      </c>
      <c r="O168" t="n">
        <v>0</v>
      </c>
      <c r="P168" t="n">
        <v>0</v>
      </c>
      <c r="Q168" t="n">
        <v>0</v>
      </c>
      <c r="R168" s="2" t="inlineStr"/>
    </row>
    <row r="169" ht="15" customHeight="1">
      <c r="A169" t="inlineStr">
        <is>
          <t>A 69504-2020</t>
        </is>
      </c>
      <c r="B169" s="1" t="n">
        <v>44194</v>
      </c>
      <c r="C169" s="1" t="n">
        <v>45970</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47112-2021</t>
        </is>
      </c>
      <c r="B170" s="1" t="n">
        <v>44446</v>
      </c>
      <c r="C170" s="1" t="n">
        <v>45970</v>
      </c>
      <c r="D170" t="inlineStr">
        <is>
          <t>SKÅNE LÄN</t>
        </is>
      </c>
      <c r="E170" t="inlineStr">
        <is>
          <t>HÄSSLEHOLM</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13811-2021</t>
        </is>
      </c>
      <c r="B171" s="1" t="n">
        <v>44276</v>
      </c>
      <c r="C171" s="1" t="n">
        <v>45970</v>
      </c>
      <c r="D171" t="inlineStr">
        <is>
          <t>SKÅNE LÄN</t>
        </is>
      </c>
      <c r="E171" t="inlineStr">
        <is>
          <t>HÄSSLEHOLM</t>
        </is>
      </c>
      <c r="G171" t="n">
        <v>8</v>
      </c>
      <c r="H171" t="n">
        <v>0</v>
      </c>
      <c r="I171" t="n">
        <v>0</v>
      </c>
      <c r="J171" t="n">
        <v>0</v>
      </c>
      <c r="K171" t="n">
        <v>0</v>
      </c>
      <c r="L171" t="n">
        <v>0</v>
      </c>
      <c r="M171" t="n">
        <v>0</v>
      </c>
      <c r="N171" t="n">
        <v>0</v>
      </c>
      <c r="O171" t="n">
        <v>0</v>
      </c>
      <c r="P171" t="n">
        <v>0</v>
      </c>
      <c r="Q171" t="n">
        <v>0</v>
      </c>
      <c r="R171" s="2" t="inlineStr"/>
    </row>
    <row r="172" ht="15" customHeight="1">
      <c r="A172" t="inlineStr">
        <is>
          <t>A 27959-2022</t>
        </is>
      </c>
      <c r="B172" s="1" t="n">
        <v>44744</v>
      </c>
      <c r="C172" s="1" t="n">
        <v>45970</v>
      </c>
      <c r="D172" t="inlineStr">
        <is>
          <t>SKÅNE LÄN</t>
        </is>
      </c>
      <c r="E172" t="inlineStr">
        <is>
          <t>HÄSSLEHOLM</t>
        </is>
      </c>
      <c r="G172" t="n">
        <v>3</v>
      </c>
      <c r="H172" t="n">
        <v>0</v>
      </c>
      <c r="I172" t="n">
        <v>0</v>
      </c>
      <c r="J172" t="n">
        <v>0</v>
      </c>
      <c r="K172" t="n">
        <v>0</v>
      </c>
      <c r="L172" t="n">
        <v>0</v>
      </c>
      <c r="M172" t="n">
        <v>0</v>
      </c>
      <c r="N172" t="n">
        <v>0</v>
      </c>
      <c r="O172" t="n">
        <v>0</v>
      </c>
      <c r="P172" t="n">
        <v>0</v>
      </c>
      <c r="Q172" t="n">
        <v>0</v>
      </c>
      <c r="R172" s="2" t="inlineStr"/>
    </row>
    <row r="173" ht="15" customHeight="1">
      <c r="A173" t="inlineStr">
        <is>
          <t>A 8177-2022</t>
        </is>
      </c>
      <c r="B173" s="1" t="n">
        <v>44607</v>
      </c>
      <c r="C173" s="1" t="n">
        <v>45970</v>
      </c>
      <c r="D173" t="inlineStr">
        <is>
          <t>SKÅNE LÄN</t>
        </is>
      </c>
      <c r="E173" t="inlineStr">
        <is>
          <t>HÄSSLEHOLM</t>
        </is>
      </c>
      <c r="F173" t="inlineStr">
        <is>
          <t>Kyrkan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25464-2022</t>
        </is>
      </c>
      <c r="B174" s="1" t="n">
        <v>44729</v>
      </c>
      <c r="C174" s="1" t="n">
        <v>45970</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6414-2022</t>
        </is>
      </c>
      <c r="B175" s="1" t="n">
        <v>44600</v>
      </c>
      <c r="C175" s="1" t="n">
        <v>45970</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6965-2021</t>
        </is>
      </c>
      <c r="B176" s="1" t="n">
        <v>44237</v>
      </c>
      <c r="C176" s="1" t="n">
        <v>45970</v>
      </c>
      <c r="D176" t="inlineStr">
        <is>
          <t>SKÅNE LÄN</t>
        </is>
      </c>
      <c r="E176" t="inlineStr">
        <is>
          <t>HÄSSLEHOLM</t>
        </is>
      </c>
      <c r="G176" t="n">
        <v>0.3</v>
      </c>
      <c r="H176" t="n">
        <v>0</v>
      </c>
      <c r="I176" t="n">
        <v>0</v>
      </c>
      <c r="J176" t="n">
        <v>0</v>
      </c>
      <c r="K176" t="n">
        <v>0</v>
      </c>
      <c r="L176" t="n">
        <v>0</v>
      </c>
      <c r="M176" t="n">
        <v>0</v>
      </c>
      <c r="N176" t="n">
        <v>0</v>
      </c>
      <c r="O176" t="n">
        <v>0</v>
      </c>
      <c r="P176" t="n">
        <v>0</v>
      </c>
      <c r="Q176" t="n">
        <v>0</v>
      </c>
      <c r="R176" s="2" t="inlineStr"/>
    </row>
    <row r="177" ht="15" customHeight="1">
      <c r="A177" t="inlineStr">
        <is>
          <t>A 62802-2020</t>
        </is>
      </c>
      <c r="B177" s="1" t="n">
        <v>44161</v>
      </c>
      <c r="C177" s="1" t="n">
        <v>45970</v>
      </c>
      <c r="D177" t="inlineStr">
        <is>
          <t>SKÅNE LÄN</t>
        </is>
      </c>
      <c r="E177" t="inlineStr">
        <is>
          <t>HÄSSLEHOLM</t>
        </is>
      </c>
      <c r="G177" t="n">
        <v>1.1</v>
      </c>
      <c r="H177" t="n">
        <v>0</v>
      </c>
      <c r="I177" t="n">
        <v>0</v>
      </c>
      <c r="J177" t="n">
        <v>0</v>
      </c>
      <c r="K177" t="n">
        <v>0</v>
      </c>
      <c r="L177" t="n">
        <v>0</v>
      </c>
      <c r="M177" t="n">
        <v>0</v>
      </c>
      <c r="N177" t="n">
        <v>0</v>
      </c>
      <c r="O177" t="n">
        <v>0</v>
      </c>
      <c r="P177" t="n">
        <v>0</v>
      </c>
      <c r="Q177" t="n">
        <v>0</v>
      </c>
      <c r="R177" s="2" t="inlineStr"/>
    </row>
    <row r="178" ht="15" customHeight="1">
      <c r="A178" t="inlineStr">
        <is>
          <t>A 30344-2022</t>
        </is>
      </c>
      <c r="B178" s="1" t="n">
        <v>44760.50783564815</v>
      </c>
      <c r="C178" s="1" t="n">
        <v>45970</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56431-2021</t>
        </is>
      </c>
      <c r="B179" s="1" t="n">
        <v>44480</v>
      </c>
      <c r="C179" s="1" t="n">
        <v>45970</v>
      </c>
      <c r="D179" t="inlineStr">
        <is>
          <t>SKÅNE LÄN</t>
        </is>
      </c>
      <c r="E179" t="inlineStr">
        <is>
          <t>HÄSSLEHOLM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25788-2021</t>
        </is>
      </c>
      <c r="B180" s="1" t="n">
        <v>44343</v>
      </c>
      <c r="C180" s="1" t="n">
        <v>45970</v>
      </c>
      <c r="D180" t="inlineStr">
        <is>
          <t>SKÅNE LÄN</t>
        </is>
      </c>
      <c r="E180" t="inlineStr">
        <is>
          <t>HÄSSLEHOLM</t>
        </is>
      </c>
      <c r="G180" t="n">
        <v>4.8</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45970</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61216-2020</t>
        </is>
      </c>
      <c r="B182" s="1" t="n">
        <v>44155</v>
      </c>
      <c r="C182" s="1" t="n">
        <v>45970</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6967-2021</t>
        </is>
      </c>
      <c r="B183" s="1" t="n">
        <v>44237</v>
      </c>
      <c r="C183" s="1" t="n">
        <v>45970</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45970</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52567-2021</t>
        </is>
      </c>
      <c r="B185" s="1" t="n">
        <v>44466</v>
      </c>
      <c r="C185" s="1" t="n">
        <v>45970</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45970</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62782-2020</t>
        </is>
      </c>
      <c r="B187" s="1" t="n">
        <v>44161</v>
      </c>
      <c r="C187" s="1" t="n">
        <v>45970</v>
      </c>
      <c r="D187" t="inlineStr">
        <is>
          <t>SKÅNE LÄN</t>
        </is>
      </c>
      <c r="E187" t="inlineStr">
        <is>
          <t>HÄSSLEHOLM</t>
        </is>
      </c>
      <c r="F187" t="inlineStr">
        <is>
          <t>Kyrkan</t>
        </is>
      </c>
      <c r="G187" t="n">
        <v>1.6</v>
      </c>
      <c r="H187" t="n">
        <v>0</v>
      </c>
      <c r="I187" t="n">
        <v>0</v>
      </c>
      <c r="J187" t="n">
        <v>0</v>
      </c>
      <c r="K187" t="n">
        <v>0</v>
      </c>
      <c r="L187" t="n">
        <v>0</v>
      </c>
      <c r="M187" t="n">
        <v>0</v>
      </c>
      <c r="N187" t="n">
        <v>0</v>
      </c>
      <c r="O187" t="n">
        <v>0</v>
      </c>
      <c r="P187" t="n">
        <v>0</v>
      </c>
      <c r="Q187" t="n">
        <v>0</v>
      </c>
      <c r="R187" s="2" t="inlineStr"/>
    </row>
    <row r="188" ht="15" customHeight="1">
      <c r="A188" t="inlineStr">
        <is>
          <t>A 418-2022</t>
        </is>
      </c>
      <c r="B188" s="1" t="n">
        <v>44565.84958333334</v>
      </c>
      <c r="C188" s="1" t="n">
        <v>45970</v>
      </c>
      <c r="D188" t="inlineStr">
        <is>
          <t>SKÅNE LÄN</t>
        </is>
      </c>
      <c r="E188" t="inlineStr">
        <is>
          <t>HÄSSLEHOLM</t>
        </is>
      </c>
      <c r="G188" t="n">
        <v>0</v>
      </c>
      <c r="H188" t="n">
        <v>0</v>
      </c>
      <c r="I188" t="n">
        <v>0</v>
      </c>
      <c r="J188" t="n">
        <v>0</v>
      </c>
      <c r="K188" t="n">
        <v>0</v>
      </c>
      <c r="L188" t="n">
        <v>0</v>
      </c>
      <c r="M188" t="n">
        <v>0</v>
      </c>
      <c r="N188" t="n">
        <v>0</v>
      </c>
      <c r="O188" t="n">
        <v>0</v>
      </c>
      <c r="P188" t="n">
        <v>0</v>
      </c>
      <c r="Q188" t="n">
        <v>0</v>
      </c>
      <c r="R188" s="2" t="inlineStr"/>
    </row>
    <row r="189" ht="15" customHeight="1">
      <c r="A189" t="inlineStr">
        <is>
          <t>A 20657-2022</t>
        </is>
      </c>
      <c r="B189" s="1" t="n">
        <v>44700</v>
      </c>
      <c r="C189" s="1" t="n">
        <v>45970</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74297-2021</t>
        </is>
      </c>
      <c r="B190" s="1" t="n">
        <v>44558</v>
      </c>
      <c r="C190" s="1" t="n">
        <v>45970</v>
      </c>
      <c r="D190" t="inlineStr">
        <is>
          <t>SKÅNE LÄN</t>
        </is>
      </c>
      <c r="E190" t="inlineStr">
        <is>
          <t>HÄSSLEHOLM</t>
        </is>
      </c>
      <c r="F190" t="inlineStr">
        <is>
          <t>Kyrkan</t>
        </is>
      </c>
      <c r="G190" t="n">
        <v>3.8</v>
      </c>
      <c r="H190" t="n">
        <v>0</v>
      </c>
      <c r="I190" t="n">
        <v>0</v>
      </c>
      <c r="J190" t="n">
        <v>0</v>
      </c>
      <c r="K190" t="n">
        <v>0</v>
      </c>
      <c r="L190" t="n">
        <v>0</v>
      </c>
      <c r="M190" t="n">
        <v>0</v>
      </c>
      <c r="N190" t="n">
        <v>0</v>
      </c>
      <c r="O190" t="n">
        <v>0</v>
      </c>
      <c r="P190" t="n">
        <v>0</v>
      </c>
      <c r="Q190" t="n">
        <v>0</v>
      </c>
      <c r="R190" s="2" t="inlineStr"/>
    </row>
    <row r="191" ht="15" customHeight="1">
      <c r="A191" t="inlineStr">
        <is>
          <t>A 2514-2021</t>
        </is>
      </c>
      <c r="B191" s="1" t="n">
        <v>44214</v>
      </c>
      <c r="C191" s="1" t="n">
        <v>45970</v>
      </c>
      <c r="D191" t="inlineStr">
        <is>
          <t>SKÅNE LÄN</t>
        </is>
      </c>
      <c r="E191" t="inlineStr">
        <is>
          <t>HÄSSLEHOLM</t>
        </is>
      </c>
      <c r="G191" t="n">
        <v>2.3</v>
      </c>
      <c r="H191" t="n">
        <v>0</v>
      </c>
      <c r="I191" t="n">
        <v>0</v>
      </c>
      <c r="J191" t="n">
        <v>0</v>
      </c>
      <c r="K191" t="n">
        <v>0</v>
      </c>
      <c r="L191" t="n">
        <v>0</v>
      </c>
      <c r="M191" t="n">
        <v>0</v>
      </c>
      <c r="N191" t="n">
        <v>0</v>
      </c>
      <c r="O191" t="n">
        <v>0</v>
      </c>
      <c r="P191" t="n">
        <v>0</v>
      </c>
      <c r="Q191" t="n">
        <v>0</v>
      </c>
      <c r="R191" s="2" t="inlineStr"/>
    </row>
    <row r="192" ht="15" customHeight="1">
      <c r="A192" t="inlineStr">
        <is>
          <t>A 52295-2021</t>
        </is>
      </c>
      <c r="B192" s="1" t="n">
        <v>44463</v>
      </c>
      <c r="C192" s="1" t="n">
        <v>45970</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6973-2021</t>
        </is>
      </c>
      <c r="B193" s="1" t="n">
        <v>44237</v>
      </c>
      <c r="C193" s="1" t="n">
        <v>45970</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68909-2021</t>
        </is>
      </c>
      <c r="B194" s="1" t="n">
        <v>44530.46730324074</v>
      </c>
      <c r="C194" s="1" t="n">
        <v>45970</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3930-2021</t>
        </is>
      </c>
      <c r="B195" s="1" t="n">
        <v>44222</v>
      </c>
      <c r="C195" s="1" t="n">
        <v>45970</v>
      </c>
      <c r="D195" t="inlineStr">
        <is>
          <t>SKÅNE LÄN</t>
        </is>
      </c>
      <c r="E195" t="inlineStr">
        <is>
          <t>HÄSSLEHOLM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62347-2020</t>
        </is>
      </c>
      <c r="B196" s="1" t="n">
        <v>44159</v>
      </c>
      <c r="C196" s="1" t="n">
        <v>45970</v>
      </c>
      <c r="D196" t="inlineStr">
        <is>
          <t>SKÅNE LÄN</t>
        </is>
      </c>
      <c r="E196" t="inlineStr">
        <is>
          <t>HÄSSLEHOLM</t>
        </is>
      </c>
      <c r="G196" t="n">
        <v>4</v>
      </c>
      <c r="H196" t="n">
        <v>0</v>
      </c>
      <c r="I196" t="n">
        <v>0</v>
      </c>
      <c r="J196" t="n">
        <v>0</v>
      </c>
      <c r="K196" t="n">
        <v>0</v>
      </c>
      <c r="L196" t="n">
        <v>0</v>
      </c>
      <c r="M196" t="n">
        <v>0</v>
      </c>
      <c r="N196" t="n">
        <v>0</v>
      </c>
      <c r="O196" t="n">
        <v>0</v>
      </c>
      <c r="P196" t="n">
        <v>0</v>
      </c>
      <c r="Q196" t="n">
        <v>0</v>
      </c>
      <c r="R196" s="2" t="inlineStr"/>
    </row>
    <row r="197" ht="15" customHeight="1">
      <c r="A197" t="inlineStr">
        <is>
          <t>A 7306-2025</t>
        </is>
      </c>
      <c r="B197" s="1" t="n">
        <v>45702</v>
      </c>
      <c r="C197" s="1" t="n">
        <v>45970</v>
      </c>
      <c r="D197" t="inlineStr">
        <is>
          <t>SKÅNE LÄN</t>
        </is>
      </c>
      <c r="E197" t="inlineStr">
        <is>
          <t>HÄSSLEHOLM</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7308-2025</t>
        </is>
      </c>
      <c r="B198" s="1" t="n">
        <v>45702</v>
      </c>
      <c r="C198" s="1" t="n">
        <v>45970</v>
      </c>
      <c r="D198" t="inlineStr">
        <is>
          <t>SKÅNE LÄN</t>
        </is>
      </c>
      <c r="E198" t="inlineStr">
        <is>
          <t>HÄSSLEHOLM</t>
        </is>
      </c>
      <c r="F198" t="inlineStr">
        <is>
          <t>Övriga Aktiebolag</t>
        </is>
      </c>
      <c r="G198" t="n">
        <v>4.8</v>
      </c>
      <c r="H198" t="n">
        <v>0</v>
      </c>
      <c r="I198" t="n">
        <v>0</v>
      </c>
      <c r="J198" t="n">
        <v>0</v>
      </c>
      <c r="K198" t="n">
        <v>0</v>
      </c>
      <c r="L198" t="n">
        <v>0</v>
      </c>
      <c r="M198" t="n">
        <v>0</v>
      </c>
      <c r="N198" t="n">
        <v>0</v>
      </c>
      <c r="O198" t="n">
        <v>0</v>
      </c>
      <c r="P198" t="n">
        <v>0</v>
      </c>
      <c r="Q198" t="n">
        <v>0</v>
      </c>
      <c r="R198" s="2" t="inlineStr"/>
    </row>
    <row r="199" ht="15" customHeight="1">
      <c r="A199" t="inlineStr">
        <is>
          <t>A 59542-2020</t>
        </is>
      </c>
      <c r="B199" s="1" t="n">
        <v>44148</v>
      </c>
      <c r="C199" s="1" t="n">
        <v>45970</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23830-2021</t>
        </is>
      </c>
      <c r="B200" s="1" t="n">
        <v>44335</v>
      </c>
      <c r="C200" s="1" t="n">
        <v>45970</v>
      </c>
      <c r="D200" t="inlineStr">
        <is>
          <t>SKÅNE LÄN</t>
        </is>
      </c>
      <c r="E200" t="inlineStr">
        <is>
          <t>HÄSSLEHOLM</t>
        </is>
      </c>
      <c r="G200" t="n">
        <v>18.7</v>
      </c>
      <c r="H200" t="n">
        <v>0</v>
      </c>
      <c r="I200" t="n">
        <v>0</v>
      </c>
      <c r="J200" t="n">
        <v>0</v>
      </c>
      <c r="K200" t="n">
        <v>0</v>
      </c>
      <c r="L200" t="n">
        <v>0</v>
      </c>
      <c r="M200" t="n">
        <v>0</v>
      </c>
      <c r="N200" t="n">
        <v>0</v>
      </c>
      <c r="O200" t="n">
        <v>0</v>
      </c>
      <c r="P200" t="n">
        <v>0</v>
      </c>
      <c r="Q200" t="n">
        <v>0</v>
      </c>
      <c r="R200" s="2" t="inlineStr"/>
    </row>
    <row r="201" ht="15" customHeight="1">
      <c r="A201" t="inlineStr">
        <is>
          <t>A 7729-2021</t>
        </is>
      </c>
      <c r="B201" s="1" t="n">
        <v>44242</v>
      </c>
      <c r="C201" s="1" t="n">
        <v>45970</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197-2021</t>
        </is>
      </c>
      <c r="B202" s="1" t="n">
        <v>44200</v>
      </c>
      <c r="C202" s="1" t="n">
        <v>45970</v>
      </c>
      <c r="D202" t="inlineStr">
        <is>
          <t>SKÅNE LÄN</t>
        </is>
      </c>
      <c r="E202" t="inlineStr">
        <is>
          <t>HÄSSLEHOLM</t>
        </is>
      </c>
      <c r="G202" t="n">
        <v>12.9</v>
      </c>
      <c r="H202" t="n">
        <v>0</v>
      </c>
      <c r="I202" t="n">
        <v>0</v>
      </c>
      <c r="J202" t="n">
        <v>0</v>
      </c>
      <c r="K202" t="n">
        <v>0</v>
      </c>
      <c r="L202" t="n">
        <v>0</v>
      </c>
      <c r="M202" t="n">
        <v>0</v>
      </c>
      <c r="N202" t="n">
        <v>0</v>
      </c>
      <c r="O202" t="n">
        <v>0</v>
      </c>
      <c r="P202" t="n">
        <v>0</v>
      </c>
      <c r="Q202" t="n">
        <v>0</v>
      </c>
      <c r="R202" s="2" t="inlineStr"/>
    </row>
    <row r="203" ht="15" customHeight="1">
      <c r="A203" t="inlineStr">
        <is>
          <t>A 11616-2021</t>
        </is>
      </c>
      <c r="B203" s="1" t="n">
        <v>44264.63064814815</v>
      </c>
      <c r="C203" s="1" t="n">
        <v>45970</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26642-2023</t>
        </is>
      </c>
      <c r="B204" s="1" t="n">
        <v>45092.8975</v>
      </c>
      <c r="C204" s="1" t="n">
        <v>45970</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51893-2021</t>
        </is>
      </c>
      <c r="B205" s="1" t="n">
        <v>44462</v>
      </c>
      <c r="C205" s="1" t="n">
        <v>45970</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55394-2022</t>
        </is>
      </c>
      <c r="B206" s="1" t="n">
        <v>44887.57112268519</v>
      </c>
      <c r="C206" s="1" t="n">
        <v>45970</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69505-2020</t>
        </is>
      </c>
      <c r="B207" s="1" t="n">
        <v>44194</v>
      </c>
      <c r="C207" s="1" t="n">
        <v>45970</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5016-2024</t>
        </is>
      </c>
      <c r="B208" s="1" t="n">
        <v>45329</v>
      </c>
      <c r="C208" s="1" t="n">
        <v>45970</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66520-2020</t>
        </is>
      </c>
      <c r="B209" s="1" t="n">
        <v>44179</v>
      </c>
      <c r="C209" s="1" t="n">
        <v>45970</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45357-2022</t>
        </is>
      </c>
      <c r="B210" s="1" t="n">
        <v>44844.61952546296</v>
      </c>
      <c r="C210" s="1" t="n">
        <v>45970</v>
      </c>
      <c r="D210" t="inlineStr">
        <is>
          <t>SKÅNE LÄN</t>
        </is>
      </c>
      <c r="E210" t="inlineStr">
        <is>
          <t>HÄSSLEHOLM</t>
        </is>
      </c>
      <c r="G210" t="n">
        <v>5.8</v>
      </c>
      <c r="H210" t="n">
        <v>0</v>
      </c>
      <c r="I210" t="n">
        <v>0</v>
      </c>
      <c r="J210" t="n">
        <v>0</v>
      </c>
      <c r="K210" t="n">
        <v>0</v>
      </c>
      <c r="L210" t="n">
        <v>0</v>
      </c>
      <c r="M210" t="n">
        <v>0</v>
      </c>
      <c r="N210" t="n">
        <v>0</v>
      </c>
      <c r="O210" t="n">
        <v>0</v>
      </c>
      <c r="P210" t="n">
        <v>0</v>
      </c>
      <c r="Q210" t="n">
        <v>0</v>
      </c>
      <c r="R210" s="2" t="inlineStr"/>
    </row>
    <row r="211" ht="15" customHeight="1">
      <c r="A211" t="inlineStr">
        <is>
          <t>A 45989-2021</t>
        </is>
      </c>
      <c r="B211" s="1" t="n">
        <v>44441.74627314815</v>
      </c>
      <c r="C211" s="1" t="n">
        <v>45970</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7248-2021</t>
        </is>
      </c>
      <c r="B212" s="1" t="n">
        <v>44236</v>
      </c>
      <c r="C212" s="1" t="n">
        <v>45970</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23003-2021</t>
        </is>
      </c>
      <c r="B213" s="1" t="n">
        <v>44328</v>
      </c>
      <c r="C213" s="1" t="n">
        <v>45970</v>
      </c>
      <c r="D213" t="inlineStr">
        <is>
          <t>SKÅNE LÄN</t>
        </is>
      </c>
      <c r="E213" t="inlineStr">
        <is>
          <t>HÄSSLEHOLM</t>
        </is>
      </c>
      <c r="G213" t="n">
        <v>4.4</v>
      </c>
      <c r="H213" t="n">
        <v>0</v>
      </c>
      <c r="I213" t="n">
        <v>0</v>
      </c>
      <c r="J213" t="n">
        <v>0</v>
      </c>
      <c r="K213" t="n">
        <v>0</v>
      </c>
      <c r="L213" t="n">
        <v>0</v>
      </c>
      <c r="M213" t="n">
        <v>0</v>
      </c>
      <c r="N213" t="n">
        <v>0</v>
      </c>
      <c r="O213" t="n">
        <v>0</v>
      </c>
      <c r="P213" t="n">
        <v>0</v>
      </c>
      <c r="Q213" t="n">
        <v>0</v>
      </c>
      <c r="R213" s="2" t="inlineStr"/>
    </row>
    <row r="214" ht="15" customHeight="1">
      <c r="A214" t="inlineStr">
        <is>
          <t>A 4512-2024</t>
        </is>
      </c>
      <c r="B214" s="1" t="n">
        <v>45327.6312962963</v>
      </c>
      <c r="C214" s="1" t="n">
        <v>45970</v>
      </c>
      <c r="D214" t="inlineStr">
        <is>
          <t>SKÅNE LÄN</t>
        </is>
      </c>
      <c r="E214" t="inlineStr">
        <is>
          <t>HÄSSLEHOLM</t>
        </is>
      </c>
      <c r="G214" t="n">
        <v>2</v>
      </c>
      <c r="H214" t="n">
        <v>0</v>
      </c>
      <c r="I214" t="n">
        <v>0</v>
      </c>
      <c r="J214" t="n">
        <v>0</v>
      </c>
      <c r="K214" t="n">
        <v>0</v>
      </c>
      <c r="L214" t="n">
        <v>0</v>
      </c>
      <c r="M214" t="n">
        <v>0</v>
      </c>
      <c r="N214" t="n">
        <v>0</v>
      </c>
      <c r="O214" t="n">
        <v>0</v>
      </c>
      <c r="P214" t="n">
        <v>0</v>
      </c>
      <c r="Q214" t="n">
        <v>0</v>
      </c>
      <c r="R214" s="2" t="inlineStr"/>
    </row>
    <row r="215" ht="15" customHeight="1">
      <c r="A215" t="inlineStr">
        <is>
          <t>A 4916-2024</t>
        </is>
      </c>
      <c r="B215" s="1" t="n">
        <v>45329</v>
      </c>
      <c r="C215" s="1" t="n">
        <v>45970</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5091-2022</t>
        </is>
      </c>
      <c r="B216" s="1" t="n">
        <v>44593.85114583333</v>
      </c>
      <c r="C216" s="1" t="n">
        <v>45970</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8695-2021</t>
        </is>
      </c>
      <c r="B217" s="1" t="n">
        <v>44246</v>
      </c>
      <c r="C217" s="1" t="n">
        <v>45970</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28236-2022</t>
        </is>
      </c>
      <c r="B218" s="1" t="n">
        <v>44746</v>
      </c>
      <c r="C218" s="1" t="n">
        <v>45970</v>
      </c>
      <c r="D218" t="inlineStr">
        <is>
          <t>SKÅNE LÄN</t>
        </is>
      </c>
      <c r="E218" t="inlineStr">
        <is>
          <t>HÄSSLEHOLM</t>
        </is>
      </c>
      <c r="G218" t="n">
        <v>3.5</v>
      </c>
      <c r="H218" t="n">
        <v>0</v>
      </c>
      <c r="I218" t="n">
        <v>0</v>
      </c>
      <c r="J218" t="n">
        <v>0</v>
      </c>
      <c r="K218" t="n">
        <v>0</v>
      </c>
      <c r="L218" t="n">
        <v>0</v>
      </c>
      <c r="M218" t="n">
        <v>0</v>
      </c>
      <c r="N218" t="n">
        <v>0</v>
      </c>
      <c r="O218" t="n">
        <v>0</v>
      </c>
      <c r="P218" t="n">
        <v>0</v>
      </c>
      <c r="Q218" t="n">
        <v>0</v>
      </c>
      <c r="R218" s="2" t="inlineStr"/>
    </row>
    <row r="219" ht="15" customHeight="1">
      <c r="A219" t="inlineStr">
        <is>
          <t>A 60260-2021</t>
        </is>
      </c>
      <c r="B219" s="1" t="n">
        <v>44495</v>
      </c>
      <c r="C219" s="1" t="n">
        <v>45970</v>
      </c>
      <c r="D219" t="inlineStr">
        <is>
          <t>SKÅNE LÄN</t>
        </is>
      </c>
      <c r="E219" t="inlineStr">
        <is>
          <t>HÄSSLEHOLM</t>
        </is>
      </c>
      <c r="G219" t="n">
        <v>2.1</v>
      </c>
      <c r="H219" t="n">
        <v>0</v>
      </c>
      <c r="I219" t="n">
        <v>0</v>
      </c>
      <c r="J219" t="n">
        <v>0</v>
      </c>
      <c r="K219" t="n">
        <v>0</v>
      </c>
      <c r="L219" t="n">
        <v>0</v>
      </c>
      <c r="M219" t="n">
        <v>0</v>
      </c>
      <c r="N219" t="n">
        <v>0</v>
      </c>
      <c r="O219" t="n">
        <v>0</v>
      </c>
      <c r="P219" t="n">
        <v>0</v>
      </c>
      <c r="Q219" t="n">
        <v>0</v>
      </c>
      <c r="R219" s="2" t="inlineStr"/>
    </row>
    <row r="220" ht="15" customHeight="1">
      <c r="A220" t="inlineStr">
        <is>
          <t>A 15986-2022</t>
        </is>
      </c>
      <c r="B220" s="1" t="n">
        <v>44664</v>
      </c>
      <c r="C220" s="1" t="n">
        <v>45970</v>
      </c>
      <c r="D220" t="inlineStr">
        <is>
          <t>SKÅNE LÄN</t>
        </is>
      </c>
      <c r="E220" t="inlineStr">
        <is>
          <t>HÄSSLEHOLM</t>
        </is>
      </c>
      <c r="F220" t="inlineStr">
        <is>
          <t>Kyrkan</t>
        </is>
      </c>
      <c r="G220" t="n">
        <v>6</v>
      </c>
      <c r="H220" t="n">
        <v>0</v>
      </c>
      <c r="I220" t="n">
        <v>0</v>
      </c>
      <c r="J220" t="n">
        <v>0</v>
      </c>
      <c r="K220" t="n">
        <v>0</v>
      </c>
      <c r="L220" t="n">
        <v>0</v>
      </c>
      <c r="M220" t="n">
        <v>0</v>
      </c>
      <c r="N220" t="n">
        <v>0</v>
      </c>
      <c r="O220" t="n">
        <v>0</v>
      </c>
      <c r="P220" t="n">
        <v>0</v>
      </c>
      <c r="Q220" t="n">
        <v>0</v>
      </c>
      <c r="R220" s="2" t="inlineStr"/>
    </row>
    <row r="221" ht="15" customHeight="1">
      <c r="A221" t="inlineStr">
        <is>
          <t>A 51888-2021</t>
        </is>
      </c>
      <c r="B221" s="1" t="n">
        <v>44462</v>
      </c>
      <c r="C221" s="1" t="n">
        <v>45970</v>
      </c>
      <c r="D221" t="inlineStr">
        <is>
          <t>SKÅNE LÄN</t>
        </is>
      </c>
      <c r="E221" t="inlineStr">
        <is>
          <t>HÄSSLEHOLM</t>
        </is>
      </c>
      <c r="G221" t="n">
        <v>5.6</v>
      </c>
      <c r="H221" t="n">
        <v>0</v>
      </c>
      <c r="I221" t="n">
        <v>0</v>
      </c>
      <c r="J221" t="n">
        <v>0</v>
      </c>
      <c r="K221" t="n">
        <v>0</v>
      </c>
      <c r="L221" t="n">
        <v>0</v>
      </c>
      <c r="M221" t="n">
        <v>0</v>
      </c>
      <c r="N221" t="n">
        <v>0</v>
      </c>
      <c r="O221" t="n">
        <v>0</v>
      </c>
      <c r="P221" t="n">
        <v>0</v>
      </c>
      <c r="Q221" t="n">
        <v>0</v>
      </c>
      <c r="R221" s="2" t="inlineStr"/>
    </row>
    <row r="222" ht="15" customHeight="1">
      <c r="A222" t="inlineStr">
        <is>
          <t>A 52786-2021</t>
        </is>
      </c>
      <c r="B222" s="1" t="n">
        <v>44467.36061342592</v>
      </c>
      <c r="C222" s="1" t="n">
        <v>45970</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6165-2023</t>
        </is>
      </c>
      <c r="B223" s="1" t="n">
        <v>44964.67114583333</v>
      </c>
      <c r="C223" s="1" t="n">
        <v>45970</v>
      </c>
      <c r="D223" t="inlineStr">
        <is>
          <t>SKÅNE LÄN</t>
        </is>
      </c>
      <c r="E223" t="inlineStr">
        <is>
          <t>HÄSSLEHOLM</t>
        </is>
      </c>
      <c r="G223" t="n">
        <v>0.7</v>
      </c>
      <c r="H223" t="n">
        <v>0</v>
      </c>
      <c r="I223" t="n">
        <v>0</v>
      </c>
      <c r="J223" t="n">
        <v>0</v>
      </c>
      <c r="K223" t="n">
        <v>0</v>
      </c>
      <c r="L223" t="n">
        <v>0</v>
      </c>
      <c r="M223" t="n">
        <v>0</v>
      </c>
      <c r="N223" t="n">
        <v>0</v>
      </c>
      <c r="O223" t="n">
        <v>0</v>
      </c>
      <c r="P223" t="n">
        <v>0</v>
      </c>
      <c r="Q223" t="n">
        <v>0</v>
      </c>
      <c r="R223" s="2" t="inlineStr"/>
    </row>
    <row r="224" ht="15" customHeight="1">
      <c r="A224" t="inlineStr">
        <is>
          <t>A 29143-2021</t>
        </is>
      </c>
      <c r="B224" s="1" t="n">
        <v>44358.6319212963</v>
      </c>
      <c r="C224" s="1" t="n">
        <v>45970</v>
      </c>
      <c r="D224" t="inlineStr">
        <is>
          <t>SKÅNE LÄN</t>
        </is>
      </c>
      <c r="E224" t="inlineStr">
        <is>
          <t>HÄSSLEHOLM</t>
        </is>
      </c>
      <c r="G224" t="n">
        <v>2.9</v>
      </c>
      <c r="H224" t="n">
        <v>0</v>
      </c>
      <c r="I224" t="n">
        <v>0</v>
      </c>
      <c r="J224" t="n">
        <v>0</v>
      </c>
      <c r="K224" t="n">
        <v>0</v>
      </c>
      <c r="L224" t="n">
        <v>0</v>
      </c>
      <c r="M224" t="n">
        <v>0</v>
      </c>
      <c r="N224" t="n">
        <v>0</v>
      </c>
      <c r="O224" t="n">
        <v>0</v>
      </c>
      <c r="P224" t="n">
        <v>0</v>
      </c>
      <c r="Q224" t="n">
        <v>0</v>
      </c>
      <c r="R224" s="2" t="inlineStr"/>
    </row>
    <row r="225" ht="15" customHeight="1">
      <c r="A225" t="inlineStr">
        <is>
          <t>A 7904-2022</t>
        </is>
      </c>
      <c r="B225" s="1" t="n">
        <v>44607</v>
      </c>
      <c r="C225" s="1" t="n">
        <v>45970</v>
      </c>
      <c r="D225" t="inlineStr">
        <is>
          <t>SKÅNE LÄN</t>
        </is>
      </c>
      <c r="E225" t="inlineStr">
        <is>
          <t>HÄSSLEHOLM</t>
        </is>
      </c>
      <c r="F225" t="inlineStr">
        <is>
          <t>Kyrkan</t>
        </is>
      </c>
      <c r="G225" t="n">
        <v>3.9</v>
      </c>
      <c r="H225" t="n">
        <v>0</v>
      </c>
      <c r="I225" t="n">
        <v>0</v>
      </c>
      <c r="J225" t="n">
        <v>0</v>
      </c>
      <c r="K225" t="n">
        <v>0</v>
      </c>
      <c r="L225" t="n">
        <v>0</v>
      </c>
      <c r="M225" t="n">
        <v>0</v>
      </c>
      <c r="N225" t="n">
        <v>0</v>
      </c>
      <c r="O225" t="n">
        <v>0</v>
      </c>
      <c r="P225" t="n">
        <v>0</v>
      </c>
      <c r="Q225" t="n">
        <v>0</v>
      </c>
      <c r="R225" s="2" t="inlineStr"/>
    </row>
    <row r="226" ht="15" customHeight="1">
      <c r="A226" t="inlineStr">
        <is>
          <t>A 20279-2025</t>
        </is>
      </c>
      <c r="B226" s="1" t="n">
        <v>45774.38643518519</v>
      </c>
      <c r="C226" s="1" t="n">
        <v>45970</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9453-2021</t>
        </is>
      </c>
      <c r="B227" s="1" t="n">
        <v>44251</v>
      </c>
      <c r="C227" s="1" t="n">
        <v>45970</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16017-2023</t>
        </is>
      </c>
      <c r="B228" s="1" t="n">
        <v>45026</v>
      </c>
      <c r="C228" s="1" t="n">
        <v>45970</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7250-2022</t>
        </is>
      </c>
      <c r="B229" s="1" t="n">
        <v>44606</v>
      </c>
      <c r="C229" s="1" t="n">
        <v>45970</v>
      </c>
      <c r="D229" t="inlineStr">
        <is>
          <t>SKÅNE LÄN</t>
        </is>
      </c>
      <c r="E229" t="inlineStr">
        <is>
          <t>HÄSSLEHOLM</t>
        </is>
      </c>
      <c r="F229" t="inlineStr">
        <is>
          <t>Övriga Aktiebolag</t>
        </is>
      </c>
      <c r="G229" t="n">
        <v>2.6</v>
      </c>
      <c r="H229" t="n">
        <v>0</v>
      </c>
      <c r="I229" t="n">
        <v>0</v>
      </c>
      <c r="J229" t="n">
        <v>0</v>
      </c>
      <c r="K229" t="n">
        <v>0</v>
      </c>
      <c r="L229" t="n">
        <v>0</v>
      </c>
      <c r="M229" t="n">
        <v>0</v>
      </c>
      <c r="N229" t="n">
        <v>0</v>
      </c>
      <c r="O229" t="n">
        <v>0</v>
      </c>
      <c r="P229" t="n">
        <v>0</v>
      </c>
      <c r="Q229" t="n">
        <v>0</v>
      </c>
      <c r="R229" s="2" t="inlineStr"/>
    </row>
    <row r="230" ht="15" customHeight="1">
      <c r="A230" t="inlineStr">
        <is>
          <t>A 31989-2024</t>
        </is>
      </c>
      <c r="B230" s="1" t="n">
        <v>45510.58085648148</v>
      </c>
      <c r="C230" s="1" t="n">
        <v>45970</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51895-2021</t>
        </is>
      </c>
      <c r="B231" s="1" t="n">
        <v>44462</v>
      </c>
      <c r="C231" s="1" t="n">
        <v>45970</v>
      </c>
      <c r="D231" t="inlineStr">
        <is>
          <t>SKÅNE LÄN</t>
        </is>
      </c>
      <c r="E231" t="inlineStr">
        <is>
          <t>HÄSSLEHOLM</t>
        </is>
      </c>
      <c r="G231" t="n">
        <v>5.7</v>
      </c>
      <c r="H231" t="n">
        <v>0</v>
      </c>
      <c r="I231" t="n">
        <v>0</v>
      </c>
      <c r="J231" t="n">
        <v>0</v>
      </c>
      <c r="K231" t="n">
        <v>0</v>
      </c>
      <c r="L231" t="n">
        <v>0</v>
      </c>
      <c r="M231" t="n">
        <v>0</v>
      </c>
      <c r="N231" t="n">
        <v>0</v>
      </c>
      <c r="O231" t="n">
        <v>0</v>
      </c>
      <c r="P231" t="n">
        <v>0</v>
      </c>
      <c r="Q231" t="n">
        <v>0</v>
      </c>
      <c r="R231" s="2" t="inlineStr"/>
    </row>
    <row r="232" ht="15" customHeight="1">
      <c r="A232" t="inlineStr">
        <is>
          <t>A 35640-2023</t>
        </is>
      </c>
      <c r="B232" s="1" t="n">
        <v>45147</v>
      </c>
      <c r="C232" s="1" t="n">
        <v>45970</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44669-2022</t>
        </is>
      </c>
      <c r="B233" s="1" t="n">
        <v>44840</v>
      </c>
      <c r="C233" s="1" t="n">
        <v>45970</v>
      </c>
      <c r="D233" t="inlineStr">
        <is>
          <t>SKÅNE LÄN</t>
        </is>
      </c>
      <c r="E233" t="inlineStr">
        <is>
          <t>HÄSSLEHOLM</t>
        </is>
      </c>
      <c r="G233" t="n">
        <v>1.2</v>
      </c>
      <c r="H233" t="n">
        <v>0</v>
      </c>
      <c r="I233" t="n">
        <v>0</v>
      </c>
      <c r="J233" t="n">
        <v>0</v>
      </c>
      <c r="K233" t="n">
        <v>0</v>
      </c>
      <c r="L233" t="n">
        <v>0</v>
      </c>
      <c r="M233" t="n">
        <v>0</v>
      </c>
      <c r="N233" t="n">
        <v>0</v>
      </c>
      <c r="O233" t="n">
        <v>0</v>
      </c>
      <c r="P233" t="n">
        <v>0</v>
      </c>
      <c r="Q233" t="n">
        <v>0</v>
      </c>
      <c r="R233" s="2" t="inlineStr"/>
    </row>
    <row r="234" ht="15" customHeight="1">
      <c r="A234" t="inlineStr">
        <is>
          <t>A 219-2022</t>
        </is>
      </c>
      <c r="B234" s="1" t="n">
        <v>44564</v>
      </c>
      <c r="C234" s="1" t="n">
        <v>45970</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6048-2022</t>
        </is>
      </c>
      <c r="B235" s="1" t="n">
        <v>44599.5174537037</v>
      </c>
      <c r="C235" s="1" t="n">
        <v>45970</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55412-2022</t>
        </is>
      </c>
      <c r="B236" s="1" t="n">
        <v>44882</v>
      </c>
      <c r="C236" s="1" t="n">
        <v>45970</v>
      </c>
      <c r="D236" t="inlineStr">
        <is>
          <t>SKÅNE LÄN</t>
        </is>
      </c>
      <c r="E236" t="inlineStr">
        <is>
          <t>HÄSSLEHOLM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53576-2022</t>
        </is>
      </c>
      <c r="B237" s="1" t="n">
        <v>44875</v>
      </c>
      <c r="C237" s="1" t="n">
        <v>45970</v>
      </c>
      <c r="D237" t="inlineStr">
        <is>
          <t>SKÅNE LÄN</t>
        </is>
      </c>
      <c r="E237" t="inlineStr">
        <is>
          <t>HÄSSLEHOLM</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6253-2022</t>
        </is>
      </c>
      <c r="B238" s="1" t="n">
        <v>44600</v>
      </c>
      <c r="C238" s="1" t="n">
        <v>45970</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26386-2022</t>
        </is>
      </c>
      <c r="B239" s="1" t="n">
        <v>44735.6803125</v>
      </c>
      <c r="C239" s="1" t="n">
        <v>45970</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48771-2024</t>
        </is>
      </c>
      <c r="B240" s="1" t="n">
        <v>45593.61284722222</v>
      </c>
      <c r="C240" s="1" t="n">
        <v>45970</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24241-2023</t>
        </is>
      </c>
      <c r="B241" s="1" t="n">
        <v>45079.61476851852</v>
      </c>
      <c r="C241" s="1" t="n">
        <v>45970</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23987-2024</t>
        </is>
      </c>
      <c r="B242" s="1" t="n">
        <v>45456</v>
      </c>
      <c r="C242" s="1" t="n">
        <v>45970</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19739-2023</t>
        </is>
      </c>
      <c r="B243" s="1" t="n">
        <v>45051</v>
      </c>
      <c r="C243" s="1" t="n">
        <v>45970</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25469-2022</t>
        </is>
      </c>
      <c r="B244" s="1" t="n">
        <v>44732</v>
      </c>
      <c r="C244" s="1" t="n">
        <v>45970</v>
      </c>
      <c r="D244" t="inlineStr">
        <is>
          <t>SKÅNE LÄN</t>
        </is>
      </c>
      <c r="E244" t="inlineStr">
        <is>
          <t>HÄSSLEHOLM</t>
        </is>
      </c>
      <c r="G244" t="n">
        <v>4.2</v>
      </c>
      <c r="H244" t="n">
        <v>0</v>
      </c>
      <c r="I244" t="n">
        <v>0</v>
      </c>
      <c r="J244" t="n">
        <v>0</v>
      </c>
      <c r="K244" t="n">
        <v>0</v>
      </c>
      <c r="L244" t="n">
        <v>0</v>
      </c>
      <c r="M244" t="n">
        <v>0</v>
      </c>
      <c r="N244" t="n">
        <v>0</v>
      </c>
      <c r="O244" t="n">
        <v>0</v>
      </c>
      <c r="P244" t="n">
        <v>0</v>
      </c>
      <c r="Q244" t="n">
        <v>0</v>
      </c>
      <c r="R244" s="2" t="inlineStr"/>
    </row>
    <row r="245" ht="15" customHeight="1">
      <c r="A245" t="inlineStr">
        <is>
          <t>A 1886-2025</t>
        </is>
      </c>
      <c r="B245" s="1" t="n">
        <v>45671</v>
      </c>
      <c r="C245" s="1" t="n">
        <v>45970</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59246-2024</t>
        </is>
      </c>
      <c r="B246" s="1" t="n">
        <v>45636</v>
      </c>
      <c r="C246" s="1" t="n">
        <v>45970</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62199-2022</t>
        </is>
      </c>
      <c r="B247" s="1" t="n">
        <v>44915</v>
      </c>
      <c r="C247" s="1" t="n">
        <v>45970</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73513-2021</t>
        </is>
      </c>
      <c r="B248" s="1" t="n">
        <v>44551.69012731482</v>
      </c>
      <c r="C248" s="1" t="n">
        <v>45970</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14157-2021</t>
        </is>
      </c>
      <c r="B249" s="1" t="n">
        <v>44278.43246527778</v>
      </c>
      <c r="C249" s="1" t="n">
        <v>45970</v>
      </c>
      <c r="D249" t="inlineStr">
        <is>
          <t>SKÅNE LÄN</t>
        </is>
      </c>
      <c r="E249" t="inlineStr">
        <is>
          <t>HÄSSLEHOLM</t>
        </is>
      </c>
      <c r="G249" t="n">
        <v>10.5</v>
      </c>
      <c r="H249" t="n">
        <v>0</v>
      </c>
      <c r="I249" t="n">
        <v>0</v>
      </c>
      <c r="J249" t="n">
        <v>0</v>
      </c>
      <c r="K249" t="n">
        <v>0</v>
      </c>
      <c r="L249" t="n">
        <v>0</v>
      </c>
      <c r="M249" t="n">
        <v>0</v>
      </c>
      <c r="N249" t="n">
        <v>0</v>
      </c>
      <c r="O249" t="n">
        <v>0</v>
      </c>
      <c r="P249" t="n">
        <v>0</v>
      </c>
      <c r="Q249" t="n">
        <v>0</v>
      </c>
      <c r="R249" s="2" t="inlineStr"/>
    </row>
    <row r="250" ht="15" customHeight="1">
      <c r="A250" t="inlineStr">
        <is>
          <t>A 677-2024</t>
        </is>
      </c>
      <c r="B250" s="1" t="n">
        <v>45300</v>
      </c>
      <c r="C250" s="1" t="n">
        <v>45970</v>
      </c>
      <c r="D250" t="inlineStr">
        <is>
          <t>SKÅNE LÄN</t>
        </is>
      </c>
      <c r="E250" t="inlineStr">
        <is>
          <t>HÄSSLEHOLM</t>
        </is>
      </c>
      <c r="G250" t="n">
        <v>6.8</v>
      </c>
      <c r="H250" t="n">
        <v>0</v>
      </c>
      <c r="I250" t="n">
        <v>0</v>
      </c>
      <c r="J250" t="n">
        <v>0</v>
      </c>
      <c r="K250" t="n">
        <v>0</v>
      </c>
      <c r="L250" t="n">
        <v>0</v>
      </c>
      <c r="M250" t="n">
        <v>0</v>
      </c>
      <c r="N250" t="n">
        <v>0</v>
      </c>
      <c r="O250" t="n">
        <v>0</v>
      </c>
      <c r="P250" t="n">
        <v>0</v>
      </c>
      <c r="Q250" t="n">
        <v>0</v>
      </c>
      <c r="R250" s="2" t="inlineStr"/>
    </row>
    <row r="251" ht="15" customHeight="1">
      <c r="A251" t="inlineStr">
        <is>
          <t>A 23666-2023</t>
        </is>
      </c>
      <c r="B251" s="1" t="n">
        <v>45077</v>
      </c>
      <c r="C251" s="1" t="n">
        <v>45970</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58509-2020</t>
        </is>
      </c>
      <c r="B252" s="1" t="n">
        <v>44144</v>
      </c>
      <c r="C252" s="1" t="n">
        <v>45970</v>
      </c>
      <c r="D252" t="inlineStr">
        <is>
          <t>SKÅNE LÄN</t>
        </is>
      </c>
      <c r="E252" t="inlineStr">
        <is>
          <t>HÄSSLEHOLM</t>
        </is>
      </c>
      <c r="G252" t="n">
        <v>8.5</v>
      </c>
      <c r="H252" t="n">
        <v>0</v>
      </c>
      <c r="I252" t="n">
        <v>0</v>
      </c>
      <c r="J252" t="n">
        <v>0</v>
      </c>
      <c r="K252" t="n">
        <v>0</v>
      </c>
      <c r="L252" t="n">
        <v>0</v>
      </c>
      <c r="M252" t="n">
        <v>0</v>
      </c>
      <c r="N252" t="n">
        <v>0</v>
      </c>
      <c r="O252" t="n">
        <v>0</v>
      </c>
      <c r="P252" t="n">
        <v>0</v>
      </c>
      <c r="Q252" t="n">
        <v>0</v>
      </c>
      <c r="R252" s="2" t="inlineStr"/>
    </row>
    <row r="253" ht="15" customHeight="1">
      <c r="A253" t="inlineStr">
        <is>
          <t>A 69198-2020</t>
        </is>
      </c>
      <c r="B253" s="1" t="n">
        <v>44191</v>
      </c>
      <c r="C253" s="1" t="n">
        <v>45970</v>
      </c>
      <c r="D253" t="inlineStr">
        <is>
          <t>SKÅNE LÄN</t>
        </is>
      </c>
      <c r="E253" t="inlineStr">
        <is>
          <t>HÄSSLEHOLM</t>
        </is>
      </c>
      <c r="G253" t="n">
        <v>6.6</v>
      </c>
      <c r="H253" t="n">
        <v>0</v>
      </c>
      <c r="I253" t="n">
        <v>0</v>
      </c>
      <c r="J253" t="n">
        <v>0</v>
      </c>
      <c r="K253" t="n">
        <v>0</v>
      </c>
      <c r="L253" t="n">
        <v>0</v>
      </c>
      <c r="M253" t="n">
        <v>0</v>
      </c>
      <c r="N253" t="n">
        <v>0</v>
      </c>
      <c r="O253" t="n">
        <v>0</v>
      </c>
      <c r="P253" t="n">
        <v>0</v>
      </c>
      <c r="Q253" t="n">
        <v>0</v>
      </c>
      <c r="R253" s="2" t="inlineStr"/>
    </row>
    <row r="254" ht="15" customHeight="1">
      <c r="A254" t="inlineStr">
        <is>
          <t>A 15562-2024</t>
        </is>
      </c>
      <c r="B254" s="1" t="n">
        <v>45401.64975694445</v>
      </c>
      <c r="C254" s="1" t="n">
        <v>45970</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35237-2023</t>
        </is>
      </c>
      <c r="B255" s="1" t="n">
        <v>45145.74532407407</v>
      </c>
      <c r="C255" s="1" t="n">
        <v>45970</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9747-2024</t>
        </is>
      </c>
      <c r="B256" s="1" t="n">
        <v>45362</v>
      </c>
      <c r="C256" s="1" t="n">
        <v>45970</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18580-2023</t>
        </is>
      </c>
      <c r="B257" s="1" t="n">
        <v>45043.37037037037</v>
      </c>
      <c r="C257" s="1" t="n">
        <v>45970</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5476-2021</t>
        </is>
      </c>
      <c r="B258" s="1" t="n">
        <v>44230</v>
      </c>
      <c r="C258" s="1" t="n">
        <v>45970</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17335-2024</t>
        </is>
      </c>
      <c r="B259" s="1" t="n">
        <v>45414.5687962963</v>
      </c>
      <c r="C259" s="1" t="n">
        <v>45970</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260-2024</t>
        </is>
      </c>
      <c r="B260" s="1" t="n">
        <v>45294</v>
      </c>
      <c r="C260" s="1" t="n">
        <v>45970</v>
      </c>
      <c r="D260" t="inlineStr">
        <is>
          <t>SKÅNE LÄN</t>
        </is>
      </c>
      <c r="E260" t="inlineStr">
        <is>
          <t>HÄSSLEHOLM</t>
        </is>
      </c>
      <c r="G260" t="n">
        <v>0.2</v>
      </c>
      <c r="H260" t="n">
        <v>0</v>
      </c>
      <c r="I260" t="n">
        <v>0</v>
      </c>
      <c r="J260" t="n">
        <v>0</v>
      </c>
      <c r="K260" t="n">
        <v>0</v>
      </c>
      <c r="L260" t="n">
        <v>0</v>
      </c>
      <c r="M260" t="n">
        <v>0</v>
      </c>
      <c r="N260" t="n">
        <v>0</v>
      </c>
      <c r="O260" t="n">
        <v>0</v>
      </c>
      <c r="P260" t="n">
        <v>0</v>
      </c>
      <c r="Q260" t="n">
        <v>0</v>
      </c>
      <c r="R260" s="2" t="inlineStr"/>
    </row>
    <row r="261" ht="15" customHeight="1">
      <c r="A261" t="inlineStr">
        <is>
          <t>A 50000-2023</t>
        </is>
      </c>
      <c r="B261" s="1" t="n">
        <v>45215.4434837963</v>
      </c>
      <c r="C261" s="1" t="n">
        <v>45970</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5054-2022</t>
        </is>
      </c>
      <c r="B262" s="1" t="n">
        <v>44593.69065972222</v>
      </c>
      <c r="C262" s="1" t="n">
        <v>45970</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57275-2023</t>
        </is>
      </c>
      <c r="B263" s="1" t="n">
        <v>45245.58886574074</v>
      </c>
      <c r="C263" s="1" t="n">
        <v>45970</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49181-2024</t>
        </is>
      </c>
      <c r="B264" s="1" t="n">
        <v>45595</v>
      </c>
      <c r="C264" s="1" t="n">
        <v>45970</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50607-2023</t>
        </is>
      </c>
      <c r="B265" s="1" t="n">
        <v>45210</v>
      </c>
      <c r="C265" s="1" t="n">
        <v>45970</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50616-2023</t>
        </is>
      </c>
      <c r="B266" s="1" t="n">
        <v>45210</v>
      </c>
      <c r="C266" s="1" t="n">
        <v>45970</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9323-2025</t>
        </is>
      </c>
      <c r="B267" s="1" t="n">
        <v>45714.73532407408</v>
      </c>
      <c r="C267" s="1" t="n">
        <v>45970</v>
      </c>
      <c r="D267" t="inlineStr">
        <is>
          <t>SKÅNE LÄN</t>
        </is>
      </c>
      <c r="E267" t="inlineStr">
        <is>
          <t>HÄSSLEHOLM</t>
        </is>
      </c>
      <c r="G267" t="n">
        <v>5.2</v>
      </c>
      <c r="H267" t="n">
        <v>0</v>
      </c>
      <c r="I267" t="n">
        <v>0</v>
      </c>
      <c r="J267" t="n">
        <v>0</v>
      </c>
      <c r="K267" t="n">
        <v>0</v>
      </c>
      <c r="L267" t="n">
        <v>0</v>
      </c>
      <c r="M267" t="n">
        <v>0</v>
      </c>
      <c r="N267" t="n">
        <v>0</v>
      </c>
      <c r="O267" t="n">
        <v>0</v>
      </c>
      <c r="P267" t="n">
        <v>0</v>
      </c>
      <c r="Q267" t="n">
        <v>0</v>
      </c>
      <c r="R267" s="2" t="inlineStr"/>
    </row>
    <row r="268" ht="15" customHeight="1">
      <c r="A268" t="inlineStr">
        <is>
          <t>A 3349-2023</t>
        </is>
      </c>
      <c r="B268" s="1" t="n">
        <v>44949</v>
      </c>
      <c r="C268" s="1" t="n">
        <v>45970</v>
      </c>
      <c r="D268" t="inlineStr">
        <is>
          <t>SKÅNE LÄN</t>
        </is>
      </c>
      <c r="E268" t="inlineStr">
        <is>
          <t>HÄSSLEHOLM</t>
        </is>
      </c>
      <c r="G268" t="n">
        <v>2.3</v>
      </c>
      <c r="H268" t="n">
        <v>0</v>
      </c>
      <c r="I268" t="n">
        <v>0</v>
      </c>
      <c r="J268" t="n">
        <v>0</v>
      </c>
      <c r="K268" t="n">
        <v>0</v>
      </c>
      <c r="L268" t="n">
        <v>0</v>
      </c>
      <c r="M268" t="n">
        <v>0</v>
      </c>
      <c r="N268" t="n">
        <v>0</v>
      </c>
      <c r="O268" t="n">
        <v>0</v>
      </c>
      <c r="P268" t="n">
        <v>0</v>
      </c>
      <c r="Q268" t="n">
        <v>0</v>
      </c>
      <c r="R268" s="2" t="inlineStr"/>
    </row>
    <row r="269" ht="15" customHeight="1">
      <c r="A269" t="inlineStr">
        <is>
          <t>A 7262-2022</t>
        </is>
      </c>
      <c r="B269" s="1" t="n">
        <v>44606</v>
      </c>
      <c r="C269" s="1" t="n">
        <v>45970</v>
      </c>
      <c r="D269" t="inlineStr">
        <is>
          <t>SKÅNE LÄN</t>
        </is>
      </c>
      <c r="E269" t="inlineStr">
        <is>
          <t>HÄSSLEHOLM</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45078.61601851852</v>
      </c>
      <c r="C270" s="1" t="n">
        <v>45970</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27304-2023</t>
        </is>
      </c>
      <c r="B271" s="1" t="n">
        <v>45096.65199074074</v>
      </c>
      <c r="C271" s="1" t="n">
        <v>45970</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49250-2022</t>
        </is>
      </c>
      <c r="B272" s="1" t="n">
        <v>44858</v>
      </c>
      <c r="C272" s="1" t="n">
        <v>45970</v>
      </c>
      <c r="D272" t="inlineStr">
        <is>
          <t>SKÅNE LÄN</t>
        </is>
      </c>
      <c r="E272" t="inlineStr">
        <is>
          <t>HÄSSLEHOLM</t>
        </is>
      </c>
      <c r="F272" t="inlineStr">
        <is>
          <t>Kyrkan</t>
        </is>
      </c>
      <c r="G272" t="n">
        <v>1.5</v>
      </c>
      <c r="H272" t="n">
        <v>0</v>
      </c>
      <c r="I272" t="n">
        <v>0</v>
      </c>
      <c r="J272" t="n">
        <v>0</v>
      </c>
      <c r="K272" t="n">
        <v>0</v>
      </c>
      <c r="L272" t="n">
        <v>0</v>
      </c>
      <c r="M272" t="n">
        <v>0</v>
      </c>
      <c r="N272" t="n">
        <v>0</v>
      </c>
      <c r="O272" t="n">
        <v>0</v>
      </c>
      <c r="P272" t="n">
        <v>0</v>
      </c>
      <c r="Q272" t="n">
        <v>0</v>
      </c>
      <c r="R272" s="2" t="inlineStr"/>
    </row>
    <row r="273" ht="15" customHeight="1">
      <c r="A273" t="inlineStr">
        <is>
          <t>A 48191-2021</t>
        </is>
      </c>
      <c r="B273" s="1" t="n">
        <v>44449</v>
      </c>
      <c r="C273" s="1" t="n">
        <v>45970</v>
      </c>
      <c r="D273" t="inlineStr">
        <is>
          <t>SKÅNE LÄN</t>
        </is>
      </c>
      <c r="E273" t="inlineStr">
        <is>
          <t>HÄSSLEHOLM</t>
        </is>
      </c>
      <c r="G273" t="n">
        <v>6</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45970</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8759-2024</t>
        </is>
      </c>
      <c r="B275" s="1" t="n">
        <v>45356.52271990741</v>
      </c>
      <c r="C275" s="1" t="n">
        <v>45970</v>
      </c>
      <c r="D275" t="inlineStr">
        <is>
          <t>SKÅNE LÄN</t>
        </is>
      </c>
      <c r="E275" t="inlineStr">
        <is>
          <t>HÄSSLEHOLM</t>
        </is>
      </c>
      <c r="G275" t="n">
        <v>5.7</v>
      </c>
      <c r="H275" t="n">
        <v>0</v>
      </c>
      <c r="I275" t="n">
        <v>0</v>
      </c>
      <c r="J275" t="n">
        <v>0</v>
      </c>
      <c r="K275" t="n">
        <v>0</v>
      </c>
      <c r="L275" t="n">
        <v>0</v>
      </c>
      <c r="M275" t="n">
        <v>0</v>
      </c>
      <c r="N275" t="n">
        <v>0</v>
      </c>
      <c r="O275" t="n">
        <v>0</v>
      </c>
      <c r="P275" t="n">
        <v>0</v>
      </c>
      <c r="Q275" t="n">
        <v>0</v>
      </c>
      <c r="R275" s="2" t="inlineStr"/>
    </row>
    <row r="276" ht="15" customHeight="1">
      <c r="A276" t="inlineStr">
        <is>
          <t>A 10020-2024</t>
        </is>
      </c>
      <c r="B276" s="1" t="n">
        <v>45363.96944444445</v>
      </c>
      <c r="C276" s="1" t="n">
        <v>45970</v>
      </c>
      <c r="D276" t="inlineStr">
        <is>
          <t>SKÅNE LÄN</t>
        </is>
      </c>
      <c r="E276" t="inlineStr">
        <is>
          <t>HÄSSLEHOLM</t>
        </is>
      </c>
      <c r="G276" t="n">
        <v>5.3</v>
      </c>
      <c r="H276" t="n">
        <v>0</v>
      </c>
      <c r="I276" t="n">
        <v>0</v>
      </c>
      <c r="J276" t="n">
        <v>0</v>
      </c>
      <c r="K276" t="n">
        <v>0</v>
      </c>
      <c r="L276" t="n">
        <v>0</v>
      </c>
      <c r="M276" t="n">
        <v>0</v>
      </c>
      <c r="N276" t="n">
        <v>0</v>
      </c>
      <c r="O276" t="n">
        <v>0</v>
      </c>
      <c r="P276" t="n">
        <v>0</v>
      </c>
      <c r="Q276" t="n">
        <v>0</v>
      </c>
      <c r="R276" s="2" t="inlineStr"/>
    </row>
    <row r="277" ht="15" customHeight="1">
      <c r="A277" t="inlineStr">
        <is>
          <t>A 6845-2023</t>
        </is>
      </c>
      <c r="B277" s="1" t="n">
        <v>44967</v>
      </c>
      <c r="C277" s="1" t="n">
        <v>45970</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60959-2022</t>
        </is>
      </c>
      <c r="B278" s="1" t="n">
        <v>44914.64777777778</v>
      </c>
      <c r="C278" s="1" t="n">
        <v>45970</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32834-2024</t>
        </is>
      </c>
      <c r="B279" s="1" t="n">
        <v>45516.6025</v>
      </c>
      <c r="C279" s="1" t="n">
        <v>45970</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12936-2025</t>
        </is>
      </c>
      <c r="B280" s="1" t="n">
        <v>45734</v>
      </c>
      <c r="C280" s="1" t="n">
        <v>45970</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49199-2024</t>
        </is>
      </c>
      <c r="B281" s="1" t="n">
        <v>45595</v>
      </c>
      <c r="C281" s="1" t="n">
        <v>45970</v>
      </c>
      <c r="D281" t="inlineStr">
        <is>
          <t>SKÅNE LÄN</t>
        </is>
      </c>
      <c r="E281" t="inlineStr">
        <is>
          <t>HÄSSLEHOLM</t>
        </is>
      </c>
      <c r="G281" t="n">
        <v>5.2</v>
      </c>
      <c r="H281" t="n">
        <v>0</v>
      </c>
      <c r="I281" t="n">
        <v>0</v>
      </c>
      <c r="J281" t="n">
        <v>0</v>
      </c>
      <c r="K281" t="n">
        <v>0</v>
      </c>
      <c r="L281" t="n">
        <v>0</v>
      </c>
      <c r="M281" t="n">
        <v>0</v>
      </c>
      <c r="N281" t="n">
        <v>0</v>
      </c>
      <c r="O281" t="n">
        <v>0</v>
      </c>
      <c r="P281" t="n">
        <v>0</v>
      </c>
      <c r="Q281" t="n">
        <v>0</v>
      </c>
      <c r="R281" s="2" t="inlineStr"/>
    </row>
    <row r="282" ht="15" customHeight="1">
      <c r="A282" t="inlineStr">
        <is>
          <t>A 58886-2024</t>
        </is>
      </c>
      <c r="B282" s="1" t="n">
        <v>45636.45380787037</v>
      </c>
      <c r="C282" s="1" t="n">
        <v>45970</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3746-2024</t>
        </is>
      </c>
      <c r="B283" s="1" t="n">
        <v>45321.50745370371</v>
      </c>
      <c r="C283" s="1" t="n">
        <v>45970</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6638-2021</t>
        </is>
      </c>
      <c r="B284" s="1" t="n">
        <v>44235</v>
      </c>
      <c r="C284" s="1" t="n">
        <v>45970</v>
      </c>
      <c r="D284" t="inlineStr">
        <is>
          <t>SKÅNE LÄN</t>
        </is>
      </c>
      <c r="E284" t="inlineStr">
        <is>
          <t>HÄSSLEHOLM</t>
        </is>
      </c>
      <c r="G284" t="n">
        <v>112.4</v>
      </c>
      <c r="H284" t="n">
        <v>0</v>
      </c>
      <c r="I284" t="n">
        <v>0</v>
      </c>
      <c r="J284" t="n">
        <v>0</v>
      </c>
      <c r="K284" t="n">
        <v>0</v>
      </c>
      <c r="L284" t="n">
        <v>0</v>
      </c>
      <c r="M284" t="n">
        <v>0</v>
      </c>
      <c r="N284" t="n">
        <v>0</v>
      </c>
      <c r="O284" t="n">
        <v>0</v>
      </c>
      <c r="P284" t="n">
        <v>0</v>
      </c>
      <c r="Q284" t="n">
        <v>0</v>
      </c>
      <c r="R284" s="2" t="inlineStr"/>
    </row>
    <row r="285" ht="15" customHeight="1">
      <c r="A285" t="inlineStr">
        <is>
          <t>A 44262-2021</t>
        </is>
      </c>
      <c r="B285" s="1" t="n">
        <v>44434</v>
      </c>
      <c r="C285" s="1" t="n">
        <v>45970</v>
      </c>
      <c r="D285" t="inlineStr">
        <is>
          <t>SKÅNE LÄN</t>
        </is>
      </c>
      <c r="E285" t="inlineStr">
        <is>
          <t>HÄSSLEHOLM</t>
        </is>
      </c>
      <c r="G285" t="n">
        <v>4.7</v>
      </c>
      <c r="H285" t="n">
        <v>0</v>
      </c>
      <c r="I285" t="n">
        <v>0</v>
      </c>
      <c r="J285" t="n">
        <v>0</v>
      </c>
      <c r="K285" t="n">
        <v>0</v>
      </c>
      <c r="L285" t="n">
        <v>0</v>
      </c>
      <c r="M285" t="n">
        <v>0</v>
      </c>
      <c r="N285" t="n">
        <v>0</v>
      </c>
      <c r="O285" t="n">
        <v>0</v>
      </c>
      <c r="P285" t="n">
        <v>0</v>
      </c>
      <c r="Q285" t="n">
        <v>0</v>
      </c>
      <c r="R285" s="2" t="inlineStr"/>
    </row>
    <row r="286" ht="15" customHeight="1">
      <c r="A286" t="inlineStr">
        <is>
          <t>A 13345-2025</t>
        </is>
      </c>
      <c r="B286" s="1" t="n">
        <v>45735.63017361111</v>
      </c>
      <c r="C286" s="1" t="n">
        <v>45970</v>
      </c>
      <c r="D286" t="inlineStr">
        <is>
          <t>SKÅNE LÄN</t>
        </is>
      </c>
      <c r="E286" t="inlineStr">
        <is>
          <t>HÄSSLEHOLM</t>
        </is>
      </c>
      <c r="G286" t="n">
        <v>1.3</v>
      </c>
      <c r="H286" t="n">
        <v>0</v>
      </c>
      <c r="I286" t="n">
        <v>0</v>
      </c>
      <c r="J286" t="n">
        <v>0</v>
      </c>
      <c r="K286" t="n">
        <v>0</v>
      </c>
      <c r="L286" t="n">
        <v>0</v>
      </c>
      <c r="M286" t="n">
        <v>0</v>
      </c>
      <c r="N286" t="n">
        <v>0</v>
      </c>
      <c r="O286" t="n">
        <v>0</v>
      </c>
      <c r="P286" t="n">
        <v>0</v>
      </c>
      <c r="Q286" t="n">
        <v>0</v>
      </c>
      <c r="R286" s="2" t="inlineStr"/>
    </row>
    <row r="287" ht="15" customHeight="1">
      <c r="A287" t="inlineStr">
        <is>
          <t>A 20510-2021</t>
        </is>
      </c>
      <c r="B287" s="1" t="n">
        <v>44315</v>
      </c>
      <c r="C287" s="1" t="n">
        <v>45970</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1553-2023</t>
        </is>
      </c>
      <c r="B288" s="1" t="n">
        <v>44937</v>
      </c>
      <c r="C288" s="1" t="n">
        <v>45970</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1562-2023</t>
        </is>
      </c>
      <c r="B289" s="1" t="n">
        <v>44937.60450231482</v>
      </c>
      <c r="C289" s="1" t="n">
        <v>45970</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12469-2023</t>
        </is>
      </c>
      <c r="B290" s="1" t="n">
        <v>44999.62109953703</v>
      </c>
      <c r="C290" s="1" t="n">
        <v>45970</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8749-2024</t>
        </is>
      </c>
      <c r="B291" s="1" t="n">
        <v>45356.50387731481</v>
      </c>
      <c r="C291" s="1" t="n">
        <v>45970</v>
      </c>
      <c r="D291" t="inlineStr">
        <is>
          <t>SKÅNE LÄN</t>
        </is>
      </c>
      <c r="E291" t="inlineStr">
        <is>
          <t>HÄSSLEHOLM</t>
        </is>
      </c>
      <c r="G291" t="n">
        <v>2.9</v>
      </c>
      <c r="H291" t="n">
        <v>0</v>
      </c>
      <c r="I291" t="n">
        <v>0</v>
      </c>
      <c r="J291" t="n">
        <v>0</v>
      </c>
      <c r="K291" t="n">
        <v>0</v>
      </c>
      <c r="L291" t="n">
        <v>0</v>
      </c>
      <c r="M291" t="n">
        <v>0</v>
      </c>
      <c r="N291" t="n">
        <v>0</v>
      </c>
      <c r="O291" t="n">
        <v>0</v>
      </c>
      <c r="P291" t="n">
        <v>0</v>
      </c>
      <c r="Q291" t="n">
        <v>0</v>
      </c>
      <c r="R291" s="2" t="inlineStr"/>
    </row>
    <row r="292" ht="15" customHeight="1">
      <c r="A292" t="inlineStr">
        <is>
          <t>A 8752-2024</t>
        </is>
      </c>
      <c r="B292" s="1" t="n">
        <v>45356</v>
      </c>
      <c r="C292" s="1" t="n">
        <v>45970</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3452-2023</t>
        </is>
      </c>
      <c r="B293" s="1" t="n">
        <v>44949</v>
      </c>
      <c r="C293" s="1" t="n">
        <v>45970</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42906-2022</t>
        </is>
      </c>
      <c r="B294" s="1" t="n">
        <v>44833</v>
      </c>
      <c r="C294" s="1" t="n">
        <v>45970</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48663-2024</t>
        </is>
      </c>
      <c r="B295" s="1" t="n">
        <v>45593.48892361111</v>
      </c>
      <c r="C295" s="1" t="n">
        <v>45970</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64826-2021</t>
        </is>
      </c>
      <c r="B296" s="1" t="n">
        <v>44512.55935185185</v>
      </c>
      <c r="C296" s="1" t="n">
        <v>45970</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15036-2024</t>
        </is>
      </c>
      <c r="B297" s="1" t="n">
        <v>45399.48100694444</v>
      </c>
      <c r="C297" s="1" t="n">
        <v>45970</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50659-2023</t>
        </is>
      </c>
      <c r="B298" s="1" t="n">
        <v>45217</v>
      </c>
      <c r="C298" s="1" t="n">
        <v>45970</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2596-2024</t>
        </is>
      </c>
      <c r="B299" s="1" t="n">
        <v>45313.69969907407</v>
      </c>
      <c r="C299" s="1" t="n">
        <v>45970</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2681-2024</t>
        </is>
      </c>
      <c r="B300" s="1" t="n">
        <v>45314</v>
      </c>
      <c r="C300" s="1" t="n">
        <v>45970</v>
      </c>
      <c r="D300" t="inlineStr">
        <is>
          <t>SKÅNE LÄN</t>
        </is>
      </c>
      <c r="E300" t="inlineStr">
        <is>
          <t>HÄSSLEHOLM</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27464-2022</t>
        </is>
      </c>
      <c r="B301" s="1" t="n">
        <v>44742.58704861111</v>
      </c>
      <c r="C301" s="1" t="n">
        <v>45970</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4187-2023</t>
        </is>
      </c>
      <c r="B302" s="1" t="n">
        <v>44953</v>
      </c>
      <c r="C302" s="1" t="n">
        <v>45970</v>
      </c>
      <c r="D302" t="inlineStr">
        <is>
          <t>SKÅNE LÄN</t>
        </is>
      </c>
      <c r="E302" t="inlineStr">
        <is>
          <t>HÄSSLEHOLM</t>
        </is>
      </c>
      <c r="G302" t="n">
        <v>3.2</v>
      </c>
      <c r="H302" t="n">
        <v>0</v>
      </c>
      <c r="I302" t="n">
        <v>0</v>
      </c>
      <c r="J302" t="n">
        <v>0</v>
      </c>
      <c r="K302" t="n">
        <v>0</v>
      </c>
      <c r="L302" t="n">
        <v>0</v>
      </c>
      <c r="M302" t="n">
        <v>0</v>
      </c>
      <c r="N302" t="n">
        <v>0</v>
      </c>
      <c r="O302" t="n">
        <v>0</v>
      </c>
      <c r="P302" t="n">
        <v>0</v>
      </c>
      <c r="Q302" t="n">
        <v>0</v>
      </c>
      <c r="R302" s="2" t="inlineStr"/>
    </row>
    <row r="303" ht="15" customHeight="1">
      <c r="A303" t="inlineStr">
        <is>
          <t>A 4382-2023</t>
        </is>
      </c>
      <c r="B303" s="1" t="n">
        <v>44955.61152777778</v>
      </c>
      <c r="C303" s="1" t="n">
        <v>45970</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58915-2023</t>
        </is>
      </c>
      <c r="B304" s="1" t="n">
        <v>45250</v>
      </c>
      <c r="C304" s="1" t="n">
        <v>45970</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18648-2021</t>
        </is>
      </c>
      <c r="B305" s="1" t="n">
        <v>44306.70583333333</v>
      </c>
      <c r="C305" s="1" t="n">
        <v>45970</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50525-2024</t>
        </is>
      </c>
      <c r="B306" s="1" t="n">
        <v>45601</v>
      </c>
      <c r="C306" s="1" t="n">
        <v>45970</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20494-2024</t>
        </is>
      </c>
      <c r="B307" s="1" t="n">
        <v>45435</v>
      </c>
      <c r="C307" s="1" t="n">
        <v>45970</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57033-2022</t>
        </is>
      </c>
      <c r="B308" s="1" t="n">
        <v>44895.31270833333</v>
      </c>
      <c r="C308" s="1" t="n">
        <v>45970</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27242-2022</t>
        </is>
      </c>
      <c r="B309" s="1" t="n">
        <v>44741</v>
      </c>
      <c r="C309" s="1" t="n">
        <v>45970</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44697-2021</t>
        </is>
      </c>
      <c r="B310" s="1" t="n">
        <v>44438</v>
      </c>
      <c r="C310" s="1" t="n">
        <v>45970</v>
      </c>
      <c r="D310" t="inlineStr">
        <is>
          <t>SKÅNE LÄN</t>
        </is>
      </c>
      <c r="E310" t="inlineStr">
        <is>
          <t>HÄSSLEHOLM</t>
        </is>
      </c>
      <c r="G310" t="n">
        <v>4.8</v>
      </c>
      <c r="H310" t="n">
        <v>0</v>
      </c>
      <c r="I310" t="n">
        <v>0</v>
      </c>
      <c r="J310" t="n">
        <v>0</v>
      </c>
      <c r="K310" t="n">
        <v>0</v>
      </c>
      <c r="L310" t="n">
        <v>0</v>
      </c>
      <c r="M310" t="n">
        <v>0</v>
      </c>
      <c r="N310" t="n">
        <v>0</v>
      </c>
      <c r="O310" t="n">
        <v>0</v>
      </c>
      <c r="P310" t="n">
        <v>0</v>
      </c>
      <c r="Q310" t="n">
        <v>0</v>
      </c>
      <c r="R310" s="2" t="inlineStr"/>
    </row>
    <row r="311" ht="15" customHeight="1">
      <c r="A311" t="inlineStr">
        <is>
          <t>A 53067-2022</t>
        </is>
      </c>
      <c r="B311" s="1" t="n">
        <v>44873</v>
      </c>
      <c r="C311" s="1" t="n">
        <v>45970</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61929-2023</t>
        </is>
      </c>
      <c r="B312" s="1" t="n">
        <v>45266</v>
      </c>
      <c r="C312" s="1" t="n">
        <v>45970</v>
      </c>
      <c r="D312" t="inlineStr">
        <is>
          <t>SKÅNE LÄN</t>
        </is>
      </c>
      <c r="E312" t="inlineStr">
        <is>
          <t>HÄSSLEHOLM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27197-2021</t>
        </is>
      </c>
      <c r="B313" s="1" t="n">
        <v>44350</v>
      </c>
      <c r="C313" s="1" t="n">
        <v>45970</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49107-2023</t>
        </is>
      </c>
      <c r="B314" s="1" t="n">
        <v>45210.44337962963</v>
      </c>
      <c r="C314" s="1" t="n">
        <v>45970</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5282-2023</t>
        </is>
      </c>
      <c r="B315" s="1" t="n">
        <v>44959.50471064815</v>
      </c>
      <c r="C315" s="1" t="n">
        <v>45970</v>
      </c>
      <c r="D315" t="inlineStr">
        <is>
          <t>SKÅNE LÄN</t>
        </is>
      </c>
      <c r="E315" t="inlineStr">
        <is>
          <t>HÄSSLEHOLM</t>
        </is>
      </c>
      <c r="G315" t="n">
        <v>0.9</v>
      </c>
      <c r="H315" t="n">
        <v>0</v>
      </c>
      <c r="I315" t="n">
        <v>0</v>
      </c>
      <c r="J315" t="n">
        <v>0</v>
      </c>
      <c r="K315" t="n">
        <v>0</v>
      </c>
      <c r="L315" t="n">
        <v>0</v>
      </c>
      <c r="M315" t="n">
        <v>0</v>
      </c>
      <c r="N315" t="n">
        <v>0</v>
      </c>
      <c r="O315" t="n">
        <v>0</v>
      </c>
      <c r="P315" t="n">
        <v>0</v>
      </c>
      <c r="Q315" t="n">
        <v>0</v>
      </c>
      <c r="R315" s="2" t="inlineStr"/>
    </row>
    <row r="316" ht="15" customHeight="1">
      <c r="A316" t="inlineStr">
        <is>
          <t>A 6180-2021</t>
        </is>
      </c>
      <c r="B316" s="1" t="n">
        <v>44232</v>
      </c>
      <c r="C316" s="1" t="n">
        <v>45970</v>
      </c>
      <c r="D316" t="inlineStr">
        <is>
          <t>SKÅNE LÄN</t>
        </is>
      </c>
      <c r="E316" t="inlineStr">
        <is>
          <t>HÄSSLEHOLM</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1120-2024</t>
        </is>
      </c>
      <c r="B317" s="1" t="n">
        <v>45302.4452662037</v>
      </c>
      <c r="C317" s="1" t="n">
        <v>45970</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27177-2024</t>
        </is>
      </c>
      <c r="B318" s="1" t="n">
        <v>45471.57201388889</v>
      </c>
      <c r="C318" s="1" t="n">
        <v>45970</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53897-2023</t>
        </is>
      </c>
      <c r="B319" s="1" t="n">
        <v>45231.53934027778</v>
      </c>
      <c r="C319" s="1" t="n">
        <v>45970</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42428-2022</t>
        </is>
      </c>
      <c r="B320" s="1" t="n">
        <v>44831</v>
      </c>
      <c r="C320" s="1" t="n">
        <v>45970</v>
      </c>
      <c r="D320" t="inlineStr">
        <is>
          <t>SKÅNE LÄN</t>
        </is>
      </c>
      <c r="E320" t="inlineStr">
        <is>
          <t>HÄSSLEHOLM</t>
        </is>
      </c>
      <c r="G320" t="n">
        <v>2.8</v>
      </c>
      <c r="H320" t="n">
        <v>0</v>
      </c>
      <c r="I320" t="n">
        <v>0</v>
      </c>
      <c r="J320" t="n">
        <v>0</v>
      </c>
      <c r="K320" t="n">
        <v>0</v>
      </c>
      <c r="L320" t="n">
        <v>0</v>
      </c>
      <c r="M320" t="n">
        <v>0</v>
      </c>
      <c r="N320" t="n">
        <v>0</v>
      </c>
      <c r="O320" t="n">
        <v>0</v>
      </c>
      <c r="P320" t="n">
        <v>0</v>
      </c>
      <c r="Q320" t="n">
        <v>0</v>
      </c>
      <c r="R320" s="2" t="inlineStr"/>
    </row>
    <row r="321" ht="15" customHeight="1">
      <c r="A321" t="inlineStr">
        <is>
          <t>A 22595-2024</t>
        </is>
      </c>
      <c r="B321" s="1" t="n">
        <v>45447.61053240741</v>
      </c>
      <c r="C321" s="1" t="n">
        <v>45970</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20990-2023</t>
        </is>
      </c>
      <c r="B322" s="1" t="n">
        <v>45061.46186342592</v>
      </c>
      <c r="C322" s="1" t="n">
        <v>45970</v>
      </c>
      <c r="D322" t="inlineStr">
        <is>
          <t>SKÅNE LÄN</t>
        </is>
      </c>
      <c r="E322" t="inlineStr">
        <is>
          <t>HÄSSLEHOLM</t>
        </is>
      </c>
      <c r="G322" t="n">
        <v>2.8</v>
      </c>
      <c r="H322" t="n">
        <v>0</v>
      </c>
      <c r="I322" t="n">
        <v>0</v>
      </c>
      <c r="J322" t="n">
        <v>0</v>
      </c>
      <c r="K322" t="n">
        <v>0</v>
      </c>
      <c r="L322" t="n">
        <v>0</v>
      </c>
      <c r="M322" t="n">
        <v>0</v>
      </c>
      <c r="N322" t="n">
        <v>0</v>
      </c>
      <c r="O322" t="n">
        <v>0</v>
      </c>
      <c r="P322" t="n">
        <v>0</v>
      </c>
      <c r="Q322" t="n">
        <v>0</v>
      </c>
      <c r="R322" s="2" t="inlineStr"/>
    </row>
    <row r="323" ht="15" customHeight="1">
      <c r="A323" t="inlineStr">
        <is>
          <t>A 1557-2023</t>
        </is>
      </c>
      <c r="B323" s="1" t="n">
        <v>44937</v>
      </c>
      <c r="C323" s="1" t="n">
        <v>45970</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33465-2024</t>
        </is>
      </c>
      <c r="B324" s="1" t="n">
        <v>45519.59619212963</v>
      </c>
      <c r="C324" s="1" t="n">
        <v>45970</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38148-2022</t>
        </is>
      </c>
      <c r="B325" s="1" t="n">
        <v>44811</v>
      </c>
      <c r="C325" s="1" t="n">
        <v>45970</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22696-2023</t>
        </is>
      </c>
      <c r="B326" s="1" t="n">
        <v>45071.69464120371</v>
      </c>
      <c r="C326" s="1" t="n">
        <v>45970</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45970</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31986-2023</t>
        </is>
      </c>
      <c r="B328" s="1" t="n">
        <v>45119</v>
      </c>
      <c r="C328" s="1" t="n">
        <v>45970</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33873-2021</t>
        </is>
      </c>
      <c r="B329" s="1" t="n">
        <v>44378</v>
      </c>
      <c r="C329" s="1" t="n">
        <v>45970</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13018-2024</t>
        </is>
      </c>
      <c r="B330" s="1" t="n">
        <v>45385.58274305556</v>
      </c>
      <c r="C330" s="1" t="n">
        <v>45970</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41209-2023</t>
        </is>
      </c>
      <c r="B331" s="1" t="n">
        <v>45174.43481481481</v>
      </c>
      <c r="C331" s="1" t="n">
        <v>45970</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61197-2024</t>
        </is>
      </c>
      <c r="B332" s="1" t="n">
        <v>45645.63184027778</v>
      </c>
      <c r="C332" s="1" t="n">
        <v>45970</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34348-2022</t>
        </is>
      </c>
      <c r="B333" s="1" t="n">
        <v>44792</v>
      </c>
      <c r="C333" s="1" t="n">
        <v>45970</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6836-2023</t>
        </is>
      </c>
      <c r="B334" s="1" t="n">
        <v>44967</v>
      </c>
      <c r="C334" s="1" t="n">
        <v>45970</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34342-2021</t>
        </is>
      </c>
      <c r="B335" s="1" t="n">
        <v>44379</v>
      </c>
      <c r="C335" s="1" t="n">
        <v>45970</v>
      </c>
      <c r="D335" t="inlineStr">
        <is>
          <t>SKÅNE LÄN</t>
        </is>
      </c>
      <c r="E335" t="inlineStr">
        <is>
          <t>HÄSSLEHOLM</t>
        </is>
      </c>
      <c r="G335" t="n">
        <v>7</v>
      </c>
      <c r="H335" t="n">
        <v>0</v>
      </c>
      <c r="I335" t="n">
        <v>0</v>
      </c>
      <c r="J335" t="n">
        <v>0</v>
      </c>
      <c r="K335" t="n">
        <v>0</v>
      </c>
      <c r="L335" t="n">
        <v>0</v>
      </c>
      <c r="M335" t="n">
        <v>0</v>
      </c>
      <c r="N335" t="n">
        <v>0</v>
      </c>
      <c r="O335" t="n">
        <v>0</v>
      </c>
      <c r="P335" t="n">
        <v>0</v>
      </c>
      <c r="Q335" t="n">
        <v>0</v>
      </c>
      <c r="R335" s="2" t="inlineStr"/>
    </row>
    <row r="336" ht="15" customHeight="1">
      <c r="A336" t="inlineStr">
        <is>
          <t>A 31931-2024</t>
        </is>
      </c>
      <c r="B336" s="1" t="n">
        <v>45510.40878472223</v>
      </c>
      <c r="C336" s="1" t="n">
        <v>45970</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6791-2021</t>
        </is>
      </c>
      <c r="B337" s="1" t="n">
        <v>44236</v>
      </c>
      <c r="C337" s="1" t="n">
        <v>45970</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8803-2023</t>
        </is>
      </c>
      <c r="B338" s="1" t="n">
        <v>44978.61712962963</v>
      </c>
      <c r="C338" s="1" t="n">
        <v>45970</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11681-2023</t>
        </is>
      </c>
      <c r="B339" s="1" t="n">
        <v>44992</v>
      </c>
      <c r="C339" s="1" t="n">
        <v>45970</v>
      </c>
      <c r="D339" t="inlineStr">
        <is>
          <t>SKÅNE LÄN</t>
        </is>
      </c>
      <c r="E339" t="inlineStr">
        <is>
          <t>HÄSSLEHOLM</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13549-2025</t>
        </is>
      </c>
      <c r="B340" s="1" t="n">
        <v>45736</v>
      </c>
      <c r="C340" s="1" t="n">
        <v>45970</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26857-2025</t>
        </is>
      </c>
      <c r="B341" s="1" t="n">
        <v>45810</v>
      </c>
      <c r="C341" s="1" t="n">
        <v>45970</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46222-2022</t>
        </is>
      </c>
      <c r="B342" s="1" t="n">
        <v>44847.58725694445</v>
      </c>
      <c r="C342" s="1" t="n">
        <v>45970</v>
      </c>
      <c r="D342" t="inlineStr">
        <is>
          <t>SKÅNE LÄN</t>
        </is>
      </c>
      <c r="E342" t="inlineStr">
        <is>
          <t>HÄSSLEHOLM</t>
        </is>
      </c>
      <c r="G342" t="n">
        <v>6.3</v>
      </c>
      <c r="H342" t="n">
        <v>0</v>
      </c>
      <c r="I342" t="n">
        <v>0</v>
      </c>
      <c r="J342" t="n">
        <v>0</v>
      </c>
      <c r="K342" t="n">
        <v>0</v>
      </c>
      <c r="L342" t="n">
        <v>0</v>
      </c>
      <c r="M342" t="n">
        <v>0</v>
      </c>
      <c r="N342" t="n">
        <v>0</v>
      </c>
      <c r="O342" t="n">
        <v>0</v>
      </c>
      <c r="P342" t="n">
        <v>0</v>
      </c>
      <c r="Q342" t="n">
        <v>0</v>
      </c>
      <c r="R342" s="2" t="inlineStr"/>
    </row>
    <row r="343" ht="15" customHeight="1">
      <c r="A343" t="inlineStr">
        <is>
          <t>A 35833-2023</t>
        </is>
      </c>
      <c r="B343" s="1" t="n">
        <v>45148</v>
      </c>
      <c r="C343" s="1" t="n">
        <v>45970</v>
      </c>
      <c r="D343" t="inlineStr">
        <is>
          <t>SKÅNE LÄN</t>
        </is>
      </c>
      <c r="E343" t="inlineStr">
        <is>
          <t>HÄSSLEHOLM</t>
        </is>
      </c>
      <c r="F343" t="inlineStr">
        <is>
          <t>Kommuner</t>
        </is>
      </c>
      <c r="G343" t="n">
        <v>2</v>
      </c>
      <c r="H343" t="n">
        <v>0</v>
      </c>
      <c r="I343" t="n">
        <v>0</v>
      </c>
      <c r="J343" t="n">
        <v>0</v>
      </c>
      <c r="K343" t="n">
        <v>0</v>
      </c>
      <c r="L343" t="n">
        <v>0</v>
      </c>
      <c r="M343" t="n">
        <v>0</v>
      </c>
      <c r="N343" t="n">
        <v>0</v>
      </c>
      <c r="O343" t="n">
        <v>0</v>
      </c>
      <c r="P343" t="n">
        <v>0</v>
      </c>
      <c r="Q343" t="n">
        <v>0</v>
      </c>
      <c r="R343" s="2" t="inlineStr"/>
    </row>
    <row r="344" ht="15" customHeight="1">
      <c r="A344" t="inlineStr">
        <is>
          <t>A 42776-2021</t>
        </is>
      </c>
      <c r="B344" s="1" t="n">
        <v>44428</v>
      </c>
      <c r="C344" s="1" t="n">
        <v>45970</v>
      </c>
      <c r="D344" t="inlineStr">
        <is>
          <t>SKÅNE LÄN</t>
        </is>
      </c>
      <c r="E344" t="inlineStr">
        <is>
          <t>HÄSSLEHOLM</t>
        </is>
      </c>
      <c r="G344" t="n">
        <v>3.2</v>
      </c>
      <c r="H344" t="n">
        <v>0</v>
      </c>
      <c r="I344" t="n">
        <v>0</v>
      </c>
      <c r="J344" t="n">
        <v>0</v>
      </c>
      <c r="K344" t="n">
        <v>0</v>
      </c>
      <c r="L344" t="n">
        <v>0</v>
      </c>
      <c r="M344" t="n">
        <v>0</v>
      </c>
      <c r="N344" t="n">
        <v>0</v>
      </c>
      <c r="O344" t="n">
        <v>0</v>
      </c>
      <c r="P344" t="n">
        <v>0</v>
      </c>
      <c r="Q344" t="n">
        <v>0</v>
      </c>
      <c r="R344" s="2" t="inlineStr"/>
    </row>
    <row r="345" ht="15" customHeight="1">
      <c r="A345" t="inlineStr">
        <is>
          <t>A 1560-2023</t>
        </is>
      </c>
      <c r="B345" s="1" t="n">
        <v>44937</v>
      </c>
      <c r="C345" s="1" t="n">
        <v>45970</v>
      </c>
      <c r="D345" t="inlineStr">
        <is>
          <t>SKÅNE LÄN</t>
        </is>
      </c>
      <c r="E345" t="inlineStr">
        <is>
          <t>HÄSSLEHOLM</t>
        </is>
      </c>
      <c r="G345" t="n">
        <v>6.8</v>
      </c>
      <c r="H345" t="n">
        <v>0</v>
      </c>
      <c r="I345" t="n">
        <v>0</v>
      </c>
      <c r="J345" t="n">
        <v>0</v>
      </c>
      <c r="K345" t="n">
        <v>0</v>
      </c>
      <c r="L345" t="n">
        <v>0</v>
      </c>
      <c r="M345" t="n">
        <v>0</v>
      </c>
      <c r="N345" t="n">
        <v>0</v>
      </c>
      <c r="O345" t="n">
        <v>0</v>
      </c>
      <c r="P345" t="n">
        <v>0</v>
      </c>
      <c r="Q345" t="n">
        <v>0</v>
      </c>
      <c r="R345" s="2" t="inlineStr"/>
    </row>
    <row r="346" ht="15" customHeight="1">
      <c r="A346" t="inlineStr">
        <is>
          <t>A 34342-2021</t>
        </is>
      </c>
      <c r="B346" s="1" t="n">
        <v>44379</v>
      </c>
      <c r="C346" s="1" t="n">
        <v>45970</v>
      </c>
      <c r="D346" t="inlineStr">
        <is>
          <t>SKÅNE LÄN</t>
        </is>
      </c>
      <c r="E346" t="inlineStr">
        <is>
          <t>HÄSSLEHOLM</t>
        </is>
      </c>
      <c r="G346" t="n">
        <v>7</v>
      </c>
      <c r="H346" t="n">
        <v>0</v>
      </c>
      <c r="I346" t="n">
        <v>0</v>
      </c>
      <c r="J346" t="n">
        <v>0</v>
      </c>
      <c r="K346" t="n">
        <v>0</v>
      </c>
      <c r="L346" t="n">
        <v>0</v>
      </c>
      <c r="M346" t="n">
        <v>0</v>
      </c>
      <c r="N346" t="n">
        <v>0</v>
      </c>
      <c r="O346" t="n">
        <v>0</v>
      </c>
      <c r="P346" t="n">
        <v>0</v>
      </c>
      <c r="Q346" t="n">
        <v>0</v>
      </c>
      <c r="R346" s="2" t="inlineStr"/>
    </row>
    <row r="347" ht="15" customHeight="1">
      <c r="A347" t="inlineStr">
        <is>
          <t>A 12780-2024</t>
        </is>
      </c>
      <c r="B347" s="1" t="n">
        <v>45384.59726851852</v>
      </c>
      <c r="C347" s="1" t="n">
        <v>45970</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57491-2024</t>
        </is>
      </c>
      <c r="B348" s="1" t="n">
        <v>45629</v>
      </c>
      <c r="C348" s="1" t="n">
        <v>45970</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28457-2024</t>
        </is>
      </c>
      <c r="B349" s="1" t="n">
        <v>45477.68884259259</v>
      </c>
      <c r="C349" s="1" t="n">
        <v>45970</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58250-2024</t>
        </is>
      </c>
      <c r="B350" s="1" t="n">
        <v>45632.55643518519</v>
      </c>
      <c r="C350" s="1" t="n">
        <v>45970</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26207-2021</t>
        </is>
      </c>
      <c r="B351" s="1" t="n">
        <v>44347</v>
      </c>
      <c r="C351" s="1" t="n">
        <v>45970</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50249-2024</t>
        </is>
      </c>
      <c r="B352" s="1" t="n">
        <v>45600.56866898148</v>
      </c>
      <c r="C352" s="1" t="n">
        <v>45970</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22594-2024</t>
        </is>
      </c>
      <c r="B353" s="1" t="n">
        <v>45447.60892361111</v>
      </c>
      <c r="C353" s="1" t="n">
        <v>45970</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55056-2021</t>
        </is>
      </c>
      <c r="B354" s="1" t="n">
        <v>44474.62072916667</v>
      </c>
      <c r="C354" s="1" t="n">
        <v>45970</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4042-2023</t>
        </is>
      </c>
      <c r="B355" s="1" t="n">
        <v>44952.59950231481</v>
      </c>
      <c r="C355" s="1" t="n">
        <v>45970</v>
      </c>
      <c r="D355" t="inlineStr">
        <is>
          <t>SKÅNE LÄN</t>
        </is>
      </c>
      <c r="E355" t="inlineStr">
        <is>
          <t>HÄSSLEHOLM</t>
        </is>
      </c>
      <c r="G355" t="n">
        <v>2.7</v>
      </c>
      <c r="H355" t="n">
        <v>0</v>
      </c>
      <c r="I355" t="n">
        <v>0</v>
      </c>
      <c r="J355" t="n">
        <v>0</v>
      </c>
      <c r="K355" t="n">
        <v>0</v>
      </c>
      <c r="L355" t="n">
        <v>0</v>
      </c>
      <c r="M355" t="n">
        <v>0</v>
      </c>
      <c r="N355" t="n">
        <v>0</v>
      </c>
      <c r="O355" t="n">
        <v>0</v>
      </c>
      <c r="P355" t="n">
        <v>0</v>
      </c>
      <c r="Q355" t="n">
        <v>0</v>
      </c>
      <c r="R355" s="2" t="inlineStr"/>
    </row>
    <row r="356" ht="15" customHeight="1">
      <c r="A356" t="inlineStr">
        <is>
          <t>A 3123-2023</t>
        </is>
      </c>
      <c r="B356" s="1" t="n">
        <v>44946.4925</v>
      </c>
      <c r="C356" s="1" t="n">
        <v>45970</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3126-2023</t>
        </is>
      </c>
      <c r="B357" s="1" t="n">
        <v>44946.49570601852</v>
      </c>
      <c r="C357" s="1" t="n">
        <v>45970</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25213-2023</t>
        </is>
      </c>
      <c r="B358" s="1" t="n">
        <v>45086.60010416667</v>
      </c>
      <c r="C358" s="1" t="n">
        <v>45970</v>
      </c>
      <c r="D358" t="inlineStr">
        <is>
          <t>SKÅNE LÄN</t>
        </is>
      </c>
      <c r="E358" t="inlineStr">
        <is>
          <t>HÄSSLEHOLM</t>
        </is>
      </c>
      <c r="G358" t="n">
        <v>7.2</v>
      </c>
      <c r="H358" t="n">
        <v>0</v>
      </c>
      <c r="I358" t="n">
        <v>0</v>
      </c>
      <c r="J358" t="n">
        <v>0</v>
      </c>
      <c r="K358" t="n">
        <v>0</v>
      </c>
      <c r="L358" t="n">
        <v>0</v>
      </c>
      <c r="M358" t="n">
        <v>0</v>
      </c>
      <c r="N358" t="n">
        <v>0</v>
      </c>
      <c r="O358" t="n">
        <v>0</v>
      </c>
      <c r="P358" t="n">
        <v>0</v>
      </c>
      <c r="Q358" t="n">
        <v>0</v>
      </c>
      <c r="R358" s="2" t="inlineStr"/>
    </row>
    <row r="359" ht="15" customHeight="1">
      <c r="A359" t="inlineStr">
        <is>
          <t>A 60843-2022</t>
        </is>
      </c>
      <c r="B359" s="1" t="n">
        <v>44914</v>
      </c>
      <c r="C359" s="1" t="n">
        <v>45970</v>
      </c>
      <c r="D359" t="inlineStr">
        <is>
          <t>SKÅNE LÄN</t>
        </is>
      </c>
      <c r="E359" t="inlineStr">
        <is>
          <t>HÄSSLEHOLM</t>
        </is>
      </c>
      <c r="G359" t="n">
        <v>2.2</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45970</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45970</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51040-2024</t>
        </is>
      </c>
      <c r="B362" s="1" t="n">
        <v>45603.43222222223</v>
      </c>
      <c r="C362" s="1" t="n">
        <v>45970</v>
      </c>
      <c r="D362" t="inlineStr">
        <is>
          <t>SKÅNE LÄN</t>
        </is>
      </c>
      <c r="E362" t="inlineStr">
        <is>
          <t>HÄSSLEHOLM</t>
        </is>
      </c>
      <c r="G362" t="n">
        <v>2.7</v>
      </c>
      <c r="H362" t="n">
        <v>0</v>
      </c>
      <c r="I362" t="n">
        <v>0</v>
      </c>
      <c r="J362" t="n">
        <v>0</v>
      </c>
      <c r="K362" t="n">
        <v>0</v>
      </c>
      <c r="L362" t="n">
        <v>0</v>
      </c>
      <c r="M362" t="n">
        <v>0</v>
      </c>
      <c r="N362" t="n">
        <v>0</v>
      </c>
      <c r="O362" t="n">
        <v>0</v>
      </c>
      <c r="P362" t="n">
        <v>0</v>
      </c>
      <c r="Q362" t="n">
        <v>0</v>
      </c>
      <c r="R362" s="2" t="inlineStr"/>
    </row>
    <row r="363" ht="15" customHeight="1">
      <c r="A363" t="inlineStr">
        <is>
          <t>A 56881-2021</t>
        </is>
      </c>
      <c r="B363" s="1" t="n">
        <v>44481</v>
      </c>
      <c r="C363" s="1" t="n">
        <v>45970</v>
      </c>
      <c r="D363" t="inlineStr">
        <is>
          <t>SKÅNE LÄN</t>
        </is>
      </c>
      <c r="E363" t="inlineStr">
        <is>
          <t>HÄSSLEHOLM</t>
        </is>
      </c>
      <c r="G363" t="n">
        <v>0.4</v>
      </c>
      <c r="H363" t="n">
        <v>0</v>
      </c>
      <c r="I363" t="n">
        <v>0</v>
      </c>
      <c r="J363" t="n">
        <v>0</v>
      </c>
      <c r="K363" t="n">
        <v>0</v>
      </c>
      <c r="L363" t="n">
        <v>0</v>
      </c>
      <c r="M363" t="n">
        <v>0</v>
      </c>
      <c r="N363" t="n">
        <v>0</v>
      </c>
      <c r="O363" t="n">
        <v>0</v>
      </c>
      <c r="P363" t="n">
        <v>0</v>
      </c>
      <c r="Q363" t="n">
        <v>0</v>
      </c>
      <c r="R363" s="2" t="inlineStr"/>
    </row>
    <row r="364" ht="15" customHeight="1">
      <c r="A364" t="inlineStr">
        <is>
          <t>A 24865-2024</t>
        </is>
      </c>
      <c r="B364" s="1" t="n">
        <v>45461.48974537037</v>
      </c>
      <c r="C364" s="1" t="n">
        <v>45970</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4734-2025</t>
        </is>
      </c>
      <c r="B365" s="1" t="n">
        <v>45688.44030092593</v>
      </c>
      <c r="C365" s="1" t="n">
        <v>45970</v>
      </c>
      <c r="D365" t="inlineStr">
        <is>
          <t>SKÅNE LÄN</t>
        </is>
      </c>
      <c r="E365" t="inlineStr">
        <is>
          <t>HÄSSLEHOLM</t>
        </is>
      </c>
      <c r="G365" t="n">
        <v>19.6</v>
      </c>
      <c r="H365" t="n">
        <v>0</v>
      </c>
      <c r="I365" t="n">
        <v>0</v>
      </c>
      <c r="J365" t="n">
        <v>0</v>
      </c>
      <c r="K365" t="n">
        <v>0</v>
      </c>
      <c r="L365" t="n">
        <v>0</v>
      </c>
      <c r="M365" t="n">
        <v>0</v>
      </c>
      <c r="N365" t="n">
        <v>0</v>
      </c>
      <c r="O365" t="n">
        <v>0</v>
      </c>
      <c r="P365" t="n">
        <v>0</v>
      </c>
      <c r="Q365" t="n">
        <v>0</v>
      </c>
      <c r="R365" s="2" t="inlineStr"/>
    </row>
    <row r="366" ht="15" customHeight="1">
      <c r="A366" t="inlineStr">
        <is>
          <t>A 47126-2025</t>
        </is>
      </c>
      <c r="B366" s="1" t="n">
        <v>45929.685625</v>
      </c>
      <c r="C366" s="1" t="n">
        <v>45970</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47127-2025</t>
        </is>
      </c>
      <c r="B367" s="1" t="n">
        <v>45929.6893287037</v>
      </c>
      <c r="C367" s="1" t="n">
        <v>45970</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45653-2024</t>
        </is>
      </c>
      <c r="B368" s="1" t="n">
        <v>45579.48872685185</v>
      </c>
      <c r="C368" s="1" t="n">
        <v>45970</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6798-2025</t>
        </is>
      </c>
      <c r="B369" s="1" t="n">
        <v>45700.668125</v>
      </c>
      <c r="C369" s="1" t="n">
        <v>45970</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56956-2024</t>
        </is>
      </c>
      <c r="B370" s="1" t="n">
        <v>45626</v>
      </c>
      <c r="C370" s="1" t="n">
        <v>45970</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69357-2021</t>
        </is>
      </c>
      <c r="B371" s="1" t="n">
        <v>44531</v>
      </c>
      <c r="C371" s="1" t="n">
        <v>45970</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33927-2021</t>
        </is>
      </c>
      <c r="B372" s="1" t="n">
        <v>44378</v>
      </c>
      <c r="C372" s="1" t="n">
        <v>45970</v>
      </c>
      <c r="D372" t="inlineStr">
        <is>
          <t>SKÅNE LÄN</t>
        </is>
      </c>
      <c r="E372" t="inlineStr">
        <is>
          <t>HÄSSLEHOLM</t>
        </is>
      </c>
      <c r="G372" t="n">
        <v>16.7</v>
      </c>
      <c r="H372" t="n">
        <v>0</v>
      </c>
      <c r="I372" t="n">
        <v>0</v>
      </c>
      <c r="J372" t="n">
        <v>0</v>
      </c>
      <c r="K372" t="n">
        <v>0</v>
      </c>
      <c r="L372" t="n">
        <v>0</v>
      </c>
      <c r="M372" t="n">
        <v>0</v>
      </c>
      <c r="N372" t="n">
        <v>0</v>
      </c>
      <c r="O372" t="n">
        <v>0</v>
      </c>
      <c r="P372" t="n">
        <v>0</v>
      </c>
      <c r="Q372" t="n">
        <v>0</v>
      </c>
      <c r="R372" s="2" t="inlineStr"/>
    </row>
    <row r="373" ht="15" customHeight="1">
      <c r="A373" t="inlineStr">
        <is>
          <t>A 25057-2024</t>
        </is>
      </c>
      <c r="B373" s="1" t="n">
        <v>45462</v>
      </c>
      <c r="C373" s="1" t="n">
        <v>45970</v>
      </c>
      <c r="D373" t="inlineStr">
        <is>
          <t>SKÅNE LÄN</t>
        </is>
      </c>
      <c r="E373" t="inlineStr">
        <is>
          <t>HÄSSLEHOLM</t>
        </is>
      </c>
      <c r="G373" t="n">
        <v>4.3</v>
      </c>
      <c r="H373" t="n">
        <v>0</v>
      </c>
      <c r="I373" t="n">
        <v>0</v>
      </c>
      <c r="J373" t="n">
        <v>0</v>
      </c>
      <c r="K373" t="n">
        <v>0</v>
      </c>
      <c r="L373" t="n">
        <v>0</v>
      </c>
      <c r="M373" t="n">
        <v>0</v>
      </c>
      <c r="N373" t="n">
        <v>0</v>
      </c>
      <c r="O373" t="n">
        <v>0</v>
      </c>
      <c r="P373" t="n">
        <v>0</v>
      </c>
      <c r="Q373" t="n">
        <v>0</v>
      </c>
      <c r="R373" s="2" t="inlineStr"/>
    </row>
    <row r="374" ht="15" customHeight="1">
      <c r="A374" t="inlineStr">
        <is>
          <t>A 45392-2024</t>
        </is>
      </c>
      <c r="B374" s="1" t="n">
        <v>45576.55008101852</v>
      </c>
      <c r="C374" s="1" t="n">
        <v>45970</v>
      </c>
      <c r="D374" t="inlineStr">
        <is>
          <t>SKÅNE LÄN</t>
        </is>
      </c>
      <c r="E374" t="inlineStr">
        <is>
          <t>HÄSSLEHOLM</t>
        </is>
      </c>
      <c r="G374" t="n">
        <v>0.7</v>
      </c>
      <c r="H374" t="n">
        <v>0</v>
      </c>
      <c r="I374" t="n">
        <v>0</v>
      </c>
      <c r="J374" t="n">
        <v>0</v>
      </c>
      <c r="K374" t="n">
        <v>0</v>
      </c>
      <c r="L374" t="n">
        <v>0</v>
      </c>
      <c r="M374" t="n">
        <v>0</v>
      </c>
      <c r="N374" t="n">
        <v>0</v>
      </c>
      <c r="O374" t="n">
        <v>0</v>
      </c>
      <c r="P374" t="n">
        <v>0</v>
      </c>
      <c r="Q374" t="n">
        <v>0</v>
      </c>
      <c r="R374" s="2" t="inlineStr"/>
    </row>
    <row r="375" ht="15" customHeight="1">
      <c r="A375" t="inlineStr">
        <is>
          <t>A 20187-2023</t>
        </is>
      </c>
      <c r="B375" s="1" t="n">
        <v>45055.57027777778</v>
      </c>
      <c r="C375" s="1" t="n">
        <v>45970</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47259-2025</t>
        </is>
      </c>
      <c r="B376" s="1" t="n">
        <v>45930</v>
      </c>
      <c r="C376" s="1" t="n">
        <v>45970</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26403-2024</t>
        </is>
      </c>
      <c r="B377" s="1" t="n">
        <v>45469.44505787037</v>
      </c>
      <c r="C377" s="1" t="n">
        <v>45970</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26403-2024</t>
        </is>
      </c>
      <c r="B378" s="1" t="n">
        <v>45469.44505787037</v>
      </c>
      <c r="C378" s="1" t="n">
        <v>45970</v>
      </c>
      <c r="D378" t="inlineStr">
        <is>
          <t>SKÅNE LÄN</t>
        </is>
      </c>
      <c r="E378" t="inlineStr">
        <is>
          <t>HÄSSLEHOLM</t>
        </is>
      </c>
      <c r="G378" t="n">
        <v>2.6</v>
      </c>
      <c r="H378" t="n">
        <v>0</v>
      </c>
      <c r="I378" t="n">
        <v>0</v>
      </c>
      <c r="J378" t="n">
        <v>0</v>
      </c>
      <c r="K378" t="n">
        <v>0</v>
      </c>
      <c r="L378" t="n">
        <v>0</v>
      </c>
      <c r="M378" t="n">
        <v>0</v>
      </c>
      <c r="N378" t="n">
        <v>0</v>
      </c>
      <c r="O378" t="n">
        <v>0</v>
      </c>
      <c r="P378" t="n">
        <v>0</v>
      </c>
      <c r="Q378" t="n">
        <v>0</v>
      </c>
      <c r="R378" s="2" t="inlineStr"/>
    </row>
    <row r="379" ht="15" customHeight="1">
      <c r="A379" t="inlineStr">
        <is>
          <t>A 10028-2024</t>
        </is>
      </c>
      <c r="B379" s="1" t="n">
        <v>45363.97292824074</v>
      </c>
      <c r="C379" s="1" t="n">
        <v>45970</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1543-2024</t>
        </is>
      </c>
      <c r="B380" s="1" t="n">
        <v>45306</v>
      </c>
      <c r="C380" s="1" t="n">
        <v>45970</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24776-2025</t>
        </is>
      </c>
      <c r="B381" s="1" t="n">
        <v>45799.40640046296</v>
      </c>
      <c r="C381" s="1" t="n">
        <v>45970</v>
      </c>
      <c r="D381" t="inlineStr">
        <is>
          <t>SKÅNE LÄN</t>
        </is>
      </c>
      <c r="E381" t="inlineStr">
        <is>
          <t>HÄSSLEHOLM</t>
        </is>
      </c>
      <c r="G381" t="n">
        <v>5.4</v>
      </c>
      <c r="H381" t="n">
        <v>0</v>
      </c>
      <c r="I381" t="n">
        <v>0</v>
      </c>
      <c r="J381" t="n">
        <v>0</v>
      </c>
      <c r="K381" t="n">
        <v>0</v>
      </c>
      <c r="L381" t="n">
        <v>0</v>
      </c>
      <c r="M381" t="n">
        <v>0</v>
      </c>
      <c r="N381" t="n">
        <v>0</v>
      </c>
      <c r="O381" t="n">
        <v>0</v>
      </c>
      <c r="P381" t="n">
        <v>0</v>
      </c>
      <c r="Q381" t="n">
        <v>0</v>
      </c>
      <c r="R381" s="2" t="inlineStr"/>
    </row>
    <row r="382" ht="15" customHeight="1">
      <c r="A382" t="inlineStr">
        <is>
          <t>A 61158-2022</t>
        </is>
      </c>
      <c r="B382" s="1" t="n">
        <v>44915.47112268519</v>
      </c>
      <c r="C382" s="1" t="n">
        <v>45970</v>
      </c>
      <c r="D382" t="inlineStr">
        <is>
          <t>SKÅNE LÄN</t>
        </is>
      </c>
      <c r="E382" t="inlineStr">
        <is>
          <t>HÄSSLEHOLM</t>
        </is>
      </c>
      <c r="G382" t="n">
        <v>8.4</v>
      </c>
      <c r="H382" t="n">
        <v>0</v>
      </c>
      <c r="I382" t="n">
        <v>0</v>
      </c>
      <c r="J382" t="n">
        <v>0</v>
      </c>
      <c r="K382" t="n">
        <v>0</v>
      </c>
      <c r="L382" t="n">
        <v>0</v>
      </c>
      <c r="M382" t="n">
        <v>0</v>
      </c>
      <c r="N382" t="n">
        <v>0</v>
      </c>
      <c r="O382" t="n">
        <v>0</v>
      </c>
      <c r="P382" t="n">
        <v>0</v>
      </c>
      <c r="Q382" t="n">
        <v>0</v>
      </c>
      <c r="R382" s="2" t="inlineStr"/>
    </row>
    <row r="383" ht="15" customHeight="1">
      <c r="A383" t="inlineStr">
        <is>
          <t>A 12468-2024</t>
        </is>
      </c>
      <c r="B383" s="1" t="n">
        <v>45379</v>
      </c>
      <c r="C383" s="1" t="n">
        <v>45970</v>
      </c>
      <c r="D383" t="inlineStr">
        <is>
          <t>SKÅNE LÄN</t>
        </is>
      </c>
      <c r="E383" t="inlineStr">
        <is>
          <t>HÄSSLEHOLM</t>
        </is>
      </c>
      <c r="G383" t="n">
        <v>15.5</v>
      </c>
      <c r="H383" t="n">
        <v>0</v>
      </c>
      <c r="I383" t="n">
        <v>0</v>
      </c>
      <c r="J383" t="n">
        <v>0</v>
      </c>
      <c r="K383" t="n">
        <v>0</v>
      </c>
      <c r="L383" t="n">
        <v>0</v>
      </c>
      <c r="M383" t="n">
        <v>0</v>
      </c>
      <c r="N383" t="n">
        <v>0</v>
      </c>
      <c r="O383" t="n">
        <v>0</v>
      </c>
      <c r="P383" t="n">
        <v>0</v>
      </c>
      <c r="Q383" t="n">
        <v>0</v>
      </c>
      <c r="R383" s="2" t="inlineStr"/>
    </row>
    <row r="384" ht="15" customHeight="1">
      <c r="A384" t="inlineStr">
        <is>
          <t>A 37038-2022</t>
        </is>
      </c>
      <c r="B384" s="1" t="n">
        <v>44806.44232638889</v>
      </c>
      <c r="C384" s="1" t="n">
        <v>45970</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37898-2021</t>
        </is>
      </c>
      <c r="B385" s="1" t="n">
        <v>44403</v>
      </c>
      <c r="C385" s="1" t="n">
        <v>45970</v>
      </c>
      <c r="D385" t="inlineStr">
        <is>
          <t>SKÅNE LÄN</t>
        </is>
      </c>
      <c r="E385" t="inlineStr">
        <is>
          <t>HÄSSLEHOLM</t>
        </is>
      </c>
      <c r="F385" t="inlineStr">
        <is>
          <t>Kommuner</t>
        </is>
      </c>
      <c r="G385" t="n">
        <v>8.4</v>
      </c>
      <c r="H385" t="n">
        <v>0</v>
      </c>
      <c r="I385" t="n">
        <v>0</v>
      </c>
      <c r="J385" t="n">
        <v>0</v>
      </c>
      <c r="K385" t="n">
        <v>0</v>
      </c>
      <c r="L385" t="n">
        <v>0</v>
      </c>
      <c r="M385" t="n">
        <v>0</v>
      </c>
      <c r="N385" t="n">
        <v>0</v>
      </c>
      <c r="O385" t="n">
        <v>0</v>
      </c>
      <c r="P385" t="n">
        <v>0</v>
      </c>
      <c r="Q385" t="n">
        <v>0</v>
      </c>
      <c r="R385" s="2" t="inlineStr"/>
    </row>
    <row r="386" ht="15" customHeight="1">
      <c r="A386" t="inlineStr">
        <is>
          <t>A 35810-2023</t>
        </is>
      </c>
      <c r="B386" s="1" t="n">
        <v>45148.44046296296</v>
      </c>
      <c r="C386" s="1" t="n">
        <v>45970</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4009-2024</t>
        </is>
      </c>
      <c r="B387" s="1" t="n">
        <v>45323</v>
      </c>
      <c r="C387" s="1" t="n">
        <v>45970</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60848-2022</t>
        </is>
      </c>
      <c r="B388" s="1" t="n">
        <v>44914</v>
      </c>
      <c r="C388" s="1" t="n">
        <v>45970</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47466-2025</t>
        </is>
      </c>
      <c r="B389" s="1" t="n">
        <v>45930.66677083333</v>
      </c>
      <c r="C389" s="1" t="n">
        <v>45970</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46855-2025</t>
        </is>
      </c>
      <c r="B390" s="1" t="n">
        <v>45928.88497685185</v>
      </c>
      <c r="C390" s="1" t="n">
        <v>45970</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16454-2023</t>
        </is>
      </c>
      <c r="B391" s="1" t="n">
        <v>45029.48425925926</v>
      </c>
      <c r="C391" s="1" t="n">
        <v>45970</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31572-2022</t>
        </is>
      </c>
      <c r="B392" s="1" t="n">
        <v>44775</v>
      </c>
      <c r="C392" s="1" t="n">
        <v>45970</v>
      </c>
      <c r="D392" t="inlineStr">
        <is>
          <t>SKÅNE LÄN</t>
        </is>
      </c>
      <c r="E392" t="inlineStr">
        <is>
          <t>HÄSSLEHOLM</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23172-2022</t>
        </is>
      </c>
      <c r="B393" s="1" t="n">
        <v>44719</v>
      </c>
      <c r="C393" s="1" t="n">
        <v>45970</v>
      </c>
      <c r="D393" t="inlineStr">
        <is>
          <t>SKÅNE LÄN</t>
        </is>
      </c>
      <c r="E393" t="inlineStr">
        <is>
          <t>HÄSSLEHOLM</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23173-2022</t>
        </is>
      </c>
      <c r="B394" s="1" t="n">
        <v>44719.72155092593</v>
      </c>
      <c r="C394" s="1" t="n">
        <v>45970</v>
      </c>
      <c r="D394" t="inlineStr">
        <is>
          <t>SKÅNE LÄN</t>
        </is>
      </c>
      <c r="E394" t="inlineStr">
        <is>
          <t>HÄSSLEHOLM</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70087-2021</t>
        </is>
      </c>
      <c r="B395" s="1" t="n">
        <v>44533</v>
      </c>
      <c r="C395" s="1" t="n">
        <v>45970</v>
      </c>
      <c r="D395" t="inlineStr">
        <is>
          <t>SKÅNE LÄN</t>
        </is>
      </c>
      <c r="E395" t="inlineStr">
        <is>
          <t>HÄSSLEHOLM</t>
        </is>
      </c>
      <c r="G395" t="n">
        <v>5</v>
      </c>
      <c r="H395" t="n">
        <v>0</v>
      </c>
      <c r="I395" t="n">
        <v>0</v>
      </c>
      <c r="J395" t="n">
        <v>0</v>
      </c>
      <c r="K395" t="n">
        <v>0</v>
      </c>
      <c r="L395" t="n">
        <v>0</v>
      </c>
      <c r="M395" t="n">
        <v>0</v>
      </c>
      <c r="N395" t="n">
        <v>0</v>
      </c>
      <c r="O395" t="n">
        <v>0</v>
      </c>
      <c r="P395" t="n">
        <v>0</v>
      </c>
      <c r="Q395" t="n">
        <v>0</v>
      </c>
      <c r="R395" s="2" t="inlineStr"/>
    </row>
    <row r="396" ht="15" customHeight="1">
      <c r="A396" t="inlineStr">
        <is>
          <t>A 57649-2022</t>
        </is>
      </c>
      <c r="B396" s="1" t="n">
        <v>44897.42755787037</v>
      </c>
      <c r="C396" s="1" t="n">
        <v>45970</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57665-2022</t>
        </is>
      </c>
      <c r="B397" s="1" t="n">
        <v>44897.4494212963</v>
      </c>
      <c r="C397" s="1" t="n">
        <v>45970</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57676-2022</t>
        </is>
      </c>
      <c r="B398" s="1" t="n">
        <v>44897</v>
      </c>
      <c r="C398" s="1" t="n">
        <v>45970</v>
      </c>
      <c r="D398" t="inlineStr">
        <is>
          <t>SKÅNE LÄN</t>
        </is>
      </c>
      <c r="E398" t="inlineStr">
        <is>
          <t>HÄSSLEHOLM</t>
        </is>
      </c>
      <c r="G398" t="n">
        <v>1</v>
      </c>
      <c r="H398" t="n">
        <v>0</v>
      </c>
      <c r="I398" t="n">
        <v>0</v>
      </c>
      <c r="J398" t="n">
        <v>0</v>
      </c>
      <c r="K398" t="n">
        <v>0</v>
      </c>
      <c r="L398" t="n">
        <v>0</v>
      </c>
      <c r="M398" t="n">
        <v>0</v>
      </c>
      <c r="N398" t="n">
        <v>0</v>
      </c>
      <c r="O398" t="n">
        <v>0</v>
      </c>
      <c r="P398" t="n">
        <v>0</v>
      </c>
      <c r="Q398" t="n">
        <v>0</v>
      </c>
      <c r="R398" s="2" t="inlineStr"/>
    </row>
    <row r="399" ht="15" customHeight="1">
      <c r="A399" t="inlineStr">
        <is>
          <t>A 52608-2023</t>
        </is>
      </c>
      <c r="B399" s="1" t="n">
        <v>45219</v>
      </c>
      <c r="C399" s="1" t="n">
        <v>45970</v>
      </c>
      <c r="D399" t="inlineStr">
        <is>
          <t>SKÅNE LÄN</t>
        </is>
      </c>
      <c r="E399" t="inlineStr">
        <is>
          <t>HÄSSLEHOLM</t>
        </is>
      </c>
      <c r="F399" t="inlineStr">
        <is>
          <t>Övriga Aktiebolag</t>
        </is>
      </c>
      <c r="G399" t="n">
        <v>2.1</v>
      </c>
      <c r="H399" t="n">
        <v>0</v>
      </c>
      <c r="I399" t="n">
        <v>0</v>
      </c>
      <c r="J399" t="n">
        <v>0</v>
      </c>
      <c r="K399" t="n">
        <v>0</v>
      </c>
      <c r="L399" t="n">
        <v>0</v>
      </c>
      <c r="M399" t="n">
        <v>0</v>
      </c>
      <c r="N399" t="n">
        <v>0</v>
      </c>
      <c r="O399" t="n">
        <v>0</v>
      </c>
      <c r="P399" t="n">
        <v>0</v>
      </c>
      <c r="Q399" t="n">
        <v>0</v>
      </c>
      <c r="R399" s="2" t="inlineStr"/>
    </row>
    <row r="400" ht="15" customHeight="1">
      <c r="A400" t="inlineStr">
        <is>
          <t>A 9375-2023</t>
        </is>
      </c>
      <c r="B400" s="1" t="n">
        <v>44981</v>
      </c>
      <c r="C400" s="1" t="n">
        <v>45970</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8239-2025</t>
        </is>
      </c>
      <c r="B401" s="1" t="n">
        <v>45708.47984953703</v>
      </c>
      <c r="C401" s="1" t="n">
        <v>45970</v>
      </c>
      <c r="D401" t="inlineStr">
        <is>
          <t>SKÅNE LÄN</t>
        </is>
      </c>
      <c r="E401" t="inlineStr">
        <is>
          <t>HÄSSLEHOLM</t>
        </is>
      </c>
      <c r="G401" t="n">
        <v>2.7</v>
      </c>
      <c r="H401" t="n">
        <v>0</v>
      </c>
      <c r="I401" t="n">
        <v>0</v>
      </c>
      <c r="J401" t="n">
        <v>0</v>
      </c>
      <c r="K401" t="n">
        <v>0</v>
      </c>
      <c r="L401" t="n">
        <v>0</v>
      </c>
      <c r="M401" t="n">
        <v>0</v>
      </c>
      <c r="N401" t="n">
        <v>0</v>
      </c>
      <c r="O401" t="n">
        <v>0</v>
      </c>
      <c r="P401" t="n">
        <v>0</v>
      </c>
      <c r="Q401" t="n">
        <v>0</v>
      </c>
      <c r="R401" s="2" t="inlineStr"/>
    </row>
    <row r="402" ht="15" customHeight="1">
      <c r="A402" t="inlineStr">
        <is>
          <t>A 56355-2023</t>
        </is>
      </c>
      <c r="B402" s="1" t="n">
        <v>45243.3702662037</v>
      </c>
      <c r="C402" s="1" t="n">
        <v>45970</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29287-2023</t>
        </is>
      </c>
      <c r="B403" s="1" t="n">
        <v>45098</v>
      </c>
      <c r="C403" s="1" t="n">
        <v>45970</v>
      </c>
      <c r="D403" t="inlineStr">
        <is>
          <t>SKÅNE LÄN</t>
        </is>
      </c>
      <c r="E403" t="inlineStr">
        <is>
          <t>HÄSSLEHOLM</t>
        </is>
      </c>
      <c r="G403" t="n">
        <v>5.7</v>
      </c>
      <c r="H403" t="n">
        <v>0</v>
      </c>
      <c r="I403" t="n">
        <v>0</v>
      </c>
      <c r="J403" t="n">
        <v>0</v>
      </c>
      <c r="K403" t="n">
        <v>0</v>
      </c>
      <c r="L403" t="n">
        <v>0</v>
      </c>
      <c r="M403" t="n">
        <v>0</v>
      </c>
      <c r="N403" t="n">
        <v>0</v>
      </c>
      <c r="O403" t="n">
        <v>0</v>
      </c>
      <c r="P403" t="n">
        <v>0</v>
      </c>
      <c r="Q403" t="n">
        <v>0</v>
      </c>
      <c r="R403" s="2" t="inlineStr"/>
    </row>
    <row r="404" ht="15" customHeight="1">
      <c r="A404" t="inlineStr">
        <is>
          <t>A 54671-2022</t>
        </is>
      </c>
      <c r="B404" s="1" t="n">
        <v>44883</v>
      </c>
      <c r="C404" s="1" t="n">
        <v>45970</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9394-2025</t>
        </is>
      </c>
      <c r="B405" s="1" t="n">
        <v>45715.36387731481</v>
      </c>
      <c r="C405" s="1" t="n">
        <v>45970</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53887-2023</t>
        </is>
      </c>
      <c r="B406" s="1" t="n">
        <v>45231.52675925926</v>
      </c>
      <c r="C406" s="1" t="n">
        <v>45970</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7305-2025</t>
        </is>
      </c>
      <c r="B407" s="1" t="n">
        <v>45702</v>
      </c>
      <c r="C407" s="1" t="n">
        <v>45970</v>
      </c>
      <c r="D407" t="inlineStr">
        <is>
          <t>SKÅNE LÄN</t>
        </is>
      </c>
      <c r="E407" t="inlineStr">
        <is>
          <t>HÄSSLEHOLM</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49167-2022</t>
        </is>
      </c>
      <c r="B408" s="1" t="n">
        <v>44860</v>
      </c>
      <c r="C408" s="1" t="n">
        <v>45970</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52341-2023</t>
        </is>
      </c>
      <c r="B409" s="1" t="n">
        <v>45224.67006944444</v>
      </c>
      <c r="C409" s="1" t="n">
        <v>45970</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28071-2023</t>
        </is>
      </c>
      <c r="B410" s="1" t="n">
        <v>45099.37755787037</v>
      </c>
      <c r="C410" s="1" t="n">
        <v>45970</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3507-2024</t>
        </is>
      </c>
      <c r="B411" s="1" t="n">
        <v>45320.4906712963</v>
      </c>
      <c r="C411" s="1" t="n">
        <v>45970</v>
      </c>
      <c r="D411" t="inlineStr">
        <is>
          <t>SKÅNE LÄN</t>
        </is>
      </c>
      <c r="E411" t="inlineStr">
        <is>
          <t>HÄSSLEHOLM</t>
        </is>
      </c>
      <c r="G411" t="n">
        <v>6.4</v>
      </c>
      <c r="H411" t="n">
        <v>0</v>
      </c>
      <c r="I411" t="n">
        <v>0</v>
      </c>
      <c r="J411" t="n">
        <v>0</v>
      </c>
      <c r="K411" t="n">
        <v>0</v>
      </c>
      <c r="L411" t="n">
        <v>0</v>
      </c>
      <c r="M411" t="n">
        <v>0</v>
      </c>
      <c r="N411" t="n">
        <v>0</v>
      </c>
      <c r="O411" t="n">
        <v>0</v>
      </c>
      <c r="P411" t="n">
        <v>0</v>
      </c>
      <c r="Q411" t="n">
        <v>0</v>
      </c>
      <c r="R411" s="2" t="inlineStr"/>
    </row>
    <row r="412" ht="15" customHeight="1">
      <c r="A412" t="inlineStr">
        <is>
          <t>A 4119-2024</t>
        </is>
      </c>
      <c r="B412" s="1" t="n">
        <v>45323.67920138889</v>
      </c>
      <c r="C412" s="1" t="n">
        <v>45970</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55416-2021</t>
        </is>
      </c>
      <c r="B413" s="1" t="n">
        <v>44475</v>
      </c>
      <c r="C413" s="1" t="n">
        <v>45970</v>
      </c>
      <c r="D413" t="inlineStr">
        <is>
          <t>SKÅNE LÄN</t>
        </is>
      </c>
      <c r="E413" t="inlineStr">
        <is>
          <t>HÄSSLEHOLM</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60509-2023</t>
        </is>
      </c>
      <c r="B414" s="1" t="n">
        <v>45259</v>
      </c>
      <c r="C414" s="1" t="n">
        <v>45970</v>
      </c>
      <c r="D414" t="inlineStr">
        <is>
          <t>SKÅNE LÄN</t>
        </is>
      </c>
      <c r="E414" t="inlineStr">
        <is>
          <t>HÄSSLEHOLM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48877-2024</t>
        </is>
      </c>
      <c r="B415" s="1" t="n">
        <v>45594.31729166667</v>
      </c>
      <c r="C415" s="1" t="n">
        <v>45970</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47647-2024</t>
        </is>
      </c>
      <c r="B416" s="1" t="n">
        <v>45588</v>
      </c>
      <c r="C416" s="1" t="n">
        <v>45970</v>
      </c>
      <c r="D416" t="inlineStr">
        <is>
          <t>SKÅNE LÄN</t>
        </is>
      </c>
      <c r="E416" t="inlineStr">
        <is>
          <t>HÄSSLEHOLM</t>
        </is>
      </c>
      <c r="G416" t="n">
        <v>6.5</v>
      </c>
      <c r="H416" t="n">
        <v>0</v>
      </c>
      <c r="I416" t="n">
        <v>0</v>
      </c>
      <c r="J416" t="n">
        <v>0</v>
      </c>
      <c r="K416" t="n">
        <v>0</v>
      </c>
      <c r="L416" t="n">
        <v>0</v>
      </c>
      <c r="M416" t="n">
        <v>0</v>
      </c>
      <c r="N416" t="n">
        <v>0</v>
      </c>
      <c r="O416" t="n">
        <v>0</v>
      </c>
      <c r="P416" t="n">
        <v>0</v>
      </c>
      <c r="Q416" t="n">
        <v>0</v>
      </c>
      <c r="R416" s="2" t="inlineStr"/>
    </row>
    <row r="417" ht="15" customHeight="1">
      <c r="A417" t="inlineStr">
        <is>
          <t>A 1619-2022</t>
        </is>
      </c>
      <c r="B417" s="1" t="n">
        <v>44573</v>
      </c>
      <c r="C417" s="1" t="n">
        <v>45970</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9239-2025</t>
        </is>
      </c>
      <c r="B418" s="1" t="n">
        <v>45714</v>
      </c>
      <c r="C418" s="1" t="n">
        <v>45970</v>
      </c>
      <c r="D418" t="inlineStr">
        <is>
          <t>SKÅNE LÄN</t>
        </is>
      </c>
      <c r="E418" t="inlineStr">
        <is>
          <t>HÄSSLEHOLM</t>
        </is>
      </c>
      <c r="G418" t="n">
        <v>1.8</v>
      </c>
      <c r="H418" t="n">
        <v>0</v>
      </c>
      <c r="I418" t="n">
        <v>0</v>
      </c>
      <c r="J418" t="n">
        <v>0</v>
      </c>
      <c r="K418" t="n">
        <v>0</v>
      </c>
      <c r="L418" t="n">
        <v>0</v>
      </c>
      <c r="M418" t="n">
        <v>0</v>
      </c>
      <c r="N418" t="n">
        <v>0</v>
      </c>
      <c r="O418" t="n">
        <v>0</v>
      </c>
      <c r="P418" t="n">
        <v>0</v>
      </c>
      <c r="Q418" t="n">
        <v>0</v>
      </c>
      <c r="R418" s="2" t="inlineStr"/>
    </row>
    <row r="419" ht="15" customHeight="1">
      <c r="A419" t="inlineStr">
        <is>
          <t>A 21310-2022</t>
        </is>
      </c>
      <c r="B419" s="1" t="n">
        <v>44705</v>
      </c>
      <c r="C419" s="1" t="n">
        <v>45970</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27173-2024</t>
        </is>
      </c>
      <c r="B420" s="1" t="n">
        <v>45471.57048611111</v>
      </c>
      <c r="C420" s="1" t="n">
        <v>45970</v>
      </c>
      <c r="D420" t="inlineStr">
        <is>
          <t>SKÅNE LÄN</t>
        </is>
      </c>
      <c r="E420" t="inlineStr">
        <is>
          <t>HÄSSLEHOLM</t>
        </is>
      </c>
      <c r="G420" t="n">
        <v>1.8</v>
      </c>
      <c r="H420" t="n">
        <v>0</v>
      </c>
      <c r="I420" t="n">
        <v>0</v>
      </c>
      <c r="J420" t="n">
        <v>0</v>
      </c>
      <c r="K420" t="n">
        <v>0</v>
      </c>
      <c r="L420" t="n">
        <v>0</v>
      </c>
      <c r="M420" t="n">
        <v>0</v>
      </c>
      <c r="N420" t="n">
        <v>0</v>
      </c>
      <c r="O420" t="n">
        <v>0</v>
      </c>
      <c r="P420" t="n">
        <v>0</v>
      </c>
      <c r="Q420" t="n">
        <v>0</v>
      </c>
      <c r="R420" s="2" t="inlineStr"/>
    </row>
    <row r="421" ht="15" customHeight="1">
      <c r="A421" t="inlineStr">
        <is>
          <t>A 16121-2025</t>
        </is>
      </c>
      <c r="B421" s="1" t="n">
        <v>45750.40384259259</v>
      </c>
      <c r="C421" s="1" t="n">
        <v>45970</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28599-2024</t>
        </is>
      </c>
      <c r="B422" s="1" t="n">
        <v>45478.4247800926</v>
      </c>
      <c r="C422" s="1" t="n">
        <v>45970</v>
      </c>
      <c r="D422" t="inlineStr">
        <is>
          <t>SKÅNE LÄN</t>
        </is>
      </c>
      <c r="E422" t="inlineStr">
        <is>
          <t>HÄSSLEHOLM</t>
        </is>
      </c>
      <c r="G422" t="n">
        <v>8.6</v>
      </c>
      <c r="H422" t="n">
        <v>0</v>
      </c>
      <c r="I422" t="n">
        <v>0</v>
      </c>
      <c r="J422" t="n">
        <v>0</v>
      </c>
      <c r="K422" t="n">
        <v>0</v>
      </c>
      <c r="L422" t="n">
        <v>0</v>
      </c>
      <c r="M422" t="n">
        <v>0</v>
      </c>
      <c r="N422" t="n">
        <v>0</v>
      </c>
      <c r="O422" t="n">
        <v>0</v>
      </c>
      <c r="P422" t="n">
        <v>0</v>
      </c>
      <c r="Q422" t="n">
        <v>0</v>
      </c>
      <c r="R422" s="2" t="inlineStr"/>
    </row>
    <row r="423" ht="15" customHeight="1">
      <c r="A423" t="inlineStr">
        <is>
          <t>A 1616-2025</t>
        </is>
      </c>
      <c r="B423" s="1" t="n">
        <v>45670</v>
      </c>
      <c r="C423" s="1" t="n">
        <v>45970</v>
      </c>
      <c r="D423" t="inlineStr">
        <is>
          <t>SKÅNE LÄN</t>
        </is>
      </c>
      <c r="E423" t="inlineStr">
        <is>
          <t>HÄSSLEHOLM</t>
        </is>
      </c>
      <c r="G423" t="n">
        <v>3.6</v>
      </c>
      <c r="H423" t="n">
        <v>0</v>
      </c>
      <c r="I423" t="n">
        <v>0</v>
      </c>
      <c r="J423" t="n">
        <v>0</v>
      </c>
      <c r="K423" t="n">
        <v>0</v>
      </c>
      <c r="L423" t="n">
        <v>0</v>
      </c>
      <c r="M423" t="n">
        <v>0</v>
      </c>
      <c r="N423" t="n">
        <v>0</v>
      </c>
      <c r="O423" t="n">
        <v>0</v>
      </c>
      <c r="P423" t="n">
        <v>0</v>
      </c>
      <c r="Q423" t="n">
        <v>0</v>
      </c>
      <c r="R423" s="2" t="inlineStr"/>
    </row>
    <row r="424" ht="15" customHeight="1">
      <c r="A424" t="inlineStr">
        <is>
          <t>A 15800-2025</t>
        </is>
      </c>
      <c r="B424" s="1" t="n">
        <v>45748.64831018518</v>
      </c>
      <c r="C424" s="1" t="n">
        <v>45970</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40780-2022</t>
        </is>
      </c>
      <c r="B425" s="1" t="n">
        <v>44820</v>
      </c>
      <c r="C425" s="1" t="n">
        <v>45970</v>
      </c>
      <c r="D425" t="inlineStr">
        <is>
          <t>SKÅNE LÄN</t>
        </is>
      </c>
      <c r="E425" t="inlineStr">
        <is>
          <t>HÄSSLEHOLM</t>
        </is>
      </c>
      <c r="G425" t="n">
        <v>7.4</v>
      </c>
      <c r="H425" t="n">
        <v>0</v>
      </c>
      <c r="I425" t="n">
        <v>0</v>
      </c>
      <c r="J425" t="n">
        <v>0</v>
      </c>
      <c r="K425" t="n">
        <v>0</v>
      </c>
      <c r="L425" t="n">
        <v>0</v>
      </c>
      <c r="M425" t="n">
        <v>0</v>
      </c>
      <c r="N425" t="n">
        <v>0</v>
      </c>
      <c r="O425" t="n">
        <v>0</v>
      </c>
      <c r="P425" t="n">
        <v>0</v>
      </c>
      <c r="Q425" t="n">
        <v>0</v>
      </c>
      <c r="R425" s="2" t="inlineStr"/>
    </row>
    <row r="426" ht="15" customHeight="1">
      <c r="A426" t="inlineStr">
        <is>
          <t>A 9485-2023</t>
        </is>
      </c>
      <c r="B426" s="1" t="n">
        <v>44981.60901620371</v>
      </c>
      <c r="C426" s="1" t="n">
        <v>45970</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9502-2023</t>
        </is>
      </c>
      <c r="B427" s="1" t="n">
        <v>44981.63278935185</v>
      </c>
      <c r="C427" s="1" t="n">
        <v>45970</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51245-2023</t>
        </is>
      </c>
      <c r="B428" s="1" t="n">
        <v>45212</v>
      </c>
      <c r="C428" s="1" t="n">
        <v>45970</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22132-2024</t>
        </is>
      </c>
      <c r="B429" s="1" t="n">
        <v>45444.37234953704</v>
      </c>
      <c r="C429" s="1" t="n">
        <v>45970</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54171-2022</t>
        </is>
      </c>
      <c r="B430" s="1" t="n">
        <v>44881</v>
      </c>
      <c r="C430" s="1" t="n">
        <v>45970</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10928-2024</t>
        </is>
      </c>
      <c r="B431" s="1" t="n">
        <v>45370</v>
      </c>
      <c r="C431" s="1" t="n">
        <v>45970</v>
      </c>
      <c r="D431" t="inlineStr">
        <is>
          <t>SKÅNE LÄN</t>
        </is>
      </c>
      <c r="E431" t="inlineStr">
        <is>
          <t>HÄSSLEHOLM</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5890-2023</t>
        </is>
      </c>
      <c r="B432" s="1" t="n">
        <v>44963.64527777778</v>
      </c>
      <c r="C432" s="1" t="n">
        <v>45970</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5894-2023</t>
        </is>
      </c>
      <c r="B433" s="1" t="n">
        <v>44963.65148148148</v>
      </c>
      <c r="C433" s="1" t="n">
        <v>45970</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12843-2023</t>
        </is>
      </c>
      <c r="B434" s="1" t="n">
        <v>45001.48423611111</v>
      </c>
      <c r="C434" s="1" t="n">
        <v>45970</v>
      </c>
      <c r="D434" t="inlineStr">
        <is>
          <t>SKÅNE LÄN</t>
        </is>
      </c>
      <c r="E434" t="inlineStr">
        <is>
          <t>HÄSSLEHOLM</t>
        </is>
      </c>
      <c r="G434" t="n">
        <v>3.9</v>
      </c>
      <c r="H434" t="n">
        <v>0</v>
      </c>
      <c r="I434" t="n">
        <v>0</v>
      </c>
      <c r="J434" t="n">
        <v>0</v>
      </c>
      <c r="K434" t="n">
        <v>0</v>
      </c>
      <c r="L434" t="n">
        <v>0</v>
      </c>
      <c r="M434" t="n">
        <v>0</v>
      </c>
      <c r="N434" t="n">
        <v>0</v>
      </c>
      <c r="O434" t="n">
        <v>0</v>
      </c>
      <c r="P434" t="n">
        <v>0</v>
      </c>
      <c r="Q434" t="n">
        <v>0</v>
      </c>
      <c r="R434" s="2" t="inlineStr"/>
    </row>
    <row r="435" ht="15" customHeight="1">
      <c r="A435" t="inlineStr">
        <is>
          <t>A 10944-2024</t>
        </is>
      </c>
      <c r="B435" s="1" t="n">
        <v>45370</v>
      </c>
      <c r="C435" s="1" t="n">
        <v>45970</v>
      </c>
      <c r="D435" t="inlineStr">
        <is>
          <t>SKÅNE LÄN</t>
        </is>
      </c>
      <c r="E435" t="inlineStr">
        <is>
          <t>HÄSSLEHOLM</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3245-2022</t>
        </is>
      </c>
      <c r="B436" s="1" t="n">
        <v>44583.39136574074</v>
      </c>
      <c r="C436" s="1" t="n">
        <v>45970</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13309-2025</t>
        </is>
      </c>
      <c r="B437" s="1" t="n">
        <v>45735.58512731481</v>
      </c>
      <c r="C437" s="1" t="n">
        <v>45970</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5980-2024</t>
        </is>
      </c>
      <c r="B438" s="1" t="n">
        <v>45335</v>
      </c>
      <c r="C438" s="1" t="n">
        <v>45970</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31255-2024</t>
        </is>
      </c>
      <c r="B439" s="1" t="n">
        <v>45503.69114583333</v>
      </c>
      <c r="C439" s="1" t="n">
        <v>45970</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42372-2024</t>
        </is>
      </c>
      <c r="B440" s="1" t="n">
        <v>45564.5127199074</v>
      </c>
      <c r="C440" s="1" t="n">
        <v>45970</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4787-2023</t>
        </is>
      </c>
      <c r="B441" s="1" t="n">
        <v>44957.60079861111</v>
      </c>
      <c r="C441" s="1" t="n">
        <v>45970</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4788-2023</t>
        </is>
      </c>
      <c r="B442" s="1" t="n">
        <v>44957.60130787037</v>
      </c>
      <c r="C442" s="1" t="n">
        <v>45970</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32210-2024</t>
        </is>
      </c>
      <c r="B443" s="1" t="n">
        <v>45511.67777777778</v>
      </c>
      <c r="C443" s="1" t="n">
        <v>45970</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59431-2023</t>
        </is>
      </c>
      <c r="B444" s="1" t="n">
        <v>45254.29207175926</v>
      </c>
      <c r="C444" s="1" t="n">
        <v>45970</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59433-2023</t>
        </is>
      </c>
      <c r="B445" s="1" t="n">
        <v>45254.29768518519</v>
      </c>
      <c r="C445" s="1" t="n">
        <v>45970</v>
      </c>
      <c r="D445" t="inlineStr">
        <is>
          <t>SKÅNE LÄN</t>
        </is>
      </c>
      <c r="E445" t="inlineStr">
        <is>
          <t>HÄSSLEHOLM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48747-2022</t>
        </is>
      </c>
      <c r="B446" s="1" t="n">
        <v>44859</v>
      </c>
      <c r="C446" s="1" t="n">
        <v>45970</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7153-2025</t>
        </is>
      </c>
      <c r="B447" s="1" t="n">
        <v>45702.38512731482</v>
      </c>
      <c r="C447" s="1" t="n">
        <v>45970</v>
      </c>
      <c r="D447" t="inlineStr">
        <is>
          <t>SKÅNE LÄN</t>
        </is>
      </c>
      <c r="E447" t="inlineStr">
        <is>
          <t>HÄSSLEHOLM</t>
        </is>
      </c>
      <c r="G447" t="n">
        <v>2.7</v>
      </c>
      <c r="H447" t="n">
        <v>0</v>
      </c>
      <c r="I447" t="n">
        <v>0</v>
      </c>
      <c r="J447" t="n">
        <v>0</v>
      </c>
      <c r="K447" t="n">
        <v>0</v>
      </c>
      <c r="L447" t="n">
        <v>0</v>
      </c>
      <c r="M447" t="n">
        <v>0</v>
      </c>
      <c r="N447" t="n">
        <v>0</v>
      </c>
      <c r="O447" t="n">
        <v>0</v>
      </c>
      <c r="P447" t="n">
        <v>0</v>
      </c>
      <c r="Q447" t="n">
        <v>0</v>
      </c>
      <c r="R447" s="2" t="inlineStr"/>
    </row>
    <row r="448" ht="15" customHeight="1">
      <c r="A448" t="inlineStr">
        <is>
          <t>A 17699-2024</t>
        </is>
      </c>
      <c r="B448" s="1" t="n">
        <v>45418.46094907408</v>
      </c>
      <c r="C448" s="1" t="n">
        <v>45970</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17702-2024</t>
        </is>
      </c>
      <c r="B449" s="1" t="n">
        <v>45418.46534722222</v>
      </c>
      <c r="C449" s="1" t="n">
        <v>45970</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20566-2023</t>
        </is>
      </c>
      <c r="B450" s="1" t="n">
        <v>45057</v>
      </c>
      <c r="C450" s="1" t="n">
        <v>45970</v>
      </c>
      <c r="D450" t="inlineStr">
        <is>
          <t>SKÅNE LÄN</t>
        </is>
      </c>
      <c r="E450" t="inlineStr">
        <is>
          <t>HÄSSLEHOLM</t>
        </is>
      </c>
      <c r="G450" t="n">
        <v>5.2</v>
      </c>
      <c r="H450" t="n">
        <v>0</v>
      </c>
      <c r="I450" t="n">
        <v>0</v>
      </c>
      <c r="J450" t="n">
        <v>0</v>
      </c>
      <c r="K450" t="n">
        <v>0</v>
      </c>
      <c r="L450" t="n">
        <v>0</v>
      </c>
      <c r="M450" t="n">
        <v>0</v>
      </c>
      <c r="N450" t="n">
        <v>0</v>
      </c>
      <c r="O450" t="n">
        <v>0</v>
      </c>
      <c r="P450" t="n">
        <v>0</v>
      </c>
      <c r="Q450" t="n">
        <v>0</v>
      </c>
      <c r="R450" s="2" t="inlineStr"/>
    </row>
    <row r="451" ht="15" customHeight="1">
      <c r="A451" t="inlineStr">
        <is>
          <t>A 23864-2024</t>
        </is>
      </c>
      <c r="B451" s="1" t="n">
        <v>45455</v>
      </c>
      <c r="C451" s="1" t="n">
        <v>45970</v>
      </c>
      <c r="D451" t="inlineStr">
        <is>
          <t>SKÅNE LÄN</t>
        </is>
      </c>
      <c r="E451" t="inlineStr">
        <is>
          <t>HÄSSLEHOLM</t>
        </is>
      </c>
      <c r="G451" t="n">
        <v>6.2</v>
      </c>
      <c r="H451" t="n">
        <v>0</v>
      </c>
      <c r="I451" t="n">
        <v>0</v>
      </c>
      <c r="J451" t="n">
        <v>0</v>
      </c>
      <c r="K451" t="n">
        <v>0</v>
      </c>
      <c r="L451" t="n">
        <v>0</v>
      </c>
      <c r="M451" t="n">
        <v>0</v>
      </c>
      <c r="N451" t="n">
        <v>0</v>
      </c>
      <c r="O451" t="n">
        <v>0</v>
      </c>
      <c r="P451" t="n">
        <v>0</v>
      </c>
      <c r="Q451" t="n">
        <v>0</v>
      </c>
      <c r="R451" s="2" t="inlineStr"/>
    </row>
    <row r="452" ht="15" customHeight="1">
      <c r="A452" t="inlineStr">
        <is>
          <t>A 7581-2023</t>
        </is>
      </c>
      <c r="B452" s="1" t="n">
        <v>44972.39556712963</v>
      </c>
      <c r="C452" s="1" t="n">
        <v>45970</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32967-2023</t>
        </is>
      </c>
      <c r="B453" s="1" t="n">
        <v>45125</v>
      </c>
      <c r="C453" s="1" t="n">
        <v>45970</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32968-2023</t>
        </is>
      </c>
      <c r="B454" s="1" t="n">
        <v>45125</v>
      </c>
      <c r="C454" s="1" t="n">
        <v>45970</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42231-2022</t>
        </is>
      </c>
      <c r="B455" s="1" t="n">
        <v>44830.77003472222</v>
      </c>
      <c r="C455" s="1" t="n">
        <v>45970</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21141-2024</t>
        </is>
      </c>
      <c r="B456" s="1" t="n">
        <v>45440.39012731481</v>
      </c>
      <c r="C456" s="1" t="n">
        <v>45970</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54174-2022</t>
        </is>
      </c>
      <c r="B457" s="1" t="n">
        <v>44881</v>
      </c>
      <c r="C457" s="1" t="n">
        <v>45970</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11603-2025</t>
        </is>
      </c>
      <c r="B458" s="1" t="n">
        <v>45727</v>
      </c>
      <c r="C458" s="1" t="n">
        <v>45970</v>
      </c>
      <c r="D458" t="inlineStr">
        <is>
          <t>SKÅNE LÄN</t>
        </is>
      </c>
      <c r="E458" t="inlineStr">
        <is>
          <t>HÄSSLEHOLM</t>
        </is>
      </c>
      <c r="G458" t="n">
        <v>5.6</v>
      </c>
      <c r="H458" t="n">
        <v>0</v>
      </c>
      <c r="I458" t="n">
        <v>0</v>
      </c>
      <c r="J458" t="n">
        <v>0</v>
      </c>
      <c r="K458" t="n">
        <v>0</v>
      </c>
      <c r="L458" t="n">
        <v>0</v>
      </c>
      <c r="M458" t="n">
        <v>0</v>
      </c>
      <c r="N458" t="n">
        <v>0</v>
      </c>
      <c r="O458" t="n">
        <v>0</v>
      </c>
      <c r="P458" t="n">
        <v>0</v>
      </c>
      <c r="Q458" t="n">
        <v>0</v>
      </c>
      <c r="R458" s="2" t="inlineStr"/>
    </row>
    <row r="459" ht="15" customHeight="1">
      <c r="A459" t="inlineStr">
        <is>
          <t>A 52235-2021</t>
        </is>
      </c>
      <c r="B459" s="1" t="n">
        <v>44463.60085648148</v>
      </c>
      <c r="C459" s="1" t="n">
        <v>45970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13712-2025</t>
        </is>
      </c>
      <c r="B460" s="1" t="n">
        <v>45737</v>
      </c>
      <c r="C460" s="1" t="n">
        <v>45970</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45970</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53302-2022</t>
        </is>
      </c>
      <c r="B462" s="1" t="n">
        <v>44877</v>
      </c>
      <c r="C462" s="1" t="n">
        <v>45970</v>
      </c>
      <c r="D462" t="inlineStr">
        <is>
          <t>SKÅNE LÄN</t>
        </is>
      </c>
      <c r="E462" t="inlineStr">
        <is>
          <t>HÄSSLEHOLM</t>
        </is>
      </c>
      <c r="G462" t="n">
        <v>0.1</v>
      </c>
      <c r="H462" t="n">
        <v>0</v>
      </c>
      <c r="I462" t="n">
        <v>0</v>
      </c>
      <c r="J462" t="n">
        <v>0</v>
      </c>
      <c r="K462" t="n">
        <v>0</v>
      </c>
      <c r="L462" t="n">
        <v>0</v>
      </c>
      <c r="M462" t="n">
        <v>0</v>
      </c>
      <c r="N462" t="n">
        <v>0</v>
      </c>
      <c r="O462" t="n">
        <v>0</v>
      </c>
      <c r="P462" t="n">
        <v>0</v>
      </c>
      <c r="Q462" t="n">
        <v>0</v>
      </c>
      <c r="R462" s="2" t="inlineStr"/>
    </row>
    <row r="463" ht="15" customHeight="1">
      <c r="A463" t="inlineStr">
        <is>
          <t>A 46288-2023</t>
        </is>
      </c>
      <c r="B463" s="1" t="n">
        <v>45197.30221064815</v>
      </c>
      <c r="C463" s="1" t="n">
        <v>45970</v>
      </c>
      <c r="D463" t="inlineStr">
        <is>
          <t>SKÅNE LÄN</t>
        </is>
      </c>
      <c r="E463" t="inlineStr">
        <is>
          <t>HÄSSLEHOLM</t>
        </is>
      </c>
      <c r="G463" t="n">
        <v>3</v>
      </c>
      <c r="H463" t="n">
        <v>0</v>
      </c>
      <c r="I463" t="n">
        <v>0</v>
      </c>
      <c r="J463" t="n">
        <v>0</v>
      </c>
      <c r="K463" t="n">
        <v>0</v>
      </c>
      <c r="L463" t="n">
        <v>0</v>
      </c>
      <c r="M463" t="n">
        <v>0</v>
      </c>
      <c r="N463" t="n">
        <v>0</v>
      </c>
      <c r="O463" t="n">
        <v>0</v>
      </c>
      <c r="P463" t="n">
        <v>0</v>
      </c>
      <c r="Q463" t="n">
        <v>0</v>
      </c>
      <c r="R463" s="2" t="inlineStr"/>
    </row>
    <row r="464" ht="15" customHeight="1">
      <c r="A464" t="inlineStr">
        <is>
          <t>A 52642-2021</t>
        </is>
      </c>
      <c r="B464" s="1" t="n">
        <v>44466.64298611111</v>
      </c>
      <c r="C464" s="1" t="n">
        <v>45970</v>
      </c>
      <c r="D464" t="inlineStr">
        <is>
          <t>SKÅNE LÄN</t>
        </is>
      </c>
      <c r="E464" t="inlineStr">
        <is>
          <t>HÄSSLEHOLM</t>
        </is>
      </c>
      <c r="G464" t="n">
        <v>3.7</v>
      </c>
      <c r="H464" t="n">
        <v>0</v>
      </c>
      <c r="I464" t="n">
        <v>0</v>
      </c>
      <c r="J464" t="n">
        <v>0</v>
      </c>
      <c r="K464" t="n">
        <v>0</v>
      </c>
      <c r="L464" t="n">
        <v>0</v>
      </c>
      <c r="M464" t="n">
        <v>0</v>
      </c>
      <c r="N464" t="n">
        <v>0</v>
      </c>
      <c r="O464" t="n">
        <v>0</v>
      </c>
      <c r="P464" t="n">
        <v>0</v>
      </c>
      <c r="Q464" t="n">
        <v>0</v>
      </c>
      <c r="R464" s="2" t="inlineStr"/>
    </row>
    <row r="465" ht="15" customHeight="1">
      <c r="A465" t="inlineStr">
        <is>
          <t>A 29850-2024</t>
        </is>
      </c>
      <c r="B465" s="1" t="n">
        <v>45485.64620370371</v>
      </c>
      <c r="C465" s="1" t="n">
        <v>45970</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35711-2024</t>
        </is>
      </c>
      <c r="B466" s="1" t="n">
        <v>45532</v>
      </c>
      <c r="C466" s="1" t="n">
        <v>45970</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57967-2023</t>
        </is>
      </c>
      <c r="B467" s="1" t="n">
        <v>45247.57984953704</v>
      </c>
      <c r="C467" s="1" t="n">
        <v>45970</v>
      </c>
      <c r="D467" t="inlineStr">
        <is>
          <t>SKÅNE LÄN</t>
        </is>
      </c>
      <c r="E467" t="inlineStr">
        <is>
          <t>HÄSSLEHOLM</t>
        </is>
      </c>
      <c r="G467" t="n">
        <v>8.6</v>
      </c>
      <c r="H467" t="n">
        <v>0</v>
      </c>
      <c r="I467" t="n">
        <v>0</v>
      </c>
      <c r="J467" t="n">
        <v>0</v>
      </c>
      <c r="K467" t="n">
        <v>0</v>
      </c>
      <c r="L467" t="n">
        <v>0</v>
      </c>
      <c r="M467" t="n">
        <v>0</v>
      </c>
      <c r="N467" t="n">
        <v>0</v>
      </c>
      <c r="O467" t="n">
        <v>0</v>
      </c>
      <c r="P467" t="n">
        <v>0</v>
      </c>
      <c r="Q467" t="n">
        <v>0</v>
      </c>
      <c r="R467" s="2" t="inlineStr"/>
    </row>
    <row r="468" ht="15" customHeight="1">
      <c r="A468" t="inlineStr">
        <is>
          <t>A 36795-2023</t>
        </is>
      </c>
      <c r="B468" s="1" t="n">
        <v>45154.38245370371</v>
      </c>
      <c r="C468" s="1" t="n">
        <v>45970</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11446-2025</t>
        </is>
      </c>
      <c r="B469" s="1" t="n">
        <v>45726</v>
      </c>
      <c r="C469" s="1" t="n">
        <v>45970</v>
      </c>
      <c r="D469" t="inlineStr">
        <is>
          <t>SKÅNE LÄN</t>
        </is>
      </c>
      <c r="E469" t="inlineStr">
        <is>
          <t>HÄSSLEHOLM</t>
        </is>
      </c>
      <c r="G469" t="n">
        <v>1.9</v>
      </c>
      <c r="H469" t="n">
        <v>0</v>
      </c>
      <c r="I469" t="n">
        <v>0</v>
      </c>
      <c r="J469" t="n">
        <v>0</v>
      </c>
      <c r="K469" t="n">
        <v>0</v>
      </c>
      <c r="L469" t="n">
        <v>0</v>
      </c>
      <c r="M469" t="n">
        <v>0</v>
      </c>
      <c r="N469" t="n">
        <v>0</v>
      </c>
      <c r="O469" t="n">
        <v>0</v>
      </c>
      <c r="P469" t="n">
        <v>0</v>
      </c>
      <c r="Q469" t="n">
        <v>0</v>
      </c>
      <c r="R469" s="2" t="inlineStr"/>
    </row>
    <row r="470" ht="15" customHeight="1">
      <c r="A470" t="inlineStr">
        <is>
          <t>A 15698-2023</t>
        </is>
      </c>
      <c r="B470" s="1" t="n">
        <v>45021</v>
      </c>
      <c r="C470" s="1" t="n">
        <v>45970</v>
      </c>
      <c r="D470" t="inlineStr">
        <is>
          <t>SKÅNE LÄN</t>
        </is>
      </c>
      <c r="E470" t="inlineStr">
        <is>
          <t>HÄSSLEHOLM</t>
        </is>
      </c>
      <c r="F470" t="inlineStr">
        <is>
          <t>Kommuner</t>
        </is>
      </c>
      <c r="G470" t="n">
        <v>5.5</v>
      </c>
      <c r="H470" t="n">
        <v>0</v>
      </c>
      <c r="I470" t="n">
        <v>0</v>
      </c>
      <c r="J470" t="n">
        <v>0</v>
      </c>
      <c r="K470" t="n">
        <v>0</v>
      </c>
      <c r="L470" t="n">
        <v>0</v>
      </c>
      <c r="M470" t="n">
        <v>0</v>
      </c>
      <c r="N470" t="n">
        <v>0</v>
      </c>
      <c r="O470" t="n">
        <v>0</v>
      </c>
      <c r="P470" t="n">
        <v>0</v>
      </c>
      <c r="Q470" t="n">
        <v>0</v>
      </c>
      <c r="R470" s="2" t="inlineStr"/>
    </row>
    <row r="471" ht="15" customHeight="1">
      <c r="A471" t="inlineStr">
        <is>
          <t>A 12584-2025</t>
        </is>
      </c>
      <c r="B471" s="1" t="n">
        <v>45732</v>
      </c>
      <c r="C471" s="1" t="n">
        <v>45970</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19744-2023</t>
        </is>
      </c>
      <c r="B472" s="1" t="n">
        <v>45051</v>
      </c>
      <c r="C472" s="1" t="n">
        <v>45970</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62041-2022</t>
        </is>
      </c>
      <c r="B473" s="1" t="n">
        <v>44918.55743055556</v>
      </c>
      <c r="C473" s="1" t="n">
        <v>45970</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15990-2023</t>
        </is>
      </c>
      <c r="B474" s="1" t="n">
        <v>45023.39584490741</v>
      </c>
      <c r="C474" s="1" t="n">
        <v>45970</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47907-2021</t>
        </is>
      </c>
      <c r="B475" s="1" t="n">
        <v>44448</v>
      </c>
      <c r="C475" s="1" t="n">
        <v>45970</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7513-2025</t>
        </is>
      </c>
      <c r="B476" s="1" t="n">
        <v>45702</v>
      </c>
      <c r="C476" s="1" t="n">
        <v>45970</v>
      </c>
      <c r="D476" t="inlineStr">
        <is>
          <t>SKÅNE LÄN</t>
        </is>
      </c>
      <c r="E476" t="inlineStr">
        <is>
          <t>HÄSSLEHOLM</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40734-2024</t>
        </is>
      </c>
      <c r="B477" s="1" t="n">
        <v>45558</v>
      </c>
      <c r="C477" s="1" t="n">
        <v>45970</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40738-2024</t>
        </is>
      </c>
      <c r="B478" s="1" t="n">
        <v>45558</v>
      </c>
      <c r="C478" s="1" t="n">
        <v>45970</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45400-2022</t>
        </is>
      </c>
      <c r="B479" s="1" t="n">
        <v>44844.713125</v>
      </c>
      <c r="C479" s="1" t="n">
        <v>45970</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31998-2023</t>
        </is>
      </c>
      <c r="B480" s="1" t="n">
        <v>45119</v>
      </c>
      <c r="C480" s="1" t="n">
        <v>45970</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37141-2021</t>
        </is>
      </c>
      <c r="B481" s="1" t="n">
        <v>44396</v>
      </c>
      <c r="C481" s="1" t="n">
        <v>45970</v>
      </c>
      <c r="D481" t="inlineStr">
        <is>
          <t>SKÅNE LÄN</t>
        </is>
      </c>
      <c r="E481" t="inlineStr">
        <is>
          <t>HÄSSLEHOLM</t>
        </is>
      </c>
      <c r="G481" t="n">
        <v>12.8</v>
      </c>
      <c r="H481" t="n">
        <v>0</v>
      </c>
      <c r="I481" t="n">
        <v>0</v>
      </c>
      <c r="J481" t="n">
        <v>0</v>
      </c>
      <c r="K481" t="n">
        <v>0</v>
      </c>
      <c r="L481" t="n">
        <v>0</v>
      </c>
      <c r="M481" t="n">
        <v>0</v>
      </c>
      <c r="N481" t="n">
        <v>0</v>
      </c>
      <c r="O481" t="n">
        <v>0</v>
      </c>
      <c r="P481" t="n">
        <v>0</v>
      </c>
      <c r="Q481" t="n">
        <v>0</v>
      </c>
      <c r="R481" s="2" t="inlineStr"/>
    </row>
    <row r="482" ht="15" customHeight="1">
      <c r="A482" t="inlineStr">
        <is>
          <t>A 4140-2023</t>
        </is>
      </c>
      <c r="B482" s="1" t="n">
        <v>44953</v>
      </c>
      <c r="C482" s="1" t="n">
        <v>45970</v>
      </c>
      <c r="D482" t="inlineStr">
        <is>
          <t>SKÅNE LÄN</t>
        </is>
      </c>
      <c r="E482" t="inlineStr">
        <is>
          <t>HÄSSLEHOLM</t>
        </is>
      </c>
      <c r="G482" t="n">
        <v>10.6</v>
      </c>
      <c r="H482" t="n">
        <v>0</v>
      </c>
      <c r="I482" t="n">
        <v>0</v>
      </c>
      <c r="J482" t="n">
        <v>0</v>
      </c>
      <c r="K482" t="n">
        <v>0</v>
      </c>
      <c r="L482" t="n">
        <v>0</v>
      </c>
      <c r="M482" t="n">
        <v>0</v>
      </c>
      <c r="N482" t="n">
        <v>0</v>
      </c>
      <c r="O482" t="n">
        <v>0</v>
      </c>
      <c r="P482" t="n">
        <v>0</v>
      </c>
      <c r="Q482" t="n">
        <v>0</v>
      </c>
      <c r="R482" s="2" t="inlineStr"/>
    </row>
    <row r="483" ht="15" customHeight="1">
      <c r="A483" t="inlineStr">
        <is>
          <t>A 54874-2022</t>
        </is>
      </c>
      <c r="B483" s="1" t="n">
        <v>44881</v>
      </c>
      <c r="C483" s="1" t="n">
        <v>45970</v>
      </c>
      <c r="D483" t="inlineStr">
        <is>
          <t>SKÅNE LÄN</t>
        </is>
      </c>
      <c r="E483" t="inlineStr">
        <is>
          <t>HÄSSLEHOLM</t>
        </is>
      </c>
      <c r="G483" t="n">
        <v>8.1</v>
      </c>
      <c r="H483" t="n">
        <v>0</v>
      </c>
      <c r="I483" t="n">
        <v>0</v>
      </c>
      <c r="J483" t="n">
        <v>0</v>
      </c>
      <c r="K483" t="n">
        <v>0</v>
      </c>
      <c r="L483" t="n">
        <v>0</v>
      </c>
      <c r="M483" t="n">
        <v>0</v>
      </c>
      <c r="N483" t="n">
        <v>0</v>
      </c>
      <c r="O483" t="n">
        <v>0</v>
      </c>
      <c r="P483" t="n">
        <v>0</v>
      </c>
      <c r="Q483" t="n">
        <v>0</v>
      </c>
      <c r="R483" s="2" t="inlineStr"/>
    </row>
    <row r="484" ht="15" customHeight="1">
      <c r="A484" t="inlineStr">
        <is>
          <t>A 25077-2024</t>
        </is>
      </c>
      <c r="B484" s="1" t="n">
        <v>45462</v>
      </c>
      <c r="C484" s="1" t="n">
        <v>45970</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1706-2025</t>
        </is>
      </c>
      <c r="B485" s="1" t="n">
        <v>45670</v>
      </c>
      <c r="C485" s="1" t="n">
        <v>45970</v>
      </c>
      <c r="D485" t="inlineStr">
        <is>
          <t>SKÅNE LÄN</t>
        </is>
      </c>
      <c r="E485" t="inlineStr">
        <is>
          <t>HÄSSLEHOLM</t>
        </is>
      </c>
      <c r="G485" t="n">
        <v>5</v>
      </c>
      <c r="H485" t="n">
        <v>0</v>
      </c>
      <c r="I485" t="n">
        <v>0</v>
      </c>
      <c r="J485" t="n">
        <v>0</v>
      </c>
      <c r="K485" t="n">
        <v>0</v>
      </c>
      <c r="L485" t="n">
        <v>0</v>
      </c>
      <c r="M485" t="n">
        <v>0</v>
      </c>
      <c r="N485" t="n">
        <v>0</v>
      </c>
      <c r="O485" t="n">
        <v>0</v>
      </c>
      <c r="P485" t="n">
        <v>0</v>
      </c>
      <c r="Q485" t="n">
        <v>0</v>
      </c>
      <c r="R485" s="2" t="inlineStr"/>
    </row>
    <row r="486" ht="15" customHeight="1">
      <c r="A486" t="inlineStr">
        <is>
          <t>A 45399-2022</t>
        </is>
      </c>
      <c r="B486" s="1" t="n">
        <v>44844.70513888889</v>
      </c>
      <c r="C486" s="1" t="n">
        <v>45970</v>
      </c>
      <c r="D486" t="inlineStr">
        <is>
          <t>SKÅNE LÄN</t>
        </is>
      </c>
      <c r="E486" t="inlineStr">
        <is>
          <t>HÄSSLEHOLM</t>
        </is>
      </c>
      <c r="G486" t="n">
        <v>0</v>
      </c>
      <c r="H486" t="n">
        <v>0</v>
      </c>
      <c r="I486" t="n">
        <v>0</v>
      </c>
      <c r="J486" t="n">
        <v>0</v>
      </c>
      <c r="K486" t="n">
        <v>0</v>
      </c>
      <c r="L486" t="n">
        <v>0</v>
      </c>
      <c r="M486" t="n">
        <v>0</v>
      </c>
      <c r="N486" t="n">
        <v>0</v>
      </c>
      <c r="O486" t="n">
        <v>0</v>
      </c>
      <c r="P486" t="n">
        <v>0</v>
      </c>
      <c r="Q486" t="n">
        <v>0</v>
      </c>
      <c r="R486" s="2" t="inlineStr"/>
    </row>
    <row r="487" ht="15" customHeight="1">
      <c r="A487" t="inlineStr">
        <is>
          <t>A 61625-2022</t>
        </is>
      </c>
      <c r="B487" s="1" t="n">
        <v>44916</v>
      </c>
      <c r="C487" s="1" t="n">
        <v>45970</v>
      </c>
      <c r="D487" t="inlineStr">
        <is>
          <t>SKÅNE LÄN</t>
        </is>
      </c>
      <c r="E487" t="inlineStr">
        <is>
          <t>HÄSSLEHOLM</t>
        </is>
      </c>
      <c r="G487" t="n">
        <v>2.4</v>
      </c>
      <c r="H487" t="n">
        <v>0</v>
      </c>
      <c r="I487" t="n">
        <v>0</v>
      </c>
      <c r="J487" t="n">
        <v>0</v>
      </c>
      <c r="K487" t="n">
        <v>0</v>
      </c>
      <c r="L487" t="n">
        <v>0</v>
      </c>
      <c r="M487" t="n">
        <v>0</v>
      </c>
      <c r="N487" t="n">
        <v>0</v>
      </c>
      <c r="O487" t="n">
        <v>0</v>
      </c>
      <c r="P487" t="n">
        <v>0</v>
      </c>
      <c r="Q487" t="n">
        <v>0</v>
      </c>
      <c r="R487" s="2" t="inlineStr"/>
    </row>
    <row r="488" ht="15" customHeight="1">
      <c r="A488" t="inlineStr">
        <is>
          <t>A 49379-2021</t>
        </is>
      </c>
      <c r="B488" s="1" t="n">
        <v>44454</v>
      </c>
      <c r="C488" s="1" t="n">
        <v>45970</v>
      </c>
      <c r="D488" t="inlineStr">
        <is>
          <t>SKÅNE LÄN</t>
        </is>
      </c>
      <c r="E488" t="inlineStr">
        <is>
          <t>HÄSSLEHOLM</t>
        </is>
      </c>
      <c r="G488" t="n">
        <v>1.4</v>
      </c>
      <c r="H488" t="n">
        <v>0</v>
      </c>
      <c r="I488" t="n">
        <v>0</v>
      </c>
      <c r="J488" t="n">
        <v>0</v>
      </c>
      <c r="K488" t="n">
        <v>0</v>
      </c>
      <c r="L488" t="n">
        <v>0</v>
      </c>
      <c r="M488" t="n">
        <v>0</v>
      </c>
      <c r="N488" t="n">
        <v>0</v>
      </c>
      <c r="O488" t="n">
        <v>0</v>
      </c>
      <c r="P488" t="n">
        <v>0</v>
      </c>
      <c r="Q488" t="n">
        <v>0</v>
      </c>
      <c r="R488" s="2" t="inlineStr"/>
    </row>
    <row r="489" ht="15" customHeight="1">
      <c r="A489" t="inlineStr">
        <is>
          <t>A 32881-2024</t>
        </is>
      </c>
      <c r="B489" s="1" t="n">
        <v>45516</v>
      </c>
      <c r="C489" s="1" t="n">
        <v>45970</v>
      </c>
      <c r="D489" t="inlineStr">
        <is>
          <t>SKÅNE LÄN</t>
        </is>
      </c>
      <c r="E489" t="inlineStr">
        <is>
          <t>HÄSSLEHOLM</t>
        </is>
      </c>
      <c r="G489" t="n">
        <v>6.3</v>
      </c>
      <c r="H489" t="n">
        <v>0</v>
      </c>
      <c r="I489" t="n">
        <v>0</v>
      </c>
      <c r="J489" t="n">
        <v>0</v>
      </c>
      <c r="K489" t="n">
        <v>0</v>
      </c>
      <c r="L489" t="n">
        <v>0</v>
      </c>
      <c r="M489" t="n">
        <v>0</v>
      </c>
      <c r="N489" t="n">
        <v>0</v>
      </c>
      <c r="O489" t="n">
        <v>0</v>
      </c>
      <c r="P489" t="n">
        <v>0</v>
      </c>
      <c r="Q489" t="n">
        <v>0</v>
      </c>
      <c r="R489" s="2" t="inlineStr"/>
    </row>
    <row r="490" ht="15" customHeight="1">
      <c r="A490" t="inlineStr">
        <is>
          <t>A 2743-2023</t>
        </is>
      </c>
      <c r="B490" s="1" t="n">
        <v>44944</v>
      </c>
      <c r="C490" s="1" t="n">
        <v>45970</v>
      </c>
      <c r="D490" t="inlineStr">
        <is>
          <t>SKÅNE LÄN</t>
        </is>
      </c>
      <c r="E490" t="inlineStr">
        <is>
          <t>HÄSSLEHOLM</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31268-2024</t>
        </is>
      </c>
      <c r="B491" s="1" t="n">
        <v>45504</v>
      </c>
      <c r="C491" s="1" t="n">
        <v>45970</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13856-2025</t>
        </is>
      </c>
      <c r="B492" s="1" t="n">
        <v>45737.57289351852</v>
      </c>
      <c r="C492" s="1" t="n">
        <v>45970</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46942-2024</t>
        </is>
      </c>
      <c r="B493" s="1" t="n">
        <v>45585.6684375</v>
      </c>
      <c r="C493" s="1" t="n">
        <v>45970</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36568-2024</t>
        </is>
      </c>
      <c r="B494" s="1" t="n">
        <v>45537</v>
      </c>
      <c r="C494" s="1" t="n">
        <v>45970</v>
      </c>
      <c r="D494" t="inlineStr">
        <is>
          <t>SKÅNE LÄN</t>
        </is>
      </c>
      <c r="E494" t="inlineStr">
        <is>
          <t>HÄSSLEHOLM</t>
        </is>
      </c>
      <c r="G494" t="n">
        <v>4.3</v>
      </c>
      <c r="H494" t="n">
        <v>0</v>
      </c>
      <c r="I494" t="n">
        <v>0</v>
      </c>
      <c r="J494" t="n">
        <v>0</v>
      </c>
      <c r="K494" t="n">
        <v>0</v>
      </c>
      <c r="L494" t="n">
        <v>0</v>
      </c>
      <c r="M494" t="n">
        <v>0</v>
      </c>
      <c r="N494" t="n">
        <v>0</v>
      </c>
      <c r="O494" t="n">
        <v>0</v>
      </c>
      <c r="P494" t="n">
        <v>0</v>
      </c>
      <c r="Q494" t="n">
        <v>0</v>
      </c>
      <c r="R494" s="2" t="inlineStr"/>
    </row>
    <row r="495" ht="15" customHeight="1">
      <c r="A495" t="inlineStr">
        <is>
          <t>A 16860-2025</t>
        </is>
      </c>
      <c r="B495" s="1" t="n">
        <v>45751</v>
      </c>
      <c r="C495" s="1" t="n">
        <v>45970</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32794-2021</t>
        </is>
      </c>
      <c r="B496" s="1" t="n">
        <v>44375</v>
      </c>
      <c r="C496" s="1" t="n">
        <v>45970</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13961-2023</t>
        </is>
      </c>
      <c r="B497" s="1" t="n">
        <v>45008</v>
      </c>
      <c r="C497" s="1" t="n">
        <v>45970</v>
      </c>
      <c r="D497" t="inlineStr">
        <is>
          <t>SKÅNE LÄN</t>
        </is>
      </c>
      <c r="E497" t="inlineStr">
        <is>
          <t>HÄSSLEHOLM</t>
        </is>
      </c>
      <c r="G497" t="n">
        <v>3.8</v>
      </c>
      <c r="H497" t="n">
        <v>0</v>
      </c>
      <c r="I497" t="n">
        <v>0</v>
      </c>
      <c r="J497" t="n">
        <v>0</v>
      </c>
      <c r="K497" t="n">
        <v>0</v>
      </c>
      <c r="L497" t="n">
        <v>0</v>
      </c>
      <c r="M497" t="n">
        <v>0</v>
      </c>
      <c r="N497" t="n">
        <v>0</v>
      </c>
      <c r="O497" t="n">
        <v>0</v>
      </c>
      <c r="P497" t="n">
        <v>0</v>
      </c>
      <c r="Q497" t="n">
        <v>0</v>
      </c>
      <c r="R497" s="2" t="inlineStr"/>
    </row>
    <row r="498" ht="15" customHeight="1">
      <c r="A498" t="inlineStr">
        <is>
          <t>A 33257-2024</t>
        </is>
      </c>
      <c r="B498" s="1" t="n">
        <v>45518</v>
      </c>
      <c r="C498" s="1" t="n">
        <v>45970</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62044-2022</t>
        </is>
      </c>
      <c r="B499" s="1" t="n">
        <v>44918.55976851852</v>
      </c>
      <c r="C499" s="1" t="n">
        <v>45970</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9556-2025</t>
        </is>
      </c>
      <c r="B500" s="1" t="n">
        <v>45714</v>
      </c>
      <c r="C500" s="1" t="n">
        <v>45970</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6164-2023</t>
        </is>
      </c>
      <c r="B501" s="1" t="n">
        <v>44964.66871527778</v>
      </c>
      <c r="C501" s="1" t="n">
        <v>45970</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17492-2025</t>
        </is>
      </c>
      <c r="B502" s="1" t="n">
        <v>45747</v>
      </c>
      <c r="C502" s="1" t="n">
        <v>45970</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3855-2023</t>
        </is>
      </c>
      <c r="B503" s="1" t="n">
        <v>44951.69708333333</v>
      </c>
      <c r="C503" s="1" t="n">
        <v>45970</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34301-2024</t>
        </is>
      </c>
      <c r="B504" s="1" t="n">
        <v>45524</v>
      </c>
      <c r="C504" s="1" t="n">
        <v>45970</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37318-2024</t>
        </is>
      </c>
      <c r="B505" s="1" t="n">
        <v>45540</v>
      </c>
      <c r="C505" s="1" t="n">
        <v>45970</v>
      </c>
      <c r="D505" t="inlineStr">
        <is>
          <t>SKÅNE LÄN</t>
        </is>
      </c>
      <c r="E505" t="inlineStr">
        <is>
          <t>HÄSSLEHOLM</t>
        </is>
      </c>
      <c r="G505" t="n">
        <v>3.9</v>
      </c>
      <c r="H505" t="n">
        <v>0</v>
      </c>
      <c r="I505" t="n">
        <v>0</v>
      </c>
      <c r="J505" t="n">
        <v>0</v>
      </c>
      <c r="K505" t="n">
        <v>0</v>
      </c>
      <c r="L505" t="n">
        <v>0</v>
      </c>
      <c r="M505" t="n">
        <v>0</v>
      </c>
      <c r="N505" t="n">
        <v>0</v>
      </c>
      <c r="O505" t="n">
        <v>0</v>
      </c>
      <c r="P505" t="n">
        <v>0</v>
      </c>
      <c r="Q505" t="n">
        <v>0</v>
      </c>
      <c r="R505" s="2" t="inlineStr"/>
    </row>
    <row r="506" ht="15" customHeight="1">
      <c r="A506" t="inlineStr">
        <is>
          <t>A 58891-2022</t>
        </is>
      </c>
      <c r="B506" s="1" t="n">
        <v>44896</v>
      </c>
      <c r="C506" s="1" t="n">
        <v>45970</v>
      </c>
      <c r="D506" t="inlineStr">
        <is>
          <t>SKÅNE LÄN</t>
        </is>
      </c>
      <c r="E506" t="inlineStr">
        <is>
          <t>HÄSSLEHOLM</t>
        </is>
      </c>
      <c r="F506" t="inlineStr">
        <is>
          <t>Kyrkan</t>
        </is>
      </c>
      <c r="G506" t="n">
        <v>1.6</v>
      </c>
      <c r="H506" t="n">
        <v>0</v>
      </c>
      <c r="I506" t="n">
        <v>0</v>
      </c>
      <c r="J506" t="n">
        <v>0</v>
      </c>
      <c r="K506" t="n">
        <v>0</v>
      </c>
      <c r="L506" t="n">
        <v>0</v>
      </c>
      <c r="M506" t="n">
        <v>0</v>
      </c>
      <c r="N506" t="n">
        <v>0</v>
      </c>
      <c r="O506" t="n">
        <v>0</v>
      </c>
      <c r="P506" t="n">
        <v>0</v>
      </c>
      <c r="Q506" t="n">
        <v>0</v>
      </c>
      <c r="R506" s="2" t="inlineStr"/>
    </row>
    <row r="507" ht="15" customHeight="1">
      <c r="A507" t="inlineStr">
        <is>
          <t>A 37324-2024</t>
        </is>
      </c>
      <c r="B507" s="1" t="n">
        <v>45540.50104166667</v>
      </c>
      <c r="C507" s="1" t="n">
        <v>45970</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15060-2023</t>
        </is>
      </c>
      <c r="B508" s="1" t="n">
        <v>45015.69832175926</v>
      </c>
      <c r="C508" s="1" t="n">
        <v>45970</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54171-2021</t>
        </is>
      </c>
      <c r="B509" s="1" t="n">
        <v>44470</v>
      </c>
      <c r="C509" s="1" t="n">
        <v>45970</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25176-2024</t>
        </is>
      </c>
      <c r="B510" s="1" t="n">
        <v>45462.54582175926</v>
      </c>
      <c r="C510" s="1" t="n">
        <v>45970</v>
      </c>
      <c r="D510" t="inlineStr">
        <is>
          <t>SKÅNE LÄN</t>
        </is>
      </c>
      <c r="E510" t="inlineStr">
        <is>
          <t>HÄSSLEHOLM</t>
        </is>
      </c>
      <c r="G510" t="n">
        <v>3.8</v>
      </c>
      <c r="H510" t="n">
        <v>0</v>
      </c>
      <c r="I510" t="n">
        <v>0</v>
      </c>
      <c r="J510" t="n">
        <v>0</v>
      </c>
      <c r="K510" t="n">
        <v>0</v>
      </c>
      <c r="L510" t="n">
        <v>0</v>
      </c>
      <c r="M510" t="n">
        <v>0</v>
      </c>
      <c r="N510" t="n">
        <v>0</v>
      </c>
      <c r="O510" t="n">
        <v>0</v>
      </c>
      <c r="P510" t="n">
        <v>0</v>
      </c>
      <c r="Q510" t="n">
        <v>0</v>
      </c>
      <c r="R510" s="2" t="inlineStr"/>
    </row>
    <row r="511" ht="15" customHeight="1">
      <c r="A511" t="inlineStr">
        <is>
          <t>A 51618-2024</t>
        </is>
      </c>
      <c r="B511" s="1" t="n">
        <v>45604.82615740741</v>
      </c>
      <c r="C511" s="1" t="n">
        <v>45970</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10409-2024</t>
        </is>
      </c>
      <c r="B512" s="1" t="n">
        <v>45365.6978125</v>
      </c>
      <c r="C512" s="1" t="n">
        <v>45970</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31995-2023</t>
        </is>
      </c>
      <c r="B513" s="1" t="n">
        <v>45107</v>
      </c>
      <c r="C513" s="1" t="n">
        <v>45970</v>
      </c>
      <c r="D513" t="inlineStr">
        <is>
          <t>SKÅNE LÄN</t>
        </is>
      </c>
      <c r="E513" t="inlineStr">
        <is>
          <t>HÄSSLEHOLM</t>
        </is>
      </c>
      <c r="G513" t="n">
        <v>7.3</v>
      </c>
      <c r="H513" t="n">
        <v>0</v>
      </c>
      <c r="I513" t="n">
        <v>0</v>
      </c>
      <c r="J513" t="n">
        <v>0</v>
      </c>
      <c r="K513" t="n">
        <v>0</v>
      </c>
      <c r="L513" t="n">
        <v>0</v>
      </c>
      <c r="M513" t="n">
        <v>0</v>
      </c>
      <c r="N513" t="n">
        <v>0</v>
      </c>
      <c r="O513" t="n">
        <v>0</v>
      </c>
      <c r="P513" t="n">
        <v>0</v>
      </c>
      <c r="Q513" t="n">
        <v>0</v>
      </c>
      <c r="R513" s="2" t="inlineStr"/>
    </row>
    <row r="514" ht="15" customHeight="1">
      <c r="A514" t="inlineStr">
        <is>
          <t>A 39453-2025</t>
        </is>
      </c>
      <c r="B514" s="1" t="n">
        <v>45889</v>
      </c>
      <c r="C514" s="1" t="n">
        <v>45970</v>
      </c>
      <c r="D514" t="inlineStr">
        <is>
          <t>SKÅNE LÄN</t>
        </is>
      </c>
      <c r="E514" t="inlineStr">
        <is>
          <t>HÄSSLEHOLM</t>
        </is>
      </c>
      <c r="G514" t="n">
        <v>2.5</v>
      </c>
      <c r="H514" t="n">
        <v>0</v>
      </c>
      <c r="I514" t="n">
        <v>0</v>
      </c>
      <c r="J514" t="n">
        <v>0</v>
      </c>
      <c r="K514" t="n">
        <v>0</v>
      </c>
      <c r="L514" t="n">
        <v>0</v>
      </c>
      <c r="M514" t="n">
        <v>0</v>
      </c>
      <c r="N514" t="n">
        <v>0</v>
      </c>
      <c r="O514" t="n">
        <v>0</v>
      </c>
      <c r="P514" t="n">
        <v>0</v>
      </c>
      <c r="Q514" t="n">
        <v>0</v>
      </c>
      <c r="R514" s="2" t="inlineStr"/>
    </row>
    <row r="515" ht="15" customHeight="1">
      <c r="A515" t="inlineStr">
        <is>
          <t>A 47432-2025</t>
        </is>
      </c>
      <c r="B515" s="1" t="n">
        <v>45930</v>
      </c>
      <c r="C515" s="1" t="n">
        <v>45970</v>
      </c>
      <c r="D515" t="inlineStr">
        <is>
          <t>SKÅNE LÄN</t>
        </is>
      </c>
      <c r="E515" t="inlineStr">
        <is>
          <t>HÄSSLEHOLM</t>
        </is>
      </c>
      <c r="G515" t="n">
        <v>3.1</v>
      </c>
      <c r="H515" t="n">
        <v>0</v>
      </c>
      <c r="I515" t="n">
        <v>0</v>
      </c>
      <c r="J515" t="n">
        <v>0</v>
      </c>
      <c r="K515" t="n">
        <v>0</v>
      </c>
      <c r="L515" t="n">
        <v>0</v>
      </c>
      <c r="M515" t="n">
        <v>0</v>
      </c>
      <c r="N515" t="n">
        <v>0</v>
      </c>
      <c r="O515" t="n">
        <v>0</v>
      </c>
      <c r="P515" t="n">
        <v>0</v>
      </c>
      <c r="Q515" t="n">
        <v>0</v>
      </c>
      <c r="R515" s="2" t="inlineStr"/>
    </row>
    <row r="516" ht="15" customHeight="1">
      <c r="A516" t="inlineStr">
        <is>
          <t>A 4356-2024</t>
        </is>
      </c>
      <c r="B516" s="1" t="n">
        <v>45325.36195601852</v>
      </c>
      <c r="C516" s="1" t="n">
        <v>45970</v>
      </c>
      <c r="D516" t="inlineStr">
        <is>
          <t>SKÅNE LÄN</t>
        </is>
      </c>
      <c r="E516" t="inlineStr">
        <is>
          <t>HÄSSLEHOLM</t>
        </is>
      </c>
      <c r="G516" t="n">
        <v>3.2</v>
      </c>
      <c r="H516" t="n">
        <v>0</v>
      </c>
      <c r="I516" t="n">
        <v>0</v>
      </c>
      <c r="J516" t="n">
        <v>0</v>
      </c>
      <c r="K516" t="n">
        <v>0</v>
      </c>
      <c r="L516" t="n">
        <v>0</v>
      </c>
      <c r="M516" t="n">
        <v>0</v>
      </c>
      <c r="N516" t="n">
        <v>0</v>
      </c>
      <c r="O516" t="n">
        <v>0</v>
      </c>
      <c r="P516" t="n">
        <v>0</v>
      </c>
      <c r="Q516" t="n">
        <v>0</v>
      </c>
      <c r="R516" s="2" t="inlineStr"/>
    </row>
    <row r="517" ht="15" customHeight="1">
      <c r="A517" t="inlineStr">
        <is>
          <t>A 47840-2023</t>
        </is>
      </c>
      <c r="B517" s="1" t="n">
        <v>45204</v>
      </c>
      <c r="C517" s="1" t="n">
        <v>45970</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13347-2025</t>
        </is>
      </c>
      <c r="B518" s="1" t="n">
        <v>45735.63175925926</v>
      </c>
      <c r="C518" s="1" t="n">
        <v>45970</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3726-2024</t>
        </is>
      </c>
      <c r="B519" s="1" t="n">
        <v>45321</v>
      </c>
      <c r="C519" s="1" t="n">
        <v>45970</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39044-2024</t>
        </is>
      </c>
      <c r="B520" s="1" t="n">
        <v>45548.47707175926</v>
      </c>
      <c r="C520" s="1" t="n">
        <v>45970</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34888-2023</t>
        </is>
      </c>
      <c r="B521" s="1" t="n">
        <v>45142.388125</v>
      </c>
      <c r="C521" s="1" t="n">
        <v>45970</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20435-2021</t>
        </is>
      </c>
      <c r="B522" s="1" t="n">
        <v>44315.5793287037</v>
      </c>
      <c r="C522" s="1" t="n">
        <v>45970</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11260-2021</t>
        </is>
      </c>
      <c r="B523" s="1" t="n">
        <v>44263</v>
      </c>
      <c r="C523" s="1" t="n">
        <v>45970</v>
      </c>
      <c r="D523" t="inlineStr">
        <is>
          <t>SKÅNE LÄN</t>
        </is>
      </c>
      <c r="E523" t="inlineStr">
        <is>
          <t>HÄSSLEHOLM</t>
        </is>
      </c>
      <c r="G523" t="n">
        <v>5.4</v>
      </c>
      <c r="H523" t="n">
        <v>0</v>
      </c>
      <c r="I523" t="n">
        <v>0</v>
      </c>
      <c r="J523" t="n">
        <v>0</v>
      </c>
      <c r="K523" t="n">
        <v>0</v>
      </c>
      <c r="L523" t="n">
        <v>0</v>
      </c>
      <c r="M523" t="n">
        <v>0</v>
      </c>
      <c r="N523" t="n">
        <v>0</v>
      </c>
      <c r="O523" t="n">
        <v>0</v>
      </c>
      <c r="P523" t="n">
        <v>0</v>
      </c>
      <c r="Q523" t="n">
        <v>0</v>
      </c>
      <c r="R523" s="2" t="inlineStr"/>
    </row>
    <row r="524" ht="15" customHeight="1">
      <c r="A524" t="inlineStr">
        <is>
          <t>A 13198-2025</t>
        </is>
      </c>
      <c r="B524" s="1" t="n">
        <v>45735</v>
      </c>
      <c r="C524" s="1" t="n">
        <v>45970</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14255-2024</t>
        </is>
      </c>
      <c r="B525" s="1" t="n">
        <v>45393</v>
      </c>
      <c r="C525" s="1" t="n">
        <v>45970</v>
      </c>
      <c r="D525" t="inlineStr">
        <is>
          <t>SKÅNE LÄN</t>
        </is>
      </c>
      <c r="E525" t="inlineStr">
        <is>
          <t>HÄSSLEHOLM</t>
        </is>
      </c>
      <c r="G525" t="n">
        <v>11.9</v>
      </c>
      <c r="H525" t="n">
        <v>0</v>
      </c>
      <c r="I525" t="n">
        <v>0</v>
      </c>
      <c r="J525" t="n">
        <v>0</v>
      </c>
      <c r="K525" t="n">
        <v>0</v>
      </c>
      <c r="L525" t="n">
        <v>0</v>
      </c>
      <c r="M525" t="n">
        <v>0</v>
      </c>
      <c r="N525" t="n">
        <v>0</v>
      </c>
      <c r="O525" t="n">
        <v>0</v>
      </c>
      <c r="P525" t="n">
        <v>0</v>
      </c>
      <c r="Q525" t="n">
        <v>0</v>
      </c>
      <c r="R525" s="2" t="inlineStr"/>
    </row>
    <row r="526" ht="15" customHeight="1">
      <c r="A526" t="inlineStr">
        <is>
          <t>A 3135-2023</t>
        </is>
      </c>
      <c r="B526" s="1" t="n">
        <v>44946.51672453704</v>
      </c>
      <c r="C526" s="1" t="n">
        <v>45970</v>
      </c>
      <c r="D526" t="inlineStr">
        <is>
          <t>SKÅNE LÄN</t>
        </is>
      </c>
      <c r="E526" t="inlineStr">
        <is>
          <t>HÄSSLEHOLM</t>
        </is>
      </c>
      <c r="G526" t="n">
        <v>7.2</v>
      </c>
      <c r="H526" t="n">
        <v>0</v>
      </c>
      <c r="I526" t="n">
        <v>0</v>
      </c>
      <c r="J526" t="n">
        <v>0</v>
      </c>
      <c r="K526" t="n">
        <v>0</v>
      </c>
      <c r="L526" t="n">
        <v>0</v>
      </c>
      <c r="M526" t="n">
        <v>0</v>
      </c>
      <c r="N526" t="n">
        <v>0</v>
      </c>
      <c r="O526" t="n">
        <v>0</v>
      </c>
      <c r="P526" t="n">
        <v>0</v>
      </c>
      <c r="Q526" t="n">
        <v>0</v>
      </c>
      <c r="R526" s="2" t="inlineStr"/>
    </row>
    <row r="527" ht="15" customHeight="1">
      <c r="A527" t="inlineStr">
        <is>
          <t>A 53085-2022</t>
        </is>
      </c>
      <c r="B527" s="1" t="n">
        <v>44873</v>
      </c>
      <c r="C527" s="1" t="n">
        <v>45970</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59429-2023</t>
        </is>
      </c>
      <c r="B528" s="1" t="n">
        <v>45254.2875</v>
      </c>
      <c r="C528" s="1" t="n">
        <v>45970</v>
      </c>
      <c r="D528" t="inlineStr">
        <is>
          <t>SKÅNE LÄN</t>
        </is>
      </c>
      <c r="E528" t="inlineStr">
        <is>
          <t>HÄSSLEHOLM</t>
        </is>
      </c>
      <c r="G528" t="n">
        <v>0</v>
      </c>
      <c r="H528" t="n">
        <v>0</v>
      </c>
      <c r="I528" t="n">
        <v>0</v>
      </c>
      <c r="J528" t="n">
        <v>0</v>
      </c>
      <c r="K528" t="n">
        <v>0</v>
      </c>
      <c r="L528" t="n">
        <v>0</v>
      </c>
      <c r="M528" t="n">
        <v>0</v>
      </c>
      <c r="N528" t="n">
        <v>0</v>
      </c>
      <c r="O528" t="n">
        <v>0</v>
      </c>
      <c r="P528" t="n">
        <v>0</v>
      </c>
      <c r="Q528" t="n">
        <v>0</v>
      </c>
      <c r="R528" s="2" t="inlineStr"/>
    </row>
    <row r="529" ht="15" customHeight="1">
      <c r="A529" t="inlineStr">
        <is>
          <t>A 20058-2023</t>
        </is>
      </c>
      <c r="B529" s="1" t="n">
        <v>45054.68476851852</v>
      </c>
      <c r="C529" s="1" t="n">
        <v>45970</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40202-2022</t>
        </is>
      </c>
      <c r="B530" s="1" t="n">
        <v>44820.60614583334</v>
      </c>
      <c r="C530" s="1" t="n">
        <v>45970</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10897-2023</t>
        </is>
      </c>
      <c r="B531" s="1" t="n">
        <v>44985</v>
      </c>
      <c r="C531" s="1" t="n">
        <v>45970</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16388-2025</t>
        </is>
      </c>
      <c r="B532" s="1" t="n">
        <v>45751.42787037037</v>
      </c>
      <c r="C532" s="1" t="n">
        <v>45970</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16668-2025</t>
        </is>
      </c>
      <c r="B533" s="1" t="n">
        <v>45754.43009259259</v>
      </c>
      <c r="C533" s="1" t="n">
        <v>45970</v>
      </c>
      <c r="D533" t="inlineStr">
        <is>
          <t>SKÅNE LÄN</t>
        </is>
      </c>
      <c r="E533" t="inlineStr">
        <is>
          <t>HÄSSLEHOLM</t>
        </is>
      </c>
      <c r="G533" t="n">
        <v>4</v>
      </c>
      <c r="H533" t="n">
        <v>0</v>
      </c>
      <c r="I533" t="n">
        <v>0</v>
      </c>
      <c r="J533" t="n">
        <v>0</v>
      </c>
      <c r="K533" t="n">
        <v>0</v>
      </c>
      <c r="L533" t="n">
        <v>0</v>
      </c>
      <c r="M533" t="n">
        <v>0</v>
      </c>
      <c r="N533" t="n">
        <v>0</v>
      </c>
      <c r="O533" t="n">
        <v>0</v>
      </c>
      <c r="P533" t="n">
        <v>0</v>
      </c>
      <c r="Q533" t="n">
        <v>0</v>
      </c>
      <c r="R533" s="2" t="inlineStr"/>
    </row>
    <row r="534" ht="15" customHeight="1">
      <c r="A534" t="inlineStr">
        <is>
          <t>A 9709-2023</t>
        </is>
      </c>
      <c r="B534" s="1" t="n">
        <v>44984.48376157408</v>
      </c>
      <c r="C534" s="1" t="n">
        <v>45970</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16108-2025</t>
        </is>
      </c>
      <c r="B535" s="1" t="n">
        <v>45750.34667824074</v>
      </c>
      <c r="C535" s="1" t="n">
        <v>45970</v>
      </c>
      <c r="D535" t="inlineStr">
        <is>
          <t>SKÅNE LÄN</t>
        </is>
      </c>
      <c r="E535" t="inlineStr">
        <is>
          <t>HÄSSLEHOLM</t>
        </is>
      </c>
      <c r="G535" t="n">
        <v>0.5</v>
      </c>
      <c r="H535" t="n">
        <v>0</v>
      </c>
      <c r="I535" t="n">
        <v>0</v>
      </c>
      <c r="J535" t="n">
        <v>0</v>
      </c>
      <c r="K535" t="n">
        <v>0</v>
      </c>
      <c r="L535" t="n">
        <v>0</v>
      </c>
      <c r="M535" t="n">
        <v>0</v>
      </c>
      <c r="N535" t="n">
        <v>0</v>
      </c>
      <c r="O535" t="n">
        <v>0</v>
      </c>
      <c r="P535" t="n">
        <v>0</v>
      </c>
      <c r="Q535" t="n">
        <v>0</v>
      </c>
      <c r="R535" s="2" t="inlineStr"/>
    </row>
    <row r="536" ht="15" customHeight="1">
      <c r="A536" t="inlineStr">
        <is>
          <t>A 54326-2022</t>
        </is>
      </c>
      <c r="B536" s="1" t="n">
        <v>44882.42965277778</v>
      </c>
      <c r="C536" s="1" t="n">
        <v>45970</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41998-2021</t>
        </is>
      </c>
      <c r="B537" s="1" t="n">
        <v>44425</v>
      </c>
      <c r="C537" s="1" t="n">
        <v>45970</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61524-2022</t>
        </is>
      </c>
      <c r="B538" s="1" t="n">
        <v>44910</v>
      </c>
      <c r="C538" s="1" t="n">
        <v>45970</v>
      </c>
      <c r="D538" t="inlineStr">
        <is>
          <t>SKÅNE LÄN</t>
        </is>
      </c>
      <c r="E538" t="inlineStr">
        <is>
          <t>HÄSSLEHOLM</t>
        </is>
      </c>
      <c r="F538" t="inlineStr">
        <is>
          <t>Kyrkan</t>
        </is>
      </c>
      <c r="G538" t="n">
        <v>2.1</v>
      </c>
      <c r="H538" t="n">
        <v>0</v>
      </c>
      <c r="I538" t="n">
        <v>0</v>
      </c>
      <c r="J538" t="n">
        <v>0</v>
      </c>
      <c r="K538" t="n">
        <v>0</v>
      </c>
      <c r="L538" t="n">
        <v>0</v>
      </c>
      <c r="M538" t="n">
        <v>0</v>
      </c>
      <c r="N538" t="n">
        <v>0</v>
      </c>
      <c r="O538" t="n">
        <v>0</v>
      </c>
      <c r="P538" t="n">
        <v>0</v>
      </c>
      <c r="Q538" t="n">
        <v>0</v>
      </c>
      <c r="R538" s="2" t="inlineStr"/>
    </row>
    <row r="539" ht="15" customHeight="1">
      <c r="A539" t="inlineStr">
        <is>
          <t>A 56986-2024</t>
        </is>
      </c>
      <c r="B539" s="1" t="n">
        <v>45626</v>
      </c>
      <c r="C539" s="1" t="n">
        <v>45970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61533-2022</t>
        </is>
      </c>
      <c r="B540" s="1" t="n">
        <v>44910</v>
      </c>
      <c r="C540" s="1" t="n">
        <v>45970</v>
      </c>
      <c r="D540" t="inlineStr">
        <is>
          <t>SKÅNE LÄN</t>
        </is>
      </c>
      <c r="E540" t="inlineStr">
        <is>
          <t>HÄSSLEHOLM</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49111-2023</t>
        </is>
      </c>
      <c r="B541" s="1" t="n">
        <v>45210.44464120371</v>
      </c>
      <c r="C541" s="1" t="n">
        <v>45970</v>
      </c>
      <c r="D541" t="inlineStr">
        <is>
          <t>SKÅNE LÄN</t>
        </is>
      </c>
      <c r="E541" t="inlineStr">
        <is>
          <t>HÄSSLEHOLM</t>
        </is>
      </c>
      <c r="G541" t="n">
        <v>0.2</v>
      </c>
      <c r="H541" t="n">
        <v>0</v>
      </c>
      <c r="I541" t="n">
        <v>0</v>
      </c>
      <c r="J541" t="n">
        <v>0</v>
      </c>
      <c r="K541" t="n">
        <v>0</v>
      </c>
      <c r="L541" t="n">
        <v>0</v>
      </c>
      <c r="M541" t="n">
        <v>0</v>
      </c>
      <c r="N541" t="n">
        <v>0</v>
      </c>
      <c r="O541" t="n">
        <v>0</v>
      </c>
      <c r="P541" t="n">
        <v>0</v>
      </c>
      <c r="Q541" t="n">
        <v>0</v>
      </c>
      <c r="R541" s="2" t="inlineStr"/>
    </row>
    <row r="542" ht="15" customHeight="1">
      <c r="A542" t="inlineStr">
        <is>
          <t>A 13646-2024</t>
        </is>
      </c>
      <c r="B542" s="1" t="n">
        <v>45387</v>
      </c>
      <c r="C542" s="1" t="n">
        <v>45970</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21867-2023</t>
        </is>
      </c>
      <c r="B543" s="1" t="n">
        <v>45063</v>
      </c>
      <c r="C543" s="1" t="n">
        <v>45970</v>
      </c>
      <c r="D543" t="inlineStr">
        <is>
          <t>SKÅNE LÄN</t>
        </is>
      </c>
      <c r="E543" t="inlineStr">
        <is>
          <t>HÄSSLEHOLM</t>
        </is>
      </c>
      <c r="G543" t="n">
        <v>7.6</v>
      </c>
      <c r="H543" t="n">
        <v>0</v>
      </c>
      <c r="I543" t="n">
        <v>0</v>
      </c>
      <c r="J543" t="n">
        <v>0</v>
      </c>
      <c r="K543" t="n">
        <v>0</v>
      </c>
      <c r="L543" t="n">
        <v>0</v>
      </c>
      <c r="M543" t="n">
        <v>0</v>
      </c>
      <c r="N543" t="n">
        <v>0</v>
      </c>
      <c r="O543" t="n">
        <v>0</v>
      </c>
      <c r="P543" t="n">
        <v>0</v>
      </c>
      <c r="Q543" t="n">
        <v>0</v>
      </c>
      <c r="R543" s="2" t="inlineStr"/>
    </row>
    <row r="544" ht="15" customHeight="1">
      <c r="A544" t="inlineStr">
        <is>
          <t>A 39457-2025</t>
        </is>
      </c>
      <c r="B544" s="1" t="n">
        <v>45889.76887731482</v>
      </c>
      <c r="C544" s="1" t="n">
        <v>45970</v>
      </c>
      <c r="D544" t="inlineStr">
        <is>
          <t>SKÅNE LÄN</t>
        </is>
      </c>
      <c r="E544" t="inlineStr">
        <is>
          <t>HÄSSLEHOLM</t>
        </is>
      </c>
      <c r="G544" t="n">
        <v>6.6</v>
      </c>
      <c r="H544" t="n">
        <v>0</v>
      </c>
      <c r="I544" t="n">
        <v>0</v>
      </c>
      <c r="J544" t="n">
        <v>0</v>
      </c>
      <c r="K544" t="n">
        <v>0</v>
      </c>
      <c r="L544" t="n">
        <v>0</v>
      </c>
      <c r="M544" t="n">
        <v>0</v>
      </c>
      <c r="N544" t="n">
        <v>0</v>
      </c>
      <c r="O544" t="n">
        <v>0</v>
      </c>
      <c r="P544" t="n">
        <v>0</v>
      </c>
      <c r="Q544" t="n">
        <v>0</v>
      </c>
      <c r="R544" s="2" t="inlineStr"/>
    </row>
    <row r="545" ht="15" customHeight="1">
      <c r="A545" t="inlineStr">
        <is>
          <t>A 8619-2023</t>
        </is>
      </c>
      <c r="B545" s="1" t="n">
        <v>44977.81979166667</v>
      </c>
      <c r="C545" s="1" t="n">
        <v>45970</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46813-2024</t>
        </is>
      </c>
      <c r="B546" s="1" t="n">
        <v>45583</v>
      </c>
      <c r="C546" s="1" t="n">
        <v>45970</v>
      </c>
      <c r="D546" t="inlineStr">
        <is>
          <t>SKÅNE LÄN</t>
        </is>
      </c>
      <c r="E546" t="inlineStr">
        <is>
          <t>HÄSSLEHOLM</t>
        </is>
      </c>
      <c r="G546" t="n">
        <v>14.9</v>
      </c>
      <c r="H546" t="n">
        <v>0</v>
      </c>
      <c r="I546" t="n">
        <v>0</v>
      </c>
      <c r="J546" t="n">
        <v>0</v>
      </c>
      <c r="K546" t="n">
        <v>0</v>
      </c>
      <c r="L546" t="n">
        <v>0</v>
      </c>
      <c r="M546" t="n">
        <v>0</v>
      </c>
      <c r="N546" t="n">
        <v>0</v>
      </c>
      <c r="O546" t="n">
        <v>0</v>
      </c>
      <c r="P546" t="n">
        <v>0</v>
      </c>
      <c r="Q546" t="n">
        <v>0</v>
      </c>
      <c r="R546" s="2" t="inlineStr"/>
    </row>
    <row r="547" ht="15" customHeight="1">
      <c r="A547" t="inlineStr">
        <is>
          <t>A 49219-2021</t>
        </is>
      </c>
      <c r="B547" s="1" t="n">
        <v>44454</v>
      </c>
      <c r="C547" s="1" t="n">
        <v>45970</v>
      </c>
      <c r="D547" t="inlineStr">
        <is>
          <t>SKÅNE LÄN</t>
        </is>
      </c>
      <c r="E547" t="inlineStr">
        <is>
          <t>HÄSSLEHOLM</t>
        </is>
      </c>
      <c r="G547" t="n">
        <v>7.8</v>
      </c>
      <c r="H547" t="n">
        <v>0</v>
      </c>
      <c r="I547" t="n">
        <v>0</v>
      </c>
      <c r="J547" t="n">
        <v>0</v>
      </c>
      <c r="K547" t="n">
        <v>0</v>
      </c>
      <c r="L547" t="n">
        <v>0</v>
      </c>
      <c r="M547" t="n">
        <v>0</v>
      </c>
      <c r="N547" t="n">
        <v>0</v>
      </c>
      <c r="O547" t="n">
        <v>0</v>
      </c>
      <c r="P547" t="n">
        <v>0</v>
      </c>
      <c r="Q547" t="n">
        <v>0</v>
      </c>
      <c r="R547" s="2" t="inlineStr"/>
    </row>
    <row r="548" ht="15" customHeight="1">
      <c r="A548" t="inlineStr">
        <is>
          <t>A 46000-2021</t>
        </is>
      </c>
      <c r="B548" s="1" t="n">
        <v>44441</v>
      </c>
      <c r="C548" s="1" t="n">
        <v>45970</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69109-2020</t>
        </is>
      </c>
      <c r="B549" s="1" t="n">
        <v>44188</v>
      </c>
      <c r="C549" s="1" t="n">
        <v>45970</v>
      </c>
      <c r="D549" t="inlineStr">
        <is>
          <t>SKÅNE LÄN</t>
        </is>
      </c>
      <c r="E549" t="inlineStr">
        <is>
          <t>HÄSSLEHOLM</t>
        </is>
      </c>
      <c r="G549" t="n">
        <v>1.5</v>
      </c>
      <c r="H549" t="n">
        <v>0</v>
      </c>
      <c r="I549" t="n">
        <v>0</v>
      </c>
      <c r="J549" t="n">
        <v>0</v>
      </c>
      <c r="K549" t="n">
        <v>0</v>
      </c>
      <c r="L549" t="n">
        <v>0</v>
      </c>
      <c r="M549" t="n">
        <v>0</v>
      </c>
      <c r="N549" t="n">
        <v>0</v>
      </c>
      <c r="O549" t="n">
        <v>0</v>
      </c>
      <c r="P549" t="n">
        <v>0</v>
      </c>
      <c r="Q549" t="n">
        <v>0</v>
      </c>
      <c r="R549" s="2" t="inlineStr"/>
    </row>
    <row r="550" ht="15" customHeight="1">
      <c r="A550" t="inlineStr">
        <is>
          <t>A 13087-2023</t>
        </is>
      </c>
      <c r="B550" s="1" t="n">
        <v>45001</v>
      </c>
      <c r="C550" s="1" t="n">
        <v>45970</v>
      </c>
      <c r="D550" t="inlineStr">
        <is>
          <t>SKÅNE LÄN</t>
        </is>
      </c>
      <c r="E550" t="inlineStr">
        <is>
          <t>HÄSSLEHOLM</t>
        </is>
      </c>
      <c r="G550" t="n">
        <v>3.8</v>
      </c>
      <c r="H550" t="n">
        <v>0</v>
      </c>
      <c r="I550" t="n">
        <v>0</v>
      </c>
      <c r="J550" t="n">
        <v>0</v>
      </c>
      <c r="K550" t="n">
        <v>0</v>
      </c>
      <c r="L550" t="n">
        <v>0</v>
      </c>
      <c r="M550" t="n">
        <v>0</v>
      </c>
      <c r="N550" t="n">
        <v>0</v>
      </c>
      <c r="O550" t="n">
        <v>0</v>
      </c>
      <c r="P550" t="n">
        <v>0</v>
      </c>
      <c r="Q550" t="n">
        <v>0</v>
      </c>
      <c r="R550" s="2" t="inlineStr"/>
    </row>
    <row r="551" ht="15" customHeight="1">
      <c r="A551" t="inlineStr">
        <is>
          <t>A 34299-2024</t>
        </is>
      </c>
      <c r="B551" s="1" t="n">
        <v>45524</v>
      </c>
      <c r="C551" s="1" t="n">
        <v>45970</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62171-2022</t>
        </is>
      </c>
      <c r="B552" s="1" t="n">
        <v>44915</v>
      </c>
      <c r="C552" s="1" t="n">
        <v>45970</v>
      </c>
      <c r="D552" t="inlineStr">
        <is>
          <t>SKÅNE LÄN</t>
        </is>
      </c>
      <c r="E552" t="inlineStr">
        <is>
          <t>HÄSSLEHOLM</t>
        </is>
      </c>
      <c r="F552" t="inlineStr">
        <is>
          <t>Kyrkan</t>
        </is>
      </c>
      <c r="G552" t="n">
        <v>9</v>
      </c>
      <c r="H552" t="n">
        <v>0</v>
      </c>
      <c r="I552" t="n">
        <v>0</v>
      </c>
      <c r="J552" t="n">
        <v>0</v>
      </c>
      <c r="K552" t="n">
        <v>0</v>
      </c>
      <c r="L552" t="n">
        <v>0</v>
      </c>
      <c r="M552" t="n">
        <v>0</v>
      </c>
      <c r="N552" t="n">
        <v>0</v>
      </c>
      <c r="O552" t="n">
        <v>0</v>
      </c>
      <c r="P552" t="n">
        <v>0</v>
      </c>
      <c r="Q552" t="n">
        <v>0</v>
      </c>
      <c r="R552" s="2" t="inlineStr"/>
    </row>
    <row r="553" ht="15" customHeight="1">
      <c r="A553" t="inlineStr">
        <is>
          <t>A 32100-2024</t>
        </is>
      </c>
      <c r="B553" s="1" t="n">
        <v>45511.41451388889</v>
      </c>
      <c r="C553" s="1" t="n">
        <v>45970</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33481-2024</t>
        </is>
      </c>
      <c r="B554" s="1" t="n">
        <v>45519</v>
      </c>
      <c r="C554" s="1" t="n">
        <v>45970</v>
      </c>
      <c r="D554" t="inlineStr">
        <is>
          <t>SKÅNE LÄN</t>
        </is>
      </c>
      <c r="E554" t="inlineStr">
        <is>
          <t>HÄSSLEHOLM</t>
        </is>
      </c>
      <c r="G554" t="n">
        <v>3</v>
      </c>
      <c r="H554" t="n">
        <v>0</v>
      </c>
      <c r="I554" t="n">
        <v>0</v>
      </c>
      <c r="J554" t="n">
        <v>0</v>
      </c>
      <c r="K554" t="n">
        <v>0</v>
      </c>
      <c r="L554" t="n">
        <v>0</v>
      </c>
      <c r="M554" t="n">
        <v>0</v>
      </c>
      <c r="N554" t="n">
        <v>0</v>
      </c>
      <c r="O554" t="n">
        <v>0</v>
      </c>
      <c r="P554" t="n">
        <v>0</v>
      </c>
      <c r="Q554" t="n">
        <v>0</v>
      </c>
      <c r="R554" s="2" t="inlineStr"/>
    </row>
    <row r="555" ht="15" customHeight="1">
      <c r="A555" t="inlineStr">
        <is>
          <t>A 60846-2022</t>
        </is>
      </c>
      <c r="B555" s="1" t="n">
        <v>44914</v>
      </c>
      <c r="C555" s="1" t="n">
        <v>45970</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48807-2021</t>
        </is>
      </c>
      <c r="B556" s="1" t="n">
        <v>44452</v>
      </c>
      <c r="C556" s="1" t="n">
        <v>45970</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52968-2022</t>
        </is>
      </c>
      <c r="B557" s="1" t="n">
        <v>44875</v>
      </c>
      <c r="C557" s="1" t="n">
        <v>45970</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54176-2022</t>
        </is>
      </c>
      <c r="B558" s="1" t="n">
        <v>44881</v>
      </c>
      <c r="C558" s="1" t="n">
        <v>45970</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16614-2025</t>
        </is>
      </c>
      <c r="B559" s="1" t="n">
        <v>45754.283125</v>
      </c>
      <c r="C559" s="1" t="n">
        <v>45970</v>
      </c>
      <c r="D559" t="inlineStr">
        <is>
          <t>SKÅNE LÄN</t>
        </is>
      </c>
      <c r="E559" t="inlineStr">
        <is>
          <t>HÄSSLEHOLM</t>
        </is>
      </c>
      <c r="G559" t="n">
        <v>1</v>
      </c>
      <c r="H559" t="n">
        <v>0</v>
      </c>
      <c r="I559" t="n">
        <v>0</v>
      </c>
      <c r="J559" t="n">
        <v>0</v>
      </c>
      <c r="K559" t="n">
        <v>0</v>
      </c>
      <c r="L559" t="n">
        <v>0</v>
      </c>
      <c r="M559" t="n">
        <v>0</v>
      </c>
      <c r="N559" t="n">
        <v>0</v>
      </c>
      <c r="O559" t="n">
        <v>0</v>
      </c>
      <c r="P559" t="n">
        <v>0</v>
      </c>
      <c r="Q559" t="n">
        <v>0</v>
      </c>
      <c r="R559" s="2" t="inlineStr"/>
    </row>
    <row r="560" ht="15" customHeight="1">
      <c r="A560" t="inlineStr">
        <is>
          <t>A 54408-2024</t>
        </is>
      </c>
      <c r="B560" s="1" t="n">
        <v>45617.47263888889</v>
      </c>
      <c r="C560" s="1" t="n">
        <v>45970</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23723-2023</t>
        </is>
      </c>
      <c r="B561" s="1" t="n">
        <v>45077</v>
      </c>
      <c r="C561" s="1" t="n">
        <v>45970</v>
      </c>
      <c r="D561" t="inlineStr">
        <is>
          <t>SKÅNE LÄN</t>
        </is>
      </c>
      <c r="E561" t="inlineStr">
        <is>
          <t>HÄSSLEHOLM</t>
        </is>
      </c>
      <c r="G561" t="n">
        <v>3.9</v>
      </c>
      <c r="H561" t="n">
        <v>0</v>
      </c>
      <c r="I561" t="n">
        <v>0</v>
      </c>
      <c r="J561" t="n">
        <v>0</v>
      </c>
      <c r="K561" t="n">
        <v>0</v>
      </c>
      <c r="L561" t="n">
        <v>0</v>
      </c>
      <c r="M561" t="n">
        <v>0</v>
      </c>
      <c r="N561" t="n">
        <v>0</v>
      </c>
      <c r="O561" t="n">
        <v>0</v>
      </c>
      <c r="P561" t="n">
        <v>0</v>
      </c>
      <c r="Q561" t="n">
        <v>0</v>
      </c>
      <c r="R561" s="2" t="inlineStr"/>
    </row>
    <row r="562" ht="15" customHeight="1">
      <c r="A562" t="inlineStr">
        <is>
          <t>A 47394-2025</t>
        </is>
      </c>
      <c r="B562" s="1" t="n">
        <v>45930</v>
      </c>
      <c r="C562" s="1" t="n">
        <v>45970</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14008-2023</t>
        </is>
      </c>
      <c r="B563" s="1" t="n">
        <v>45008.56725694444</v>
      </c>
      <c r="C563" s="1" t="n">
        <v>45970</v>
      </c>
      <c r="D563" t="inlineStr">
        <is>
          <t>SKÅNE LÄN</t>
        </is>
      </c>
      <c r="E563" t="inlineStr">
        <is>
          <t>HÄSSLEHOLM</t>
        </is>
      </c>
      <c r="G563" t="n">
        <v>3.3</v>
      </c>
      <c r="H563" t="n">
        <v>0</v>
      </c>
      <c r="I563" t="n">
        <v>0</v>
      </c>
      <c r="J563" t="n">
        <v>0</v>
      </c>
      <c r="K563" t="n">
        <v>0</v>
      </c>
      <c r="L563" t="n">
        <v>0</v>
      </c>
      <c r="M563" t="n">
        <v>0</v>
      </c>
      <c r="N563" t="n">
        <v>0</v>
      </c>
      <c r="O563" t="n">
        <v>0</v>
      </c>
      <c r="P563" t="n">
        <v>0</v>
      </c>
      <c r="Q563" t="n">
        <v>0</v>
      </c>
      <c r="R563" s="2" t="inlineStr"/>
    </row>
    <row r="564" ht="15" customHeight="1">
      <c r="A564" t="inlineStr">
        <is>
          <t>A 20493-2024</t>
        </is>
      </c>
      <c r="B564" s="1" t="n">
        <v>45435</v>
      </c>
      <c r="C564" s="1" t="n">
        <v>45970</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13851-2025</t>
        </is>
      </c>
      <c r="B565" s="1" t="n">
        <v>45737.56777777777</v>
      </c>
      <c r="C565" s="1" t="n">
        <v>45970</v>
      </c>
      <c r="D565" t="inlineStr">
        <is>
          <t>SKÅNE LÄN</t>
        </is>
      </c>
      <c r="E565" t="inlineStr">
        <is>
          <t>HÄSSLEHOLM</t>
        </is>
      </c>
      <c r="G565" t="n">
        <v>3</v>
      </c>
      <c r="H565" t="n">
        <v>0</v>
      </c>
      <c r="I565" t="n">
        <v>0</v>
      </c>
      <c r="J565" t="n">
        <v>0</v>
      </c>
      <c r="K565" t="n">
        <v>0</v>
      </c>
      <c r="L565" t="n">
        <v>0</v>
      </c>
      <c r="M565" t="n">
        <v>0</v>
      </c>
      <c r="N565" t="n">
        <v>0</v>
      </c>
      <c r="O565" t="n">
        <v>0</v>
      </c>
      <c r="P565" t="n">
        <v>0</v>
      </c>
      <c r="Q565" t="n">
        <v>0</v>
      </c>
      <c r="R565" s="2" t="inlineStr"/>
    </row>
    <row r="566" ht="15" customHeight="1">
      <c r="A566" t="inlineStr">
        <is>
          <t>A 62167-2022</t>
        </is>
      </c>
      <c r="B566" s="1" t="n">
        <v>44915</v>
      </c>
      <c r="C566" s="1" t="n">
        <v>45970</v>
      </c>
      <c r="D566" t="inlineStr">
        <is>
          <t>SKÅNE LÄN</t>
        </is>
      </c>
      <c r="E566" t="inlineStr">
        <is>
          <t>HÄSSLEHOLM</t>
        </is>
      </c>
      <c r="F566" t="inlineStr">
        <is>
          <t>Kyrkan</t>
        </is>
      </c>
      <c r="G566" t="n">
        <v>3.1</v>
      </c>
      <c r="H566" t="n">
        <v>0</v>
      </c>
      <c r="I566" t="n">
        <v>0</v>
      </c>
      <c r="J566" t="n">
        <v>0</v>
      </c>
      <c r="K566" t="n">
        <v>0</v>
      </c>
      <c r="L566" t="n">
        <v>0</v>
      </c>
      <c r="M566" t="n">
        <v>0</v>
      </c>
      <c r="N566" t="n">
        <v>0</v>
      </c>
      <c r="O566" t="n">
        <v>0</v>
      </c>
      <c r="P566" t="n">
        <v>0</v>
      </c>
      <c r="Q566" t="n">
        <v>0</v>
      </c>
      <c r="R566" s="2" t="inlineStr"/>
    </row>
    <row r="567" ht="15" customHeight="1">
      <c r="A567" t="inlineStr">
        <is>
          <t>A 4945-2022</t>
        </is>
      </c>
      <c r="B567" s="1" t="n">
        <v>44593</v>
      </c>
      <c r="C567" s="1" t="n">
        <v>45970</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47422-2025</t>
        </is>
      </c>
      <c r="B568" s="1" t="n">
        <v>45930</v>
      </c>
      <c r="C568" s="1" t="n">
        <v>45970</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62234-2022</t>
        </is>
      </c>
      <c r="B569" s="1" t="n">
        <v>44922</v>
      </c>
      <c r="C569" s="1" t="n">
        <v>45970</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44741-2023</t>
        </is>
      </c>
      <c r="B570" s="1" t="n">
        <v>45190.38804398148</v>
      </c>
      <c r="C570" s="1" t="n">
        <v>45970</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41874-2024</t>
        </is>
      </c>
      <c r="B571" s="1" t="n">
        <v>45561</v>
      </c>
      <c r="C571" s="1" t="n">
        <v>45970</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47248-2023</t>
        </is>
      </c>
      <c r="B572" s="1" t="n">
        <v>45202</v>
      </c>
      <c r="C572" s="1" t="n">
        <v>45970</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9397-2025</t>
        </is>
      </c>
      <c r="B573" s="1" t="n">
        <v>45715.37361111111</v>
      </c>
      <c r="C573" s="1" t="n">
        <v>45970</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11798-2022</t>
        </is>
      </c>
      <c r="B574" s="1" t="n">
        <v>44634.64900462963</v>
      </c>
      <c r="C574" s="1" t="n">
        <v>45970</v>
      </c>
      <c r="D574" t="inlineStr">
        <is>
          <t>SKÅNE LÄN</t>
        </is>
      </c>
      <c r="E574" t="inlineStr">
        <is>
          <t>HÄSSLEHOLM</t>
        </is>
      </c>
      <c r="G574" t="n">
        <v>2.8</v>
      </c>
      <c r="H574" t="n">
        <v>0</v>
      </c>
      <c r="I574" t="n">
        <v>0</v>
      </c>
      <c r="J574" t="n">
        <v>0</v>
      </c>
      <c r="K574" t="n">
        <v>0</v>
      </c>
      <c r="L574" t="n">
        <v>0</v>
      </c>
      <c r="M574" t="n">
        <v>0</v>
      </c>
      <c r="N574" t="n">
        <v>0</v>
      </c>
      <c r="O574" t="n">
        <v>0</v>
      </c>
      <c r="P574" t="n">
        <v>0</v>
      </c>
      <c r="Q574" t="n">
        <v>0</v>
      </c>
      <c r="R574" s="2" t="inlineStr"/>
    </row>
    <row r="575" ht="15" customHeight="1">
      <c r="A575" t="inlineStr">
        <is>
          <t>A 38306-2022</t>
        </is>
      </c>
      <c r="B575" s="1" t="n">
        <v>44812.57515046297</v>
      </c>
      <c r="C575" s="1" t="n">
        <v>45970</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6583-2021</t>
        </is>
      </c>
      <c r="B576" s="1" t="n">
        <v>44236</v>
      </c>
      <c r="C576" s="1" t="n">
        <v>45970</v>
      </c>
      <c r="D576" t="inlineStr">
        <is>
          <t>SKÅNE LÄN</t>
        </is>
      </c>
      <c r="E576" t="inlineStr">
        <is>
          <t>HÄSSLEHOLM</t>
        </is>
      </c>
      <c r="G576" t="n">
        <v>1.6</v>
      </c>
      <c r="H576" t="n">
        <v>0</v>
      </c>
      <c r="I576" t="n">
        <v>0</v>
      </c>
      <c r="J576" t="n">
        <v>0</v>
      </c>
      <c r="K576" t="n">
        <v>0</v>
      </c>
      <c r="L576" t="n">
        <v>0</v>
      </c>
      <c r="M576" t="n">
        <v>0</v>
      </c>
      <c r="N576" t="n">
        <v>0</v>
      </c>
      <c r="O576" t="n">
        <v>0</v>
      </c>
      <c r="P576" t="n">
        <v>0</v>
      </c>
      <c r="Q576" t="n">
        <v>0</v>
      </c>
      <c r="R576" s="2" t="inlineStr"/>
    </row>
    <row r="577" ht="15" customHeight="1">
      <c r="A577" t="inlineStr">
        <is>
          <t>A 50899-2024</t>
        </is>
      </c>
      <c r="B577" s="1" t="n">
        <v>45602.68584490741</v>
      </c>
      <c r="C577" s="1" t="n">
        <v>45970</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35845-2022</t>
        </is>
      </c>
      <c r="B578" s="1" t="n">
        <v>44802</v>
      </c>
      <c r="C578" s="1" t="n">
        <v>45970</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13890-2024</t>
        </is>
      </c>
      <c r="B579" s="1" t="n">
        <v>45391</v>
      </c>
      <c r="C579" s="1" t="n">
        <v>45970</v>
      </c>
      <c r="D579" t="inlineStr">
        <is>
          <t>SKÅNE LÄN</t>
        </is>
      </c>
      <c r="E579" t="inlineStr">
        <is>
          <t>HÄSSLEHOLM</t>
        </is>
      </c>
      <c r="F579" t="inlineStr">
        <is>
          <t>Kommuner</t>
        </is>
      </c>
      <c r="G579" t="n">
        <v>1.4</v>
      </c>
      <c r="H579" t="n">
        <v>0</v>
      </c>
      <c r="I579" t="n">
        <v>0</v>
      </c>
      <c r="J579" t="n">
        <v>0</v>
      </c>
      <c r="K579" t="n">
        <v>0</v>
      </c>
      <c r="L579" t="n">
        <v>0</v>
      </c>
      <c r="M579" t="n">
        <v>0</v>
      </c>
      <c r="N579" t="n">
        <v>0</v>
      </c>
      <c r="O579" t="n">
        <v>0</v>
      </c>
      <c r="P579" t="n">
        <v>0</v>
      </c>
      <c r="Q579" t="n">
        <v>0</v>
      </c>
      <c r="R579" s="2" t="inlineStr"/>
    </row>
    <row r="580" ht="15" customHeight="1">
      <c r="A580" t="inlineStr">
        <is>
          <t>A 39223-2024</t>
        </is>
      </c>
      <c r="B580" s="1" t="n">
        <v>45550</v>
      </c>
      <c r="C580" s="1" t="n">
        <v>45970</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48624-2021</t>
        </is>
      </c>
      <c r="B581" s="1" t="n">
        <v>44452</v>
      </c>
      <c r="C581" s="1" t="n">
        <v>45970</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6122-2021</t>
        </is>
      </c>
      <c r="B582" s="1" t="n">
        <v>44232.55091435185</v>
      </c>
      <c r="C582" s="1" t="n">
        <v>45970</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13932-2023</t>
        </is>
      </c>
      <c r="B583" s="1" t="n">
        <v>45008.43935185186</v>
      </c>
      <c r="C583" s="1" t="n">
        <v>45970</v>
      </c>
      <c r="D583" t="inlineStr">
        <is>
          <t>SKÅNE LÄN</t>
        </is>
      </c>
      <c r="E583" t="inlineStr">
        <is>
          <t>HÄSSLEHOLM</t>
        </is>
      </c>
      <c r="G583" t="n">
        <v>3.3</v>
      </c>
      <c r="H583" t="n">
        <v>0</v>
      </c>
      <c r="I583" t="n">
        <v>0</v>
      </c>
      <c r="J583" t="n">
        <v>0</v>
      </c>
      <c r="K583" t="n">
        <v>0</v>
      </c>
      <c r="L583" t="n">
        <v>0</v>
      </c>
      <c r="M583" t="n">
        <v>0</v>
      </c>
      <c r="N583" t="n">
        <v>0</v>
      </c>
      <c r="O583" t="n">
        <v>0</v>
      </c>
      <c r="P583" t="n">
        <v>0</v>
      </c>
      <c r="Q583" t="n">
        <v>0</v>
      </c>
      <c r="R583" s="2" t="inlineStr"/>
    </row>
    <row r="584" ht="15" customHeight="1">
      <c r="A584" t="inlineStr">
        <is>
          <t>A 12503-2022</t>
        </is>
      </c>
      <c r="B584" s="1" t="n">
        <v>44638</v>
      </c>
      <c r="C584" s="1" t="n">
        <v>45970</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32008-2024</t>
        </is>
      </c>
      <c r="B585" s="1" t="n">
        <v>45510</v>
      </c>
      <c r="C585" s="1" t="n">
        <v>45970</v>
      </c>
      <c r="D585" t="inlineStr">
        <is>
          <t>SKÅNE LÄN</t>
        </is>
      </c>
      <c r="E585" t="inlineStr">
        <is>
          <t>HÄSSLEHOLM</t>
        </is>
      </c>
      <c r="G585" t="n">
        <v>5.1</v>
      </c>
      <c r="H585" t="n">
        <v>0</v>
      </c>
      <c r="I585" t="n">
        <v>0</v>
      </c>
      <c r="J585" t="n">
        <v>0</v>
      </c>
      <c r="K585" t="n">
        <v>0</v>
      </c>
      <c r="L585" t="n">
        <v>0</v>
      </c>
      <c r="M585" t="n">
        <v>0</v>
      </c>
      <c r="N585" t="n">
        <v>0</v>
      </c>
      <c r="O585" t="n">
        <v>0</v>
      </c>
      <c r="P585" t="n">
        <v>0</v>
      </c>
      <c r="Q585" t="n">
        <v>0</v>
      </c>
      <c r="R585" s="2" t="inlineStr"/>
    </row>
    <row r="586" ht="15" customHeight="1">
      <c r="A586" t="inlineStr">
        <is>
          <t>A 17138-2025</t>
        </is>
      </c>
      <c r="B586" s="1" t="n">
        <v>45755.80378472222</v>
      </c>
      <c r="C586" s="1" t="n">
        <v>45970</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15512-2025</t>
        </is>
      </c>
      <c r="B587" s="1" t="n">
        <v>45747</v>
      </c>
      <c r="C587" s="1" t="n">
        <v>45970</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10802-2024</t>
        </is>
      </c>
      <c r="B588" s="1" t="n">
        <v>45369</v>
      </c>
      <c r="C588" s="1" t="n">
        <v>45970</v>
      </c>
      <c r="D588" t="inlineStr">
        <is>
          <t>SKÅNE LÄN</t>
        </is>
      </c>
      <c r="E588" t="inlineStr">
        <is>
          <t>HÄSSLEHOLM</t>
        </is>
      </c>
      <c r="G588" t="n">
        <v>3.4</v>
      </c>
      <c r="H588" t="n">
        <v>0</v>
      </c>
      <c r="I588" t="n">
        <v>0</v>
      </c>
      <c r="J588" t="n">
        <v>0</v>
      </c>
      <c r="K588" t="n">
        <v>0</v>
      </c>
      <c r="L588" t="n">
        <v>0</v>
      </c>
      <c r="M588" t="n">
        <v>0</v>
      </c>
      <c r="N588" t="n">
        <v>0</v>
      </c>
      <c r="O588" t="n">
        <v>0</v>
      </c>
      <c r="P588" t="n">
        <v>0</v>
      </c>
      <c r="Q588" t="n">
        <v>0</v>
      </c>
      <c r="R588" s="2" t="inlineStr"/>
    </row>
    <row r="589" ht="15" customHeight="1">
      <c r="A589" t="inlineStr">
        <is>
          <t>A 23950-2023</t>
        </is>
      </c>
      <c r="B589" s="1" t="n">
        <v>45078.61771990741</v>
      </c>
      <c r="C589" s="1" t="n">
        <v>45970</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23952-2023</t>
        </is>
      </c>
      <c r="B590" s="1" t="n">
        <v>45078.62064814815</v>
      </c>
      <c r="C590" s="1" t="n">
        <v>45970</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47450-2025</t>
        </is>
      </c>
      <c r="B591" s="1" t="n">
        <v>45930</v>
      </c>
      <c r="C591" s="1" t="n">
        <v>45970</v>
      </c>
      <c r="D591" t="inlineStr">
        <is>
          <t>SKÅNE LÄN</t>
        </is>
      </c>
      <c r="E591" t="inlineStr">
        <is>
          <t>HÄSSLEHOLM</t>
        </is>
      </c>
      <c r="G591" t="n">
        <v>3.2</v>
      </c>
      <c r="H591" t="n">
        <v>0</v>
      </c>
      <c r="I591" t="n">
        <v>0</v>
      </c>
      <c r="J591" t="n">
        <v>0</v>
      </c>
      <c r="K591" t="n">
        <v>0</v>
      </c>
      <c r="L591" t="n">
        <v>0</v>
      </c>
      <c r="M591" t="n">
        <v>0</v>
      </c>
      <c r="N591" t="n">
        <v>0</v>
      </c>
      <c r="O591" t="n">
        <v>0</v>
      </c>
      <c r="P591" t="n">
        <v>0</v>
      </c>
      <c r="Q591" t="n">
        <v>0</v>
      </c>
      <c r="R591" s="2" t="inlineStr"/>
    </row>
    <row r="592" ht="15" customHeight="1">
      <c r="A592" t="inlineStr">
        <is>
          <t>A 48046-2023</t>
        </is>
      </c>
      <c r="B592" s="1" t="n">
        <v>45204.85201388889</v>
      </c>
      <c r="C592" s="1" t="n">
        <v>45970</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14700-2023</t>
        </is>
      </c>
      <c r="B593" s="1" t="n">
        <v>45014.38376157408</v>
      </c>
      <c r="C593" s="1" t="n">
        <v>45970</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11607-2025</t>
        </is>
      </c>
      <c r="B594" s="1" t="n">
        <v>45727</v>
      </c>
      <c r="C594" s="1" t="n">
        <v>45970</v>
      </c>
      <c r="D594" t="inlineStr">
        <is>
          <t>SKÅNE LÄN</t>
        </is>
      </c>
      <c r="E594" t="inlineStr">
        <is>
          <t>HÄSSLEHOLM</t>
        </is>
      </c>
      <c r="G594" t="n">
        <v>4.1</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45970</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4579-2025</t>
        </is>
      </c>
      <c r="B596" s="1" t="n">
        <v>45687.5009375</v>
      </c>
      <c r="C596" s="1" t="n">
        <v>45970</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13808-2021</t>
        </is>
      </c>
      <c r="B597" s="1" t="n">
        <v>44276</v>
      </c>
      <c r="C597" s="1" t="n">
        <v>45970</v>
      </c>
      <c r="D597" t="inlineStr">
        <is>
          <t>SKÅNE LÄN</t>
        </is>
      </c>
      <c r="E597" t="inlineStr">
        <is>
          <t>HÄSSLEHOLM</t>
        </is>
      </c>
      <c r="G597" t="n">
        <v>10.3</v>
      </c>
      <c r="H597" t="n">
        <v>0</v>
      </c>
      <c r="I597" t="n">
        <v>0</v>
      </c>
      <c r="J597" t="n">
        <v>0</v>
      </c>
      <c r="K597" t="n">
        <v>0</v>
      </c>
      <c r="L597" t="n">
        <v>0</v>
      </c>
      <c r="M597" t="n">
        <v>0</v>
      </c>
      <c r="N597" t="n">
        <v>0</v>
      </c>
      <c r="O597" t="n">
        <v>0</v>
      </c>
      <c r="P597" t="n">
        <v>0</v>
      </c>
      <c r="Q597" t="n">
        <v>0</v>
      </c>
      <c r="R597" s="2" t="inlineStr"/>
    </row>
    <row r="598" ht="15" customHeight="1">
      <c r="A598" t="inlineStr">
        <is>
          <t>A 1344-2021</t>
        </is>
      </c>
      <c r="B598" s="1" t="n">
        <v>44208</v>
      </c>
      <c r="C598" s="1" t="n">
        <v>45970</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49106-2023</t>
        </is>
      </c>
      <c r="B599" s="1" t="n">
        <v>45210</v>
      </c>
      <c r="C599" s="1" t="n">
        <v>45970</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2144-2023</t>
        </is>
      </c>
      <c r="B600" s="1" t="n">
        <v>44940.79054398148</v>
      </c>
      <c r="C600" s="1" t="n">
        <v>45970</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58815-2023</t>
        </is>
      </c>
      <c r="B601" s="1" t="n">
        <v>45247</v>
      </c>
      <c r="C601" s="1" t="n">
        <v>45970</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18623-2023</t>
        </is>
      </c>
      <c r="B602" s="1" t="n">
        <v>45043</v>
      </c>
      <c r="C602" s="1" t="n">
        <v>45970</v>
      </c>
      <c r="D602" t="inlineStr">
        <is>
          <t>SKÅNE LÄN</t>
        </is>
      </c>
      <c r="E602" t="inlineStr">
        <is>
          <t>HÄSSLEHOLM</t>
        </is>
      </c>
      <c r="G602" t="n">
        <v>3.2</v>
      </c>
      <c r="H602" t="n">
        <v>0</v>
      </c>
      <c r="I602" t="n">
        <v>0</v>
      </c>
      <c r="J602" t="n">
        <v>0</v>
      </c>
      <c r="K602" t="n">
        <v>0</v>
      </c>
      <c r="L602" t="n">
        <v>0</v>
      </c>
      <c r="M602" t="n">
        <v>0</v>
      </c>
      <c r="N602" t="n">
        <v>0</v>
      </c>
      <c r="O602" t="n">
        <v>0</v>
      </c>
      <c r="P602" t="n">
        <v>0</v>
      </c>
      <c r="Q602" t="n">
        <v>0</v>
      </c>
      <c r="R602" s="2" t="inlineStr"/>
    </row>
    <row r="603" ht="15" customHeight="1">
      <c r="A603" t="inlineStr">
        <is>
          <t>A 47473-2025</t>
        </is>
      </c>
      <c r="B603" s="1" t="n">
        <v>45930.67763888889</v>
      </c>
      <c r="C603" s="1" t="n">
        <v>45970</v>
      </c>
      <c r="D603" t="inlineStr">
        <is>
          <t>SKÅNE LÄN</t>
        </is>
      </c>
      <c r="E603" t="inlineStr">
        <is>
          <t>HÄSSLEHOLM</t>
        </is>
      </c>
      <c r="G603" t="n">
        <v>4.7</v>
      </c>
      <c r="H603" t="n">
        <v>0</v>
      </c>
      <c r="I603" t="n">
        <v>0</v>
      </c>
      <c r="J603" t="n">
        <v>0</v>
      </c>
      <c r="K603" t="n">
        <v>0</v>
      </c>
      <c r="L603" t="n">
        <v>0</v>
      </c>
      <c r="M603" t="n">
        <v>0</v>
      </c>
      <c r="N603" t="n">
        <v>0</v>
      </c>
      <c r="O603" t="n">
        <v>0</v>
      </c>
      <c r="P603" t="n">
        <v>0</v>
      </c>
      <c r="Q603" t="n">
        <v>0</v>
      </c>
      <c r="R603" s="2" t="inlineStr"/>
    </row>
    <row r="604" ht="15" customHeight="1">
      <c r="A604" t="inlineStr">
        <is>
          <t>A 61680-2022</t>
        </is>
      </c>
      <c r="B604" s="1" t="n">
        <v>44917.36372685185</v>
      </c>
      <c r="C604" s="1" t="n">
        <v>45970</v>
      </c>
      <c r="D604" t="inlineStr">
        <is>
          <t>SKÅNE LÄN</t>
        </is>
      </c>
      <c r="E604" t="inlineStr">
        <is>
          <t>HÄSSLEHOLM</t>
        </is>
      </c>
      <c r="G604" t="n">
        <v>2.4</v>
      </c>
      <c r="H604" t="n">
        <v>0</v>
      </c>
      <c r="I604" t="n">
        <v>0</v>
      </c>
      <c r="J604" t="n">
        <v>0</v>
      </c>
      <c r="K604" t="n">
        <v>0</v>
      </c>
      <c r="L604" t="n">
        <v>0</v>
      </c>
      <c r="M604" t="n">
        <v>0</v>
      </c>
      <c r="N604" t="n">
        <v>0</v>
      </c>
      <c r="O604" t="n">
        <v>0</v>
      </c>
      <c r="P604" t="n">
        <v>0</v>
      </c>
      <c r="Q604" t="n">
        <v>0</v>
      </c>
      <c r="R604" s="2" t="inlineStr"/>
    </row>
    <row r="605" ht="15" customHeight="1">
      <c r="A605" t="inlineStr">
        <is>
          <t>A 16550-2025</t>
        </is>
      </c>
      <c r="B605" s="1" t="n">
        <v>45751.69412037037</v>
      </c>
      <c r="C605" s="1" t="n">
        <v>45970</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10115-2024</t>
        </is>
      </c>
      <c r="B606" s="1" t="n">
        <v>45364.55339120371</v>
      </c>
      <c r="C606" s="1" t="n">
        <v>45970</v>
      </c>
      <c r="D606" t="inlineStr">
        <is>
          <t>SKÅNE LÄN</t>
        </is>
      </c>
      <c r="E606" t="inlineStr">
        <is>
          <t>HÄSSLEHOLM</t>
        </is>
      </c>
      <c r="G606" t="n">
        <v>7</v>
      </c>
      <c r="H606" t="n">
        <v>0</v>
      </c>
      <c r="I606" t="n">
        <v>0</v>
      </c>
      <c r="J606" t="n">
        <v>0</v>
      </c>
      <c r="K606" t="n">
        <v>0</v>
      </c>
      <c r="L606" t="n">
        <v>0</v>
      </c>
      <c r="M606" t="n">
        <v>0</v>
      </c>
      <c r="N606" t="n">
        <v>0</v>
      </c>
      <c r="O606" t="n">
        <v>0</v>
      </c>
      <c r="P606" t="n">
        <v>0</v>
      </c>
      <c r="Q606" t="n">
        <v>0</v>
      </c>
      <c r="R606" s="2" t="inlineStr"/>
    </row>
    <row r="607" ht="15" customHeight="1">
      <c r="A607" t="inlineStr">
        <is>
          <t>A 16285-2025</t>
        </is>
      </c>
      <c r="B607" s="1" t="n">
        <v>45751.30045138889</v>
      </c>
      <c r="C607" s="1" t="n">
        <v>45970</v>
      </c>
      <c r="D607" t="inlineStr">
        <is>
          <t>SKÅNE LÄN</t>
        </is>
      </c>
      <c r="E607" t="inlineStr">
        <is>
          <t>HÄSSLEHOLM</t>
        </is>
      </c>
      <c r="G607" t="n">
        <v>2</v>
      </c>
      <c r="H607" t="n">
        <v>0</v>
      </c>
      <c r="I607" t="n">
        <v>0</v>
      </c>
      <c r="J607" t="n">
        <v>0</v>
      </c>
      <c r="K607" t="n">
        <v>0</v>
      </c>
      <c r="L607" t="n">
        <v>0</v>
      </c>
      <c r="M607" t="n">
        <v>0</v>
      </c>
      <c r="N607" t="n">
        <v>0</v>
      </c>
      <c r="O607" t="n">
        <v>0</v>
      </c>
      <c r="P607" t="n">
        <v>0</v>
      </c>
      <c r="Q607" t="n">
        <v>0</v>
      </c>
      <c r="R607" s="2" t="inlineStr"/>
    </row>
    <row r="608" ht="15" customHeight="1">
      <c r="A608" t="inlineStr">
        <is>
          <t>A 5780-2024</t>
        </is>
      </c>
      <c r="B608" s="1" t="n">
        <v>45335.41983796296</v>
      </c>
      <c r="C608" s="1" t="n">
        <v>45970</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3663-2024</t>
        </is>
      </c>
      <c r="B609" s="1" t="n">
        <v>45321.34775462963</v>
      </c>
      <c r="C609" s="1" t="n">
        <v>45970</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9697-2023</t>
        </is>
      </c>
      <c r="B610" s="1" t="n">
        <v>44984</v>
      </c>
      <c r="C610" s="1" t="n">
        <v>45970</v>
      </c>
      <c r="D610" t="inlineStr">
        <is>
          <t>SKÅNE LÄN</t>
        </is>
      </c>
      <c r="E610" t="inlineStr">
        <is>
          <t>HÄSSLEHOLM</t>
        </is>
      </c>
      <c r="G610" t="n">
        <v>0.3</v>
      </c>
      <c r="H610" t="n">
        <v>0</v>
      </c>
      <c r="I610" t="n">
        <v>0</v>
      </c>
      <c r="J610" t="n">
        <v>0</v>
      </c>
      <c r="K610" t="n">
        <v>0</v>
      </c>
      <c r="L610" t="n">
        <v>0</v>
      </c>
      <c r="M610" t="n">
        <v>0</v>
      </c>
      <c r="N610" t="n">
        <v>0</v>
      </c>
      <c r="O610" t="n">
        <v>0</v>
      </c>
      <c r="P610" t="n">
        <v>0</v>
      </c>
      <c r="Q610" t="n">
        <v>0</v>
      </c>
      <c r="R610" s="2" t="inlineStr"/>
    </row>
    <row r="611" ht="15" customHeight="1">
      <c r="A611" t="inlineStr">
        <is>
          <t>A 39366-2025</t>
        </is>
      </c>
      <c r="B611" s="1" t="n">
        <v>45889</v>
      </c>
      <c r="C611" s="1" t="n">
        <v>45970</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47352-2025</t>
        </is>
      </c>
      <c r="B612" s="1" t="n">
        <v>45930</v>
      </c>
      <c r="C612" s="1" t="n">
        <v>45970</v>
      </c>
      <c r="D612" t="inlineStr">
        <is>
          <t>SKÅNE LÄN</t>
        </is>
      </c>
      <c r="E612" t="inlineStr">
        <is>
          <t>HÄSSLEHOLM</t>
        </is>
      </c>
      <c r="G612" t="n">
        <v>16.6</v>
      </c>
      <c r="H612" t="n">
        <v>0</v>
      </c>
      <c r="I612" t="n">
        <v>0</v>
      </c>
      <c r="J612" t="n">
        <v>0</v>
      </c>
      <c r="K612" t="n">
        <v>0</v>
      </c>
      <c r="L612" t="n">
        <v>0</v>
      </c>
      <c r="M612" t="n">
        <v>0</v>
      </c>
      <c r="N612" t="n">
        <v>0</v>
      </c>
      <c r="O612" t="n">
        <v>0</v>
      </c>
      <c r="P612" t="n">
        <v>0</v>
      </c>
      <c r="Q612" t="n">
        <v>0</v>
      </c>
      <c r="R612" s="2" t="inlineStr"/>
    </row>
    <row r="613" ht="15" customHeight="1">
      <c r="A613" t="inlineStr">
        <is>
          <t>A 67801-2021</t>
        </is>
      </c>
      <c r="B613" s="1" t="n">
        <v>44525</v>
      </c>
      <c r="C613" s="1" t="n">
        <v>45970</v>
      </c>
      <c r="D613" t="inlineStr">
        <is>
          <t>SKÅNE LÄN</t>
        </is>
      </c>
      <c r="E613" t="inlineStr">
        <is>
          <t>HÄSSLEHOLM</t>
        </is>
      </c>
      <c r="G613" t="n">
        <v>2.2</v>
      </c>
      <c r="H613" t="n">
        <v>0</v>
      </c>
      <c r="I613" t="n">
        <v>0</v>
      </c>
      <c r="J613" t="n">
        <v>0</v>
      </c>
      <c r="K613" t="n">
        <v>0</v>
      </c>
      <c r="L613" t="n">
        <v>0</v>
      </c>
      <c r="M613" t="n">
        <v>0</v>
      </c>
      <c r="N613" t="n">
        <v>0</v>
      </c>
      <c r="O613" t="n">
        <v>0</v>
      </c>
      <c r="P613" t="n">
        <v>0</v>
      </c>
      <c r="Q613" t="n">
        <v>0</v>
      </c>
      <c r="R613" s="2" t="inlineStr"/>
    </row>
    <row r="614" ht="15" customHeight="1">
      <c r="A614" t="inlineStr">
        <is>
          <t>A 7771-2021</t>
        </is>
      </c>
      <c r="B614" s="1" t="n">
        <v>44242</v>
      </c>
      <c r="C614" s="1" t="n">
        <v>45970</v>
      </c>
      <c r="D614" t="inlineStr">
        <is>
          <t>SKÅNE LÄN</t>
        </is>
      </c>
      <c r="E614" t="inlineStr">
        <is>
          <t>HÄSSLEHOLM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27478-2023</t>
        </is>
      </c>
      <c r="B615" s="1" t="n">
        <v>45092</v>
      </c>
      <c r="C615" s="1" t="n">
        <v>45970</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1170-2025</t>
        </is>
      </c>
      <c r="B616" s="1" t="n">
        <v>45667.29226851852</v>
      </c>
      <c r="C616" s="1" t="n">
        <v>45970</v>
      </c>
      <c r="D616" t="inlineStr">
        <is>
          <t>SKÅNE LÄN</t>
        </is>
      </c>
      <c r="E616" t="inlineStr">
        <is>
          <t>HÄSSLEHOLM</t>
        </is>
      </c>
      <c r="G616" t="n">
        <v>4.3</v>
      </c>
      <c r="H616" t="n">
        <v>0</v>
      </c>
      <c r="I616" t="n">
        <v>0</v>
      </c>
      <c r="J616" t="n">
        <v>0</v>
      </c>
      <c r="K616" t="n">
        <v>0</v>
      </c>
      <c r="L616" t="n">
        <v>0</v>
      </c>
      <c r="M616" t="n">
        <v>0</v>
      </c>
      <c r="N616" t="n">
        <v>0</v>
      </c>
      <c r="O616" t="n">
        <v>0</v>
      </c>
      <c r="P616" t="n">
        <v>0</v>
      </c>
      <c r="Q616" t="n">
        <v>0</v>
      </c>
      <c r="R616" s="2" t="inlineStr"/>
    </row>
    <row r="617" ht="15" customHeight="1">
      <c r="A617" t="inlineStr">
        <is>
          <t>A 57749-2023</t>
        </is>
      </c>
      <c r="B617" s="1" t="n">
        <v>45246</v>
      </c>
      <c r="C617" s="1" t="n">
        <v>45970</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45398-2024</t>
        </is>
      </c>
      <c r="B618" s="1" t="n">
        <v>45576.56260416667</v>
      </c>
      <c r="C618" s="1" t="n">
        <v>45970</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4809-2025</t>
        </is>
      </c>
      <c r="B619" s="1" t="n">
        <v>45688.60148148148</v>
      </c>
      <c r="C619" s="1" t="n">
        <v>45970</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44940-2023</t>
        </is>
      </c>
      <c r="B620" s="1" t="n">
        <v>45190.68653935185</v>
      </c>
      <c r="C620" s="1" t="n">
        <v>45970</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15897-2025</t>
        </is>
      </c>
      <c r="B621" s="1" t="n">
        <v>45749.41598379629</v>
      </c>
      <c r="C621" s="1" t="n">
        <v>45970</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59030-2024</t>
        </is>
      </c>
      <c r="B622" s="1" t="n">
        <v>45636.68916666666</v>
      </c>
      <c r="C622" s="1" t="n">
        <v>45970</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18800-2023</t>
        </is>
      </c>
      <c r="B623" s="1" t="n">
        <v>45044</v>
      </c>
      <c r="C623" s="1" t="n">
        <v>45970</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25206-2023</t>
        </is>
      </c>
      <c r="B624" s="1" t="n">
        <v>45086.59318287037</v>
      </c>
      <c r="C624" s="1" t="n">
        <v>45970</v>
      </c>
      <c r="D624" t="inlineStr">
        <is>
          <t>SKÅNE LÄN</t>
        </is>
      </c>
      <c r="E624" t="inlineStr">
        <is>
          <t>HÄSSLEHOLM</t>
        </is>
      </c>
      <c r="G624" t="n">
        <v>2.9</v>
      </c>
      <c r="H624" t="n">
        <v>0</v>
      </c>
      <c r="I624" t="n">
        <v>0</v>
      </c>
      <c r="J624" t="n">
        <v>0</v>
      </c>
      <c r="K624" t="n">
        <v>0</v>
      </c>
      <c r="L624" t="n">
        <v>0</v>
      </c>
      <c r="M624" t="n">
        <v>0</v>
      </c>
      <c r="N624" t="n">
        <v>0</v>
      </c>
      <c r="O624" t="n">
        <v>0</v>
      </c>
      <c r="P624" t="n">
        <v>0</v>
      </c>
      <c r="Q624" t="n">
        <v>0</v>
      </c>
      <c r="R624" s="2" t="inlineStr"/>
    </row>
    <row r="625" ht="15" customHeight="1">
      <c r="A625" t="inlineStr">
        <is>
          <t>A 61504-2022</t>
        </is>
      </c>
      <c r="B625" s="1" t="n">
        <v>44910</v>
      </c>
      <c r="C625" s="1" t="n">
        <v>45970</v>
      </c>
      <c r="D625" t="inlineStr">
        <is>
          <t>SKÅNE LÄN</t>
        </is>
      </c>
      <c r="E625" t="inlineStr">
        <is>
          <t>HÄSSLEHOLM</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5116-2023</t>
        </is>
      </c>
      <c r="B626" s="1" t="n">
        <v>44958.67546296296</v>
      </c>
      <c r="C626" s="1" t="n">
        <v>45970</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29275-2023</t>
        </is>
      </c>
      <c r="B627" s="1" t="n">
        <v>45105</v>
      </c>
      <c r="C627" s="1" t="n">
        <v>45970</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27502-2023</t>
        </is>
      </c>
      <c r="B628" s="1" t="n">
        <v>45092</v>
      </c>
      <c r="C628" s="1" t="n">
        <v>45970</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54473-2023</t>
        </is>
      </c>
      <c r="B629" s="1" t="n">
        <v>45233</v>
      </c>
      <c r="C629" s="1" t="n">
        <v>45970</v>
      </c>
      <c r="D629" t="inlineStr">
        <is>
          <t>SKÅNE LÄN</t>
        </is>
      </c>
      <c r="E629" t="inlineStr">
        <is>
          <t>HÄSSLEHOLM</t>
        </is>
      </c>
      <c r="G629" t="n">
        <v>24.5</v>
      </c>
      <c r="H629" t="n">
        <v>0</v>
      </c>
      <c r="I629" t="n">
        <v>0</v>
      </c>
      <c r="J629" t="n">
        <v>0</v>
      </c>
      <c r="K629" t="n">
        <v>0</v>
      </c>
      <c r="L629" t="n">
        <v>0</v>
      </c>
      <c r="M629" t="n">
        <v>0</v>
      </c>
      <c r="N629" t="n">
        <v>0</v>
      </c>
      <c r="O629" t="n">
        <v>0</v>
      </c>
      <c r="P629" t="n">
        <v>0</v>
      </c>
      <c r="Q629" t="n">
        <v>0</v>
      </c>
      <c r="R629" s="2" t="inlineStr"/>
    </row>
    <row r="630" ht="15" customHeight="1">
      <c r="A630" t="inlineStr">
        <is>
          <t>A 10220-2023</t>
        </is>
      </c>
      <c r="B630" s="1" t="n">
        <v>44986.60916666667</v>
      </c>
      <c r="C630" s="1" t="n">
        <v>45970</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26641-2023</t>
        </is>
      </c>
      <c r="B631" s="1" t="n">
        <v>45092.89619212963</v>
      </c>
      <c r="C631" s="1" t="n">
        <v>45970</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7481-2023</t>
        </is>
      </c>
      <c r="B632" s="1" t="n">
        <v>44971</v>
      </c>
      <c r="C632" s="1" t="n">
        <v>45970</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35150-2023</t>
        </is>
      </c>
      <c r="B633" s="1" t="n">
        <v>45145</v>
      </c>
      <c r="C633" s="1" t="n">
        <v>45970</v>
      </c>
      <c r="D633" t="inlineStr">
        <is>
          <t>SKÅNE LÄN</t>
        </is>
      </c>
      <c r="E633" t="inlineStr">
        <is>
          <t>HÄSSLEHOLM</t>
        </is>
      </c>
      <c r="G633" t="n">
        <v>4.9</v>
      </c>
      <c r="H633" t="n">
        <v>0</v>
      </c>
      <c r="I633" t="n">
        <v>0</v>
      </c>
      <c r="J633" t="n">
        <v>0</v>
      </c>
      <c r="K633" t="n">
        <v>0</v>
      </c>
      <c r="L633" t="n">
        <v>0</v>
      </c>
      <c r="M633" t="n">
        <v>0</v>
      </c>
      <c r="N633" t="n">
        <v>0</v>
      </c>
      <c r="O633" t="n">
        <v>0</v>
      </c>
      <c r="P633" t="n">
        <v>0</v>
      </c>
      <c r="Q633" t="n">
        <v>0</v>
      </c>
      <c r="R633" s="2" t="inlineStr"/>
    </row>
    <row r="634" ht="15" customHeight="1">
      <c r="A634" t="inlineStr">
        <is>
          <t>A 51752-2023</t>
        </is>
      </c>
      <c r="B634" s="1" t="n">
        <v>45222</v>
      </c>
      <c r="C634" s="1" t="n">
        <v>45970</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20800-2023</t>
        </is>
      </c>
      <c r="B635" s="1" t="n">
        <v>45058.61640046296</v>
      </c>
      <c r="C635" s="1" t="n">
        <v>45970</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49219-2024</t>
        </is>
      </c>
      <c r="B636" s="1" t="n">
        <v>45595.40923611111</v>
      </c>
      <c r="C636" s="1" t="n">
        <v>45970</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7152-2025</t>
        </is>
      </c>
      <c r="B637" s="1" t="n">
        <v>45702.3837037037</v>
      </c>
      <c r="C637" s="1" t="n">
        <v>45970</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7160-2025</t>
        </is>
      </c>
      <c r="B638" s="1" t="n">
        <v>45702.3875462963</v>
      </c>
      <c r="C638" s="1" t="n">
        <v>45970</v>
      </c>
      <c r="D638" t="inlineStr">
        <is>
          <t>SKÅNE LÄN</t>
        </is>
      </c>
      <c r="E638" t="inlineStr">
        <is>
          <t>HÄSSLEHOLM</t>
        </is>
      </c>
      <c r="G638" t="n">
        <v>2.5</v>
      </c>
      <c r="H638" t="n">
        <v>0</v>
      </c>
      <c r="I638" t="n">
        <v>0</v>
      </c>
      <c r="J638" t="n">
        <v>0</v>
      </c>
      <c r="K638" t="n">
        <v>0</v>
      </c>
      <c r="L638" t="n">
        <v>0</v>
      </c>
      <c r="M638" t="n">
        <v>0</v>
      </c>
      <c r="N638" t="n">
        <v>0</v>
      </c>
      <c r="O638" t="n">
        <v>0</v>
      </c>
      <c r="P638" t="n">
        <v>0</v>
      </c>
      <c r="Q638" t="n">
        <v>0</v>
      </c>
      <c r="R638" s="2" t="inlineStr"/>
    </row>
    <row r="639" ht="15" customHeight="1">
      <c r="A639" t="inlineStr">
        <is>
          <t>A 14939-2023</t>
        </is>
      </c>
      <c r="B639" s="1" t="n">
        <v>45014</v>
      </c>
      <c r="C639" s="1" t="n">
        <v>45970</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12507-2022</t>
        </is>
      </c>
      <c r="B640" s="1" t="n">
        <v>44638</v>
      </c>
      <c r="C640" s="1" t="n">
        <v>45970</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25611-2024</t>
        </is>
      </c>
      <c r="B641" s="1" t="n">
        <v>45463</v>
      </c>
      <c r="C641" s="1" t="n">
        <v>45970</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15104-2023</t>
        </is>
      </c>
      <c r="B642" s="1" t="n">
        <v>45016.40576388889</v>
      </c>
      <c r="C642" s="1" t="n">
        <v>45970</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10594-2025</t>
        </is>
      </c>
      <c r="B643" s="1" t="n">
        <v>45721</v>
      </c>
      <c r="C643" s="1" t="n">
        <v>45970</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66321-2021</t>
        </is>
      </c>
      <c r="B644" s="1" t="n">
        <v>44518</v>
      </c>
      <c r="C644" s="1" t="n">
        <v>45970</v>
      </c>
      <c r="D644" t="inlineStr">
        <is>
          <t>SKÅNE LÄN</t>
        </is>
      </c>
      <c r="E644" t="inlineStr">
        <is>
          <t>HÄSSLEHOLM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21494-2023</t>
        </is>
      </c>
      <c r="B645" s="1" t="n">
        <v>45063</v>
      </c>
      <c r="C645" s="1" t="n">
        <v>45970</v>
      </c>
      <c r="D645" t="inlineStr">
        <is>
          <t>SKÅNE LÄN</t>
        </is>
      </c>
      <c r="E645" t="inlineStr">
        <is>
          <t>HÄSSLEHOLM</t>
        </is>
      </c>
      <c r="G645" t="n">
        <v>3.7</v>
      </c>
      <c r="H645" t="n">
        <v>0</v>
      </c>
      <c r="I645" t="n">
        <v>0</v>
      </c>
      <c r="J645" t="n">
        <v>0</v>
      </c>
      <c r="K645" t="n">
        <v>0</v>
      </c>
      <c r="L645" t="n">
        <v>0</v>
      </c>
      <c r="M645" t="n">
        <v>0</v>
      </c>
      <c r="N645" t="n">
        <v>0</v>
      </c>
      <c r="O645" t="n">
        <v>0</v>
      </c>
      <c r="P645" t="n">
        <v>0</v>
      </c>
      <c r="Q645" t="n">
        <v>0</v>
      </c>
      <c r="R645" s="2" t="inlineStr"/>
    </row>
    <row r="646" ht="15" customHeight="1">
      <c r="A646" t="inlineStr">
        <is>
          <t>A 21495-2023</t>
        </is>
      </c>
      <c r="B646" s="1" t="n">
        <v>45063</v>
      </c>
      <c r="C646" s="1" t="n">
        <v>45970</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26536-2022</t>
        </is>
      </c>
      <c r="B647" s="1" t="n">
        <v>44739.45496527778</v>
      </c>
      <c r="C647" s="1" t="n">
        <v>45970</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40739-2024</t>
        </is>
      </c>
      <c r="B648" s="1" t="n">
        <v>45558</v>
      </c>
      <c r="C648" s="1" t="n">
        <v>45970</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16334-2024</t>
        </is>
      </c>
      <c r="B649" s="1" t="n">
        <v>45407.54856481482</v>
      </c>
      <c r="C649" s="1" t="n">
        <v>45970</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22690-2022</t>
        </is>
      </c>
      <c r="B650" s="1" t="n">
        <v>44714.5421875</v>
      </c>
      <c r="C650" s="1" t="n">
        <v>45970</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57079-2022</t>
        </is>
      </c>
      <c r="B651" s="1" t="n">
        <v>44895</v>
      </c>
      <c r="C651" s="1" t="n">
        <v>45970</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64884-2023</t>
        </is>
      </c>
      <c r="B652" s="1" t="n">
        <v>45282.57809027778</v>
      </c>
      <c r="C652" s="1" t="n">
        <v>45970</v>
      </c>
      <c r="D652" t="inlineStr">
        <is>
          <t>SKÅNE LÄN</t>
        </is>
      </c>
      <c r="E652" t="inlineStr">
        <is>
          <t>HÄSSLEHOLM</t>
        </is>
      </c>
      <c r="G652" t="n">
        <v>4.6</v>
      </c>
      <c r="H652" t="n">
        <v>0</v>
      </c>
      <c r="I652" t="n">
        <v>0</v>
      </c>
      <c r="J652" t="n">
        <v>0</v>
      </c>
      <c r="K652" t="n">
        <v>0</v>
      </c>
      <c r="L652" t="n">
        <v>0</v>
      </c>
      <c r="M652" t="n">
        <v>0</v>
      </c>
      <c r="N652" t="n">
        <v>0</v>
      </c>
      <c r="O652" t="n">
        <v>0</v>
      </c>
      <c r="P652" t="n">
        <v>0</v>
      </c>
      <c r="Q652" t="n">
        <v>0</v>
      </c>
      <c r="R652" s="2" t="inlineStr"/>
    </row>
    <row r="653" ht="15" customHeight="1">
      <c r="A653" t="inlineStr">
        <is>
          <t>A 61498-2022</t>
        </is>
      </c>
      <c r="B653" s="1" t="n">
        <v>44910</v>
      </c>
      <c r="C653" s="1" t="n">
        <v>45970</v>
      </c>
      <c r="D653" t="inlineStr">
        <is>
          <t>SKÅNE LÄN</t>
        </is>
      </c>
      <c r="E653" t="inlineStr">
        <is>
          <t>HÄSSLEHOLM</t>
        </is>
      </c>
      <c r="F653" t="inlineStr">
        <is>
          <t>Kyrkan</t>
        </is>
      </c>
      <c r="G653" t="n">
        <v>3.2</v>
      </c>
      <c r="H653" t="n">
        <v>0</v>
      </c>
      <c r="I653" t="n">
        <v>0</v>
      </c>
      <c r="J653" t="n">
        <v>0</v>
      </c>
      <c r="K653" t="n">
        <v>0</v>
      </c>
      <c r="L653" t="n">
        <v>0</v>
      </c>
      <c r="M653" t="n">
        <v>0</v>
      </c>
      <c r="N653" t="n">
        <v>0</v>
      </c>
      <c r="O653" t="n">
        <v>0</v>
      </c>
      <c r="P653" t="n">
        <v>0</v>
      </c>
      <c r="Q653" t="n">
        <v>0</v>
      </c>
      <c r="R653" s="2" t="inlineStr"/>
    </row>
    <row r="654" ht="15" customHeight="1">
      <c r="A654" t="inlineStr">
        <is>
          <t>A 22140-2023</t>
        </is>
      </c>
      <c r="B654" s="1" t="n">
        <v>45065</v>
      </c>
      <c r="C654" s="1" t="n">
        <v>45970</v>
      </c>
      <c r="D654" t="inlineStr">
        <is>
          <t>SKÅNE LÄN</t>
        </is>
      </c>
      <c r="E654" t="inlineStr">
        <is>
          <t>HÄSSLEHOLM</t>
        </is>
      </c>
      <c r="G654" t="n">
        <v>6.7</v>
      </c>
      <c r="H654" t="n">
        <v>0</v>
      </c>
      <c r="I654" t="n">
        <v>0</v>
      </c>
      <c r="J654" t="n">
        <v>0</v>
      </c>
      <c r="K654" t="n">
        <v>0</v>
      </c>
      <c r="L654" t="n">
        <v>0</v>
      </c>
      <c r="M654" t="n">
        <v>0</v>
      </c>
      <c r="N654" t="n">
        <v>0</v>
      </c>
      <c r="O654" t="n">
        <v>0</v>
      </c>
      <c r="P654" t="n">
        <v>0</v>
      </c>
      <c r="Q654" t="n">
        <v>0</v>
      </c>
      <c r="R654" s="2" t="inlineStr"/>
    </row>
    <row r="655" ht="15" customHeight="1">
      <c r="A655" t="inlineStr">
        <is>
          <t>A 41873-2023</t>
        </is>
      </c>
      <c r="B655" s="1" t="n">
        <v>45176</v>
      </c>
      <c r="C655" s="1" t="n">
        <v>45970</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15417-2022</t>
        </is>
      </c>
      <c r="B656" s="1" t="n">
        <v>44659</v>
      </c>
      <c r="C656" s="1" t="n">
        <v>45970</v>
      </c>
      <c r="D656" t="inlineStr">
        <is>
          <t>SKÅNE LÄN</t>
        </is>
      </c>
      <c r="E656" t="inlineStr">
        <is>
          <t>HÄSSLEHOLM</t>
        </is>
      </c>
      <c r="F656" t="inlineStr">
        <is>
          <t>Kyrkan</t>
        </is>
      </c>
      <c r="G656" t="n">
        <v>2.9</v>
      </c>
      <c r="H656" t="n">
        <v>0</v>
      </c>
      <c r="I656" t="n">
        <v>0</v>
      </c>
      <c r="J656" t="n">
        <v>0</v>
      </c>
      <c r="K656" t="n">
        <v>0</v>
      </c>
      <c r="L656" t="n">
        <v>0</v>
      </c>
      <c r="M656" t="n">
        <v>0</v>
      </c>
      <c r="N656" t="n">
        <v>0</v>
      </c>
      <c r="O656" t="n">
        <v>0</v>
      </c>
      <c r="P656" t="n">
        <v>0</v>
      </c>
      <c r="Q656" t="n">
        <v>0</v>
      </c>
      <c r="R656" s="2" t="inlineStr"/>
    </row>
    <row r="657" ht="15" customHeight="1">
      <c r="A657" t="inlineStr">
        <is>
          <t>A 31944-2023</t>
        </is>
      </c>
      <c r="B657" s="1" t="n">
        <v>45119.34895833334</v>
      </c>
      <c r="C657" s="1" t="n">
        <v>45970</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7890-2024</t>
        </is>
      </c>
      <c r="B658" s="1" t="n">
        <v>45350.40780092592</v>
      </c>
      <c r="C658" s="1" t="n">
        <v>45970</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31946-2023</t>
        </is>
      </c>
      <c r="B659" s="1" t="n">
        <v>45119.35158564815</v>
      </c>
      <c r="C659" s="1" t="n">
        <v>45970</v>
      </c>
      <c r="D659" t="inlineStr">
        <is>
          <t>SKÅNE LÄN</t>
        </is>
      </c>
      <c r="E659" t="inlineStr">
        <is>
          <t>HÄSSLEHOLM</t>
        </is>
      </c>
      <c r="G659" t="n">
        <v>0.3</v>
      </c>
      <c r="H659" t="n">
        <v>0</v>
      </c>
      <c r="I659" t="n">
        <v>0</v>
      </c>
      <c r="J659" t="n">
        <v>0</v>
      </c>
      <c r="K659" t="n">
        <v>0</v>
      </c>
      <c r="L659" t="n">
        <v>0</v>
      </c>
      <c r="M659" t="n">
        <v>0</v>
      </c>
      <c r="N659" t="n">
        <v>0</v>
      </c>
      <c r="O659" t="n">
        <v>0</v>
      </c>
      <c r="P659" t="n">
        <v>0</v>
      </c>
      <c r="Q659" t="n">
        <v>0</v>
      </c>
      <c r="R659" s="2" t="inlineStr"/>
    </row>
    <row r="660" ht="15" customHeight="1">
      <c r="A660" t="inlineStr">
        <is>
          <t>A 8755-2024</t>
        </is>
      </c>
      <c r="B660" s="1" t="n">
        <v>45356</v>
      </c>
      <c r="C660" s="1" t="n">
        <v>45970</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36240-2023</t>
        </is>
      </c>
      <c r="B661" s="1" t="n">
        <v>45150.89295138889</v>
      </c>
      <c r="C661" s="1" t="n">
        <v>45970</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60973-2024</t>
        </is>
      </c>
      <c r="B662" s="1" t="n">
        <v>45644</v>
      </c>
      <c r="C662" s="1" t="n">
        <v>45970</v>
      </c>
      <c r="D662" t="inlineStr">
        <is>
          <t>SKÅNE LÄN</t>
        </is>
      </c>
      <c r="E662" t="inlineStr">
        <is>
          <t>HÄSSLEHOLM</t>
        </is>
      </c>
      <c r="G662" t="n">
        <v>3.6</v>
      </c>
      <c r="H662" t="n">
        <v>0</v>
      </c>
      <c r="I662" t="n">
        <v>0</v>
      </c>
      <c r="J662" t="n">
        <v>0</v>
      </c>
      <c r="K662" t="n">
        <v>0</v>
      </c>
      <c r="L662" t="n">
        <v>0</v>
      </c>
      <c r="M662" t="n">
        <v>0</v>
      </c>
      <c r="N662" t="n">
        <v>0</v>
      </c>
      <c r="O662" t="n">
        <v>0</v>
      </c>
      <c r="P662" t="n">
        <v>0</v>
      </c>
      <c r="Q662" t="n">
        <v>0</v>
      </c>
      <c r="R662" s="2" t="inlineStr"/>
    </row>
    <row r="663" ht="15" customHeight="1">
      <c r="A663" t="inlineStr">
        <is>
          <t>A 20564-2023</t>
        </is>
      </c>
      <c r="B663" s="1" t="n">
        <v>45057</v>
      </c>
      <c r="C663" s="1" t="n">
        <v>45970</v>
      </c>
      <c r="D663" t="inlineStr">
        <is>
          <t>SKÅNE LÄN</t>
        </is>
      </c>
      <c r="E663" t="inlineStr">
        <is>
          <t>HÄSSLEHOLM</t>
        </is>
      </c>
      <c r="G663" t="n">
        <v>2.6</v>
      </c>
      <c r="H663" t="n">
        <v>0</v>
      </c>
      <c r="I663" t="n">
        <v>0</v>
      </c>
      <c r="J663" t="n">
        <v>0</v>
      </c>
      <c r="K663" t="n">
        <v>0</v>
      </c>
      <c r="L663" t="n">
        <v>0</v>
      </c>
      <c r="M663" t="n">
        <v>0</v>
      </c>
      <c r="N663" t="n">
        <v>0</v>
      </c>
      <c r="O663" t="n">
        <v>0</v>
      </c>
      <c r="P663" t="n">
        <v>0</v>
      </c>
      <c r="Q663" t="n">
        <v>0</v>
      </c>
      <c r="R663" s="2" t="inlineStr"/>
    </row>
    <row r="664" ht="15" customHeight="1">
      <c r="A664" t="inlineStr">
        <is>
          <t>A 41694-2024</t>
        </is>
      </c>
      <c r="B664" s="1" t="n">
        <v>45560.68341435185</v>
      </c>
      <c r="C664" s="1" t="n">
        <v>45970</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38228-2021</t>
        </is>
      </c>
      <c r="B665" s="1" t="n">
        <v>44405</v>
      </c>
      <c r="C665" s="1" t="n">
        <v>45970</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61178-2022</t>
        </is>
      </c>
      <c r="B666" s="1" t="n">
        <v>44915</v>
      </c>
      <c r="C666" s="1" t="n">
        <v>45970</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61185-2022</t>
        </is>
      </c>
      <c r="B667" s="1" t="n">
        <v>44915</v>
      </c>
      <c r="C667" s="1" t="n">
        <v>45970</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47757-2024</t>
        </is>
      </c>
      <c r="B668" s="1" t="n">
        <v>45588.55075231481</v>
      </c>
      <c r="C668" s="1" t="n">
        <v>45970</v>
      </c>
      <c r="D668" t="inlineStr">
        <is>
          <t>SKÅNE LÄN</t>
        </is>
      </c>
      <c r="E668" t="inlineStr">
        <is>
          <t>HÄSSLEHOLM</t>
        </is>
      </c>
      <c r="G668" t="n">
        <v>5.5</v>
      </c>
      <c r="H668" t="n">
        <v>0</v>
      </c>
      <c r="I668" t="n">
        <v>0</v>
      </c>
      <c r="J668" t="n">
        <v>0</v>
      </c>
      <c r="K668" t="n">
        <v>0</v>
      </c>
      <c r="L668" t="n">
        <v>0</v>
      </c>
      <c r="M668" t="n">
        <v>0</v>
      </c>
      <c r="N668" t="n">
        <v>0</v>
      </c>
      <c r="O668" t="n">
        <v>0</v>
      </c>
      <c r="P668" t="n">
        <v>0</v>
      </c>
      <c r="Q668" t="n">
        <v>0</v>
      </c>
      <c r="R668" s="2" t="inlineStr"/>
    </row>
    <row r="669" ht="15" customHeight="1">
      <c r="A669" t="inlineStr">
        <is>
          <t>A 61691-2021</t>
        </is>
      </c>
      <c r="B669" s="1" t="n">
        <v>44501</v>
      </c>
      <c r="C669" s="1" t="n">
        <v>45970</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25221-2023</t>
        </is>
      </c>
      <c r="B670" s="1" t="n">
        <v>45086.60842592592</v>
      </c>
      <c r="C670" s="1" t="n">
        <v>45970</v>
      </c>
      <c r="D670" t="inlineStr">
        <is>
          <t>SKÅNE LÄN</t>
        </is>
      </c>
      <c r="E670" t="inlineStr">
        <is>
          <t>HÄSSLEHOLM</t>
        </is>
      </c>
      <c r="G670" t="n">
        <v>2.5</v>
      </c>
      <c r="H670" t="n">
        <v>0</v>
      </c>
      <c r="I670" t="n">
        <v>0</v>
      </c>
      <c r="J670" t="n">
        <v>0</v>
      </c>
      <c r="K670" t="n">
        <v>0</v>
      </c>
      <c r="L670" t="n">
        <v>0</v>
      </c>
      <c r="M670" t="n">
        <v>0</v>
      </c>
      <c r="N670" t="n">
        <v>0</v>
      </c>
      <c r="O670" t="n">
        <v>0</v>
      </c>
      <c r="P670" t="n">
        <v>0</v>
      </c>
      <c r="Q670" t="n">
        <v>0</v>
      </c>
      <c r="R670" s="2" t="inlineStr"/>
    </row>
    <row r="671" ht="15" customHeight="1">
      <c r="A671" t="inlineStr">
        <is>
          <t>A 59390-2021</t>
        </is>
      </c>
      <c r="B671" s="1" t="n">
        <v>44490</v>
      </c>
      <c r="C671" s="1" t="n">
        <v>45970</v>
      </c>
      <c r="D671" t="inlineStr">
        <is>
          <t>SKÅNE LÄN</t>
        </is>
      </c>
      <c r="E671" t="inlineStr">
        <is>
          <t>HÄSSLEHOLM</t>
        </is>
      </c>
      <c r="G671" t="n">
        <v>7.1</v>
      </c>
      <c r="H671" t="n">
        <v>0</v>
      </c>
      <c r="I671" t="n">
        <v>0</v>
      </c>
      <c r="J671" t="n">
        <v>0</v>
      </c>
      <c r="K671" t="n">
        <v>0</v>
      </c>
      <c r="L671" t="n">
        <v>0</v>
      </c>
      <c r="M671" t="n">
        <v>0</v>
      </c>
      <c r="N671" t="n">
        <v>0</v>
      </c>
      <c r="O671" t="n">
        <v>0</v>
      </c>
      <c r="P671" t="n">
        <v>0</v>
      </c>
      <c r="Q671" t="n">
        <v>0</v>
      </c>
      <c r="R671" s="2" t="inlineStr"/>
    </row>
    <row r="672" ht="15" customHeight="1">
      <c r="A672" t="inlineStr">
        <is>
          <t>A 14655-2025</t>
        </is>
      </c>
      <c r="B672" s="1" t="n">
        <v>45742.5072337963</v>
      </c>
      <c r="C672" s="1" t="n">
        <v>45970</v>
      </c>
      <c r="D672" t="inlineStr">
        <is>
          <t>SKÅNE LÄN</t>
        </is>
      </c>
      <c r="E672" t="inlineStr">
        <is>
          <t>HÄSSLEHOLM</t>
        </is>
      </c>
      <c r="G672" t="n">
        <v>4.5</v>
      </c>
      <c r="H672" t="n">
        <v>0</v>
      </c>
      <c r="I672" t="n">
        <v>0</v>
      </c>
      <c r="J672" t="n">
        <v>0</v>
      </c>
      <c r="K672" t="n">
        <v>0</v>
      </c>
      <c r="L672" t="n">
        <v>0</v>
      </c>
      <c r="M672" t="n">
        <v>0</v>
      </c>
      <c r="N672" t="n">
        <v>0</v>
      </c>
      <c r="O672" t="n">
        <v>0</v>
      </c>
      <c r="P672" t="n">
        <v>0</v>
      </c>
      <c r="Q672" t="n">
        <v>0</v>
      </c>
      <c r="R672" s="2" t="inlineStr"/>
    </row>
    <row r="673" ht="15" customHeight="1">
      <c r="A673" t="inlineStr">
        <is>
          <t>A 2663-2023</t>
        </is>
      </c>
      <c r="B673" s="1" t="n">
        <v>44942</v>
      </c>
      <c r="C673" s="1" t="n">
        <v>45970</v>
      </c>
      <c r="D673" t="inlineStr">
        <is>
          <t>SKÅNE LÄN</t>
        </is>
      </c>
      <c r="E673" t="inlineStr">
        <is>
          <t>HÄSSLEHOLM</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39934-2025</t>
        </is>
      </c>
      <c r="B674" s="1" t="n">
        <v>45891.71465277778</v>
      </c>
      <c r="C674" s="1" t="n">
        <v>45970</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3925-2021</t>
        </is>
      </c>
      <c r="B675" s="1" t="n">
        <v>44222</v>
      </c>
      <c r="C675" s="1" t="n">
        <v>45970</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59763-2022</t>
        </is>
      </c>
      <c r="B676" s="1" t="n">
        <v>44900</v>
      </c>
      <c r="C676" s="1" t="n">
        <v>45970</v>
      </c>
      <c r="D676" t="inlineStr">
        <is>
          <t>SKÅNE LÄN</t>
        </is>
      </c>
      <c r="E676" t="inlineStr">
        <is>
          <t>HÄSSLEHOLM</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7192-2025</t>
        </is>
      </c>
      <c r="B677" s="1" t="n">
        <v>45702.44746527778</v>
      </c>
      <c r="C677" s="1" t="n">
        <v>45970</v>
      </c>
      <c r="D677" t="inlineStr">
        <is>
          <t>SKÅNE LÄN</t>
        </is>
      </c>
      <c r="E677" t="inlineStr">
        <is>
          <t>HÄSSLEHOLM</t>
        </is>
      </c>
      <c r="G677" t="n">
        <v>1.2</v>
      </c>
      <c r="H677" t="n">
        <v>0</v>
      </c>
      <c r="I677" t="n">
        <v>0</v>
      </c>
      <c r="J677" t="n">
        <v>0</v>
      </c>
      <c r="K677" t="n">
        <v>0</v>
      </c>
      <c r="L677" t="n">
        <v>0</v>
      </c>
      <c r="M677" t="n">
        <v>0</v>
      </c>
      <c r="N677" t="n">
        <v>0</v>
      </c>
      <c r="O677" t="n">
        <v>0</v>
      </c>
      <c r="P677" t="n">
        <v>0</v>
      </c>
      <c r="Q677" t="n">
        <v>0</v>
      </c>
      <c r="R677" s="2" t="inlineStr"/>
    </row>
    <row r="678" ht="15" customHeight="1">
      <c r="A678" t="inlineStr">
        <is>
          <t>A 50564-2023</t>
        </is>
      </c>
      <c r="B678" s="1" t="n">
        <v>45217.37957175926</v>
      </c>
      <c r="C678" s="1" t="n">
        <v>45970</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15133-2023</t>
        </is>
      </c>
      <c r="B679" s="1" t="n">
        <v>45016</v>
      </c>
      <c r="C679" s="1" t="n">
        <v>45970</v>
      </c>
      <c r="D679" t="inlineStr">
        <is>
          <t>SKÅNE LÄN</t>
        </is>
      </c>
      <c r="E679" t="inlineStr">
        <is>
          <t>HÄSSLEHOLM</t>
        </is>
      </c>
      <c r="G679" t="n">
        <v>7.8</v>
      </c>
      <c r="H679" t="n">
        <v>0</v>
      </c>
      <c r="I679" t="n">
        <v>0</v>
      </c>
      <c r="J679" t="n">
        <v>0</v>
      </c>
      <c r="K679" t="n">
        <v>0</v>
      </c>
      <c r="L679" t="n">
        <v>0</v>
      </c>
      <c r="M679" t="n">
        <v>0</v>
      </c>
      <c r="N679" t="n">
        <v>0</v>
      </c>
      <c r="O679" t="n">
        <v>0</v>
      </c>
      <c r="P679" t="n">
        <v>0</v>
      </c>
      <c r="Q679" t="n">
        <v>0</v>
      </c>
      <c r="R679" s="2" t="inlineStr"/>
    </row>
    <row r="680" ht="15" customHeight="1">
      <c r="A680" t="inlineStr">
        <is>
          <t>A 48184-2025</t>
        </is>
      </c>
      <c r="B680" s="1" t="n">
        <v>45933.46131944445</v>
      </c>
      <c r="C680" s="1" t="n">
        <v>45970</v>
      </c>
      <c r="D680" t="inlineStr">
        <is>
          <t>SKÅNE LÄN</t>
        </is>
      </c>
      <c r="E680" t="inlineStr">
        <is>
          <t>HÄSSLEHOLM</t>
        </is>
      </c>
      <c r="G680" t="n">
        <v>3</v>
      </c>
      <c r="H680" t="n">
        <v>0</v>
      </c>
      <c r="I680" t="n">
        <v>0</v>
      </c>
      <c r="J680" t="n">
        <v>0</v>
      </c>
      <c r="K680" t="n">
        <v>0</v>
      </c>
      <c r="L680" t="n">
        <v>0</v>
      </c>
      <c r="M680" t="n">
        <v>0</v>
      </c>
      <c r="N680" t="n">
        <v>0</v>
      </c>
      <c r="O680" t="n">
        <v>0</v>
      </c>
      <c r="P680" t="n">
        <v>0</v>
      </c>
      <c r="Q680" t="n">
        <v>0</v>
      </c>
      <c r="R680" s="2" t="inlineStr"/>
    </row>
    <row r="681" ht="15" customHeight="1">
      <c r="A681" t="inlineStr">
        <is>
          <t>A 27954-2022</t>
        </is>
      </c>
      <c r="B681" s="1" t="n">
        <v>44743</v>
      </c>
      <c r="C681" s="1" t="n">
        <v>45970</v>
      </c>
      <c r="D681" t="inlineStr">
        <is>
          <t>SKÅNE LÄN</t>
        </is>
      </c>
      <c r="E681" t="inlineStr">
        <is>
          <t>HÄSSLEHOLM</t>
        </is>
      </c>
      <c r="G681" t="n">
        <v>9.4</v>
      </c>
      <c r="H681" t="n">
        <v>0</v>
      </c>
      <c r="I681" t="n">
        <v>0</v>
      </c>
      <c r="J681" t="n">
        <v>0</v>
      </c>
      <c r="K681" t="n">
        <v>0</v>
      </c>
      <c r="L681" t="n">
        <v>0</v>
      </c>
      <c r="M681" t="n">
        <v>0</v>
      </c>
      <c r="N681" t="n">
        <v>0</v>
      </c>
      <c r="O681" t="n">
        <v>0</v>
      </c>
      <c r="P681" t="n">
        <v>0</v>
      </c>
      <c r="Q681" t="n">
        <v>0</v>
      </c>
      <c r="R681" s="2" t="inlineStr"/>
    </row>
    <row r="682" ht="15" customHeight="1">
      <c r="A682" t="inlineStr">
        <is>
          <t>A 43061-2024</t>
        </is>
      </c>
      <c r="B682" s="1" t="n">
        <v>45567</v>
      </c>
      <c r="C682" s="1" t="n">
        <v>45970</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21328-2023</t>
        </is>
      </c>
      <c r="B683" s="1" t="n">
        <v>45062</v>
      </c>
      <c r="C683" s="1" t="n">
        <v>45970</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10277-2023</t>
        </is>
      </c>
      <c r="B684" s="1" t="n">
        <v>44986</v>
      </c>
      <c r="C684" s="1" t="n">
        <v>45970</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10290-2023</t>
        </is>
      </c>
      <c r="B685" s="1" t="n">
        <v>44986</v>
      </c>
      <c r="C685" s="1" t="n">
        <v>45970</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6619-2024</t>
        </is>
      </c>
      <c r="B686" s="1" t="n">
        <v>45341.6021412037</v>
      </c>
      <c r="C686" s="1" t="n">
        <v>45970</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15053-2023</t>
        </is>
      </c>
      <c r="B687" s="1" t="n">
        <v>45015</v>
      </c>
      <c r="C687" s="1" t="n">
        <v>45970</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48722-2025</t>
        </is>
      </c>
      <c r="B688" s="1" t="n">
        <v>45935</v>
      </c>
      <c r="C688" s="1" t="n">
        <v>45970</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20666-2023</t>
        </is>
      </c>
      <c r="B689" s="1" t="n">
        <v>45058.35664351852</v>
      </c>
      <c r="C689" s="1" t="n">
        <v>45970</v>
      </c>
      <c r="D689" t="inlineStr">
        <is>
          <t>SKÅNE LÄN</t>
        </is>
      </c>
      <c r="E689" t="inlineStr">
        <is>
          <t>HÄSSLEHOLM</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23857-2024</t>
        </is>
      </c>
      <c r="B690" s="1" t="n">
        <v>45455</v>
      </c>
      <c r="C690" s="1" t="n">
        <v>45970</v>
      </c>
      <c r="D690" t="inlineStr">
        <is>
          <t>SKÅNE LÄN</t>
        </is>
      </c>
      <c r="E690" t="inlineStr">
        <is>
          <t>HÄSSLEHOLM</t>
        </is>
      </c>
      <c r="G690" t="n">
        <v>3</v>
      </c>
      <c r="H690" t="n">
        <v>0</v>
      </c>
      <c r="I690" t="n">
        <v>0</v>
      </c>
      <c r="J690" t="n">
        <v>0</v>
      </c>
      <c r="K690" t="n">
        <v>0</v>
      </c>
      <c r="L690" t="n">
        <v>0</v>
      </c>
      <c r="M690" t="n">
        <v>0</v>
      </c>
      <c r="N690" t="n">
        <v>0</v>
      </c>
      <c r="O690" t="n">
        <v>0</v>
      </c>
      <c r="P690" t="n">
        <v>0</v>
      </c>
      <c r="Q690" t="n">
        <v>0</v>
      </c>
      <c r="R690" s="2" t="inlineStr"/>
    </row>
    <row r="691" ht="15" customHeight="1">
      <c r="A691" t="inlineStr">
        <is>
          <t>A 45984-2021</t>
        </is>
      </c>
      <c r="B691" s="1" t="n">
        <v>44441</v>
      </c>
      <c r="C691" s="1" t="n">
        <v>45970</v>
      </c>
      <c r="D691" t="inlineStr">
        <is>
          <t>SKÅNE LÄN</t>
        </is>
      </c>
      <c r="E691" t="inlineStr">
        <is>
          <t>HÄSSLEHOLM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19593-2023</t>
        </is>
      </c>
      <c r="B692" s="1" t="n">
        <v>45050.75895833333</v>
      </c>
      <c r="C692" s="1" t="n">
        <v>45970</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35644-2023</t>
        </is>
      </c>
      <c r="B693" s="1" t="n">
        <v>45147</v>
      </c>
      <c r="C693" s="1" t="n">
        <v>45970</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61170-2022</t>
        </is>
      </c>
      <c r="B694" s="1" t="n">
        <v>44915.48543981482</v>
      </c>
      <c r="C694" s="1" t="n">
        <v>45970</v>
      </c>
      <c r="D694" t="inlineStr">
        <is>
          <t>SKÅNE LÄN</t>
        </is>
      </c>
      <c r="E694" t="inlineStr">
        <is>
          <t>HÄSSLEHOLM</t>
        </is>
      </c>
      <c r="G694" t="n">
        <v>1.2</v>
      </c>
      <c r="H694" t="n">
        <v>0</v>
      </c>
      <c r="I694" t="n">
        <v>0</v>
      </c>
      <c r="J694" t="n">
        <v>0</v>
      </c>
      <c r="K694" t="n">
        <v>0</v>
      </c>
      <c r="L694" t="n">
        <v>0</v>
      </c>
      <c r="M694" t="n">
        <v>0</v>
      </c>
      <c r="N694" t="n">
        <v>0</v>
      </c>
      <c r="O694" t="n">
        <v>0</v>
      </c>
      <c r="P694" t="n">
        <v>0</v>
      </c>
      <c r="Q694" t="n">
        <v>0</v>
      </c>
      <c r="R694" s="2" t="inlineStr"/>
    </row>
    <row r="695" ht="15" customHeight="1">
      <c r="A695" t="inlineStr">
        <is>
          <t>A 46185-2022</t>
        </is>
      </c>
      <c r="B695" s="1" t="n">
        <v>44847</v>
      </c>
      <c r="C695" s="1" t="n">
        <v>45970</v>
      </c>
      <c r="D695" t="inlineStr">
        <is>
          <t>SKÅNE LÄN</t>
        </is>
      </c>
      <c r="E695" t="inlineStr">
        <is>
          <t>HÄSSLEHOLM</t>
        </is>
      </c>
      <c r="G695" t="n">
        <v>16.8</v>
      </c>
      <c r="H695" t="n">
        <v>0</v>
      </c>
      <c r="I695" t="n">
        <v>0</v>
      </c>
      <c r="J695" t="n">
        <v>0</v>
      </c>
      <c r="K695" t="n">
        <v>0</v>
      </c>
      <c r="L695" t="n">
        <v>0</v>
      </c>
      <c r="M695" t="n">
        <v>0</v>
      </c>
      <c r="N695" t="n">
        <v>0</v>
      </c>
      <c r="O695" t="n">
        <v>0</v>
      </c>
      <c r="P695" t="n">
        <v>0</v>
      </c>
      <c r="Q695" t="n">
        <v>0</v>
      </c>
      <c r="R695" s="2" t="inlineStr"/>
    </row>
    <row r="696" ht="15" customHeight="1">
      <c r="A696" t="inlineStr">
        <is>
          <t>A 8433-2024</t>
        </is>
      </c>
      <c r="B696" s="1" t="n">
        <v>45353.48434027778</v>
      </c>
      <c r="C696" s="1" t="n">
        <v>45970</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7494-2023</t>
        </is>
      </c>
      <c r="B697" s="1" t="n">
        <v>44971.70835648148</v>
      </c>
      <c r="C697" s="1" t="n">
        <v>45970</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62055-2023</t>
        </is>
      </c>
      <c r="B698" s="1" t="n">
        <v>45266.70287037037</v>
      </c>
      <c r="C698" s="1" t="n">
        <v>45970</v>
      </c>
      <c r="D698" t="inlineStr">
        <is>
          <t>SKÅNE LÄN</t>
        </is>
      </c>
      <c r="E698" t="inlineStr">
        <is>
          <t>HÄSSLEHOLM</t>
        </is>
      </c>
      <c r="G698" t="n">
        <v>5.2</v>
      </c>
      <c r="H698" t="n">
        <v>0</v>
      </c>
      <c r="I698" t="n">
        <v>0</v>
      </c>
      <c r="J698" t="n">
        <v>0</v>
      </c>
      <c r="K698" t="n">
        <v>0</v>
      </c>
      <c r="L698" t="n">
        <v>0</v>
      </c>
      <c r="M698" t="n">
        <v>0</v>
      </c>
      <c r="N698" t="n">
        <v>0</v>
      </c>
      <c r="O698" t="n">
        <v>0</v>
      </c>
      <c r="P698" t="n">
        <v>0</v>
      </c>
      <c r="Q698" t="n">
        <v>0</v>
      </c>
      <c r="R698" s="2" t="inlineStr"/>
    </row>
    <row r="699" ht="15" customHeight="1">
      <c r="A699" t="inlineStr">
        <is>
          <t>A 6087-2025</t>
        </is>
      </c>
      <c r="B699" s="1" t="n">
        <v>45697.69782407407</v>
      </c>
      <c r="C699" s="1" t="n">
        <v>45970</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6835-2023</t>
        </is>
      </c>
      <c r="B700" s="1" t="n">
        <v>44967</v>
      </c>
      <c r="C700" s="1" t="n">
        <v>45970</v>
      </c>
      <c r="D700" t="inlineStr">
        <is>
          <t>SKÅNE LÄN</t>
        </is>
      </c>
      <c r="E700" t="inlineStr">
        <is>
          <t>HÄSSLEHOLM</t>
        </is>
      </c>
      <c r="G700" t="n">
        <v>4.8</v>
      </c>
      <c r="H700" t="n">
        <v>0</v>
      </c>
      <c r="I700" t="n">
        <v>0</v>
      </c>
      <c r="J700" t="n">
        <v>0</v>
      </c>
      <c r="K700" t="n">
        <v>0</v>
      </c>
      <c r="L700" t="n">
        <v>0</v>
      </c>
      <c r="M700" t="n">
        <v>0</v>
      </c>
      <c r="N700" t="n">
        <v>0</v>
      </c>
      <c r="O700" t="n">
        <v>0</v>
      </c>
      <c r="P700" t="n">
        <v>0</v>
      </c>
      <c r="Q700" t="n">
        <v>0</v>
      </c>
      <c r="R700" s="2" t="inlineStr"/>
    </row>
    <row r="701" ht="15" customHeight="1">
      <c r="A701" t="inlineStr">
        <is>
          <t>A 50571-2023</t>
        </is>
      </c>
      <c r="B701" s="1" t="n">
        <v>45217.38359953704</v>
      </c>
      <c r="C701" s="1" t="n">
        <v>45970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9885-2021</t>
        </is>
      </c>
      <c r="B702" s="1" t="n">
        <v>44253</v>
      </c>
      <c r="C702" s="1" t="n">
        <v>45970</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31933-2024</t>
        </is>
      </c>
      <c r="B703" s="1" t="n">
        <v>45510.41123842593</v>
      </c>
      <c r="C703" s="1" t="n">
        <v>45970</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9098-2022</t>
        </is>
      </c>
      <c r="B704" s="1" t="n">
        <v>44615</v>
      </c>
      <c r="C704" s="1" t="n">
        <v>45970</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12338-2024</t>
        </is>
      </c>
      <c r="B705" s="1" t="n">
        <v>45378.72869212963</v>
      </c>
      <c r="C705" s="1" t="n">
        <v>45970</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18041-2023</t>
        </is>
      </c>
      <c r="B706" s="1" t="n">
        <v>45040</v>
      </c>
      <c r="C706" s="1" t="n">
        <v>45970</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34883-2023</t>
        </is>
      </c>
      <c r="B707" s="1" t="n">
        <v>45142.37902777778</v>
      </c>
      <c r="C707" s="1" t="n">
        <v>45970</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34886-2023</t>
        </is>
      </c>
      <c r="B708" s="1" t="n">
        <v>45142.38450231482</v>
      </c>
      <c r="C708" s="1" t="n">
        <v>45970</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7476-2025</t>
        </is>
      </c>
      <c r="B709" s="1" t="n">
        <v>45702</v>
      </c>
      <c r="C709" s="1" t="n">
        <v>45970</v>
      </c>
      <c r="D709" t="inlineStr">
        <is>
          <t>SKÅNE LÄN</t>
        </is>
      </c>
      <c r="E709" t="inlineStr">
        <is>
          <t>HÄSSLEHOLM</t>
        </is>
      </c>
      <c r="F709" t="inlineStr">
        <is>
          <t>Övriga Aktiebolag</t>
        </is>
      </c>
      <c r="G709" t="n">
        <v>2.1</v>
      </c>
      <c r="H709" t="n">
        <v>0</v>
      </c>
      <c r="I709" t="n">
        <v>0</v>
      </c>
      <c r="J709" t="n">
        <v>0</v>
      </c>
      <c r="K709" t="n">
        <v>0</v>
      </c>
      <c r="L709" t="n">
        <v>0</v>
      </c>
      <c r="M709" t="n">
        <v>0</v>
      </c>
      <c r="N709" t="n">
        <v>0</v>
      </c>
      <c r="O709" t="n">
        <v>0</v>
      </c>
      <c r="P709" t="n">
        <v>0</v>
      </c>
      <c r="Q709" t="n">
        <v>0</v>
      </c>
      <c r="R709" s="2" t="inlineStr"/>
    </row>
    <row r="710" ht="15" customHeight="1">
      <c r="A710" t="inlineStr">
        <is>
          <t>A 54659-2023</t>
        </is>
      </c>
      <c r="B710" s="1" t="n">
        <v>45235</v>
      </c>
      <c r="C710" s="1" t="n">
        <v>45970</v>
      </c>
      <c r="D710" t="inlineStr">
        <is>
          <t>SKÅNE LÄN</t>
        </is>
      </c>
      <c r="E710" t="inlineStr">
        <is>
          <t>HÄSSLEHOLM</t>
        </is>
      </c>
      <c r="G710" t="n">
        <v>5</v>
      </c>
      <c r="H710" t="n">
        <v>0</v>
      </c>
      <c r="I710" t="n">
        <v>0</v>
      </c>
      <c r="J710" t="n">
        <v>0</v>
      </c>
      <c r="K710" t="n">
        <v>0</v>
      </c>
      <c r="L710" t="n">
        <v>0</v>
      </c>
      <c r="M710" t="n">
        <v>0</v>
      </c>
      <c r="N710" t="n">
        <v>0</v>
      </c>
      <c r="O710" t="n">
        <v>0</v>
      </c>
      <c r="P710" t="n">
        <v>0</v>
      </c>
      <c r="Q710" t="n">
        <v>0</v>
      </c>
      <c r="R710" s="2" t="inlineStr"/>
    </row>
    <row r="711" ht="15" customHeight="1">
      <c r="A711" t="inlineStr">
        <is>
          <t>A 16950-2025</t>
        </is>
      </c>
      <c r="B711" s="1" t="n">
        <v>45755</v>
      </c>
      <c r="C711" s="1" t="n">
        <v>45970</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13555-2025</t>
        </is>
      </c>
      <c r="B712" s="1" t="n">
        <v>45736</v>
      </c>
      <c r="C712" s="1" t="n">
        <v>45970</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58618-2024</t>
        </is>
      </c>
      <c r="B713" s="1" t="n">
        <v>45635.56150462963</v>
      </c>
      <c r="C713" s="1" t="n">
        <v>45970</v>
      </c>
      <c r="D713" t="inlineStr">
        <is>
          <t>SKÅNE LÄN</t>
        </is>
      </c>
      <c r="E713" t="inlineStr">
        <is>
          <t>HÄSSLEHOLM</t>
        </is>
      </c>
      <c r="G713" t="n">
        <v>2.3</v>
      </c>
      <c r="H713" t="n">
        <v>0</v>
      </c>
      <c r="I713" t="n">
        <v>0</v>
      </c>
      <c r="J713" t="n">
        <v>0</v>
      </c>
      <c r="K713" t="n">
        <v>0</v>
      </c>
      <c r="L713" t="n">
        <v>0</v>
      </c>
      <c r="M713" t="n">
        <v>0</v>
      </c>
      <c r="N713" t="n">
        <v>0</v>
      </c>
      <c r="O713" t="n">
        <v>0</v>
      </c>
      <c r="P713" t="n">
        <v>0</v>
      </c>
      <c r="Q713" t="n">
        <v>0</v>
      </c>
      <c r="R713" s="2" t="inlineStr"/>
    </row>
    <row r="714" ht="15" customHeight="1">
      <c r="A714" t="inlineStr">
        <is>
          <t>A 12558-2023</t>
        </is>
      </c>
      <c r="B714" s="1" t="n">
        <v>45000.36103009259</v>
      </c>
      <c r="C714" s="1" t="n">
        <v>45970</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13673-2023</t>
        </is>
      </c>
      <c r="B715" s="1" t="n">
        <v>45006.87957175926</v>
      </c>
      <c r="C715" s="1" t="n">
        <v>45970</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28632-2024</t>
        </is>
      </c>
      <c r="B716" s="1" t="n">
        <v>45478</v>
      </c>
      <c r="C716" s="1" t="n">
        <v>45970</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48844-2023</t>
        </is>
      </c>
      <c r="B717" s="1" t="n">
        <v>45209</v>
      </c>
      <c r="C717" s="1" t="n">
        <v>45970</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52337-2023</t>
        </is>
      </c>
      <c r="B718" s="1" t="n">
        <v>45224.66359953704</v>
      </c>
      <c r="C718" s="1" t="n">
        <v>45970</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2813-2021</t>
        </is>
      </c>
      <c r="B719" s="1" t="n">
        <v>44215</v>
      </c>
      <c r="C719" s="1" t="n">
        <v>45970</v>
      </c>
      <c r="D719" t="inlineStr">
        <is>
          <t>SKÅNE LÄN</t>
        </is>
      </c>
      <c r="E719" t="inlineStr">
        <is>
          <t>HÄSSLEHOLM</t>
        </is>
      </c>
      <c r="G719" t="n">
        <v>7.1</v>
      </c>
      <c r="H719" t="n">
        <v>0</v>
      </c>
      <c r="I719" t="n">
        <v>0</v>
      </c>
      <c r="J719" t="n">
        <v>0</v>
      </c>
      <c r="K719" t="n">
        <v>0</v>
      </c>
      <c r="L719" t="n">
        <v>0</v>
      </c>
      <c r="M719" t="n">
        <v>0</v>
      </c>
      <c r="N719" t="n">
        <v>0</v>
      </c>
      <c r="O719" t="n">
        <v>0</v>
      </c>
      <c r="P719" t="n">
        <v>0</v>
      </c>
      <c r="Q719" t="n">
        <v>0</v>
      </c>
      <c r="R719" s="2" t="inlineStr"/>
    </row>
    <row r="720" ht="15" customHeight="1">
      <c r="A720" t="inlineStr">
        <is>
          <t>A 35712-2024</t>
        </is>
      </c>
      <c r="B720" s="1" t="n">
        <v>45532</v>
      </c>
      <c r="C720" s="1" t="n">
        <v>45970</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13084-2025</t>
        </is>
      </c>
      <c r="B721" s="1" t="n">
        <v>45734</v>
      </c>
      <c r="C721" s="1" t="n">
        <v>45970</v>
      </c>
      <c r="D721" t="inlineStr">
        <is>
          <t>SKÅNE LÄN</t>
        </is>
      </c>
      <c r="E721" t="inlineStr">
        <is>
          <t>HÄSSLEHOLM</t>
        </is>
      </c>
      <c r="G721" t="n">
        <v>2.3</v>
      </c>
      <c r="H721" t="n">
        <v>0</v>
      </c>
      <c r="I721" t="n">
        <v>0</v>
      </c>
      <c r="J721" t="n">
        <v>0</v>
      </c>
      <c r="K721" t="n">
        <v>0</v>
      </c>
      <c r="L721" t="n">
        <v>0</v>
      </c>
      <c r="M721" t="n">
        <v>0</v>
      </c>
      <c r="N721" t="n">
        <v>0</v>
      </c>
      <c r="O721" t="n">
        <v>0</v>
      </c>
      <c r="P721" t="n">
        <v>0</v>
      </c>
      <c r="Q721" t="n">
        <v>0</v>
      </c>
      <c r="R721" s="2" t="inlineStr"/>
    </row>
    <row r="722" ht="15" customHeight="1">
      <c r="A722" t="inlineStr">
        <is>
          <t>A 33466-2024</t>
        </is>
      </c>
      <c r="B722" s="1" t="n">
        <v>45519</v>
      </c>
      <c r="C722" s="1" t="n">
        <v>45970</v>
      </c>
      <c r="D722" t="inlineStr">
        <is>
          <t>SKÅNE LÄN</t>
        </is>
      </c>
      <c r="E722" t="inlineStr">
        <is>
          <t>HÄSSLEHOLM</t>
        </is>
      </c>
      <c r="G722" t="n">
        <v>0.4</v>
      </c>
      <c r="H722" t="n">
        <v>0</v>
      </c>
      <c r="I722" t="n">
        <v>0</v>
      </c>
      <c r="J722" t="n">
        <v>0</v>
      </c>
      <c r="K722" t="n">
        <v>0</v>
      </c>
      <c r="L722" t="n">
        <v>0</v>
      </c>
      <c r="M722" t="n">
        <v>0</v>
      </c>
      <c r="N722" t="n">
        <v>0</v>
      </c>
      <c r="O722" t="n">
        <v>0</v>
      </c>
      <c r="P722" t="n">
        <v>0</v>
      </c>
      <c r="Q722" t="n">
        <v>0</v>
      </c>
      <c r="R722" s="2" t="inlineStr"/>
    </row>
    <row r="723" ht="15" customHeight="1">
      <c r="A723" t="inlineStr">
        <is>
          <t>A 48185-2025</t>
        </is>
      </c>
      <c r="B723" s="1" t="n">
        <v>45933.46434027778</v>
      </c>
      <c r="C723" s="1" t="n">
        <v>45970</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21329-2023</t>
        </is>
      </c>
      <c r="B724" s="1" t="n">
        <v>45062</v>
      </c>
      <c r="C724" s="1" t="n">
        <v>45970</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26397-2023</t>
        </is>
      </c>
      <c r="B725" s="1" t="n">
        <v>45087</v>
      </c>
      <c r="C725" s="1" t="n">
        <v>45970</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27175-2024</t>
        </is>
      </c>
      <c r="B726" s="1" t="n">
        <v>45471.57111111111</v>
      </c>
      <c r="C726" s="1" t="n">
        <v>45970</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1197-2024</t>
        </is>
      </c>
      <c r="B727" s="1" t="n">
        <v>45302</v>
      </c>
      <c r="C727" s="1" t="n">
        <v>45970</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48097-2024</t>
        </is>
      </c>
      <c r="B728" s="1" t="n">
        <v>45589.61413194444</v>
      </c>
      <c r="C728" s="1" t="n">
        <v>45970</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45222-2023</t>
        </is>
      </c>
      <c r="B729" s="1" t="n">
        <v>45191</v>
      </c>
      <c r="C729" s="1" t="n">
        <v>45970</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27991-2024</t>
        </is>
      </c>
      <c r="B730" s="1" t="n">
        <v>45476</v>
      </c>
      <c r="C730" s="1" t="n">
        <v>45970</v>
      </c>
      <c r="D730" t="inlineStr">
        <is>
          <t>SKÅNE LÄN</t>
        </is>
      </c>
      <c r="E730" t="inlineStr">
        <is>
          <t>HÄSSLEHOLM</t>
        </is>
      </c>
      <c r="G730" t="n">
        <v>5.8</v>
      </c>
      <c r="H730" t="n">
        <v>0</v>
      </c>
      <c r="I730" t="n">
        <v>0</v>
      </c>
      <c r="J730" t="n">
        <v>0</v>
      </c>
      <c r="K730" t="n">
        <v>0</v>
      </c>
      <c r="L730" t="n">
        <v>0</v>
      </c>
      <c r="M730" t="n">
        <v>0</v>
      </c>
      <c r="N730" t="n">
        <v>0</v>
      </c>
      <c r="O730" t="n">
        <v>0</v>
      </c>
      <c r="P730" t="n">
        <v>0</v>
      </c>
      <c r="Q730" t="n">
        <v>0</v>
      </c>
      <c r="R730" s="2" t="inlineStr"/>
    </row>
    <row r="731" ht="15" customHeight="1">
      <c r="A731" t="inlineStr">
        <is>
          <t>A 13310-2025</t>
        </is>
      </c>
      <c r="B731" s="1" t="n">
        <v>45735.58814814815</v>
      </c>
      <c r="C731" s="1" t="n">
        <v>45970</v>
      </c>
      <c r="D731" t="inlineStr">
        <is>
          <t>SKÅNE LÄN</t>
        </is>
      </c>
      <c r="E731" t="inlineStr">
        <is>
          <t>HÄSSLEHOLM</t>
        </is>
      </c>
      <c r="G731" t="n">
        <v>2</v>
      </c>
      <c r="H731" t="n">
        <v>0</v>
      </c>
      <c r="I731" t="n">
        <v>0</v>
      </c>
      <c r="J731" t="n">
        <v>0</v>
      </c>
      <c r="K731" t="n">
        <v>0</v>
      </c>
      <c r="L731" t="n">
        <v>0</v>
      </c>
      <c r="M731" t="n">
        <v>0</v>
      </c>
      <c r="N731" t="n">
        <v>0</v>
      </c>
      <c r="O731" t="n">
        <v>0</v>
      </c>
      <c r="P731" t="n">
        <v>0</v>
      </c>
      <c r="Q731" t="n">
        <v>0</v>
      </c>
      <c r="R731" s="2" t="inlineStr"/>
    </row>
    <row r="732" ht="15" customHeight="1">
      <c r="A732" t="inlineStr">
        <is>
          <t>A 6612-2024</t>
        </is>
      </c>
      <c r="B732" s="1" t="n">
        <v>45341.58859953703</v>
      </c>
      <c r="C732" s="1" t="n">
        <v>45970</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39937-2025</t>
        </is>
      </c>
      <c r="B733" s="1" t="n">
        <v>45891.73162037037</v>
      </c>
      <c r="C733" s="1" t="n">
        <v>45970</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5887-2025</t>
        </is>
      </c>
      <c r="B734" s="1" t="n">
        <v>45695.37925925926</v>
      </c>
      <c r="C734" s="1" t="n">
        <v>45970</v>
      </c>
      <c r="D734" t="inlineStr">
        <is>
          <t>SKÅNE LÄN</t>
        </is>
      </c>
      <c r="E734" t="inlineStr">
        <is>
          <t>HÄSSLEHOLM</t>
        </is>
      </c>
      <c r="G734" t="n">
        <v>4.8</v>
      </c>
      <c r="H734" t="n">
        <v>0</v>
      </c>
      <c r="I734" t="n">
        <v>0</v>
      </c>
      <c r="J734" t="n">
        <v>0</v>
      </c>
      <c r="K734" t="n">
        <v>0</v>
      </c>
      <c r="L734" t="n">
        <v>0</v>
      </c>
      <c r="M734" t="n">
        <v>0</v>
      </c>
      <c r="N734" t="n">
        <v>0</v>
      </c>
      <c r="O734" t="n">
        <v>0</v>
      </c>
      <c r="P734" t="n">
        <v>0</v>
      </c>
      <c r="Q734" t="n">
        <v>0</v>
      </c>
      <c r="R734" s="2" t="inlineStr"/>
    </row>
    <row r="735" ht="15" customHeight="1">
      <c r="A735" t="inlineStr">
        <is>
          <t>A 53077-2022</t>
        </is>
      </c>
      <c r="B735" s="1" t="n">
        <v>44873</v>
      </c>
      <c r="C735" s="1" t="n">
        <v>45970</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25538-2024</t>
        </is>
      </c>
      <c r="B736" s="1" t="n">
        <v>45463</v>
      </c>
      <c r="C736" s="1" t="n">
        <v>45970</v>
      </c>
      <c r="D736" t="inlineStr">
        <is>
          <t>SKÅNE LÄN</t>
        </is>
      </c>
      <c r="E736" t="inlineStr">
        <is>
          <t>HÄSSLEHOLM</t>
        </is>
      </c>
      <c r="G736" t="n">
        <v>1.6</v>
      </c>
      <c r="H736" t="n">
        <v>0</v>
      </c>
      <c r="I736" t="n">
        <v>0</v>
      </c>
      <c r="J736" t="n">
        <v>0</v>
      </c>
      <c r="K736" t="n">
        <v>0</v>
      </c>
      <c r="L736" t="n">
        <v>0</v>
      </c>
      <c r="M736" t="n">
        <v>0</v>
      </c>
      <c r="N736" t="n">
        <v>0</v>
      </c>
      <c r="O736" t="n">
        <v>0</v>
      </c>
      <c r="P736" t="n">
        <v>0</v>
      </c>
      <c r="Q736" t="n">
        <v>0</v>
      </c>
      <c r="R736" s="2" t="inlineStr"/>
    </row>
    <row r="737" ht="15" customHeight="1">
      <c r="A737" t="inlineStr">
        <is>
          <t>A 8760-2024</t>
        </is>
      </c>
      <c r="B737" s="1" t="n">
        <v>45356.53420138889</v>
      </c>
      <c r="C737" s="1" t="n">
        <v>45970</v>
      </c>
      <c r="D737" t="inlineStr">
        <is>
          <t>SKÅNE LÄN</t>
        </is>
      </c>
      <c r="E737" t="inlineStr">
        <is>
          <t>HÄSSLEHOLM</t>
        </is>
      </c>
      <c r="G737" t="n">
        <v>6.1</v>
      </c>
      <c r="H737" t="n">
        <v>0</v>
      </c>
      <c r="I737" t="n">
        <v>0</v>
      </c>
      <c r="J737" t="n">
        <v>0</v>
      </c>
      <c r="K737" t="n">
        <v>0</v>
      </c>
      <c r="L737" t="n">
        <v>0</v>
      </c>
      <c r="M737" t="n">
        <v>0</v>
      </c>
      <c r="N737" t="n">
        <v>0</v>
      </c>
      <c r="O737" t="n">
        <v>0</v>
      </c>
      <c r="P737" t="n">
        <v>0</v>
      </c>
      <c r="Q737" t="n">
        <v>0</v>
      </c>
      <c r="R737" s="2" t="inlineStr"/>
    </row>
    <row r="738" ht="15" customHeight="1">
      <c r="A738" t="inlineStr">
        <is>
          <t>A 48889-2024</t>
        </is>
      </c>
      <c r="B738" s="1" t="n">
        <v>45594.33754629629</v>
      </c>
      <c r="C738" s="1" t="n">
        <v>45970</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15055-2023</t>
        </is>
      </c>
      <c r="B739" s="1" t="n">
        <v>45015</v>
      </c>
      <c r="C739" s="1" t="n">
        <v>45970</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9555-2025</t>
        </is>
      </c>
      <c r="B740" s="1" t="n">
        <v>45714</v>
      </c>
      <c r="C740" s="1" t="n">
        <v>45970</v>
      </c>
      <c r="D740" t="inlineStr">
        <is>
          <t>SKÅNE LÄN</t>
        </is>
      </c>
      <c r="E740" t="inlineStr">
        <is>
          <t>HÄSSLEHOLM</t>
        </is>
      </c>
      <c r="G740" t="n">
        <v>5.4</v>
      </c>
      <c r="H740" t="n">
        <v>0</v>
      </c>
      <c r="I740" t="n">
        <v>0</v>
      </c>
      <c r="J740" t="n">
        <v>0</v>
      </c>
      <c r="K740" t="n">
        <v>0</v>
      </c>
      <c r="L740" t="n">
        <v>0</v>
      </c>
      <c r="M740" t="n">
        <v>0</v>
      </c>
      <c r="N740" t="n">
        <v>0</v>
      </c>
      <c r="O740" t="n">
        <v>0</v>
      </c>
      <c r="P740" t="n">
        <v>0</v>
      </c>
      <c r="Q740" t="n">
        <v>0</v>
      </c>
      <c r="R740" s="2" t="inlineStr"/>
    </row>
    <row r="741" ht="15" customHeight="1">
      <c r="A741" t="inlineStr">
        <is>
          <t>A 2567-2024</t>
        </is>
      </c>
      <c r="B741" s="1" t="n">
        <v>45313.62460648148</v>
      </c>
      <c r="C741" s="1" t="n">
        <v>45970</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19020-2024</t>
        </is>
      </c>
      <c r="B742" s="1" t="n">
        <v>45427.66167824074</v>
      </c>
      <c r="C742" s="1" t="n">
        <v>45970</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52912-2022</t>
        </is>
      </c>
      <c r="B743" s="1" t="n">
        <v>44872</v>
      </c>
      <c r="C743" s="1" t="n">
        <v>45970</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24640-2023</t>
        </is>
      </c>
      <c r="B744" s="1" t="n">
        <v>45084.43181712963</v>
      </c>
      <c r="C744" s="1" t="n">
        <v>45970</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22535-2024</t>
        </is>
      </c>
      <c r="B745" s="1" t="n">
        <v>45447</v>
      </c>
      <c r="C745" s="1" t="n">
        <v>45970</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40241-2025</t>
        </is>
      </c>
      <c r="B746" s="1" t="n">
        <v>45894.87251157407</v>
      </c>
      <c r="C746" s="1" t="n">
        <v>45970</v>
      </c>
      <c r="D746" t="inlineStr">
        <is>
          <t>SKÅNE LÄN</t>
        </is>
      </c>
      <c r="E746" t="inlineStr">
        <is>
          <t>HÄSSLEHOLM</t>
        </is>
      </c>
      <c r="G746" t="n">
        <v>3.8</v>
      </c>
      <c r="H746" t="n">
        <v>0</v>
      </c>
      <c r="I746" t="n">
        <v>0</v>
      </c>
      <c r="J746" t="n">
        <v>0</v>
      </c>
      <c r="K746" t="n">
        <v>0</v>
      </c>
      <c r="L746" t="n">
        <v>0</v>
      </c>
      <c r="M746" t="n">
        <v>0</v>
      </c>
      <c r="N746" t="n">
        <v>0</v>
      </c>
      <c r="O746" t="n">
        <v>0</v>
      </c>
      <c r="P746" t="n">
        <v>0</v>
      </c>
      <c r="Q746" t="n">
        <v>0</v>
      </c>
      <c r="R746" s="2" t="inlineStr"/>
    </row>
    <row r="747" ht="15" customHeight="1">
      <c r="A747" t="inlineStr">
        <is>
          <t>A 30007-2023</t>
        </is>
      </c>
      <c r="B747" s="1" t="n">
        <v>45109.80349537037</v>
      </c>
      <c r="C747" s="1" t="n">
        <v>45970</v>
      </c>
      <c r="D747" t="inlineStr">
        <is>
          <t>SKÅNE LÄN</t>
        </is>
      </c>
      <c r="E747" t="inlineStr">
        <is>
          <t>HÄSSLEHOLM</t>
        </is>
      </c>
      <c r="G747" t="n">
        <v>2.2</v>
      </c>
      <c r="H747" t="n">
        <v>0</v>
      </c>
      <c r="I747" t="n">
        <v>0</v>
      </c>
      <c r="J747" t="n">
        <v>0</v>
      </c>
      <c r="K747" t="n">
        <v>0</v>
      </c>
      <c r="L747" t="n">
        <v>0</v>
      </c>
      <c r="M747" t="n">
        <v>0</v>
      </c>
      <c r="N747" t="n">
        <v>0</v>
      </c>
      <c r="O747" t="n">
        <v>0</v>
      </c>
      <c r="P747" t="n">
        <v>0</v>
      </c>
      <c r="Q747" t="n">
        <v>0</v>
      </c>
      <c r="R747" s="2" t="inlineStr"/>
    </row>
    <row r="748" ht="15" customHeight="1">
      <c r="A748" t="inlineStr">
        <is>
          <t>A 25324-2024</t>
        </is>
      </c>
      <c r="B748" s="1" t="n">
        <v>45462.804375</v>
      </c>
      <c r="C748" s="1" t="n">
        <v>45970</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1289-2024</t>
        </is>
      </c>
      <c r="B749" s="1" t="n">
        <v>45303.32234953704</v>
      </c>
      <c r="C749" s="1" t="n">
        <v>45970</v>
      </c>
      <c r="D749" t="inlineStr">
        <is>
          <t>SKÅNE LÄN</t>
        </is>
      </c>
      <c r="E749" t="inlineStr">
        <is>
          <t>HÄSSLEHOLM</t>
        </is>
      </c>
      <c r="G749" t="n">
        <v>4.6</v>
      </c>
      <c r="H749" t="n">
        <v>0</v>
      </c>
      <c r="I749" t="n">
        <v>0</v>
      </c>
      <c r="J749" t="n">
        <v>0</v>
      </c>
      <c r="K749" t="n">
        <v>0</v>
      </c>
      <c r="L749" t="n">
        <v>0</v>
      </c>
      <c r="M749" t="n">
        <v>0</v>
      </c>
      <c r="N749" t="n">
        <v>0</v>
      </c>
      <c r="O749" t="n">
        <v>0</v>
      </c>
      <c r="P749" t="n">
        <v>0</v>
      </c>
      <c r="Q749" t="n">
        <v>0</v>
      </c>
      <c r="R749" s="2" t="inlineStr"/>
    </row>
    <row r="750" ht="15" customHeight="1">
      <c r="A750" t="inlineStr">
        <is>
          <t>A 49136-2025</t>
        </is>
      </c>
      <c r="B750" s="1" t="n">
        <v>45938.01277777777</v>
      </c>
      <c r="C750" s="1" t="n">
        <v>45970</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6327-2021</t>
        </is>
      </c>
      <c r="B751" s="1" t="n">
        <v>44235</v>
      </c>
      <c r="C751" s="1" t="n">
        <v>45970</v>
      </c>
      <c r="D751" t="inlineStr">
        <is>
          <t>SKÅNE LÄN</t>
        </is>
      </c>
      <c r="E751" t="inlineStr">
        <is>
          <t>HÄSSLEHOLM</t>
        </is>
      </c>
      <c r="G751" t="n">
        <v>1.6</v>
      </c>
      <c r="H751" t="n">
        <v>0</v>
      </c>
      <c r="I751" t="n">
        <v>0</v>
      </c>
      <c r="J751" t="n">
        <v>0</v>
      </c>
      <c r="K751" t="n">
        <v>0</v>
      </c>
      <c r="L751" t="n">
        <v>0</v>
      </c>
      <c r="M751" t="n">
        <v>0</v>
      </c>
      <c r="N751" t="n">
        <v>0</v>
      </c>
      <c r="O751" t="n">
        <v>0</v>
      </c>
      <c r="P751" t="n">
        <v>0</v>
      </c>
      <c r="Q751" t="n">
        <v>0</v>
      </c>
      <c r="R751" s="2" t="inlineStr"/>
    </row>
    <row r="752" ht="15" customHeight="1">
      <c r="A752" t="inlineStr">
        <is>
          <t>A 11715-2023</t>
        </is>
      </c>
      <c r="B752" s="1" t="n">
        <v>44992</v>
      </c>
      <c r="C752" s="1" t="n">
        <v>45970</v>
      </c>
      <c r="D752" t="inlineStr">
        <is>
          <t>SKÅNE LÄN</t>
        </is>
      </c>
      <c r="E752" t="inlineStr">
        <is>
          <t>HÄSSLEHOLM</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25606-2024</t>
        </is>
      </c>
      <c r="B753" s="1" t="n">
        <v>45463.63179398148</v>
      </c>
      <c r="C753" s="1" t="n">
        <v>45970</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5478-2021</t>
        </is>
      </c>
      <c r="B754" s="1" t="n">
        <v>44230</v>
      </c>
      <c r="C754" s="1" t="n">
        <v>45970</v>
      </c>
      <c r="D754" t="inlineStr">
        <is>
          <t>SKÅNE LÄN</t>
        </is>
      </c>
      <c r="E754" t="inlineStr">
        <is>
          <t>HÄSSLEHOLM</t>
        </is>
      </c>
      <c r="G754" t="n">
        <v>0.1</v>
      </c>
      <c r="H754" t="n">
        <v>0</v>
      </c>
      <c r="I754" t="n">
        <v>0</v>
      </c>
      <c r="J754" t="n">
        <v>0</v>
      </c>
      <c r="K754" t="n">
        <v>0</v>
      </c>
      <c r="L754" t="n">
        <v>0</v>
      </c>
      <c r="M754" t="n">
        <v>0</v>
      </c>
      <c r="N754" t="n">
        <v>0</v>
      </c>
      <c r="O754" t="n">
        <v>0</v>
      </c>
      <c r="P754" t="n">
        <v>0</v>
      </c>
      <c r="Q754" t="n">
        <v>0</v>
      </c>
      <c r="R754" s="2" t="inlineStr"/>
    </row>
    <row r="755" ht="15" customHeight="1">
      <c r="A755" t="inlineStr">
        <is>
          <t>A 2290-2024</t>
        </is>
      </c>
      <c r="B755" s="1" t="n">
        <v>45310</v>
      </c>
      <c r="C755" s="1" t="n">
        <v>45970</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1538-2024</t>
        </is>
      </c>
      <c r="B756" s="1" t="n">
        <v>45306</v>
      </c>
      <c r="C756" s="1" t="n">
        <v>45970</v>
      </c>
      <c r="D756" t="inlineStr">
        <is>
          <t>SKÅNE LÄN</t>
        </is>
      </c>
      <c r="E756" t="inlineStr">
        <is>
          <t>HÄSSLEHOLM</t>
        </is>
      </c>
      <c r="G756" t="n">
        <v>4.8</v>
      </c>
      <c r="H756" t="n">
        <v>0</v>
      </c>
      <c r="I756" t="n">
        <v>0</v>
      </c>
      <c r="J756" t="n">
        <v>0</v>
      </c>
      <c r="K756" t="n">
        <v>0</v>
      </c>
      <c r="L756" t="n">
        <v>0</v>
      </c>
      <c r="M756" t="n">
        <v>0</v>
      </c>
      <c r="N756" t="n">
        <v>0</v>
      </c>
      <c r="O756" t="n">
        <v>0</v>
      </c>
      <c r="P756" t="n">
        <v>0</v>
      </c>
      <c r="Q756" t="n">
        <v>0</v>
      </c>
      <c r="R756" s="2" t="inlineStr"/>
    </row>
    <row r="757" ht="15" customHeight="1">
      <c r="A757" t="inlineStr">
        <is>
          <t>A 25533-2024</t>
        </is>
      </c>
      <c r="B757" s="1" t="n">
        <v>45463</v>
      </c>
      <c r="C757" s="1" t="n">
        <v>45970</v>
      </c>
      <c r="D757" t="inlineStr">
        <is>
          <t>SKÅNE LÄN</t>
        </is>
      </c>
      <c r="E757" t="inlineStr">
        <is>
          <t>HÄSSLEHOLM</t>
        </is>
      </c>
      <c r="G757" t="n">
        <v>1.8</v>
      </c>
      <c r="H757" t="n">
        <v>0</v>
      </c>
      <c r="I757" t="n">
        <v>0</v>
      </c>
      <c r="J757" t="n">
        <v>0</v>
      </c>
      <c r="K757" t="n">
        <v>0</v>
      </c>
      <c r="L757" t="n">
        <v>0</v>
      </c>
      <c r="M757" t="n">
        <v>0</v>
      </c>
      <c r="N757" t="n">
        <v>0</v>
      </c>
      <c r="O757" t="n">
        <v>0</v>
      </c>
      <c r="P757" t="n">
        <v>0</v>
      </c>
      <c r="Q757" t="n">
        <v>0</v>
      </c>
      <c r="R757" s="2" t="inlineStr"/>
    </row>
    <row r="758" ht="15" customHeight="1">
      <c r="A758" t="inlineStr">
        <is>
          <t>A 13316-2023</t>
        </is>
      </c>
      <c r="B758" s="1" t="n">
        <v>45005.39013888889</v>
      </c>
      <c r="C758" s="1" t="n">
        <v>45970</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65235-2021</t>
        </is>
      </c>
      <c r="B759" s="1" t="n">
        <v>44515</v>
      </c>
      <c r="C759" s="1" t="n">
        <v>45970</v>
      </c>
      <c r="D759" t="inlineStr">
        <is>
          <t>SKÅNE LÄN</t>
        </is>
      </c>
      <c r="E759" t="inlineStr">
        <is>
          <t>HÄSSLEHOLM</t>
        </is>
      </c>
      <c r="G759" t="n">
        <v>2.5</v>
      </c>
      <c r="H759" t="n">
        <v>0</v>
      </c>
      <c r="I759" t="n">
        <v>0</v>
      </c>
      <c r="J759" t="n">
        <v>0</v>
      </c>
      <c r="K759" t="n">
        <v>0</v>
      </c>
      <c r="L759" t="n">
        <v>0</v>
      </c>
      <c r="M759" t="n">
        <v>0</v>
      </c>
      <c r="N759" t="n">
        <v>0</v>
      </c>
      <c r="O759" t="n">
        <v>0</v>
      </c>
      <c r="P759" t="n">
        <v>0</v>
      </c>
      <c r="Q759" t="n">
        <v>0</v>
      </c>
      <c r="R759" s="2" t="inlineStr"/>
    </row>
    <row r="760" ht="15" customHeight="1">
      <c r="A760" t="inlineStr">
        <is>
          <t>A 31934-2024</t>
        </is>
      </c>
      <c r="B760" s="1" t="n">
        <v>45510.41177083334</v>
      </c>
      <c r="C760" s="1" t="n">
        <v>45970</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13358-2023</t>
        </is>
      </c>
      <c r="B761" s="1" t="n">
        <v>45005</v>
      </c>
      <c r="C761" s="1" t="n">
        <v>45970</v>
      </c>
      <c r="D761" t="inlineStr">
        <is>
          <t>SKÅNE LÄN</t>
        </is>
      </c>
      <c r="E761" t="inlineStr">
        <is>
          <t>HÄSSLEHOLM</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5316-2023</t>
        </is>
      </c>
      <c r="B762" s="1" t="n">
        <v>44959</v>
      </c>
      <c r="C762" s="1" t="n">
        <v>45970</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29847-2024</t>
        </is>
      </c>
      <c r="B763" s="1" t="n">
        <v>45485.6278587963</v>
      </c>
      <c r="C763" s="1" t="n">
        <v>45970</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7653-2024</t>
        </is>
      </c>
      <c r="B764" s="1" t="n">
        <v>45348.69043981482</v>
      </c>
      <c r="C764" s="1" t="n">
        <v>45970</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32794-2023</t>
        </is>
      </c>
      <c r="B765" s="1" t="n">
        <v>45124.40446759259</v>
      </c>
      <c r="C765" s="1" t="n">
        <v>45970</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28211-2022</t>
        </is>
      </c>
      <c r="B766" s="1" t="n">
        <v>44746</v>
      </c>
      <c r="C766" s="1" t="n">
        <v>45970</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29994-2023</t>
        </is>
      </c>
      <c r="B767" s="1" t="n">
        <v>45109.60038194444</v>
      </c>
      <c r="C767" s="1" t="n">
        <v>45970</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12162-2023</t>
        </is>
      </c>
      <c r="B768" s="1" t="n">
        <v>44998.49619212963</v>
      </c>
      <c r="C768" s="1" t="n">
        <v>45970</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12570-2023</t>
        </is>
      </c>
      <c r="B769" s="1" t="n">
        <v>44999</v>
      </c>
      <c r="C769" s="1" t="n">
        <v>45970</v>
      </c>
      <c r="D769" t="inlineStr">
        <is>
          <t>SKÅNE LÄN</t>
        </is>
      </c>
      <c r="E769" t="inlineStr">
        <is>
          <t>HÄSSLEHOLM</t>
        </is>
      </c>
      <c r="G769" t="n">
        <v>3.4</v>
      </c>
      <c r="H769" t="n">
        <v>0</v>
      </c>
      <c r="I769" t="n">
        <v>0</v>
      </c>
      <c r="J769" t="n">
        <v>0</v>
      </c>
      <c r="K769" t="n">
        <v>0</v>
      </c>
      <c r="L769" t="n">
        <v>0</v>
      </c>
      <c r="M769" t="n">
        <v>0</v>
      </c>
      <c r="N769" t="n">
        <v>0</v>
      </c>
      <c r="O769" t="n">
        <v>0</v>
      </c>
      <c r="P769" t="n">
        <v>0</v>
      </c>
      <c r="Q769" t="n">
        <v>0</v>
      </c>
      <c r="R769" s="2" t="inlineStr"/>
    </row>
    <row r="770" ht="15" customHeight="1">
      <c r="A770" t="inlineStr">
        <is>
          <t>A 20872-2025</t>
        </is>
      </c>
      <c r="B770" s="1" t="n">
        <v>45777.34688657407</v>
      </c>
      <c r="C770" s="1" t="n">
        <v>45970</v>
      </c>
      <c r="D770" t="inlineStr">
        <is>
          <t>SKÅNE LÄN</t>
        </is>
      </c>
      <c r="E770" t="inlineStr">
        <is>
          <t>HÄSSLEHOLM</t>
        </is>
      </c>
      <c r="G770" t="n">
        <v>1.5</v>
      </c>
      <c r="H770" t="n">
        <v>0</v>
      </c>
      <c r="I770" t="n">
        <v>0</v>
      </c>
      <c r="J770" t="n">
        <v>0</v>
      </c>
      <c r="K770" t="n">
        <v>0</v>
      </c>
      <c r="L770" t="n">
        <v>0</v>
      </c>
      <c r="M770" t="n">
        <v>0</v>
      </c>
      <c r="N770" t="n">
        <v>0</v>
      </c>
      <c r="O770" t="n">
        <v>0</v>
      </c>
      <c r="P770" t="n">
        <v>0</v>
      </c>
      <c r="Q770" t="n">
        <v>0</v>
      </c>
      <c r="R770" s="2" t="inlineStr"/>
    </row>
    <row r="771" ht="15" customHeight="1">
      <c r="A771" t="inlineStr">
        <is>
          <t>A 14926-2024</t>
        </is>
      </c>
      <c r="B771" s="1" t="n">
        <v>45398</v>
      </c>
      <c r="C771" s="1" t="n">
        <v>45970</v>
      </c>
      <c r="D771" t="inlineStr">
        <is>
          <t>SKÅNE LÄN</t>
        </is>
      </c>
      <c r="E771" t="inlineStr">
        <is>
          <t>HÄSSLEHOLM</t>
        </is>
      </c>
      <c r="G771" t="n">
        <v>3.4</v>
      </c>
      <c r="H771" t="n">
        <v>0</v>
      </c>
      <c r="I771" t="n">
        <v>0</v>
      </c>
      <c r="J771" t="n">
        <v>0</v>
      </c>
      <c r="K771" t="n">
        <v>0</v>
      </c>
      <c r="L771" t="n">
        <v>0</v>
      </c>
      <c r="M771" t="n">
        <v>0</v>
      </c>
      <c r="N771" t="n">
        <v>0</v>
      </c>
      <c r="O771" t="n">
        <v>0</v>
      </c>
      <c r="P771" t="n">
        <v>0</v>
      </c>
      <c r="Q771" t="n">
        <v>0</v>
      </c>
      <c r="R771" s="2" t="inlineStr"/>
    </row>
    <row r="772" ht="15" customHeight="1">
      <c r="A772" t="inlineStr">
        <is>
          <t>A 2688-2024</t>
        </is>
      </c>
      <c r="B772" s="1" t="n">
        <v>45314</v>
      </c>
      <c r="C772" s="1" t="n">
        <v>45970</v>
      </c>
      <c r="D772" t="inlineStr">
        <is>
          <t>SKÅNE LÄN</t>
        </is>
      </c>
      <c r="E772" t="inlineStr">
        <is>
          <t>HÄSSLEHOLM</t>
        </is>
      </c>
      <c r="F772" t="inlineStr">
        <is>
          <t>Övriga Aktiebolag</t>
        </is>
      </c>
      <c r="G772" t="n">
        <v>2.8</v>
      </c>
      <c r="H772" t="n">
        <v>0</v>
      </c>
      <c r="I772" t="n">
        <v>0</v>
      </c>
      <c r="J772" t="n">
        <v>0</v>
      </c>
      <c r="K772" t="n">
        <v>0</v>
      </c>
      <c r="L772" t="n">
        <v>0</v>
      </c>
      <c r="M772" t="n">
        <v>0</v>
      </c>
      <c r="N772" t="n">
        <v>0</v>
      </c>
      <c r="O772" t="n">
        <v>0</v>
      </c>
      <c r="P772" t="n">
        <v>0</v>
      </c>
      <c r="Q772" t="n">
        <v>0</v>
      </c>
      <c r="R772" s="2" t="inlineStr"/>
    </row>
    <row r="773" ht="15" customHeight="1">
      <c r="A773" t="inlineStr">
        <is>
          <t>A 36733-2023</t>
        </is>
      </c>
      <c r="B773" s="1" t="n">
        <v>45153.69989583334</v>
      </c>
      <c r="C773" s="1" t="n">
        <v>45970</v>
      </c>
      <c r="D773" t="inlineStr">
        <is>
          <t>SKÅNE LÄN</t>
        </is>
      </c>
      <c r="E773" t="inlineStr">
        <is>
          <t>HÄSSLEHOLM</t>
        </is>
      </c>
      <c r="G773" t="n">
        <v>4.8</v>
      </c>
      <c r="H773" t="n">
        <v>0</v>
      </c>
      <c r="I773" t="n">
        <v>0</v>
      </c>
      <c r="J773" t="n">
        <v>0</v>
      </c>
      <c r="K773" t="n">
        <v>0</v>
      </c>
      <c r="L773" t="n">
        <v>0</v>
      </c>
      <c r="M773" t="n">
        <v>0</v>
      </c>
      <c r="N773" t="n">
        <v>0</v>
      </c>
      <c r="O773" t="n">
        <v>0</v>
      </c>
      <c r="P773" t="n">
        <v>0</v>
      </c>
      <c r="Q773" t="n">
        <v>0</v>
      </c>
      <c r="R773" s="2" t="inlineStr"/>
    </row>
    <row r="774" ht="15" customHeight="1">
      <c r="A774" t="inlineStr">
        <is>
          <t>A 14702-2025</t>
        </is>
      </c>
      <c r="B774" s="1" t="n">
        <v>45742.60403935185</v>
      </c>
      <c r="C774" s="1" t="n">
        <v>45970</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9669-2025</t>
        </is>
      </c>
      <c r="B775" s="1" t="n">
        <v>45716.32921296296</v>
      </c>
      <c r="C775" s="1" t="n">
        <v>45970</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8244-2023</t>
        </is>
      </c>
      <c r="B776" s="1" t="n">
        <v>44974</v>
      </c>
      <c r="C776" s="1" t="n">
        <v>45970</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8246-2023</t>
        </is>
      </c>
      <c r="B777" s="1" t="n">
        <v>44974</v>
      </c>
      <c r="C777" s="1" t="n">
        <v>45970</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59109-2023</t>
        </is>
      </c>
      <c r="B778" s="1" t="n">
        <v>45253.30819444444</v>
      </c>
      <c r="C778" s="1" t="n">
        <v>45970</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34834-2023</t>
        </is>
      </c>
      <c r="B779" s="1" t="n">
        <v>45141.7199537037</v>
      </c>
      <c r="C779" s="1" t="n">
        <v>45970</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24679-2023</t>
        </is>
      </c>
      <c r="B780" s="1" t="n">
        <v>45084</v>
      </c>
      <c r="C780" s="1" t="n">
        <v>45970</v>
      </c>
      <c r="D780" t="inlineStr">
        <is>
          <t>SKÅNE LÄN</t>
        </is>
      </c>
      <c r="E780" t="inlineStr">
        <is>
          <t>HÄSSLEHOLM</t>
        </is>
      </c>
      <c r="G780" t="n">
        <v>7.1</v>
      </c>
      <c r="H780" t="n">
        <v>0</v>
      </c>
      <c r="I780" t="n">
        <v>0</v>
      </c>
      <c r="J780" t="n">
        <v>0</v>
      </c>
      <c r="K780" t="n">
        <v>0</v>
      </c>
      <c r="L780" t="n">
        <v>0</v>
      </c>
      <c r="M780" t="n">
        <v>0</v>
      </c>
      <c r="N780" t="n">
        <v>0</v>
      </c>
      <c r="O780" t="n">
        <v>0</v>
      </c>
      <c r="P780" t="n">
        <v>0</v>
      </c>
      <c r="Q780" t="n">
        <v>0</v>
      </c>
      <c r="R780" s="2" t="inlineStr"/>
    </row>
    <row r="781" ht="15" customHeight="1">
      <c r="A781" t="inlineStr">
        <is>
          <t>A 21091-2025</t>
        </is>
      </c>
      <c r="B781" s="1" t="n">
        <v>45777</v>
      </c>
      <c r="C781" s="1" t="n">
        <v>45970</v>
      </c>
      <c r="D781" t="inlineStr">
        <is>
          <t>SKÅNE LÄN</t>
        </is>
      </c>
      <c r="E781" t="inlineStr">
        <is>
          <t>HÄSSLEHOLM</t>
        </is>
      </c>
      <c r="G781" t="n">
        <v>3.4</v>
      </c>
      <c r="H781" t="n">
        <v>0</v>
      </c>
      <c r="I781" t="n">
        <v>0</v>
      </c>
      <c r="J781" t="n">
        <v>0</v>
      </c>
      <c r="K781" t="n">
        <v>0</v>
      </c>
      <c r="L781" t="n">
        <v>0</v>
      </c>
      <c r="M781" t="n">
        <v>0</v>
      </c>
      <c r="N781" t="n">
        <v>0</v>
      </c>
      <c r="O781" t="n">
        <v>0</v>
      </c>
      <c r="P781" t="n">
        <v>0</v>
      </c>
      <c r="Q781" t="n">
        <v>0</v>
      </c>
      <c r="R781" s="2" t="inlineStr"/>
    </row>
    <row r="782" ht="15" customHeight="1">
      <c r="A782" t="inlineStr">
        <is>
          <t>A 21206-2025</t>
        </is>
      </c>
      <c r="B782" s="1" t="n">
        <v>45779.48318287037</v>
      </c>
      <c r="C782" s="1" t="n">
        <v>45970</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58888-2024</t>
        </is>
      </c>
      <c r="B783" s="1" t="n">
        <v>45636.45962962963</v>
      </c>
      <c r="C783" s="1" t="n">
        <v>45970</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21028-2021</t>
        </is>
      </c>
      <c r="B784" s="1" t="n">
        <v>44319</v>
      </c>
      <c r="C784" s="1" t="n">
        <v>45970</v>
      </c>
      <c r="D784" t="inlineStr">
        <is>
          <t>SKÅNE LÄN</t>
        </is>
      </c>
      <c r="E784" t="inlineStr">
        <is>
          <t>HÄSSLEHOLM</t>
        </is>
      </c>
      <c r="G784" t="n">
        <v>3.1</v>
      </c>
      <c r="H784" t="n">
        <v>0</v>
      </c>
      <c r="I784" t="n">
        <v>0</v>
      </c>
      <c r="J784" t="n">
        <v>0</v>
      </c>
      <c r="K784" t="n">
        <v>0</v>
      </c>
      <c r="L784" t="n">
        <v>0</v>
      </c>
      <c r="M784" t="n">
        <v>0</v>
      </c>
      <c r="N784" t="n">
        <v>0</v>
      </c>
      <c r="O784" t="n">
        <v>0</v>
      </c>
      <c r="P784" t="n">
        <v>0</v>
      </c>
      <c r="Q784" t="n">
        <v>0</v>
      </c>
      <c r="R784" s="2" t="inlineStr"/>
    </row>
    <row r="785" ht="15" customHeight="1">
      <c r="A785" t="inlineStr">
        <is>
          <t>A 15508-2023</t>
        </is>
      </c>
      <c r="B785" s="1" t="n">
        <v>45020.50045138889</v>
      </c>
      <c r="C785" s="1" t="n">
        <v>45970</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29845-2024</t>
        </is>
      </c>
      <c r="B786" s="1" t="n">
        <v>45485.6212037037</v>
      </c>
      <c r="C786" s="1" t="n">
        <v>45970</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20006-2025</t>
        </is>
      </c>
      <c r="B787" s="1" t="n">
        <v>45772.05032407407</v>
      </c>
      <c r="C787" s="1" t="n">
        <v>45970</v>
      </c>
      <c r="D787" t="inlineStr">
        <is>
          <t>SKÅNE LÄN</t>
        </is>
      </c>
      <c r="E787" t="inlineStr">
        <is>
          <t>HÄSSLEHOLM</t>
        </is>
      </c>
      <c r="G787" t="n">
        <v>3.9</v>
      </c>
      <c r="H787" t="n">
        <v>0</v>
      </c>
      <c r="I787" t="n">
        <v>0</v>
      </c>
      <c r="J787" t="n">
        <v>0</v>
      </c>
      <c r="K787" t="n">
        <v>0</v>
      </c>
      <c r="L787" t="n">
        <v>0</v>
      </c>
      <c r="M787" t="n">
        <v>0</v>
      </c>
      <c r="N787" t="n">
        <v>0</v>
      </c>
      <c r="O787" t="n">
        <v>0</v>
      </c>
      <c r="P787" t="n">
        <v>0</v>
      </c>
      <c r="Q787" t="n">
        <v>0</v>
      </c>
      <c r="R787" s="2" t="inlineStr"/>
    </row>
    <row r="788" ht="15" customHeight="1">
      <c r="A788" t="inlineStr">
        <is>
          <t>A 61533-2024</t>
        </is>
      </c>
      <c r="B788" s="1" t="n">
        <v>45646</v>
      </c>
      <c r="C788" s="1" t="n">
        <v>45970</v>
      </c>
      <c r="D788" t="inlineStr">
        <is>
          <t>SKÅNE LÄN</t>
        </is>
      </c>
      <c r="E788" t="inlineStr">
        <is>
          <t>HÄSSLEHOLM</t>
        </is>
      </c>
      <c r="G788" t="n">
        <v>4.5</v>
      </c>
      <c r="H788" t="n">
        <v>0</v>
      </c>
      <c r="I788" t="n">
        <v>0</v>
      </c>
      <c r="J788" t="n">
        <v>0</v>
      </c>
      <c r="K788" t="n">
        <v>0</v>
      </c>
      <c r="L788" t="n">
        <v>0</v>
      </c>
      <c r="M788" t="n">
        <v>0</v>
      </c>
      <c r="N788" t="n">
        <v>0</v>
      </c>
      <c r="O788" t="n">
        <v>0</v>
      </c>
      <c r="P788" t="n">
        <v>0</v>
      </c>
      <c r="Q788" t="n">
        <v>0</v>
      </c>
      <c r="R788" s="2" t="inlineStr"/>
    </row>
    <row r="789" ht="15" customHeight="1">
      <c r="A789" t="inlineStr">
        <is>
          <t>A 61537-2024</t>
        </is>
      </c>
      <c r="B789" s="1" t="n">
        <v>45646</v>
      </c>
      <c r="C789" s="1" t="n">
        <v>45970</v>
      </c>
      <c r="D789" t="inlineStr">
        <is>
          <t>SKÅNE LÄN</t>
        </is>
      </c>
      <c r="E789" t="inlineStr">
        <is>
          <t>HÄSSLEHOLM</t>
        </is>
      </c>
      <c r="G789" t="n">
        <v>3.7</v>
      </c>
      <c r="H789" t="n">
        <v>0</v>
      </c>
      <c r="I789" t="n">
        <v>0</v>
      </c>
      <c r="J789" t="n">
        <v>0</v>
      </c>
      <c r="K789" t="n">
        <v>0</v>
      </c>
      <c r="L789" t="n">
        <v>0</v>
      </c>
      <c r="M789" t="n">
        <v>0</v>
      </c>
      <c r="N789" t="n">
        <v>0</v>
      </c>
      <c r="O789" t="n">
        <v>0</v>
      </c>
      <c r="P789" t="n">
        <v>0</v>
      </c>
      <c r="Q789" t="n">
        <v>0</v>
      </c>
      <c r="R789" s="2" t="inlineStr"/>
    </row>
    <row r="790" ht="15" customHeight="1">
      <c r="A790" t="inlineStr">
        <is>
          <t>A 21638-2025</t>
        </is>
      </c>
      <c r="B790" s="1" t="n">
        <v>45783.43087962963</v>
      </c>
      <c r="C790" s="1" t="n">
        <v>45970</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7818-2024</t>
        </is>
      </c>
      <c r="B791" s="1" t="n">
        <v>45349.68872685185</v>
      </c>
      <c r="C791" s="1" t="n">
        <v>45970</v>
      </c>
      <c r="D791" t="inlineStr">
        <is>
          <t>SKÅNE LÄN</t>
        </is>
      </c>
      <c r="E791" t="inlineStr">
        <is>
          <t>HÄSSLEHOLM</t>
        </is>
      </c>
      <c r="G791" t="n">
        <v>2.5</v>
      </c>
      <c r="H791" t="n">
        <v>0</v>
      </c>
      <c r="I791" t="n">
        <v>0</v>
      </c>
      <c r="J791" t="n">
        <v>0</v>
      </c>
      <c r="K791" t="n">
        <v>0</v>
      </c>
      <c r="L791" t="n">
        <v>0</v>
      </c>
      <c r="M791" t="n">
        <v>0</v>
      </c>
      <c r="N791" t="n">
        <v>0</v>
      </c>
      <c r="O791" t="n">
        <v>0</v>
      </c>
      <c r="P791" t="n">
        <v>0</v>
      </c>
      <c r="Q791" t="n">
        <v>0</v>
      </c>
      <c r="R791" s="2" t="inlineStr"/>
    </row>
    <row r="792" ht="15" customHeight="1">
      <c r="A792" t="inlineStr">
        <is>
          <t>A 34187-2023</t>
        </is>
      </c>
      <c r="B792" s="1" t="n">
        <v>45138</v>
      </c>
      <c r="C792" s="1" t="n">
        <v>45970</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11019-2025</t>
        </is>
      </c>
      <c r="B793" s="1" t="n">
        <v>45723</v>
      </c>
      <c r="C793" s="1" t="n">
        <v>45970</v>
      </c>
      <c r="D793" t="inlineStr">
        <is>
          <t>SKÅNE LÄN</t>
        </is>
      </c>
      <c r="E793" t="inlineStr">
        <is>
          <t>HÄSSLEHOLM</t>
        </is>
      </c>
      <c r="G793" t="n">
        <v>3.2</v>
      </c>
      <c r="H793" t="n">
        <v>0</v>
      </c>
      <c r="I793" t="n">
        <v>0</v>
      </c>
      <c r="J793" t="n">
        <v>0</v>
      </c>
      <c r="K793" t="n">
        <v>0</v>
      </c>
      <c r="L793" t="n">
        <v>0</v>
      </c>
      <c r="M793" t="n">
        <v>0</v>
      </c>
      <c r="N793" t="n">
        <v>0</v>
      </c>
      <c r="O793" t="n">
        <v>0</v>
      </c>
      <c r="P793" t="n">
        <v>0</v>
      </c>
      <c r="Q793" t="n">
        <v>0</v>
      </c>
      <c r="R793" s="2" t="inlineStr"/>
    </row>
    <row r="794" ht="15" customHeight="1">
      <c r="A794" t="inlineStr">
        <is>
          <t>A 56062-2024</t>
        </is>
      </c>
      <c r="B794" s="1" t="n">
        <v>45624.37105324074</v>
      </c>
      <c r="C794" s="1" t="n">
        <v>45970</v>
      </c>
      <c r="D794" t="inlineStr">
        <is>
          <t>SKÅNE LÄN</t>
        </is>
      </c>
      <c r="E794" t="inlineStr">
        <is>
          <t>HÄSSLEHOLM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45299-2024</t>
        </is>
      </c>
      <c r="B795" s="1" t="n">
        <v>45576.40599537037</v>
      </c>
      <c r="C795" s="1" t="n">
        <v>45970</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39111-2023</t>
        </is>
      </c>
      <c r="B796" s="1" t="n">
        <v>45164.87140046297</v>
      </c>
      <c r="C796" s="1" t="n">
        <v>45970</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34369-2023</t>
        </is>
      </c>
      <c r="B797" s="1" t="n">
        <v>45139.47817129629</v>
      </c>
      <c r="C797" s="1" t="n">
        <v>45970</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27297-2023</t>
        </is>
      </c>
      <c r="B798" s="1" t="n">
        <v>45096</v>
      </c>
      <c r="C798" s="1" t="n">
        <v>45970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60851-2024</t>
        </is>
      </c>
      <c r="B799" s="1" t="n">
        <v>45644.66182870371</v>
      </c>
      <c r="C799" s="1" t="n">
        <v>45970</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317-2025</t>
        </is>
      </c>
      <c r="B800" s="1" t="n">
        <v>45660</v>
      </c>
      <c r="C800" s="1" t="n">
        <v>45970</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21625-2025</t>
        </is>
      </c>
      <c r="B801" s="1" t="n">
        <v>45783.41252314814</v>
      </c>
      <c r="C801" s="1" t="n">
        <v>45970</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49845-2025</t>
        </is>
      </c>
      <c r="B802" s="1" t="n">
        <v>45940.48015046296</v>
      </c>
      <c r="C802" s="1" t="n">
        <v>45970</v>
      </c>
      <c r="D802" t="inlineStr">
        <is>
          <t>SKÅNE LÄN</t>
        </is>
      </c>
      <c r="E802" t="inlineStr">
        <is>
          <t>HÄSSLEHOLM</t>
        </is>
      </c>
      <c r="G802" t="n">
        <v>1.1</v>
      </c>
      <c r="H802" t="n">
        <v>0</v>
      </c>
      <c r="I802" t="n">
        <v>0</v>
      </c>
      <c r="J802" t="n">
        <v>0</v>
      </c>
      <c r="K802" t="n">
        <v>0</v>
      </c>
      <c r="L802" t="n">
        <v>0</v>
      </c>
      <c r="M802" t="n">
        <v>0</v>
      </c>
      <c r="N802" t="n">
        <v>0</v>
      </c>
      <c r="O802" t="n">
        <v>0</v>
      </c>
      <c r="P802" t="n">
        <v>0</v>
      </c>
      <c r="Q802" t="n">
        <v>0</v>
      </c>
      <c r="R802" s="2" t="inlineStr"/>
    </row>
    <row r="803" ht="15" customHeight="1">
      <c r="A803" t="inlineStr">
        <is>
          <t>A 60920-2024</t>
        </is>
      </c>
      <c r="B803" s="1" t="n">
        <v>45645.34442129629</v>
      </c>
      <c r="C803" s="1" t="n">
        <v>45970</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30092-2025</t>
        </is>
      </c>
      <c r="B804" s="1" t="n">
        <v>45826</v>
      </c>
      <c r="C804" s="1" t="n">
        <v>45970</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1703-2025</t>
        </is>
      </c>
      <c r="B805" s="1" t="n">
        <v>45670.80732638889</v>
      </c>
      <c r="C805" s="1" t="n">
        <v>45970</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22024-2025</t>
        </is>
      </c>
      <c r="B806" s="1" t="n">
        <v>45784.85322916666</v>
      </c>
      <c r="C806" s="1" t="n">
        <v>45970</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29274-2023</t>
        </is>
      </c>
      <c r="B807" s="1" t="n">
        <v>45105</v>
      </c>
      <c r="C807" s="1" t="n">
        <v>45970</v>
      </c>
      <c r="D807" t="inlineStr">
        <is>
          <t>SKÅNE LÄN</t>
        </is>
      </c>
      <c r="E807" t="inlineStr">
        <is>
          <t>HÄSSLEHOLM</t>
        </is>
      </c>
      <c r="G807" t="n">
        <v>3.4</v>
      </c>
      <c r="H807" t="n">
        <v>0</v>
      </c>
      <c r="I807" t="n">
        <v>0</v>
      </c>
      <c r="J807" t="n">
        <v>0</v>
      </c>
      <c r="K807" t="n">
        <v>0</v>
      </c>
      <c r="L807" t="n">
        <v>0</v>
      </c>
      <c r="M807" t="n">
        <v>0</v>
      </c>
      <c r="N807" t="n">
        <v>0</v>
      </c>
      <c r="O807" t="n">
        <v>0</v>
      </c>
      <c r="P807" t="n">
        <v>0</v>
      </c>
      <c r="Q807" t="n">
        <v>0</v>
      </c>
      <c r="R807" s="2" t="inlineStr"/>
    </row>
    <row r="808" ht="15" customHeight="1">
      <c r="A808" t="inlineStr">
        <is>
          <t>A 8378-2023</t>
        </is>
      </c>
      <c r="B808" s="1" t="n">
        <v>44971</v>
      </c>
      <c r="C808" s="1" t="n">
        <v>45970</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34890-2023</t>
        </is>
      </c>
      <c r="B809" s="1" t="n">
        <v>45142.39475694444</v>
      </c>
      <c r="C809" s="1" t="n">
        <v>45970</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3886-2024</t>
        </is>
      </c>
      <c r="B810" s="1" t="n">
        <v>45322.44539351852</v>
      </c>
      <c r="C810" s="1" t="n">
        <v>45970</v>
      </c>
      <c r="D810" t="inlineStr">
        <is>
          <t>SKÅNE LÄN</t>
        </is>
      </c>
      <c r="E810" t="inlineStr">
        <is>
          <t>HÄSSLEHOLM</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61932-2023</t>
        </is>
      </c>
      <c r="B811" s="1" t="n">
        <v>45266.53761574074</v>
      </c>
      <c r="C811" s="1" t="n">
        <v>45970</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13149-2024</t>
        </is>
      </c>
      <c r="B812" s="1" t="n">
        <v>45386</v>
      </c>
      <c r="C812" s="1" t="n">
        <v>45970</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60704-2023</t>
        </is>
      </c>
      <c r="B813" s="1" t="n">
        <v>45260.51340277777</v>
      </c>
      <c r="C813" s="1" t="n">
        <v>45970</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61569-2023</t>
        </is>
      </c>
      <c r="B814" s="1" t="n">
        <v>45265</v>
      </c>
      <c r="C814" s="1" t="n">
        <v>45970</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53466-2024</t>
        </is>
      </c>
      <c r="B815" s="1" t="n">
        <v>45614.55304398148</v>
      </c>
      <c r="C815" s="1" t="n">
        <v>45970</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10230-2025</t>
        </is>
      </c>
      <c r="B816" s="1" t="n">
        <v>45720</v>
      </c>
      <c r="C816" s="1" t="n">
        <v>45970</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30109-2025</t>
        </is>
      </c>
      <c r="B817" s="1" t="n">
        <v>45826</v>
      </c>
      <c r="C817" s="1" t="n">
        <v>45970</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19735-2023</t>
        </is>
      </c>
      <c r="B818" s="1" t="n">
        <v>45051.52199074074</v>
      </c>
      <c r="C818" s="1" t="n">
        <v>45970</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48797-2023</t>
        </is>
      </c>
      <c r="B819" s="1" t="n">
        <v>45209.24986111111</v>
      </c>
      <c r="C819" s="1" t="n">
        <v>45970</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5532-2025</t>
        </is>
      </c>
      <c r="B820" s="1" t="n">
        <v>45693</v>
      </c>
      <c r="C820" s="1" t="n">
        <v>45970</v>
      </c>
      <c r="D820" t="inlineStr">
        <is>
          <t>SKÅNE LÄN</t>
        </is>
      </c>
      <c r="E820" t="inlineStr">
        <is>
          <t>HÄSSLEHOLM</t>
        </is>
      </c>
      <c r="G820" t="n">
        <v>2.4</v>
      </c>
      <c r="H820" t="n">
        <v>0</v>
      </c>
      <c r="I820" t="n">
        <v>0</v>
      </c>
      <c r="J820" t="n">
        <v>0</v>
      </c>
      <c r="K820" t="n">
        <v>0</v>
      </c>
      <c r="L820" t="n">
        <v>0</v>
      </c>
      <c r="M820" t="n">
        <v>0</v>
      </c>
      <c r="N820" t="n">
        <v>0</v>
      </c>
      <c r="O820" t="n">
        <v>0</v>
      </c>
      <c r="P820" t="n">
        <v>0</v>
      </c>
      <c r="Q820" t="n">
        <v>0</v>
      </c>
      <c r="R820" s="2" t="inlineStr"/>
    </row>
    <row r="821" ht="15" customHeight="1">
      <c r="A821" t="inlineStr">
        <is>
          <t>A 55662-2022</t>
        </is>
      </c>
      <c r="B821" s="1" t="n">
        <v>44883</v>
      </c>
      <c r="C821" s="1" t="n">
        <v>45970</v>
      </c>
      <c r="D821" t="inlineStr">
        <is>
          <t>SKÅNE LÄN</t>
        </is>
      </c>
      <c r="E821" t="inlineStr">
        <is>
          <t>HÄSSLEHOLM</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315-2022</t>
        </is>
      </c>
      <c r="B822" s="1" t="n">
        <v>44565.55630787037</v>
      </c>
      <c r="C822" s="1" t="n">
        <v>45970</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29844-2024</t>
        </is>
      </c>
      <c r="B823" s="1" t="n">
        <v>45485</v>
      </c>
      <c r="C823" s="1" t="n">
        <v>45970</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40536-2024</t>
        </is>
      </c>
      <c r="B824" s="1" t="n">
        <v>45555.61314814815</v>
      </c>
      <c r="C824" s="1" t="n">
        <v>45970</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33266-2024</t>
        </is>
      </c>
      <c r="B825" s="1" t="n">
        <v>45518</v>
      </c>
      <c r="C825" s="1" t="n">
        <v>45970</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31161-2024</t>
        </is>
      </c>
      <c r="B826" s="1" t="n">
        <v>45503</v>
      </c>
      <c r="C826" s="1" t="n">
        <v>45970</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33067-2024</t>
        </is>
      </c>
      <c r="B827" s="1" t="n">
        <v>45517.6520949074</v>
      </c>
      <c r="C827" s="1" t="n">
        <v>45970</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56386-2023</t>
        </is>
      </c>
      <c r="B828" s="1" t="n">
        <v>45243</v>
      </c>
      <c r="C828" s="1" t="n">
        <v>45970</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2490-2024</t>
        </is>
      </c>
      <c r="B829" s="1" t="n">
        <v>45313.43649305555</v>
      </c>
      <c r="C829" s="1" t="n">
        <v>45970</v>
      </c>
      <c r="D829" t="inlineStr">
        <is>
          <t>SKÅNE LÄN</t>
        </is>
      </c>
      <c r="E829" t="inlineStr">
        <is>
          <t>HÄSSLEHOLM</t>
        </is>
      </c>
      <c r="G829" t="n">
        <v>4</v>
      </c>
      <c r="H829" t="n">
        <v>0</v>
      </c>
      <c r="I829" t="n">
        <v>0</v>
      </c>
      <c r="J829" t="n">
        <v>0</v>
      </c>
      <c r="K829" t="n">
        <v>0</v>
      </c>
      <c r="L829" t="n">
        <v>0</v>
      </c>
      <c r="M829" t="n">
        <v>0</v>
      </c>
      <c r="N829" t="n">
        <v>0</v>
      </c>
      <c r="O829" t="n">
        <v>0</v>
      </c>
      <c r="P829" t="n">
        <v>0</v>
      </c>
      <c r="Q829" t="n">
        <v>0</v>
      </c>
      <c r="R829" s="2" t="inlineStr"/>
    </row>
    <row r="830" ht="15" customHeight="1">
      <c r="A830" t="inlineStr">
        <is>
          <t>A 50244-2024</t>
        </is>
      </c>
      <c r="B830" s="1" t="n">
        <v>45600.56502314815</v>
      </c>
      <c r="C830" s="1" t="n">
        <v>45970</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9924-2025</t>
        </is>
      </c>
      <c r="B831" s="1" t="n">
        <v>45717.72505787037</v>
      </c>
      <c r="C831" s="1" t="n">
        <v>45970</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38888-2023</t>
        </is>
      </c>
      <c r="B832" s="1" t="n">
        <v>45161</v>
      </c>
      <c r="C832" s="1" t="n">
        <v>45970</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13007-2024</t>
        </is>
      </c>
      <c r="B833" s="1" t="n">
        <v>45385.57092592592</v>
      </c>
      <c r="C833" s="1" t="n">
        <v>45970</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23007-2025</t>
        </is>
      </c>
      <c r="B834" s="1" t="n">
        <v>45790</v>
      </c>
      <c r="C834" s="1" t="n">
        <v>45970</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7221-2025</t>
        </is>
      </c>
      <c r="B835" s="1" t="n">
        <v>45701</v>
      </c>
      <c r="C835" s="1" t="n">
        <v>45970</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74030-2021</t>
        </is>
      </c>
      <c r="B836" s="1" t="n">
        <v>44553</v>
      </c>
      <c r="C836" s="1" t="n">
        <v>45970</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27606-2024</t>
        </is>
      </c>
      <c r="B837" s="1" t="n">
        <v>45474</v>
      </c>
      <c r="C837" s="1" t="n">
        <v>45970</v>
      </c>
      <c r="D837" t="inlineStr">
        <is>
          <t>SKÅNE LÄN</t>
        </is>
      </c>
      <c r="E837" t="inlineStr">
        <is>
          <t>HÄSSLEHOLM</t>
        </is>
      </c>
      <c r="G837" t="n">
        <v>3.6</v>
      </c>
      <c r="H837" t="n">
        <v>0</v>
      </c>
      <c r="I837" t="n">
        <v>0</v>
      </c>
      <c r="J837" t="n">
        <v>0</v>
      </c>
      <c r="K837" t="n">
        <v>0</v>
      </c>
      <c r="L837" t="n">
        <v>0</v>
      </c>
      <c r="M837" t="n">
        <v>0</v>
      </c>
      <c r="N837" t="n">
        <v>0</v>
      </c>
      <c r="O837" t="n">
        <v>0</v>
      </c>
      <c r="P837" t="n">
        <v>0</v>
      </c>
      <c r="Q837" t="n">
        <v>0</v>
      </c>
      <c r="R837" s="2" t="inlineStr"/>
    </row>
    <row r="838" ht="15" customHeight="1">
      <c r="A838" t="inlineStr">
        <is>
          <t>A 56735-2024</t>
        </is>
      </c>
      <c r="B838" s="1" t="n">
        <v>45628.36234953703</v>
      </c>
      <c r="C838" s="1" t="n">
        <v>45970</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2621-2025</t>
        </is>
      </c>
      <c r="B839" s="1" t="n">
        <v>45675.60765046296</v>
      </c>
      <c r="C839" s="1" t="n">
        <v>45970</v>
      </c>
      <c r="D839" t="inlineStr">
        <is>
          <t>SKÅNE LÄN</t>
        </is>
      </c>
      <c r="E839" t="inlineStr">
        <is>
          <t>HÄSSLEHOLM</t>
        </is>
      </c>
      <c r="F839" t="inlineStr">
        <is>
          <t>Kommuner</t>
        </is>
      </c>
      <c r="G839" t="n">
        <v>3</v>
      </c>
      <c r="H839" t="n">
        <v>0</v>
      </c>
      <c r="I839" t="n">
        <v>0</v>
      </c>
      <c r="J839" t="n">
        <v>0</v>
      </c>
      <c r="K839" t="n">
        <v>0</v>
      </c>
      <c r="L839" t="n">
        <v>0</v>
      </c>
      <c r="M839" t="n">
        <v>0</v>
      </c>
      <c r="N839" t="n">
        <v>0</v>
      </c>
      <c r="O839" t="n">
        <v>0</v>
      </c>
      <c r="P839" t="n">
        <v>0</v>
      </c>
      <c r="Q839" t="n">
        <v>0</v>
      </c>
      <c r="R839" s="2" t="inlineStr"/>
    </row>
    <row r="840" ht="15" customHeight="1">
      <c r="A840" t="inlineStr">
        <is>
          <t>A 23005-2025</t>
        </is>
      </c>
      <c r="B840" s="1" t="n">
        <v>45790</v>
      </c>
      <c r="C840" s="1" t="n">
        <v>45970</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8737-2025</t>
        </is>
      </c>
      <c r="B841" s="1" t="n">
        <v>45712.54578703704</v>
      </c>
      <c r="C841" s="1" t="n">
        <v>45970</v>
      </c>
      <c r="D841" t="inlineStr">
        <is>
          <t>SKÅNE LÄN</t>
        </is>
      </c>
      <c r="E841" t="inlineStr">
        <is>
          <t>HÄSSLEHOLM</t>
        </is>
      </c>
      <c r="G841" t="n">
        <v>2.7</v>
      </c>
      <c r="H841" t="n">
        <v>0</v>
      </c>
      <c r="I841" t="n">
        <v>0</v>
      </c>
      <c r="J841" t="n">
        <v>0</v>
      </c>
      <c r="K841" t="n">
        <v>0</v>
      </c>
      <c r="L841" t="n">
        <v>0</v>
      </c>
      <c r="M841" t="n">
        <v>0</v>
      </c>
      <c r="N841" t="n">
        <v>0</v>
      </c>
      <c r="O841" t="n">
        <v>0</v>
      </c>
      <c r="P841" t="n">
        <v>0</v>
      </c>
      <c r="Q841" t="n">
        <v>0</v>
      </c>
      <c r="R841" s="2" t="inlineStr"/>
    </row>
    <row r="842" ht="15" customHeight="1">
      <c r="A842" t="inlineStr">
        <is>
          <t>A 22587-2025</t>
        </is>
      </c>
      <c r="B842" s="1" t="n">
        <v>45789.39974537037</v>
      </c>
      <c r="C842" s="1" t="n">
        <v>45970</v>
      </c>
      <c r="D842" t="inlineStr">
        <is>
          <t>SKÅNE LÄN</t>
        </is>
      </c>
      <c r="E842" t="inlineStr">
        <is>
          <t>HÄSSLEHOLM</t>
        </is>
      </c>
      <c r="G842" t="n">
        <v>5.7</v>
      </c>
      <c r="H842" t="n">
        <v>0</v>
      </c>
      <c r="I842" t="n">
        <v>0</v>
      </c>
      <c r="J842" t="n">
        <v>0</v>
      </c>
      <c r="K842" t="n">
        <v>0</v>
      </c>
      <c r="L842" t="n">
        <v>0</v>
      </c>
      <c r="M842" t="n">
        <v>0</v>
      </c>
      <c r="N842" t="n">
        <v>0</v>
      </c>
      <c r="O842" t="n">
        <v>0</v>
      </c>
      <c r="P842" t="n">
        <v>0</v>
      </c>
      <c r="Q842" t="n">
        <v>0</v>
      </c>
      <c r="R842" s="2" t="inlineStr"/>
    </row>
    <row r="843" ht="15" customHeight="1">
      <c r="A843" t="inlineStr">
        <is>
          <t>A 22592-2025</t>
        </is>
      </c>
      <c r="B843" s="1" t="n">
        <v>45789.40502314815</v>
      </c>
      <c r="C843" s="1" t="n">
        <v>45970</v>
      </c>
      <c r="D843" t="inlineStr">
        <is>
          <t>SKÅNE LÄN</t>
        </is>
      </c>
      <c r="E843" t="inlineStr">
        <is>
          <t>HÄSSLEHOLM</t>
        </is>
      </c>
      <c r="G843" t="n">
        <v>7.1</v>
      </c>
      <c r="H843" t="n">
        <v>0</v>
      </c>
      <c r="I843" t="n">
        <v>0</v>
      </c>
      <c r="J843" t="n">
        <v>0</v>
      </c>
      <c r="K843" t="n">
        <v>0</v>
      </c>
      <c r="L843" t="n">
        <v>0</v>
      </c>
      <c r="M843" t="n">
        <v>0</v>
      </c>
      <c r="N843" t="n">
        <v>0</v>
      </c>
      <c r="O843" t="n">
        <v>0</v>
      </c>
      <c r="P843" t="n">
        <v>0</v>
      </c>
      <c r="Q843" t="n">
        <v>0</v>
      </c>
      <c r="R843" s="2" t="inlineStr"/>
    </row>
    <row r="844" ht="15" customHeight="1">
      <c r="A844" t="inlineStr">
        <is>
          <t>A 5992-2022</t>
        </is>
      </c>
      <c r="B844" s="1" t="n">
        <v>44599</v>
      </c>
      <c r="C844" s="1" t="n">
        <v>45970</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11240-2023</t>
        </is>
      </c>
      <c r="B845" s="1" t="n">
        <v>44992</v>
      </c>
      <c r="C845" s="1" t="n">
        <v>45970</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3248-2022</t>
        </is>
      </c>
      <c r="B846" s="1" t="n">
        <v>44583</v>
      </c>
      <c r="C846" s="1" t="n">
        <v>45970</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17171-2025</t>
        </is>
      </c>
      <c r="B847" s="1" t="n">
        <v>45755</v>
      </c>
      <c r="C847" s="1" t="n">
        <v>45970</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6310-2025</t>
        </is>
      </c>
      <c r="B848" s="1" t="n">
        <v>45698</v>
      </c>
      <c r="C848" s="1" t="n">
        <v>45970</v>
      </c>
      <c r="D848" t="inlineStr">
        <is>
          <t>SKÅNE LÄN</t>
        </is>
      </c>
      <c r="E848" t="inlineStr">
        <is>
          <t>HÄSSLEHOLM</t>
        </is>
      </c>
      <c r="G848" t="n">
        <v>2.7</v>
      </c>
      <c r="H848" t="n">
        <v>0</v>
      </c>
      <c r="I848" t="n">
        <v>0</v>
      </c>
      <c r="J848" t="n">
        <v>0</v>
      </c>
      <c r="K848" t="n">
        <v>0</v>
      </c>
      <c r="L848" t="n">
        <v>0</v>
      </c>
      <c r="M848" t="n">
        <v>0</v>
      </c>
      <c r="N848" t="n">
        <v>0</v>
      </c>
      <c r="O848" t="n">
        <v>0</v>
      </c>
      <c r="P848" t="n">
        <v>0</v>
      </c>
      <c r="Q848" t="n">
        <v>0</v>
      </c>
      <c r="R848" s="2" t="inlineStr"/>
    </row>
    <row r="849" ht="15" customHeight="1">
      <c r="A849" t="inlineStr">
        <is>
          <t>A 13954-2023</t>
        </is>
      </c>
      <c r="B849" s="1" t="n">
        <v>45008</v>
      </c>
      <c r="C849" s="1" t="n">
        <v>45970</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51018-2023</t>
        </is>
      </c>
      <c r="B850" s="1" t="n">
        <v>45218</v>
      </c>
      <c r="C850" s="1" t="n">
        <v>45970</v>
      </c>
      <c r="D850" t="inlineStr">
        <is>
          <t>SKÅNE LÄN</t>
        </is>
      </c>
      <c r="E850" t="inlineStr">
        <is>
          <t>HÄSSLEHOLM</t>
        </is>
      </c>
      <c r="G850" t="n">
        <v>3.1</v>
      </c>
      <c r="H850" t="n">
        <v>0</v>
      </c>
      <c r="I850" t="n">
        <v>0</v>
      </c>
      <c r="J850" t="n">
        <v>0</v>
      </c>
      <c r="K850" t="n">
        <v>0</v>
      </c>
      <c r="L850" t="n">
        <v>0</v>
      </c>
      <c r="M850" t="n">
        <v>0</v>
      </c>
      <c r="N850" t="n">
        <v>0</v>
      </c>
      <c r="O850" t="n">
        <v>0</v>
      </c>
      <c r="P850" t="n">
        <v>0</v>
      </c>
      <c r="Q850" t="n">
        <v>0</v>
      </c>
      <c r="R850" s="2" t="inlineStr"/>
    </row>
    <row r="851" ht="15" customHeight="1">
      <c r="A851" t="inlineStr">
        <is>
          <t>A 40152-2024</t>
        </is>
      </c>
      <c r="B851" s="1" t="n">
        <v>45554</v>
      </c>
      <c r="C851" s="1" t="n">
        <v>45970</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31254-2024</t>
        </is>
      </c>
      <c r="B852" s="1" t="n">
        <v>45503</v>
      </c>
      <c r="C852" s="1" t="n">
        <v>45970</v>
      </c>
      <c r="D852" t="inlineStr">
        <is>
          <t>SKÅNE LÄN</t>
        </is>
      </c>
      <c r="E852" t="inlineStr">
        <is>
          <t>HÄSSLEHOLM</t>
        </is>
      </c>
      <c r="G852" t="n">
        <v>2.2</v>
      </c>
      <c r="H852" t="n">
        <v>0</v>
      </c>
      <c r="I852" t="n">
        <v>0</v>
      </c>
      <c r="J852" t="n">
        <v>0</v>
      </c>
      <c r="K852" t="n">
        <v>0</v>
      </c>
      <c r="L852" t="n">
        <v>0</v>
      </c>
      <c r="M852" t="n">
        <v>0</v>
      </c>
      <c r="N852" t="n">
        <v>0</v>
      </c>
      <c r="O852" t="n">
        <v>0</v>
      </c>
      <c r="P852" t="n">
        <v>0</v>
      </c>
      <c r="Q852" t="n">
        <v>0</v>
      </c>
      <c r="R852" s="2" t="inlineStr"/>
    </row>
    <row r="853" ht="15" customHeight="1">
      <c r="A853" t="inlineStr">
        <is>
          <t>A 27825-2024</t>
        </is>
      </c>
      <c r="B853" s="1" t="n">
        <v>45475</v>
      </c>
      <c r="C853" s="1" t="n">
        <v>45970</v>
      </c>
      <c r="D853" t="inlineStr">
        <is>
          <t>SKÅNE LÄN</t>
        </is>
      </c>
      <c r="E853" t="inlineStr">
        <is>
          <t>HÄSSLEHOLM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11753-2025</t>
        </is>
      </c>
      <c r="B854" s="1" t="n">
        <v>45727</v>
      </c>
      <c r="C854" s="1" t="n">
        <v>45970</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37764-2022</t>
        </is>
      </c>
      <c r="B855" s="1" t="n">
        <v>44810</v>
      </c>
      <c r="C855" s="1" t="n">
        <v>45970</v>
      </c>
      <c r="D855" t="inlineStr">
        <is>
          <t>SKÅNE LÄN</t>
        </is>
      </c>
      <c r="E855" t="inlineStr">
        <is>
          <t>HÄSSLEHOLM</t>
        </is>
      </c>
      <c r="F855" t="inlineStr">
        <is>
          <t>Kyrkan</t>
        </is>
      </c>
      <c r="G855" t="n">
        <v>9.4</v>
      </c>
      <c r="H855" t="n">
        <v>0</v>
      </c>
      <c r="I855" t="n">
        <v>0</v>
      </c>
      <c r="J855" t="n">
        <v>0</v>
      </c>
      <c r="K855" t="n">
        <v>0</v>
      </c>
      <c r="L855" t="n">
        <v>0</v>
      </c>
      <c r="M855" t="n">
        <v>0</v>
      </c>
      <c r="N855" t="n">
        <v>0</v>
      </c>
      <c r="O855" t="n">
        <v>0</v>
      </c>
      <c r="P855" t="n">
        <v>0</v>
      </c>
      <c r="Q855" t="n">
        <v>0</v>
      </c>
      <c r="R855" s="2" t="inlineStr"/>
    </row>
    <row r="856" ht="15" customHeight="1">
      <c r="A856" t="inlineStr">
        <is>
          <t>A 16474-2025</t>
        </is>
      </c>
      <c r="B856" s="1" t="n">
        <v>45751.56834490741</v>
      </c>
      <c r="C856" s="1" t="n">
        <v>45970</v>
      </c>
      <c r="D856" t="inlineStr">
        <is>
          <t>SKÅNE LÄN</t>
        </is>
      </c>
      <c r="E856" t="inlineStr">
        <is>
          <t>HÄSSLEHOLM</t>
        </is>
      </c>
      <c r="G856" t="n">
        <v>5.9</v>
      </c>
      <c r="H856" t="n">
        <v>0</v>
      </c>
      <c r="I856" t="n">
        <v>0</v>
      </c>
      <c r="J856" t="n">
        <v>0</v>
      </c>
      <c r="K856" t="n">
        <v>0</v>
      </c>
      <c r="L856" t="n">
        <v>0</v>
      </c>
      <c r="M856" t="n">
        <v>0</v>
      </c>
      <c r="N856" t="n">
        <v>0</v>
      </c>
      <c r="O856" t="n">
        <v>0</v>
      </c>
      <c r="P856" t="n">
        <v>0</v>
      </c>
      <c r="Q856" t="n">
        <v>0</v>
      </c>
      <c r="R856" s="2" t="inlineStr"/>
    </row>
    <row r="857" ht="15" customHeight="1">
      <c r="A857" t="inlineStr">
        <is>
          <t>A 8524-2024</t>
        </is>
      </c>
      <c r="B857" s="1" t="n">
        <v>45355.48570601852</v>
      </c>
      <c r="C857" s="1" t="n">
        <v>45970</v>
      </c>
      <c r="D857" t="inlineStr">
        <is>
          <t>SKÅNE LÄN</t>
        </is>
      </c>
      <c r="E857" t="inlineStr">
        <is>
          <t>HÄSSLEHOLM</t>
        </is>
      </c>
      <c r="G857" t="n">
        <v>4</v>
      </c>
      <c r="H857" t="n">
        <v>0</v>
      </c>
      <c r="I857" t="n">
        <v>0</v>
      </c>
      <c r="J857" t="n">
        <v>0</v>
      </c>
      <c r="K857" t="n">
        <v>0</v>
      </c>
      <c r="L857" t="n">
        <v>0</v>
      </c>
      <c r="M857" t="n">
        <v>0</v>
      </c>
      <c r="N857" t="n">
        <v>0</v>
      </c>
      <c r="O857" t="n">
        <v>0</v>
      </c>
      <c r="P857" t="n">
        <v>0</v>
      </c>
      <c r="Q857" t="n">
        <v>0</v>
      </c>
      <c r="R857" s="2" t="inlineStr"/>
    </row>
    <row r="858" ht="15" customHeight="1">
      <c r="A858" t="inlineStr">
        <is>
          <t>A 22157-2024</t>
        </is>
      </c>
      <c r="B858" s="1" t="n">
        <v>45445.85290509259</v>
      </c>
      <c r="C858" s="1" t="n">
        <v>45970</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14145-2023</t>
        </is>
      </c>
      <c r="B859" s="1" t="n">
        <v>45009</v>
      </c>
      <c r="C859" s="1" t="n">
        <v>45970</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37486-2024</t>
        </is>
      </c>
      <c r="B860" s="1" t="n">
        <v>45541</v>
      </c>
      <c r="C860" s="1" t="n">
        <v>45970</v>
      </c>
      <c r="D860" t="inlineStr">
        <is>
          <t>SKÅNE LÄN</t>
        </is>
      </c>
      <c r="E860" t="inlineStr">
        <is>
          <t>HÄSSLEHOLM</t>
        </is>
      </c>
      <c r="G860" t="n">
        <v>8.5</v>
      </c>
      <c r="H860" t="n">
        <v>0</v>
      </c>
      <c r="I860" t="n">
        <v>0</v>
      </c>
      <c r="J860" t="n">
        <v>0</v>
      </c>
      <c r="K860" t="n">
        <v>0</v>
      </c>
      <c r="L860" t="n">
        <v>0</v>
      </c>
      <c r="M860" t="n">
        <v>0</v>
      </c>
      <c r="N860" t="n">
        <v>0</v>
      </c>
      <c r="O860" t="n">
        <v>0</v>
      </c>
      <c r="P860" t="n">
        <v>0</v>
      </c>
      <c r="Q860" t="n">
        <v>0</v>
      </c>
      <c r="R860" s="2" t="inlineStr"/>
    </row>
    <row r="861" ht="15" customHeight="1">
      <c r="A861" t="inlineStr">
        <is>
          <t>A 44838-2023</t>
        </is>
      </c>
      <c r="B861" s="1" t="n">
        <v>45190</v>
      </c>
      <c r="C861" s="1" t="n">
        <v>45970</v>
      </c>
      <c r="D861" t="inlineStr">
        <is>
          <t>SKÅNE LÄN</t>
        </is>
      </c>
      <c r="E861" t="inlineStr">
        <is>
          <t>HÄSSLEHOLM</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12344-2023</t>
        </is>
      </c>
      <c r="B862" s="1" t="n">
        <v>44999</v>
      </c>
      <c r="C862" s="1" t="n">
        <v>45970</v>
      </c>
      <c r="D862" t="inlineStr">
        <is>
          <t>SKÅNE LÄN</t>
        </is>
      </c>
      <c r="E862" t="inlineStr">
        <is>
          <t>HÄSSLEHOLM</t>
        </is>
      </c>
      <c r="G862" t="n">
        <v>2.4</v>
      </c>
      <c r="H862" t="n">
        <v>0</v>
      </c>
      <c r="I862" t="n">
        <v>0</v>
      </c>
      <c r="J862" t="n">
        <v>0</v>
      </c>
      <c r="K862" t="n">
        <v>0</v>
      </c>
      <c r="L862" t="n">
        <v>0</v>
      </c>
      <c r="M862" t="n">
        <v>0</v>
      </c>
      <c r="N862" t="n">
        <v>0</v>
      </c>
      <c r="O862" t="n">
        <v>0</v>
      </c>
      <c r="P862" t="n">
        <v>0</v>
      </c>
      <c r="Q862" t="n">
        <v>0</v>
      </c>
      <c r="R862" s="2" t="inlineStr"/>
    </row>
    <row r="863" ht="15" customHeight="1">
      <c r="A863" t="inlineStr">
        <is>
          <t>A 58272-2024</t>
        </is>
      </c>
      <c r="B863" s="1" t="n">
        <v>45632.57025462963</v>
      </c>
      <c r="C863" s="1" t="n">
        <v>45970</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15072-2024</t>
        </is>
      </c>
      <c r="B864" s="1" t="n">
        <v>45399.5996875</v>
      </c>
      <c r="C864" s="1" t="n">
        <v>45970</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16930-2024</t>
        </is>
      </c>
      <c r="B865" s="1" t="n">
        <v>45411</v>
      </c>
      <c r="C865" s="1" t="n">
        <v>45970</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11262-2025</t>
        </is>
      </c>
      <c r="B866" s="1" t="n">
        <v>45726</v>
      </c>
      <c r="C866" s="1" t="n">
        <v>45970</v>
      </c>
      <c r="D866" t="inlineStr">
        <is>
          <t>SKÅNE LÄN</t>
        </is>
      </c>
      <c r="E866" t="inlineStr">
        <is>
          <t>HÄSSLEHOLM</t>
        </is>
      </c>
      <c r="G866" t="n">
        <v>1.9</v>
      </c>
      <c r="H866" t="n">
        <v>0</v>
      </c>
      <c r="I866" t="n">
        <v>0</v>
      </c>
      <c r="J866" t="n">
        <v>0</v>
      </c>
      <c r="K866" t="n">
        <v>0</v>
      </c>
      <c r="L866" t="n">
        <v>0</v>
      </c>
      <c r="M866" t="n">
        <v>0</v>
      </c>
      <c r="N866" t="n">
        <v>0</v>
      </c>
      <c r="O866" t="n">
        <v>0</v>
      </c>
      <c r="P866" t="n">
        <v>0</v>
      </c>
      <c r="Q866" t="n">
        <v>0</v>
      </c>
      <c r="R866" s="2" t="inlineStr"/>
    </row>
    <row r="867" ht="15" customHeight="1">
      <c r="A867" t="inlineStr">
        <is>
          <t>A 5395-2024</t>
        </is>
      </c>
      <c r="B867" s="1" t="n">
        <v>45331</v>
      </c>
      <c r="C867" s="1" t="n">
        <v>45970</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56069-2024</t>
        </is>
      </c>
      <c r="B868" s="1" t="n">
        <v>45624.38006944444</v>
      </c>
      <c r="C868" s="1" t="n">
        <v>45970</v>
      </c>
      <c r="D868" t="inlineStr">
        <is>
          <t>SKÅNE LÄN</t>
        </is>
      </c>
      <c r="E868" t="inlineStr">
        <is>
          <t>HÄSSLEHOLM</t>
        </is>
      </c>
      <c r="F868" t="inlineStr">
        <is>
          <t>Övriga Aktiebolag</t>
        </is>
      </c>
      <c r="G868" t="n">
        <v>2.3</v>
      </c>
      <c r="H868" t="n">
        <v>0</v>
      </c>
      <c r="I868" t="n">
        <v>0</v>
      </c>
      <c r="J868" t="n">
        <v>0</v>
      </c>
      <c r="K868" t="n">
        <v>0</v>
      </c>
      <c r="L868" t="n">
        <v>0</v>
      </c>
      <c r="M868" t="n">
        <v>0</v>
      </c>
      <c r="N868" t="n">
        <v>0</v>
      </c>
      <c r="O868" t="n">
        <v>0</v>
      </c>
      <c r="P868" t="n">
        <v>0</v>
      </c>
      <c r="Q868" t="n">
        <v>0</v>
      </c>
      <c r="R868" s="2" t="inlineStr"/>
    </row>
    <row r="869" ht="15" customHeight="1">
      <c r="A869" t="inlineStr">
        <is>
          <t>A 41400-2025</t>
        </is>
      </c>
      <c r="B869" s="1" t="n">
        <v>45901</v>
      </c>
      <c r="C869" s="1" t="n">
        <v>45970</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31391-2023</t>
        </is>
      </c>
      <c r="B870" s="1" t="n">
        <v>45114.56143518518</v>
      </c>
      <c r="C870" s="1" t="n">
        <v>45970</v>
      </c>
      <c r="D870" t="inlineStr">
        <is>
          <t>SKÅNE LÄN</t>
        </is>
      </c>
      <c r="E870" t="inlineStr">
        <is>
          <t>HÄSSLEHOLM</t>
        </is>
      </c>
      <c r="G870" t="n">
        <v>3.1</v>
      </c>
      <c r="H870" t="n">
        <v>0</v>
      </c>
      <c r="I870" t="n">
        <v>0</v>
      </c>
      <c r="J870" t="n">
        <v>0</v>
      </c>
      <c r="K870" t="n">
        <v>0</v>
      </c>
      <c r="L870" t="n">
        <v>0</v>
      </c>
      <c r="M870" t="n">
        <v>0</v>
      </c>
      <c r="N870" t="n">
        <v>0</v>
      </c>
      <c r="O870" t="n">
        <v>0</v>
      </c>
      <c r="P870" t="n">
        <v>0</v>
      </c>
      <c r="Q870" t="n">
        <v>0</v>
      </c>
      <c r="R870" s="2" t="inlineStr"/>
    </row>
    <row r="871" ht="15" customHeight="1">
      <c r="A871" t="inlineStr">
        <is>
          <t>A 60797-2024</t>
        </is>
      </c>
      <c r="B871" s="1" t="n">
        <v>45644</v>
      </c>
      <c r="C871" s="1" t="n">
        <v>45970</v>
      </c>
      <c r="D871" t="inlineStr">
        <is>
          <t>SKÅNE LÄN</t>
        </is>
      </c>
      <c r="E871" t="inlineStr">
        <is>
          <t>HÄSSLEHOLM</t>
        </is>
      </c>
      <c r="G871" t="n">
        <v>3.4</v>
      </c>
      <c r="H871" t="n">
        <v>0</v>
      </c>
      <c r="I871" t="n">
        <v>0</v>
      </c>
      <c r="J871" t="n">
        <v>0</v>
      </c>
      <c r="K871" t="n">
        <v>0</v>
      </c>
      <c r="L871" t="n">
        <v>0</v>
      </c>
      <c r="M871" t="n">
        <v>0</v>
      </c>
      <c r="N871" t="n">
        <v>0</v>
      </c>
      <c r="O871" t="n">
        <v>0</v>
      </c>
      <c r="P871" t="n">
        <v>0</v>
      </c>
      <c r="Q871" t="n">
        <v>0</v>
      </c>
      <c r="R871" s="2" t="inlineStr"/>
    </row>
    <row r="872" ht="15" customHeight="1">
      <c r="A872" t="inlineStr">
        <is>
          <t>A 45361-2023</t>
        </is>
      </c>
      <c r="B872" s="1" t="n">
        <v>45192.49068287037</v>
      </c>
      <c r="C872" s="1" t="n">
        <v>45970</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24034-2025</t>
        </is>
      </c>
      <c r="B873" s="1" t="n">
        <v>45796.48251157408</v>
      </c>
      <c r="C873" s="1" t="n">
        <v>45970</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45220-2023</t>
        </is>
      </c>
      <c r="B874" s="1" t="n">
        <v>45191</v>
      </c>
      <c r="C874" s="1" t="n">
        <v>45970</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24039-2025</t>
        </is>
      </c>
      <c r="B875" s="1" t="n">
        <v>45796.48675925926</v>
      </c>
      <c r="C875" s="1" t="n">
        <v>45970</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38712-2024</t>
        </is>
      </c>
      <c r="B876" s="1" t="n">
        <v>45547</v>
      </c>
      <c r="C876" s="1" t="n">
        <v>45970</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57647-2024</t>
        </is>
      </c>
      <c r="B877" s="1" t="n">
        <v>45630</v>
      </c>
      <c r="C877" s="1" t="n">
        <v>45970</v>
      </c>
      <c r="D877" t="inlineStr">
        <is>
          <t>SKÅNE LÄN</t>
        </is>
      </c>
      <c r="E877" t="inlineStr">
        <is>
          <t>HÄSSLEHOLM</t>
        </is>
      </c>
      <c r="G877" t="n">
        <v>2.9</v>
      </c>
      <c r="H877" t="n">
        <v>0</v>
      </c>
      <c r="I877" t="n">
        <v>0</v>
      </c>
      <c r="J877" t="n">
        <v>0</v>
      </c>
      <c r="K877" t="n">
        <v>0</v>
      </c>
      <c r="L877" t="n">
        <v>0</v>
      </c>
      <c r="M877" t="n">
        <v>0</v>
      </c>
      <c r="N877" t="n">
        <v>0</v>
      </c>
      <c r="O877" t="n">
        <v>0</v>
      </c>
      <c r="P877" t="n">
        <v>0</v>
      </c>
      <c r="Q877" t="n">
        <v>0</v>
      </c>
      <c r="R877" s="2" t="inlineStr"/>
    </row>
    <row r="878" ht="15" customHeight="1">
      <c r="A878" t="inlineStr">
        <is>
          <t>A 41401-2025</t>
        </is>
      </c>
      <c r="B878" s="1" t="n">
        <v>45901</v>
      </c>
      <c r="C878" s="1" t="n">
        <v>45970</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61182-2024</t>
        </is>
      </c>
      <c r="B879" s="1" t="n">
        <v>45645</v>
      </c>
      <c r="C879" s="1" t="n">
        <v>45970</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6596-2021</t>
        </is>
      </c>
      <c r="B880" s="1" t="n">
        <v>44236</v>
      </c>
      <c r="C880" s="1" t="n">
        <v>45970</v>
      </c>
      <c r="D880" t="inlineStr">
        <is>
          <t>SKÅNE LÄN</t>
        </is>
      </c>
      <c r="E880" t="inlineStr">
        <is>
          <t>HÄSSLEHOLM</t>
        </is>
      </c>
      <c r="G880" t="n">
        <v>2</v>
      </c>
      <c r="H880" t="n">
        <v>0</v>
      </c>
      <c r="I880" t="n">
        <v>0</v>
      </c>
      <c r="J880" t="n">
        <v>0</v>
      </c>
      <c r="K880" t="n">
        <v>0</v>
      </c>
      <c r="L880" t="n">
        <v>0</v>
      </c>
      <c r="M880" t="n">
        <v>0</v>
      </c>
      <c r="N880" t="n">
        <v>0</v>
      </c>
      <c r="O880" t="n">
        <v>0</v>
      </c>
      <c r="P880" t="n">
        <v>0</v>
      </c>
      <c r="Q880" t="n">
        <v>0</v>
      </c>
      <c r="R880" s="2" t="inlineStr"/>
    </row>
    <row r="881" ht="15" customHeight="1">
      <c r="A881" t="inlineStr">
        <is>
          <t>A 7681-2025</t>
        </is>
      </c>
      <c r="B881" s="1" t="n">
        <v>45706.36758101852</v>
      </c>
      <c r="C881" s="1" t="n">
        <v>45970</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24032-2025</t>
        </is>
      </c>
      <c r="B882" s="1" t="n">
        <v>45796.478125</v>
      </c>
      <c r="C882" s="1" t="n">
        <v>45970</v>
      </c>
      <c r="D882" t="inlineStr">
        <is>
          <t>SKÅNE LÄN</t>
        </is>
      </c>
      <c r="E882" t="inlineStr">
        <is>
          <t>HÄSSLEHOLM</t>
        </is>
      </c>
      <c r="G882" t="n">
        <v>2.2</v>
      </c>
      <c r="H882" t="n">
        <v>0</v>
      </c>
      <c r="I882" t="n">
        <v>0</v>
      </c>
      <c r="J882" t="n">
        <v>0</v>
      </c>
      <c r="K882" t="n">
        <v>0</v>
      </c>
      <c r="L882" t="n">
        <v>0</v>
      </c>
      <c r="M882" t="n">
        <v>0</v>
      </c>
      <c r="N882" t="n">
        <v>0</v>
      </c>
      <c r="O882" t="n">
        <v>0</v>
      </c>
      <c r="P882" t="n">
        <v>0</v>
      </c>
      <c r="Q882" t="n">
        <v>0</v>
      </c>
      <c r="R882" s="2" t="inlineStr"/>
    </row>
    <row r="883" ht="15" customHeight="1">
      <c r="A883" t="inlineStr">
        <is>
          <t>A 13990-2022</t>
        </is>
      </c>
      <c r="B883" s="1" t="n">
        <v>44650</v>
      </c>
      <c r="C883" s="1" t="n">
        <v>45970</v>
      </c>
      <c r="D883" t="inlineStr">
        <is>
          <t>SKÅNE LÄN</t>
        </is>
      </c>
      <c r="E883" t="inlineStr">
        <is>
          <t>HÄSSLEHOLM</t>
        </is>
      </c>
      <c r="G883" t="n">
        <v>3.6</v>
      </c>
      <c r="H883" t="n">
        <v>0</v>
      </c>
      <c r="I883" t="n">
        <v>0</v>
      </c>
      <c r="J883" t="n">
        <v>0</v>
      </c>
      <c r="K883" t="n">
        <v>0</v>
      </c>
      <c r="L883" t="n">
        <v>0</v>
      </c>
      <c r="M883" t="n">
        <v>0</v>
      </c>
      <c r="N883" t="n">
        <v>0</v>
      </c>
      <c r="O883" t="n">
        <v>0</v>
      </c>
      <c r="P883" t="n">
        <v>0</v>
      </c>
      <c r="Q883" t="n">
        <v>0</v>
      </c>
      <c r="R883" s="2" t="inlineStr"/>
    </row>
    <row r="884" ht="15" customHeight="1">
      <c r="A884" t="inlineStr">
        <is>
          <t>A 5252-2025</t>
        </is>
      </c>
      <c r="B884" s="1" t="n">
        <v>45692.3449537037</v>
      </c>
      <c r="C884" s="1" t="n">
        <v>45970</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24047-2025</t>
        </is>
      </c>
      <c r="B885" s="1" t="n">
        <v>45796.49528935185</v>
      </c>
      <c r="C885" s="1" t="n">
        <v>45970</v>
      </c>
      <c r="D885" t="inlineStr">
        <is>
          <t>SKÅNE LÄN</t>
        </is>
      </c>
      <c r="E885" t="inlineStr">
        <is>
          <t>HÄSSLEHOLM</t>
        </is>
      </c>
      <c r="G885" t="n">
        <v>1.1</v>
      </c>
      <c r="H885" t="n">
        <v>0</v>
      </c>
      <c r="I885" t="n">
        <v>0</v>
      </c>
      <c r="J885" t="n">
        <v>0</v>
      </c>
      <c r="K885" t="n">
        <v>0</v>
      </c>
      <c r="L885" t="n">
        <v>0</v>
      </c>
      <c r="M885" t="n">
        <v>0</v>
      </c>
      <c r="N885" t="n">
        <v>0</v>
      </c>
      <c r="O885" t="n">
        <v>0</v>
      </c>
      <c r="P885" t="n">
        <v>0</v>
      </c>
      <c r="Q885" t="n">
        <v>0</v>
      </c>
      <c r="R885" s="2" t="inlineStr"/>
    </row>
    <row r="886" ht="15" customHeight="1">
      <c r="A886" t="inlineStr">
        <is>
          <t>A 25219-2023</t>
        </is>
      </c>
      <c r="B886" s="1" t="n">
        <v>45086.60541666667</v>
      </c>
      <c r="C886" s="1" t="n">
        <v>45970</v>
      </c>
      <c r="D886" t="inlineStr">
        <is>
          <t>SKÅNE LÄN</t>
        </is>
      </c>
      <c r="E886" t="inlineStr">
        <is>
          <t>HÄSSLEHOLM</t>
        </is>
      </c>
      <c r="G886" t="n">
        <v>6.9</v>
      </c>
      <c r="H886" t="n">
        <v>0</v>
      </c>
      <c r="I886" t="n">
        <v>0</v>
      </c>
      <c r="J886" t="n">
        <v>0</v>
      </c>
      <c r="K886" t="n">
        <v>0</v>
      </c>
      <c r="L886" t="n">
        <v>0</v>
      </c>
      <c r="M886" t="n">
        <v>0</v>
      </c>
      <c r="N886" t="n">
        <v>0</v>
      </c>
      <c r="O886" t="n">
        <v>0</v>
      </c>
      <c r="P886" t="n">
        <v>0</v>
      </c>
      <c r="Q886" t="n">
        <v>0</v>
      </c>
      <c r="R886" s="2" t="inlineStr"/>
    </row>
    <row r="887" ht="15" customHeight="1">
      <c r="A887" t="inlineStr">
        <is>
          <t>A 9302-2025</t>
        </is>
      </c>
      <c r="B887" s="1" t="n">
        <v>45714.67233796296</v>
      </c>
      <c r="C887" s="1" t="n">
        <v>45970</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9322-2025</t>
        </is>
      </c>
      <c r="B888" s="1" t="n">
        <v>45714.72241898148</v>
      </c>
      <c r="C888" s="1" t="n">
        <v>45970</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60789-2024</t>
        </is>
      </c>
      <c r="B889" s="1" t="n">
        <v>45644</v>
      </c>
      <c r="C889" s="1" t="n">
        <v>45970</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24029-2025</t>
        </is>
      </c>
      <c r="B890" s="1" t="n">
        <v>45796.47552083333</v>
      </c>
      <c r="C890" s="1" t="n">
        <v>45970</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37300-2023</t>
        </is>
      </c>
      <c r="B891" s="1" t="n">
        <v>45156</v>
      </c>
      <c r="C891" s="1" t="n">
        <v>45970</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24675-2025</t>
        </is>
      </c>
      <c r="B892" s="1" t="n">
        <v>45798.653125</v>
      </c>
      <c r="C892" s="1" t="n">
        <v>45970</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39915-2023</t>
        </is>
      </c>
      <c r="B893" s="1" t="n">
        <v>45168.4684375</v>
      </c>
      <c r="C893" s="1" t="n">
        <v>45970</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10562-2025</t>
        </is>
      </c>
      <c r="B894" s="1" t="n">
        <v>45721.52913194444</v>
      </c>
      <c r="C894" s="1" t="n">
        <v>45970</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32512-2024</t>
        </is>
      </c>
      <c r="B895" s="1" t="n">
        <v>45513.45613425926</v>
      </c>
      <c r="C895" s="1" t="n">
        <v>45970</v>
      </c>
      <c r="D895" t="inlineStr">
        <is>
          <t>SKÅNE LÄN</t>
        </is>
      </c>
      <c r="E895" t="inlineStr">
        <is>
          <t>HÄSSLEHOLM</t>
        </is>
      </c>
      <c r="G895" t="n">
        <v>1.8</v>
      </c>
      <c r="H895" t="n">
        <v>0</v>
      </c>
      <c r="I895" t="n">
        <v>0</v>
      </c>
      <c r="J895" t="n">
        <v>0</v>
      </c>
      <c r="K895" t="n">
        <v>0</v>
      </c>
      <c r="L895" t="n">
        <v>0</v>
      </c>
      <c r="M895" t="n">
        <v>0</v>
      </c>
      <c r="N895" t="n">
        <v>0</v>
      </c>
      <c r="O895" t="n">
        <v>0</v>
      </c>
      <c r="P895" t="n">
        <v>0</v>
      </c>
      <c r="Q895" t="n">
        <v>0</v>
      </c>
      <c r="R895" s="2" t="inlineStr"/>
    </row>
    <row r="896" ht="15" customHeight="1">
      <c r="A896" t="inlineStr">
        <is>
          <t>A 55522-2024</t>
        </is>
      </c>
      <c r="B896" s="1" t="n">
        <v>45622</v>
      </c>
      <c r="C896" s="1" t="n">
        <v>45970</v>
      </c>
      <c r="D896" t="inlineStr">
        <is>
          <t>SKÅNE LÄN</t>
        </is>
      </c>
      <c r="E896" t="inlineStr">
        <is>
          <t>HÄSSLEHOLM</t>
        </is>
      </c>
      <c r="G896" t="n">
        <v>5.6</v>
      </c>
      <c r="H896" t="n">
        <v>0</v>
      </c>
      <c r="I896" t="n">
        <v>0</v>
      </c>
      <c r="J896" t="n">
        <v>0</v>
      </c>
      <c r="K896" t="n">
        <v>0</v>
      </c>
      <c r="L896" t="n">
        <v>0</v>
      </c>
      <c r="M896" t="n">
        <v>0</v>
      </c>
      <c r="N896" t="n">
        <v>0</v>
      </c>
      <c r="O896" t="n">
        <v>0</v>
      </c>
      <c r="P896" t="n">
        <v>0</v>
      </c>
      <c r="Q896" t="n">
        <v>0</v>
      </c>
      <c r="R896" s="2" t="inlineStr"/>
    </row>
    <row r="897" ht="15" customHeight="1">
      <c r="A897" t="inlineStr">
        <is>
          <t>A 5242-2025</t>
        </is>
      </c>
      <c r="B897" s="1" t="n">
        <v>45692.32883101852</v>
      </c>
      <c r="C897" s="1" t="n">
        <v>45970</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35890-2023</t>
        </is>
      </c>
      <c r="B898" s="1" t="n">
        <v>45148</v>
      </c>
      <c r="C898" s="1" t="n">
        <v>45970</v>
      </c>
      <c r="D898" t="inlineStr">
        <is>
          <t>SKÅNE LÄN</t>
        </is>
      </c>
      <c r="E898" t="inlineStr">
        <is>
          <t>HÄSSLEHOLM</t>
        </is>
      </c>
      <c r="G898" t="n">
        <v>2</v>
      </c>
      <c r="H898" t="n">
        <v>0</v>
      </c>
      <c r="I898" t="n">
        <v>0</v>
      </c>
      <c r="J898" t="n">
        <v>0</v>
      </c>
      <c r="K898" t="n">
        <v>0</v>
      </c>
      <c r="L898" t="n">
        <v>0</v>
      </c>
      <c r="M898" t="n">
        <v>0</v>
      </c>
      <c r="N898" t="n">
        <v>0</v>
      </c>
      <c r="O898" t="n">
        <v>0</v>
      </c>
      <c r="P898" t="n">
        <v>0</v>
      </c>
      <c r="Q898" t="n">
        <v>0</v>
      </c>
      <c r="R898" s="2" t="inlineStr"/>
    </row>
    <row r="899" ht="15" customHeight="1">
      <c r="A899" t="inlineStr">
        <is>
          <t>A 35895-2023</t>
        </is>
      </c>
      <c r="B899" s="1" t="n">
        <v>45148</v>
      </c>
      <c r="C899" s="1" t="n">
        <v>45970</v>
      </c>
      <c r="D899" t="inlineStr">
        <is>
          <t>SKÅNE LÄN</t>
        </is>
      </c>
      <c r="E899" t="inlineStr">
        <is>
          <t>HÄSSLEHOLM</t>
        </is>
      </c>
      <c r="G899" t="n">
        <v>0.4</v>
      </c>
      <c r="H899" t="n">
        <v>0</v>
      </c>
      <c r="I899" t="n">
        <v>0</v>
      </c>
      <c r="J899" t="n">
        <v>0</v>
      </c>
      <c r="K899" t="n">
        <v>0</v>
      </c>
      <c r="L899" t="n">
        <v>0</v>
      </c>
      <c r="M899" t="n">
        <v>0</v>
      </c>
      <c r="N899" t="n">
        <v>0</v>
      </c>
      <c r="O899" t="n">
        <v>0</v>
      </c>
      <c r="P899" t="n">
        <v>0</v>
      </c>
      <c r="Q899" t="n">
        <v>0</v>
      </c>
      <c r="R899" s="2" t="inlineStr"/>
    </row>
    <row r="900" ht="15" customHeight="1">
      <c r="A900" t="inlineStr">
        <is>
          <t>A 42735-2024</t>
        </is>
      </c>
      <c r="B900" s="1" t="n">
        <v>45566.47274305556</v>
      </c>
      <c r="C900" s="1" t="n">
        <v>45970</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24658-2025</t>
        </is>
      </c>
      <c r="B901" s="1" t="n">
        <v>45798.64134259259</v>
      </c>
      <c r="C901" s="1" t="n">
        <v>45970</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24250-2025</t>
        </is>
      </c>
      <c r="B902" s="1" t="n">
        <v>45797.40260416667</v>
      </c>
      <c r="C902" s="1" t="n">
        <v>45970</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4750-2024</t>
        </is>
      </c>
      <c r="B903" s="1" t="n">
        <v>45328</v>
      </c>
      <c r="C903" s="1" t="n">
        <v>45970</v>
      </c>
      <c r="D903" t="inlineStr">
        <is>
          <t>SKÅNE LÄN</t>
        </is>
      </c>
      <c r="E903" t="inlineStr">
        <is>
          <t>HÄSSLEHOLM</t>
        </is>
      </c>
      <c r="G903" t="n">
        <v>0.3</v>
      </c>
      <c r="H903" t="n">
        <v>0</v>
      </c>
      <c r="I903" t="n">
        <v>0</v>
      </c>
      <c r="J903" t="n">
        <v>0</v>
      </c>
      <c r="K903" t="n">
        <v>0</v>
      </c>
      <c r="L903" t="n">
        <v>0</v>
      </c>
      <c r="M903" t="n">
        <v>0</v>
      </c>
      <c r="N903" t="n">
        <v>0</v>
      </c>
      <c r="O903" t="n">
        <v>0</v>
      </c>
      <c r="P903" t="n">
        <v>0</v>
      </c>
      <c r="Q903" t="n">
        <v>0</v>
      </c>
      <c r="R903" s="2" t="inlineStr"/>
    </row>
    <row r="904" ht="15" customHeight="1">
      <c r="A904" t="inlineStr">
        <is>
          <t>A 32826-2024</t>
        </is>
      </c>
      <c r="B904" s="1" t="n">
        <v>45516.59056712963</v>
      </c>
      <c r="C904" s="1" t="n">
        <v>45970</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23956-2023</t>
        </is>
      </c>
      <c r="B905" s="1" t="n">
        <v>45078.62302083334</v>
      </c>
      <c r="C905" s="1" t="n">
        <v>45970</v>
      </c>
      <c r="D905" t="inlineStr">
        <is>
          <t>SKÅNE LÄN</t>
        </is>
      </c>
      <c r="E905" t="inlineStr">
        <is>
          <t>HÄSSLEHOLM</t>
        </is>
      </c>
      <c r="G905" t="n">
        <v>0.1</v>
      </c>
      <c r="H905" t="n">
        <v>0</v>
      </c>
      <c r="I905" t="n">
        <v>0</v>
      </c>
      <c r="J905" t="n">
        <v>0</v>
      </c>
      <c r="K905" t="n">
        <v>0</v>
      </c>
      <c r="L905" t="n">
        <v>0</v>
      </c>
      <c r="M905" t="n">
        <v>0</v>
      </c>
      <c r="N905" t="n">
        <v>0</v>
      </c>
      <c r="O905" t="n">
        <v>0</v>
      </c>
      <c r="P905" t="n">
        <v>0</v>
      </c>
      <c r="Q905" t="n">
        <v>0</v>
      </c>
      <c r="R905" s="2" t="inlineStr"/>
    </row>
    <row r="906" ht="15" customHeight="1">
      <c r="A906" t="inlineStr">
        <is>
          <t>A 50677-2025</t>
        </is>
      </c>
      <c r="B906" s="1" t="n">
        <v>45945</v>
      </c>
      <c r="C906" s="1" t="n">
        <v>45970</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11708-2025</t>
        </is>
      </c>
      <c r="B907" s="1" t="n">
        <v>45727.58626157408</v>
      </c>
      <c r="C907" s="1" t="n">
        <v>45970</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24985-2025</t>
        </is>
      </c>
      <c r="B908" s="1" t="n">
        <v>45799.60256944445</v>
      </c>
      <c r="C908" s="1" t="n">
        <v>45970</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27837-2024</t>
        </is>
      </c>
      <c r="B909" s="1" t="n">
        <v>45475</v>
      </c>
      <c r="C909" s="1" t="n">
        <v>45970</v>
      </c>
      <c r="D909" t="inlineStr">
        <is>
          <t>SKÅNE LÄN</t>
        </is>
      </c>
      <c r="E909" t="inlineStr">
        <is>
          <t>HÄSSLEHOLM</t>
        </is>
      </c>
      <c r="F909" t="inlineStr">
        <is>
          <t>Kommuner</t>
        </is>
      </c>
      <c r="G909" t="n">
        <v>2.3</v>
      </c>
      <c r="H909" t="n">
        <v>0</v>
      </c>
      <c r="I909" t="n">
        <v>0</v>
      </c>
      <c r="J909" t="n">
        <v>0</v>
      </c>
      <c r="K909" t="n">
        <v>0</v>
      </c>
      <c r="L909" t="n">
        <v>0</v>
      </c>
      <c r="M909" t="n">
        <v>0</v>
      </c>
      <c r="N909" t="n">
        <v>0</v>
      </c>
      <c r="O909" t="n">
        <v>0</v>
      </c>
      <c r="P909" t="n">
        <v>0</v>
      </c>
      <c r="Q909" t="n">
        <v>0</v>
      </c>
      <c r="R909" s="2" t="inlineStr"/>
    </row>
    <row r="910" ht="15" customHeight="1">
      <c r="A910" t="inlineStr">
        <is>
          <t>A 29659-2024</t>
        </is>
      </c>
      <c r="B910" s="1" t="n">
        <v>45484.92587962963</v>
      </c>
      <c r="C910" s="1" t="n">
        <v>45970</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1679-2022</t>
        </is>
      </c>
      <c r="B911" s="1" t="n">
        <v>44573</v>
      </c>
      <c r="C911" s="1" t="n">
        <v>45970</v>
      </c>
      <c r="D911" t="inlineStr">
        <is>
          <t>SKÅNE LÄN</t>
        </is>
      </c>
      <c r="E911" t="inlineStr">
        <is>
          <t>HÄSSLEHOLM</t>
        </is>
      </c>
      <c r="F911" t="inlineStr">
        <is>
          <t>Kyrkan</t>
        </is>
      </c>
      <c r="G911" t="n">
        <v>4.3</v>
      </c>
      <c r="H911" t="n">
        <v>0</v>
      </c>
      <c r="I911" t="n">
        <v>0</v>
      </c>
      <c r="J911" t="n">
        <v>0</v>
      </c>
      <c r="K911" t="n">
        <v>0</v>
      </c>
      <c r="L911" t="n">
        <v>0</v>
      </c>
      <c r="M911" t="n">
        <v>0</v>
      </c>
      <c r="N911" t="n">
        <v>0</v>
      </c>
      <c r="O911" t="n">
        <v>0</v>
      </c>
      <c r="P911" t="n">
        <v>0</v>
      </c>
      <c r="Q911" t="n">
        <v>0</v>
      </c>
      <c r="R911" s="2" t="inlineStr"/>
    </row>
    <row r="912" ht="15" customHeight="1">
      <c r="A912" t="inlineStr">
        <is>
          <t>A 48112-2024</t>
        </is>
      </c>
      <c r="B912" s="1" t="n">
        <v>45589.6295949074</v>
      </c>
      <c r="C912" s="1" t="n">
        <v>45970</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50829-2025</t>
        </is>
      </c>
      <c r="B913" s="1" t="n">
        <v>45946.55309027778</v>
      </c>
      <c r="C913" s="1" t="n">
        <v>45970</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50834-2025</t>
        </is>
      </c>
      <c r="B914" s="1" t="n">
        <v>45946.55746527778</v>
      </c>
      <c r="C914" s="1" t="n">
        <v>45970</v>
      </c>
      <c r="D914" t="inlineStr">
        <is>
          <t>SKÅNE LÄN</t>
        </is>
      </c>
      <c r="E914" t="inlineStr">
        <is>
          <t>HÄSSLEHOLM</t>
        </is>
      </c>
      <c r="G914" t="n">
        <v>0.7</v>
      </c>
      <c r="H914" t="n">
        <v>0</v>
      </c>
      <c r="I914" t="n">
        <v>0</v>
      </c>
      <c r="J914" t="n">
        <v>0</v>
      </c>
      <c r="K914" t="n">
        <v>0</v>
      </c>
      <c r="L914" t="n">
        <v>0</v>
      </c>
      <c r="M914" t="n">
        <v>0</v>
      </c>
      <c r="N914" t="n">
        <v>0</v>
      </c>
      <c r="O914" t="n">
        <v>0</v>
      </c>
      <c r="P914" t="n">
        <v>0</v>
      </c>
      <c r="Q914" t="n">
        <v>0</v>
      </c>
      <c r="R914" s="2" t="inlineStr"/>
    </row>
    <row r="915" ht="15" customHeight="1">
      <c r="A915" t="inlineStr">
        <is>
          <t>A 259-2024</t>
        </is>
      </c>
      <c r="B915" s="1" t="n">
        <v>45294</v>
      </c>
      <c r="C915" s="1" t="n">
        <v>45970</v>
      </c>
      <c r="D915" t="inlineStr">
        <is>
          <t>SKÅNE LÄN</t>
        </is>
      </c>
      <c r="E915" t="inlineStr">
        <is>
          <t>HÄSSLEHOLM</t>
        </is>
      </c>
      <c r="G915" t="n">
        <v>8</v>
      </c>
      <c r="H915" t="n">
        <v>0</v>
      </c>
      <c r="I915" t="n">
        <v>0</v>
      </c>
      <c r="J915" t="n">
        <v>0</v>
      </c>
      <c r="K915" t="n">
        <v>0</v>
      </c>
      <c r="L915" t="n">
        <v>0</v>
      </c>
      <c r="M915" t="n">
        <v>0</v>
      </c>
      <c r="N915" t="n">
        <v>0</v>
      </c>
      <c r="O915" t="n">
        <v>0</v>
      </c>
      <c r="P915" t="n">
        <v>0</v>
      </c>
      <c r="Q915" t="n">
        <v>0</v>
      </c>
      <c r="R915" s="2" t="inlineStr"/>
    </row>
    <row r="916" ht="15" customHeight="1">
      <c r="A916" t="inlineStr">
        <is>
          <t>A 24246-2023</t>
        </is>
      </c>
      <c r="B916" s="1" t="n">
        <v>45079</v>
      </c>
      <c r="C916" s="1" t="n">
        <v>45970</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24249-2023</t>
        </is>
      </c>
      <c r="B917" s="1" t="n">
        <v>45079.62466435185</v>
      </c>
      <c r="C917" s="1" t="n">
        <v>45970</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52548-2023</t>
        </is>
      </c>
      <c r="B918" s="1" t="n">
        <v>45218</v>
      </c>
      <c r="C918" s="1" t="n">
        <v>45970</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25372-2025</t>
        </is>
      </c>
      <c r="B919" s="1" t="n">
        <v>45799</v>
      </c>
      <c r="C919" s="1" t="n">
        <v>45970</v>
      </c>
      <c r="D919" t="inlineStr">
        <is>
          <t>SKÅNE LÄN</t>
        </is>
      </c>
      <c r="E919" t="inlineStr">
        <is>
          <t>HÄSSLEHOLM</t>
        </is>
      </c>
      <c r="G919" t="n">
        <v>3.1</v>
      </c>
      <c r="H919" t="n">
        <v>0</v>
      </c>
      <c r="I919" t="n">
        <v>0</v>
      </c>
      <c r="J919" t="n">
        <v>0</v>
      </c>
      <c r="K919" t="n">
        <v>0</v>
      </c>
      <c r="L919" t="n">
        <v>0</v>
      </c>
      <c r="M919" t="n">
        <v>0</v>
      </c>
      <c r="N919" t="n">
        <v>0</v>
      </c>
      <c r="O919" t="n">
        <v>0</v>
      </c>
      <c r="P919" t="n">
        <v>0</v>
      </c>
      <c r="Q919" t="n">
        <v>0</v>
      </c>
      <c r="R919" s="2" t="inlineStr"/>
    </row>
    <row r="920" ht="15" customHeight="1">
      <c r="A920" t="inlineStr">
        <is>
          <t>A 9399-2025</t>
        </is>
      </c>
      <c r="B920" s="1" t="n">
        <v>45715.37861111111</v>
      </c>
      <c r="C920" s="1" t="n">
        <v>45970</v>
      </c>
      <c r="D920" t="inlineStr">
        <is>
          <t>SKÅNE LÄN</t>
        </is>
      </c>
      <c r="E920" t="inlineStr">
        <is>
          <t>HÄSSLEHOLM</t>
        </is>
      </c>
      <c r="G920" t="n">
        <v>5.2</v>
      </c>
      <c r="H920" t="n">
        <v>0</v>
      </c>
      <c r="I920" t="n">
        <v>0</v>
      </c>
      <c r="J920" t="n">
        <v>0</v>
      </c>
      <c r="K920" t="n">
        <v>0</v>
      </c>
      <c r="L920" t="n">
        <v>0</v>
      </c>
      <c r="M920" t="n">
        <v>0</v>
      </c>
      <c r="N920" t="n">
        <v>0</v>
      </c>
      <c r="O920" t="n">
        <v>0</v>
      </c>
      <c r="P920" t="n">
        <v>0</v>
      </c>
      <c r="Q920" t="n">
        <v>0</v>
      </c>
      <c r="R920" s="2" t="inlineStr"/>
    </row>
    <row r="921" ht="15" customHeight="1">
      <c r="A921" t="inlineStr">
        <is>
          <t>A 51565-2023</t>
        </is>
      </c>
      <c r="B921" s="1" t="n">
        <v>45222</v>
      </c>
      <c r="C921" s="1" t="n">
        <v>45970</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50839-2025</t>
        </is>
      </c>
      <c r="B922" s="1" t="n">
        <v>45946</v>
      </c>
      <c r="C922" s="1" t="n">
        <v>45970</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25430-2025</t>
        </is>
      </c>
      <c r="B923" s="1" t="n">
        <v>45800.78212962963</v>
      </c>
      <c r="C923" s="1" t="n">
        <v>45970</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11470-2025</t>
        </is>
      </c>
      <c r="B924" s="1" t="n">
        <v>45726</v>
      </c>
      <c r="C924" s="1" t="n">
        <v>45970</v>
      </c>
      <c r="D924" t="inlineStr">
        <is>
          <t>SKÅNE LÄN</t>
        </is>
      </c>
      <c r="E924" t="inlineStr">
        <is>
          <t>HÄSSLEHOLM</t>
        </is>
      </c>
      <c r="G924" t="n">
        <v>0.4</v>
      </c>
      <c r="H924" t="n">
        <v>0</v>
      </c>
      <c r="I924" t="n">
        <v>0</v>
      </c>
      <c r="J924" t="n">
        <v>0</v>
      </c>
      <c r="K924" t="n">
        <v>0</v>
      </c>
      <c r="L924" t="n">
        <v>0</v>
      </c>
      <c r="M924" t="n">
        <v>0</v>
      </c>
      <c r="N924" t="n">
        <v>0</v>
      </c>
      <c r="O924" t="n">
        <v>0</v>
      </c>
      <c r="P924" t="n">
        <v>0</v>
      </c>
      <c r="Q924" t="n">
        <v>0</v>
      </c>
      <c r="R924" s="2" t="inlineStr"/>
    </row>
    <row r="925" ht="15" customHeight="1">
      <c r="A925" t="inlineStr">
        <is>
          <t>A 25615-2025</t>
        </is>
      </c>
      <c r="B925" s="1" t="n">
        <v>45803</v>
      </c>
      <c r="C925" s="1" t="n">
        <v>45970</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50872-2025</t>
        </is>
      </c>
      <c r="B926" s="1" t="n">
        <v>45946</v>
      </c>
      <c r="C926" s="1" t="n">
        <v>45970</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25431-2025</t>
        </is>
      </c>
      <c r="B927" s="1" t="n">
        <v>45800.78340277778</v>
      </c>
      <c r="C927" s="1" t="n">
        <v>45970</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25432-2025</t>
        </is>
      </c>
      <c r="B928" s="1" t="n">
        <v>45800.7847800926</v>
      </c>
      <c r="C928" s="1" t="n">
        <v>45970</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11412-2025</t>
        </is>
      </c>
      <c r="B929" s="1" t="n">
        <v>45726</v>
      </c>
      <c r="C929" s="1" t="n">
        <v>45970</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8160-2024</t>
        </is>
      </c>
      <c r="B930" s="1" t="n">
        <v>45351</v>
      </c>
      <c r="C930" s="1" t="n">
        <v>45970</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11466-2025</t>
        </is>
      </c>
      <c r="B931" s="1" t="n">
        <v>45726</v>
      </c>
      <c r="C931" s="1" t="n">
        <v>45970</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43696-2024</t>
        </is>
      </c>
      <c r="B932" s="1" t="n">
        <v>45569.58855324074</v>
      </c>
      <c r="C932" s="1" t="n">
        <v>45970</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26232-2025</t>
        </is>
      </c>
      <c r="B933" s="1" t="n">
        <v>45805.56642361111</v>
      </c>
      <c r="C933" s="1" t="n">
        <v>45970</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12182-2025</t>
        </is>
      </c>
      <c r="B934" s="1" t="n">
        <v>45729</v>
      </c>
      <c r="C934" s="1" t="n">
        <v>45970</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20185-2023</t>
        </is>
      </c>
      <c r="B935" s="1" t="n">
        <v>45055.56795138889</v>
      </c>
      <c r="C935" s="1" t="n">
        <v>45970</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38376-2022</t>
        </is>
      </c>
      <c r="B936" s="1" t="n">
        <v>44812</v>
      </c>
      <c r="C936" s="1" t="n">
        <v>45970</v>
      </c>
      <c r="D936" t="inlineStr">
        <is>
          <t>SKÅNE LÄN</t>
        </is>
      </c>
      <c r="E936" t="inlineStr">
        <is>
          <t>HÄSSLEHOLM</t>
        </is>
      </c>
      <c r="G936" t="n">
        <v>1.9</v>
      </c>
      <c r="H936" t="n">
        <v>0</v>
      </c>
      <c r="I936" t="n">
        <v>0</v>
      </c>
      <c r="J936" t="n">
        <v>0</v>
      </c>
      <c r="K936" t="n">
        <v>0</v>
      </c>
      <c r="L936" t="n">
        <v>0</v>
      </c>
      <c r="M936" t="n">
        <v>0</v>
      </c>
      <c r="N936" t="n">
        <v>0</v>
      </c>
      <c r="O936" t="n">
        <v>0</v>
      </c>
      <c r="P936" t="n">
        <v>0</v>
      </c>
      <c r="Q936" t="n">
        <v>0</v>
      </c>
      <c r="R936" s="2" t="inlineStr"/>
    </row>
    <row r="937" ht="15" customHeight="1">
      <c r="A937" t="inlineStr">
        <is>
          <t>A 26244-2025</t>
        </is>
      </c>
      <c r="B937" s="1" t="n">
        <v>45805.57364583333</v>
      </c>
      <c r="C937" s="1" t="n">
        <v>45970</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50678-2025</t>
        </is>
      </c>
      <c r="B938" s="1" t="n">
        <v>45945</v>
      </c>
      <c r="C938" s="1" t="n">
        <v>45970</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50676-2025</t>
        </is>
      </c>
      <c r="B939" s="1" t="n">
        <v>45945</v>
      </c>
      <c r="C939" s="1" t="n">
        <v>45970</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38358-2024</t>
        </is>
      </c>
      <c r="B940" s="1" t="n">
        <v>45545.79068287037</v>
      </c>
      <c r="C940" s="1" t="n">
        <v>45970</v>
      </c>
      <c r="D940" t="inlineStr">
        <is>
          <t>SKÅNE LÄN</t>
        </is>
      </c>
      <c r="E940" t="inlineStr">
        <is>
          <t>HÄSSLEHOLM</t>
        </is>
      </c>
      <c r="G940" t="n">
        <v>9</v>
      </c>
      <c r="H940" t="n">
        <v>0</v>
      </c>
      <c r="I940" t="n">
        <v>0</v>
      </c>
      <c r="J940" t="n">
        <v>0</v>
      </c>
      <c r="K940" t="n">
        <v>0</v>
      </c>
      <c r="L940" t="n">
        <v>0</v>
      </c>
      <c r="M940" t="n">
        <v>0</v>
      </c>
      <c r="N940" t="n">
        <v>0</v>
      </c>
      <c r="O940" t="n">
        <v>0</v>
      </c>
      <c r="P940" t="n">
        <v>0</v>
      </c>
      <c r="Q940" t="n">
        <v>0</v>
      </c>
      <c r="R940" s="2" t="inlineStr"/>
    </row>
    <row r="941" ht="15" customHeight="1">
      <c r="A941" t="inlineStr">
        <is>
          <t>A 18908-2023</t>
        </is>
      </c>
      <c r="B941" s="1" t="n">
        <v>45044</v>
      </c>
      <c r="C941" s="1" t="n">
        <v>45970</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61436-2024</t>
        </is>
      </c>
      <c r="B942" s="1" t="n">
        <v>45646.46329861111</v>
      </c>
      <c r="C942" s="1" t="n">
        <v>45970</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15536-2025</t>
        </is>
      </c>
      <c r="B943" s="1" t="n">
        <v>45747</v>
      </c>
      <c r="C943" s="1" t="n">
        <v>45970</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51024-2025</t>
        </is>
      </c>
      <c r="B944" s="1" t="n">
        <v>45947.395</v>
      </c>
      <c r="C944" s="1" t="n">
        <v>45970</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49824-2024</t>
        </is>
      </c>
      <c r="B945" s="1" t="n">
        <v>45597</v>
      </c>
      <c r="C945" s="1" t="n">
        <v>45970</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51097-2025</t>
        </is>
      </c>
      <c r="B946" s="1" t="n">
        <v>45947.48018518519</v>
      </c>
      <c r="C946" s="1" t="n">
        <v>45970</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15535-2025</t>
        </is>
      </c>
      <c r="B947" s="1" t="n">
        <v>45747</v>
      </c>
      <c r="C947" s="1" t="n">
        <v>45970</v>
      </c>
      <c r="D947" t="inlineStr">
        <is>
          <t>SKÅNE LÄN</t>
        </is>
      </c>
      <c r="E947" t="inlineStr">
        <is>
          <t>HÄSSLEHOLM</t>
        </is>
      </c>
      <c r="G947" t="n">
        <v>2.9</v>
      </c>
      <c r="H947" t="n">
        <v>0</v>
      </c>
      <c r="I947" t="n">
        <v>0</v>
      </c>
      <c r="J947" t="n">
        <v>0</v>
      </c>
      <c r="K947" t="n">
        <v>0</v>
      </c>
      <c r="L947" t="n">
        <v>0</v>
      </c>
      <c r="M947" t="n">
        <v>0</v>
      </c>
      <c r="N947" t="n">
        <v>0</v>
      </c>
      <c r="O947" t="n">
        <v>0</v>
      </c>
      <c r="P947" t="n">
        <v>0</v>
      </c>
      <c r="Q947" t="n">
        <v>0</v>
      </c>
      <c r="R947" s="2" t="inlineStr"/>
    </row>
    <row r="948" ht="15" customHeight="1">
      <c r="A948" t="inlineStr">
        <is>
          <t>A 42520-2025</t>
        </is>
      </c>
      <c r="B948" s="1" t="n">
        <v>45905.54846064815</v>
      </c>
      <c r="C948" s="1" t="n">
        <v>45970</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49137-2025</t>
        </is>
      </c>
      <c r="B949" s="1" t="n">
        <v>45938.05672453704</v>
      </c>
      <c r="C949" s="1" t="n">
        <v>45970</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43333-2025</t>
        </is>
      </c>
      <c r="B950" s="1" t="n">
        <v>45910</v>
      </c>
      <c r="C950" s="1" t="n">
        <v>45970</v>
      </c>
      <c r="D950" t="inlineStr">
        <is>
          <t>SKÅNE LÄN</t>
        </is>
      </c>
      <c r="E950" t="inlineStr">
        <is>
          <t>HÄSSLEHOLM</t>
        </is>
      </c>
      <c r="G950" t="n">
        <v>10.1</v>
      </c>
      <c r="H950" t="n">
        <v>0</v>
      </c>
      <c r="I950" t="n">
        <v>0</v>
      </c>
      <c r="J950" t="n">
        <v>0</v>
      </c>
      <c r="K950" t="n">
        <v>0</v>
      </c>
      <c r="L950" t="n">
        <v>0</v>
      </c>
      <c r="M950" t="n">
        <v>0</v>
      </c>
      <c r="N950" t="n">
        <v>0</v>
      </c>
      <c r="O950" t="n">
        <v>0</v>
      </c>
      <c r="P950" t="n">
        <v>0</v>
      </c>
      <c r="Q950" t="n">
        <v>0</v>
      </c>
      <c r="R950" s="2" t="inlineStr"/>
    </row>
    <row r="951" ht="15" customHeight="1">
      <c r="A951" t="inlineStr">
        <is>
          <t>A 43332-2025</t>
        </is>
      </c>
      <c r="B951" s="1" t="n">
        <v>45910.70217592592</v>
      </c>
      <c r="C951" s="1" t="n">
        <v>45970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47161-2025</t>
        </is>
      </c>
      <c r="B952" s="1" t="n">
        <v>45929</v>
      </c>
      <c r="C952" s="1" t="n">
        <v>45970</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51640-2025</t>
        </is>
      </c>
      <c r="B953" s="1" t="n">
        <v>45951.44361111111</v>
      </c>
      <c r="C953" s="1" t="n">
        <v>45970</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27349-2025</t>
        </is>
      </c>
      <c r="B954" s="1" t="n">
        <v>45812</v>
      </c>
      <c r="C954" s="1" t="n">
        <v>45970</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16368-2025</t>
        </is>
      </c>
      <c r="B955" s="1" t="n">
        <v>45751</v>
      </c>
      <c r="C955" s="1" t="n">
        <v>45970</v>
      </c>
      <c r="D955" t="inlineStr">
        <is>
          <t>SKÅNE LÄN</t>
        </is>
      </c>
      <c r="E955" t="inlineStr">
        <is>
          <t>HÄSSLEHOLM</t>
        </is>
      </c>
      <c r="G955" t="n">
        <v>5</v>
      </c>
      <c r="H955" t="n">
        <v>0</v>
      </c>
      <c r="I955" t="n">
        <v>0</v>
      </c>
      <c r="J955" t="n">
        <v>0</v>
      </c>
      <c r="K955" t="n">
        <v>0</v>
      </c>
      <c r="L955" t="n">
        <v>0</v>
      </c>
      <c r="M955" t="n">
        <v>0</v>
      </c>
      <c r="N955" t="n">
        <v>0</v>
      </c>
      <c r="O955" t="n">
        <v>0</v>
      </c>
      <c r="P955" t="n">
        <v>0</v>
      </c>
      <c r="Q955" t="n">
        <v>0</v>
      </c>
      <c r="R955" s="2" t="inlineStr"/>
    </row>
    <row r="956" ht="15" customHeight="1">
      <c r="A956" t="inlineStr">
        <is>
          <t>A 51795-2025</t>
        </is>
      </c>
      <c r="B956" s="1" t="n">
        <v>45951</v>
      </c>
      <c r="C956" s="1" t="n">
        <v>45970</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51796-2025</t>
        </is>
      </c>
      <c r="B957" s="1" t="n">
        <v>45951.74546296296</v>
      </c>
      <c r="C957" s="1" t="n">
        <v>45970</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49135-2025</t>
        </is>
      </c>
      <c r="B958" s="1" t="n">
        <v>45938.00990740741</v>
      </c>
      <c r="C958" s="1" t="n">
        <v>45970</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54435-2024</t>
        </is>
      </c>
      <c r="B959" s="1" t="n">
        <v>45617.49494212963</v>
      </c>
      <c r="C959" s="1" t="n">
        <v>45970</v>
      </c>
      <c r="D959" t="inlineStr">
        <is>
          <t>SKÅNE LÄN</t>
        </is>
      </c>
      <c r="E959" t="inlineStr">
        <is>
          <t>HÄSSLEHOLM</t>
        </is>
      </c>
      <c r="G959" t="n">
        <v>2.3</v>
      </c>
      <c r="H959" t="n">
        <v>0</v>
      </c>
      <c r="I959" t="n">
        <v>0</v>
      </c>
      <c r="J959" t="n">
        <v>0</v>
      </c>
      <c r="K959" t="n">
        <v>0</v>
      </c>
      <c r="L959" t="n">
        <v>0</v>
      </c>
      <c r="M959" t="n">
        <v>0</v>
      </c>
      <c r="N959" t="n">
        <v>0</v>
      </c>
      <c r="O959" t="n">
        <v>0</v>
      </c>
      <c r="P959" t="n">
        <v>0</v>
      </c>
      <c r="Q959" t="n">
        <v>0</v>
      </c>
      <c r="R959" s="2" t="inlineStr"/>
    </row>
    <row r="960" ht="15" customHeight="1">
      <c r="A960" t="inlineStr">
        <is>
          <t>A 27393-2025</t>
        </is>
      </c>
      <c r="B960" s="1" t="n">
        <v>45812.68295138889</v>
      </c>
      <c r="C960" s="1" t="n">
        <v>45970</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720-2025</t>
        </is>
      </c>
      <c r="B961" s="1" t="n">
        <v>45665.3744212963</v>
      </c>
      <c r="C961" s="1" t="n">
        <v>45970</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31581-2023</t>
        </is>
      </c>
      <c r="B962" s="1" t="n">
        <v>45117.45165509259</v>
      </c>
      <c r="C962" s="1" t="n">
        <v>45970</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43516-2025</t>
        </is>
      </c>
      <c r="B963" s="1" t="n">
        <v>45911</v>
      </c>
      <c r="C963" s="1" t="n">
        <v>45970</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43738-2025</t>
        </is>
      </c>
      <c r="B964" s="1" t="n">
        <v>45912.45037037037</v>
      </c>
      <c r="C964" s="1" t="n">
        <v>45970</v>
      </c>
      <c r="D964" t="inlineStr">
        <is>
          <t>SKÅNE LÄN</t>
        </is>
      </c>
      <c r="E964" t="inlineStr">
        <is>
          <t>HÄSSLEHOLM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43741-2025</t>
        </is>
      </c>
      <c r="B965" s="1" t="n">
        <v>45912.45541666666</v>
      </c>
      <c r="C965" s="1" t="n">
        <v>45970</v>
      </c>
      <c r="D965" t="inlineStr">
        <is>
          <t>SKÅNE LÄN</t>
        </is>
      </c>
      <c r="E965" t="inlineStr">
        <is>
          <t>HÄSSLEHOLM</t>
        </is>
      </c>
      <c r="G965" t="n">
        <v>4.3</v>
      </c>
      <c r="H965" t="n">
        <v>0</v>
      </c>
      <c r="I965" t="n">
        <v>0</v>
      </c>
      <c r="J965" t="n">
        <v>0</v>
      </c>
      <c r="K965" t="n">
        <v>0</v>
      </c>
      <c r="L965" t="n">
        <v>0</v>
      </c>
      <c r="M965" t="n">
        <v>0</v>
      </c>
      <c r="N965" t="n">
        <v>0</v>
      </c>
      <c r="O965" t="n">
        <v>0</v>
      </c>
      <c r="P965" t="n">
        <v>0</v>
      </c>
      <c r="Q965" t="n">
        <v>0</v>
      </c>
      <c r="R965" s="2" t="inlineStr"/>
    </row>
    <row r="966" ht="15" customHeight="1">
      <c r="A966" t="inlineStr">
        <is>
          <t>A 33597-2023</t>
        </is>
      </c>
      <c r="B966" s="1" t="n">
        <v>45132</v>
      </c>
      <c r="C966" s="1" t="n">
        <v>45970</v>
      </c>
      <c r="D966" t="inlineStr">
        <is>
          <t>SKÅNE LÄN</t>
        </is>
      </c>
      <c r="E966" t="inlineStr">
        <is>
          <t>HÄSSLEHOLM</t>
        </is>
      </c>
      <c r="G966" t="n">
        <v>3.9</v>
      </c>
      <c r="H966" t="n">
        <v>0</v>
      </c>
      <c r="I966" t="n">
        <v>0</v>
      </c>
      <c r="J966" t="n">
        <v>0</v>
      </c>
      <c r="K966" t="n">
        <v>0</v>
      </c>
      <c r="L966" t="n">
        <v>0</v>
      </c>
      <c r="M966" t="n">
        <v>0</v>
      </c>
      <c r="N966" t="n">
        <v>0</v>
      </c>
      <c r="O966" t="n">
        <v>0</v>
      </c>
      <c r="P966" t="n">
        <v>0</v>
      </c>
      <c r="Q966" t="n">
        <v>0</v>
      </c>
      <c r="R966" s="2" t="inlineStr"/>
    </row>
    <row r="967" ht="15" customHeight="1">
      <c r="A967" t="inlineStr">
        <is>
          <t>A 33599-2023</t>
        </is>
      </c>
      <c r="B967" s="1" t="n">
        <v>45132</v>
      </c>
      <c r="C967" s="1" t="n">
        <v>45970</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28240-2025</t>
        </is>
      </c>
      <c r="B968" s="1" t="n">
        <v>45817</v>
      </c>
      <c r="C968" s="1" t="n">
        <v>45970</v>
      </c>
      <c r="D968" t="inlineStr">
        <is>
          <t>SKÅNE LÄN</t>
        </is>
      </c>
      <c r="E968" t="inlineStr">
        <is>
          <t>HÄSSLEHOLM</t>
        </is>
      </c>
      <c r="G968" t="n">
        <v>7.7</v>
      </c>
      <c r="H968" t="n">
        <v>0</v>
      </c>
      <c r="I968" t="n">
        <v>0</v>
      </c>
      <c r="J968" t="n">
        <v>0</v>
      </c>
      <c r="K968" t="n">
        <v>0</v>
      </c>
      <c r="L968" t="n">
        <v>0</v>
      </c>
      <c r="M968" t="n">
        <v>0</v>
      </c>
      <c r="N968" t="n">
        <v>0</v>
      </c>
      <c r="O968" t="n">
        <v>0</v>
      </c>
      <c r="P968" t="n">
        <v>0</v>
      </c>
      <c r="Q968" t="n">
        <v>0</v>
      </c>
      <c r="R968" s="2" t="inlineStr"/>
    </row>
    <row r="969" ht="15" customHeight="1">
      <c r="A969" t="inlineStr">
        <is>
          <t>A 33938-2023</t>
        </is>
      </c>
      <c r="B969" s="1" t="n">
        <v>45124</v>
      </c>
      <c r="C969" s="1" t="n">
        <v>45970</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52126-2025</t>
        </is>
      </c>
      <c r="B970" s="1" t="n">
        <v>45952.72109953704</v>
      </c>
      <c r="C970" s="1" t="n">
        <v>45970</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28095-2025</t>
        </is>
      </c>
      <c r="B971" s="1" t="n">
        <v>45817</v>
      </c>
      <c r="C971" s="1" t="n">
        <v>45970</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22693-2022</t>
        </is>
      </c>
      <c r="B972" s="1" t="n">
        <v>44714.54729166667</v>
      </c>
      <c r="C972" s="1" t="n">
        <v>45970</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35889-2023</t>
        </is>
      </c>
      <c r="B973" s="1" t="n">
        <v>45148</v>
      </c>
      <c r="C973" s="1" t="n">
        <v>45970</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35894-2023</t>
        </is>
      </c>
      <c r="B974" s="1" t="n">
        <v>45148</v>
      </c>
      <c r="C974" s="1" t="n">
        <v>45970</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27940-2025</t>
        </is>
      </c>
      <c r="B975" s="1" t="n">
        <v>45817.50439814815</v>
      </c>
      <c r="C975" s="1" t="n">
        <v>45970</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35974-2022</t>
        </is>
      </c>
      <c r="B976" s="1" t="n">
        <v>44802</v>
      </c>
      <c r="C976" s="1" t="n">
        <v>45970</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27887-2025</t>
        </is>
      </c>
      <c r="B977" s="1" t="n">
        <v>45817.45994212963</v>
      </c>
      <c r="C977" s="1" t="n">
        <v>45970</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49827-2022</t>
        </is>
      </c>
      <c r="B978" s="1" t="n">
        <v>44859</v>
      </c>
      <c r="C978" s="1" t="n">
        <v>45970</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24906-2022</t>
        </is>
      </c>
      <c r="B979" s="1" t="n">
        <v>44728</v>
      </c>
      <c r="C979" s="1" t="n">
        <v>45970</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28251-2025</t>
        </is>
      </c>
      <c r="B980" s="1" t="n">
        <v>45817</v>
      </c>
      <c r="C980" s="1" t="n">
        <v>45970</v>
      </c>
      <c r="D980" t="inlineStr">
        <is>
          <t>SKÅNE LÄN</t>
        </is>
      </c>
      <c r="E980" t="inlineStr">
        <is>
          <t>HÄSSLEHOLM</t>
        </is>
      </c>
      <c r="G980" t="n">
        <v>7.2</v>
      </c>
      <c r="H980" t="n">
        <v>0</v>
      </c>
      <c r="I980" t="n">
        <v>0</v>
      </c>
      <c r="J980" t="n">
        <v>0</v>
      </c>
      <c r="K980" t="n">
        <v>0</v>
      </c>
      <c r="L980" t="n">
        <v>0</v>
      </c>
      <c r="M980" t="n">
        <v>0</v>
      </c>
      <c r="N980" t="n">
        <v>0</v>
      </c>
      <c r="O980" t="n">
        <v>0</v>
      </c>
      <c r="P980" t="n">
        <v>0</v>
      </c>
      <c r="Q980" t="n">
        <v>0</v>
      </c>
      <c r="R980" s="2" t="inlineStr"/>
    </row>
    <row r="981" ht="15" customHeight="1">
      <c r="A981" t="inlineStr">
        <is>
          <t>A 27934-2025</t>
        </is>
      </c>
      <c r="B981" s="1" t="n">
        <v>45817.49761574074</v>
      </c>
      <c r="C981" s="1" t="n">
        <v>45970</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7150-2025</t>
        </is>
      </c>
      <c r="B982" s="1" t="n">
        <v>45702.38239583333</v>
      </c>
      <c r="C982" s="1" t="n">
        <v>45970</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28122-2025</t>
        </is>
      </c>
      <c r="B983" s="1" t="n">
        <v>45817</v>
      </c>
      <c r="C983" s="1" t="n">
        <v>45970</v>
      </c>
      <c r="D983" t="inlineStr">
        <is>
          <t>SKÅNE LÄN</t>
        </is>
      </c>
      <c r="E983" t="inlineStr">
        <is>
          <t>HÄSSLEHOLM</t>
        </is>
      </c>
      <c r="G983" t="n">
        <v>2.4</v>
      </c>
      <c r="H983" t="n">
        <v>0</v>
      </c>
      <c r="I983" t="n">
        <v>0</v>
      </c>
      <c r="J983" t="n">
        <v>0</v>
      </c>
      <c r="K983" t="n">
        <v>0</v>
      </c>
      <c r="L983" t="n">
        <v>0</v>
      </c>
      <c r="M983" t="n">
        <v>0</v>
      </c>
      <c r="N983" t="n">
        <v>0</v>
      </c>
      <c r="O983" t="n">
        <v>0</v>
      </c>
      <c r="P983" t="n">
        <v>0</v>
      </c>
      <c r="Q983" t="n">
        <v>0</v>
      </c>
      <c r="R983" s="2" t="inlineStr"/>
    </row>
    <row r="984" ht="15" customHeight="1">
      <c r="A984" t="inlineStr">
        <is>
          <t>A 55303-2024</t>
        </is>
      </c>
      <c r="B984" s="1" t="n">
        <v>45621.6434837963</v>
      </c>
      <c r="C984" s="1" t="n">
        <v>45970</v>
      </c>
      <c r="D984" t="inlineStr">
        <is>
          <t>SKÅNE LÄN</t>
        </is>
      </c>
      <c r="E984" t="inlineStr">
        <is>
          <t>HÄSSLEHOLM</t>
        </is>
      </c>
      <c r="G984" t="n">
        <v>3.3</v>
      </c>
      <c r="H984" t="n">
        <v>0</v>
      </c>
      <c r="I984" t="n">
        <v>0</v>
      </c>
      <c r="J984" t="n">
        <v>0</v>
      </c>
      <c r="K984" t="n">
        <v>0</v>
      </c>
      <c r="L984" t="n">
        <v>0</v>
      </c>
      <c r="M984" t="n">
        <v>0</v>
      </c>
      <c r="N984" t="n">
        <v>0</v>
      </c>
      <c r="O984" t="n">
        <v>0</v>
      </c>
      <c r="P984" t="n">
        <v>0</v>
      </c>
      <c r="Q984" t="n">
        <v>0</v>
      </c>
      <c r="R984" s="2" t="inlineStr"/>
    </row>
    <row r="985" ht="15" customHeight="1">
      <c r="A985" t="inlineStr">
        <is>
          <t>A 16397-2022</t>
        </is>
      </c>
      <c r="B985" s="1" t="n">
        <v>44671</v>
      </c>
      <c r="C985" s="1" t="n">
        <v>45970</v>
      </c>
      <c r="D985" t="inlineStr">
        <is>
          <t>SKÅNE LÄN</t>
        </is>
      </c>
      <c r="E985" t="inlineStr">
        <is>
          <t>HÄSSLEHOLM</t>
        </is>
      </c>
      <c r="G985" t="n">
        <v>2.7</v>
      </c>
      <c r="H985" t="n">
        <v>0</v>
      </c>
      <c r="I985" t="n">
        <v>0</v>
      </c>
      <c r="J985" t="n">
        <v>0</v>
      </c>
      <c r="K985" t="n">
        <v>0</v>
      </c>
      <c r="L985" t="n">
        <v>0</v>
      </c>
      <c r="M985" t="n">
        <v>0</v>
      </c>
      <c r="N985" t="n">
        <v>0</v>
      </c>
      <c r="O985" t="n">
        <v>0</v>
      </c>
      <c r="P985" t="n">
        <v>0</v>
      </c>
      <c r="Q985" t="n">
        <v>0</v>
      </c>
      <c r="R985" s="2" t="inlineStr"/>
    </row>
    <row r="986" ht="15" customHeight="1">
      <c r="A986" t="inlineStr">
        <is>
          <t>A 16398-2022</t>
        </is>
      </c>
      <c r="B986" s="1" t="n">
        <v>44671</v>
      </c>
      <c r="C986" s="1" t="n">
        <v>45970</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43869-2025</t>
        </is>
      </c>
      <c r="B987" s="1" t="n">
        <v>45912.66452546296</v>
      </c>
      <c r="C987" s="1" t="n">
        <v>45970</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59434-2023</t>
        </is>
      </c>
      <c r="B988" s="1" t="n">
        <v>45254.30440972222</v>
      </c>
      <c r="C988" s="1" t="n">
        <v>45970</v>
      </c>
      <c r="D988" t="inlineStr">
        <is>
          <t>SKÅNE LÄN</t>
        </is>
      </c>
      <c r="E988" t="inlineStr">
        <is>
          <t>HÄSSLEHOLM</t>
        </is>
      </c>
      <c r="G988" t="n">
        <v>3.6</v>
      </c>
      <c r="H988" t="n">
        <v>0</v>
      </c>
      <c r="I988" t="n">
        <v>0</v>
      </c>
      <c r="J988" t="n">
        <v>0</v>
      </c>
      <c r="K988" t="n">
        <v>0</v>
      </c>
      <c r="L988" t="n">
        <v>0</v>
      </c>
      <c r="M988" t="n">
        <v>0</v>
      </c>
      <c r="N988" t="n">
        <v>0</v>
      </c>
      <c r="O988" t="n">
        <v>0</v>
      </c>
      <c r="P988" t="n">
        <v>0</v>
      </c>
      <c r="Q988" t="n">
        <v>0</v>
      </c>
      <c r="R988" s="2" t="inlineStr"/>
    </row>
    <row r="989" ht="15" customHeight="1">
      <c r="A989" t="inlineStr">
        <is>
          <t>A 29170-2025</t>
        </is>
      </c>
      <c r="B989" s="1" t="n">
        <v>45821.69766203704</v>
      </c>
      <c r="C989" s="1" t="n">
        <v>45970</v>
      </c>
      <c r="D989" t="inlineStr">
        <is>
          <t>SKÅNE LÄN</t>
        </is>
      </c>
      <c r="E989" t="inlineStr">
        <is>
          <t>HÄSSLEHOLM</t>
        </is>
      </c>
      <c r="G989" t="n">
        <v>3.1</v>
      </c>
      <c r="H989" t="n">
        <v>0</v>
      </c>
      <c r="I989" t="n">
        <v>0</v>
      </c>
      <c r="J989" t="n">
        <v>0</v>
      </c>
      <c r="K989" t="n">
        <v>0</v>
      </c>
      <c r="L989" t="n">
        <v>0</v>
      </c>
      <c r="M989" t="n">
        <v>0</v>
      </c>
      <c r="N989" t="n">
        <v>0</v>
      </c>
      <c r="O989" t="n">
        <v>0</v>
      </c>
      <c r="P989" t="n">
        <v>0</v>
      </c>
      <c r="Q989" t="n">
        <v>0</v>
      </c>
      <c r="R989" s="2" t="inlineStr"/>
    </row>
    <row r="990" ht="15" customHeight="1">
      <c r="A990" t="inlineStr">
        <is>
          <t>A 29168-2025</t>
        </is>
      </c>
      <c r="B990" s="1" t="n">
        <v>45821.69547453704</v>
      </c>
      <c r="C990" s="1" t="n">
        <v>45970</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55284-2023</t>
        </is>
      </c>
      <c r="B991" s="1" t="n">
        <v>45237.74259259259</v>
      </c>
      <c r="C991" s="1" t="n">
        <v>45970</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22384-2024</t>
        </is>
      </c>
      <c r="B992" s="1" t="n">
        <v>45446.65592592592</v>
      </c>
      <c r="C992" s="1" t="n">
        <v>45970</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29171-2025</t>
        </is>
      </c>
      <c r="B993" s="1" t="n">
        <v>45821.69863425926</v>
      </c>
      <c r="C993" s="1" t="n">
        <v>45970</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30010-2025</t>
        </is>
      </c>
      <c r="B994" s="1" t="n">
        <v>45826</v>
      </c>
      <c r="C994" s="1" t="n">
        <v>45970</v>
      </c>
      <c r="D994" t="inlineStr">
        <is>
          <t>SKÅNE LÄN</t>
        </is>
      </c>
      <c r="E994" t="inlineStr">
        <is>
          <t>HÄSSLEHOLM</t>
        </is>
      </c>
      <c r="G994" t="n">
        <v>4.5</v>
      </c>
      <c r="H994" t="n">
        <v>0</v>
      </c>
      <c r="I994" t="n">
        <v>0</v>
      </c>
      <c r="J994" t="n">
        <v>0</v>
      </c>
      <c r="K994" t="n">
        <v>0</v>
      </c>
      <c r="L994" t="n">
        <v>0</v>
      </c>
      <c r="M994" t="n">
        <v>0</v>
      </c>
      <c r="N994" t="n">
        <v>0</v>
      </c>
      <c r="O994" t="n">
        <v>0</v>
      </c>
      <c r="P994" t="n">
        <v>0</v>
      </c>
      <c r="Q994" t="n">
        <v>0</v>
      </c>
      <c r="R994" s="2" t="inlineStr"/>
    </row>
    <row r="995" ht="15" customHeight="1">
      <c r="A995" t="inlineStr">
        <is>
          <t>A 46641-2023</t>
        </is>
      </c>
      <c r="B995" s="1" t="n">
        <v>45198.44523148148</v>
      </c>
      <c r="C995" s="1" t="n">
        <v>45970</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46645-2023</t>
        </is>
      </c>
      <c r="B996" s="1" t="n">
        <v>45198.44686342592</v>
      </c>
      <c r="C996" s="1" t="n">
        <v>45970</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67974-2020</t>
        </is>
      </c>
      <c r="B997" s="1" t="n">
        <v>44182</v>
      </c>
      <c r="C997" s="1" t="n">
        <v>45970</v>
      </c>
      <c r="D997" t="inlineStr">
        <is>
          <t>SKÅNE LÄN</t>
        </is>
      </c>
      <c r="E997" t="inlineStr">
        <is>
          <t>HÄSSLEHOLM</t>
        </is>
      </c>
      <c r="G997" t="n">
        <v>9</v>
      </c>
      <c r="H997" t="n">
        <v>0</v>
      </c>
      <c r="I997" t="n">
        <v>0</v>
      </c>
      <c r="J997" t="n">
        <v>0</v>
      </c>
      <c r="K997" t="n">
        <v>0</v>
      </c>
      <c r="L997" t="n">
        <v>0</v>
      </c>
      <c r="M997" t="n">
        <v>0</v>
      </c>
      <c r="N997" t="n">
        <v>0</v>
      </c>
      <c r="O997" t="n">
        <v>0</v>
      </c>
      <c r="P997" t="n">
        <v>0</v>
      </c>
      <c r="Q997" t="n">
        <v>0</v>
      </c>
      <c r="R997" s="2" t="inlineStr"/>
    </row>
    <row r="998" ht="15" customHeight="1">
      <c r="A998" t="inlineStr">
        <is>
          <t>A 59556-2023</t>
        </is>
      </c>
      <c r="B998" s="1" t="n">
        <v>45254.56313657408</v>
      </c>
      <c r="C998" s="1" t="n">
        <v>45970</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9543-2025</t>
        </is>
      </c>
      <c r="B999" s="1" t="n">
        <v>45715</v>
      </c>
      <c r="C999" s="1" t="n">
        <v>45970</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51571-2023</t>
        </is>
      </c>
      <c r="B1000" s="1" t="n">
        <v>45222</v>
      </c>
      <c r="C1000" s="1" t="n">
        <v>45970</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53018-2025</t>
        </is>
      </c>
      <c r="B1001" s="1" t="n">
        <v>45957.90064814815</v>
      </c>
      <c r="C1001" s="1" t="n">
        <v>45970</v>
      </c>
      <c r="D1001" t="inlineStr">
        <is>
          <t>SKÅNE LÄN</t>
        </is>
      </c>
      <c r="E1001" t="inlineStr">
        <is>
          <t>HÄSSLEHOLM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53020-2025</t>
        </is>
      </c>
      <c r="B1002" s="1" t="n">
        <v>45957.90707175926</v>
      </c>
      <c r="C1002" s="1" t="n">
        <v>45970</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44330-2025</t>
        </is>
      </c>
      <c r="B1003" s="1" t="n">
        <v>45916.42120370371</v>
      </c>
      <c r="C1003" s="1" t="n">
        <v>45970</v>
      </c>
      <c r="D1003" t="inlineStr">
        <is>
          <t>SKÅNE LÄN</t>
        </is>
      </c>
      <c r="E1003" t="inlineStr">
        <is>
          <t>HÄSSLEHOLM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27291-2023</t>
        </is>
      </c>
      <c r="B1004" s="1" t="n">
        <v>45096</v>
      </c>
      <c r="C1004" s="1" t="n">
        <v>45970</v>
      </c>
      <c r="D1004" t="inlineStr">
        <is>
          <t>SKÅNE LÄN</t>
        </is>
      </c>
      <c r="E1004" t="inlineStr">
        <is>
          <t>HÄSSLEHOLM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31159-2025</t>
        </is>
      </c>
      <c r="B1005" s="1" t="n">
        <v>45832.65322916667</v>
      </c>
      <c r="C1005" s="1" t="n">
        <v>45970</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44523-2025</t>
        </is>
      </c>
      <c r="B1006" s="1" t="n">
        <v>45916</v>
      </c>
      <c r="C1006" s="1" t="n">
        <v>45970</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48798-2023</t>
        </is>
      </c>
      <c r="B1007" s="1" t="n">
        <v>45209.25318287037</v>
      </c>
      <c r="C1007" s="1" t="n">
        <v>45970</v>
      </c>
      <c r="D1007" t="inlineStr">
        <is>
          <t>SKÅNE LÄN</t>
        </is>
      </c>
      <c r="E1007" t="inlineStr">
        <is>
          <t>HÄSSLEHOLM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48627-2023</t>
        </is>
      </c>
      <c r="B1008" s="1" t="n">
        <v>45208.57371527778</v>
      </c>
      <c r="C1008" s="1" t="n">
        <v>45970</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44515-2025</t>
        </is>
      </c>
      <c r="B1009" s="1" t="n">
        <v>45916.7062037037</v>
      </c>
      <c r="C1009" s="1" t="n">
        <v>45970</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17152-2025</t>
        </is>
      </c>
      <c r="B1010" s="1" t="n">
        <v>45756.33318287037</v>
      </c>
      <c r="C1010" s="1" t="n">
        <v>45970</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48326-2023</t>
        </is>
      </c>
      <c r="B1011" s="1" t="n">
        <v>45205</v>
      </c>
      <c r="C1011" s="1" t="n">
        <v>45970</v>
      </c>
      <c r="D1011" t="inlineStr">
        <is>
          <t>SKÅNE LÄN</t>
        </is>
      </c>
      <c r="E1011" t="inlineStr">
        <is>
          <t>HÄSSLEHOLM</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10752-2025</t>
        </is>
      </c>
      <c r="B1012" s="1" t="n">
        <v>45722</v>
      </c>
      <c r="C1012" s="1" t="n">
        <v>45970</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54462-2022</t>
        </is>
      </c>
      <c r="B1013" s="1" t="n">
        <v>44882</v>
      </c>
      <c r="C1013" s="1" t="n">
        <v>45970</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3890-2024</t>
        </is>
      </c>
      <c r="B1014" s="1" t="n">
        <v>45322.45366898148</v>
      </c>
      <c r="C1014" s="1" t="n">
        <v>45970</v>
      </c>
      <c r="D1014" t="inlineStr">
        <is>
          <t>SKÅNE LÄN</t>
        </is>
      </c>
      <c r="E1014" t="inlineStr">
        <is>
          <t>HÄSSLEHOLM</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54471-2023</t>
        </is>
      </c>
      <c r="B1015" s="1" t="n">
        <v>45233.4640162037</v>
      </c>
      <c r="C1015" s="1" t="n">
        <v>45970</v>
      </c>
      <c r="D1015" t="inlineStr">
        <is>
          <t>SKÅNE LÄN</t>
        </is>
      </c>
      <c r="E1015" t="inlineStr">
        <is>
          <t>HÄSSLEHOLM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57963-2023</t>
        </is>
      </c>
      <c r="B1016" s="1" t="n">
        <v>45247.57732638889</v>
      </c>
      <c r="C1016" s="1" t="n">
        <v>45970</v>
      </c>
      <c r="D1016" t="inlineStr">
        <is>
          <t>SKÅNE LÄN</t>
        </is>
      </c>
      <c r="E1016" t="inlineStr">
        <is>
          <t>HÄSSLEHOLM</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59028-2023</t>
        </is>
      </c>
      <c r="B1017" s="1" t="n">
        <v>45252.67900462963</v>
      </c>
      <c r="C1017" s="1" t="n">
        <v>45970</v>
      </c>
      <c r="D1017" t="inlineStr">
        <is>
          <t>SKÅNE LÄN</t>
        </is>
      </c>
      <c r="E1017" t="inlineStr">
        <is>
          <t>HÄSSLEHOLM</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32585-2025</t>
        </is>
      </c>
      <c r="B1018" s="1" t="n">
        <v>45838.60021990741</v>
      </c>
      <c r="C1018" s="1" t="n">
        <v>45970</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13544-2025</t>
        </is>
      </c>
      <c r="B1019" s="1" t="n">
        <v>45736</v>
      </c>
      <c r="C1019" s="1" t="n">
        <v>45970</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32592-2025</t>
        </is>
      </c>
      <c r="B1020" s="1" t="n">
        <v>45838.61020833333</v>
      </c>
      <c r="C1020" s="1" t="n">
        <v>45970</v>
      </c>
      <c r="D1020" t="inlineStr">
        <is>
          <t>SKÅNE LÄN</t>
        </is>
      </c>
      <c r="E1020" t="inlineStr">
        <is>
          <t>HÄSSLEHOLM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44624-2025</t>
        </is>
      </c>
      <c r="B1021" s="1" t="n">
        <v>45917.47152777778</v>
      </c>
      <c r="C1021" s="1" t="n">
        <v>45970</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2712-2024</t>
        </is>
      </c>
      <c r="B1022" s="1" t="n">
        <v>45314</v>
      </c>
      <c r="C1022" s="1" t="n">
        <v>45970</v>
      </c>
      <c r="D1022" t="inlineStr">
        <is>
          <t>SKÅNE LÄN</t>
        </is>
      </c>
      <c r="E1022" t="inlineStr">
        <is>
          <t>HÄSSLEHOLM</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260-2024</t>
        </is>
      </c>
      <c r="B1023" s="1" t="n">
        <v>45294</v>
      </c>
      <c r="C1023" s="1" t="n">
        <v>45970</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8263-2025</t>
        </is>
      </c>
      <c r="B1024" s="1" t="n">
        <v>45708.50398148148</v>
      </c>
      <c r="C1024" s="1" t="n">
        <v>45970</v>
      </c>
      <c r="D1024" t="inlineStr">
        <is>
          <t>SKÅNE LÄN</t>
        </is>
      </c>
      <c r="E1024" t="inlineStr">
        <is>
          <t>HÄSSLEHOLM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44611-2025</t>
        </is>
      </c>
      <c r="B1025" s="1" t="n">
        <v>45917.45109953704</v>
      </c>
      <c r="C1025" s="1" t="n">
        <v>45970</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45109.79962962963</v>
      </c>
      <c r="C1026" s="1" t="n">
        <v>45970</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45084-2025</t>
        </is>
      </c>
      <c r="B1027" s="1" t="n">
        <v>45918</v>
      </c>
      <c r="C1027" s="1" t="n">
        <v>45970</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53056-2025</t>
        </is>
      </c>
      <c r="B1028" s="1" t="n">
        <v>45958.36518518518</v>
      </c>
      <c r="C1028" s="1" t="n">
        <v>45970</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42364-2023</t>
        </is>
      </c>
      <c r="B1029" s="1" t="n">
        <v>45180.54754629629</v>
      </c>
      <c r="C1029" s="1" t="n">
        <v>45970</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61578-2023</t>
        </is>
      </c>
      <c r="B1030" s="1" t="n">
        <v>45265.47399305556</v>
      </c>
      <c r="C1030" s="1" t="n">
        <v>45970</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44616-2025</t>
        </is>
      </c>
      <c r="B1031" s="1" t="n">
        <v>45917.45572916666</v>
      </c>
      <c r="C1031" s="1" t="n">
        <v>45970</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2597-2024</t>
        </is>
      </c>
      <c r="B1032" s="1" t="n">
        <v>45313</v>
      </c>
      <c r="C1032" s="1" t="n">
        <v>45970</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29649-2025</t>
        </is>
      </c>
      <c r="B1033" s="1" t="n">
        <v>45825.47446759259</v>
      </c>
      <c r="C1033" s="1" t="n">
        <v>45970</v>
      </c>
      <c r="D1033" t="inlineStr">
        <is>
          <t>SKÅNE LÄN</t>
        </is>
      </c>
      <c r="E1033" t="inlineStr">
        <is>
          <t>HÄSSLEHOLM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33948-2025</t>
        </is>
      </c>
      <c r="B1034" s="1" t="n">
        <v>45842.65945601852</v>
      </c>
      <c r="C1034" s="1" t="n">
        <v>45970</v>
      </c>
      <c r="D1034" t="inlineStr">
        <is>
          <t>SKÅNE LÄN</t>
        </is>
      </c>
      <c r="E1034" t="inlineStr">
        <is>
          <t>HÄSSLEHOLM</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62277-2023</t>
        </is>
      </c>
      <c r="B1035" s="1" t="n">
        <v>45266</v>
      </c>
      <c r="C1035" s="1" t="n">
        <v>45970</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3888-2024</t>
        </is>
      </c>
      <c r="B1036" s="1" t="n">
        <v>45322.45089120371</v>
      </c>
      <c r="C1036" s="1" t="n">
        <v>45970</v>
      </c>
      <c r="D1036" t="inlineStr">
        <is>
          <t>SKÅNE LÄN</t>
        </is>
      </c>
      <c r="E1036" t="inlineStr">
        <is>
          <t>HÄSSLEHOLM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3889-2024</t>
        </is>
      </c>
      <c r="B1037" s="1" t="n">
        <v>45322.45234953704</v>
      </c>
      <c r="C1037" s="1" t="n">
        <v>45970</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44614-2025</t>
        </is>
      </c>
      <c r="B1038" s="1" t="n">
        <v>45917.45422453704</v>
      </c>
      <c r="C1038" s="1" t="n">
        <v>45970</v>
      </c>
      <c r="D1038" t="inlineStr">
        <is>
          <t>SKÅNE LÄN</t>
        </is>
      </c>
      <c r="E1038" t="inlineStr">
        <is>
          <t>HÄSSLEHOLM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33875-2025</t>
        </is>
      </c>
      <c r="B1039" s="1" t="n">
        <v>45842.55300925926</v>
      </c>
      <c r="C1039" s="1" t="n">
        <v>45970</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33877-2025</t>
        </is>
      </c>
      <c r="B1040" s="1" t="n">
        <v>45842.55564814815</v>
      </c>
      <c r="C1040" s="1" t="n">
        <v>45970</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33879-2025</t>
        </is>
      </c>
      <c r="B1041" s="1" t="n">
        <v>45842.55766203703</v>
      </c>
      <c r="C1041" s="1" t="n">
        <v>45970</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8249-2023</t>
        </is>
      </c>
      <c r="B1042" s="1" t="n">
        <v>44974</v>
      </c>
      <c r="C1042" s="1" t="n">
        <v>45970</v>
      </c>
      <c r="D1042" t="inlineStr">
        <is>
          <t>SKÅNE LÄN</t>
        </is>
      </c>
      <c r="E1042" t="inlineStr">
        <is>
          <t>HÄSSLEHOLM</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33562-2025</t>
        </is>
      </c>
      <c r="B1043" s="1" t="n">
        <v>45841.57803240741</v>
      </c>
      <c r="C1043" s="1" t="n">
        <v>45970</v>
      </c>
      <c r="D1043" t="inlineStr">
        <is>
          <t>SKÅNE LÄN</t>
        </is>
      </c>
      <c r="E1043" t="inlineStr">
        <is>
          <t>HÄSSLEHOLM</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33950-2025</t>
        </is>
      </c>
      <c r="B1044" s="1" t="n">
        <v>45842</v>
      </c>
      <c r="C1044" s="1" t="n">
        <v>45970</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3480-2024</t>
        </is>
      </c>
      <c r="B1045" s="1" t="n">
        <v>45320.43998842593</v>
      </c>
      <c r="C1045" s="1" t="n">
        <v>45970</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53424-2025</t>
        </is>
      </c>
      <c r="B1046" s="1" t="n">
        <v>45959</v>
      </c>
      <c r="C1046" s="1" t="n">
        <v>45970</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34174-2025</t>
        </is>
      </c>
      <c r="B1047" s="1" t="n">
        <v>45844</v>
      </c>
      <c r="C1047" s="1" t="n">
        <v>45970</v>
      </c>
      <c r="D1047" t="inlineStr">
        <is>
          <t>SKÅNE LÄN</t>
        </is>
      </c>
      <c r="E1047" t="inlineStr">
        <is>
          <t>HÄSSLEHOLM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55218-2023</t>
        </is>
      </c>
      <c r="B1048" s="1" t="n">
        <v>45237</v>
      </c>
      <c r="C1048" s="1" t="n">
        <v>45970</v>
      </c>
      <c r="D1048" t="inlineStr">
        <is>
          <t>SKÅNE LÄN</t>
        </is>
      </c>
      <c r="E1048" t="inlineStr">
        <is>
          <t>HÄSSLEHOLM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1119-2024</t>
        </is>
      </c>
      <c r="B1049" s="1" t="n">
        <v>45302</v>
      </c>
      <c r="C1049" s="1" t="n">
        <v>45970</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34177-2025</t>
        </is>
      </c>
      <c r="B1050" s="1" t="n">
        <v>45844</v>
      </c>
      <c r="C1050" s="1" t="n">
        <v>45970</v>
      </c>
      <c r="D1050" t="inlineStr">
        <is>
          <t>SKÅNE LÄN</t>
        </is>
      </c>
      <c r="E1050" t="inlineStr">
        <is>
          <t>HÄSSLEHOLM</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9393-2025</t>
        </is>
      </c>
      <c r="B1051" s="1" t="n">
        <v>45715.36230324074</v>
      </c>
      <c r="C1051" s="1" t="n">
        <v>45970</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22678-2025</t>
        </is>
      </c>
      <c r="B1052" s="1" t="n">
        <v>45789.49725694444</v>
      </c>
      <c r="C1052" s="1" t="n">
        <v>45970</v>
      </c>
      <c r="D1052" t="inlineStr">
        <is>
          <t>SKÅNE LÄN</t>
        </is>
      </c>
      <c r="E1052" t="inlineStr">
        <is>
          <t>HÄSSLEHOLM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32958-2023</t>
        </is>
      </c>
      <c r="B1053" s="1" t="n">
        <v>45125.52142361111</v>
      </c>
      <c r="C1053" s="1" t="n">
        <v>45970</v>
      </c>
      <c r="D1053" t="inlineStr">
        <is>
          <t>SKÅNE LÄN</t>
        </is>
      </c>
      <c r="E1053" t="inlineStr">
        <is>
          <t>HÄSSLEHOLM</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11422-2025</t>
        </is>
      </c>
      <c r="B1054" s="1" t="n">
        <v>45726</v>
      </c>
      <c r="C1054" s="1" t="n">
        <v>45970</v>
      </c>
      <c r="D1054" t="inlineStr">
        <is>
          <t>SKÅNE LÄN</t>
        </is>
      </c>
      <c r="E1054" t="inlineStr">
        <is>
          <t>HÄSSLEHOLM</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51597-2025</t>
        </is>
      </c>
      <c r="B1055" s="1" t="n">
        <v>45951.37163194444</v>
      </c>
      <c r="C1055" s="1" t="n">
        <v>45970</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57277-2023</t>
        </is>
      </c>
      <c r="B1056" s="1" t="n">
        <v>45245.59104166667</v>
      </c>
      <c r="C1056" s="1" t="n">
        <v>45970</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45495-2025</t>
        </is>
      </c>
      <c r="B1057" s="1" t="n">
        <v>45922.56369212963</v>
      </c>
      <c r="C1057" s="1" t="n">
        <v>45970</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45176-2025</t>
        </is>
      </c>
      <c r="B1058" s="1" t="n">
        <v>45919.52307870371</v>
      </c>
      <c r="C1058" s="1" t="n">
        <v>45970</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9611-2025</t>
        </is>
      </c>
      <c r="B1059" s="1" t="n">
        <v>45715</v>
      </c>
      <c r="C1059" s="1" t="n">
        <v>45970</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5284-2023</t>
        </is>
      </c>
      <c r="B1060" s="1" t="n">
        <v>44959.50608796296</v>
      </c>
      <c r="C1060" s="1" t="n">
        <v>45970</v>
      </c>
      <c r="D1060" t="inlineStr">
        <is>
          <t>SKÅNE LÄN</t>
        </is>
      </c>
      <c r="E1060" t="inlineStr">
        <is>
          <t>HÄSSLEHOLM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5285-2023</t>
        </is>
      </c>
      <c r="B1061" s="1" t="n">
        <v>44959.50783564815</v>
      </c>
      <c r="C1061" s="1" t="n">
        <v>45970</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57272-2023</t>
        </is>
      </c>
      <c r="B1062" s="1" t="n">
        <v>45245</v>
      </c>
      <c r="C1062" s="1" t="n">
        <v>45970</v>
      </c>
      <c r="D1062" t="inlineStr">
        <is>
          <t>SKÅNE LÄN</t>
        </is>
      </c>
      <c r="E1062" t="inlineStr">
        <is>
          <t>HÄSSLEHOLM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2479-2024</t>
        </is>
      </c>
      <c r="B1063" s="1" t="n">
        <v>45313.40148148148</v>
      </c>
      <c r="C1063" s="1" t="n">
        <v>45970</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31160-2024</t>
        </is>
      </c>
      <c r="B1064" s="1" t="n">
        <v>45503</v>
      </c>
      <c r="C1064" s="1" t="n">
        <v>45970</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45273-2025</t>
        </is>
      </c>
      <c r="B1065" s="1" t="n">
        <v>45919.70486111111</v>
      </c>
      <c r="C1065" s="1" t="n">
        <v>45970</v>
      </c>
      <c r="D1065" t="inlineStr">
        <is>
          <t>SKÅNE LÄN</t>
        </is>
      </c>
      <c r="E1065" t="inlineStr">
        <is>
          <t>HÄSSLEHOLM</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50664-2023</t>
        </is>
      </c>
      <c r="B1066" s="1" t="n">
        <v>45217</v>
      </c>
      <c r="C1066" s="1" t="n">
        <v>45970</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56490-2021</t>
        </is>
      </c>
      <c r="B1067" s="1" t="n">
        <v>44480</v>
      </c>
      <c r="C1067" s="1" t="n">
        <v>45970</v>
      </c>
      <c r="D1067" t="inlineStr">
        <is>
          <t>SKÅNE LÄN</t>
        </is>
      </c>
      <c r="E1067" t="inlineStr">
        <is>
          <t>HÄSSLEHOLM</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34869-2025</t>
        </is>
      </c>
      <c r="B1068" s="1" t="n">
        <v>45849</v>
      </c>
      <c r="C1068" s="1" t="n">
        <v>45970</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417-2022</t>
        </is>
      </c>
      <c r="B1069" s="1" t="n">
        <v>44565.84615740741</v>
      </c>
      <c r="C1069" s="1" t="n">
        <v>45970</v>
      </c>
      <c r="D1069" t="inlineStr">
        <is>
          <t>SKÅNE LÄN</t>
        </is>
      </c>
      <c r="E1069" t="inlineStr">
        <is>
          <t>HÄSSLEHOLM</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61934-2023</t>
        </is>
      </c>
      <c r="B1070" s="1" t="n">
        <v>45266.54125</v>
      </c>
      <c r="C1070" s="1" t="n">
        <v>45970</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45314-2025</t>
        </is>
      </c>
      <c r="B1071" s="1" t="n">
        <v>45921.81738425926</v>
      </c>
      <c r="C1071" s="1" t="n">
        <v>45970</v>
      </c>
      <c r="D1071" t="inlineStr">
        <is>
          <t>SKÅNE LÄN</t>
        </is>
      </c>
      <c r="E1071" t="inlineStr">
        <is>
          <t>HÄSSLEHOLM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41459-2022</t>
        </is>
      </c>
      <c r="B1072" s="1" t="n">
        <v>44826.93372685185</v>
      </c>
      <c r="C1072" s="1" t="n">
        <v>45970</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19151-2023</t>
        </is>
      </c>
      <c r="B1073" s="1" t="n">
        <v>45044</v>
      </c>
      <c r="C1073" s="1" t="n">
        <v>45970</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54658-2023</t>
        </is>
      </c>
      <c r="B1074" s="1" t="n">
        <v>45235</v>
      </c>
      <c r="C1074" s="1" t="n">
        <v>45970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42370-2023</t>
        </is>
      </c>
      <c r="B1075" s="1" t="n">
        <v>45180</v>
      </c>
      <c r="C1075" s="1" t="n">
        <v>45970</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35259-2025</t>
        </is>
      </c>
      <c r="B1076" s="1" t="n">
        <v>45853.76912037037</v>
      </c>
      <c r="C1076" s="1" t="n">
        <v>45970</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20970-2025</t>
        </is>
      </c>
      <c r="B1077" s="1" t="n">
        <v>45777.45417824074</v>
      </c>
      <c r="C1077" s="1" t="n">
        <v>45970</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16951-2025</t>
        </is>
      </c>
      <c r="B1078" s="1" t="n">
        <v>45755</v>
      </c>
      <c r="C1078" s="1" t="n">
        <v>45970</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17413-2025</t>
        </is>
      </c>
      <c r="B1079" s="1" t="n">
        <v>45757.37480324074</v>
      </c>
      <c r="C1079" s="1" t="n">
        <v>45970</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45516-2025</t>
        </is>
      </c>
      <c r="B1080" s="1" t="n">
        <v>45922</v>
      </c>
      <c r="C1080" s="1" t="n">
        <v>45970</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18063-2023</t>
        </is>
      </c>
      <c r="B1081" s="1" t="n">
        <v>45040.62850694444</v>
      </c>
      <c r="C1081" s="1" t="n">
        <v>45970</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14674-2025</t>
        </is>
      </c>
      <c r="B1082" s="1" t="n">
        <v>45742.55548611111</v>
      </c>
      <c r="C1082" s="1" t="n">
        <v>45970</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54777-2022</t>
        </is>
      </c>
      <c r="B1083" s="1" t="n">
        <v>44883</v>
      </c>
      <c r="C1083" s="1" t="n">
        <v>45970</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45514-2025</t>
        </is>
      </c>
      <c r="B1084" s="1" t="n">
        <v>45922</v>
      </c>
      <c r="C1084" s="1" t="n">
        <v>45970</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45221-2025</t>
        </is>
      </c>
      <c r="B1085" s="1" t="n">
        <v>45919.57760416667</v>
      </c>
      <c r="C1085" s="1" t="n">
        <v>45970</v>
      </c>
      <c r="D1085" t="inlineStr">
        <is>
          <t>SKÅNE LÄN</t>
        </is>
      </c>
      <c r="E1085" t="inlineStr">
        <is>
          <t>HÄSSLEHOLM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45414-2025</t>
        </is>
      </c>
      <c r="B1086" s="1" t="n">
        <v>45920</v>
      </c>
      <c r="C1086" s="1" t="n">
        <v>45970</v>
      </c>
      <c r="D1086" t="inlineStr">
        <is>
          <t>SKÅNE LÄN</t>
        </is>
      </c>
      <c r="E1086" t="inlineStr">
        <is>
          <t>HÄSSLEHOLM</t>
        </is>
      </c>
      <c r="G1086" t="n">
        <v>14.7</v>
      </c>
      <c r="H1086" t="n">
        <v>0</v>
      </c>
      <c r="I1086" t="n">
        <v>0</v>
      </c>
      <c r="J1086" t="n">
        <v>0</v>
      </c>
      <c r="K1086" t="n">
        <v>0</v>
      </c>
      <c r="L1086" t="n">
        <v>0</v>
      </c>
      <c r="M1086" t="n">
        <v>0</v>
      </c>
      <c r="N1086" t="n">
        <v>0</v>
      </c>
      <c r="O1086" t="n">
        <v>0</v>
      </c>
      <c r="P1086" t="n">
        <v>0</v>
      </c>
      <c r="Q1086" t="n">
        <v>0</v>
      </c>
      <c r="R1086" s="2" t="inlineStr"/>
    </row>
    <row r="1087" ht="15" customHeight="1">
      <c r="A1087" t="inlineStr">
        <is>
          <t>A 45443-2025</t>
        </is>
      </c>
      <c r="B1087" s="1" t="n">
        <v>45920</v>
      </c>
      <c r="C1087" s="1" t="n">
        <v>45970</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45496-2025</t>
        </is>
      </c>
      <c r="B1088" s="1" t="n">
        <v>45922</v>
      </c>
      <c r="C1088" s="1" t="n">
        <v>45970</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41680-2024</t>
        </is>
      </c>
      <c r="B1089" s="1" t="n">
        <v>45560</v>
      </c>
      <c r="C1089" s="1" t="n">
        <v>45970</v>
      </c>
      <c r="D1089" t="inlineStr">
        <is>
          <t>SKÅNE LÄN</t>
        </is>
      </c>
      <c r="E1089" t="inlineStr">
        <is>
          <t>HÄSSLEHOLM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45458-2025</t>
        </is>
      </c>
      <c r="B1090" s="1" t="n">
        <v>45920</v>
      </c>
      <c r="C1090" s="1" t="n">
        <v>45970</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45465-2025</t>
        </is>
      </c>
      <c r="B1091" s="1" t="n">
        <v>45920</v>
      </c>
      <c r="C1091" s="1" t="n">
        <v>45970</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23683-2023</t>
        </is>
      </c>
      <c r="B1092" s="1" t="n">
        <v>45077</v>
      </c>
      <c r="C1092" s="1" t="n">
        <v>45970</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23955-2023</t>
        </is>
      </c>
      <c r="B1093" s="1" t="n">
        <v>45078.62217592593</v>
      </c>
      <c r="C1093" s="1" t="n">
        <v>45970</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36085-2025</t>
        </is>
      </c>
      <c r="B1094" s="1" t="n">
        <v>45866.46190972222</v>
      </c>
      <c r="C1094" s="1" t="n">
        <v>45970</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23860-2024</t>
        </is>
      </c>
      <c r="B1095" s="1" t="n">
        <v>45455</v>
      </c>
      <c r="C1095" s="1" t="n">
        <v>45970</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524-2024</t>
        </is>
      </c>
      <c r="B1096" s="1" t="n">
        <v>45299</v>
      </c>
      <c r="C1096" s="1" t="n">
        <v>45970</v>
      </c>
      <c r="D1096" t="inlineStr">
        <is>
          <t>SKÅNE LÄN</t>
        </is>
      </c>
      <c r="E1096" t="inlineStr">
        <is>
          <t>HÄSSLEHOLM</t>
        </is>
      </c>
      <c r="G1096" t="n">
        <v>29.4</v>
      </c>
      <c r="H1096" t="n">
        <v>0</v>
      </c>
      <c r="I1096" t="n">
        <v>0</v>
      </c>
      <c r="J1096" t="n">
        <v>0</v>
      </c>
      <c r="K1096" t="n">
        <v>0</v>
      </c>
      <c r="L1096" t="n">
        <v>0</v>
      </c>
      <c r="M1096" t="n">
        <v>0</v>
      </c>
      <c r="N1096" t="n">
        <v>0</v>
      </c>
      <c r="O1096" t="n">
        <v>0</v>
      </c>
      <c r="P1096" t="n">
        <v>0</v>
      </c>
      <c r="Q1096" t="n">
        <v>0</v>
      </c>
      <c r="R1096" s="2" t="inlineStr"/>
    </row>
    <row r="1097" ht="15" customHeight="1">
      <c r="A1097" t="inlineStr">
        <is>
          <t>A 36130-2025</t>
        </is>
      </c>
      <c r="B1097" s="1" t="n">
        <v>45866.62273148148</v>
      </c>
      <c r="C1097" s="1" t="n">
        <v>45970</v>
      </c>
      <c r="D1097" t="inlineStr">
        <is>
          <t>SKÅNE LÄN</t>
        </is>
      </c>
      <c r="E1097" t="inlineStr">
        <is>
          <t>HÄSSLEHOLM</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9678-2025</t>
        </is>
      </c>
      <c r="B1098" s="1" t="n">
        <v>45716</v>
      </c>
      <c r="C1098" s="1" t="n">
        <v>45970</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54668-2025</t>
        </is>
      </c>
      <c r="B1099" s="1" t="n">
        <v>45966.40803240741</v>
      </c>
      <c r="C1099" s="1" t="n">
        <v>45970</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19666-2025</t>
        </is>
      </c>
      <c r="B1100" s="1" t="n">
        <v>45770.69326388889</v>
      </c>
      <c r="C1100" s="1" t="n">
        <v>45970</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54518-2022</t>
        </is>
      </c>
      <c r="B1101" s="1" t="n">
        <v>44882</v>
      </c>
      <c r="C1101" s="1" t="n">
        <v>45970</v>
      </c>
      <c r="D1101" t="inlineStr">
        <is>
          <t>SKÅNE LÄN</t>
        </is>
      </c>
      <c r="E1101" t="inlineStr">
        <is>
          <t>HÄSSLEHOLM</t>
        </is>
      </c>
      <c r="F1101" t="inlineStr">
        <is>
          <t>Övriga Aktiebolag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7094-2023</t>
        </is>
      </c>
      <c r="B1102" s="1" t="n">
        <v>44970.36958333333</v>
      </c>
      <c r="C1102" s="1" t="n">
        <v>45970</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45683-2025</t>
        </is>
      </c>
      <c r="B1103" s="1" t="n">
        <v>45923.37590277778</v>
      </c>
      <c r="C1103" s="1" t="n">
        <v>45970</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45970</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36361-2025</t>
        </is>
      </c>
      <c r="B1105" s="1" t="n">
        <v>45867</v>
      </c>
      <c r="C1105" s="1" t="n">
        <v>45970</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54763-2025</t>
        </is>
      </c>
      <c r="B1106" s="1" t="n">
        <v>45966.60167824074</v>
      </c>
      <c r="C1106" s="1" t="n">
        <v>45970</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11266-2025</t>
        </is>
      </c>
      <c r="B1107" s="1" t="n">
        <v>45726</v>
      </c>
      <c r="C1107" s="1" t="n">
        <v>45970</v>
      </c>
      <c r="D1107" t="inlineStr">
        <is>
          <t>SKÅNE LÄN</t>
        </is>
      </c>
      <c r="E1107" t="inlineStr">
        <is>
          <t>HÄSSLEHOLM</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49950-2023</t>
        </is>
      </c>
      <c r="B1108" s="1" t="n">
        <v>45215</v>
      </c>
      <c r="C1108" s="1" t="n">
        <v>45970</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36358-2025</t>
        </is>
      </c>
      <c r="B1109" s="1" t="n">
        <v>45867</v>
      </c>
      <c r="C1109" s="1" t="n">
        <v>45970</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36359-2025</t>
        </is>
      </c>
      <c r="B1110" s="1" t="n">
        <v>45867</v>
      </c>
      <c r="C1110" s="1" t="n">
        <v>45970</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29853-2024</t>
        </is>
      </c>
      <c r="B1111" s="1" t="n">
        <v>45485.65844907407</v>
      </c>
      <c r="C1111" s="1" t="n">
        <v>45970</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36259-2025</t>
        </is>
      </c>
      <c r="B1112" s="1" t="n">
        <v>45867.59799768519</v>
      </c>
      <c r="C1112" s="1" t="n">
        <v>45970</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57695-2023</t>
        </is>
      </c>
      <c r="B1113" s="1" t="n">
        <v>45246</v>
      </c>
      <c r="C1113" s="1" t="n">
        <v>45970</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9615-2025</t>
        </is>
      </c>
      <c r="B1114" s="1" t="n">
        <v>45715</v>
      </c>
      <c r="C1114" s="1" t="n">
        <v>45970</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25726-2025</t>
        </is>
      </c>
      <c r="B1115" s="1" t="n">
        <v>45803</v>
      </c>
      <c r="C1115" s="1" t="n">
        <v>45970</v>
      </c>
      <c r="D1115" t="inlineStr">
        <is>
          <t>SKÅNE LÄN</t>
        </is>
      </c>
      <c r="E1115" t="inlineStr">
        <is>
          <t>HÄSSLEHOLM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42232-2022</t>
        </is>
      </c>
      <c r="B1116" s="1" t="n">
        <v>44830.77591435185</v>
      </c>
      <c r="C1116" s="1" t="n">
        <v>45970</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38829-2024</t>
        </is>
      </c>
      <c r="B1117" s="1" t="n">
        <v>45547.57247685185</v>
      </c>
      <c r="C1117" s="1" t="n">
        <v>45970</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54771-2025</t>
        </is>
      </c>
      <c r="B1118" s="1" t="n">
        <v>45966.60829861111</v>
      </c>
      <c r="C1118" s="1" t="n">
        <v>45970</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25542-2024</t>
        </is>
      </c>
      <c r="B1119" s="1" t="n">
        <v>45463</v>
      </c>
      <c r="C1119" s="1" t="n">
        <v>45970</v>
      </c>
      <c r="D1119" t="inlineStr">
        <is>
          <t>SKÅNE LÄN</t>
        </is>
      </c>
      <c r="E1119" t="inlineStr">
        <is>
          <t>HÄSSLEHOLM</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8209-2025</t>
        </is>
      </c>
      <c r="B1120" s="1" t="n">
        <v>45708.44244212963</v>
      </c>
      <c r="C1120" s="1" t="n">
        <v>45970</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55454-2021</t>
        </is>
      </c>
      <c r="B1121" s="1" t="n">
        <v>44475</v>
      </c>
      <c r="C1121" s="1" t="n">
        <v>45970</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36938-2025</t>
        </is>
      </c>
      <c r="B1122" s="1" t="n">
        <v>45874.58476851852</v>
      </c>
      <c r="C1122" s="1" t="n">
        <v>45970</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11121-2023</t>
        </is>
      </c>
      <c r="B1123" s="1" t="n">
        <v>44986</v>
      </c>
      <c r="C1123" s="1" t="n">
        <v>45970</v>
      </c>
      <c r="D1123" t="inlineStr">
        <is>
          <t>SKÅNE LÄN</t>
        </is>
      </c>
      <c r="E1123" t="inlineStr">
        <is>
          <t>HÄSSLEHOLM</t>
        </is>
      </c>
      <c r="F1123" t="inlineStr">
        <is>
          <t>Kommuner</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61489-2024</t>
        </is>
      </c>
      <c r="B1124" s="1" t="n">
        <v>45646.54875</v>
      </c>
      <c r="C1124" s="1" t="n">
        <v>45970</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26879-2024</t>
        </is>
      </c>
      <c r="B1125" s="1" t="n">
        <v>45470</v>
      </c>
      <c r="C1125" s="1" t="n">
        <v>45970</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59728-2022</t>
        </is>
      </c>
      <c r="B1126" s="1" t="n">
        <v>44900</v>
      </c>
      <c r="C1126" s="1" t="n">
        <v>45970</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3294-2025</t>
        </is>
      </c>
      <c r="B1127" s="1" t="n">
        <v>45679.64125</v>
      </c>
      <c r="C1127" s="1" t="n">
        <v>45970</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13897-2024</t>
        </is>
      </c>
      <c r="B1128" s="1" t="n">
        <v>45391</v>
      </c>
      <c r="C1128" s="1" t="n">
        <v>45970</v>
      </c>
      <c r="D1128" t="inlineStr">
        <is>
          <t>SKÅNE LÄN</t>
        </is>
      </c>
      <c r="E1128" t="inlineStr">
        <is>
          <t>HÄSSLEHOLM</t>
        </is>
      </c>
      <c r="F1128" t="inlineStr">
        <is>
          <t>Kommuner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69500-2020</t>
        </is>
      </c>
      <c r="B1129" s="1" t="n">
        <v>44194</v>
      </c>
      <c r="C1129" s="1" t="n">
        <v>45970</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7604-2024</t>
        </is>
      </c>
      <c r="B1130" s="1" t="n">
        <v>45348</v>
      </c>
      <c r="C1130" s="1" t="n">
        <v>45970</v>
      </c>
      <c r="D1130" t="inlineStr">
        <is>
          <t>SKÅNE LÄN</t>
        </is>
      </c>
      <c r="E1130" t="inlineStr">
        <is>
          <t>HÄSSLEHOLM</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45763-2025</t>
        </is>
      </c>
      <c r="B1131" s="1" t="n">
        <v>45923.51778935185</v>
      </c>
      <c r="C1131" s="1" t="n">
        <v>45970</v>
      </c>
      <c r="D1131" t="inlineStr">
        <is>
          <t>SKÅNE LÄN</t>
        </is>
      </c>
      <c r="E1131" t="inlineStr">
        <is>
          <t>HÄSSLEHOLM</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45764-2025</t>
        </is>
      </c>
      <c r="B1132" s="1" t="n">
        <v>45923.52037037037</v>
      </c>
      <c r="C1132" s="1" t="n">
        <v>45970</v>
      </c>
      <c r="D1132" t="inlineStr">
        <is>
          <t>SKÅNE LÄN</t>
        </is>
      </c>
      <c r="E1132" t="inlineStr">
        <is>
          <t>HÄSSLEHOLM</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32154-2024</t>
        </is>
      </c>
      <c r="B1133" s="1" t="n">
        <v>45511</v>
      </c>
      <c r="C1133" s="1" t="n">
        <v>45970</v>
      </c>
      <c r="D1133" t="inlineStr">
        <is>
          <t>SKÅNE LÄN</t>
        </is>
      </c>
      <c r="E1133" t="inlineStr">
        <is>
          <t>HÄSSLEHOLM</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37286-2025</t>
        </is>
      </c>
      <c r="B1134" s="1" t="n">
        <v>45876.50116898148</v>
      </c>
      <c r="C1134" s="1" t="n">
        <v>45970</v>
      </c>
      <c r="D1134" t="inlineStr">
        <is>
          <t>SKÅNE LÄN</t>
        </is>
      </c>
      <c r="E1134" t="inlineStr">
        <is>
          <t>HÄSSLEHOLM</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53055-2021</t>
        </is>
      </c>
      <c r="B1135" s="1" t="n">
        <v>44467</v>
      </c>
      <c r="C1135" s="1" t="n">
        <v>45970</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37271-2025</t>
        </is>
      </c>
      <c r="B1136" s="1" t="n">
        <v>45876.47828703704</v>
      </c>
      <c r="C1136" s="1" t="n">
        <v>45970</v>
      </c>
      <c r="D1136" t="inlineStr">
        <is>
          <t>SKÅNE LÄN</t>
        </is>
      </c>
      <c r="E1136" t="inlineStr">
        <is>
          <t>HÄSSLEHOLM</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11116-2023</t>
        </is>
      </c>
      <c r="B1137" s="1" t="n">
        <v>44986</v>
      </c>
      <c r="C1137" s="1" t="n">
        <v>45970</v>
      </c>
      <c r="D1137" t="inlineStr">
        <is>
          <t>SKÅNE LÄN</t>
        </is>
      </c>
      <c r="E1137" t="inlineStr">
        <is>
          <t>HÄSSLEHOLM</t>
        </is>
      </c>
      <c r="F1137" t="inlineStr">
        <is>
          <t>Kommuner</t>
        </is>
      </c>
      <c r="G1137" t="n">
        <v>15.1</v>
      </c>
      <c r="H1137" t="n">
        <v>0</v>
      </c>
      <c r="I1137" t="n">
        <v>0</v>
      </c>
      <c r="J1137" t="n">
        <v>0</v>
      </c>
      <c r="K1137" t="n">
        <v>0</v>
      </c>
      <c r="L1137" t="n">
        <v>0</v>
      </c>
      <c r="M1137" t="n">
        <v>0</v>
      </c>
      <c r="N1137" t="n">
        <v>0</v>
      </c>
      <c r="O1137" t="n">
        <v>0</v>
      </c>
      <c r="P1137" t="n">
        <v>0</v>
      </c>
      <c r="Q1137" t="n">
        <v>0</v>
      </c>
      <c r="R1137" s="2" t="inlineStr"/>
    </row>
    <row r="1138" ht="15" customHeight="1">
      <c r="A1138" t="inlineStr">
        <is>
          <t>A 36706-2022</t>
        </is>
      </c>
      <c r="B1138" s="1" t="n">
        <v>44805.32891203704</v>
      </c>
      <c r="C1138" s="1" t="n">
        <v>45970</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441-2022</t>
        </is>
      </c>
      <c r="B1139" s="1" t="n">
        <v>44565.97125</v>
      </c>
      <c r="C1139" s="1" t="n">
        <v>45970</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32981-2025</t>
        </is>
      </c>
      <c r="B1140" s="1" t="n">
        <v>45839.86820601852</v>
      </c>
      <c r="C1140" s="1" t="n">
        <v>45970</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18109-2025</t>
        </is>
      </c>
      <c r="B1141" s="1" t="n">
        <v>45761</v>
      </c>
      <c r="C1141" s="1" t="n">
        <v>45970</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16862-2025</t>
        </is>
      </c>
      <c r="B1142" s="1" t="n">
        <v>45751</v>
      </c>
      <c r="C1142" s="1" t="n">
        <v>45970</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3364-2023</t>
        </is>
      </c>
      <c r="B1143" s="1" t="n">
        <v>44949</v>
      </c>
      <c r="C1143" s="1" t="n">
        <v>45970</v>
      </c>
      <c r="D1143" t="inlineStr">
        <is>
          <t>SKÅNE LÄN</t>
        </is>
      </c>
      <c r="E1143" t="inlineStr">
        <is>
          <t>HÄSSLEHOLM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45762-2025</t>
        </is>
      </c>
      <c r="B1144" s="1" t="n">
        <v>45923.51548611111</v>
      </c>
      <c r="C1144" s="1" t="n">
        <v>45970</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54664-2025</t>
        </is>
      </c>
      <c r="B1145" s="1" t="n">
        <v>45966.40738425926</v>
      </c>
      <c r="C1145" s="1" t="n">
        <v>45970</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43629-2023</t>
        </is>
      </c>
      <c r="B1146" s="1" t="n">
        <v>45184</v>
      </c>
      <c r="C1146" s="1" t="n">
        <v>45970</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57656-2022</t>
        </is>
      </c>
      <c r="B1147" s="1" t="n">
        <v>44897.4325925926</v>
      </c>
      <c r="C1147" s="1" t="n">
        <v>45970</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9668-2025</t>
        </is>
      </c>
      <c r="B1148" s="1" t="n">
        <v>45716</v>
      </c>
      <c r="C1148" s="1" t="n">
        <v>45970</v>
      </c>
      <c r="D1148" t="inlineStr">
        <is>
          <t>SKÅNE LÄN</t>
        </is>
      </c>
      <c r="E1148" t="inlineStr">
        <is>
          <t>HÄSSLEHOLM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8250-2023</t>
        </is>
      </c>
      <c r="B1149" s="1" t="n">
        <v>44974</v>
      </c>
      <c r="C1149" s="1" t="n">
        <v>45970</v>
      </c>
      <c r="D1149" t="inlineStr">
        <is>
          <t>SKÅNE LÄN</t>
        </is>
      </c>
      <c r="E1149" t="inlineStr">
        <is>
          <t>HÄSSLEHOLM</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6101-2022</t>
        </is>
      </c>
      <c r="B1150" s="1" t="n">
        <v>44599.63016203704</v>
      </c>
      <c r="C1150" s="1" t="n">
        <v>45970</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6842-2023</t>
        </is>
      </c>
      <c r="B1151" s="1" t="n">
        <v>44967</v>
      </c>
      <c r="C1151" s="1" t="n">
        <v>45970</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54798-2025</t>
        </is>
      </c>
      <c r="B1152" s="1" t="n">
        <v>45966</v>
      </c>
      <c r="C1152" s="1" t="n">
        <v>45970</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7202-2022</t>
        </is>
      </c>
      <c r="B1153" s="1" t="n">
        <v>44606</v>
      </c>
      <c r="C1153" s="1" t="n">
        <v>45970</v>
      </c>
      <c r="D1153" t="inlineStr">
        <is>
          <t>SKÅNE LÄN</t>
        </is>
      </c>
      <c r="E1153" t="inlineStr">
        <is>
          <t>HÄSSLEHOLM</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46605-2025</t>
        </is>
      </c>
      <c r="B1154" s="1" t="n">
        <v>45926.41214120371</v>
      </c>
      <c r="C1154" s="1" t="n">
        <v>45970</v>
      </c>
      <c r="D1154" t="inlineStr">
        <is>
          <t>SKÅNE LÄN</t>
        </is>
      </c>
      <c r="E1154" t="inlineStr">
        <is>
          <t>HÄSSLEHOLM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24904-2025</t>
        </is>
      </c>
      <c r="B1155" s="1" t="n">
        <v>45799</v>
      </c>
      <c r="C1155" s="1" t="n">
        <v>45970</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46761-2025</t>
        </is>
      </c>
      <c r="B1156" s="1" t="n">
        <v>45926.62289351852</v>
      </c>
      <c r="C1156" s="1" t="n">
        <v>45970</v>
      </c>
      <c r="D1156" t="inlineStr">
        <is>
          <t>SKÅNE LÄN</t>
        </is>
      </c>
      <c r="E1156" t="inlineStr">
        <is>
          <t>HÄSSLEHOLM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54807-2025</t>
        </is>
      </c>
      <c r="B1157" s="1" t="n">
        <v>45966</v>
      </c>
      <c r="C1157" s="1" t="n">
        <v>45970</v>
      </c>
      <c r="D1157" t="inlineStr">
        <is>
          <t>SKÅNE LÄN</t>
        </is>
      </c>
      <c r="E1157" t="inlineStr">
        <is>
          <t>HÄSSLEHOLM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55268-2025</t>
        </is>
      </c>
      <c r="B1158" s="1" t="n">
        <v>45968.6715625</v>
      </c>
      <c r="C1158" s="1" t="n">
        <v>45970</v>
      </c>
      <c r="D1158" t="inlineStr">
        <is>
          <t>SKÅNE LÄN</t>
        </is>
      </c>
      <c r="E1158" t="inlineStr">
        <is>
          <t>HÄSSLEHOLM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54426-2025</t>
        </is>
      </c>
      <c r="B1159" s="1" t="n">
        <v>45965</v>
      </c>
      <c r="C1159" s="1" t="n">
        <v>45970</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c r="A1160" t="inlineStr">
        <is>
          <t>A 46786-2025</t>
        </is>
      </c>
      <c r="B1160" s="1" t="n">
        <v>45926.64484953704</v>
      </c>
      <c r="C1160" s="1" t="n">
        <v>45970</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2025-11-09T10:09:41Z</dcterms:created>
  <dcterms:modified xmlns:dcterms="http://purl.org/dc/terms/" xmlns:xsi="http://www.w3.org/2001/XMLSchema-instance" xsi:type="dcterms:W3CDTF">2025-11-09T10:09:42Z</dcterms:modified>
</cp:coreProperties>
</file>