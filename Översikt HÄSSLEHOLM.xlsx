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46017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46017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46017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46017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46017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46017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46017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46017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46017</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46017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46017</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46017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46017</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46017</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46017</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46017</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46017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46017</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46017</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4619-2025</t>
        </is>
      </c>
      <c r="B21" s="1" t="n">
        <v>45687</v>
      </c>
      <c r="C21" s="1" t="n">
        <v>46017</v>
      </c>
      <c r="D21" t="inlineStr">
        <is>
          <t>SKÅNE LÄN</t>
        </is>
      </c>
      <c r="E21" t="inlineStr">
        <is>
          <t>HÄSSLEHOLM</t>
        </is>
      </c>
      <c r="G21" t="n">
        <v>2.2</v>
      </c>
      <c r="H21" t="n">
        <v>0</v>
      </c>
      <c r="I21" t="n">
        <v>0</v>
      </c>
      <c r="J21" t="n">
        <v>0</v>
      </c>
      <c r="K21" t="n">
        <v>1</v>
      </c>
      <c r="L21" t="n">
        <v>0</v>
      </c>
      <c r="M21" t="n">
        <v>0</v>
      </c>
      <c r="N21" t="n">
        <v>0</v>
      </c>
      <c r="O21" t="n">
        <v>1</v>
      </c>
      <c r="P21" t="n">
        <v>1</v>
      </c>
      <c r="Q21" t="n">
        <v>1</v>
      </c>
      <c r="R21" s="2" t="inlineStr">
        <is>
          <t>Vildris</t>
        </is>
      </c>
      <c r="S21">
        <f>HYPERLINK("https://klasma.github.io/Logging_1293/artfynd/A 4619-2025 artfynd.xlsx", "A 4619-2025")</f>
        <v/>
      </c>
      <c r="T21">
        <f>HYPERLINK("https://klasma.github.io/Logging_1293/kartor/A 4619-2025 karta.png", "A 4619-2025")</f>
        <v/>
      </c>
      <c r="V21">
        <f>HYPERLINK("https://klasma.github.io/Logging_1293/klagomål/A 4619-2025 FSC-klagomål.docx", "A 4619-2025")</f>
        <v/>
      </c>
      <c r="W21">
        <f>HYPERLINK("https://klasma.github.io/Logging_1293/klagomålsmail/A 4619-2025 FSC-klagomål mail.docx", "A 4619-2025")</f>
        <v/>
      </c>
      <c r="X21">
        <f>HYPERLINK("https://klasma.github.io/Logging_1293/tillsyn/A 4619-2025 tillsynsbegäran.docx", "A 4619-2025")</f>
        <v/>
      </c>
      <c r="Y21">
        <f>HYPERLINK("https://klasma.github.io/Logging_1293/tillsynsmail/A 4619-2025 tillsynsbegäran mail.docx", "A 4619-2025")</f>
        <v/>
      </c>
    </row>
    <row r="22" ht="15" customHeight="1">
      <c r="A22" t="inlineStr">
        <is>
          <t>A 9289-2025</t>
        </is>
      </c>
      <c r="B22" s="1" t="n">
        <v>45714</v>
      </c>
      <c r="C22" s="1" t="n">
        <v>46017</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14933-2023</t>
        </is>
      </c>
      <c r="B23" s="1" t="n">
        <v>45014</v>
      </c>
      <c r="C23" s="1" t="n">
        <v>46017</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14933-2023 artfynd.xlsx", "A 14933-2023")</f>
        <v/>
      </c>
      <c r="T23">
        <f>HYPERLINK("https://klasma.github.io/Logging_1293/kartor/A 14933-2023 karta.png", "A 14933-2023")</f>
        <v/>
      </c>
      <c r="V23">
        <f>HYPERLINK("https://klasma.github.io/Logging_1293/klagomål/A 14933-2023 FSC-klagomål.docx", "A 14933-2023")</f>
        <v/>
      </c>
      <c r="W23">
        <f>HYPERLINK("https://klasma.github.io/Logging_1293/klagomålsmail/A 14933-2023 FSC-klagomål mail.docx", "A 14933-2023")</f>
        <v/>
      </c>
      <c r="X23">
        <f>HYPERLINK("https://klasma.github.io/Logging_1293/tillsyn/A 14933-2023 tillsynsbegäran.docx", "A 14933-2023")</f>
        <v/>
      </c>
      <c r="Y23">
        <f>HYPERLINK("https://klasma.github.io/Logging_1293/tillsynsmail/A 14933-2023 tillsynsbegäran mail.docx", "A 14933-2023")</f>
        <v/>
      </c>
    </row>
    <row r="24" ht="15" customHeight="1">
      <c r="A24" t="inlineStr">
        <is>
          <t>A 8223-2025</t>
        </is>
      </c>
      <c r="B24" s="1" t="n">
        <v>45708.46127314815</v>
      </c>
      <c r="C24" s="1" t="n">
        <v>46017</v>
      </c>
      <c r="D24" t="inlineStr">
        <is>
          <t>SKÅNE LÄN</t>
        </is>
      </c>
      <c r="E24" t="inlineStr">
        <is>
          <t>HÄSSLEHOLM</t>
        </is>
      </c>
      <c r="G24" t="n">
        <v>0.8</v>
      </c>
      <c r="H24" t="n">
        <v>1</v>
      </c>
      <c r="I24" t="n">
        <v>0</v>
      </c>
      <c r="J24" t="n">
        <v>0</v>
      </c>
      <c r="K24" t="n">
        <v>0</v>
      </c>
      <c r="L24" t="n">
        <v>0</v>
      </c>
      <c r="M24" t="n">
        <v>0</v>
      </c>
      <c r="N24" t="n">
        <v>0</v>
      </c>
      <c r="O24" t="n">
        <v>0</v>
      </c>
      <c r="P24" t="n">
        <v>0</v>
      </c>
      <c r="Q24" t="n">
        <v>1</v>
      </c>
      <c r="R24" s="2" t="inlineStr">
        <is>
          <t>Kungsfågel</t>
        </is>
      </c>
      <c r="S24">
        <f>HYPERLINK("https://klasma.github.io/Logging_1293/artfynd/A 8223-2025 artfynd.xlsx", "A 8223-2025")</f>
        <v/>
      </c>
      <c r="T24">
        <f>HYPERLINK("https://klasma.github.io/Logging_1293/kartor/A 8223-2025 karta.png", "A 8223-2025")</f>
        <v/>
      </c>
      <c r="V24">
        <f>HYPERLINK("https://klasma.github.io/Logging_1293/klagomål/A 8223-2025 FSC-klagomål.docx", "A 8223-2025")</f>
        <v/>
      </c>
      <c r="W24">
        <f>HYPERLINK("https://klasma.github.io/Logging_1293/klagomålsmail/A 8223-2025 FSC-klagomål mail.docx", "A 8223-2025")</f>
        <v/>
      </c>
      <c r="X24">
        <f>HYPERLINK("https://klasma.github.io/Logging_1293/tillsyn/A 8223-2025 tillsynsbegäran.docx", "A 8223-2025")</f>
        <v/>
      </c>
      <c r="Y24">
        <f>HYPERLINK("https://klasma.github.io/Logging_1293/tillsynsmail/A 8223-2025 tillsynsbegäran mail.docx", "A 8223-2025")</f>
        <v/>
      </c>
      <c r="Z24">
        <f>HYPERLINK("https://klasma.github.io/Logging_1293/fåglar/A 8223-2025 prioriterade fågelarter.docx", "A 8223-2025")</f>
        <v/>
      </c>
    </row>
    <row r="25" ht="15" customHeight="1">
      <c r="A25" t="inlineStr">
        <is>
          <t>A 40613-2025</t>
        </is>
      </c>
      <c r="B25" s="1" t="n">
        <v>45896</v>
      </c>
      <c r="C25" s="1" t="n">
        <v>46017</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16107-2025</t>
        </is>
      </c>
      <c r="B26" s="1" t="n">
        <v>45750.34537037037</v>
      </c>
      <c r="C26" s="1" t="n">
        <v>46017</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49572-2022</t>
        </is>
      </c>
      <c r="B27" s="1" t="n">
        <v>44862.335</v>
      </c>
      <c r="C27" s="1" t="n">
        <v>46017</v>
      </c>
      <c r="D27" t="inlineStr">
        <is>
          <t>SKÅNE LÄN</t>
        </is>
      </c>
      <c r="E27" t="inlineStr">
        <is>
          <t>HÄSSLEHOLM</t>
        </is>
      </c>
      <c r="G27" t="n">
        <v>1.4</v>
      </c>
      <c r="H27" t="n">
        <v>0</v>
      </c>
      <c r="I27" t="n">
        <v>1</v>
      </c>
      <c r="J27" t="n">
        <v>0</v>
      </c>
      <c r="K27" t="n">
        <v>0</v>
      </c>
      <c r="L27" t="n">
        <v>0</v>
      </c>
      <c r="M27" t="n">
        <v>0</v>
      </c>
      <c r="N27" t="n">
        <v>0</v>
      </c>
      <c r="O27" t="n">
        <v>0</v>
      </c>
      <c r="P27" t="n">
        <v>0</v>
      </c>
      <c r="Q27" t="n">
        <v>1</v>
      </c>
      <c r="R27" s="2" t="inlineStr">
        <is>
          <t>Blåmossa</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57533-2025</t>
        </is>
      </c>
      <c r="B28" s="1" t="n">
        <v>45980.63923611111</v>
      </c>
      <c r="C28" s="1" t="n">
        <v>46017</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29272-2023</t>
        </is>
      </c>
      <c r="B29" s="1" t="n">
        <v>45105</v>
      </c>
      <c r="C29" s="1" t="n">
        <v>46017</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7862-2024</t>
        </is>
      </c>
      <c r="B30" s="1" t="n">
        <v>45348</v>
      </c>
      <c r="C30" s="1" t="n">
        <v>46017</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20280-2025</t>
        </is>
      </c>
      <c r="B31" s="1" t="n">
        <v>45774.38790509259</v>
      </c>
      <c r="C31" s="1" t="n">
        <v>46017</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61707-2024</t>
        </is>
      </c>
      <c r="B32" s="1" t="n">
        <v>45648.61747685185</v>
      </c>
      <c r="C32" s="1" t="n">
        <v>46017</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46017</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46017</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46017</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46017</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36690-2025</t>
        </is>
      </c>
      <c r="B37" s="1" t="n">
        <v>45873.42915509259</v>
      </c>
      <c r="C37" s="1" t="n">
        <v>46017</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46017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46017</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46017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46017</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46017</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3044-2021</t>
        </is>
      </c>
      <c r="B43" s="1" t="n">
        <v>44216</v>
      </c>
      <c r="C43" s="1" t="n">
        <v>46017</v>
      </c>
      <c r="D43" t="inlineStr">
        <is>
          <t>SKÅNE LÄN</t>
        </is>
      </c>
      <c r="E43" t="inlineStr">
        <is>
          <t>HÄSSLEHOLM</t>
        </is>
      </c>
      <c r="G43" t="n">
        <v>3.7</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46017</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46017</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46017</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46017</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46017</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46017</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46017</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46017</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46017</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46017</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46017</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46017</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46017</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46017</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46017</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46017</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46017</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46017</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46017</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46017</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46017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46017</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46017</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46017</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46017</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46017</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46017</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46017</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46017</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23826-2021</t>
        </is>
      </c>
      <c r="B73" s="1" t="n">
        <v>44335</v>
      </c>
      <c r="C73" s="1" t="n">
        <v>46017</v>
      </c>
      <c r="D73" t="inlineStr">
        <is>
          <t>SKÅNE LÄN</t>
        </is>
      </c>
      <c r="E73" t="inlineStr">
        <is>
          <t>HÄSSLEHOLM</t>
        </is>
      </c>
      <c r="G73" t="n">
        <v>6.5</v>
      </c>
      <c r="H73" t="n">
        <v>0</v>
      </c>
      <c r="I73" t="n">
        <v>0</v>
      </c>
      <c r="J73" t="n">
        <v>0</v>
      </c>
      <c r="K73" t="n">
        <v>0</v>
      </c>
      <c r="L73" t="n">
        <v>0</v>
      </c>
      <c r="M73" t="n">
        <v>0</v>
      </c>
      <c r="N73" t="n">
        <v>0</v>
      </c>
      <c r="O73" t="n">
        <v>0</v>
      </c>
      <c r="P73" t="n">
        <v>0</v>
      </c>
      <c r="Q73" t="n">
        <v>0</v>
      </c>
      <c r="R73" s="2" t="inlineStr"/>
    </row>
    <row r="74" ht="15" customHeight="1">
      <c r="A74" t="inlineStr">
        <is>
          <t>A 56424-2021</t>
        </is>
      </c>
      <c r="B74" s="1" t="n">
        <v>44480</v>
      </c>
      <c r="C74" s="1" t="n">
        <v>46017</v>
      </c>
      <c r="D74" t="inlineStr">
        <is>
          <t>SKÅNE LÄN</t>
        </is>
      </c>
      <c r="E74" t="inlineStr">
        <is>
          <t>HÄSSLEHOLM</t>
        </is>
      </c>
      <c r="F74" t="inlineStr">
        <is>
          <t>Kyrkan</t>
        </is>
      </c>
      <c r="G74" t="n">
        <v>3.4</v>
      </c>
      <c r="H74" t="n">
        <v>0</v>
      </c>
      <c r="I74" t="n">
        <v>0</v>
      </c>
      <c r="J74" t="n">
        <v>0</v>
      </c>
      <c r="K74" t="n">
        <v>0</v>
      </c>
      <c r="L74" t="n">
        <v>0</v>
      </c>
      <c r="M74" t="n">
        <v>0</v>
      </c>
      <c r="N74" t="n">
        <v>0</v>
      </c>
      <c r="O74" t="n">
        <v>0</v>
      </c>
      <c r="P74" t="n">
        <v>0</v>
      </c>
      <c r="Q74" t="n">
        <v>0</v>
      </c>
      <c r="R74" s="2" t="inlineStr"/>
    </row>
    <row r="75" ht="15" customHeight="1">
      <c r="A75" t="inlineStr">
        <is>
          <t>A 58566-2021</t>
        </is>
      </c>
      <c r="B75" s="1" t="n">
        <v>44488.85538194444</v>
      </c>
      <c r="C75" s="1" t="n">
        <v>46017</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58564-2021</t>
        </is>
      </c>
      <c r="B76" s="1" t="n">
        <v>44488.84940972222</v>
      </c>
      <c r="C76" s="1" t="n">
        <v>46017</v>
      </c>
      <c r="D76" t="inlineStr">
        <is>
          <t>SKÅNE LÄN</t>
        </is>
      </c>
      <c r="E76" t="inlineStr">
        <is>
          <t>HÄSSLEHOLM</t>
        </is>
      </c>
      <c r="G76" t="n">
        <v>1.5</v>
      </c>
      <c r="H76" t="n">
        <v>0</v>
      </c>
      <c r="I76" t="n">
        <v>0</v>
      </c>
      <c r="J76" t="n">
        <v>0</v>
      </c>
      <c r="K76" t="n">
        <v>0</v>
      </c>
      <c r="L76" t="n">
        <v>0</v>
      </c>
      <c r="M76" t="n">
        <v>0</v>
      </c>
      <c r="N76" t="n">
        <v>0</v>
      </c>
      <c r="O76" t="n">
        <v>0</v>
      </c>
      <c r="P76" t="n">
        <v>0</v>
      </c>
      <c r="Q76" t="n">
        <v>0</v>
      </c>
      <c r="R76" s="2" t="inlineStr"/>
    </row>
    <row r="77" ht="15" customHeight="1">
      <c r="A77" t="inlineStr">
        <is>
          <t>A 56502-2021</t>
        </is>
      </c>
      <c r="B77" s="1" t="n">
        <v>44480</v>
      </c>
      <c r="C77" s="1" t="n">
        <v>46017</v>
      </c>
      <c r="D77" t="inlineStr">
        <is>
          <t>SKÅNE LÄN</t>
        </is>
      </c>
      <c r="E77" t="inlineStr">
        <is>
          <t>HÄSSLEHOLM</t>
        </is>
      </c>
      <c r="F77" t="inlineStr">
        <is>
          <t>Kyrkan</t>
        </is>
      </c>
      <c r="G77" t="n">
        <v>13.8</v>
      </c>
      <c r="H77" t="n">
        <v>0</v>
      </c>
      <c r="I77" t="n">
        <v>0</v>
      </c>
      <c r="J77" t="n">
        <v>0</v>
      </c>
      <c r="K77" t="n">
        <v>0</v>
      </c>
      <c r="L77" t="n">
        <v>0</v>
      </c>
      <c r="M77" t="n">
        <v>0</v>
      </c>
      <c r="N77" t="n">
        <v>0</v>
      </c>
      <c r="O77" t="n">
        <v>0</v>
      </c>
      <c r="P77" t="n">
        <v>0</v>
      </c>
      <c r="Q77" t="n">
        <v>0</v>
      </c>
      <c r="R77" s="2" t="inlineStr"/>
    </row>
    <row r="78" ht="15" customHeight="1">
      <c r="A78" t="inlineStr">
        <is>
          <t>A 45284-2021</t>
        </is>
      </c>
      <c r="B78" s="1" t="n">
        <v>44439.65418981481</v>
      </c>
      <c r="C78" s="1" t="n">
        <v>46017</v>
      </c>
      <c r="D78" t="inlineStr">
        <is>
          <t>SKÅNE LÄN</t>
        </is>
      </c>
      <c r="E78" t="inlineStr">
        <is>
          <t>HÄSSLEHOLM</t>
        </is>
      </c>
      <c r="G78" t="n">
        <v>1.6</v>
      </c>
      <c r="H78" t="n">
        <v>0</v>
      </c>
      <c r="I78" t="n">
        <v>0</v>
      </c>
      <c r="J78" t="n">
        <v>0</v>
      </c>
      <c r="K78" t="n">
        <v>0</v>
      </c>
      <c r="L78" t="n">
        <v>0</v>
      </c>
      <c r="M78" t="n">
        <v>0</v>
      </c>
      <c r="N78" t="n">
        <v>0</v>
      </c>
      <c r="O78" t="n">
        <v>0</v>
      </c>
      <c r="P78" t="n">
        <v>0</v>
      </c>
      <c r="Q78" t="n">
        <v>0</v>
      </c>
      <c r="R78" s="2" t="inlineStr"/>
    </row>
    <row r="79" ht="15" customHeight="1">
      <c r="A79" t="inlineStr">
        <is>
          <t>A 8204-2022</t>
        </is>
      </c>
      <c r="B79" s="1" t="n">
        <v>44609.73251157408</v>
      </c>
      <c r="C79" s="1" t="n">
        <v>46017</v>
      </c>
      <c r="D79" t="inlineStr">
        <is>
          <t>SKÅNE LÄN</t>
        </is>
      </c>
      <c r="E79" t="inlineStr">
        <is>
          <t>HÄSSLEHOLM</t>
        </is>
      </c>
      <c r="G79" t="n">
        <v>0.9</v>
      </c>
      <c r="H79" t="n">
        <v>0</v>
      </c>
      <c r="I79" t="n">
        <v>0</v>
      </c>
      <c r="J79" t="n">
        <v>0</v>
      </c>
      <c r="K79" t="n">
        <v>0</v>
      </c>
      <c r="L79" t="n">
        <v>0</v>
      </c>
      <c r="M79" t="n">
        <v>0</v>
      </c>
      <c r="N79" t="n">
        <v>0</v>
      </c>
      <c r="O79" t="n">
        <v>0</v>
      </c>
      <c r="P79" t="n">
        <v>0</v>
      </c>
      <c r="Q79" t="n">
        <v>0</v>
      </c>
      <c r="R79" s="2" t="inlineStr"/>
    </row>
    <row r="80" ht="15" customHeight="1">
      <c r="A80" t="inlineStr">
        <is>
          <t>A 23962-2022</t>
        </is>
      </c>
      <c r="B80" s="1" t="n">
        <v>44722.70532407407</v>
      </c>
      <c r="C80" s="1" t="n">
        <v>46017</v>
      </c>
      <c r="D80" t="inlineStr">
        <is>
          <t>SKÅNE LÄN</t>
        </is>
      </c>
      <c r="E80" t="inlineStr">
        <is>
          <t>HÄSSLEHOLM</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46017</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46017</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3855-2022</t>
        </is>
      </c>
      <c r="B83" s="1" t="n">
        <v>44587</v>
      </c>
      <c r="C83" s="1" t="n">
        <v>46017</v>
      </c>
      <c r="D83" t="inlineStr">
        <is>
          <t>SKÅNE LÄN</t>
        </is>
      </c>
      <c r="E83" t="inlineStr">
        <is>
          <t>HÄSSLEHOLM</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46017</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46017</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46017</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46017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46017</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46017</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46017</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46017</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46017</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46017</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61073-2021</t>
        </is>
      </c>
      <c r="B94" s="1" t="n">
        <v>44497.83447916667</v>
      </c>
      <c r="C94" s="1" t="n">
        <v>46017</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46017</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46017</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30879-2021</t>
        </is>
      </c>
      <c r="B97" s="1" t="n">
        <v>44365</v>
      </c>
      <c r="C97" s="1" t="n">
        <v>46017</v>
      </c>
      <c r="D97" t="inlineStr">
        <is>
          <t>SKÅNE LÄN</t>
        </is>
      </c>
      <c r="E97" t="inlineStr">
        <is>
          <t>HÄSSLEHOLM</t>
        </is>
      </c>
      <c r="G97" t="n">
        <v>1</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46017</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46017</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46017</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46017</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46017</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3447-2021</t>
        </is>
      </c>
      <c r="B103" s="1" t="n">
        <v>44218</v>
      </c>
      <c r="C103" s="1" t="n">
        <v>46017</v>
      </c>
      <c r="D103" t="inlineStr">
        <is>
          <t>SKÅNE LÄN</t>
        </is>
      </c>
      <c r="E103" t="inlineStr">
        <is>
          <t>HÄSSLEHOLM</t>
        </is>
      </c>
      <c r="G103" t="n">
        <v>3.9</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46017</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6962-2021</t>
        </is>
      </c>
      <c r="B105" s="1" t="n">
        <v>44237</v>
      </c>
      <c r="C105" s="1" t="n">
        <v>46017</v>
      </c>
      <c r="D105" t="inlineStr">
        <is>
          <t>SKÅNE LÄN</t>
        </is>
      </c>
      <c r="E105" t="inlineStr">
        <is>
          <t>HÄSSLEHOLM</t>
        </is>
      </c>
      <c r="G105" t="n">
        <v>4.2</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46017</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3277-2022</t>
        </is>
      </c>
      <c r="B107" s="1" t="n">
        <v>44584.41274305555</v>
      </c>
      <c r="C107" s="1" t="n">
        <v>46017</v>
      </c>
      <c r="D107" t="inlineStr">
        <is>
          <t>SKÅNE LÄN</t>
        </is>
      </c>
      <c r="E107" t="inlineStr">
        <is>
          <t>HÄSSLEHOLM</t>
        </is>
      </c>
      <c r="G107" t="n">
        <v>0.2</v>
      </c>
      <c r="H107" t="n">
        <v>0</v>
      </c>
      <c r="I107" t="n">
        <v>0</v>
      </c>
      <c r="J107" t="n">
        <v>0</v>
      </c>
      <c r="K107" t="n">
        <v>0</v>
      </c>
      <c r="L107" t="n">
        <v>0</v>
      </c>
      <c r="M107" t="n">
        <v>0</v>
      </c>
      <c r="N107" t="n">
        <v>0</v>
      </c>
      <c r="O107" t="n">
        <v>0</v>
      </c>
      <c r="P107" t="n">
        <v>0</v>
      </c>
      <c r="Q107" t="n">
        <v>0</v>
      </c>
      <c r="R107" s="2" t="inlineStr"/>
    </row>
    <row r="108" ht="15" customHeight="1">
      <c r="A108" t="inlineStr">
        <is>
          <t>A 7522-2021</t>
        </is>
      </c>
      <c r="B108" s="1" t="n">
        <v>44238</v>
      </c>
      <c r="C108" s="1" t="n">
        <v>46017</v>
      </c>
      <c r="D108" t="inlineStr">
        <is>
          <t>SKÅNE LÄN</t>
        </is>
      </c>
      <c r="E108" t="inlineStr">
        <is>
          <t>HÄSSLEHOLM</t>
        </is>
      </c>
      <c r="G108" t="n">
        <v>2.2</v>
      </c>
      <c r="H108" t="n">
        <v>0</v>
      </c>
      <c r="I108" t="n">
        <v>0</v>
      </c>
      <c r="J108" t="n">
        <v>0</v>
      </c>
      <c r="K108" t="n">
        <v>0</v>
      </c>
      <c r="L108" t="n">
        <v>0</v>
      </c>
      <c r="M108" t="n">
        <v>0</v>
      </c>
      <c r="N108" t="n">
        <v>0</v>
      </c>
      <c r="O108" t="n">
        <v>0</v>
      </c>
      <c r="P108" t="n">
        <v>0</v>
      </c>
      <c r="Q108" t="n">
        <v>0</v>
      </c>
      <c r="R108" s="2" t="inlineStr"/>
    </row>
    <row r="109" ht="15" customHeight="1">
      <c r="A109" t="inlineStr">
        <is>
          <t>A 8278-2021</t>
        </is>
      </c>
      <c r="B109" s="1" t="n">
        <v>44244</v>
      </c>
      <c r="C109" s="1" t="n">
        <v>46017</v>
      </c>
      <c r="D109" t="inlineStr">
        <is>
          <t>SKÅNE LÄN</t>
        </is>
      </c>
      <c r="E109" t="inlineStr">
        <is>
          <t>HÄSSLEHOLM</t>
        </is>
      </c>
      <c r="F109" t="inlineStr">
        <is>
          <t>Kyrkan</t>
        </is>
      </c>
      <c r="G109" t="n">
        <v>1.4</v>
      </c>
      <c r="H109" t="n">
        <v>0</v>
      </c>
      <c r="I109" t="n">
        <v>0</v>
      </c>
      <c r="J109" t="n">
        <v>0</v>
      </c>
      <c r="K109" t="n">
        <v>0</v>
      </c>
      <c r="L109" t="n">
        <v>0</v>
      </c>
      <c r="M109" t="n">
        <v>0</v>
      </c>
      <c r="N109" t="n">
        <v>0</v>
      </c>
      <c r="O109" t="n">
        <v>0</v>
      </c>
      <c r="P109" t="n">
        <v>0</v>
      </c>
      <c r="Q109" t="n">
        <v>0</v>
      </c>
      <c r="R109" s="2" t="inlineStr"/>
    </row>
    <row r="110" ht="15" customHeight="1">
      <c r="A110" t="inlineStr">
        <is>
          <t>A 69201-2020</t>
        </is>
      </c>
      <c r="B110" s="1" t="n">
        <v>44191</v>
      </c>
      <c r="C110" s="1" t="n">
        <v>46017</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14054-2021</t>
        </is>
      </c>
      <c r="B111" s="1" t="n">
        <v>44277</v>
      </c>
      <c r="C111" s="1" t="n">
        <v>46017</v>
      </c>
      <c r="D111" t="inlineStr">
        <is>
          <t>SKÅNE LÄN</t>
        </is>
      </c>
      <c r="E111" t="inlineStr">
        <is>
          <t>HÄSSLEHOLM</t>
        </is>
      </c>
      <c r="G111" t="n">
        <v>2</v>
      </c>
      <c r="H111" t="n">
        <v>0</v>
      </c>
      <c r="I111" t="n">
        <v>0</v>
      </c>
      <c r="J111" t="n">
        <v>0</v>
      </c>
      <c r="K111" t="n">
        <v>0</v>
      </c>
      <c r="L111" t="n">
        <v>0</v>
      </c>
      <c r="M111" t="n">
        <v>0</v>
      </c>
      <c r="N111" t="n">
        <v>0</v>
      </c>
      <c r="O111" t="n">
        <v>0</v>
      </c>
      <c r="P111" t="n">
        <v>0</v>
      </c>
      <c r="Q111" t="n">
        <v>0</v>
      </c>
      <c r="R111" s="2" t="inlineStr"/>
    </row>
    <row r="112" ht="15" customHeight="1">
      <c r="A112" t="inlineStr">
        <is>
          <t>A 9257-2021</t>
        </is>
      </c>
      <c r="B112" s="1" t="n">
        <v>44250</v>
      </c>
      <c r="C112" s="1" t="n">
        <v>46017</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4156-2022</t>
        </is>
      </c>
      <c r="B113" s="1" t="n">
        <v>44588</v>
      </c>
      <c r="C113" s="1" t="n">
        <v>46017</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19449-2021</t>
        </is>
      </c>
      <c r="B114" s="1" t="n">
        <v>44310.88846064815</v>
      </c>
      <c r="C114" s="1" t="n">
        <v>46017</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41581-2021</t>
        </is>
      </c>
      <c r="B115" s="1" t="n">
        <v>44425.40167824074</v>
      </c>
      <c r="C115" s="1" t="n">
        <v>46017</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44328-2021</t>
        </is>
      </c>
      <c r="B116" s="1" t="n">
        <v>44435</v>
      </c>
      <c r="C116" s="1" t="n">
        <v>46017</v>
      </c>
      <c r="D116" t="inlineStr">
        <is>
          <t>SKÅNE LÄN</t>
        </is>
      </c>
      <c r="E116" t="inlineStr">
        <is>
          <t>HÄSSLEHOLM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34684-2021</t>
        </is>
      </c>
      <c r="B117" s="1" t="n">
        <v>44382</v>
      </c>
      <c r="C117" s="1" t="n">
        <v>46017</v>
      </c>
      <c r="D117" t="inlineStr">
        <is>
          <t>SKÅNE LÄN</t>
        </is>
      </c>
      <c r="E117" t="inlineStr">
        <is>
          <t>HÄSSLEHOLM</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74293-2021</t>
        </is>
      </c>
      <c r="B118" s="1" t="n">
        <v>44558</v>
      </c>
      <c r="C118" s="1" t="n">
        <v>46017</v>
      </c>
      <c r="D118" t="inlineStr">
        <is>
          <t>SKÅNE LÄN</t>
        </is>
      </c>
      <c r="E118" t="inlineStr">
        <is>
          <t>HÄSSLEHOLM</t>
        </is>
      </c>
      <c r="F118" t="inlineStr">
        <is>
          <t>Kyrkan</t>
        </is>
      </c>
      <c r="G118" t="n">
        <v>3.3</v>
      </c>
      <c r="H118" t="n">
        <v>0</v>
      </c>
      <c r="I118" t="n">
        <v>0</v>
      </c>
      <c r="J118" t="n">
        <v>0</v>
      </c>
      <c r="K118" t="n">
        <v>0</v>
      </c>
      <c r="L118" t="n">
        <v>0</v>
      </c>
      <c r="M118" t="n">
        <v>0</v>
      </c>
      <c r="N118" t="n">
        <v>0</v>
      </c>
      <c r="O118" t="n">
        <v>0</v>
      </c>
      <c r="P118" t="n">
        <v>0</v>
      </c>
      <c r="Q118" t="n">
        <v>0</v>
      </c>
      <c r="R118" s="2" t="inlineStr"/>
    </row>
    <row r="119" ht="15" customHeight="1">
      <c r="A119" t="inlineStr">
        <is>
          <t>A 46217-2022</t>
        </is>
      </c>
      <c r="B119" s="1" t="n">
        <v>44846</v>
      </c>
      <c r="C119" s="1" t="n">
        <v>46017</v>
      </c>
      <c r="D119" t="inlineStr">
        <is>
          <t>SKÅNE LÄN</t>
        </is>
      </c>
      <c r="E119" t="inlineStr">
        <is>
          <t>HÄSSLEHOLM</t>
        </is>
      </c>
      <c r="G119" t="n">
        <v>3.1</v>
      </c>
      <c r="H119" t="n">
        <v>0</v>
      </c>
      <c r="I119" t="n">
        <v>0</v>
      </c>
      <c r="J119" t="n">
        <v>0</v>
      </c>
      <c r="K119" t="n">
        <v>0</v>
      </c>
      <c r="L119" t="n">
        <v>0</v>
      </c>
      <c r="M119" t="n">
        <v>0</v>
      </c>
      <c r="N119" t="n">
        <v>0</v>
      </c>
      <c r="O119" t="n">
        <v>0</v>
      </c>
      <c r="P119" t="n">
        <v>0</v>
      </c>
      <c r="Q119" t="n">
        <v>0</v>
      </c>
      <c r="R119" s="2" t="inlineStr"/>
    </row>
    <row r="120" ht="15" customHeight="1">
      <c r="A120" t="inlineStr">
        <is>
          <t>A 45349-2022</t>
        </is>
      </c>
      <c r="B120" s="1" t="n">
        <v>44844.6118287037</v>
      </c>
      <c r="C120" s="1" t="n">
        <v>46017</v>
      </c>
      <c r="D120" t="inlineStr">
        <is>
          <t>SKÅNE LÄN</t>
        </is>
      </c>
      <c r="E120" t="inlineStr">
        <is>
          <t>HÄSSLEHOLM</t>
        </is>
      </c>
      <c r="G120" t="n">
        <v>6.2</v>
      </c>
      <c r="H120" t="n">
        <v>0</v>
      </c>
      <c r="I120" t="n">
        <v>0</v>
      </c>
      <c r="J120" t="n">
        <v>0</v>
      </c>
      <c r="K120" t="n">
        <v>0</v>
      </c>
      <c r="L120" t="n">
        <v>0</v>
      </c>
      <c r="M120" t="n">
        <v>0</v>
      </c>
      <c r="N120" t="n">
        <v>0</v>
      </c>
      <c r="O120" t="n">
        <v>0</v>
      </c>
      <c r="P120" t="n">
        <v>0</v>
      </c>
      <c r="Q120" t="n">
        <v>0</v>
      </c>
      <c r="R120" s="2" t="inlineStr"/>
    </row>
    <row r="121" ht="15" customHeight="1">
      <c r="A121" t="inlineStr">
        <is>
          <t>A 15118-2022</t>
        </is>
      </c>
      <c r="B121" s="1" t="n">
        <v>44659</v>
      </c>
      <c r="C121" s="1" t="n">
        <v>46017</v>
      </c>
      <c r="D121" t="inlineStr">
        <is>
          <t>SKÅNE LÄN</t>
        </is>
      </c>
      <c r="E121" t="inlineStr">
        <is>
          <t>HÄSSLEHOLM</t>
        </is>
      </c>
      <c r="F121" t="inlineStr">
        <is>
          <t>Kyrkan</t>
        </is>
      </c>
      <c r="G121" t="n">
        <v>0.7</v>
      </c>
      <c r="H121" t="n">
        <v>0</v>
      </c>
      <c r="I121" t="n">
        <v>0</v>
      </c>
      <c r="J121" t="n">
        <v>0</v>
      </c>
      <c r="K121" t="n">
        <v>0</v>
      </c>
      <c r="L121" t="n">
        <v>0</v>
      </c>
      <c r="M121" t="n">
        <v>0</v>
      </c>
      <c r="N121" t="n">
        <v>0</v>
      </c>
      <c r="O121" t="n">
        <v>0</v>
      </c>
      <c r="P121" t="n">
        <v>0</v>
      </c>
      <c r="Q121" t="n">
        <v>0</v>
      </c>
      <c r="R121" s="2" t="inlineStr"/>
    </row>
    <row r="122" ht="15" customHeight="1">
      <c r="A122" t="inlineStr">
        <is>
          <t>A 43639-2021</t>
        </is>
      </c>
      <c r="B122" s="1" t="n">
        <v>44433</v>
      </c>
      <c r="C122" s="1" t="n">
        <v>46017</v>
      </c>
      <c r="D122" t="inlineStr">
        <is>
          <t>SKÅNE LÄN</t>
        </is>
      </c>
      <c r="E122" t="inlineStr">
        <is>
          <t>HÄSSLEHOLM</t>
        </is>
      </c>
      <c r="G122" t="n">
        <v>0.4</v>
      </c>
      <c r="H122" t="n">
        <v>0</v>
      </c>
      <c r="I122" t="n">
        <v>0</v>
      </c>
      <c r="J122" t="n">
        <v>0</v>
      </c>
      <c r="K122" t="n">
        <v>0</v>
      </c>
      <c r="L122" t="n">
        <v>0</v>
      </c>
      <c r="M122" t="n">
        <v>0</v>
      </c>
      <c r="N122" t="n">
        <v>0</v>
      </c>
      <c r="O122" t="n">
        <v>0</v>
      </c>
      <c r="P122" t="n">
        <v>0</v>
      </c>
      <c r="Q122" t="n">
        <v>0</v>
      </c>
      <c r="R122" s="2" t="inlineStr"/>
    </row>
    <row r="123" ht="15" customHeight="1">
      <c r="A123" t="inlineStr">
        <is>
          <t>A 7701-2021</t>
        </is>
      </c>
      <c r="B123" s="1" t="n">
        <v>44242</v>
      </c>
      <c r="C123" s="1" t="n">
        <v>46017</v>
      </c>
      <c r="D123" t="inlineStr">
        <is>
          <t>SKÅNE LÄN</t>
        </is>
      </c>
      <c r="E123" t="inlineStr">
        <is>
          <t>HÄSSLEHOLM</t>
        </is>
      </c>
      <c r="G123" t="n">
        <v>0.9</v>
      </c>
      <c r="H123" t="n">
        <v>0</v>
      </c>
      <c r="I123" t="n">
        <v>0</v>
      </c>
      <c r="J123" t="n">
        <v>0</v>
      </c>
      <c r="K123" t="n">
        <v>0</v>
      </c>
      <c r="L123" t="n">
        <v>0</v>
      </c>
      <c r="M123" t="n">
        <v>0</v>
      </c>
      <c r="N123" t="n">
        <v>0</v>
      </c>
      <c r="O123" t="n">
        <v>0</v>
      </c>
      <c r="P123" t="n">
        <v>0</v>
      </c>
      <c r="Q123" t="n">
        <v>0</v>
      </c>
      <c r="R123" s="2" t="inlineStr"/>
    </row>
    <row r="124" ht="15" customHeight="1">
      <c r="A124" t="inlineStr">
        <is>
          <t>A 23003-2021</t>
        </is>
      </c>
      <c r="B124" s="1" t="n">
        <v>44328</v>
      </c>
      <c r="C124" s="1" t="n">
        <v>46017</v>
      </c>
      <c r="D124" t="inlineStr">
        <is>
          <t>SKÅNE LÄN</t>
        </is>
      </c>
      <c r="E124" t="inlineStr">
        <is>
          <t>HÄSSLEHOLM</t>
        </is>
      </c>
      <c r="G124" t="n">
        <v>4.4</v>
      </c>
      <c r="H124" t="n">
        <v>0</v>
      </c>
      <c r="I124" t="n">
        <v>0</v>
      </c>
      <c r="J124" t="n">
        <v>0</v>
      </c>
      <c r="K124" t="n">
        <v>0</v>
      </c>
      <c r="L124" t="n">
        <v>0</v>
      </c>
      <c r="M124" t="n">
        <v>0</v>
      </c>
      <c r="N124" t="n">
        <v>0</v>
      </c>
      <c r="O124" t="n">
        <v>0</v>
      </c>
      <c r="P124" t="n">
        <v>0</v>
      </c>
      <c r="Q124" t="n">
        <v>0</v>
      </c>
      <c r="R124" s="2" t="inlineStr"/>
    </row>
    <row r="125" ht="15" customHeight="1">
      <c r="A125" t="inlineStr">
        <is>
          <t>A 3276-2022</t>
        </is>
      </c>
      <c r="B125" s="1" t="n">
        <v>44584.40916666666</v>
      </c>
      <c r="C125" s="1" t="n">
        <v>46017</v>
      </c>
      <c r="D125" t="inlineStr">
        <is>
          <t>SKÅNE LÄN</t>
        </is>
      </c>
      <c r="E125" t="inlineStr">
        <is>
          <t>HÄSSLEHOLM</t>
        </is>
      </c>
      <c r="G125" t="n">
        <v>0.2</v>
      </c>
      <c r="H125" t="n">
        <v>0</v>
      </c>
      <c r="I125" t="n">
        <v>0</v>
      </c>
      <c r="J125" t="n">
        <v>0</v>
      </c>
      <c r="K125" t="n">
        <v>0</v>
      </c>
      <c r="L125" t="n">
        <v>0</v>
      </c>
      <c r="M125" t="n">
        <v>0</v>
      </c>
      <c r="N125" t="n">
        <v>0</v>
      </c>
      <c r="O125" t="n">
        <v>0</v>
      </c>
      <c r="P125" t="n">
        <v>0</v>
      </c>
      <c r="Q125" t="n">
        <v>0</v>
      </c>
      <c r="R125" s="2" t="inlineStr"/>
    </row>
    <row r="126" ht="15" customHeight="1">
      <c r="A126" t="inlineStr">
        <is>
          <t>A 5091-2022</t>
        </is>
      </c>
      <c r="B126" s="1" t="n">
        <v>44593.85114583333</v>
      </c>
      <c r="C126" s="1" t="n">
        <v>46017</v>
      </c>
      <c r="D126" t="inlineStr">
        <is>
          <t>SKÅNE LÄN</t>
        </is>
      </c>
      <c r="E126" t="inlineStr">
        <is>
          <t>HÄSSLEHOLM</t>
        </is>
      </c>
      <c r="G126" t="n">
        <v>2.5</v>
      </c>
      <c r="H126" t="n">
        <v>0</v>
      </c>
      <c r="I126" t="n">
        <v>0</v>
      </c>
      <c r="J126" t="n">
        <v>0</v>
      </c>
      <c r="K126" t="n">
        <v>0</v>
      </c>
      <c r="L126" t="n">
        <v>0</v>
      </c>
      <c r="M126" t="n">
        <v>0</v>
      </c>
      <c r="N126" t="n">
        <v>0</v>
      </c>
      <c r="O126" t="n">
        <v>0</v>
      </c>
      <c r="P126" t="n">
        <v>0</v>
      </c>
      <c r="Q126" t="n">
        <v>0</v>
      </c>
      <c r="R126" s="2" t="inlineStr"/>
    </row>
    <row r="127" ht="15" customHeight="1">
      <c r="A127" t="inlineStr">
        <is>
          <t>A 52461-2021</t>
        </is>
      </c>
      <c r="B127" s="1" t="n">
        <v>44466</v>
      </c>
      <c r="C127" s="1" t="n">
        <v>46017</v>
      </c>
      <c r="D127" t="inlineStr">
        <is>
          <t>SKÅNE LÄN</t>
        </is>
      </c>
      <c r="E127" t="inlineStr">
        <is>
          <t>HÄSSLEHOLM</t>
        </is>
      </c>
      <c r="G127" t="n">
        <v>2.7</v>
      </c>
      <c r="H127" t="n">
        <v>0</v>
      </c>
      <c r="I127" t="n">
        <v>0</v>
      </c>
      <c r="J127" t="n">
        <v>0</v>
      </c>
      <c r="K127" t="n">
        <v>0</v>
      </c>
      <c r="L127" t="n">
        <v>0</v>
      </c>
      <c r="M127" t="n">
        <v>0</v>
      </c>
      <c r="N127" t="n">
        <v>0</v>
      </c>
      <c r="O127" t="n">
        <v>0</v>
      </c>
      <c r="P127" t="n">
        <v>0</v>
      </c>
      <c r="Q127" t="n">
        <v>0</v>
      </c>
      <c r="R127" s="2" t="inlineStr"/>
    </row>
    <row r="128" ht="15" customHeight="1">
      <c r="A128" t="inlineStr">
        <is>
          <t>A 354-2022</t>
        </is>
      </c>
      <c r="B128" s="1" t="n">
        <v>44565.62510416667</v>
      </c>
      <c r="C128" s="1" t="n">
        <v>46017</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63972-2021</t>
        </is>
      </c>
      <c r="B129" s="1" t="n">
        <v>44509.89649305555</v>
      </c>
      <c r="C129" s="1" t="n">
        <v>46017</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32892-2021</t>
        </is>
      </c>
      <c r="B130" s="1" t="n">
        <v>44375</v>
      </c>
      <c r="C130" s="1" t="n">
        <v>46017</v>
      </c>
      <c r="D130" t="inlineStr">
        <is>
          <t>SKÅNE LÄN</t>
        </is>
      </c>
      <c r="E130" t="inlineStr">
        <is>
          <t>HÄSSLEHOLM</t>
        </is>
      </c>
      <c r="G130" t="n">
        <v>2.9</v>
      </c>
      <c r="H130" t="n">
        <v>0</v>
      </c>
      <c r="I130" t="n">
        <v>0</v>
      </c>
      <c r="J130" t="n">
        <v>0</v>
      </c>
      <c r="K130" t="n">
        <v>0</v>
      </c>
      <c r="L130" t="n">
        <v>0</v>
      </c>
      <c r="M130" t="n">
        <v>0</v>
      </c>
      <c r="N130" t="n">
        <v>0</v>
      </c>
      <c r="O130" t="n">
        <v>0</v>
      </c>
      <c r="P130" t="n">
        <v>0</v>
      </c>
      <c r="Q130" t="n">
        <v>0</v>
      </c>
      <c r="R130" s="2" t="inlineStr"/>
    </row>
    <row r="131" ht="15" customHeight="1">
      <c r="A131" t="inlineStr">
        <is>
          <t>A 60260-2021</t>
        </is>
      </c>
      <c r="B131" s="1" t="n">
        <v>44495</v>
      </c>
      <c r="C131" s="1" t="n">
        <v>46017</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2952-2021</t>
        </is>
      </c>
      <c r="B132" s="1" t="n">
        <v>44216</v>
      </c>
      <c r="C132" s="1" t="n">
        <v>46017</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15986-2022</t>
        </is>
      </c>
      <c r="B133" s="1" t="n">
        <v>44664</v>
      </c>
      <c r="C133" s="1" t="n">
        <v>46017</v>
      </c>
      <c r="D133" t="inlineStr">
        <is>
          <t>SKÅNE LÄN</t>
        </is>
      </c>
      <c r="E133" t="inlineStr">
        <is>
          <t>HÄSSLEHOLM</t>
        </is>
      </c>
      <c r="F133" t="inlineStr">
        <is>
          <t>Kyrkan</t>
        </is>
      </c>
      <c r="G133" t="n">
        <v>6</v>
      </c>
      <c r="H133" t="n">
        <v>0</v>
      </c>
      <c r="I133" t="n">
        <v>0</v>
      </c>
      <c r="J133" t="n">
        <v>0</v>
      </c>
      <c r="K133" t="n">
        <v>0</v>
      </c>
      <c r="L133" t="n">
        <v>0</v>
      </c>
      <c r="M133" t="n">
        <v>0</v>
      </c>
      <c r="N133" t="n">
        <v>0</v>
      </c>
      <c r="O133" t="n">
        <v>0</v>
      </c>
      <c r="P133" t="n">
        <v>0</v>
      </c>
      <c r="Q133" t="n">
        <v>0</v>
      </c>
      <c r="R133" s="2" t="inlineStr"/>
    </row>
    <row r="134" ht="15" customHeight="1">
      <c r="A134" t="inlineStr">
        <is>
          <t>A 51888-2021</t>
        </is>
      </c>
      <c r="B134" s="1" t="n">
        <v>44462</v>
      </c>
      <c r="C134" s="1" t="n">
        <v>46017</v>
      </c>
      <c r="D134" t="inlineStr">
        <is>
          <t>SKÅNE LÄN</t>
        </is>
      </c>
      <c r="E134" t="inlineStr">
        <is>
          <t>HÄSSLEHOLM</t>
        </is>
      </c>
      <c r="G134" t="n">
        <v>5.6</v>
      </c>
      <c r="H134" t="n">
        <v>0</v>
      </c>
      <c r="I134" t="n">
        <v>0</v>
      </c>
      <c r="J134" t="n">
        <v>0</v>
      </c>
      <c r="K134" t="n">
        <v>0</v>
      </c>
      <c r="L134" t="n">
        <v>0</v>
      </c>
      <c r="M134" t="n">
        <v>0</v>
      </c>
      <c r="N134" t="n">
        <v>0</v>
      </c>
      <c r="O134" t="n">
        <v>0</v>
      </c>
      <c r="P134" t="n">
        <v>0</v>
      </c>
      <c r="Q134" t="n">
        <v>0</v>
      </c>
      <c r="R134" s="2" t="inlineStr"/>
    </row>
    <row r="135" ht="15" customHeight="1">
      <c r="A135" t="inlineStr">
        <is>
          <t>A 52786-2021</t>
        </is>
      </c>
      <c r="B135" s="1" t="n">
        <v>44467.36061342592</v>
      </c>
      <c r="C135" s="1" t="n">
        <v>46017</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1461-2021</t>
        </is>
      </c>
      <c r="B136" s="1" t="n">
        <v>44208</v>
      </c>
      <c r="C136" s="1" t="n">
        <v>46017</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29143-2021</t>
        </is>
      </c>
      <c r="B137" s="1" t="n">
        <v>44358.6319212963</v>
      </c>
      <c r="C137" s="1" t="n">
        <v>46017</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23830-2021</t>
        </is>
      </c>
      <c r="B138" s="1" t="n">
        <v>44335</v>
      </c>
      <c r="C138" s="1" t="n">
        <v>46017</v>
      </c>
      <c r="D138" t="inlineStr">
        <is>
          <t>SKÅNE LÄN</t>
        </is>
      </c>
      <c r="E138" t="inlineStr">
        <is>
          <t>HÄSSLEHOLM</t>
        </is>
      </c>
      <c r="G138" t="n">
        <v>18.7</v>
      </c>
      <c r="H138" t="n">
        <v>0</v>
      </c>
      <c r="I138" t="n">
        <v>0</v>
      </c>
      <c r="J138" t="n">
        <v>0</v>
      </c>
      <c r="K138" t="n">
        <v>0</v>
      </c>
      <c r="L138" t="n">
        <v>0</v>
      </c>
      <c r="M138" t="n">
        <v>0</v>
      </c>
      <c r="N138" t="n">
        <v>0</v>
      </c>
      <c r="O138" t="n">
        <v>0</v>
      </c>
      <c r="P138" t="n">
        <v>0</v>
      </c>
      <c r="Q138" t="n">
        <v>0</v>
      </c>
      <c r="R138" s="2" t="inlineStr"/>
    </row>
    <row r="139" ht="15" customHeight="1">
      <c r="A139" t="inlineStr">
        <is>
          <t>A 7729-2021</t>
        </is>
      </c>
      <c r="B139" s="1" t="n">
        <v>44242</v>
      </c>
      <c r="C139" s="1" t="n">
        <v>46017</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197-2021</t>
        </is>
      </c>
      <c r="B140" s="1" t="n">
        <v>44200</v>
      </c>
      <c r="C140" s="1" t="n">
        <v>46017</v>
      </c>
      <c r="D140" t="inlineStr">
        <is>
          <t>SKÅNE LÄN</t>
        </is>
      </c>
      <c r="E140" t="inlineStr">
        <is>
          <t>HÄSSLEHOLM</t>
        </is>
      </c>
      <c r="G140" t="n">
        <v>12.9</v>
      </c>
      <c r="H140" t="n">
        <v>0</v>
      </c>
      <c r="I140" t="n">
        <v>0</v>
      </c>
      <c r="J140" t="n">
        <v>0</v>
      </c>
      <c r="K140" t="n">
        <v>0</v>
      </c>
      <c r="L140" t="n">
        <v>0</v>
      </c>
      <c r="M140" t="n">
        <v>0</v>
      </c>
      <c r="N140" t="n">
        <v>0</v>
      </c>
      <c r="O140" t="n">
        <v>0</v>
      </c>
      <c r="P140" t="n">
        <v>0</v>
      </c>
      <c r="Q140" t="n">
        <v>0</v>
      </c>
      <c r="R140" s="2" t="inlineStr"/>
    </row>
    <row r="141" ht="15" customHeight="1">
      <c r="A141" t="inlineStr">
        <is>
          <t>A 39102-2022</t>
        </is>
      </c>
      <c r="B141" s="1" t="n">
        <v>44817.43260416666</v>
      </c>
      <c r="C141" s="1" t="n">
        <v>46017</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11616-2021</t>
        </is>
      </c>
      <c r="B142" s="1" t="n">
        <v>44264.63064814815</v>
      </c>
      <c r="C142" s="1" t="n">
        <v>46017</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5564-2022</t>
        </is>
      </c>
      <c r="B143" s="1" t="n">
        <v>44595</v>
      </c>
      <c r="C143" s="1" t="n">
        <v>46017</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47112-2021</t>
        </is>
      </c>
      <c r="B144" s="1" t="n">
        <v>44446</v>
      </c>
      <c r="C144" s="1" t="n">
        <v>46017</v>
      </c>
      <c r="D144" t="inlineStr">
        <is>
          <t>SKÅNE LÄN</t>
        </is>
      </c>
      <c r="E144" t="inlineStr">
        <is>
          <t>HÄSSLEHOLM</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44669-2022</t>
        </is>
      </c>
      <c r="B145" s="1" t="n">
        <v>44840</v>
      </c>
      <c r="C145" s="1" t="n">
        <v>46017</v>
      </c>
      <c r="D145" t="inlineStr">
        <is>
          <t>SKÅNE LÄN</t>
        </is>
      </c>
      <c r="E145" t="inlineStr">
        <is>
          <t>HÄSSLEHOLM</t>
        </is>
      </c>
      <c r="G145" t="n">
        <v>1.2</v>
      </c>
      <c r="H145" t="n">
        <v>0</v>
      </c>
      <c r="I145" t="n">
        <v>0</v>
      </c>
      <c r="J145" t="n">
        <v>0</v>
      </c>
      <c r="K145" t="n">
        <v>0</v>
      </c>
      <c r="L145" t="n">
        <v>0</v>
      </c>
      <c r="M145" t="n">
        <v>0</v>
      </c>
      <c r="N145" t="n">
        <v>0</v>
      </c>
      <c r="O145" t="n">
        <v>0</v>
      </c>
      <c r="P145" t="n">
        <v>0</v>
      </c>
      <c r="Q145" t="n">
        <v>0</v>
      </c>
      <c r="R145" s="2" t="inlineStr"/>
    </row>
    <row r="146" ht="15" customHeight="1">
      <c r="A146" t="inlineStr">
        <is>
          <t>A 51893-2021</t>
        </is>
      </c>
      <c r="B146" s="1" t="n">
        <v>44462</v>
      </c>
      <c r="C146" s="1" t="n">
        <v>46017</v>
      </c>
      <c r="D146" t="inlineStr">
        <is>
          <t>SKÅNE LÄN</t>
        </is>
      </c>
      <c r="E146" t="inlineStr">
        <is>
          <t>HÄSSLEHOLM</t>
        </is>
      </c>
      <c r="G146" t="n">
        <v>1</v>
      </c>
      <c r="H146" t="n">
        <v>0</v>
      </c>
      <c r="I146" t="n">
        <v>0</v>
      </c>
      <c r="J146" t="n">
        <v>0</v>
      </c>
      <c r="K146" t="n">
        <v>0</v>
      </c>
      <c r="L146" t="n">
        <v>0</v>
      </c>
      <c r="M146" t="n">
        <v>0</v>
      </c>
      <c r="N146" t="n">
        <v>0</v>
      </c>
      <c r="O146" t="n">
        <v>0</v>
      </c>
      <c r="P146" t="n">
        <v>0</v>
      </c>
      <c r="Q146" t="n">
        <v>0</v>
      </c>
      <c r="R146" s="2" t="inlineStr"/>
    </row>
    <row r="147" ht="15" customHeight="1">
      <c r="A147" t="inlineStr">
        <is>
          <t>A 26386-2022</t>
        </is>
      </c>
      <c r="B147" s="1" t="n">
        <v>44735.6803125</v>
      </c>
      <c r="C147" s="1" t="n">
        <v>46017</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55394-2022</t>
        </is>
      </c>
      <c r="B148" s="1" t="n">
        <v>44887.57112268519</v>
      </c>
      <c r="C148" s="1" t="n">
        <v>46017</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6414-2022</t>
        </is>
      </c>
      <c r="B149" s="1" t="n">
        <v>44600</v>
      </c>
      <c r="C149" s="1" t="n">
        <v>46017</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25469-2022</t>
        </is>
      </c>
      <c r="B150" s="1" t="n">
        <v>44732</v>
      </c>
      <c r="C150" s="1" t="n">
        <v>46017</v>
      </c>
      <c r="D150" t="inlineStr">
        <is>
          <t>SKÅNE LÄN</t>
        </is>
      </c>
      <c r="E150" t="inlineStr">
        <is>
          <t>HÄSSLEHOLM</t>
        </is>
      </c>
      <c r="G150" t="n">
        <v>4.2</v>
      </c>
      <c r="H150" t="n">
        <v>0</v>
      </c>
      <c r="I150" t="n">
        <v>0</v>
      </c>
      <c r="J150" t="n">
        <v>0</v>
      </c>
      <c r="K150" t="n">
        <v>0</v>
      </c>
      <c r="L150" t="n">
        <v>0</v>
      </c>
      <c r="M150" t="n">
        <v>0</v>
      </c>
      <c r="N150" t="n">
        <v>0</v>
      </c>
      <c r="O150" t="n">
        <v>0</v>
      </c>
      <c r="P150" t="n">
        <v>0</v>
      </c>
      <c r="Q150" t="n">
        <v>0</v>
      </c>
      <c r="R150" s="2" t="inlineStr"/>
    </row>
    <row r="151" ht="15" customHeight="1">
      <c r="A151" t="inlineStr">
        <is>
          <t>A 37334-2021</t>
        </is>
      </c>
      <c r="B151" s="1" t="n">
        <v>44397.57800925926</v>
      </c>
      <c r="C151" s="1" t="n">
        <v>46017</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73513-2021</t>
        </is>
      </c>
      <c r="B152" s="1" t="n">
        <v>44551.69012731482</v>
      </c>
      <c r="C152" s="1" t="n">
        <v>46017</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20659-2021</t>
        </is>
      </c>
      <c r="B153" s="1" t="n">
        <v>44316</v>
      </c>
      <c r="C153" s="1" t="n">
        <v>46017</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69198-2020</t>
        </is>
      </c>
      <c r="B154" s="1" t="n">
        <v>44191</v>
      </c>
      <c r="C154" s="1" t="n">
        <v>46017</v>
      </c>
      <c r="D154" t="inlineStr">
        <is>
          <t>SKÅNE LÄN</t>
        </is>
      </c>
      <c r="E154" t="inlineStr">
        <is>
          <t>HÄSSLEHOLM</t>
        </is>
      </c>
      <c r="G154" t="n">
        <v>6.6</v>
      </c>
      <c r="H154" t="n">
        <v>0</v>
      </c>
      <c r="I154" t="n">
        <v>0</v>
      </c>
      <c r="J154" t="n">
        <v>0</v>
      </c>
      <c r="K154" t="n">
        <v>0</v>
      </c>
      <c r="L154" t="n">
        <v>0</v>
      </c>
      <c r="M154" t="n">
        <v>0</v>
      </c>
      <c r="N154" t="n">
        <v>0</v>
      </c>
      <c r="O154" t="n">
        <v>0</v>
      </c>
      <c r="P154" t="n">
        <v>0</v>
      </c>
      <c r="Q154" t="n">
        <v>0</v>
      </c>
      <c r="R154" s="2" t="inlineStr"/>
    </row>
    <row r="155" ht="15" customHeight="1">
      <c r="A155" t="inlineStr">
        <is>
          <t>A 45357-2022</t>
        </is>
      </c>
      <c r="B155" s="1" t="n">
        <v>44844.61952546296</v>
      </c>
      <c r="C155" s="1" t="n">
        <v>46017</v>
      </c>
      <c r="D155" t="inlineStr">
        <is>
          <t>SKÅNE LÄN</t>
        </is>
      </c>
      <c r="E155" t="inlineStr">
        <is>
          <t>HÄSSLEHOLM</t>
        </is>
      </c>
      <c r="G155" t="n">
        <v>5.8</v>
      </c>
      <c r="H155" t="n">
        <v>0</v>
      </c>
      <c r="I155" t="n">
        <v>0</v>
      </c>
      <c r="J155" t="n">
        <v>0</v>
      </c>
      <c r="K155" t="n">
        <v>0</v>
      </c>
      <c r="L155" t="n">
        <v>0</v>
      </c>
      <c r="M155" t="n">
        <v>0</v>
      </c>
      <c r="N155" t="n">
        <v>0</v>
      </c>
      <c r="O155" t="n">
        <v>0</v>
      </c>
      <c r="P155" t="n">
        <v>0</v>
      </c>
      <c r="Q155" t="n">
        <v>0</v>
      </c>
      <c r="R155" s="2" t="inlineStr"/>
    </row>
    <row r="156" ht="15" customHeight="1">
      <c r="A156" t="inlineStr">
        <is>
          <t>A 56431-2021</t>
        </is>
      </c>
      <c r="B156" s="1" t="n">
        <v>44480</v>
      </c>
      <c r="C156" s="1" t="n">
        <v>46017</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45989-2021</t>
        </is>
      </c>
      <c r="B157" s="1" t="n">
        <v>44441.74627314815</v>
      </c>
      <c r="C157" s="1" t="n">
        <v>46017</v>
      </c>
      <c r="D157" t="inlineStr">
        <is>
          <t>SKÅNE LÄN</t>
        </is>
      </c>
      <c r="E157" t="inlineStr">
        <is>
          <t>HÄSSLEHOLM</t>
        </is>
      </c>
      <c r="G157" t="n">
        <v>1</v>
      </c>
      <c r="H157" t="n">
        <v>0</v>
      </c>
      <c r="I157" t="n">
        <v>0</v>
      </c>
      <c r="J157" t="n">
        <v>0</v>
      </c>
      <c r="K157" t="n">
        <v>0</v>
      </c>
      <c r="L157" t="n">
        <v>0</v>
      </c>
      <c r="M157" t="n">
        <v>0</v>
      </c>
      <c r="N157" t="n">
        <v>0</v>
      </c>
      <c r="O157" t="n">
        <v>0</v>
      </c>
      <c r="P157" t="n">
        <v>0</v>
      </c>
      <c r="Q157" t="n">
        <v>0</v>
      </c>
      <c r="R157" s="2" t="inlineStr"/>
    </row>
    <row r="158" ht="15" customHeight="1">
      <c r="A158" t="inlineStr">
        <is>
          <t>A 7248-2021</t>
        </is>
      </c>
      <c r="B158" s="1" t="n">
        <v>44236</v>
      </c>
      <c r="C158" s="1" t="n">
        <v>46017</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21535-2021</t>
        </is>
      </c>
      <c r="B159" s="1" t="n">
        <v>44321</v>
      </c>
      <c r="C159" s="1" t="n">
        <v>46017</v>
      </c>
      <c r="D159" t="inlineStr">
        <is>
          <t>SKÅNE LÄN</t>
        </is>
      </c>
      <c r="E159" t="inlineStr">
        <is>
          <t>HÄSSLEHOLM</t>
        </is>
      </c>
      <c r="G159" t="n">
        <v>2.8</v>
      </c>
      <c r="H159" t="n">
        <v>0</v>
      </c>
      <c r="I159" t="n">
        <v>0</v>
      </c>
      <c r="J159" t="n">
        <v>0</v>
      </c>
      <c r="K159" t="n">
        <v>0</v>
      </c>
      <c r="L159" t="n">
        <v>0</v>
      </c>
      <c r="M159" t="n">
        <v>0</v>
      </c>
      <c r="N159" t="n">
        <v>0</v>
      </c>
      <c r="O159" t="n">
        <v>0</v>
      </c>
      <c r="P159" t="n">
        <v>0</v>
      </c>
      <c r="Q159" t="n">
        <v>0</v>
      </c>
      <c r="R159" s="2" t="inlineStr"/>
    </row>
    <row r="160" ht="15" customHeight="1">
      <c r="A160" t="inlineStr">
        <is>
          <t>A 2858-2022</t>
        </is>
      </c>
      <c r="B160" s="1" t="n">
        <v>44581</v>
      </c>
      <c r="C160" s="1" t="n">
        <v>46017</v>
      </c>
      <c r="D160" t="inlineStr">
        <is>
          <t>SKÅNE LÄN</t>
        </is>
      </c>
      <c r="E160" t="inlineStr">
        <is>
          <t>HÄSSLEHOLM</t>
        </is>
      </c>
      <c r="F160" t="inlineStr">
        <is>
          <t>Övriga Aktiebolag</t>
        </is>
      </c>
      <c r="G160" t="n">
        <v>1.3</v>
      </c>
      <c r="H160" t="n">
        <v>0</v>
      </c>
      <c r="I160" t="n">
        <v>0</v>
      </c>
      <c r="J160" t="n">
        <v>0</v>
      </c>
      <c r="K160" t="n">
        <v>0</v>
      </c>
      <c r="L160" t="n">
        <v>0</v>
      </c>
      <c r="M160" t="n">
        <v>0</v>
      </c>
      <c r="N160" t="n">
        <v>0</v>
      </c>
      <c r="O160" t="n">
        <v>0</v>
      </c>
      <c r="P160" t="n">
        <v>0</v>
      </c>
      <c r="Q160" t="n">
        <v>0</v>
      </c>
      <c r="R160" s="2" t="inlineStr"/>
    </row>
    <row r="161" ht="15" customHeight="1">
      <c r="A161" t="inlineStr">
        <is>
          <t>A 52567-2021</t>
        </is>
      </c>
      <c r="B161" s="1" t="n">
        <v>44466</v>
      </c>
      <c r="C161" s="1" t="n">
        <v>46017</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46017</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8695-2021</t>
        </is>
      </c>
      <c r="B163" s="1" t="n">
        <v>44246</v>
      </c>
      <c r="C163" s="1" t="n">
        <v>46017</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74297-2021</t>
        </is>
      </c>
      <c r="B164" s="1" t="n">
        <v>44558</v>
      </c>
      <c r="C164" s="1" t="n">
        <v>46017</v>
      </c>
      <c r="D164" t="inlineStr">
        <is>
          <t>SKÅNE LÄN</t>
        </is>
      </c>
      <c r="E164" t="inlineStr">
        <is>
          <t>HÄSSLEHOLM</t>
        </is>
      </c>
      <c r="F164" t="inlineStr">
        <is>
          <t>Kyrkan</t>
        </is>
      </c>
      <c r="G164" t="n">
        <v>3.8</v>
      </c>
      <c r="H164" t="n">
        <v>0</v>
      </c>
      <c r="I164" t="n">
        <v>0</v>
      </c>
      <c r="J164" t="n">
        <v>0</v>
      </c>
      <c r="K164" t="n">
        <v>0</v>
      </c>
      <c r="L164" t="n">
        <v>0</v>
      </c>
      <c r="M164" t="n">
        <v>0</v>
      </c>
      <c r="N164" t="n">
        <v>0</v>
      </c>
      <c r="O164" t="n">
        <v>0</v>
      </c>
      <c r="P164" t="n">
        <v>0</v>
      </c>
      <c r="Q164" t="n">
        <v>0</v>
      </c>
      <c r="R164" s="2" t="inlineStr"/>
    </row>
    <row r="165" ht="15" customHeight="1">
      <c r="A165" t="inlineStr">
        <is>
          <t>A 2514-2021</t>
        </is>
      </c>
      <c r="B165" s="1" t="n">
        <v>44214</v>
      </c>
      <c r="C165" s="1" t="n">
        <v>46017</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34027-2021</t>
        </is>
      </c>
      <c r="B166" s="1" t="n">
        <v>44379</v>
      </c>
      <c r="C166" s="1" t="n">
        <v>46017</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32792-2021</t>
        </is>
      </c>
      <c r="B167" s="1" t="n">
        <v>44375</v>
      </c>
      <c r="C167" s="1" t="n">
        <v>46017</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52295-2021</t>
        </is>
      </c>
      <c r="B168" s="1" t="n">
        <v>44463</v>
      </c>
      <c r="C168" s="1" t="n">
        <v>46017</v>
      </c>
      <c r="D168" t="inlineStr">
        <is>
          <t>SKÅNE LÄN</t>
        </is>
      </c>
      <c r="E168" t="inlineStr">
        <is>
          <t>HÄSSLEHOLM</t>
        </is>
      </c>
      <c r="G168" t="n">
        <v>0.3</v>
      </c>
      <c r="H168" t="n">
        <v>0</v>
      </c>
      <c r="I168" t="n">
        <v>0</v>
      </c>
      <c r="J168" t="n">
        <v>0</v>
      </c>
      <c r="K168" t="n">
        <v>0</v>
      </c>
      <c r="L168" t="n">
        <v>0</v>
      </c>
      <c r="M168" t="n">
        <v>0</v>
      </c>
      <c r="N168" t="n">
        <v>0</v>
      </c>
      <c r="O168" t="n">
        <v>0</v>
      </c>
      <c r="P168" t="n">
        <v>0</v>
      </c>
      <c r="Q168" t="n">
        <v>0</v>
      </c>
      <c r="R168" s="2" t="inlineStr"/>
    </row>
    <row r="169" ht="15" customHeight="1">
      <c r="A169" t="inlineStr">
        <is>
          <t>A 6973-2021</t>
        </is>
      </c>
      <c r="B169" s="1" t="n">
        <v>44237</v>
      </c>
      <c r="C169" s="1" t="n">
        <v>46017</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68909-2021</t>
        </is>
      </c>
      <c r="B170" s="1" t="n">
        <v>44530.46730324074</v>
      </c>
      <c r="C170" s="1" t="n">
        <v>46017</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13811-2021</t>
        </is>
      </c>
      <c r="B171" s="1" t="n">
        <v>44276</v>
      </c>
      <c r="C171" s="1" t="n">
        <v>46017</v>
      </c>
      <c r="D171" t="inlineStr">
        <is>
          <t>SKÅNE LÄN</t>
        </is>
      </c>
      <c r="E171" t="inlineStr">
        <is>
          <t>HÄSSLEHOLM</t>
        </is>
      </c>
      <c r="G171" t="n">
        <v>8</v>
      </c>
      <c r="H171" t="n">
        <v>0</v>
      </c>
      <c r="I171" t="n">
        <v>0</v>
      </c>
      <c r="J171" t="n">
        <v>0</v>
      </c>
      <c r="K171" t="n">
        <v>0</v>
      </c>
      <c r="L171" t="n">
        <v>0</v>
      </c>
      <c r="M171" t="n">
        <v>0</v>
      </c>
      <c r="N171" t="n">
        <v>0</v>
      </c>
      <c r="O171" t="n">
        <v>0</v>
      </c>
      <c r="P171" t="n">
        <v>0</v>
      </c>
      <c r="Q171" t="n">
        <v>0</v>
      </c>
      <c r="R171" s="2" t="inlineStr"/>
    </row>
    <row r="172" ht="15" customHeight="1">
      <c r="A172" t="inlineStr">
        <is>
          <t>A 3167-2022</t>
        </is>
      </c>
      <c r="B172" s="1" t="n">
        <v>44582</v>
      </c>
      <c r="C172" s="1" t="n">
        <v>46017</v>
      </c>
      <c r="D172" t="inlineStr">
        <is>
          <t>SKÅNE LÄN</t>
        </is>
      </c>
      <c r="E172" t="inlineStr">
        <is>
          <t>HÄSSLEHOLM</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6967-2021</t>
        </is>
      </c>
      <c r="B173" s="1" t="n">
        <v>44237</v>
      </c>
      <c r="C173" s="1" t="n">
        <v>46017</v>
      </c>
      <c r="D173" t="inlineStr">
        <is>
          <t>SKÅNE LÄN</t>
        </is>
      </c>
      <c r="E173" t="inlineStr">
        <is>
          <t>HÄSSLEHOLM</t>
        </is>
      </c>
      <c r="G173" t="n">
        <v>0.7</v>
      </c>
      <c r="H173" t="n">
        <v>0</v>
      </c>
      <c r="I173" t="n">
        <v>0</v>
      </c>
      <c r="J173" t="n">
        <v>0</v>
      </c>
      <c r="K173" t="n">
        <v>0</v>
      </c>
      <c r="L173" t="n">
        <v>0</v>
      </c>
      <c r="M173" t="n">
        <v>0</v>
      </c>
      <c r="N173" t="n">
        <v>0</v>
      </c>
      <c r="O173" t="n">
        <v>0</v>
      </c>
      <c r="P173" t="n">
        <v>0</v>
      </c>
      <c r="Q173" t="n">
        <v>0</v>
      </c>
      <c r="R173" s="2" t="inlineStr"/>
    </row>
    <row r="174" ht="15" customHeight="1">
      <c r="A174" t="inlineStr">
        <is>
          <t>A 418-2022</t>
        </is>
      </c>
      <c r="B174" s="1" t="n">
        <v>44565.84958333334</v>
      </c>
      <c r="C174" s="1" t="n">
        <v>46017</v>
      </c>
      <c r="D174" t="inlineStr">
        <is>
          <t>SKÅNE LÄN</t>
        </is>
      </c>
      <c r="E174" t="inlineStr">
        <is>
          <t>HÄSSLEHOLM</t>
        </is>
      </c>
      <c r="G174" t="n">
        <v>0</v>
      </c>
      <c r="H174" t="n">
        <v>0</v>
      </c>
      <c r="I174" t="n">
        <v>0</v>
      </c>
      <c r="J174" t="n">
        <v>0</v>
      </c>
      <c r="K174" t="n">
        <v>0</v>
      </c>
      <c r="L174" t="n">
        <v>0</v>
      </c>
      <c r="M174" t="n">
        <v>0</v>
      </c>
      <c r="N174" t="n">
        <v>0</v>
      </c>
      <c r="O174" t="n">
        <v>0</v>
      </c>
      <c r="P174" t="n">
        <v>0</v>
      </c>
      <c r="Q174" t="n">
        <v>0</v>
      </c>
      <c r="R174" s="2" t="inlineStr"/>
    </row>
    <row r="175" ht="15" customHeight="1">
      <c r="A175" t="inlineStr">
        <is>
          <t>A 33736-2021</t>
        </is>
      </c>
      <c r="B175" s="1" t="n">
        <v>44378</v>
      </c>
      <c r="C175" s="1" t="n">
        <v>46017</v>
      </c>
      <c r="D175" t="inlineStr">
        <is>
          <t>SKÅNE LÄN</t>
        </is>
      </c>
      <c r="E175" t="inlineStr">
        <is>
          <t>HÄSSLEHOLM</t>
        </is>
      </c>
      <c r="G175" t="n">
        <v>7.6</v>
      </c>
      <c r="H175" t="n">
        <v>0</v>
      </c>
      <c r="I175" t="n">
        <v>0</v>
      </c>
      <c r="J175" t="n">
        <v>0</v>
      </c>
      <c r="K175" t="n">
        <v>0</v>
      </c>
      <c r="L175" t="n">
        <v>0</v>
      </c>
      <c r="M175" t="n">
        <v>0</v>
      </c>
      <c r="N175" t="n">
        <v>0</v>
      </c>
      <c r="O175" t="n">
        <v>0</v>
      </c>
      <c r="P175" t="n">
        <v>0</v>
      </c>
      <c r="Q175" t="n">
        <v>0</v>
      </c>
      <c r="R175" s="2" t="inlineStr"/>
    </row>
    <row r="176" ht="15" customHeight="1">
      <c r="A176" t="inlineStr">
        <is>
          <t>A 69505-2020</t>
        </is>
      </c>
      <c r="B176" s="1" t="n">
        <v>44194</v>
      </c>
      <c r="C176" s="1" t="n">
        <v>46017</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46017</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23967-2022</t>
        </is>
      </c>
      <c r="B178" s="1" t="n">
        <v>44722.74079861111</v>
      </c>
      <c r="C178" s="1" t="n">
        <v>46017</v>
      </c>
      <c r="D178" t="inlineStr">
        <is>
          <t>SKÅNE LÄN</t>
        </is>
      </c>
      <c r="E178" t="inlineStr">
        <is>
          <t>HÄSSLEHOLM</t>
        </is>
      </c>
      <c r="F178" t="inlineStr">
        <is>
          <t>Kyrkan</t>
        </is>
      </c>
      <c r="G178" t="n">
        <v>12.4</v>
      </c>
      <c r="H178" t="n">
        <v>0</v>
      </c>
      <c r="I178" t="n">
        <v>0</v>
      </c>
      <c r="J178" t="n">
        <v>0</v>
      </c>
      <c r="K178" t="n">
        <v>0</v>
      </c>
      <c r="L178" t="n">
        <v>0</v>
      </c>
      <c r="M178" t="n">
        <v>0</v>
      </c>
      <c r="N178" t="n">
        <v>0</v>
      </c>
      <c r="O178" t="n">
        <v>0</v>
      </c>
      <c r="P178" t="n">
        <v>0</v>
      </c>
      <c r="Q178" t="n">
        <v>0</v>
      </c>
      <c r="R178" s="2" t="inlineStr"/>
    </row>
    <row r="179" ht="15" customHeight="1">
      <c r="A179" t="inlineStr">
        <is>
          <t>A 34679-2021</t>
        </is>
      </c>
      <c r="B179" s="1" t="n">
        <v>44382</v>
      </c>
      <c r="C179" s="1" t="n">
        <v>46017</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69504-2020</t>
        </is>
      </c>
      <c r="B180" s="1" t="n">
        <v>44194</v>
      </c>
      <c r="C180" s="1" t="n">
        <v>46017</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7904-2022</t>
        </is>
      </c>
      <c r="B181" s="1" t="n">
        <v>44607</v>
      </c>
      <c r="C181" s="1" t="n">
        <v>46017</v>
      </c>
      <c r="D181" t="inlineStr">
        <is>
          <t>SKÅNE LÄN</t>
        </is>
      </c>
      <c r="E181" t="inlineStr">
        <is>
          <t>HÄSSLEHOLM</t>
        </is>
      </c>
      <c r="F181" t="inlineStr">
        <is>
          <t>Kyrkan</t>
        </is>
      </c>
      <c r="G181" t="n">
        <v>3.9</v>
      </c>
      <c r="H181" t="n">
        <v>0</v>
      </c>
      <c r="I181" t="n">
        <v>0</v>
      </c>
      <c r="J181" t="n">
        <v>0</v>
      </c>
      <c r="K181" t="n">
        <v>0</v>
      </c>
      <c r="L181" t="n">
        <v>0</v>
      </c>
      <c r="M181" t="n">
        <v>0</v>
      </c>
      <c r="N181" t="n">
        <v>0</v>
      </c>
      <c r="O181" t="n">
        <v>0</v>
      </c>
      <c r="P181" t="n">
        <v>0</v>
      </c>
      <c r="Q181" t="n">
        <v>0</v>
      </c>
      <c r="R181" s="2" t="inlineStr"/>
    </row>
    <row r="182" ht="15" customHeight="1">
      <c r="A182" t="inlineStr">
        <is>
          <t>A 9453-2021</t>
        </is>
      </c>
      <c r="B182" s="1" t="n">
        <v>44251</v>
      </c>
      <c r="C182" s="1" t="n">
        <v>46017</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4161-2022</t>
        </is>
      </c>
      <c r="B183" s="1" t="n">
        <v>44588</v>
      </c>
      <c r="C183" s="1" t="n">
        <v>46017</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8177-2022</t>
        </is>
      </c>
      <c r="B184" s="1" t="n">
        <v>44607</v>
      </c>
      <c r="C184" s="1" t="n">
        <v>46017</v>
      </c>
      <c r="D184" t="inlineStr">
        <is>
          <t>SKÅNE LÄN</t>
        </is>
      </c>
      <c r="E184" t="inlineStr">
        <is>
          <t>HÄSSLEHOLM</t>
        </is>
      </c>
      <c r="F184" t="inlineStr">
        <is>
          <t>Kyrkan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25464-2022</t>
        </is>
      </c>
      <c r="B185" s="1" t="n">
        <v>44729</v>
      </c>
      <c r="C185" s="1" t="n">
        <v>46017</v>
      </c>
      <c r="D185" t="inlineStr">
        <is>
          <t>SKÅNE LÄN</t>
        </is>
      </c>
      <c r="E185" t="inlineStr">
        <is>
          <t>HÄSSLEHOLM</t>
        </is>
      </c>
      <c r="G185" t="n">
        <v>21</v>
      </c>
      <c r="H185" t="n">
        <v>0</v>
      </c>
      <c r="I185" t="n">
        <v>0</v>
      </c>
      <c r="J185" t="n">
        <v>0</v>
      </c>
      <c r="K185" t="n">
        <v>0</v>
      </c>
      <c r="L185" t="n">
        <v>0</v>
      </c>
      <c r="M185" t="n">
        <v>0</v>
      </c>
      <c r="N185" t="n">
        <v>0</v>
      </c>
      <c r="O185" t="n">
        <v>0</v>
      </c>
      <c r="P185" t="n">
        <v>0</v>
      </c>
      <c r="Q185" t="n">
        <v>0</v>
      </c>
      <c r="R185" s="2" t="inlineStr"/>
    </row>
    <row r="186" ht="15" customHeight="1">
      <c r="A186" t="inlineStr">
        <is>
          <t>A 7250-2022</t>
        </is>
      </c>
      <c r="B186" s="1" t="n">
        <v>44606</v>
      </c>
      <c r="C186" s="1" t="n">
        <v>46017</v>
      </c>
      <c r="D186" t="inlineStr">
        <is>
          <t>SKÅNE LÄN</t>
        </is>
      </c>
      <c r="E186" t="inlineStr">
        <is>
          <t>HÄSSLEHOLM</t>
        </is>
      </c>
      <c r="F186" t="inlineStr">
        <is>
          <t>Övriga Aktiebolag</t>
        </is>
      </c>
      <c r="G186" t="n">
        <v>2.6</v>
      </c>
      <c r="H186" t="n">
        <v>0</v>
      </c>
      <c r="I186" t="n">
        <v>0</v>
      </c>
      <c r="J186" t="n">
        <v>0</v>
      </c>
      <c r="K186" t="n">
        <v>0</v>
      </c>
      <c r="L186" t="n">
        <v>0</v>
      </c>
      <c r="M186" t="n">
        <v>0</v>
      </c>
      <c r="N186" t="n">
        <v>0</v>
      </c>
      <c r="O186" t="n">
        <v>0</v>
      </c>
      <c r="P186" t="n">
        <v>0</v>
      </c>
      <c r="Q186" t="n">
        <v>0</v>
      </c>
      <c r="R186" s="2" t="inlineStr"/>
    </row>
    <row r="187" ht="15" customHeight="1">
      <c r="A187" t="inlineStr">
        <is>
          <t>A 1535-2022</t>
        </is>
      </c>
      <c r="B187" s="1" t="n">
        <v>44573</v>
      </c>
      <c r="C187" s="1" t="n">
        <v>46017</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51895-2021</t>
        </is>
      </c>
      <c r="B188" s="1" t="n">
        <v>44462</v>
      </c>
      <c r="C188" s="1" t="n">
        <v>46017</v>
      </c>
      <c r="D188" t="inlineStr">
        <is>
          <t>SKÅNE LÄN</t>
        </is>
      </c>
      <c r="E188" t="inlineStr">
        <is>
          <t>HÄSSLEHOLM</t>
        </is>
      </c>
      <c r="G188" t="n">
        <v>5.7</v>
      </c>
      <c r="H188" t="n">
        <v>0</v>
      </c>
      <c r="I188" t="n">
        <v>0</v>
      </c>
      <c r="J188" t="n">
        <v>0</v>
      </c>
      <c r="K188" t="n">
        <v>0</v>
      </c>
      <c r="L188" t="n">
        <v>0</v>
      </c>
      <c r="M188" t="n">
        <v>0</v>
      </c>
      <c r="N188" t="n">
        <v>0</v>
      </c>
      <c r="O188" t="n">
        <v>0</v>
      </c>
      <c r="P188" t="n">
        <v>0</v>
      </c>
      <c r="Q188" t="n">
        <v>0</v>
      </c>
      <c r="R188" s="2" t="inlineStr"/>
    </row>
    <row r="189" ht="15" customHeight="1">
      <c r="A189" t="inlineStr">
        <is>
          <t>A 6965-2021</t>
        </is>
      </c>
      <c r="B189" s="1" t="n">
        <v>44237</v>
      </c>
      <c r="C189" s="1" t="n">
        <v>46017</v>
      </c>
      <c r="D189" t="inlineStr">
        <is>
          <t>SKÅNE LÄN</t>
        </is>
      </c>
      <c r="E189" t="inlineStr">
        <is>
          <t>HÄSSLEHOLM</t>
        </is>
      </c>
      <c r="G189" t="n">
        <v>0.3</v>
      </c>
      <c r="H189" t="n">
        <v>0</v>
      </c>
      <c r="I189" t="n">
        <v>0</v>
      </c>
      <c r="J189" t="n">
        <v>0</v>
      </c>
      <c r="K189" t="n">
        <v>0</v>
      </c>
      <c r="L189" t="n">
        <v>0</v>
      </c>
      <c r="M189" t="n">
        <v>0</v>
      </c>
      <c r="N189" t="n">
        <v>0</v>
      </c>
      <c r="O189" t="n">
        <v>0</v>
      </c>
      <c r="P189" t="n">
        <v>0</v>
      </c>
      <c r="Q189" t="n">
        <v>0</v>
      </c>
      <c r="R189" s="2" t="inlineStr"/>
    </row>
    <row r="190" ht="15" customHeight="1">
      <c r="A190" t="inlineStr">
        <is>
          <t>A 40734-2024</t>
        </is>
      </c>
      <c r="B190" s="1" t="n">
        <v>45558</v>
      </c>
      <c r="C190" s="1" t="n">
        <v>46017</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40738-2024</t>
        </is>
      </c>
      <c r="B191" s="1" t="n">
        <v>45558</v>
      </c>
      <c r="C191" s="1" t="n">
        <v>46017</v>
      </c>
      <c r="D191" t="inlineStr">
        <is>
          <t>SKÅNE LÄN</t>
        </is>
      </c>
      <c r="E191" t="inlineStr">
        <is>
          <t>HÄSSLEHOLM</t>
        </is>
      </c>
      <c r="G191" t="n">
        <v>2.6</v>
      </c>
      <c r="H191" t="n">
        <v>0</v>
      </c>
      <c r="I191" t="n">
        <v>0</v>
      </c>
      <c r="J191" t="n">
        <v>0</v>
      </c>
      <c r="K191" t="n">
        <v>0</v>
      </c>
      <c r="L191" t="n">
        <v>0</v>
      </c>
      <c r="M191" t="n">
        <v>0</v>
      </c>
      <c r="N191" t="n">
        <v>0</v>
      </c>
      <c r="O191" t="n">
        <v>0</v>
      </c>
      <c r="P191" t="n">
        <v>0</v>
      </c>
      <c r="Q191" t="n">
        <v>0</v>
      </c>
      <c r="R191" s="2" t="inlineStr"/>
    </row>
    <row r="192" ht="15" customHeight="1">
      <c r="A192" t="inlineStr">
        <is>
          <t>A 30344-2022</t>
        </is>
      </c>
      <c r="B192" s="1" t="n">
        <v>44760.50783564815</v>
      </c>
      <c r="C192" s="1" t="n">
        <v>46017</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219-2022</t>
        </is>
      </c>
      <c r="B193" s="1" t="n">
        <v>44564</v>
      </c>
      <c r="C193" s="1" t="n">
        <v>46017</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46017</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13982-2021</t>
        </is>
      </c>
      <c r="B195" s="1" t="n">
        <v>44277.57800925926</v>
      </c>
      <c r="C195" s="1" t="n">
        <v>46017</v>
      </c>
      <c r="D195" t="inlineStr">
        <is>
          <t>SKÅNE LÄN</t>
        </is>
      </c>
      <c r="E195" t="inlineStr">
        <is>
          <t>HÄSSLEHOLM</t>
        </is>
      </c>
      <c r="G195" t="n">
        <v>0.7</v>
      </c>
      <c r="H195" t="n">
        <v>0</v>
      </c>
      <c r="I195" t="n">
        <v>0</v>
      </c>
      <c r="J195" t="n">
        <v>0</v>
      </c>
      <c r="K195" t="n">
        <v>0</v>
      </c>
      <c r="L195" t="n">
        <v>0</v>
      </c>
      <c r="M195" t="n">
        <v>0</v>
      </c>
      <c r="N195" t="n">
        <v>0</v>
      </c>
      <c r="O195" t="n">
        <v>0</v>
      </c>
      <c r="P195" t="n">
        <v>0</v>
      </c>
      <c r="Q195" t="n">
        <v>0</v>
      </c>
      <c r="R195" s="2" t="inlineStr"/>
    </row>
    <row r="196" ht="15" customHeight="1">
      <c r="A196" t="inlineStr">
        <is>
          <t>A 40702-2021</t>
        </is>
      </c>
      <c r="B196" s="1" t="n">
        <v>44420.61719907408</v>
      </c>
      <c r="C196" s="1" t="n">
        <v>46017</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25788-2021</t>
        </is>
      </c>
      <c r="B197" s="1" t="n">
        <v>44343</v>
      </c>
      <c r="C197" s="1" t="n">
        <v>46017</v>
      </c>
      <c r="D197" t="inlineStr">
        <is>
          <t>SKÅNE LÄN</t>
        </is>
      </c>
      <c r="E197" t="inlineStr">
        <is>
          <t>HÄSSLEHOLM</t>
        </is>
      </c>
      <c r="G197" t="n">
        <v>4.8</v>
      </c>
      <c r="H197" t="n">
        <v>0</v>
      </c>
      <c r="I197" t="n">
        <v>0</v>
      </c>
      <c r="J197" t="n">
        <v>0</v>
      </c>
      <c r="K197" t="n">
        <v>0</v>
      </c>
      <c r="L197" t="n">
        <v>0</v>
      </c>
      <c r="M197" t="n">
        <v>0</v>
      </c>
      <c r="N197" t="n">
        <v>0</v>
      </c>
      <c r="O197" t="n">
        <v>0</v>
      </c>
      <c r="P197" t="n">
        <v>0</v>
      </c>
      <c r="Q197" t="n">
        <v>0</v>
      </c>
      <c r="R197" s="2" t="inlineStr"/>
    </row>
    <row r="198" ht="15" customHeight="1">
      <c r="A198" t="inlineStr">
        <is>
          <t>A 56527-2021</t>
        </is>
      </c>
      <c r="B198" s="1" t="n">
        <v>44480</v>
      </c>
      <c r="C198" s="1" t="n">
        <v>46017</v>
      </c>
      <c r="D198" t="inlineStr">
        <is>
          <t>SKÅNE LÄN</t>
        </is>
      </c>
      <c r="E198" t="inlineStr">
        <is>
          <t>HÄSSLEHOLM</t>
        </is>
      </c>
      <c r="F198" t="inlineStr">
        <is>
          <t>Kyrkan</t>
        </is>
      </c>
      <c r="G198" t="n">
        <v>2.7</v>
      </c>
      <c r="H198" t="n">
        <v>0</v>
      </c>
      <c r="I198" t="n">
        <v>0</v>
      </c>
      <c r="J198" t="n">
        <v>0</v>
      </c>
      <c r="K198" t="n">
        <v>0</v>
      </c>
      <c r="L198" t="n">
        <v>0</v>
      </c>
      <c r="M198" t="n">
        <v>0</v>
      </c>
      <c r="N198" t="n">
        <v>0</v>
      </c>
      <c r="O198" t="n">
        <v>0</v>
      </c>
      <c r="P198" t="n">
        <v>0</v>
      </c>
      <c r="Q198" t="n">
        <v>0</v>
      </c>
      <c r="R198" s="2" t="inlineStr"/>
    </row>
    <row r="199" ht="15" customHeight="1">
      <c r="A199" t="inlineStr">
        <is>
          <t>A 37141-2021</t>
        </is>
      </c>
      <c r="B199" s="1" t="n">
        <v>44396</v>
      </c>
      <c r="C199" s="1" t="n">
        <v>46017</v>
      </c>
      <c r="D199" t="inlineStr">
        <is>
          <t>SKÅNE LÄN</t>
        </is>
      </c>
      <c r="E199" t="inlineStr">
        <is>
          <t>HÄSSLEHOLM</t>
        </is>
      </c>
      <c r="G199" t="n">
        <v>12.8</v>
      </c>
      <c r="H199" t="n">
        <v>0</v>
      </c>
      <c r="I199" t="n">
        <v>0</v>
      </c>
      <c r="J199" t="n">
        <v>0</v>
      </c>
      <c r="K199" t="n">
        <v>0</v>
      </c>
      <c r="L199" t="n">
        <v>0</v>
      </c>
      <c r="M199" t="n">
        <v>0</v>
      </c>
      <c r="N199" t="n">
        <v>0</v>
      </c>
      <c r="O199" t="n">
        <v>0</v>
      </c>
      <c r="P199" t="n">
        <v>0</v>
      </c>
      <c r="Q199" t="n">
        <v>0</v>
      </c>
      <c r="R199" s="2" t="inlineStr"/>
    </row>
    <row r="200" ht="15" customHeight="1">
      <c r="A200" t="inlineStr">
        <is>
          <t>A 55412-2022</t>
        </is>
      </c>
      <c r="B200" s="1" t="n">
        <v>44882</v>
      </c>
      <c r="C200" s="1" t="n">
        <v>46017</v>
      </c>
      <c r="D200" t="inlineStr">
        <is>
          <t>SKÅNE LÄN</t>
        </is>
      </c>
      <c r="E200" t="inlineStr">
        <is>
          <t>HÄSSLEHOLM</t>
        </is>
      </c>
      <c r="F200" t="inlineStr">
        <is>
          <t>Övriga Aktiebolag</t>
        </is>
      </c>
      <c r="G200" t="n">
        <v>4</v>
      </c>
      <c r="H200" t="n">
        <v>0</v>
      </c>
      <c r="I200" t="n">
        <v>0</v>
      </c>
      <c r="J200" t="n">
        <v>0</v>
      </c>
      <c r="K200" t="n">
        <v>0</v>
      </c>
      <c r="L200" t="n">
        <v>0</v>
      </c>
      <c r="M200" t="n">
        <v>0</v>
      </c>
      <c r="N200" t="n">
        <v>0</v>
      </c>
      <c r="O200" t="n">
        <v>0</v>
      </c>
      <c r="P200" t="n">
        <v>0</v>
      </c>
      <c r="Q200" t="n">
        <v>0</v>
      </c>
      <c r="R200" s="2" t="inlineStr"/>
    </row>
    <row r="201" ht="15" customHeight="1">
      <c r="A201" t="inlineStr">
        <is>
          <t>A 53576-2022</t>
        </is>
      </c>
      <c r="B201" s="1" t="n">
        <v>44875</v>
      </c>
      <c r="C201" s="1" t="n">
        <v>46017</v>
      </c>
      <c r="D201" t="inlineStr">
        <is>
          <t>SKÅNE LÄN</t>
        </is>
      </c>
      <c r="E201" t="inlineStr">
        <is>
          <t>HÄSSLEHOLM</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6253-2022</t>
        </is>
      </c>
      <c r="B202" s="1" t="n">
        <v>44600</v>
      </c>
      <c r="C202" s="1" t="n">
        <v>46017</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3992-2022</t>
        </is>
      </c>
      <c r="B203" s="1" t="n">
        <v>44587</v>
      </c>
      <c r="C203" s="1" t="n">
        <v>46017</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25955-2022</t>
        </is>
      </c>
      <c r="B204" s="1" t="n">
        <v>44734</v>
      </c>
      <c r="C204" s="1" t="n">
        <v>46017</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21029-2021</t>
        </is>
      </c>
      <c r="B205" s="1" t="n">
        <v>44319.63366898148</v>
      </c>
      <c r="C205" s="1" t="n">
        <v>46017</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45399-2022</t>
        </is>
      </c>
      <c r="B206" s="1" t="n">
        <v>44844.70513888889</v>
      </c>
      <c r="C206" s="1" t="n">
        <v>46017</v>
      </c>
      <c r="D206" t="inlineStr">
        <is>
          <t>SKÅNE LÄN</t>
        </is>
      </c>
      <c r="E206" t="inlineStr">
        <is>
          <t>HÄSSLEHOLM</t>
        </is>
      </c>
      <c r="G206" t="n">
        <v>0</v>
      </c>
      <c r="H206" t="n">
        <v>0</v>
      </c>
      <c r="I206" t="n">
        <v>0</v>
      </c>
      <c r="J206" t="n">
        <v>0</v>
      </c>
      <c r="K206" t="n">
        <v>0</v>
      </c>
      <c r="L206" t="n">
        <v>0</v>
      </c>
      <c r="M206" t="n">
        <v>0</v>
      </c>
      <c r="N206" t="n">
        <v>0</v>
      </c>
      <c r="O206" t="n">
        <v>0</v>
      </c>
      <c r="P206" t="n">
        <v>0</v>
      </c>
      <c r="Q206" t="n">
        <v>0</v>
      </c>
      <c r="R206" s="2" t="inlineStr"/>
    </row>
    <row r="207" ht="15" customHeight="1">
      <c r="A207" t="inlineStr">
        <is>
          <t>A 20657-2022</t>
        </is>
      </c>
      <c r="B207" s="1" t="n">
        <v>44700</v>
      </c>
      <c r="C207" s="1" t="n">
        <v>46017</v>
      </c>
      <c r="D207" t="inlineStr">
        <is>
          <t>SKÅNE LÄN</t>
        </is>
      </c>
      <c r="E207" t="inlineStr">
        <is>
          <t>HÄSSLEHOLM</t>
        </is>
      </c>
      <c r="G207" t="n">
        <v>3.8</v>
      </c>
      <c r="H207" t="n">
        <v>0</v>
      </c>
      <c r="I207" t="n">
        <v>0</v>
      </c>
      <c r="J207" t="n">
        <v>0</v>
      </c>
      <c r="K207" t="n">
        <v>0</v>
      </c>
      <c r="L207" t="n">
        <v>0</v>
      </c>
      <c r="M207" t="n">
        <v>0</v>
      </c>
      <c r="N207" t="n">
        <v>0</v>
      </c>
      <c r="O207" t="n">
        <v>0</v>
      </c>
      <c r="P207" t="n">
        <v>0</v>
      </c>
      <c r="Q207" t="n">
        <v>0</v>
      </c>
      <c r="R207" s="2" t="inlineStr"/>
    </row>
    <row r="208" ht="15" customHeight="1">
      <c r="A208" t="inlineStr">
        <is>
          <t>A 49379-2021</t>
        </is>
      </c>
      <c r="B208" s="1" t="n">
        <v>44454</v>
      </c>
      <c r="C208" s="1" t="n">
        <v>46017</v>
      </c>
      <c r="D208" t="inlineStr">
        <is>
          <t>SKÅNE LÄN</t>
        </is>
      </c>
      <c r="E208" t="inlineStr">
        <is>
          <t>HÄSSLEHOLM</t>
        </is>
      </c>
      <c r="G208" t="n">
        <v>1.4</v>
      </c>
      <c r="H208" t="n">
        <v>0</v>
      </c>
      <c r="I208" t="n">
        <v>0</v>
      </c>
      <c r="J208" t="n">
        <v>0</v>
      </c>
      <c r="K208" t="n">
        <v>0</v>
      </c>
      <c r="L208" t="n">
        <v>0</v>
      </c>
      <c r="M208" t="n">
        <v>0</v>
      </c>
      <c r="N208" t="n">
        <v>0</v>
      </c>
      <c r="O208" t="n">
        <v>0</v>
      </c>
      <c r="P208" t="n">
        <v>0</v>
      </c>
      <c r="Q208" t="n">
        <v>0</v>
      </c>
      <c r="R208" s="2" t="inlineStr"/>
    </row>
    <row r="209" ht="15" customHeight="1">
      <c r="A209" t="inlineStr">
        <is>
          <t>A 32881-2024</t>
        </is>
      </c>
      <c r="B209" s="1" t="n">
        <v>45516</v>
      </c>
      <c r="C209" s="1" t="n">
        <v>46017</v>
      </c>
      <c r="D209" t="inlineStr">
        <is>
          <t>SKÅNE LÄN</t>
        </is>
      </c>
      <c r="E209" t="inlineStr">
        <is>
          <t>HÄSSLEHOLM</t>
        </is>
      </c>
      <c r="G209" t="n">
        <v>6.3</v>
      </c>
      <c r="H209" t="n">
        <v>0</v>
      </c>
      <c r="I209" t="n">
        <v>0</v>
      </c>
      <c r="J209" t="n">
        <v>0</v>
      </c>
      <c r="K209" t="n">
        <v>0</v>
      </c>
      <c r="L209" t="n">
        <v>0</v>
      </c>
      <c r="M209" t="n">
        <v>0</v>
      </c>
      <c r="N209" t="n">
        <v>0</v>
      </c>
      <c r="O209" t="n">
        <v>0</v>
      </c>
      <c r="P209" t="n">
        <v>0</v>
      </c>
      <c r="Q209" t="n">
        <v>0</v>
      </c>
      <c r="R209" s="2" t="inlineStr"/>
    </row>
    <row r="210" ht="15" customHeight="1">
      <c r="A210" t="inlineStr">
        <is>
          <t>A 2743-2023</t>
        </is>
      </c>
      <c r="B210" s="1" t="n">
        <v>44944</v>
      </c>
      <c r="C210" s="1" t="n">
        <v>46017</v>
      </c>
      <c r="D210" t="inlineStr">
        <is>
          <t>SKÅNE LÄN</t>
        </is>
      </c>
      <c r="E210" t="inlineStr">
        <is>
          <t>HÄSSLEHOLM</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3930-2021</t>
        </is>
      </c>
      <c r="B211" s="1" t="n">
        <v>44222</v>
      </c>
      <c r="C211" s="1" t="n">
        <v>46017</v>
      </c>
      <c r="D211" t="inlineStr">
        <is>
          <t>SKÅNE LÄN</t>
        </is>
      </c>
      <c r="E211" t="inlineStr">
        <is>
          <t>HÄSSLEHOLM</t>
        </is>
      </c>
      <c r="G211" t="n">
        <v>3.4</v>
      </c>
      <c r="H211" t="n">
        <v>0</v>
      </c>
      <c r="I211" t="n">
        <v>0</v>
      </c>
      <c r="J211" t="n">
        <v>0</v>
      </c>
      <c r="K211" t="n">
        <v>0</v>
      </c>
      <c r="L211" t="n">
        <v>0</v>
      </c>
      <c r="M211" t="n">
        <v>0</v>
      </c>
      <c r="N211" t="n">
        <v>0</v>
      </c>
      <c r="O211" t="n">
        <v>0</v>
      </c>
      <c r="P211" t="n">
        <v>0</v>
      </c>
      <c r="Q211" t="n">
        <v>0</v>
      </c>
      <c r="R211" s="2" t="inlineStr"/>
    </row>
    <row r="212" ht="15" customHeight="1">
      <c r="A212" t="inlineStr">
        <is>
          <t>A 64607-2021</t>
        </is>
      </c>
      <c r="B212" s="1" t="n">
        <v>44511</v>
      </c>
      <c r="C212" s="1" t="n">
        <v>46017</v>
      </c>
      <c r="D212" t="inlineStr">
        <is>
          <t>SKÅNE LÄN</t>
        </is>
      </c>
      <c r="E212" t="inlineStr">
        <is>
          <t>HÄSSLEHOLM</t>
        </is>
      </c>
      <c r="G212" t="n">
        <v>1.5</v>
      </c>
      <c r="H212" t="n">
        <v>0</v>
      </c>
      <c r="I212" t="n">
        <v>0</v>
      </c>
      <c r="J212" t="n">
        <v>0</v>
      </c>
      <c r="K212" t="n">
        <v>0</v>
      </c>
      <c r="L212" t="n">
        <v>0</v>
      </c>
      <c r="M212" t="n">
        <v>0</v>
      </c>
      <c r="N212" t="n">
        <v>0</v>
      </c>
      <c r="O212" t="n">
        <v>0</v>
      </c>
      <c r="P212" t="n">
        <v>0</v>
      </c>
      <c r="Q212" t="n">
        <v>0</v>
      </c>
      <c r="R212" s="2" t="inlineStr"/>
    </row>
    <row r="213" ht="15" customHeight="1">
      <c r="A213" t="inlineStr">
        <is>
          <t>A 7306-2025</t>
        </is>
      </c>
      <c r="B213" s="1" t="n">
        <v>45702</v>
      </c>
      <c r="C213" s="1" t="n">
        <v>46017</v>
      </c>
      <c r="D213" t="inlineStr">
        <is>
          <t>SKÅNE LÄN</t>
        </is>
      </c>
      <c r="E213" t="inlineStr">
        <is>
          <t>HÄSSLEHOLM</t>
        </is>
      </c>
      <c r="F213" t="inlineStr">
        <is>
          <t>Övriga Aktiebolag</t>
        </is>
      </c>
      <c r="G213" t="n">
        <v>3.3</v>
      </c>
      <c r="H213" t="n">
        <v>0</v>
      </c>
      <c r="I213" t="n">
        <v>0</v>
      </c>
      <c r="J213" t="n">
        <v>0</v>
      </c>
      <c r="K213" t="n">
        <v>0</v>
      </c>
      <c r="L213" t="n">
        <v>0</v>
      </c>
      <c r="M213" t="n">
        <v>0</v>
      </c>
      <c r="N213" t="n">
        <v>0</v>
      </c>
      <c r="O213" t="n">
        <v>0</v>
      </c>
      <c r="P213" t="n">
        <v>0</v>
      </c>
      <c r="Q213" t="n">
        <v>0</v>
      </c>
      <c r="R213" s="2" t="inlineStr"/>
    </row>
    <row r="214" ht="15" customHeight="1">
      <c r="A214" t="inlineStr">
        <is>
          <t>A 7308-2025</t>
        </is>
      </c>
      <c r="B214" s="1" t="n">
        <v>45702</v>
      </c>
      <c r="C214" s="1" t="n">
        <v>46017</v>
      </c>
      <c r="D214" t="inlineStr">
        <is>
          <t>SKÅNE LÄN</t>
        </is>
      </c>
      <c r="E214" t="inlineStr">
        <is>
          <t>HÄSSLEHOLM</t>
        </is>
      </c>
      <c r="F214" t="inlineStr">
        <is>
          <t>Övriga Aktiebolag</t>
        </is>
      </c>
      <c r="G214" t="n">
        <v>4.8</v>
      </c>
      <c r="H214" t="n">
        <v>0</v>
      </c>
      <c r="I214" t="n">
        <v>0</v>
      </c>
      <c r="J214" t="n">
        <v>0</v>
      </c>
      <c r="K214" t="n">
        <v>0</v>
      </c>
      <c r="L214" t="n">
        <v>0</v>
      </c>
      <c r="M214" t="n">
        <v>0</v>
      </c>
      <c r="N214" t="n">
        <v>0</v>
      </c>
      <c r="O214" t="n">
        <v>0</v>
      </c>
      <c r="P214" t="n">
        <v>0</v>
      </c>
      <c r="Q214" t="n">
        <v>0</v>
      </c>
      <c r="R214" s="2" t="inlineStr"/>
    </row>
    <row r="215" ht="15" customHeight="1">
      <c r="A215" t="inlineStr">
        <is>
          <t>A 62044-2022</t>
        </is>
      </c>
      <c r="B215" s="1" t="n">
        <v>44918.55976851852</v>
      </c>
      <c r="C215" s="1" t="n">
        <v>46017</v>
      </c>
      <c r="D215" t="inlineStr">
        <is>
          <t>SKÅNE LÄN</t>
        </is>
      </c>
      <c r="E215" t="inlineStr">
        <is>
          <t>HÄSSLEHOLM</t>
        </is>
      </c>
      <c r="G215" t="n">
        <v>2.1</v>
      </c>
      <c r="H215" t="n">
        <v>0</v>
      </c>
      <c r="I215" t="n">
        <v>0</v>
      </c>
      <c r="J215" t="n">
        <v>0</v>
      </c>
      <c r="K215" t="n">
        <v>0</v>
      </c>
      <c r="L215" t="n">
        <v>0</v>
      </c>
      <c r="M215" t="n">
        <v>0</v>
      </c>
      <c r="N215" t="n">
        <v>0</v>
      </c>
      <c r="O215" t="n">
        <v>0</v>
      </c>
      <c r="P215" t="n">
        <v>0</v>
      </c>
      <c r="Q215" t="n">
        <v>0</v>
      </c>
      <c r="R215" s="2" t="inlineStr"/>
    </row>
    <row r="216" ht="15" customHeight="1">
      <c r="A216" t="inlineStr">
        <is>
          <t>A 7262-2022</t>
        </is>
      </c>
      <c r="B216" s="1" t="n">
        <v>44606</v>
      </c>
      <c r="C216" s="1" t="n">
        <v>46017</v>
      </c>
      <c r="D216" t="inlineStr">
        <is>
          <t>SKÅNE LÄN</t>
        </is>
      </c>
      <c r="E216" t="inlineStr">
        <is>
          <t>HÄSSLEHOLM</t>
        </is>
      </c>
      <c r="F216" t="inlineStr">
        <is>
          <t>Övriga Aktiebolag</t>
        </is>
      </c>
      <c r="G216" t="n">
        <v>1</v>
      </c>
      <c r="H216" t="n">
        <v>0</v>
      </c>
      <c r="I216" t="n">
        <v>0</v>
      </c>
      <c r="J216" t="n">
        <v>0</v>
      </c>
      <c r="K216" t="n">
        <v>0</v>
      </c>
      <c r="L216" t="n">
        <v>0</v>
      </c>
      <c r="M216" t="n">
        <v>0</v>
      </c>
      <c r="N216" t="n">
        <v>0</v>
      </c>
      <c r="O216" t="n">
        <v>0</v>
      </c>
      <c r="P216" t="n">
        <v>0</v>
      </c>
      <c r="Q216" t="n">
        <v>0</v>
      </c>
      <c r="R216" s="2" t="inlineStr"/>
    </row>
    <row r="217" ht="15" customHeight="1">
      <c r="A217" t="inlineStr">
        <is>
          <t>A 6164-2023</t>
        </is>
      </c>
      <c r="B217" s="1" t="n">
        <v>44964.66871527778</v>
      </c>
      <c r="C217" s="1" t="n">
        <v>46017</v>
      </c>
      <c r="D217" t="inlineStr">
        <is>
          <t>SKÅNE LÄN</t>
        </is>
      </c>
      <c r="E217" t="inlineStr">
        <is>
          <t>HÄSSLEHOLM</t>
        </is>
      </c>
      <c r="G217" t="n">
        <v>0.7</v>
      </c>
      <c r="H217" t="n">
        <v>0</v>
      </c>
      <c r="I217" t="n">
        <v>0</v>
      </c>
      <c r="J217" t="n">
        <v>0</v>
      </c>
      <c r="K217" t="n">
        <v>0</v>
      </c>
      <c r="L217" t="n">
        <v>0</v>
      </c>
      <c r="M217" t="n">
        <v>0</v>
      </c>
      <c r="N217" t="n">
        <v>0</v>
      </c>
      <c r="O217" t="n">
        <v>0</v>
      </c>
      <c r="P217" t="n">
        <v>0</v>
      </c>
      <c r="Q217" t="n">
        <v>0</v>
      </c>
      <c r="R217" s="2" t="inlineStr"/>
    </row>
    <row r="218" ht="15" customHeight="1">
      <c r="A218" t="inlineStr">
        <is>
          <t>A 26642-2023</t>
        </is>
      </c>
      <c r="B218" s="1" t="n">
        <v>45092.8975</v>
      </c>
      <c r="C218" s="1" t="n">
        <v>46017</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11715-2023</t>
        </is>
      </c>
      <c r="B219" s="1" t="n">
        <v>44992</v>
      </c>
      <c r="C219" s="1" t="n">
        <v>46017</v>
      </c>
      <c r="D219" t="inlineStr">
        <is>
          <t>SKÅNE LÄN</t>
        </is>
      </c>
      <c r="E219" t="inlineStr">
        <is>
          <t>HÄSSLEHOLM</t>
        </is>
      </c>
      <c r="F219" t="inlineStr">
        <is>
          <t>Övriga Aktiebolag</t>
        </is>
      </c>
      <c r="G219" t="n">
        <v>2</v>
      </c>
      <c r="H219" t="n">
        <v>0</v>
      </c>
      <c r="I219" t="n">
        <v>0</v>
      </c>
      <c r="J219" t="n">
        <v>0</v>
      </c>
      <c r="K219" t="n">
        <v>0</v>
      </c>
      <c r="L219" t="n">
        <v>0</v>
      </c>
      <c r="M219" t="n">
        <v>0</v>
      </c>
      <c r="N219" t="n">
        <v>0</v>
      </c>
      <c r="O219" t="n">
        <v>0</v>
      </c>
      <c r="P219" t="n">
        <v>0</v>
      </c>
      <c r="Q219" t="n">
        <v>0</v>
      </c>
      <c r="R219" s="2" t="inlineStr"/>
    </row>
    <row r="220" ht="15" customHeight="1">
      <c r="A220" t="inlineStr">
        <is>
          <t>A 37318-2024</t>
        </is>
      </c>
      <c r="B220" s="1" t="n">
        <v>45540</v>
      </c>
      <c r="C220" s="1" t="n">
        <v>46017</v>
      </c>
      <c r="D220" t="inlineStr">
        <is>
          <t>SKÅNE LÄN</t>
        </is>
      </c>
      <c r="E220" t="inlineStr">
        <is>
          <t>HÄSSLEHOLM</t>
        </is>
      </c>
      <c r="G220" t="n">
        <v>3.9</v>
      </c>
      <c r="H220" t="n">
        <v>0</v>
      </c>
      <c r="I220" t="n">
        <v>0</v>
      </c>
      <c r="J220" t="n">
        <v>0</v>
      </c>
      <c r="K220" t="n">
        <v>0</v>
      </c>
      <c r="L220" t="n">
        <v>0</v>
      </c>
      <c r="M220" t="n">
        <v>0</v>
      </c>
      <c r="N220" t="n">
        <v>0</v>
      </c>
      <c r="O220" t="n">
        <v>0</v>
      </c>
      <c r="P220" t="n">
        <v>0</v>
      </c>
      <c r="Q220" t="n">
        <v>0</v>
      </c>
      <c r="R220" s="2" t="inlineStr"/>
    </row>
    <row r="221" ht="15" customHeight="1">
      <c r="A221" t="inlineStr">
        <is>
          <t>A 25606-2024</t>
        </is>
      </c>
      <c r="B221" s="1" t="n">
        <v>45463.63179398148</v>
      </c>
      <c r="C221" s="1" t="n">
        <v>46017</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58891-2022</t>
        </is>
      </c>
      <c r="B222" s="1" t="n">
        <v>44896</v>
      </c>
      <c r="C222" s="1" t="n">
        <v>46017</v>
      </c>
      <c r="D222" t="inlineStr">
        <is>
          <t>SKÅNE LÄN</t>
        </is>
      </c>
      <c r="E222" t="inlineStr">
        <is>
          <t>HÄSSLEHOLM</t>
        </is>
      </c>
      <c r="F222" t="inlineStr">
        <is>
          <t>Kyrkan</t>
        </is>
      </c>
      <c r="G222" t="n">
        <v>1.6</v>
      </c>
      <c r="H222" t="n">
        <v>0</v>
      </c>
      <c r="I222" t="n">
        <v>0</v>
      </c>
      <c r="J222" t="n">
        <v>0</v>
      </c>
      <c r="K222" t="n">
        <v>0</v>
      </c>
      <c r="L222" t="n">
        <v>0</v>
      </c>
      <c r="M222" t="n">
        <v>0</v>
      </c>
      <c r="N222" t="n">
        <v>0</v>
      </c>
      <c r="O222" t="n">
        <v>0</v>
      </c>
      <c r="P222" t="n">
        <v>0</v>
      </c>
      <c r="Q222" t="n">
        <v>0</v>
      </c>
      <c r="R222" s="2" t="inlineStr"/>
    </row>
    <row r="223" ht="15" customHeight="1">
      <c r="A223" t="inlineStr">
        <is>
          <t>A 37324-2024</t>
        </is>
      </c>
      <c r="B223" s="1" t="n">
        <v>45540.50104166667</v>
      </c>
      <c r="C223" s="1" t="n">
        <v>46017</v>
      </c>
      <c r="D223" t="inlineStr">
        <is>
          <t>SKÅNE LÄN</t>
        </is>
      </c>
      <c r="E223" t="inlineStr">
        <is>
          <t>HÄSSLEHOLM</t>
        </is>
      </c>
      <c r="G223" t="n">
        <v>1.5</v>
      </c>
      <c r="H223" t="n">
        <v>0</v>
      </c>
      <c r="I223" t="n">
        <v>0</v>
      </c>
      <c r="J223" t="n">
        <v>0</v>
      </c>
      <c r="K223" t="n">
        <v>0</v>
      </c>
      <c r="L223" t="n">
        <v>0</v>
      </c>
      <c r="M223" t="n">
        <v>0</v>
      </c>
      <c r="N223" t="n">
        <v>0</v>
      </c>
      <c r="O223" t="n">
        <v>0</v>
      </c>
      <c r="P223" t="n">
        <v>0</v>
      </c>
      <c r="Q223" t="n">
        <v>0</v>
      </c>
      <c r="R223" s="2" t="inlineStr"/>
    </row>
    <row r="224" ht="15" customHeight="1">
      <c r="A224" t="inlineStr">
        <is>
          <t>A 25176-2024</t>
        </is>
      </c>
      <c r="B224" s="1" t="n">
        <v>45462.54582175926</v>
      </c>
      <c r="C224" s="1" t="n">
        <v>46017</v>
      </c>
      <c r="D224" t="inlineStr">
        <is>
          <t>SKÅNE LÄN</t>
        </is>
      </c>
      <c r="E224" t="inlineStr">
        <is>
          <t>HÄSSLEHOLM</t>
        </is>
      </c>
      <c r="G224" t="n">
        <v>3.8</v>
      </c>
      <c r="H224" t="n">
        <v>0</v>
      </c>
      <c r="I224" t="n">
        <v>0</v>
      </c>
      <c r="J224" t="n">
        <v>0</v>
      </c>
      <c r="K224" t="n">
        <v>0</v>
      </c>
      <c r="L224" t="n">
        <v>0</v>
      </c>
      <c r="M224" t="n">
        <v>0</v>
      </c>
      <c r="N224" t="n">
        <v>0</v>
      </c>
      <c r="O224" t="n">
        <v>0</v>
      </c>
      <c r="P224" t="n">
        <v>0</v>
      </c>
      <c r="Q224" t="n">
        <v>0</v>
      </c>
      <c r="R224" s="2" t="inlineStr"/>
    </row>
    <row r="225" ht="15" customHeight="1">
      <c r="A225" t="inlineStr">
        <is>
          <t>A 5016-2024</t>
        </is>
      </c>
      <c r="B225" s="1" t="n">
        <v>45329</v>
      </c>
      <c r="C225" s="1" t="n">
        <v>46017</v>
      </c>
      <c r="D225" t="inlineStr">
        <is>
          <t>SKÅNE LÄN</t>
        </is>
      </c>
      <c r="E225" t="inlineStr">
        <is>
          <t>HÄSSLEHOLM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1538-2024</t>
        </is>
      </c>
      <c r="B226" s="1" t="n">
        <v>45306</v>
      </c>
      <c r="C226" s="1" t="n">
        <v>46017</v>
      </c>
      <c r="D226" t="inlineStr">
        <is>
          <t>SKÅNE LÄN</t>
        </is>
      </c>
      <c r="E226" t="inlineStr">
        <is>
          <t>HÄSSLEHOLM</t>
        </is>
      </c>
      <c r="G226" t="n">
        <v>4.8</v>
      </c>
      <c r="H226" t="n">
        <v>0</v>
      </c>
      <c r="I226" t="n">
        <v>0</v>
      </c>
      <c r="J226" t="n">
        <v>0</v>
      </c>
      <c r="K226" t="n">
        <v>0</v>
      </c>
      <c r="L226" t="n">
        <v>0</v>
      </c>
      <c r="M226" t="n">
        <v>0</v>
      </c>
      <c r="N226" t="n">
        <v>0</v>
      </c>
      <c r="O226" t="n">
        <v>0</v>
      </c>
      <c r="P226" t="n">
        <v>0</v>
      </c>
      <c r="Q226" t="n">
        <v>0</v>
      </c>
      <c r="R226" s="2" t="inlineStr"/>
    </row>
    <row r="227" ht="15" customHeight="1">
      <c r="A227" t="inlineStr">
        <is>
          <t>A 25533-2024</t>
        </is>
      </c>
      <c r="B227" s="1" t="n">
        <v>45463</v>
      </c>
      <c r="C227" s="1" t="n">
        <v>46017</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4512-2024</t>
        </is>
      </c>
      <c r="B228" s="1" t="n">
        <v>45327.6312962963</v>
      </c>
      <c r="C228" s="1" t="n">
        <v>46017</v>
      </c>
      <c r="D228" t="inlineStr">
        <is>
          <t>SKÅNE LÄN</t>
        </is>
      </c>
      <c r="E228" t="inlineStr">
        <is>
          <t>HÄSSLEHOLM</t>
        </is>
      </c>
      <c r="G228" t="n">
        <v>2</v>
      </c>
      <c r="H228" t="n">
        <v>0</v>
      </c>
      <c r="I228" t="n">
        <v>0</v>
      </c>
      <c r="J228" t="n">
        <v>0</v>
      </c>
      <c r="K228" t="n">
        <v>0</v>
      </c>
      <c r="L228" t="n">
        <v>0</v>
      </c>
      <c r="M228" t="n">
        <v>0</v>
      </c>
      <c r="N228" t="n">
        <v>0</v>
      </c>
      <c r="O228" t="n">
        <v>0</v>
      </c>
      <c r="P228" t="n">
        <v>0</v>
      </c>
      <c r="Q228" t="n">
        <v>0</v>
      </c>
      <c r="R228" s="2" t="inlineStr"/>
    </row>
    <row r="229" ht="15" customHeight="1">
      <c r="A229" t="inlineStr">
        <is>
          <t>A 4916-2024</t>
        </is>
      </c>
      <c r="B229" s="1" t="n">
        <v>45329</v>
      </c>
      <c r="C229" s="1" t="n">
        <v>46017</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31934-2024</t>
        </is>
      </c>
      <c r="B230" s="1" t="n">
        <v>45510.41177083334</v>
      </c>
      <c r="C230" s="1" t="n">
        <v>46017</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29847-2024</t>
        </is>
      </c>
      <c r="B231" s="1" t="n">
        <v>45485.6278587963</v>
      </c>
      <c r="C231" s="1" t="n">
        <v>46017</v>
      </c>
      <c r="D231" t="inlineStr">
        <is>
          <t>SKÅNE LÄN</t>
        </is>
      </c>
      <c r="E231" t="inlineStr">
        <is>
          <t>HÄSSLEHOLM</t>
        </is>
      </c>
      <c r="G231" t="n">
        <v>1.2</v>
      </c>
      <c r="H231" t="n">
        <v>0</v>
      </c>
      <c r="I231" t="n">
        <v>0</v>
      </c>
      <c r="J231" t="n">
        <v>0</v>
      </c>
      <c r="K231" t="n">
        <v>0</v>
      </c>
      <c r="L231" t="n">
        <v>0</v>
      </c>
      <c r="M231" t="n">
        <v>0</v>
      </c>
      <c r="N231" t="n">
        <v>0</v>
      </c>
      <c r="O231" t="n">
        <v>0</v>
      </c>
      <c r="P231" t="n">
        <v>0</v>
      </c>
      <c r="Q231" t="n">
        <v>0</v>
      </c>
      <c r="R231" s="2" t="inlineStr"/>
    </row>
    <row r="232" ht="15" customHeight="1">
      <c r="A232" t="inlineStr">
        <is>
          <t>A 28236-2022</t>
        </is>
      </c>
      <c r="B232" s="1" t="n">
        <v>44746</v>
      </c>
      <c r="C232" s="1" t="n">
        <v>46017</v>
      </c>
      <c r="D232" t="inlineStr">
        <is>
          <t>SKÅNE LÄN</t>
        </is>
      </c>
      <c r="E232" t="inlineStr">
        <is>
          <t>HÄSSLEHOLM</t>
        </is>
      </c>
      <c r="G232" t="n">
        <v>3.5</v>
      </c>
      <c r="H232" t="n">
        <v>0</v>
      </c>
      <c r="I232" t="n">
        <v>0</v>
      </c>
      <c r="J232" t="n">
        <v>0</v>
      </c>
      <c r="K232" t="n">
        <v>0</v>
      </c>
      <c r="L232" t="n">
        <v>0</v>
      </c>
      <c r="M232" t="n">
        <v>0</v>
      </c>
      <c r="N232" t="n">
        <v>0</v>
      </c>
      <c r="O232" t="n">
        <v>0</v>
      </c>
      <c r="P232" t="n">
        <v>0</v>
      </c>
      <c r="Q232" t="n">
        <v>0</v>
      </c>
      <c r="R232" s="2" t="inlineStr"/>
    </row>
    <row r="233" ht="15" customHeight="1">
      <c r="A233" t="inlineStr">
        <is>
          <t>A 7653-2024</t>
        </is>
      </c>
      <c r="B233" s="1" t="n">
        <v>45348.69043981482</v>
      </c>
      <c r="C233" s="1" t="n">
        <v>46017</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18515-2021</t>
        </is>
      </c>
      <c r="B234" s="1" t="n">
        <v>44305</v>
      </c>
      <c r="C234" s="1" t="n">
        <v>46017</v>
      </c>
      <c r="D234" t="inlineStr">
        <is>
          <t>SKÅNE LÄN</t>
        </is>
      </c>
      <c r="E234" t="inlineStr">
        <is>
          <t>HÄSSLEHOLM</t>
        </is>
      </c>
      <c r="F234" t="inlineStr">
        <is>
          <t>Övriga Aktiebolag</t>
        </is>
      </c>
      <c r="G234" t="n">
        <v>0.5</v>
      </c>
      <c r="H234" t="n">
        <v>0</v>
      </c>
      <c r="I234" t="n">
        <v>0</v>
      </c>
      <c r="J234" t="n">
        <v>0</v>
      </c>
      <c r="K234" t="n">
        <v>0</v>
      </c>
      <c r="L234" t="n">
        <v>0</v>
      </c>
      <c r="M234" t="n">
        <v>0</v>
      </c>
      <c r="N234" t="n">
        <v>0</v>
      </c>
      <c r="O234" t="n">
        <v>0</v>
      </c>
      <c r="P234" t="n">
        <v>0</v>
      </c>
      <c r="Q234" t="n">
        <v>0</v>
      </c>
      <c r="R234" s="2" t="inlineStr"/>
    </row>
    <row r="235" ht="15" customHeight="1">
      <c r="A235" t="inlineStr">
        <is>
          <t>A 18523-2021</t>
        </is>
      </c>
      <c r="B235" s="1" t="n">
        <v>44305</v>
      </c>
      <c r="C235" s="1" t="n">
        <v>46017</v>
      </c>
      <c r="D235" t="inlineStr">
        <is>
          <t>SKÅNE LÄN</t>
        </is>
      </c>
      <c r="E235" t="inlineStr">
        <is>
          <t>HÄSSLEHOLM</t>
        </is>
      </c>
      <c r="F235" t="inlineStr">
        <is>
          <t>Övriga Aktiebolag</t>
        </is>
      </c>
      <c r="G235" t="n">
        <v>1.2</v>
      </c>
      <c r="H235" t="n">
        <v>0</v>
      </c>
      <c r="I235" t="n">
        <v>0</v>
      </c>
      <c r="J235" t="n">
        <v>0</v>
      </c>
      <c r="K235" t="n">
        <v>0</v>
      </c>
      <c r="L235" t="n">
        <v>0</v>
      </c>
      <c r="M235" t="n">
        <v>0</v>
      </c>
      <c r="N235" t="n">
        <v>0</v>
      </c>
      <c r="O235" t="n">
        <v>0</v>
      </c>
      <c r="P235" t="n">
        <v>0</v>
      </c>
      <c r="Q235" t="n">
        <v>0</v>
      </c>
      <c r="R235" s="2" t="inlineStr"/>
    </row>
    <row r="236" ht="15" customHeight="1">
      <c r="A236" t="inlineStr">
        <is>
          <t>A 12617-2021</t>
        </is>
      </c>
      <c r="B236" s="1" t="n">
        <v>44270.45030092593</v>
      </c>
      <c r="C236" s="1" t="n">
        <v>46017</v>
      </c>
      <c r="D236" t="inlineStr">
        <is>
          <t>SKÅNE LÄN</t>
        </is>
      </c>
      <c r="E236" t="inlineStr">
        <is>
          <t>HÄSSLEHOLM</t>
        </is>
      </c>
      <c r="G236" t="n">
        <v>1.2</v>
      </c>
      <c r="H236" t="n">
        <v>0</v>
      </c>
      <c r="I236" t="n">
        <v>0</v>
      </c>
      <c r="J236" t="n">
        <v>0</v>
      </c>
      <c r="K236" t="n">
        <v>0</v>
      </c>
      <c r="L236" t="n">
        <v>0</v>
      </c>
      <c r="M236" t="n">
        <v>0</v>
      </c>
      <c r="N236" t="n">
        <v>0</v>
      </c>
      <c r="O236" t="n">
        <v>0</v>
      </c>
      <c r="P236" t="n">
        <v>0</v>
      </c>
      <c r="Q236" t="n">
        <v>0</v>
      </c>
      <c r="R236" s="2" t="inlineStr"/>
    </row>
    <row r="237" ht="15" customHeight="1">
      <c r="A237" t="inlineStr">
        <is>
          <t>A 3726-2024</t>
        </is>
      </c>
      <c r="B237" s="1" t="n">
        <v>45321</v>
      </c>
      <c r="C237" s="1" t="n">
        <v>46017</v>
      </c>
      <c r="D237" t="inlineStr">
        <is>
          <t>SKÅNE LÄN</t>
        </is>
      </c>
      <c r="E237" t="inlineStr">
        <is>
          <t>HÄSSLEHOLM</t>
        </is>
      </c>
      <c r="G237" t="n">
        <v>0.3</v>
      </c>
      <c r="H237" t="n">
        <v>0</v>
      </c>
      <c r="I237" t="n">
        <v>0</v>
      </c>
      <c r="J237" t="n">
        <v>0</v>
      </c>
      <c r="K237" t="n">
        <v>0</v>
      </c>
      <c r="L237" t="n">
        <v>0</v>
      </c>
      <c r="M237" t="n">
        <v>0</v>
      </c>
      <c r="N237" t="n">
        <v>0</v>
      </c>
      <c r="O237" t="n">
        <v>0</v>
      </c>
      <c r="P237" t="n">
        <v>0</v>
      </c>
      <c r="Q237" t="n">
        <v>0</v>
      </c>
      <c r="R237" s="2" t="inlineStr"/>
    </row>
    <row r="238" ht="15" customHeight="1">
      <c r="A238" t="inlineStr">
        <is>
          <t>A 39044-2024</t>
        </is>
      </c>
      <c r="B238" s="1" t="n">
        <v>45548.47707175926</v>
      </c>
      <c r="C238" s="1" t="n">
        <v>46017</v>
      </c>
      <c r="D238" t="inlineStr">
        <is>
          <t>SKÅNE LÄN</t>
        </is>
      </c>
      <c r="E238" t="inlineStr">
        <is>
          <t>HÄSSLEHOLM</t>
        </is>
      </c>
      <c r="G238" t="n">
        <v>2.8</v>
      </c>
      <c r="H238" t="n">
        <v>0</v>
      </c>
      <c r="I238" t="n">
        <v>0</v>
      </c>
      <c r="J238" t="n">
        <v>0</v>
      </c>
      <c r="K238" t="n">
        <v>0</v>
      </c>
      <c r="L238" t="n">
        <v>0</v>
      </c>
      <c r="M238" t="n">
        <v>0</v>
      </c>
      <c r="N238" t="n">
        <v>0</v>
      </c>
      <c r="O238" t="n">
        <v>0</v>
      </c>
      <c r="P238" t="n">
        <v>0</v>
      </c>
      <c r="Q238" t="n">
        <v>0</v>
      </c>
      <c r="R238" s="2" t="inlineStr"/>
    </row>
    <row r="239" ht="15" customHeight="1">
      <c r="A239" t="inlineStr">
        <is>
          <t>A 12570-2023</t>
        </is>
      </c>
      <c r="B239" s="1" t="n">
        <v>44999</v>
      </c>
      <c r="C239" s="1" t="n">
        <v>46017</v>
      </c>
      <c r="D239" t="inlineStr">
        <is>
          <t>SKÅNE LÄN</t>
        </is>
      </c>
      <c r="E239" t="inlineStr">
        <is>
          <t>HÄSSLEHOLM</t>
        </is>
      </c>
      <c r="G239" t="n">
        <v>3.4</v>
      </c>
      <c r="H239" t="n">
        <v>0</v>
      </c>
      <c r="I239" t="n">
        <v>0</v>
      </c>
      <c r="J239" t="n">
        <v>0</v>
      </c>
      <c r="K239" t="n">
        <v>0</v>
      </c>
      <c r="L239" t="n">
        <v>0</v>
      </c>
      <c r="M239" t="n">
        <v>0</v>
      </c>
      <c r="N239" t="n">
        <v>0</v>
      </c>
      <c r="O239" t="n">
        <v>0</v>
      </c>
      <c r="P239" t="n">
        <v>0</v>
      </c>
      <c r="Q239" t="n">
        <v>0</v>
      </c>
      <c r="R239" s="2" t="inlineStr"/>
    </row>
    <row r="240" ht="15" customHeight="1">
      <c r="A240" t="inlineStr">
        <is>
          <t>A 20279-2025</t>
        </is>
      </c>
      <c r="B240" s="1" t="n">
        <v>45774.38643518519</v>
      </c>
      <c r="C240" s="1" t="n">
        <v>46017</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14926-2024</t>
        </is>
      </c>
      <c r="B241" s="1" t="n">
        <v>45398</v>
      </c>
      <c r="C241" s="1" t="n">
        <v>46017</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2688-2024</t>
        </is>
      </c>
      <c r="B242" s="1" t="n">
        <v>45314</v>
      </c>
      <c r="C242" s="1" t="n">
        <v>46017</v>
      </c>
      <c r="D242" t="inlineStr">
        <is>
          <t>SKÅNE LÄN</t>
        </is>
      </c>
      <c r="E242" t="inlineStr">
        <is>
          <t>HÄSSLEHOLM</t>
        </is>
      </c>
      <c r="F242" t="inlineStr">
        <is>
          <t>Övriga Aktiebolag</t>
        </is>
      </c>
      <c r="G242" t="n">
        <v>2.8</v>
      </c>
      <c r="H242" t="n">
        <v>0</v>
      </c>
      <c r="I242" t="n">
        <v>0</v>
      </c>
      <c r="J242" t="n">
        <v>0</v>
      </c>
      <c r="K242" t="n">
        <v>0</v>
      </c>
      <c r="L242" t="n">
        <v>0</v>
      </c>
      <c r="M242" t="n">
        <v>0</v>
      </c>
      <c r="N242" t="n">
        <v>0</v>
      </c>
      <c r="O242" t="n">
        <v>0</v>
      </c>
      <c r="P242" t="n">
        <v>0</v>
      </c>
      <c r="Q242" t="n">
        <v>0</v>
      </c>
      <c r="R242" s="2" t="inlineStr"/>
    </row>
    <row r="243" ht="15" customHeight="1">
      <c r="A243" t="inlineStr">
        <is>
          <t>A 36733-2023</t>
        </is>
      </c>
      <c r="B243" s="1" t="n">
        <v>45153.69989583334</v>
      </c>
      <c r="C243" s="1" t="n">
        <v>46017</v>
      </c>
      <c r="D243" t="inlineStr">
        <is>
          <t>SKÅNE LÄN</t>
        </is>
      </c>
      <c r="E243" t="inlineStr">
        <is>
          <t>HÄSSLEHOLM</t>
        </is>
      </c>
      <c r="G243" t="n">
        <v>4.8</v>
      </c>
      <c r="H243" t="n">
        <v>0</v>
      </c>
      <c r="I243" t="n">
        <v>0</v>
      </c>
      <c r="J243" t="n">
        <v>0</v>
      </c>
      <c r="K243" t="n">
        <v>0</v>
      </c>
      <c r="L243" t="n">
        <v>0</v>
      </c>
      <c r="M243" t="n">
        <v>0</v>
      </c>
      <c r="N243" t="n">
        <v>0</v>
      </c>
      <c r="O243" t="n">
        <v>0</v>
      </c>
      <c r="P243" t="n">
        <v>0</v>
      </c>
      <c r="Q243" t="n">
        <v>0</v>
      </c>
      <c r="R243" s="2" t="inlineStr"/>
    </row>
    <row r="244" ht="15" customHeight="1">
      <c r="A244" t="inlineStr">
        <is>
          <t>A 14255-2024</t>
        </is>
      </c>
      <c r="B244" s="1" t="n">
        <v>45393</v>
      </c>
      <c r="C244" s="1" t="n">
        <v>46017</v>
      </c>
      <c r="D244" t="inlineStr">
        <is>
          <t>SKÅNE LÄN</t>
        </is>
      </c>
      <c r="E244" t="inlineStr">
        <is>
          <t>HÄSSLEHOLM</t>
        </is>
      </c>
      <c r="G244" t="n">
        <v>11.9</v>
      </c>
      <c r="H244" t="n">
        <v>0</v>
      </c>
      <c r="I244" t="n">
        <v>0</v>
      </c>
      <c r="J244" t="n">
        <v>0</v>
      </c>
      <c r="K244" t="n">
        <v>0</v>
      </c>
      <c r="L244" t="n">
        <v>0</v>
      </c>
      <c r="M244" t="n">
        <v>0</v>
      </c>
      <c r="N244" t="n">
        <v>0</v>
      </c>
      <c r="O244" t="n">
        <v>0</v>
      </c>
      <c r="P244" t="n">
        <v>0</v>
      </c>
      <c r="Q244" t="n">
        <v>0</v>
      </c>
      <c r="R244" s="2" t="inlineStr"/>
    </row>
    <row r="245" ht="15" customHeight="1">
      <c r="A245" t="inlineStr">
        <is>
          <t>A 8244-2023</t>
        </is>
      </c>
      <c r="B245" s="1" t="n">
        <v>44974</v>
      </c>
      <c r="C245" s="1" t="n">
        <v>46017</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8246-2023</t>
        </is>
      </c>
      <c r="B246" s="1" t="n">
        <v>44974</v>
      </c>
      <c r="C246" s="1" t="n">
        <v>46017</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20058-2023</t>
        </is>
      </c>
      <c r="B247" s="1" t="n">
        <v>45054.68476851852</v>
      </c>
      <c r="C247" s="1" t="n">
        <v>46017</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10897-2023</t>
        </is>
      </c>
      <c r="B248" s="1" t="n">
        <v>44985</v>
      </c>
      <c r="C248" s="1" t="n">
        <v>46017</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34834-2023</t>
        </is>
      </c>
      <c r="B249" s="1" t="n">
        <v>45141.7199537037</v>
      </c>
      <c r="C249" s="1" t="n">
        <v>46017</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62199-2022</t>
        </is>
      </c>
      <c r="B250" s="1" t="n">
        <v>44915</v>
      </c>
      <c r="C250" s="1" t="n">
        <v>46017</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14157-2021</t>
        </is>
      </c>
      <c r="B251" s="1" t="n">
        <v>44278.43246527778</v>
      </c>
      <c r="C251" s="1" t="n">
        <v>46017</v>
      </c>
      <c r="D251" t="inlineStr">
        <is>
          <t>SKÅNE LÄN</t>
        </is>
      </c>
      <c r="E251" t="inlineStr">
        <is>
          <t>HÄSSLEHOLM</t>
        </is>
      </c>
      <c r="G251" t="n">
        <v>10.5</v>
      </c>
      <c r="H251" t="n">
        <v>0</v>
      </c>
      <c r="I251" t="n">
        <v>0</v>
      </c>
      <c r="J251" t="n">
        <v>0</v>
      </c>
      <c r="K251" t="n">
        <v>0</v>
      </c>
      <c r="L251" t="n">
        <v>0</v>
      </c>
      <c r="M251" t="n">
        <v>0</v>
      </c>
      <c r="N251" t="n">
        <v>0</v>
      </c>
      <c r="O251" t="n">
        <v>0</v>
      </c>
      <c r="P251" t="n">
        <v>0</v>
      </c>
      <c r="Q251" t="n">
        <v>0</v>
      </c>
      <c r="R251" s="2" t="inlineStr"/>
    </row>
    <row r="252" ht="15" customHeight="1">
      <c r="A252" t="inlineStr">
        <is>
          <t>A 2631-2022</t>
        </is>
      </c>
      <c r="B252" s="1" t="n">
        <v>44580</v>
      </c>
      <c r="C252" s="1" t="n">
        <v>46017</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677-2024</t>
        </is>
      </c>
      <c r="B253" s="1" t="n">
        <v>45300</v>
      </c>
      <c r="C253" s="1" t="n">
        <v>46017</v>
      </c>
      <c r="D253" t="inlineStr">
        <is>
          <t>SKÅNE LÄN</t>
        </is>
      </c>
      <c r="E253" t="inlineStr">
        <is>
          <t>HÄSSLEHOLM</t>
        </is>
      </c>
      <c r="G253" t="n">
        <v>6.8</v>
      </c>
      <c r="H253" t="n">
        <v>0</v>
      </c>
      <c r="I253" t="n">
        <v>0</v>
      </c>
      <c r="J253" t="n">
        <v>0</v>
      </c>
      <c r="K253" t="n">
        <v>0</v>
      </c>
      <c r="L253" t="n">
        <v>0</v>
      </c>
      <c r="M253" t="n">
        <v>0</v>
      </c>
      <c r="N253" t="n">
        <v>0</v>
      </c>
      <c r="O253" t="n">
        <v>0</v>
      </c>
      <c r="P253" t="n">
        <v>0</v>
      </c>
      <c r="Q253" t="n">
        <v>0</v>
      </c>
      <c r="R253" s="2" t="inlineStr"/>
    </row>
    <row r="254" ht="15" customHeight="1">
      <c r="A254" t="inlineStr">
        <is>
          <t>A 24679-2023</t>
        </is>
      </c>
      <c r="B254" s="1" t="n">
        <v>45084</v>
      </c>
      <c r="C254" s="1" t="n">
        <v>46017</v>
      </c>
      <c r="D254" t="inlineStr">
        <is>
          <t>SKÅNE LÄN</t>
        </is>
      </c>
      <c r="E254" t="inlineStr">
        <is>
          <t>HÄSSLEHOLM</t>
        </is>
      </c>
      <c r="G254" t="n">
        <v>7.1</v>
      </c>
      <c r="H254" t="n">
        <v>0</v>
      </c>
      <c r="I254" t="n">
        <v>0</v>
      </c>
      <c r="J254" t="n">
        <v>0</v>
      </c>
      <c r="K254" t="n">
        <v>0</v>
      </c>
      <c r="L254" t="n">
        <v>0</v>
      </c>
      <c r="M254" t="n">
        <v>0</v>
      </c>
      <c r="N254" t="n">
        <v>0</v>
      </c>
      <c r="O254" t="n">
        <v>0</v>
      </c>
      <c r="P254" t="n">
        <v>0</v>
      </c>
      <c r="Q254" t="n">
        <v>0</v>
      </c>
      <c r="R254" s="2" t="inlineStr"/>
    </row>
    <row r="255" ht="15" customHeight="1">
      <c r="A255" t="inlineStr">
        <is>
          <t>A 15562-2024</t>
        </is>
      </c>
      <c r="B255" s="1" t="n">
        <v>45401.64975694445</v>
      </c>
      <c r="C255" s="1" t="n">
        <v>46017</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16108-2025</t>
        </is>
      </c>
      <c r="B256" s="1" t="n">
        <v>45750.34667824074</v>
      </c>
      <c r="C256" s="1" t="n">
        <v>46017</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18580-2023</t>
        </is>
      </c>
      <c r="B257" s="1" t="n">
        <v>45043.37037037037</v>
      </c>
      <c r="C257" s="1" t="n">
        <v>46017</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17335-2024</t>
        </is>
      </c>
      <c r="B258" s="1" t="n">
        <v>45414.5687962963</v>
      </c>
      <c r="C258" s="1" t="n">
        <v>46017</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50000-2023</t>
        </is>
      </c>
      <c r="B259" s="1" t="n">
        <v>45215.4434837963</v>
      </c>
      <c r="C259" s="1" t="n">
        <v>46017</v>
      </c>
      <c r="D259" t="inlineStr">
        <is>
          <t>SKÅNE LÄN</t>
        </is>
      </c>
      <c r="E259" t="inlineStr">
        <is>
          <t>HÄSSLEHOLM</t>
        </is>
      </c>
      <c r="G259" t="n">
        <v>1.6</v>
      </c>
      <c r="H259" t="n">
        <v>0</v>
      </c>
      <c r="I259" t="n">
        <v>0</v>
      </c>
      <c r="J259" t="n">
        <v>0</v>
      </c>
      <c r="K259" t="n">
        <v>0</v>
      </c>
      <c r="L259" t="n">
        <v>0</v>
      </c>
      <c r="M259" t="n">
        <v>0</v>
      </c>
      <c r="N259" t="n">
        <v>0</v>
      </c>
      <c r="O259" t="n">
        <v>0</v>
      </c>
      <c r="P259" t="n">
        <v>0</v>
      </c>
      <c r="Q259" t="n">
        <v>0</v>
      </c>
      <c r="R259" s="2" t="inlineStr"/>
    </row>
    <row r="260" ht="15" customHeight="1">
      <c r="A260" t="inlineStr">
        <is>
          <t>A 50607-2023</t>
        </is>
      </c>
      <c r="B260" s="1" t="n">
        <v>45210</v>
      </c>
      <c r="C260" s="1" t="n">
        <v>46017</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50616-2023</t>
        </is>
      </c>
      <c r="B261" s="1" t="n">
        <v>45210</v>
      </c>
      <c r="C261" s="1" t="n">
        <v>46017</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9323-2025</t>
        </is>
      </c>
      <c r="B262" s="1" t="n">
        <v>45714.73532407408</v>
      </c>
      <c r="C262" s="1" t="n">
        <v>46017</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56986-2024</t>
        </is>
      </c>
      <c r="B263" s="1" t="n">
        <v>45626</v>
      </c>
      <c r="C263" s="1" t="n">
        <v>46017</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49111-2023</t>
        </is>
      </c>
      <c r="B264" s="1" t="n">
        <v>45210.44464120371</v>
      </c>
      <c r="C264" s="1" t="n">
        <v>46017</v>
      </c>
      <c r="D264" t="inlineStr">
        <is>
          <t>SKÅNE LÄN</t>
        </is>
      </c>
      <c r="E264" t="inlineStr">
        <is>
          <t>HÄSSLEHOLM</t>
        </is>
      </c>
      <c r="G264" t="n">
        <v>0.2</v>
      </c>
      <c r="H264" t="n">
        <v>0</v>
      </c>
      <c r="I264" t="n">
        <v>0</v>
      </c>
      <c r="J264" t="n">
        <v>0</v>
      </c>
      <c r="K264" t="n">
        <v>0</v>
      </c>
      <c r="L264" t="n">
        <v>0</v>
      </c>
      <c r="M264" t="n">
        <v>0</v>
      </c>
      <c r="N264" t="n">
        <v>0</v>
      </c>
      <c r="O264" t="n">
        <v>0</v>
      </c>
      <c r="P264" t="n">
        <v>0</v>
      </c>
      <c r="Q264" t="n">
        <v>0</v>
      </c>
      <c r="R264" s="2" t="inlineStr"/>
    </row>
    <row r="265" ht="15" customHeight="1">
      <c r="A265" t="inlineStr">
        <is>
          <t>A 23946-2023</t>
        </is>
      </c>
      <c r="B265" s="1" t="n">
        <v>45078.61601851852</v>
      </c>
      <c r="C265" s="1" t="n">
        <v>46017</v>
      </c>
      <c r="D265" t="inlineStr">
        <is>
          <t>SKÅNE LÄN</t>
        </is>
      </c>
      <c r="E265" t="inlineStr">
        <is>
          <t>HÄSSLEHOLM</t>
        </is>
      </c>
      <c r="G265" t="n">
        <v>0.2</v>
      </c>
      <c r="H265" t="n">
        <v>0</v>
      </c>
      <c r="I265" t="n">
        <v>0</v>
      </c>
      <c r="J265" t="n">
        <v>0</v>
      </c>
      <c r="K265" t="n">
        <v>0</v>
      </c>
      <c r="L265" t="n">
        <v>0</v>
      </c>
      <c r="M265" t="n">
        <v>0</v>
      </c>
      <c r="N265" t="n">
        <v>0</v>
      </c>
      <c r="O265" t="n">
        <v>0</v>
      </c>
      <c r="P265" t="n">
        <v>0</v>
      </c>
      <c r="Q265" t="n">
        <v>0</v>
      </c>
      <c r="R265" s="2" t="inlineStr"/>
    </row>
    <row r="266" ht="15" customHeight="1">
      <c r="A266" t="inlineStr">
        <is>
          <t>A 15508-2023</t>
        </is>
      </c>
      <c r="B266" s="1" t="n">
        <v>45020.50045138889</v>
      </c>
      <c r="C266" s="1" t="n">
        <v>46017</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49250-2022</t>
        </is>
      </c>
      <c r="B267" s="1" t="n">
        <v>44858</v>
      </c>
      <c r="C267" s="1" t="n">
        <v>46017</v>
      </c>
      <c r="D267" t="inlineStr">
        <is>
          <t>SKÅNE LÄN</t>
        </is>
      </c>
      <c r="E267" t="inlineStr">
        <is>
          <t>HÄSSLEHOLM</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34187-2023</t>
        </is>
      </c>
      <c r="B268" s="1" t="n">
        <v>45138</v>
      </c>
      <c r="C268" s="1" t="n">
        <v>46017</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8759-2024</t>
        </is>
      </c>
      <c r="B269" s="1" t="n">
        <v>45356.52271990741</v>
      </c>
      <c r="C269" s="1" t="n">
        <v>46017</v>
      </c>
      <c r="D269" t="inlineStr">
        <is>
          <t>SKÅNE LÄN</t>
        </is>
      </c>
      <c r="E269" t="inlineStr">
        <is>
          <t>HÄSSLEHOLM</t>
        </is>
      </c>
      <c r="G269" t="n">
        <v>5.7</v>
      </c>
      <c r="H269" t="n">
        <v>0</v>
      </c>
      <c r="I269" t="n">
        <v>0</v>
      </c>
      <c r="J269" t="n">
        <v>0</v>
      </c>
      <c r="K269" t="n">
        <v>0</v>
      </c>
      <c r="L269" t="n">
        <v>0</v>
      </c>
      <c r="M269" t="n">
        <v>0</v>
      </c>
      <c r="N269" t="n">
        <v>0</v>
      </c>
      <c r="O269" t="n">
        <v>0</v>
      </c>
      <c r="P269" t="n">
        <v>0</v>
      </c>
      <c r="Q269" t="n">
        <v>0</v>
      </c>
      <c r="R269" s="2" t="inlineStr"/>
    </row>
    <row r="270" ht="15" customHeight="1">
      <c r="A270" t="inlineStr">
        <is>
          <t>A 10020-2024</t>
        </is>
      </c>
      <c r="B270" s="1" t="n">
        <v>45363.96944444445</v>
      </c>
      <c r="C270" s="1" t="n">
        <v>46017</v>
      </c>
      <c r="D270" t="inlineStr">
        <is>
          <t>SKÅNE LÄN</t>
        </is>
      </c>
      <c r="E270" t="inlineStr">
        <is>
          <t>HÄSSLEHOLM</t>
        </is>
      </c>
      <c r="G270" t="n">
        <v>5.3</v>
      </c>
      <c r="H270" t="n">
        <v>0</v>
      </c>
      <c r="I270" t="n">
        <v>0</v>
      </c>
      <c r="J270" t="n">
        <v>0</v>
      </c>
      <c r="K270" t="n">
        <v>0</v>
      </c>
      <c r="L270" t="n">
        <v>0</v>
      </c>
      <c r="M270" t="n">
        <v>0</v>
      </c>
      <c r="N270" t="n">
        <v>0</v>
      </c>
      <c r="O270" t="n">
        <v>0</v>
      </c>
      <c r="P270" t="n">
        <v>0</v>
      </c>
      <c r="Q270" t="n">
        <v>0</v>
      </c>
      <c r="R270" s="2" t="inlineStr"/>
    </row>
    <row r="271" ht="15" customHeight="1">
      <c r="A271" t="inlineStr">
        <is>
          <t>A 11019-2025</t>
        </is>
      </c>
      <c r="B271" s="1" t="n">
        <v>45723</v>
      </c>
      <c r="C271" s="1" t="n">
        <v>46017</v>
      </c>
      <c r="D271" t="inlineStr">
        <is>
          <t>SKÅNE LÄN</t>
        </is>
      </c>
      <c r="E271" t="inlineStr">
        <is>
          <t>HÄSSLEHOLM</t>
        </is>
      </c>
      <c r="G271" t="n">
        <v>3.2</v>
      </c>
      <c r="H271" t="n">
        <v>0</v>
      </c>
      <c r="I271" t="n">
        <v>0</v>
      </c>
      <c r="J271" t="n">
        <v>0</v>
      </c>
      <c r="K271" t="n">
        <v>0</v>
      </c>
      <c r="L271" t="n">
        <v>0</v>
      </c>
      <c r="M271" t="n">
        <v>0</v>
      </c>
      <c r="N271" t="n">
        <v>0</v>
      </c>
      <c r="O271" t="n">
        <v>0</v>
      </c>
      <c r="P271" t="n">
        <v>0</v>
      </c>
      <c r="Q271" t="n">
        <v>0</v>
      </c>
      <c r="R271" s="2" t="inlineStr"/>
    </row>
    <row r="272" ht="15" customHeight="1">
      <c r="A272" t="inlineStr">
        <is>
          <t>A 56062-2024</t>
        </is>
      </c>
      <c r="B272" s="1" t="n">
        <v>45624.37105324074</v>
      </c>
      <c r="C272" s="1" t="n">
        <v>46017</v>
      </c>
      <c r="D272" t="inlineStr">
        <is>
          <t>SKÅNE LÄN</t>
        </is>
      </c>
      <c r="E272" t="inlineStr">
        <is>
          <t>HÄSSLEHOLM</t>
        </is>
      </c>
      <c r="F272" t="inlineStr">
        <is>
          <t>Övriga Aktiebolag</t>
        </is>
      </c>
      <c r="G272" t="n">
        <v>0.6</v>
      </c>
      <c r="H272" t="n">
        <v>0</v>
      </c>
      <c r="I272" t="n">
        <v>0</v>
      </c>
      <c r="J272" t="n">
        <v>0</v>
      </c>
      <c r="K272" t="n">
        <v>0</v>
      </c>
      <c r="L272" t="n">
        <v>0</v>
      </c>
      <c r="M272" t="n">
        <v>0</v>
      </c>
      <c r="N272" t="n">
        <v>0</v>
      </c>
      <c r="O272" t="n">
        <v>0</v>
      </c>
      <c r="P272" t="n">
        <v>0</v>
      </c>
      <c r="Q272" t="n">
        <v>0</v>
      </c>
      <c r="R272" s="2" t="inlineStr"/>
    </row>
    <row r="273" ht="15" customHeight="1">
      <c r="A273" t="inlineStr">
        <is>
          <t>A 45299-2024</t>
        </is>
      </c>
      <c r="B273" s="1" t="n">
        <v>45576.40599537037</v>
      </c>
      <c r="C273" s="1" t="n">
        <v>46017</v>
      </c>
      <c r="D273" t="inlineStr">
        <is>
          <t>SKÅNE LÄN</t>
        </is>
      </c>
      <c r="E273" t="inlineStr">
        <is>
          <t>HÄSSLEHOLM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34369-2023</t>
        </is>
      </c>
      <c r="B274" s="1" t="n">
        <v>45139.47817129629</v>
      </c>
      <c r="C274" s="1" t="n">
        <v>46017</v>
      </c>
      <c r="D274" t="inlineStr">
        <is>
          <t>SKÅNE LÄN</t>
        </is>
      </c>
      <c r="E274" t="inlineStr">
        <is>
          <t>HÄSSLEHOLM</t>
        </is>
      </c>
      <c r="G274" t="n">
        <v>2</v>
      </c>
      <c r="H274" t="n">
        <v>0</v>
      </c>
      <c r="I274" t="n">
        <v>0</v>
      </c>
      <c r="J274" t="n">
        <v>0</v>
      </c>
      <c r="K274" t="n">
        <v>0</v>
      </c>
      <c r="L274" t="n">
        <v>0</v>
      </c>
      <c r="M274" t="n">
        <v>0</v>
      </c>
      <c r="N274" t="n">
        <v>0</v>
      </c>
      <c r="O274" t="n">
        <v>0</v>
      </c>
      <c r="P274" t="n">
        <v>0</v>
      </c>
      <c r="Q274" t="n">
        <v>0</v>
      </c>
      <c r="R274" s="2" t="inlineStr"/>
    </row>
    <row r="275" ht="15" customHeight="1">
      <c r="A275" t="inlineStr">
        <is>
          <t>A 34299-2024</t>
        </is>
      </c>
      <c r="B275" s="1" t="n">
        <v>45524</v>
      </c>
      <c r="C275" s="1" t="n">
        <v>46017</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12936-2025</t>
        </is>
      </c>
      <c r="B276" s="1" t="n">
        <v>45734</v>
      </c>
      <c r="C276" s="1" t="n">
        <v>46017</v>
      </c>
      <c r="D276" t="inlineStr">
        <is>
          <t>SKÅNE LÄN</t>
        </is>
      </c>
      <c r="E276" t="inlineStr">
        <is>
          <t>HÄSSLEHOLM</t>
        </is>
      </c>
      <c r="G276" t="n">
        <v>1.7</v>
      </c>
      <c r="H276" t="n">
        <v>0</v>
      </c>
      <c r="I276" t="n">
        <v>0</v>
      </c>
      <c r="J276" t="n">
        <v>0</v>
      </c>
      <c r="K276" t="n">
        <v>0</v>
      </c>
      <c r="L276" t="n">
        <v>0</v>
      </c>
      <c r="M276" t="n">
        <v>0</v>
      </c>
      <c r="N276" t="n">
        <v>0</v>
      </c>
      <c r="O276" t="n">
        <v>0</v>
      </c>
      <c r="P276" t="n">
        <v>0</v>
      </c>
      <c r="Q276" t="n">
        <v>0</v>
      </c>
      <c r="R276" s="2" t="inlineStr"/>
    </row>
    <row r="277" ht="15" customHeight="1">
      <c r="A277" t="inlineStr">
        <is>
          <t>A 15423-2022</t>
        </is>
      </c>
      <c r="B277" s="1" t="n">
        <v>44659</v>
      </c>
      <c r="C277" s="1" t="n">
        <v>46017</v>
      </c>
      <c r="D277" t="inlineStr">
        <is>
          <t>SKÅNE LÄN</t>
        </is>
      </c>
      <c r="E277" t="inlineStr">
        <is>
          <t>HÄSSLEHOLM</t>
        </is>
      </c>
      <c r="F277" t="inlineStr">
        <is>
          <t>Kyrkan</t>
        </is>
      </c>
      <c r="G277" t="n">
        <v>0.9</v>
      </c>
      <c r="H277" t="n">
        <v>0</v>
      </c>
      <c r="I277" t="n">
        <v>0</v>
      </c>
      <c r="J277" t="n">
        <v>0</v>
      </c>
      <c r="K277" t="n">
        <v>0</v>
      </c>
      <c r="L277" t="n">
        <v>0</v>
      </c>
      <c r="M277" t="n">
        <v>0</v>
      </c>
      <c r="N277" t="n">
        <v>0</v>
      </c>
      <c r="O277" t="n">
        <v>0</v>
      </c>
      <c r="P277" t="n">
        <v>0</v>
      </c>
      <c r="Q277" t="n">
        <v>0</v>
      </c>
      <c r="R277" s="2" t="inlineStr"/>
    </row>
    <row r="278" ht="15" customHeight="1">
      <c r="A278" t="inlineStr">
        <is>
          <t>A 60846-2022</t>
        </is>
      </c>
      <c r="B278" s="1" t="n">
        <v>44914</v>
      </c>
      <c r="C278" s="1" t="n">
        <v>46017</v>
      </c>
      <c r="D278" t="inlineStr">
        <is>
          <t>SKÅNE LÄN</t>
        </is>
      </c>
      <c r="E278" t="inlineStr">
        <is>
          <t>HÄSSLEHOLM</t>
        </is>
      </c>
      <c r="G278" t="n">
        <v>2.1</v>
      </c>
      <c r="H278" t="n">
        <v>0</v>
      </c>
      <c r="I278" t="n">
        <v>0</v>
      </c>
      <c r="J278" t="n">
        <v>0</v>
      </c>
      <c r="K278" t="n">
        <v>0</v>
      </c>
      <c r="L278" t="n">
        <v>0</v>
      </c>
      <c r="M278" t="n">
        <v>0</v>
      </c>
      <c r="N278" t="n">
        <v>0</v>
      </c>
      <c r="O278" t="n">
        <v>0</v>
      </c>
      <c r="P278" t="n">
        <v>0</v>
      </c>
      <c r="Q278" t="n">
        <v>0</v>
      </c>
      <c r="R278" s="2" t="inlineStr"/>
    </row>
    <row r="279" ht="15" customHeight="1">
      <c r="A279" t="inlineStr">
        <is>
          <t>A 54408-2024</t>
        </is>
      </c>
      <c r="B279" s="1" t="n">
        <v>45617.47263888889</v>
      </c>
      <c r="C279" s="1" t="n">
        <v>46017</v>
      </c>
      <c r="D279" t="inlineStr">
        <is>
          <t>SKÅNE LÄN</t>
        </is>
      </c>
      <c r="E279" t="inlineStr">
        <is>
          <t>HÄSSLEHOLM</t>
        </is>
      </c>
      <c r="G279" t="n">
        <v>1.5</v>
      </c>
      <c r="H279" t="n">
        <v>0</v>
      </c>
      <c r="I279" t="n">
        <v>0</v>
      </c>
      <c r="J279" t="n">
        <v>0</v>
      </c>
      <c r="K279" t="n">
        <v>0</v>
      </c>
      <c r="L279" t="n">
        <v>0</v>
      </c>
      <c r="M279" t="n">
        <v>0</v>
      </c>
      <c r="N279" t="n">
        <v>0</v>
      </c>
      <c r="O279" t="n">
        <v>0</v>
      </c>
      <c r="P279" t="n">
        <v>0</v>
      </c>
      <c r="Q279" t="n">
        <v>0</v>
      </c>
      <c r="R279" s="2" t="inlineStr"/>
    </row>
    <row r="280" ht="15" customHeight="1">
      <c r="A280" t="inlineStr">
        <is>
          <t>A 8378-2023</t>
        </is>
      </c>
      <c r="B280" s="1" t="n">
        <v>44971</v>
      </c>
      <c r="C280" s="1" t="n">
        <v>46017</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14008-2023</t>
        </is>
      </c>
      <c r="B281" s="1" t="n">
        <v>45008.56725694444</v>
      </c>
      <c r="C281" s="1" t="n">
        <v>46017</v>
      </c>
      <c r="D281" t="inlineStr">
        <is>
          <t>SKÅNE LÄN</t>
        </is>
      </c>
      <c r="E281" t="inlineStr">
        <is>
          <t>HÄSSLEHOLM</t>
        </is>
      </c>
      <c r="G281" t="n">
        <v>3.3</v>
      </c>
      <c r="H281" t="n">
        <v>0</v>
      </c>
      <c r="I281" t="n">
        <v>0</v>
      </c>
      <c r="J281" t="n">
        <v>0</v>
      </c>
      <c r="K281" t="n">
        <v>0</v>
      </c>
      <c r="L281" t="n">
        <v>0</v>
      </c>
      <c r="M281" t="n">
        <v>0</v>
      </c>
      <c r="N281" t="n">
        <v>0</v>
      </c>
      <c r="O281" t="n">
        <v>0</v>
      </c>
      <c r="P281" t="n">
        <v>0</v>
      </c>
      <c r="Q281" t="n">
        <v>0</v>
      </c>
      <c r="R281" s="2" t="inlineStr"/>
    </row>
    <row r="282" ht="15" customHeight="1">
      <c r="A282" t="inlineStr">
        <is>
          <t>A 60704-2023</t>
        </is>
      </c>
      <c r="B282" s="1" t="n">
        <v>45260.51340277777</v>
      </c>
      <c r="C282" s="1" t="n">
        <v>46017</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61569-2023</t>
        </is>
      </c>
      <c r="B283" s="1" t="n">
        <v>45265</v>
      </c>
      <c r="C283" s="1" t="n">
        <v>46017</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20493-2024</t>
        </is>
      </c>
      <c r="B284" s="1" t="n">
        <v>45435</v>
      </c>
      <c r="C284" s="1" t="n">
        <v>46017</v>
      </c>
      <c r="D284" t="inlineStr">
        <is>
          <t>SKÅNE LÄN</t>
        </is>
      </c>
      <c r="E284" t="inlineStr">
        <is>
          <t>HÄSSLEHOLM</t>
        </is>
      </c>
      <c r="G284" t="n">
        <v>1.2</v>
      </c>
      <c r="H284" t="n">
        <v>0</v>
      </c>
      <c r="I284" t="n">
        <v>0</v>
      </c>
      <c r="J284" t="n">
        <v>0</v>
      </c>
      <c r="K284" t="n">
        <v>0</v>
      </c>
      <c r="L284" t="n">
        <v>0</v>
      </c>
      <c r="M284" t="n">
        <v>0</v>
      </c>
      <c r="N284" t="n">
        <v>0</v>
      </c>
      <c r="O284" t="n">
        <v>0</v>
      </c>
      <c r="P284" t="n">
        <v>0</v>
      </c>
      <c r="Q284" t="n">
        <v>0</v>
      </c>
      <c r="R284" s="2" t="inlineStr"/>
    </row>
    <row r="285" ht="15" customHeight="1">
      <c r="A285" t="inlineStr">
        <is>
          <t>A 13851-2025</t>
        </is>
      </c>
      <c r="B285" s="1" t="n">
        <v>45737.56777777777</v>
      </c>
      <c r="C285" s="1" t="n">
        <v>46017</v>
      </c>
      <c r="D285" t="inlineStr">
        <is>
          <t>SKÅNE LÄN</t>
        </is>
      </c>
      <c r="E285" t="inlineStr">
        <is>
          <t>HÄSSLEHOLM</t>
        </is>
      </c>
      <c r="G285" t="n">
        <v>3</v>
      </c>
      <c r="H285" t="n">
        <v>0</v>
      </c>
      <c r="I285" t="n">
        <v>0</v>
      </c>
      <c r="J285" t="n">
        <v>0</v>
      </c>
      <c r="K285" t="n">
        <v>0</v>
      </c>
      <c r="L285" t="n">
        <v>0</v>
      </c>
      <c r="M285" t="n">
        <v>0</v>
      </c>
      <c r="N285" t="n">
        <v>0</v>
      </c>
      <c r="O285" t="n">
        <v>0</v>
      </c>
      <c r="P285" t="n">
        <v>0</v>
      </c>
      <c r="Q285" t="n">
        <v>0</v>
      </c>
      <c r="R285" s="2" t="inlineStr"/>
    </row>
    <row r="286" ht="15" customHeight="1">
      <c r="A286" t="inlineStr">
        <is>
          <t>A 8749-2024</t>
        </is>
      </c>
      <c r="B286" s="1" t="n">
        <v>45356.50387731481</v>
      </c>
      <c r="C286" s="1" t="n">
        <v>46017</v>
      </c>
      <c r="D286" t="inlineStr">
        <is>
          <t>SKÅNE LÄN</t>
        </is>
      </c>
      <c r="E286" t="inlineStr">
        <is>
          <t>HÄSSLEHOLM</t>
        </is>
      </c>
      <c r="G286" t="n">
        <v>2.9</v>
      </c>
      <c r="H286" t="n">
        <v>0</v>
      </c>
      <c r="I286" t="n">
        <v>0</v>
      </c>
      <c r="J286" t="n">
        <v>0</v>
      </c>
      <c r="K286" t="n">
        <v>0</v>
      </c>
      <c r="L286" t="n">
        <v>0</v>
      </c>
      <c r="M286" t="n">
        <v>0</v>
      </c>
      <c r="N286" t="n">
        <v>0</v>
      </c>
      <c r="O286" t="n">
        <v>0</v>
      </c>
      <c r="P286" t="n">
        <v>0</v>
      </c>
      <c r="Q286" t="n">
        <v>0</v>
      </c>
      <c r="R286" s="2" t="inlineStr"/>
    </row>
    <row r="287" ht="15" customHeight="1">
      <c r="A287" t="inlineStr">
        <is>
          <t>A 8752-2024</t>
        </is>
      </c>
      <c r="B287" s="1" t="n">
        <v>45356</v>
      </c>
      <c r="C287" s="1" t="n">
        <v>46017</v>
      </c>
      <c r="D287" t="inlineStr">
        <is>
          <t>SKÅNE LÄN</t>
        </is>
      </c>
      <c r="E287" t="inlineStr">
        <is>
          <t>HÄSSLEHOLM</t>
        </is>
      </c>
      <c r="G287" t="n">
        <v>3.4</v>
      </c>
      <c r="H287" t="n">
        <v>0</v>
      </c>
      <c r="I287" t="n">
        <v>0</v>
      </c>
      <c r="J287" t="n">
        <v>0</v>
      </c>
      <c r="K287" t="n">
        <v>0</v>
      </c>
      <c r="L287" t="n">
        <v>0</v>
      </c>
      <c r="M287" t="n">
        <v>0</v>
      </c>
      <c r="N287" t="n">
        <v>0</v>
      </c>
      <c r="O287" t="n">
        <v>0</v>
      </c>
      <c r="P287" t="n">
        <v>0</v>
      </c>
      <c r="Q287" t="n">
        <v>0</v>
      </c>
      <c r="R287" s="2" t="inlineStr"/>
    </row>
    <row r="288" ht="15" customHeight="1">
      <c r="A288" t="inlineStr">
        <is>
          <t>A 42906-2022</t>
        </is>
      </c>
      <c r="B288" s="1" t="n">
        <v>44833</v>
      </c>
      <c r="C288" s="1" t="n">
        <v>46017</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41874-2024</t>
        </is>
      </c>
      <c r="B289" s="1" t="n">
        <v>45561</v>
      </c>
      <c r="C289" s="1" t="n">
        <v>46017</v>
      </c>
      <c r="D289" t="inlineStr">
        <is>
          <t>SKÅNE LÄN</t>
        </is>
      </c>
      <c r="E289" t="inlineStr">
        <is>
          <t>HÄSSLEHOLM</t>
        </is>
      </c>
      <c r="G289" t="n">
        <v>1</v>
      </c>
      <c r="H289" t="n">
        <v>0</v>
      </c>
      <c r="I289" t="n">
        <v>0</v>
      </c>
      <c r="J289" t="n">
        <v>0</v>
      </c>
      <c r="K289" t="n">
        <v>0</v>
      </c>
      <c r="L289" t="n">
        <v>0</v>
      </c>
      <c r="M289" t="n">
        <v>0</v>
      </c>
      <c r="N289" t="n">
        <v>0</v>
      </c>
      <c r="O289" t="n">
        <v>0</v>
      </c>
      <c r="P289" t="n">
        <v>0</v>
      </c>
      <c r="Q289" t="n">
        <v>0</v>
      </c>
      <c r="R289" s="2" t="inlineStr"/>
    </row>
    <row r="290" ht="15" customHeight="1">
      <c r="A290" t="inlineStr">
        <is>
          <t>A 11798-2022</t>
        </is>
      </c>
      <c r="B290" s="1" t="n">
        <v>44634.64900462963</v>
      </c>
      <c r="C290" s="1" t="n">
        <v>46017</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15036-2024</t>
        </is>
      </c>
      <c r="B291" s="1" t="n">
        <v>45399.48100694444</v>
      </c>
      <c r="C291" s="1" t="n">
        <v>46017</v>
      </c>
      <c r="D291" t="inlineStr">
        <is>
          <t>SKÅNE LÄN</t>
        </is>
      </c>
      <c r="E291" t="inlineStr">
        <is>
          <t>HÄSSLEHOLM</t>
        </is>
      </c>
      <c r="G291" t="n">
        <v>1.6</v>
      </c>
      <c r="H291" t="n">
        <v>0</v>
      </c>
      <c r="I291" t="n">
        <v>0</v>
      </c>
      <c r="J291" t="n">
        <v>0</v>
      </c>
      <c r="K291" t="n">
        <v>0</v>
      </c>
      <c r="L291" t="n">
        <v>0</v>
      </c>
      <c r="M291" t="n">
        <v>0</v>
      </c>
      <c r="N291" t="n">
        <v>0</v>
      </c>
      <c r="O291" t="n">
        <v>0</v>
      </c>
      <c r="P291" t="n">
        <v>0</v>
      </c>
      <c r="Q291" t="n">
        <v>0</v>
      </c>
      <c r="R291" s="2" t="inlineStr"/>
    </row>
    <row r="292" ht="15" customHeight="1">
      <c r="A292" t="inlineStr">
        <is>
          <t>A 315-2022</t>
        </is>
      </c>
      <c r="B292" s="1" t="n">
        <v>44565.55630787037</v>
      </c>
      <c r="C292" s="1" t="n">
        <v>46017</v>
      </c>
      <c r="D292" t="inlineStr">
        <is>
          <t>SKÅNE LÄN</t>
        </is>
      </c>
      <c r="E292" t="inlineStr">
        <is>
          <t>HÄSSLEHOLM</t>
        </is>
      </c>
      <c r="G292" t="n">
        <v>0.4</v>
      </c>
      <c r="H292" t="n">
        <v>0</v>
      </c>
      <c r="I292" t="n">
        <v>0</v>
      </c>
      <c r="J292" t="n">
        <v>0</v>
      </c>
      <c r="K292" t="n">
        <v>0</v>
      </c>
      <c r="L292" t="n">
        <v>0</v>
      </c>
      <c r="M292" t="n">
        <v>0</v>
      </c>
      <c r="N292" t="n">
        <v>0</v>
      </c>
      <c r="O292" t="n">
        <v>0</v>
      </c>
      <c r="P292" t="n">
        <v>0</v>
      </c>
      <c r="Q292" t="n">
        <v>0</v>
      </c>
      <c r="R292" s="2" t="inlineStr"/>
    </row>
    <row r="293" ht="15" customHeight="1">
      <c r="A293" t="inlineStr">
        <is>
          <t>A 13890-2024</t>
        </is>
      </c>
      <c r="B293" s="1" t="n">
        <v>45391</v>
      </c>
      <c r="C293" s="1" t="n">
        <v>46017</v>
      </c>
      <c r="D293" t="inlineStr">
        <is>
          <t>SKÅNE LÄN</t>
        </is>
      </c>
      <c r="E293" t="inlineStr">
        <is>
          <t>HÄSSLEHOLM</t>
        </is>
      </c>
      <c r="F293" t="inlineStr">
        <is>
          <t>Kommuner</t>
        </is>
      </c>
      <c r="G293" t="n">
        <v>1.4</v>
      </c>
      <c r="H293" t="n">
        <v>0</v>
      </c>
      <c r="I293" t="n">
        <v>0</v>
      </c>
      <c r="J293" t="n">
        <v>0</v>
      </c>
      <c r="K293" t="n">
        <v>0</v>
      </c>
      <c r="L293" t="n">
        <v>0</v>
      </c>
      <c r="M293" t="n">
        <v>0</v>
      </c>
      <c r="N293" t="n">
        <v>0</v>
      </c>
      <c r="O293" t="n">
        <v>0</v>
      </c>
      <c r="P293" t="n">
        <v>0</v>
      </c>
      <c r="Q293" t="n">
        <v>0</v>
      </c>
      <c r="R293" s="2" t="inlineStr"/>
    </row>
    <row r="294" ht="15" customHeight="1">
      <c r="A294" t="inlineStr">
        <is>
          <t>A 39223-2024</t>
        </is>
      </c>
      <c r="B294" s="1" t="n">
        <v>45550</v>
      </c>
      <c r="C294" s="1" t="n">
        <v>46017</v>
      </c>
      <c r="D294" t="inlineStr">
        <is>
          <t>SKÅNE LÄN</t>
        </is>
      </c>
      <c r="E294" t="inlineStr">
        <is>
          <t>HÄSSLEHOLM</t>
        </is>
      </c>
      <c r="G294" t="n">
        <v>3.1</v>
      </c>
      <c r="H294" t="n">
        <v>0</v>
      </c>
      <c r="I294" t="n">
        <v>0</v>
      </c>
      <c r="J294" t="n">
        <v>0</v>
      </c>
      <c r="K294" t="n">
        <v>0</v>
      </c>
      <c r="L294" t="n">
        <v>0</v>
      </c>
      <c r="M294" t="n">
        <v>0</v>
      </c>
      <c r="N294" t="n">
        <v>0</v>
      </c>
      <c r="O294" t="n">
        <v>0</v>
      </c>
      <c r="P294" t="n">
        <v>0</v>
      </c>
      <c r="Q294" t="n">
        <v>0</v>
      </c>
      <c r="R294" s="2" t="inlineStr"/>
    </row>
    <row r="295" ht="15" customHeight="1">
      <c r="A295" t="inlineStr">
        <is>
          <t>A 31161-2024</t>
        </is>
      </c>
      <c r="B295" s="1" t="n">
        <v>45503</v>
      </c>
      <c r="C295" s="1" t="n">
        <v>46017</v>
      </c>
      <c r="D295" t="inlineStr">
        <is>
          <t>SKÅNE LÄN</t>
        </is>
      </c>
      <c r="E295" t="inlineStr">
        <is>
          <t>HÄSSLEHOLM</t>
        </is>
      </c>
      <c r="G295" t="n">
        <v>1.5</v>
      </c>
      <c r="H295" t="n">
        <v>0</v>
      </c>
      <c r="I295" t="n">
        <v>0</v>
      </c>
      <c r="J295" t="n">
        <v>0</v>
      </c>
      <c r="K295" t="n">
        <v>0</v>
      </c>
      <c r="L295" t="n">
        <v>0</v>
      </c>
      <c r="M295" t="n">
        <v>0</v>
      </c>
      <c r="N295" t="n">
        <v>0</v>
      </c>
      <c r="O295" t="n">
        <v>0</v>
      </c>
      <c r="P295" t="n">
        <v>0</v>
      </c>
      <c r="Q295" t="n">
        <v>0</v>
      </c>
      <c r="R295" s="2" t="inlineStr"/>
    </row>
    <row r="296" ht="15" customHeight="1">
      <c r="A296" t="inlineStr">
        <is>
          <t>A 6122-2021</t>
        </is>
      </c>
      <c r="B296" s="1" t="n">
        <v>44232.55091435185</v>
      </c>
      <c r="C296" s="1" t="n">
        <v>46017</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33067-2024</t>
        </is>
      </c>
      <c r="B297" s="1" t="n">
        <v>45517.6520949074</v>
      </c>
      <c r="C297" s="1" t="n">
        <v>46017</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58915-2023</t>
        </is>
      </c>
      <c r="B298" s="1" t="n">
        <v>45250</v>
      </c>
      <c r="C298" s="1" t="n">
        <v>46017</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18648-2021</t>
        </is>
      </c>
      <c r="B299" s="1" t="n">
        <v>44306.70583333333</v>
      </c>
      <c r="C299" s="1" t="n">
        <v>46017</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56989-2021</t>
        </is>
      </c>
      <c r="B300" s="1" t="n">
        <v>44482</v>
      </c>
      <c r="C300" s="1" t="n">
        <v>46017</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20494-2024</t>
        </is>
      </c>
      <c r="B301" s="1" t="n">
        <v>45435</v>
      </c>
      <c r="C301" s="1" t="n">
        <v>46017</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13932-2023</t>
        </is>
      </c>
      <c r="B302" s="1" t="n">
        <v>45008.43935185186</v>
      </c>
      <c r="C302" s="1" t="n">
        <v>46017</v>
      </c>
      <c r="D302" t="inlineStr">
        <is>
          <t>SKÅNE LÄN</t>
        </is>
      </c>
      <c r="E302" t="inlineStr">
        <is>
          <t>HÄSSLEHOLM</t>
        </is>
      </c>
      <c r="G302" t="n">
        <v>3.3</v>
      </c>
      <c r="H302" t="n">
        <v>0</v>
      </c>
      <c r="I302" t="n">
        <v>0</v>
      </c>
      <c r="J302" t="n">
        <v>0</v>
      </c>
      <c r="K302" t="n">
        <v>0</v>
      </c>
      <c r="L302" t="n">
        <v>0</v>
      </c>
      <c r="M302" t="n">
        <v>0</v>
      </c>
      <c r="N302" t="n">
        <v>0</v>
      </c>
      <c r="O302" t="n">
        <v>0</v>
      </c>
      <c r="P302" t="n">
        <v>0</v>
      </c>
      <c r="Q302" t="n">
        <v>0</v>
      </c>
      <c r="R302" s="2" t="inlineStr"/>
    </row>
    <row r="303" ht="15" customHeight="1">
      <c r="A303" t="inlineStr">
        <is>
          <t>A 57033-2022</t>
        </is>
      </c>
      <c r="B303" s="1" t="n">
        <v>44895.31270833333</v>
      </c>
      <c r="C303" s="1" t="n">
        <v>46017</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51159-2021</t>
        </is>
      </c>
      <c r="B304" s="1" t="n">
        <v>44461</v>
      </c>
      <c r="C304" s="1" t="n">
        <v>46017</v>
      </c>
      <c r="D304" t="inlineStr">
        <is>
          <t>SKÅNE LÄN</t>
        </is>
      </c>
      <c r="E304" t="inlineStr">
        <is>
          <t>HÄSSLEHOLM</t>
        </is>
      </c>
      <c r="F304" t="inlineStr">
        <is>
          <t>Kommuner</t>
        </is>
      </c>
      <c r="G304" t="n">
        <v>0.8</v>
      </c>
      <c r="H304" t="n">
        <v>0</v>
      </c>
      <c r="I304" t="n">
        <v>0</v>
      </c>
      <c r="J304" t="n">
        <v>0</v>
      </c>
      <c r="K304" t="n">
        <v>0</v>
      </c>
      <c r="L304" t="n">
        <v>0</v>
      </c>
      <c r="M304" t="n">
        <v>0</v>
      </c>
      <c r="N304" t="n">
        <v>0</v>
      </c>
      <c r="O304" t="n">
        <v>0</v>
      </c>
      <c r="P304" t="n">
        <v>0</v>
      </c>
      <c r="Q304" t="n">
        <v>0</v>
      </c>
      <c r="R304" s="2" t="inlineStr"/>
    </row>
    <row r="305" ht="15" customHeight="1">
      <c r="A305" t="inlineStr">
        <is>
          <t>A 32008-2024</t>
        </is>
      </c>
      <c r="B305" s="1" t="n">
        <v>45510</v>
      </c>
      <c r="C305" s="1" t="n">
        <v>46017</v>
      </c>
      <c r="D305" t="inlineStr">
        <is>
          <t>SKÅNE LÄN</t>
        </is>
      </c>
      <c r="E305" t="inlineStr">
        <is>
          <t>HÄSSLEHOLM</t>
        </is>
      </c>
      <c r="G305" t="n">
        <v>5.1</v>
      </c>
      <c r="H305" t="n">
        <v>0</v>
      </c>
      <c r="I305" t="n">
        <v>0</v>
      </c>
      <c r="J305" t="n">
        <v>0</v>
      </c>
      <c r="K305" t="n">
        <v>0</v>
      </c>
      <c r="L305" t="n">
        <v>0</v>
      </c>
      <c r="M305" t="n">
        <v>0</v>
      </c>
      <c r="N305" t="n">
        <v>0</v>
      </c>
      <c r="O305" t="n">
        <v>0</v>
      </c>
      <c r="P305" t="n">
        <v>0</v>
      </c>
      <c r="Q305" t="n">
        <v>0</v>
      </c>
      <c r="R305" s="2" t="inlineStr"/>
    </row>
    <row r="306" ht="15" customHeight="1">
      <c r="A306" t="inlineStr">
        <is>
          <t>A 44697-2021</t>
        </is>
      </c>
      <c r="B306" s="1" t="n">
        <v>44438</v>
      </c>
      <c r="C306" s="1" t="n">
        <v>46017</v>
      </c>
      <c r="D306" t="inlineStr">
        <is>
          <t>SKÅNE LÄN</t>
        </is>
      </c>
      <c r="E306" t="inlineStr">
        <is>
          <t>HÄSSLEHOLM</t>
        </is>
      </c>
      <c r="G306" t="n">
        <v>4.8</v>
      </c>
      <c r="H306" t="n">
        <v>0</v>
      </c>
      <c r="I306" t="n">
        <v>0</v>
      </c>
      <c r="J306" t="n">
        <v>0</v>
      </c>
      <c r="K306" t="n">
        <v>0</v>
      </c>
      <c r="L306" t="n">
        <v>0</v>
      </c>
      <c r="M306" t="n">
        <v>0</v>
      </c>
      <c r="N306" t="n">
        <v>0</v>
      </c>
      <c r="O306" t="n">
        <v>0</v>
      </c>
      <c r="P306" t="n">
        <v>0</v>
      </c>
      <c r="Q306" t="n">
        <v>0</v>
      </c>
      <c r="R306" s="2" t="inlineStr"/>
    </row>
    <row r="307" ht="15" customHeight="1">
      <c r="A307" t="inlineStr">
        <is>
          <t>A 38888-2023</t>
        </is>
      </c>
      <c r="B307" s="1" t="n">
        <v>45161</v>
      </c>
      <c r="C307" s="1" t="n">
        <v>46017</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53067-2022</t>
        </is>
      </c>
      <c r="B308" s="1" t="n">
        <v>44873</v>
      </c>
      <c r="C308" s="1" t="n">
        <v>46017</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17138-2025</t>
        </is>
      </c>
      <c r="B309" s="1" t="n">
        <v>45755.80378472222</v>
      </c>
      <c r="C309" s="1" t="n">
        <v>46017</v>
      </c>
      <c r="D309" t="inlineStr">
        <is>
          <t>SKÅNE LÄN</t>
        </is>
      </c>
      <c r="E309" t="inlineStr">
        <is>
          <t>HÄSSLEHOLM</t>
        </is>
      </c>
      <c r="G309" t="n">
        <v>1.1</v>
      </c>
      <c r="H309" t="n">
        <v>0</v>
      </c>
      <c r="I309" t="n">
        <v>0</v>
      </c>
      <c r="J309" t="n">
        <v>0</v>
      </c>
      <c r="K309" t="n">
        <v>0</v>
      </c>
      <c r="L309" t="n">
        <v>0</v>
      </c>
      <c r="M309" t="n">
        <v>0</v>
      </c>
      <c r="N309" t="n">
        <v>0</v>
      </c>
      <c r="O309" t="n">
        <v>0</v>
      </c>
      <c r="P309" t="n">
        <v>0</v>
      </c>
      <c r="Q309" t="n">
        <v>0</v>
      </c>
      <c r="R309" s="2" t="inlineStr"/>
    </row>
    <row r="310" ht="15" customHeight="1">
      <c r="A310" t="inlineStr">
        <is>
          <t>A 61929-2023</t>
        </is>
      </c>
      <c r="B310" s="1" t="n">
        <v>45266</v>
      </c>
      <c r="C310" s="1" t="n">
        <v>46017</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15512-2025</t>
        </is>
      </c>
      <c r="B311" s="1" t="n">
        <v>45747</v>
      </c>
      <c r="C311" s="1" t="n">
        <v>46017</v>
      </c>
      <c r="D311" t="inlineStr">
        <is>
          <t>SKÅNE LÄN</t>
        </is>
      </c>
      <c r="E311" t="inlineStr">
        <is>
          <t>HÄSSLEHOLM</t>
        </is>
      </c>
      <c r="G311" t="n">
        <v>3.5</v>
      </c>
      <c r="H311" t="n">
        <v>0</v>
      </c>
      <c r="I311" t="n">
        <v>0</v>
      </c>
      <c r="J311" t="n">
        <v>0</v>
      </c>
      <c r="K311" t="n">
        <v>0</v>
      </c>
      <c r="L311" t="n">
        <v>0</v>
      </c>
      <c r="M311" t="n">
        <v>0</v>
      </c>
      <c r="N311" t="n">
        <v>0</v>
      </c>
      <c r="O311" t="n">
        <v>0</v>
      </c>
      <c r="P311" t="n">
        <v>0</v>
      </c>
      <c r="Q311" t="n">
        <v>0</v>
      </c>
      <c r="R311" s="2" t="inlineStr"/>
    </row>
    <row r="312" ht="15" customHeight="1">
      <c r="A312" t="inlineStr">
        <is>
          <t>A 25383-2021</t>
        </is>
      </c>
      <c r="B312" s="1" t="n">
        <v>44342</v>
      </c>
      <c r="C312" s="1" t="n">
        <v>46017</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1120-2024</t>
        </is>
      </c>
      <c r="B313" s="1" t="n">
        <v>45302.4452662037</v>
      </c>
      <c r="C313" s="1" t="n">
        <v>46017</v>
      </c>
      <c r="D313" t="inlineStr">
        <is>
          <t>SKÅNE LÄN</t>
        </is>
      </c>
      <c r="E313" t="inlineStr">
        <is>
          <t>HÄSSLEHOLM</t>
        </is>
      </c>
      <c r="G313" t="n">
        <v>2.7</v>
      </c>
      <c r="H313" t="n">
        <v>0</v>
      </c>
      <c r="I313" t="n">
        <v>0</v>
      </c>
      <c r="J313" t="n">
        <v>0</v>
      </c>
      <c r="K313" t="n">
        <v>0</v>
      </c>
      <c r="L313" t="n">
        <v>0</v>
      </c>
      <c r="M313" t="n">
        <v>0</v>
      </c>
      <c r="N313" t="n">
        <v>0</v>
      </c>
      <c r="O313" t="n">
        <v>0</v>
      </c>
      <c r="P313" t="n">
        <v>0</v>
      </c>
      <c r="Q313" t="n">
        <v>0</v>
      </c>
      <c r="R313" s="2" t="inlineStr"/>
    </row>
    <row r="314" ht="15" customHeight="1">
      <c r="A314" t="inlineStr">
        <is>
          <t>A 27177-2024</t>
        </is>
      </c>
      <c r="B314" s="1" t="n">
        <v>45471.57201388889</v>
      </c>
      <c r="C314" s="1" t="n">
        <v>46017</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42428-2022</t>
        </is>
      </c>
      <c r="B315" s="1" t="n">
        <v>44831</v>
      </c>
      <c r="C315" s="1" t="n">
        <v>46017</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22595-2024</t>
        </is>
      </c>
      <c r="B316" s="1" t="n">
        <v>45447.61053240741</v>
      </c>
      <c r="C316" s="1" t="n">
        <v>46017</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5992-2022</t>
        </is>
      </c>
      <c r="B317" s="1" t="n">
        <v>44599</v>
      </c>
      <c r="C317" s="1" t="n">
        <v>46017</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14700-2023</t>
        </is>
      </c>
      <c r="B318" s="1" t="n">
        <v>45014.38376157408</v>
      </c>
      <c r="C318" s="1" t="n">
        <v>46017</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3531-2023</t>
        </is>
      </c>
      <c r="B319" s="1" t="n">
        <v>44950</v>
      </c>
      <c r="C319" s="1" t="n">
        <v>46017</v>
      </c>
      <c r="D319" t="inlineStr">
        <is>
          <t>SKÅNE LÄN</t>
        </is>
      </c>
      <c r="E319" t="inlineStr">
        <is>
          <t>HÄSSLEHOLM</t>
        </is>
      </c>
      <c r="G319" t="n">
        <v>10.1</v>
      </c>
      <c r="H319" t="n">
        <v>0</v>
      </c>
      <c r="I319" t="n">
        <v>0</v>
      </c>
      <c r="J319" t="n">
        <v>0</v>
      </c>
      <c r="K319" t="n">
        <v>0</v>
      </c>
      <c r="L319" t="n">
        <v>0</v>
      </c>
      <c r="M319" t="n">
        <v>0</v>
      </c>
      <c r="N319" t="n">
        <v>0</v>
      </c>
      <c r="O319" t="n">
        <v>0</v>
      </c>
      <c r="P319" t="n">
        <v>0</v>
      </c>
      <c r="Q319" t="n">
        <v>0</v>
      </c>
      <c r="R319" s="2" t="inlineStr"/>
    </row>
    <row r="320" ht="15" customHeight="1">
      <c r="A320" t="inlineStr">
        <is>
          <t>A 11240-2023</t>
        </is>
      </c>
      <c r="B320" s="1" t="n">
        <v>44992</v>
      </c>
      <c r="C320" s="1" t="n">
        <v>46017</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4579-2025</t>
        </is>
      </c>
      <c r="B321" s="1" t="n">
        <v>45687.5009375</v>
      </c>
      <c r="C321" s="1" t="n">
        <v>46017</v>
      </c>
      <c r="D321" t="inlineStr">
        <is>
          <t>SKÅNE LÄN</t>
        </is>
      </c>
      <c r="E321" t="inlineStr">
        <is>
          <t>HÄSSLEHOLM</t>
        </is>
      </c>
      <c r="G321" t="n">
        <v>2.8</v>
      </c>
      <c r="H321" t="n">
        <v>0</v>
      </c>
      <c r="I321" t="n">
        <v>0</v>
      </c>
      <c r="J321" t="n">
        <v>0</v>
      </c>
      <c r="K321" t="n">
        <v>0</v>
      </c>
      <c r="L321" t="n">
        <v>0</v>
      </c>
      <c r="M321" t="n">
        <v>0</v>
      </c>
      <c r="N321" t="n">
        <v>0</v>
      </c>
      <c r="O321" t="n">
        <v>0</v>
      </c>
      <c r="P321" t="n">
        <v>0</v>
      </c>
      <c r="Q321" t="n">
        <v>0</v>
      </c>
      <c r="R321" s="2" t="inlineStr"/>
    </row>
    <row r="322" ht="15" customHeight="1">
      <c r="A322" t="inlineStr">
        <is>
          <t>A 1344-2021</t>
        </is>
      </c>
      <c r="B322" s="1" t="n">
        <v>44208</v>
      </c>
      <c r="C322" s="1" t="n">
        <v>46017</v>
      </c>
      <c r="D322" t="inlineStr">
        <is>
          <t>SKÅNE LÄN</t>
        </is>
      </c>
      <c r="E322" t="inlineStr">
        <is>
          <t>HÄSSLEHOLM</t>
        </is>
      </c>
      <c r="G322" t="n">
        <v>1.3</v>
      </c>
      <c r="H322" t="n">
        <v>0</v>
      </c>
      <c r="I322" t="n">
        <v>0</v>
      </c>
      <c r="J322" t="n">
        <v>0</v>
      </c>
      <c r="K322" t="n">
        <v>0</v>
      </c>
      <c r="L322" t="n">
        <v>0</v>
      </c>
      <c r="M322" t="n">
        <v>0</v>
      </c>
      <c r="N322" t="n">
        <v>0</v>
      </c>
      <c r="O322" t="n">
        <v>0</v>
      </c>
      <c r="P322" t="n">
        <v>0</v>
      </c>
      <c r="Q322" t="n">
        <v>0</v>
      </c>
      <c r="R322" s="2" t="inlineStr"/>
    </row>
    <row r="323" ht="15" customHeight="1">
      <c r="A323" t="inlineStr">
        <is>
          <t>A 38148-2022</t>
        </is>
      </c>
      <c r="B323" s="1" t="n">
        <v>44811</v>
      </c>
      <c r="C323" s="1" t="n">
        <v>46017</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27330-2021</t>
        </is>
      </c>
      <c r="B324" s="1" t="n">
        <v>44351</v>
      </c>
      <c r="C324" s="1" t="n">
        <v>46017</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18623-2023</t>
        </is>
      </c>
      <c r="B325" s="1" t="n">
        <v>45043</v>
      </c>
      <c r="C325" s="1" t="n">
        <v>46017</v>
      </c>
      <c r="D325" t="inlineStr">
        <is>
          <t>SKÅNE LÄN</t>
        </is>
      </c>
      <c r="E325" t="inlineStr">
        <is>
          <t>HÄSSLEHOLM</t>
        </is>
      </c>
      <c r="G325" t="n">
        <v>3.2</v>
      </c>
      <c r="H325" t="n">
        <v>0</v>
      </c>
      <c r="I325" t="n">
        <v>0</v>
      </c>
      <c r="J325" t="n">
        <v>0</v>
      </c>
      <c r="K325" t="n">
        <v>0</v>
      </c>
      <c r="L325" t="n">
        <v>0</v>
      </c>
      <c r="M325" t="n">
        <v>0</v>
      </c>
      <c r="N325" t="n">
        <v>0</v>
      </c>
      <c r="O325" t="n">
        <v>0</v>
      </c>
      <c r="P325" t="n">
        <v>0</v>
      </c>
      <c r="Q325" t="n">
        <v>0</v>
      </c>
      <c r="R325" s="2" t="inlineStr"/>
    </row>
    <row r="326" ht="15" customHeight="1">
      <c r="A326" t="inlineStr">
        <is>
          <t>A 3248-2022</t>
        </is>
      </c>
      <c r="B326" s="1" t="n">
        <v>44583</v>
      </c>
      <c r="C326" s="1" t="n">
        <v>46017</v>
      </c>
      <c r="D326" t="inlineStr">
        <is>
          <t>SKÅNE LÄN</t>
        </is>
      </c>
      <c r="E326" t="inlineStr">
        <is>
          <t>HÄSSLEHOLM</t>
        </is>
      </c>
      <c r="G326" t="n">
        <v>3</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46017</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10115-2024</t>
        </is>
      </c>
      <c r="B328" s="1" t="n">
        <v>45364.55339120371</v>
      </c>
      <c r="C328" s="1" t="n">
        <v>46017</v>
      </c>
      <c r="D328" t="inlineStr">
        <is>
          <t>SKÅNE LÄN</t>
        </is>
      </c>
      <c r="E328" t="inlineStr">
        <is>
          <t>HÄSSLEHOLM</t>
        </is>
      </c>
      <c r="G328" t="n">
        <v>7</v>
      </c>
      <c r="H328" t="n">
        <v>0</v>
      </c>
      <c r="I328" t="n">
        <v>0</v>
      </c>
      <c r="J328" t="n">
        <v>0</v>
      </c>
      <c r="K328" t="n">
        <v>0</v>
      </c>
      <c r="L328" t="n">
        <v>0</v>
      </c>
      <c r="M328" t="n">
        <v>0</v>
      </c>
      <c r="N328" t="n">
        <v>0</v>
      </c>
      <c r="O328" t="n">
        <v>0</v>
      </c>
      <c r="P328" t="n">
        <v>0</v>
      </c>
      <c r="Q328" t="n">
        <v>0</v>
      </c>
      <c r="R328" s="2" t="inlineStr"/>
    </row>
    <row r="329" ht="15" customHeight="1">
      <c r="A329" t="inlineStr">
        <is>
          <t>A 6310-2025</t>
        </is>
      </c>
      <c r="B329" s="1" t="n">
        <v>45698</v>
      </c>
      <c r="C329" s="1" t="n">
        <v>46017</v>
      </c>
      <c r="D329" t="inlineStr">
        <is>
          <t>SKÅNE LÄN</t>
        </is>
      </c>
      <c r="E329" t="inlineStr">
        <is>
          <t>HÄSSLEHOLM</t>
        </is>
      </c>
      <c r="G329" t="n">
        <v>2.7</v>
      </c>
      <c r="H329" t="n">
        <v>0</v>
      </c>
      <c r="I329" t="n">
        <v>0</v>
      </c>
      <c r="J329" t="n">
        <v>0</v>
      </c>
      <c r="K329" t="n">
        <v>0</v>
      </c>
      <c r="L329" t="n">
        <v>0</v>
      </c>
      <c r="M329" t="n">
        <v>0</v>
      </c>
      <c r="N329" t="n">
        <v>0</v>
      </c>
      <c r="O329" t="n">
        <v>0</v>
      </c>
      <c r="P329" t="n">
        <v>0</v>
      </c>
      <c r="Q329" t="n">
        <v>0</v>
      </c>
      <c r="R329" s="2" t="inlineStr"/>
    </row>
    <row r="330" ht="15" customHeight="1">
      <c r="A330" t="inlineStr">
        <is>
          <t>A 13018-2024</t>
        </is>
      </c>
      <c r="B330" s="1" t="n">
        <v>45385.58274305556</v>
      </c>
      <c r="C330" s="1" t="n">
        <v>46017</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3663-2024</t>
        </is>
      </c>
      <c r="B331" s="1" t="n">
        <v>45321.34775462963</v>
      </c>
      <c r="C331" s="1" t="n">
        <v>46017</v>
      </c>
      <c r="D331" t="inlineStr">
        <is>
          <t>SKÅNE LÄN</t>
        </is>
      </c>
      <c r="E331" t="inlineStr">
        <is>
          <t>HÄSSLEHOLM</t>
        </is>
      </c>
      <c r="G331" t="n">
        <v>0.4</v>
      </c>
      <c r="H331" t="n">
        <v>0</v>
      </c>
      <c r="I331" t="n">
        <v>0</v>
      </c>
      <c r="J331" t="n">
        <v>0</v>
      </c>
      <c r="K331" t="n">
        <v>0</v>
      </c>
      <c r="L331" t="n">
        <v>0</v>
      </c>
      <c r="M331" t="n">
        <v>0</v>
      </c>
      <c r="N331" t="n">
        <v>0</v>
      </c>
      <c r="O331" t="n">
        <v>0</v>
      </c>
      <c r="P331" t="n">
        <v>0</v>
      </c>
      <c r="Q331" t="n">
        <v>0</v>
      </c>
      <c r="R331" s="2" t="inlineStr"/>
    </row>
    <row r="332" ht="15" customHeight="1">
      <c r="A332" t="inlineStr">
        <is>
          <t>A 34342-2021</t>
        </is>
      </c>
      <c r="B332" s="1" t="n">
        <v>44379</v>
      </c>
      <c r="C332" s="1" t="n">
        <v>46017</v>
      </c>
      <c r="D332" t="inlineStr">
        <is>
          <t>SKÅNE LÄN</t>
        </is>
      </c>
      <c r="E332" t="inlineStr">
        <is>
          <t>HÄSSLEHOLM</t>
        </is>
      </c>
      <c r="G332" t="n">
        <v>7</v>
      </c>
      <c r="H332" t="n">
        <v>0</v>
      </c>
      <c r="I332" t="n">
        <v>0</v>
      </c>
      <c r="J332" t="n">
        <v>0</v>
      </c>
      <c r="K332" t="n">
        <v>0</v>
      </c>
      <c r="L332" t="n">
        <v>0</v>
      </c>
      <c r="M332" t="n">
        <v>0</v>
      </c>
      <c r="N332" t="n">
        <v>0</v>
      </c>
      <c r="O332" t="n">
        <v>0</v>
      </c>
      <c r="P332" t="n">
        <v>0</v>
      </c>
      <c r="Q332" t="n">
        <v>0</v>
      </c>
      <c r="R332" s="2" t="inlineStr"/>
    </row>
    <row r="333" ht="15" customHeight="1">
      <c r="A333" t="inlineStr">
        <is>
          <t>A 67801-2021</t>
        </is>
      </c>
      <c r="B333" s="1" t="n">
        <v>44525</v>
      </c>
      <c r="C333" s="1" t="n">
        <v>46017</v>
      </c>
      <c r="D333" t="inlineStr">
        <is>
          <t>SKÅNE LÄN</t>
        </is>
      </c>
      <c r="E333" t="inlineStr">
        <is>
          <t>HÄSSLEHOLM</t>
        </is>
      </c>
      <c r="G333" t="n">
        <v>2.2</v>
      </c>
      <c r="H333" t="n">
        <v>0</v>
      </c>
      <c r="I333" t="n">
        <v>0</v>
      </c>
      <c r="J333" t="n">
        <v>0</v>
      </c>
      <c r="K333" t="n">
        <v>0</v>
      </c>
      <c r="L333" t="n">
        <v>0</v>
      </c>
      <c r="M333" t="n">
        <v>0</v>
      </c>
      <c r="N333" t="n">
        <v>0</v>
      </c>
      <c r="O333" t="n">
        <v>0</v>
      </c>
      <c r="P333" t="n">
        <v>0</v>
      </c>
      <c r="Q333" t="n">
        <v>0</v>
      </c>
      <c r="R333" s="2" t="inlineStr"/>
    </row>
    <row r="334" ht="15" customHeight="1">
      <c r="A334" t="inlineStr">
        <is>
          <t>A 7771-2021</t>
        </is>
      </c>
      <c r="B334" s="1" t="n">
        <v>44242</v>
      </c>
      <c r="C334" s="1" t="n">
        <v>46017</v>
      </c>
      <c r="D334" t="inlineStr">
        <is>
          <t>SKÅNE LÄN</t>
        </is>
      </c>
      <c r="E334" t="inlineStr">
        <is>
          <t>HÄSSLEHOLM</t>
        </is>
      </c>
      <c r="G334" t="n">
        <v>4.2</v>
      </c>
      <c r="H334" t="n">
        <v>0</v>
      </c>
      <c r="I334" t="n">
        <v>0</v>
      </c>
      <c r="J334" t="n">
        <v>0</v>
      </c>
      <c r="K334" t="n">
        <v>0</v>
      </c>
      <c r="L334" t="n">
        <v>0</v>
      </c>
      <c r="M334" t="n">
        <v>0</v>
      </c>
      <c r="N334" t="n">
        <v>0</v>
      </c>
      <c r="O334" t="n">
        <v>0</v>
      </c>
      <c r="P334" t="n">
        <v>0</v>
      </c>
      <c r="Q334" t="n">
        <v>0</v>
      </c>
      <c r="R334" s="2" t="inlineStr"/>
    </row>
    <row r="335" ht="15" customHeight="1">
      <c r="A335" t="inlineStr">
        <is>
          <t>A 16474-2025</t>
        </is>
      </c>
      <c r="B335" s="1" t="n">
        <v>45751.56834490741</v>
      </c>
      <c r="C335" s="1" t="n">
        <v>46017</v>
      </c>
      <c r="D335" t="inlineStr">
        <is>
          <t>SKÅNE LÄN</t>
        </is>
      </c>
      <c r="E335" t="inlineStr">
        <is>
          <t>HÄSSLEHOLM</t>
        </is>
      </c>
      <c r="G335" t="n">
        <v>5.9</v>
      </c>
      <c r="H335" t="n">
        <v>0</v>
      </c>
      <c r="I335" t="n">
        <v>0</v>
      </c>
      <c r="J335" t="n">
        <v>0</v>
      </c>
      <c r="K335" t="n">
        <v>0</v>
      </c>
      <c r="L335" t="n">
        <v>0</v>
      </c>
      <c r="M335" t="n">
        <v>0</v>
      </c>
      <c r="N335" t="n">
        <v>0</v>
      </c>
      <c r="O335" t="n">
        <v>0</v>
      </c>
      <c r="P335" t="n">
        <v>0</v>
      </c>
      <c r="Q335" t="n">
        <v>0</v>
      </c>
      <c r="R335" s="2" t="inlineStr"/>
    </row>
    <row r="336" ht="15" customHeight="1">
      <c r="A336" t="inlineStr">
        <is>
          <t>A 26857-2025</t>
        </is>
      </c>
      <c r="B336" s="1" t="n">
        <v>45810</v>
      </c>
      <c r="C336" s="1" t="n">
        <v>46017</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8524-2024</t>
        </is>
      </c>
      <c r="B337" s="1" t="n">
        <v>45355.48570601852</v>
      </c>
      <c r="C337" s="1" t="n">
        <v>46017</v>
      </c>
      <c r="D337" t="inlineStr">
        <is>
          <t>SKÅNE LÄN</t>
        </is>
      </c>
      <c r="E337" t="inlineStr">
        <is>
          <t>HÄSSLEHOLM</t>
        </is>
      </c>
      <c r="G337" t="n">
        <v>4</v>
      </c>
      <c r="H337" t="n">
        <v>0</v>
      </c>
      <c r="I337" t="n">
        <v>0</v>
      </c>
      <c r="J337" t="n">
        <v>0</v>
      </c>
      <c r="K337" t="n">
        <v>0</v>
      </c>
      <c r="L337" t="n">
        <v>0</v>
      </c>
      <c r="M337" t="n">
        <v>0</v>
      </c>
      <c r="N337" t="n">
        <v>0</v>
      </c>
      <c r="O337" t="n">
        <v>0</v>
      </c>
      <c r="P337" t="n">
        <v>0</v>
      </c>
      <c r="Q337" t="n">
        <v>0</v>
      </c>
      <c r="R337" s="2" t="inlineStr"/>
    </row>
    <row r="338" ht="15" customHeight="1">
      <c r="A338" t="inlineStr">
        <is>
          <t>A 22157-2024</t>
        </is>
      </c>
      <c r="B338" s="1" t="n">
        <v>45445.85290509259</v>
      </c>
      <c r="C338" s="1" t="n">
        <v>46017</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45398-2024</t>
        </is>
      </c>
      <c r="B339" s="1" t="n">
        <v>45576.56260416667</v>
      </c>
      <c r="C339" s="1" t="n">
        <v>46017</v>
      </c>
      <c r="D339" t="inlineStr">
        <is>
          <t>SKÅNE LÄN</t>
        </is>
      </c>
      <c r="E339" t="inlineStr">
        <is>
          <t>HÄSSLEHOLM</t>
        </is>
      </c>
      <c r="G339" t="n">
        <v>4.2</v>
      </c>
      <c r="H339" t="n">
        <v>0</v>
      </c>
      <c r="I339" t="n">
        <v>0</v>
      </c>
      <c r="J339" t="n">
        <v>0</v>
      </c>
      <c r="K339" t="n">
        <v>0</v>
      </c>
      <c r="L339" t="n">
        <v>0</v>
      </c>
      <c r="M339" t="n">
        <v>0</v>
      </c>
      <c r="N339" t="n">
        <v>0</v>
      </c>
      <c r="O339" t="n">
        <v>0</v>
      </c>
      <c r="P339" t="n">
        <v>0</v>
      </c>
      <c r="Q339" t="n">
        <v>0</v>
      </c>
      <c r="R339" s="2" t="inlineStr"/>
    </row>
    <row r="340" ht="15" customHeight="1">
      <c r="A340" t="inlineStr">
        <is>
          <t>A 42776-2021</t>
        </is>
      </c>
      <c r="B340" s="1" t="n">
        <v>44428</v>
      </c>
      <c r="C340" s="1" t="n">
        <v>46017</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4809-2025</t>
        </is>
      </c>
      <c r="B341" s="1" t="n">
        <v>45688.60148148148</v>
      </c>
      <c r="C341" s="1" t="n">
        <v>46017</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59030-2024</t>
        </is>
      </c>
      <c r="B342" s="1" t="n">
        <v>45636.68916666666</v>
      </c>
      <c r="C342" s="1" t="n">
        <v>46017</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14145-2023</t>
        </is>
      </c>
      <c r="B343" s="1" t="n">
        <v>45009</v>
      </c>
      <c r="C343" s="1" t="n">
        <v>46017</v>
      </c>
      <c r="D343" t="inlineStr">
        <is>
          <t>SKÅNE LÄN</t>
        </is>
      </c>
      <c r="E343" t="inlineStr">
        <is>
          <t>HÄSSLEHOLM</t>
        </is>
      </c>
      <c r="G343" t="n">
        <v>0.5</v>
      </c>
      <c r="H343" t="n">
        <v>0</v>
      </c>
      <c r="I343" t="n">
        <v>0</v>
      </c>
      <c r="J343" t="n">
        <v>0</v>
      </c>
      <c r="K343" t="n">
        <v>0</v>
      </c>
      <c r="L343" t="n">
        <v>0</v>
      </c>
      <c r="M343" t="n">
        <v>0</v>
      </c>
      <c r="N343" t="n">
        <v>0</v>
      </c>
      <c r="O343" t="n">
        <v>0</v>
      </c>
      <c r="P343" t="n">
        <v>0</v>
      </c>
      <c r="Q343" t="n">
        <v>0</v>
      </c>
      <c r="R343" s="2" t="inlineStr"/>
    </row>
    <row r="344" ht="15" customHeight="1">
      <c r="A344" t="inlineStr">
        <is>
          <t>A 12780-2024</t>
        </is>
      </c>
      <c r="B344" s="1" t="n">
        <v>45384.59726851852</v>
      </c>
      <c r="C344" s="1" t="n">
        <v>46017</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28457-2024</t>
        </is>
      </c>
      <c r="B345" s="1" t="n">
        <v>45477.68884259259</v>
      </c>
      <c r="C345" s="1" t="n">
        <v>46017</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50899-2024</t>
        </is>
      </c>
      <c r="B346" s="1" t="n">
        <v>45602.68584490741</v>
      </c>
      <c r="C346" s="1" t="n">
        <v>46017</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22594-2024</t>
        </is>
      </c>
      <c r="B347" s="1" t="n">
        <v>45447.60892361111</v>
      </c>
      <c r="C347" s="1" t="n">
        <v>46017</v>
      </c>
      <c r="D347" t="inlineStr">
        <is>
          <t>SKÅNE LÄN</t>
        </is>
      </c>
      <c r="E347" t="inlineStr">
        <is>
          <t>HÄSSLEHOLM</t>
        </is>
      </c>
      <c r="G347" t="n">
        <v>1.1</v>
      </c>
      <c r="H347" t="n">
        <v>0</v>
      </c>
      <c r="I347" t="n">
        <v>0</v>
      </c>
      <c r="J347" t="n">
        <v>0</v>
      </c>
      <c r="K347" t="n">
        <v>0</v>
      </c>
      <c r="L347" t="n">
        <v>0</v>
      </c>
      <c r="M347" t="n">
        <v>0</v>
      </c>
      <c r="N347" t="n">
        <v>0</v>
      </c>
      <c r="O347" t="n">
        <v>0</v>
      </c>
      <c r="P347" t="n">
        <v>0</v>
      </c>
      <c r="Q347" t="n">
        <v>0</v>
      </c>
      <c r="R347" s="2" t="inlineStr"/>
    </row>
    <row r="348" ht="15" customHeight="1">
      <c r="A348" t="inlineStr">
        <is>
          <t>A 12344-2023</t>
        </is>
      </c>
      <c r="B348" s="1" t="n">
        <v>44999</v>
      </c>
      <c r="C348" s="1" t="n">
        <v>46017</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7481-2023</t>
        </is>
      </c>
      <c r="B349" s="1" t="n">
        <v>44971</v>
      </c>
      <c r="C349" s="1" t="n">
        <v>46017</v>
      </c>
      <c r="D349" t="inlineStr">
        <is>
          <t>SKÅNE LÄN</t>
        </is>
      </c>
      <c r="E349" t="inlineStr">
        <is>
          <t>HÄSSLEHOLM</t>
        </is>
      </c>
      <c r="G349" t="n">
        <v>1.4</v>
      </c>
      <c r="H349" t="n">
        <v>0</v>
      </c>
      <c r="I349" t="n">
        <v>0</v>
      </c>
      <c r="J349" t="n">
        <v>0</v>
      </c>
      <c r="K349" t="n">
        <v>0</v>
      </c>
      <c r="L349" t="n">
        <v>0</v>
      </c>
      <c r="M349" t="n">
        <v>0</v>
      </c>
      <c r="N349" t="n">
        <v>0</v>
      </c>
      <c r="O349" t="n">
        <v>0</v>
      </c>
      <c r="P349" t="n">
        <v>0</v>
      </c>
      <c r="Q349" t="n">
        <v>0</v>
      </c>
      <c r="R349" s="2" t="inlineStr"/>
    </row>
    <row r="350" ht="15" customHeight="1">
      <c r="A350" t="inlineStr">
        <is>
          <t>A 58272-2024</t>
        </is>
      </c>
      <c r="B350" s="1" t="n">
        <v>45632.57025462963</v>
      </c>
      <c r="C350" s="1" t="n">
        <v>46017</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55056-2021</t>
        </is>
      </c>
      <c r="B351" s="1" t="n">
        <v>44474.62072916667</v>
      </c>
      <c r="C351" s="1" t="n">
        <v>46017</v>
      </c>
      <c r="D351" t="inlineStr">
        <is>
          <t>SKÅNE LÄN</t>
        </is>
      </c>
      <c r="E351" t="inlineStr">
        <is>
          <t>HÄSSLEHOLM</t>
        </is>
      </c>
      <c r="G351" t="n">
        <v>2.5</v>
      </c>
      <c r="H351" t="n">
        <v>0</v>
      </c>
      <c r="I351" t="n">
        <v>0</v>
      </c>
      <c r="J351" t="n">
        <v>0</v>
      </c>
      <c r="K351" t="n">
        <v>0</v>
      </c>
      <c r="L351" t="n">
        <v>0</v>
      </c>
      <c r="M351" t="n">
        <v>0</v>
      </c>
      <c r="N351" t="n">
        <v>0</v>
      </c>
      <c r="O351" t="n">
        <v>0</v>
      </c>
      <c r="P351" t="n">
        <v>0</v>
      </c>
      <c r="Q351" t="n">
        <v>0</v>
      </c>
      <c r="R351" s="2" t="inlineStr"/>
    </row>
    <row r="352" ht="15" customHeight="1">
      <c r="A352" t="inlineStr">
        <is>
          <t>A 4042-2023</t>
        </is>
      </c>
      <c r="B352" s="1" t="n">
        <v>44952.59950231481</v>
      </c>
      <c r="C352" s="1" t="n">
        <v>46017</v>
      </c>
      <c r="D352" t="inlineStr">
        <is>
          <t>SKÅNE LÄN</t>
        </is>
      </c>
      <c r="E352" t="inlineStr">
        <is>
          <t>HÄSSLEHOLM</t>
        </is>
      </c>
      <c r="G352" t="n">
        <v>2.7</v>
      </c>
      <c r="H352" t="n">
        <v>0</v>
      </c>
      <c r="I352" t="n">
        <v>0</v>
      </c>
      <c r="J352" t="n">
        <v>0</v>
      </c>
      <c r="K352" t="n">
        <v>0</v>
      </c>
      <c r="L352" t="n">
        <v>0</v>
      </c>
      <c r="M352" t="n">
        <v>0</v>
      </c>
      <c r="N352" t="n">
        <v>0</v>
      </c>
      <c r="O352" t="n">
        <v>0</v>
      </c>
      <c r="P352" t="n">
        <v>0</v>
      </c>
      <c r="Q352" t="n">
        <v>0</v>
      </c>
      <c r="R352" s="2" t="inlineStr"/>
    </row>
    <row r="353" ht="15" customHeight="1">
      <c r="A353" t="inlineStr">
        <is>
          <t>A 3123-2023</t>
        </is>
      </c>
      <c r="B353" s="1" t="n">
        <v>44946.4925</v>
      </c>
      <c r="C353" s="1" t="n">
        <v>46017</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3126-2023</t>
        </is>
      </c>
      <c r="B354" s="1" t="n">
        <v>44946.49570601852</v>
      </c>
      <c r="C354" s="1" t="n">
        <v>46017</v>
      </c>
      <c r="D354" t="inlineStr">
        <is>
          <t>SKÅNE LÄN</t>
        </is>
      </c>
      <c r="E354" t="inlineStr">
        <is>
          <t>HÄSSLEHOLM</t>
        </is>
      </c>
      <c r="G354" t="n">
        <v>2.2</v>
      </c>
      <c r="H354" t="n">
        <v>0</v>
      </c>
      <c r="I354" t="n">
        <v>0</v>
      </c>
      <c r="J354" t="n">
        <v>0</v>
      </c>
      <c r="K354" t="n">
        <v>0</v>
      </c>
      <c r="L354" t="n">
        <v>0</v>
      </c>
      <c r="M354" t="n">
        <v>0</v>
      </c>
      <c r="N354" t="n">
        <v>0</v>
      </c>
      <c r="O354" t="n">
        <v>0</v>
      </c>
      <c r="P354" t="n">
        <v>0</v>
      </c>
      <c r="Q354" t="n">
        <v>0</v>
      </c>
      <c r="R354" s="2" t="inlineStr"/>
    </row>
    <row r="355" ht="15" customHeight="1">
      <c r="A355" t="inlineStr">
        <is>
          <t>A 25213-2023</t>
        </is>
      </c>
      <c r="B355" s="1" t="n">
        <v>45086.60010416667</v>
      </c>
      <c r="C355" s="1" t="n">
        <v>46017</v>
      </c>
      <c r="D355" t="inlineStr">
        <is>
          <t>SKÅNE LÄN</t>
        </is>
      </c>
      <c r="E355" t="inlineStr">
        <is>
          <t>HÄSSLEHOLM</t>
        </is>
      </c>
      <c r="G355" t="n">
        <v>7.2</v>
      </c>
      <c r="H355" t="n">
        <v>0</v>
      </c>
      <c r="I355" t="n">
        <v>0</v>
      </c>
      <c r="J355" t="n">
        <v>0</v>
      </c>
      <c r="K355" t="n">
        <v>0</v>
      </c>
      <c r="L355" t="n">
        <v>0</v>
      </c>
      <c r="M355" t="n">
        <v>0</v>
      </c>
      <c r="N355" t="n">
        <v>0</v>
      </c>
      <c r="O355" t="n">
        <v>0</v>
      </c>
      <c r="P355" t="n">
        <v>0</v>
      </c>
      <c r="Q355" t="n">
        <v>0</v>
      </c>
      <c r="R355" s="2" t="inlineStr"/>
    </row>
    <row r="356" ht="15" customHeight="1">
      <c r="A356" t="inlineStr">
        <is>
          <t>A 35150-2023</t>
        </is>
      </c>
      <c r="B356" s="1" t="n">
        <v>45145</v>
      </c>
      <c r="C356" s="1" t="n">
        <v>46017</v>
      </c>
      <c r="D356" t="inlineStr">
        <is>
          <t>SKÅNE LÄN</t>
        </is>
      </c>
      <c r="E356" t="inlineStr">
        <is>
          <t>HÄSSLEHOLM</t>
        </is>
      </c>
      <c r="G356" t="n">
        <v>4.9</v>
      </c>
      <c r="H356" t="n">
        <v>0</v>
      </c>
      <c r="I356" t="n">
        <v>0</v>
      </c>
      <c r="J356" t="n">
        <v>0</v>
      </c>
      <c r="K356" t="n">
        <v>0</v>
      </c>
      <c r="L356" t="n">
        <v>0</v>
      </c>
      <c r="M356" t="n">
        <v>0</v>
      </c>
      <c r="N356" t="n">
        <v>0</v>
      </c>
      <c r="O356" t="n">
        <v>0</v>
      </c>
      <c r="P356" t="n">
        <v>0</v>
      </c>
      <c r="Q356" t="n">
        <v>0</v>
      </c>
      <c r="R356" s="2" t="inlineStr"/>
    </row>
    <row r="357" ht="15" customHeight="1">
      <c r="A357" t="inlineStr">
        <is>
          <t>A 51287-2022</t>
        </is>
      </c>
      <c r="B357" s="1" t="n">
        <v>44868.83146990741</v>
      </c>
      <c r="C357" s="1" t="n">
        <v>46017</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31391-2023</t>
        </is>
      </c>
      <c r="B358" s="1" t="n">
        <v>45114.56143518518</v>
      </c>
      <c r="C358" s="1" t="n">
        <v>46017</v>
      </c>
      <c r="D358" t="inlineStr">
        <is>
          <t>SKÅNE LÄN</t>
        </is>
      </c>
      <c r="E358" t="inlineStr">
        <is>
          <t>HÄSSLEHOLM</t>
        </is>
      </c>
      <c r="G358" t="n">
        <v>3.1</v>
      </c>
      <c r="H358" t="n">
        <v>0</v>
      </c>
      <c r="I358" t="n">
        <v>0</v>
      </c>
      <c r="J358" t="n">
        <v>0</v>
      </c>
      <c r="K358" t="n">
        <v>0</v>
      </c>
      <c r="L358" t="n">
        <v>0</v>
      </c>
      <c r="M358" t="n">
        <v>0</v>
      </c>
      <c r="N358" t="n">
        <v>0</v>
      </c>
      <c r="O358" t="n">
        <v>0</v>
      </c>
      <c r="P358" t="n">
        <v>0</v>
      </c>
      <c r="Q358" t="n">
        <v>0</v>
      </c>
      <c r="R358" s="2" t="inlineStr"/>
    </row>
    <row r="359" ht="15" customHeight="1">
      <c r="A359" t="inlineStr">
        <is>
          <t>A 45361-2023</t>
        </is>
      </c>
      <c r="B359" s="1" t="n">
        <v>45192.49068287037</v>
      </c>
      <c r="C359" s="1" t="n">
        <v>46017</v>
      </c>
      <c r="D359" t="inlineStr">
        <is>
          <t>SKÅNE LÄN</t>
        </is>
      </c>
      <c r="E359" t="inlineStr">
        <is>
          <t>HÄSSLEHOLM</t>
        </is>
      </c>
      <c r="G359" t="n">
        <v>1.9</v>
      </c>
      <c r="H359" t="n">
        <v>0</v>
      </c>
      <c r="I359" t="n">
        <v>0</v>
      </c>
      <c r="J359" t="n">
        <v>0</v>
      </c>
      <c r="K359" t="n">
        <v>0</v>
      </c>
      <c r="L359" t="n">
        <v>0</v>
      </c>
      <c r="M359" t="n">
        <v>0</v>
      </c>
      <c r="N359" t="n">
        <v>0</v>
      </c>
      <c r="O359" t="n">
        <v>0</v>
      </c>
      <c r="P359" t="n">
        <v>0</v>
      </c>
      <c r="Q359" t="n">
        <v>0</v>
      </c>
      <c r="R359" s="2" t="inlineStr"/>
    </row>
    <row r="360" ht="15" customHeight="1">
      <c r="A360" t="inlineStr">
        <is>
          <t>A 24865-2024</t>
        </is>
      </c>
      <c r="B360" s="1" t="n">
        <v>45461.48974537037</v>
      </c>
      <c r="C360" s="1" t="n">
        <v>46017</v>
      </c>
      <c r="D360" t="inlineStr">
        <is>
          <t>SKÅNE LÄN</t>
        </is>
      </c>
      <c r="E360" t="inlineStr">
        <is>
          <t>HÄSSLEHOLM</t>
        </is>
      </c>
      <c r="G360" t="n">
        <v>0.9</v>
      </c>
      <c r="H360" t="n">
        <v>0</v>
      </c>
      <c r="I360" t="n">
        <v>0</v>
      </c>
      <c r="J360" t="n">
        <v>0</v>
      </c>
      <c r="K360" t="n">
        <v>0</v>
      </c>
      <c r="L360" t="n">
        <v>0</v>
      </c>
      <c r="M360" t="n">
        <v>0</v>
      </c>
      <c r="N360" t="n">
        <v>0</v>
      </c>
      <c r="O360" t="n">
        <v>0</v>
      </c>
      <c r="P360" t="n">
        <v>0</v>
      </c>
      <c r="Q360" t="n">
        <v>0</v>
      </c>
      <c r="R360" s="2" t="inlineStr"/>
    </row>
    <row r="361" ht="15" customHeight="1">
      <c r="A361" t="inlineStr">
        <is>
          <t>A 12507-2022</t>
        </is>
      </c>
      <c r="B361" s="1" t="n">
        <v>44638</v>
      </c>
      <c r="C361" s="1" t="n">
        <v>46017</v>
      </c>
      <c r="D361" t="inlineStr">
        <is>
          <t>SKÅNE LÄN</t>
        </is>
      </c>
      <c r="E361" t="inlineStr">
        <is>
          <t>HÄSSLEHOLM</t>
        </is>
      </c>
      <c r="G361" t="n">
        <v>2.7</v>
      </c>
      <c r="H361" t="n">
        <v>0</v>
      </c>
      <c r="I361" t="n">
        <v>0</v>
      </c>
      <c r="J361" t="n">
        <v>0</v>
      </c>
      <c r="K361" t="n">
        <v>0</v>
      </c>
      <c r="L361" t="n">
        <v>0</v>
      </c>
      <c r="M361" t="n">
        <v>0</v>
      </c>
      <c r="N361" t="n">
        <v>0</v>
      </c>
      <c r="O361" t="n">
        <v>0</v>
      </c>
      <c r="P361" t="n">
        <v>0</v>
      </c>
      <c r="Q361" t="n">
        <v>0</v>
      </c>
      <c r="R361" s="2" t="inlineStr"/>
    </row>
    <row r="362" ht="15" customHeight="1">
      <c r="A362" t="inlineStr">
        <is>
          <t>A 45220-2023</t>
        </is>
      </c>
      <c r="B362" s="1" t="n">
        <v>45191</v>
      </c>
      <c r="C362" s="1" t="n">
        <v>46017</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38712-2024</t>
        </is>
      </c>
      <c r="B363" s="1" t="n">
        <v>45547</v>
      </c>
      <c r="C363" s="1" t="n">
        <v>46017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33927-2021</t>
        </is>
      </c>
      <c r="B364" s="1" t="n">
        <v>44378</v>
      </c>
      <c r="C364" s="1" t="n">
        <v>46017</v>
      </c>
      <c r="D364" t="inlineStr">
        <is>
          <t>SKÅNE LÄN</t>
        </is>
      </c>
      <c r="E364" t="inlineStr">
        <is>
          <t>HÄSSLEHOLM</t>
        </is>
      </c>
      <c r="G364" t="n">
        <v>16.7</v>
      </c>
      <c r="H364" t="n">
        <v>0</v>
      </c>
      <c r="I364" t="n">
        <v>0</v>
      </c>
      <c r="J364" t="n">
        <v>0</v>
      </c>
      <c r="K364" t="n">
        <v>0</v>
      </c>
      <c r="L364" t="n">
        <v>0</v>
      </c>
      <c r="M364" t="n">
        <v>0</v>
      </c>
      <c r="N364" t="n">
        <v>0</v>
      </c>
      <c r="O364" t="n">
        <v>0</v>
      </c>
      <c r="P364" t="n">
        <v>0</v>
      </c>
      <c r="Q364" t="n">
        <v>0</v>
      </c>
      <c r="R364" s="2" t="inlineStr"/>
    </row>
    <row r="365" ht="15" customHeight="1">
      <c r="A365" t="inlineStr">
        <is>
          <t>A 57647-2024</t>
        </is>
      </c>
      <c r="B365" s="1" t="n">
        <v>45630</v>
      </c>
      <c r="C365" s="1" t="n">
        <v>46017</v>
      </c>
      <c r="D365" t="inlineStr">
        <is>
          <t>SKÅNE LÄN</t>
        </is>
      </c>
      <c r="E365" t="inlineStr">
        <is>
          <t>HÄSSLEHOLM</t>
        </is>
      </c>
      <c r="G365" t="n">
        <v>2.9</v>
      </c>
      <c r="H365" t="n">
        <v>0</v>
      </c>
      <c r="I365" t="n">
        <v>0</v>
      </c>
      <c r="J365" t="n">
        <v>0</v>
      </c>
      <c r="K365" t="n">
        <v>0</v>
      </c>
      <c r="L365" t="n">
        <v>0</v>
      </c>
      <c r="M365" t="n">
        <v>0</v>
      </c>
      <c r="N365" t="n">
        <v>0</v>
      </c>
      <c r="O365" t="n">
        <v>0</v>
      </c>
      <c r="P365" t="n">
        <v>0</v>
      </c>
      <c r="Q365" t="n">
        <v>0</v>
      </c>
      <c r="R365" s="2" t="inlineStr"/>
    </row>
    <row r="366" ht="15" customHeight="1">
      <c r="A366" t="inlineStr">
        <is>
          <t>A 25057-2024</t>
        </is>
      </c>
      <c r="B366" s="1" t="n">
        <v>45462</v>
      </c>
      <c r="C366" s="1" t="n">
        <v>46017</v>
      </c>
      <c r="D366" t="inlineStr">
        <is>
          <t>SKÅNE LÄN</t>
        </is>
      </c>
      <c r="E366" t="inlineStr">
        <is>
          <t>HÄSSLEHOLM</t>
        </is>
      </c>
      <c r="G366" t="n">
        <v>4.3</v>
      </c>
      <c r="H366" t="n">
        <v>0</v>
      </c>
      <c r="I366" t="n">
        <v>0</v>
      </c>
      <c r="J366" t="n">
        <v>0</v>
      </c>
      <c r="K366" t="n">
        <v>0</v>
      </c>
      <c r="L366" t="n">
        <v>0</v>
      </c>
      <c r="M366" t="n">
        <v>0</v>
      </c>
      <c r="N366" t="n">
        <v>0</v>
      </c>
      <c r="O366" t="n">
        <v>0</v>
      </c>
      <c r="P366" t="n">
        <v>0</v>
      </c>
      <c r="Q366" t="n">
        <v>0</v>
      </c>
      <c r="R366" s="2" t="inlineStr"/>
    </row>
    <row r="367" ht="15" customHeight="1">
      <c r="A367" t="inlineStr">
        <is>
          <t>A 22690-2022</t>
        </is>
      </c>
      <c r="B367" s="1" t="n">
        <v>44714.5421875</v>
      </c>
      <c r="C367" s="1" t="n">
        <v>46017</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61182-2024</t>
        </is>
      </c>
      <c r="B368" s="1" t="n">
        <v>45645</v>
      </c>
      <c r="C368" s="1" t="n">
        <v>46017</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10028-2024</t>
        </is>
      </c>
      <c r="B369" s="1" t="n">
        <v>45363.97292824074</v>
      </c>
      <c r="C369" s="1" t="n">
        <v>46017</v>
      </c>
      <c r="D369" t="inlineStr">
        <is>
          <t>SKÅNE LÄN</t>
        </is>
      </c>
      <c r="E369" t="inlineStr">
        <is>
          <t>HÄSSLEHOLM</t>
        </is>
      </c>
      <c r="G369" t="n">
        <v>1.8</v>
      </c>
      <c r="H369" t="n">
        <v>0</v>
      </c>
      <c r="I369" t="n">
        <v>0</v>
      </c>
      <c r="J369" t="n">
        <v>0</v>
      </c>
      <c r="K369" t="n">
        <v>0</v>
      </c>
      <c r="L369" t="n">
        <v>0</v>
      </c>
      <c r="M369" t="n">
        <v>0</v>
      </c>
      <c r="N369" t="n">
        <v>0</v>
      </c>
      <c r="O369" t="n">
        <v>0</v>
      </c>
      <c r="P369" t="n">
        <v>0</v>
      </c>
      <c r="Q369" t="n">
        <v>0</v>
      </c>
      <c r="R369" s="2" t="inlineStr"/>
    </row>
    <row r="370" ht="15" customHeight="1">
      <c r="A370" t="inlineStr">
        <is>
          <t>A 57079-2022</t>
        </is>
      </c>
      <c r="B370" s="1" t="n">
        <v>44895</v>
      </c>
      <c r="C370" s="1" t="n">
        <v>46017</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48624-2021</t>
        </is>
      </c>
      <c r="B371" s="1" t="n">
        <v>44452</v>
      </c>
      <c r="C371" s="1" t="n">
        <v>46017</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61158-2022</t>
        </is>
      </c>
      <c r="B372" s="1" t="n">
        <v>44915.47112268519</v>
      </c>
      <c r="C372" s="1" t="n">
        <v>46017</v>
      </c>
      <c r="D372" t="inlineStr">
        <is>
          <t>SKÅNE LÄN</t>
        </is>
      </c>
      <c r="E372" t="inlineStr">
        <is>
          <t>HÄSSLEHOLM</t>
        </is>
      </c>
      <c r="G372" t="n">
        <v>8.4</v>
      </c>
      <c r="H372" t="n">
        <v>0</v>
      </c>
      <c r="I372" t="n">
        <v>0</v>
      </c>
      <c r="J372" t="n">
        <v>0</v>
      </c>
      <c r="K372" t="n">
        <v>0</v>
      </c>
      <c r="L372" t="n">
        <v>0</v>
      </c>
      <c r="M372" t="n">
        <v>0</v>
      </c>
      <c r="N372" t="n">
        <v>0</v>
      </c>
      <c r="O372" t="n">
        <v>0</v>
      </c>
      <c r="P372" t="n">
        <v>0</v>
      </c>
      <c r="Q372" t="n">
        <v>0</v>
      </c>
      <c r="R372" s="2" t="inlineStr"/>
    </row>
    <row r="373" ht="15" customHeight="1">
      <c r="A373" t="inlineStr">
        <is>
          <t>A 12468-2024</t>
        </is>
      </c>
      <c r="B373" s="1" t="n">
        <v>45379</v>
      </c>
      <c r="C373" s="1" t="n">
        <v>46017</v>
      </c>
      <c r="D373" t="inlineStr">
        <is>
          <t>SKÅNE LÄN</t>
        </is>
      </c>
      <c r="E373" t="inlineStr">
        <is>
          <t>HÄSSLEHOLM</t>
        </is>
      </c>
      <c r="G373" t="n">
        <v>15.5</v>
      </c>
      <c r="H373" t="n">
        <v>0</v>
      </c>
      <c r="I373" t="n">
        <v>0</v>
      </c>
      <c r="J373" t="n">
        <v>0</v>
      </c>
      <c r="K373" t="n">
        <v>0</v>
      </c>
      <c r="L373" t="n">
        <v>0</v>
      </c>
      <c r="M373" t="n">
        <v>0</v>
      </c>
      <c r="N373" t="n">
        <v>0</v>
      </c>
      <c r="O373" t="n">
        <v>0</v>
      </c>
      <c r="P373" t="n">
        <v>0</v>
      </c>
      <c r="Q373" t="n">
        <v>0</v>
      </c>
      <c r="R373" s="2" t="inlineStr"/>
    </row>
    <row r="374" ht="15" customHeight="1">
      <c r="A374" t="inlineStr">
        <is>
          <t>A 13990-2022</t>
        </is>
      </c>
      <c r="B374" s="1" t="n">
        <v>44650</v>
      </c>
      <c r="C374" s="1" t="n">
        <v>46017</v>
      </c>
      <c r="D374" t="inlineStr">
        <is>
          <t>SKÅNE LÄN</t>
        </is>
      </c>
      <c r="E374" t="inlineStr">
        <is>
          <t>HÄSSLEHOLM</t>
        </is>
      </c>
      <c r="G374" t="n">
        <v>3.6</v>
      </c>
      <c r="H374" t="n">
        <v>0</v>
      </c>
      <c r="I374" t="n">
        <v>0</v>
      </c>
      <c r="J374" t="n">
        <v>0</v>
      </c>
      <c r="K374" t="n">
        <v>0</v>
      </c>
      <c r="L374" t="n">
        <v>0</v>
      </c>
      <c r="M374" t="n">
        <v>0</v>
      </c>
      <c r="N374" t="n">
        <v>0</v>
      </c>
      <c r="O374" t="n">
        <v>0</v>
      </c>
      <c r="P374" t="n">
        <v>0</v>
      </c>
      <c r="Q374" t="n">
        <v>0</v>
      </c>
      <c r="R374" s="2" t="inlineStr"/>
    </row>
    <row r="375" ht="15" customHeight="1">
      <c r="A375" t="inlineStr">
        <is>
          <t>A 61498-2022</t>
        </is>
      </c>
      <c r="B375" s="1" t="n">
        <v>44910</v>
      </c>
      <c r="C375" s="1" t="n">
        <v>46017</v>
      </c>
      <c r="D375" t="inlineStr">
        <is>
          <t>SKÅNE LÄN</t>
        </is>
      </c>
      <c r="E375" t="inlineStr">
        <is>
          <t>HÄSSLEHOLM</t>
        </is>
      </c>
      <c r="F375" t="inlineStr">
        <is>
          <t>Kyrkan</t>
        </is>
      </c>
      <c r="G375" t="n">
        <v>3.2</v>
      </c>
      <c r="H375" t="n">
        <v>0</v>
      </c>
      <c r="I375" t="n">
        <v>0</v>
      </c>
      <c r="J375" t="n">
        <v>0</v>
      </c>
      <c r="K375" t="n">
        <v>0</v>
      </c>
      <c r="L375" t="n">
        <v>0</v>
      </c>
      <c r="M375" t="n">
        <v>0</v>
      </c>
      <c r="N375" t="n">
        <v>0</v>
      </c>
      <c r="O375" t="n">
        <v>0</v>
      </c>
      <c r="P375" t="n">
        <v>0</v>
      </c>
      <c r="Q375" t="n">
        <v>0</v>
      </c>
      <c r="R375" s="2" t="inlineStr"/>
    </row>
    <row r="376" ht="15" customHeight="1">
      <c r="A376" t="inlineStr">
        <is>
          <t>A 15417-2022</t>
        </is>
      </c>
      <c r="B376" s="1" t="n">
        <v>44659</v>
      </c>
      <c r="C376" s="1" t="n">
        <v>46017</v>
      </c>
      <c r="D376" t="inlineStr">
        <is>
          <t>SKÅNE LÄN</t>
        </is>
      </c>
      <c r="E376" t="inlineStr">
        <is>
          <t>HÄSSLEHOLM</t>
        </is>
      </c>
      <c r="F376" t="inlineStr">
        <is>
          <t>Kyrkan</t>
        </is>
      </c>
      <c r="G376" t="n">
        <v>2.9</v>
      </c>
      <c r="H376" t="n">
        <v>0</v>
      </c>
      <c r="I376" t="n">
        <v>0</v>
      </c>
      <c r="J376" t="n">
        <v>0</v>
      </c>
      <c r="K376" t="n">
        <v>0</v>
      </c>
      <c r="L376" t="n">
        <v>0</v>
      </c>
      <c r="M376" t="n">
        <v>0</v>
      </c>
      <c r="N376" t="n">
        <v>0</v>
      </c>
      <c r="O376" t="n">
        <v>0</v>
      </c>
      <c r="P376" t="n">
        <v>0</v>
      </c>
      <c r="Q376" t="n">
        <v>0</v>
      </c>
      <c r="R376" s="2" t="inlineStr"/>
    </row>
    <row r="377" ht="15" customHeight="1">
      <c r="A377" t="inlineStr">
        <is>
          <t>A 4009-2024</t>
        </is>
      </c>
      <c r="B377" s="1" t="n">
        <v>45323</v>
      </c>
      <c r="C377" s="1" t="n">
        <v>46017</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60848-2022</t>
        </is>
      </c>
      <c r="B378" s="1" t="n">
        <v>44914</v>
      </c>
      <c r="C378" s="1" t="n">
        <v>46017</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25219-2023</t>
        </is>
      </c>
      <c r="B379" s="1" t="n">
        <v>45086.60541666667</v>
      </c>
      <c r="C379" s="1" t="n">
        <v>46017</v>
      </c>
      <c r="D379" t="inlineStr">
        <is>
          <t>SKÅNE LÄN</t>
        </is>
      </c>
      <c r="E379" t="inlineStr">
        <is>
          <t>HÄSSLEHOLM</t>
        </is>
      </c>
      <c r="G379" t="n">
        <v>6.9</v>
      </c>
      <c r="H379" t="n">
        <v>0</v>
      </c>
      <c r="I379" t="n">
        <v>0</v>
      </c>
      <c r="J379" t="n">
        <v>0</v>
      </c>
      <c r="K379" t="n">
        <v>0</v>
      </c>
      <c r="L379" t="n">
        <v>0</v>
      </c>
      <c r="M379" t="n">
        <v>0</v>
      </c>
      <c r="N379" t="n">
        <v>0</v>
      </c>
      <c r="O379" t="n">
        <v>0</v>
      </c>
      <c r="P379" t="n">
        <v>0</v>
      </c>
      <c r="Q379" t="n">
        <v>0</v>
      </c>
      <c r="R379" s="2" t="inlineStr"/>
    </row>
    <row r="380" ht="15" customHeight="1">
      <c r="A380" t="inlineStr">
        <is>
          <t>A 9302-2025</t>
        </is>
      </c>
      <c r="B380" s="1" t="n">
        <v>45714.67233796296</v>
      </c>
      <c r="C380" s="1" t="n">
        <v>46017</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9322-2025</t>
        </is>
      </c>
      <c r="B381" s="1" t="n">
        <v>45714.72241898148</v>
      </c>
      <c r="C381" s="1" t="n">
        <v>46017</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36240-2023</t>
        </is>
      </c>
      <c r="B382" s="1" t="n">
        <v>45150.89295138889</v>
      </c>
      <c r="C382" s="1" t="n">
        <v>46017</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20564-2023</t>
        </is>
      </c>
      <c r="B383" s="1" t="n">
        <v>45057</v>
      </c>
      <c r="C383" s="1" t="n">
        <v>46017</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57649-2022</t>
        </is>
      </c>
      <c r="B384" s="1" t="n">
        <v>44897.42755787037</v>
      </c>
      <c r="C384" s="1" t="n">
        <v>46017</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57665-2022</t>
        </is>
      </c>
      <c r="B385" s="1" t="n">
        <v>44897.4494212963</v>
      </c>
      <c r="C385" s="1" t="n">
        <v>46017</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57676-2022</t>
        </is>
      </c>
      <c r="B386" s="1" t="n">
        <v>44897</v>
      </c>
      <c r="C386" s="1" t="n">
        <v>46017</v>
      </c>
      <c r="D386" t="inlineStr">
        <is>
          <t>SKÅNE LÄN</t>
        </is>
      </c>
      <c r="E386" t="inlineStr">
        <is>
          <t>HÄSSLEHOLM</t>
        </is>
      </c>
      <c r="G386" t="n">
        <v>1</v>
      </c>
      <c r="H386" t="n">
        <v>0</v>
      </c>
      <c r="I386" t="n">
        <v>0</v>
      </c>
      <c r="J386" t="n">
        <v>0</v>
      </c>
      <c r="K386" t="n">
        <v>0</v>
      </c>
      <c r="L386" t="n">
        <v>0</v>
      </c>
      <c r="M386" t="n">
        <v>0</v>
      </c>
      <c r="N386" t="n">
        <v>0</v>
      </c>
      <c r="O386" t="n">
        <v>0</v>
      </c>
      <c r="P386" t="n">
        <v>0</v>
      </c>
      <c r="Q386" t="n">
        <v>0</v>
      </c>
      <c r="R386" s="2" t="inlineStr"/>
    </row>
    <row r="387" ht="15" customHeight="1">
      <c r="A387" t="inlineStr">
        <is>
          <t>A 37300-2023</t>
        </is>
      </c>
      <c r="B387" s="1" t="n">
        <v>45156</v>
      </c>
      <c r="C387" s="1" t="n">
        <v>46017</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41694-2024</t>
        </is>
      </c>
      <c r="B388" s="1" t="n">
        <v>45560.68341435185</v>
      </c>
      <c r="C388" s="1" t="n">
        <v>46017</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47757-2024</t>
        </is>
      </c>
      <c r="B389" s="1" t="n">
        <v>45588.55075231481</v>
      </c>
      <c r="C389" s="1" t="n">
        <v>46017</v>
      </c>
      <c r="D389" t="inlineStr">
        <is>
          <t>SKÅNE LÄN</t>
        </is>
      </c>
      <c r="E389" t="inlineStr">
        <is>
          <t>HÄSSLEHOLM</t>
        </is>
      </c>
      <c r="G389" t="n">
        <v>5.5</v>
      </c>
      <c r="H389" t="n">
        <v>0</v>
      </c>
      <c r="I389" t="n">
        <v>0</v>
      </c>
      <c r="J389" t="n">
        <v>0</v>
      </c>
      <c r="K389" t="n">
        <v>0</v>
      </c>
      <c r="L389" t="n">
        <v>0</v>
      </c>
      <c r="M389" t="n">
        <v>0</v>
      </c>
      <c r="N389" t="n">
        <v>0</v>
      </c>
      <c r="O389" t="n">
        <v>0</v>
      </c>
      <c r="P389" t="n">
        <v>0</v>
      </c>
      <c r="Q389" t="n">
        <v>0</v>
      </c>
      <c r="R389" s="2" t="inlineStr"/>
    </row>
    <row r="390" ht="15" customHeight="1">
      <c r="A390" t="inlineStr">
        <is>
          <t>A 54671-2022</t>
        </is>
      </c>
      <c r="B390" s="1" t="n">
        <v>44883</v>
      </c>
      <c r="C390" s="1" t="n">
        <v>46017</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2663-2023</t>
        </is>
      </c>
      <c r="B391" s="1" t="n">
        <v>44942</v>
      </c>
      <c r="C391" s="1" t="n">
        <v>46017</v>
      </c>
      <c r="D391" t="inlineStr">
        <is>
          <t>SKÅNE LÄN</t>
        </is>
      </c>
      <c r="E391" t="inlineStr">
        <is>
          <t>HÄSSLEHOLM</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53887-2023</t>
        </is>
      </c>
      <c r="B392" s="1" t="n">
        <v>45231.52675925926</v>
      </c>
      <c r="C392" s="1" t="n">
        <v>46017</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3925-2021</t>
        </is>
      </c>
      <c r="B393" s="1" t="n">
        <v>44222</v>
      </c>
      <c r="C393" s="1" t="n">
        <v>46017</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49167-2022</t>
        </is>
      </c>
      <c r="B394" s="1" t="n">
        <v>44860</v>
      </c>
      <c r="C394" s="1" t="n">
        <v>46017</v>
      </c>
      <c r="D394" t="inlineStr">
        <is>
          <t>SKÅNE LÄN</t>
        </is>
      </c>
      <c r="E394" t="inlineStr">
        <is>
          <t>HÄSSLEHOLM</t>
        </is>
      </c>
      <c r="G394" t="n">
        <v>1.3</v>
      </c>
      <c r="H394" t="n">
        <v>0</v>
      </c>
      <c r="I394" t="n">
        <v>0</v>
      </c>
      <c r="J394" t="n">
        <v>0</v>
      </c>
      <c r="K394" t="n">
        <v>0</v>
      </c>
      <c r="L394" t="n">
        <v>0</v>
      </c>
      <c r="M394" t="n">
        <v>0</v>
      </c>
      <c r="N394" t="n">
        <v>0</v>
      </c>
      <c r="O394" t="n">
        <v>0</v>
      </c>
      <c r="P394" t="n">
        <v>0</v>
      </c>
      <c r="Q394" t="n">
        <v>0</v>
      </c>
      <c r="R394" s="2" t="inlineStr"/>
    </row>
    <row r="395" ht="15" customHeight="1">
      <c r="A395" t="inlineStr">
        <is>
          <t>A 28071-2023</t>
        </is>
      </c>
      <c r="B395" s="1" t="n">
        <v>45099.37755787037</v>
      </c>
      <c r="C395" s="1" t="n">
        <v>46017</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39915-2023</t>
        </is>
      </c>
      <c r="B396" s="1" t="n">
        <v>45168.4684375</v>
      </c>
      <c r="C396" s="1" t="n">
        <v>46017</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7192-2025</t>
        </is>
      </c>
      <c r="B397" s="1" t="n">
        <v>45702.44746527778</v>
      </c>
      <c r="C397" s="1" t="n">
        <v>46017</v>
      </c>
      <c r="D397" t="inlineStr">
        <is>
          <t>SKÅNE LÄN</t>
        </is>
      </c>
      <c r="E397" t="inlineStr">
        <is>
          <t>HÄSSLEHOLM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3507-2024</t>
        </is>
      </c>
      <c r="B398" s="1" t="n">
        <v>45320.4906712963</v>
      </c>
      <c r="C398" s="1" t="n">
        <v>46017</v>
      </c>
      <c r="D398" t="inlineStr">
        <is>
          <t>SKÅNE LÄN</t>
        </is>
      </c>
      <c r="E398" t="inlineStr">
        <is>
          <t>HÄSSLEHOLM</t>
        </is>
      </c>
      <c r="G398" t="n">
        <v>6.4</v>
      </c>
      <c r="H398" t="n">
        <v>0</v>
      </c>
      <c r="I398" t="n">
        <v>0</v>
      </c>
      <c r="J398" t="n">
        <v>0</v>
      </c>
      <c r="K398" t="n">
        <v>0</v>
      </c>
      <c r="L398" t="n">
        <v>0</v>
      </c>
      <c r="M398" t="n">
        <v>0</v>
      </c>
      <c r="N398" t="n">
        <v>0</v>
      </c>
      <c r="O398" t="n">
        <v>0</v>
      </c>
      <c r="P398" t="n">
        <v>0</v>
      </c>
      <c r="Q398" t="n">
        <v>0</v>
      </c>
      <c r="R398" s="2" t="inlineStr"/>
    </row>
    <row r="399" ht="15" customHeight="1">
      <c r="A399" t="inlineStr">
        <is>
          <t>A 4119-2024</t>
        </is>
      </c>
      <c r="B399" s="1" t="n">
        <v>45323.67920138889</v>
      </c>
      <c r="C399" s="1" t="n">
        <v>46017</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48877-2024</t>
        </is>
      </c>
      <c r="B400" s="1" t="n">
        <v>45594.31729166667</v>
      </c>
      <c r="C400" s="1" t="n">
        <v>46017</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47647-2024</t>
        </is>
      </c>
      <c r="B401" s="1" t="n">
        <v>45588</v>
      </c>
      <c r="C401" s="1" t="n">
        <v>46017</v>
      </c>
      <c r="D401" t="inlineStr">
        <is>
          <t>SKÅNE LÄN</t>
        </is>
      </c>
      <c r="E401" t="inlineStr">
        <is>
          <t>HÄSSLEHOLM</t>
        </is>
      </c>
      <c r="G401" t="n">
        <v>6.5</v>
      </c>
      <c r="H401" t="n">
        <v>0</v>
      </c>
      <c r="I401" t="n">
        <v>0</v>
      </c>
      <c r="J401" t="n">
        <v>0</v>
      </c>
      <c r="K401" t="n">
        <v>0</v>
      </c>
      <c r="L401" t="n">
        <v>0</v>
      </c>
      <c r="M401" t="n">
        <v>0</v>
      </c>
      <c r="N401" t="n">
        <v>0</v>
      </c>
      <c r="O401" t="n">
        <v>0</v>
      </c>
      <c r="P401" t="n">
        <v>0</v>
      </c>
      <c r="Q401" t="n">
        <v>0</v>
      </c>
      <c r="R401" s="2" t="inlineStr"/>
    </row>
    <row r="402" ht="15" customHeight="1">
      <c r="A402" t="inlineStr">
        <is>
          <t>A 27954-2022</t>
        </is>
      </c>
      <c r="B402" s="1" t="n">
        <v>44743</v>
      </c>
      <c r="C402" s="1" t="n">
        <v>46017</v>
      </c>
      <c r="D402" t="inlineStr">
        <is>
          <t>SKÅNE LÄN</t>
        </is>
      </c>
      <c r="E402" t="inlineStr">
        <is>
          <t>HÄSSLEHOLM</t>
        </is>
      </c>
      <c r="G402" t="n">
        <v>9.4</v>
      </c>
      <c r="H402" t="n">
        <v>0</v>
      </c>
      <c r="I402" t="n">
        <v>0</v>
      </c>
      <c r="J402" t="n">
        <v>0</v>
      </c>
      <c r="K402" t="n">
        <v>0</v>
      </c>
      <c r="L402" t="n">
        <v>0</v>
      </c>
      <c r="M402" t="n">
        <v>0</v>
      </c>
      <c r="N402" t="n">
        <v>0</v>
      </c>
      <c r="O402" t="n">
        <v>0</v>
      </c>
      <c r="P402" t="n">
        <v>0</v>
      </c>
      <c r="Q402" t="n">
        <v>0</v>
      </c>
      <c r="R402" s="2" t="inlineStr"/>
    </row>
    <row r="403" ht="15" customHeight="1">
      <c r="A403" t="inlineStr">
        <is>
          <t>A 1619-2022</t>
        </is>
      </c>
      <c r="B403" s="1" t="n">
        <v>44573</v>
      </c>
      <c r="C403" s="1" t="n">
        <v>46017</v>
      </c>
      <c r="D403" t="inlineStr">
        <is>
          <t>SKÅNE LÄN</t>
        </is>
      </c>
      <c r="E403" t="inlineStr">
        <is>
          <t>HÄSSLEHOLM</t>
        </is>
      </c>
      <c r="G403" t="n">
        <v>1.8</v>
      </c>
      <c r="H403" t="n">
        <v>0</v>
      </c>
      <c r="I403" t="n">
        <v>0</v>
      </c>
      <c r="J403" t="n">
        <v>0</v>
      </c>
      <c r="K403" t="n">
        <v>0</v>
      </c>
      <c r="L403" t="n">
        <v>0</v>
      </c>
      <c r="M403" t="n">
        <v>0</v>
      </c>
      <c r="N403" t="n">
        <v>0</v>
      </c>
      <c r="O403" t="n">
        <v>0</v>
      </c>
      <c r="P403" t="n">
        <v>0</v>
      </c>
      <c r="Q403" t="n">
        <v>0</v>
      </c>
      <c r="R403" s="2" t="inlineStr"/>
    </row>
    <row r="404" ht="15" customHeight="1">
      <c r="A404" t="inlineStr">
        <is>
          <t>A 45984-2021</t>
        </is>
      </c>
      <c r="B404" s="1" t="n">
        <v>44441</v>
      </c>
      <c r="C404" s="1" t="n">
        <v>46017</v>
      </c>
      <c r="D404" t="inlineStr">
        <is>
          <t>SKÅNE LÄN</t>
        </is>
      </c>
      <c r="E404" t="inlineStr">
        <is>
          <t>HÄSSLEHOLM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35890-2023</t>
        </is>
      </c>
      <c r="B405" s="1" t="n">
        <v>45148</v>
      </c>
      <c r="C405" s="1" t="n">
        <v>46017</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35895-2023</t>
        </is>
      </c>
      <c r="B406" s="1" t="n">
        <v>45148</v>
      </c>
      <c r="C406" s="1" t="n">
        <v>46017</v>
      </c>
      <c r="D406" t="inlineStr">
        <is>
          <t>SKÅNE LÄN</t>
        </is>
      </c>
      <c r="E406" t="inlineStr">
        <is>
          <t>HÄSSLEHOLM</t>
        </is>
      </c>
      <c r="G406" t="n">
        <v>0.4</v>
      </c>
      <c r="H406" t="n">
        <v>0</v>
      </c>
      <c r="I406" t="n">
        <v>0</v>
      </c>
      <c r="J406" t="n">
        <v>0</v>
      </c>
      <c r="K406" t="n">
        <v>0</v>
      </c>
      <c r="L406" t="n">
        <v>0</v>
      </c>
      <c r="M406" t="n">
        <v>0</v>
      </c>
      <c r="N406" t="n">
        <v>0</v>
      </c>
      <c r="O406" t="n">
        <v>0</v>
      </c>
      <c r="P406" t="n">
        <v>0</v>
      </c>
      <c r="Q406" t="n">
        <v>0</v>
      </c>
      <c r="R406" s="2" t="inlineStr"/>
    </row>
    <row r="407" ht="15" customHeight="1">
      <c r="A407" t="inlineStr">
        <is>
          <t>A 61170-2022</t>
        </is>
      </c>
      <c r="B407" s="1" t="n">
        <v>44915.48543981482</v>
      </c>
      <c r="C407" s="1" t="n">
        <v>46017</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22132-2024</t>
        </is>
      </c>
      <c r="B408" s="1" t="n">
        <v>45444.37234953704</v>
      </c>
      <c r="C408" s="1" t="n">
        <v>46017</v>
      </c>
      <c r="D408" t="inlineStr">
        <is>
          <t>SKÅNE LÄN</t>
        </is>
      </c>
      <c r="E408" t="inlineStr">
        <is>
          <t>HÄSSLEHOLM</t>
        </is>
      </c>
      <c r="G408" t="n">
        <v>3.1</v>
      </c>
      <c r="H408" t="n">
        <v>0</v>
      </c>
      <c r="I408" t="n">
        <v>0</v>
      </c>
      <c r="J408" t="n">
        <v>0</v>
      </c>
      <c r="K408" t="n">
        <v>0</v>
      </c>
      <c r="L408" t="n">
        <v>0</v>
      </c>
      <c r="M408" t="n">
        <v>0</v>
      </c>
      <c r="N408" t="n">
        <v>0</v>
      </c>
      <c r="O408" t="n">
        <v>0</v>
      </c>
      <c r="P408" t="n">
        <v>0</v>
      </c>
      <c r="Q408" t="n">
        <v>0</v>
      </c>
      <c r="R408" s="2" t="inlineStr"/>
    </row>
    <row r="409" ht="15" customHeight="1">
      <c r="A409" t="inlineStr">
        <is>
          <t>A 54171-2022</t>
        </is>
      </c>
      <c r="B409" s="1" t="n">
        <v>44881</v>
      </c>
      <c r="C409" s="1" t="n">
        <v>46017</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6835-2023</t>
        </is>
      </c>
      <c r="B410" s="1" t="n">
        <v>44967</v>
      </c>
      <c r="C410" s="1" t="n">
        <v>46017</v>
      </c>
      <c r="D410" t="inlineStr">
        <is>
          <t>SKÅNE LÄN</t>
        </is>
      </c>
      <c r="E410" t="inlineStr">
        <is>
          <t>HÄSSLEHOLM</t>
        </is>
      </c>
      <c r="G410" t="n">
        <v>4.8</v>
      </c>
      <c r="H410" t="n">
        <v>0</v>
      </c>
      <c r="I410" t="n">
        <v>0</v>
      </c>
      <c r="J410" t="n">
        <v>0</v>
      </c>
      <c r="K410" t="n">
        <v>0</v>
      </c>
      <c r="L410" t="n">
        <v>0</v>
      </c>
      <c r="M410" t="n">
        <v>0</v>
      </c>
      <c r="N410" t="n">
        <v>0</v>
      </c>
      <c r="O410" t="n">
        <v>0</v>
      </c>
      <c r="P410" t="n">
        <v>0</v>
      </c>
      <c r="Q410" t="n">
        <v>0</v>
      </c>
      <c r="R410" s="2" t="inlineStr"/>
    </row>
    <row r="411" ht="15" customHeight="1">
      <c r="A411" t="inlineStr">
        <is>
          <t>A 4750-2024</t>
        </is>
      </c>
      <c r="B411" s="1" t="n">
        <v>45328</v>
      </c>
      <c r="C411" s="1" t="n">
        <v>46017</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23956-2023</t>
        </is>
      </c>
      <c r="B412" s="1" t="n">
        <v>45078.62302083334</v>
      </c>
      <c r="C412" s="1" t="n">
        <v>46017</v>
      </c>
      <c r="D412" t="inlineStr">
        <is>
          <t>SKÅNE LÄN</t>
        </is>
      </c>
      <c r="E412" t="inlineStr">
        <is>
          <t>HÄSSLEHOLM</t>
        </is>
      </c>
      <c r="G412" t="n">
        <v>0.1</v>
      </c>
      <c r="H412" t="n">
        <v>0</v>
      </c>
      <c r="I412" t="n">
        <v>0</v>
      </c>
      <c r="J412" t="n">
        <v>0</v>
      </c>
      <c r="K412" t="n">
        <v>0</v>
      </c>
      <c r="L412" t="n">
        <v>0</v>
      </c>
      <c r="M412" t="n">
        <v>0</v>
      </c>
      <c r="N412" t="n">
        <v>0</v>
      </c>
      <c r="O412" t="n">
        <v>0</v>
      </c>
      <c r="P412" t="n">
        <v>0</v>
      </c>
      <c r="Q412" t="n">
        <v>0</v>
      </c>
      <c r="R412" s="2" t="inlineStr"/>
    </row>
    <row r="413" ht="15" customHeight="1">
      <c r="A413" t="inlineStr">
        <is>
          <t>A 3245-2022</t>
        </is>
      </c>
      <c r="B413" s="1" t="n">
        <v>44583.39136574074</v>
      </c>
      <c r="C413" s="1" t="n">
        <v>46017</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9885-2021</t>
        </is>
      </c>
      <c r="B414" s="1" t="n">
        <v>44253</v>
      </c>
      <c r="C414" s="1" t="n">
        <v>46017</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11708-2025</t>
        </is>
      </c>
      <c r="B415" s="1" t="n">
        <v>45727.58626157408</v>
      </c>
      <c r="C415" s="1" t="n">
        <v>46017</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31933-2024</t>
        </is>
      </c>
      <c r="B416" s="1" t="n">
        <v>45510.41123842593</v>
      </c>
      <c r="C416" s="1" t="n">
        <v>46017</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9098-2022</t>
        </is>
      </c>
      <c r="B417" s="1" t="n">
        <v>44615</v>
      </c>
      <c r="C417" s="1" t="n">
        <v>46017</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12338-2024</t>
        </is>
      </c>
      <c r="B418" s="1" t="n">
        <v>45378.72869212963</v>
      </c>
      <c r="C418" s="1" t="n">
        <v>46017</v>
      </c>
      <c r="D418" t="inlineStr">
        <is>
          <t>SKÅNE LÄN</t>
        </is>
      </c>
      <c r="E418" t="inlineStr">
        <is>
          <t>HÄSSLEHOLM</t>
        </is>
      </c>
      <c r="G418" t="n">
        <v>1.8</v>
      </c>
      <c r="H418" t="n">
        <v>0</v>
      </c>
      <c r="I418" t="n">
        <v>0</v>
      </c>
      <c r="J418" t="n">
        <v>0</v>
      </c>
      <c r="K418" t="n">
        <v>0</v>
      </c>
      <c r="L418" t="n">
        <v>0</v>
      </c>
      <c r="M418" t="n">
        <v>0</v>
      </c>
      <c r="N418" t="n">
        <v>0</v>
      </c>
      <c r="O418" t="n">
        <v>0</v>
      </c>
      <c r="P418" t="n">
        <v>0</v>
      </c>
      <c r="Q418" t="n">
        <v>0</v>
      </c>
      <c r="R418" s="2" t="inlineStr"/>
    </row>
    <row r="419" ht="15" customHeight="1">
      <c r="A419" t="inlineStr">
        <is>
          <t>A 31255-2024</t>
        </is>
      </c>
      <c r="B419" s="1" t="n">
        <v>45503.69114583333</v>
      </c>
      <c r="C419" s="1" t="n">
        <v>46017</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34883-2023</t>
        </is>
      </c>
      <c r="B420" s="1" t="n">
        <v>45142.37902777778</v>
      </c>
      <c r="C420" s="1" t="n">
        <v>46017</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34886-2023</t>
        </is>
      </c>
      <c r="B421" s="1" t="n">
        <v>45142.38450231482</v>
      </c>
      <c r="C421" s="1" t="n">
        <v>46017</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7476-2025</t>
        </is>
      </c>
      <c r="B422" s="1" t="n">
        <v>45702</v>
      </c>
      <c r="C422" s="1" t="n">
        <v>46017</v>
      </c>
      <c r="D422" t="inlineStr">
        <is>
          <t>SKÅNE LÄN</t>
        </is>
      </c>
      <c r="E422" t="inlineStr">
        <is>
          <t>HÄSSLEHOLM</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48112-2024</t>
        </is>
      </c>
      <c r="B423" s="1" t="n">
        <v>45589.6295949074</v>
      </c>
      <c r="C423" s="1" t="n">
        <v>46017</v>
      </c>
      <c r="D423" t="inlineStr">
        <is>
          <t>SKÅNE LÄN</t>
        </is>
      </c>
      <c r="E423" t="inlineStr">
        <is>
          <t>HÄSSLEHOLM</t>
        </is>
      </c>
      <c r="G423" t="n">
        <v>1.1</v>
      </c>
      <c r="H423" t="n">
        <v>0</v>
      </c>
      <c r="I423" t="n">
        <v>0</v>
      </c>
      <c r="J423" t="n">
        <v>0</v>
      </c>
      <c r="K423" t="n">
        <v>0</v>
      </c>
      <c r="L423" t="n">
        <v>0</v>
      </c>
      <c r="M423" t="n">
        <v>0</v>
      </c>
      <c r="N423" t="n">
        <v>0</v>
      </c>
      <c r="O423" t="n">
        <v>0</v>
      </c>
      <c r="P423" t="n">
        <v>0</v>
      </c>
      <c r="Q423" t="n">
        <v>0</v>
      </c>
      <c r="R423" s="2" t="inlineStr"/>
    </row>
    <row r="424" ht="15" customHeight="1">
      <c r="A424" t="inlineStr">
        <is>
          <t>A 54659-2023</t>
        </is>
      </c>
      <c r="B424" s="1" t="n">
        <v>45235</v>
      </c>
      <c r="C424" s="1" t="n">
        <v>46017</v>
      </c>
      <c r="D424" t="inlineStr">
        <is>
          <t>SKÅNE LÄN</t>
        </is>
      </c>
      <c r="E424" t="inlineStr">
        <is>
          <t>HÄSSLEHOLM</t>
        </is>
      </c>
      <c r="G424" t="n">
        <v>5</v>
      </c>
      <c r="H424" t="n">
        <v>0</v>
      </c>
      <c r="I424" t="n">
        <v>0</v>
      </c>
      <c r="J424" t="n">
        <v>0</v>
      </c>
      <c r="K424" t="n">
        <v>0</v>
      </c>
      <c r="L424" t="n">
        <v>0</v>
      </c>
      <c r="M424" t="n">
        <v>0</v>
      </c>
      <c r="N424" t="n">
        <v>0</v>
      </c>
      <c r="O424" t="n">
        <v>0</v>
      </c>
      <c r="P424" t="n">
        <v>0</v>
      </c>
      <c r="Q424" t="n">
        <v>0</v>
      </c>
      <c r="R424" s="2" t="inlineStr"/>
    </row>
    <row r="425" ht="15" customHeight="1">
      <c r="A425" t="inlineStr">
        <is>
          <t>A 10802-2024</t>
        </is>
      </c>
      <c r="B425" s="1" t="n">
        <v>45369</v>
      </c>
      <c r="C425" s="1" t="n">
        <v>46017</v>
      </c>
      <c r="D425" t="inlineStr">
        <is>
          <t>SKÅNE LÄN</t>
        </is>
      </c>
      <c r="E425" t="inlineStr">
        <is>
          <t>HÄSSLEHOLM</t>
        </is>
      </c>
      <c r="G425" t="n">
        <v>3.4</v>
      </c>
      <c r="H425" t="n">
        <v>0</v>
      </c>
      <c r="I425" t="n">
        <v>0</v>
      </c>
      <c r="J425" t="n">
        <v>0</v>
      </c>
      <c r="K425" t="n">
        <v>0</v>
      </c>
      <c r="L425" t="n">
        <v>0</v>
      </c>
      <c r="M425" t="n">
        <v>0</v>
      </c>
      <c r="N425" t="n">
        <v>0</v>
      </c>
      <c r="O425" t="n">
        <v>0</v>
      </c>
      <c r="P425" t="n">
        <v>0</v>
      </c>
      <c r="Q425" t="n">
        <v>0</v>
      </c>
      <c r="R425" s="2" t="inlineStr"/>
    </row>
    <row r="426" ht="15" customHeight="1">
      <c r="A426" t="inlineStr">
        <is>
          <t>A 4787-2023</t>
        </is>
      </c>
      <c r="B426" s="1" t="n">
        <v>44957.60079861111</v>
      </c>
      <c r="C426" s="1" t="n">
        <v>46017</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4788-2023</t>
        </is>
      </c>
      <c r="B427" s="1" t="n">
        <v>44957.60130787037</v>
      </c>
      <c r="C427" s="1" t="n">
        <v>46017</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32210-2024</t>
        </is>
      </c>
      <c r="B428" s="1" t="n">
        <v>45511.67777777778</v>
      </c>
      <c r="C428" s="1" t="n">
        <v>46017</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12558-2023</t>
        </is>
      </c>
      <c r="B429" s="1" t="n">
        <v>45000.36103009259</v>
      </c>
      <c r="C429" s="1" t="n">
        <v>46017</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59431-2023</t>
        </is>
      </c>
      <c r="B430" s="1" t="n">
        <v>45254.29207175926</v>
      </c>
      <c r="C430" s="1" t="n">
        <v>46017</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59433-2023</t>
        </is>
      </c>
      <c r="B431" s="1" t="n">
        <v>45254.29768518519</v>
      </c>
      <c r="C431" s="1" t="n">
        <v>46017</v>
      </c>
      <c r="D431" t="inlineStr">
        <is>
          <t>SKÅNE LÄN</t>
        </is>
      </c>
      <c r="E431" t="inlineStr">
        <is>
          <t>HÄSSLEHOLM</t>
        </is>
      </c>
      <c r="G431" t="n">
        <v>3.1</v>
      </c>
      <c r="H431" t="n">
        <v>0</v>
      </c>
      <c r="I431" t="n">
        <v>0</v>
      </c>
      <c r="J431" t="n">
        <v>0</v>
      </c>
      <c r="K431" t="n">
        <v>0</v>
      </c>
      <c r="L431" t="n">
        <v>0</v>
      </c>
      <c r="M431" t="n">
        <v>0</v>
      </c>
      <c r="N431" t="n">
        <v>0</v>
      </c>
      <c r="O431" t="n">
        <v>0</v>
      </c>
      <c r="P431" t="n">
        <v>0</v>
      </c>
      <c r="Q431" t="n">
        <v>0</v>
      </c>
      <c r="R431" s="2" t="inlineStr"/>
    </row>
    <row r="432" ht="15" customHeight="1">
      <c r="A432" t="inlineStr">
        <is>
          <t>A 13673-2023</t>
        </is>
      </c>
      <c r="B432" s="1" t="n">
        <v>45006.87957175926</v>
      </c>
      <c r="C432" s="1" t="n">
        <v>46017</v>
      </c>
      <c r="D432" t="inlineStr">
        <is>
          <t>SKÅNE LÄN</t>
        </is>
      </c>
      <c r="E432" t="inlineStr">
        <is>
          <t>HÄSSLEHOLM</t>
        </is>
      </c>
      <c r="G432" t="n">
        <v>3.2</v>
      </c>
      <c r="H432" t="n">
        <v>0</v>
      </c>
      <c r="I432" t="n">
        <v>0</v>
      </c>
      <c r="J432" t="n">
        <v>0</v>
      </c>
      <c r="K432" t="n">
        <v>0</v>
      </c>
      <c r="L432" t="n">
        <v>0</v>
      </c>
      <c r="M432" t="n">
        <v>0</v>
      </c>
      <c r="N432" t="n">
        <v>0</v>
      </c>
      <c r="O432" t="n">
        <v>0</v>
      </c>
      <c r="P432" t="n">
        <v>0</v>
      </c>
      <c r="Q432" t="n">
        <v>0</v>
      </c>
      <c r="R432" s="2" t="inlineStr"/>
    </row>
    <row r="433" ht="15" customHeight="1">
      <c r="A433" t="inlineStr">
        <is>
          <t>A 24246-2023</t>
        </is>
      </c>
      <c r="B433" s="1" t="n">
        <v>45079</v>
      </c>
      <c r="C433" s="1" t="n">
        <v>46017</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24249-2023</t>
        </is>
      </c>
      <c r="B434" s="1" t="n">
        <v>45079.62466435185</v>
      </c>
      <c r="C434" s="1" t="n">
        <v>46017</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52548-2023</t>
        </is>
      </c>
      <c r="B435" s="1" t="n">
        <v>45218</v>
      </c>
      <c r="C435" s="1" t="n">
        <v>46017</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48844-2023</t>
        </is>
      </c>
      <c r="B436" s="1" t="n">
        <v>45209</v>
      </c>
      <c r="C436" s="1" t="n">
        <v>46017</v>
      </c>
      <c r="D436" t="inlineStr">
        <is>
          <t>SKÅNE LÄN</t>
        </is>
      </c>
      <c r="E436" t="inlineStr">
        <is>
          <t>HÄSSLEHOLM</t>
        </is>
      </c>
      <c r="G436" t="n">
        <v>4</v>
      </c>
      <c r="H436" t="n">
        <v>0</v>
      </c>
      <c r="I436" t="n">
        <v>0</v>
      </c>
      <c r="J436" t="n">
        <v>0</v>
      </c>
      <c r="K436" t="n">
        <v>0</v>
      </c>
      <c r="L436" t="n">
        <v>0</v>
      </c>
      <c r="M436" t="n">
        <v>0</v>
      </c>
      <c r="N436" t="n">
        <v>0</v>
      </c>
      <c r="O436" t="n">
        <v>0</v>
      </c>
      <c r="P436" t="n">
        <v>0</v>
      </c>
      <c r="Q436" t="n">
        <v>0</v>
      </c>
      <c r="R436" s="2" t="inlineStr"/>
    </row>
    <row r="437" ht="15" customHeight="1">
      <c r="A437" t="inlineStr">
        <is>
          <t>A 23864-2024</t>
        </is>
      </c>
      <c r="B437" s="1" t="n">
        <v>45455</v>
      </c>
      <c r="C437" s="1" t="n">
        <v>46017</v>
      </c>
      <c r="D437" t="inlineStr">
        <is>
          <t>SKÅNE LÄN</t>
        </is>
      </c>
      <c r="E437" t="inlineStr">
        <is>
          <t>HÄSSLEHOLM</t>
        </is>
      </c>
      <c r="G437" t="n">
        <v>6.2</v>
      </c>
      <c r="H437" t="n">
        <v>0</v>
      </c>
      <c r="I437" t="n">
        <v>0</v>
      </c>
      <c r="J437" t="n">
        <v>0</v>
      </c>
      <c r="K437" t="n">
        <v>0</v>
      </c>
      <c r="L437" t="n">
        <v>0</v>
      </c>
      <c r="M437" t="n">
        <v>0</v>
      </c>
      <c r="N437" t="n">
        <v>0</v>
      </c>
      <c r="O437" t="n">
        <v>0</v>
      </c>
      <c r="P437" t="n">
        <v>0</v>
      </c>
      <c r="Q437" t="n">
        <v>0</v>
      </c>
      <c r="R437" s="2" t="inlineStr"/>
    </row>
    <row r="438" ht="15" customHeight="1">
      <c r="A438" t="inlineStr">
        <is>
          <t>A 2813-2021</t>
        </is>
      </c>
      <c r="B438" s="1" t="n">
        <v>44215</v>
      </c>
      <c r="C438" s="1" t="n">
        <v>46017</v>
      </c>
      <c r="D438" t="inlineStr">
        <is>
          <t>SKÅNE LÄN</t>
        </is>
      </c>
      <c r="E438" t="inlineStr">
        <is>
          <t>HÄSSLEHOLM</t>
        </is>
      </c>
      <c r="G438" t="n">
        <v>7.1</v>
      </c>
      <c r="H438" t="n">
        <v>0</v>
      </c>
      <c r="I438" t="n">
        <v>0</v>
      </c>
      <c r="J438" t="n">
        <v>0</v>
      </c>
      <c r="K438" t="n">
        <v>0</v>
      </c>
      <c r="L438" t="n">
        <v>0</v>
      </c>
      <c r="M438" t="n">
        <v>0</v>
      </c>
      <c r="N438" t="n">
        <v>0</v>
      </c>
      <c r="O438" t="n">
        <v>0</v>
      </c>
      <c r="P438" t="n">
        <v>0</v>
      </c>
      <c r="Q438" t="n">
        <v>0</v>
      </c>
      <c r="R438" s="2" t="inlineStr"/>
    </row>
    <row r="439" ht="15" customHeight="1">
      <c r="A439" t="inlineStr">
        <is>
          <t>A 54174-2022</t>
        </is>
      </c>
      <c r="B439" s="1" t="n">
        <v>44881</v>
      </c>
      <c r="C439" s="1" t="n">
        <v>46017</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52235-2021</t>
        </is>
      </c>
      <c r="B440" s="1" t="n">
        <v>44463.60085648148</v>
      </c>
      <c r="C440" s="1" t="n">
        <v>46017</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8160-2024</t>
        </is>
      </c>
      <c r="B441" s="1" t="n">
        <v>45351</v>
      </c>
      <c r="C441" s="1" t="n">
        <v>46017</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53302-2022</t>
        </is>
      </c>
      <c r="B442" s="1" t="n">
        <v>44877</v>
      </c>
      <c r="C442" s="1" t="n">
        <v>46017</v>
      </c>
      <c r="D442" t="inlineStr">
        <is>
          <t>SKÅNE LÄN</t>
        </is>
      </c>
      <c r="E442" t="inlineStr">
        <is>
          <t>HÄSSLEHOLM</t>
        </is>
      </c>
      <c r="G442" t="n">
        <v>0.1</v>
      </c>
      <c r="H442" t="n">
        <v>0</v>
      </c>
      <c r="I442" t="n">
        <v>0</v>
      </c>
      <c r="J442" t="n">
        <v>0</v>
      </c>
      <c r="K442" t="n">
        <v>0</v>
      </c>
      <c r="L442" t="n">
        <v>0</v>
      </c>
      <c r="M442" t="n">
        <v>0</v>
      </c>
      <c r="N442" t="n">
        <v>0</v>
      </c>
      <c r="O442" t="n">
        <v>0</v>
      </c>
      <c r="P442" t="n">
        <v>0</v>
      </c>
      <c r="Q442" t="n">
        <v>0</v>
      </c>
      <c r="R442" s="2" t="inlineStr"/>
    </row>
    <row r="443" ht="15" customHeight="1">
      <c r="A443" t="inlineStr">
        <is>
          <t>A 21329-2023</t>
        </is>
      </c>
      <c r="B443" s="1" t="n">
        <v>45062</v>
      </c>
      <c r="C443" s="1" t="n">
        <v>46017</v>
      </c>
      <c r="D443" t="inlineStr">
        <is>
          <t>SKÅNE LÄN</t>
        </is>
      </c>
      <c r="E443" t="inlineStr">
        <is>
          <t>HÄSSLEHOLM</t>
        </is>
      </c>
      <c r="G443" t="n">
        <v>1.1</v>
      </c>
      <c r="H443" t="n">
        <v>0</v>
      </c>
      <c r="I443" t="n">
        <v>0</v>
      </c>
      <c r="J443" t="n">
        <v>0</v>
      </c>
      <c r="K443" t="n">
        <v>0</v>
      </c>
      <c r="L443" t="n">
        <v>0</v>
      </c>
      <c r="M443" t="n">
        <v>0</v>
      </c>
      <c r="N443" t="n">
        <v>0</v>
      </c>
      <c r="O443" t="n">
        <v>0</v>
      </c>
      <c r="P443" t="n">
        <v>0</v>
      </c>
      <c r="Q443" t="n">
        <v>0</v>
      </c>
      <c r="R443" s="2" t="inlineStr"/>
    </row>
    <row r="444" ht="15" customHeight="1">
      <c r="A444" t="inlineStr">
        <is>
          <t>A 52642-2021</t>
        </is>
      </c>
      <c r="B444" s="1" t="n">
        <v>44466.64298611111</v>
      </c>
      <c r="C444" s="1" t="n">
        <v>46017</v>
      </c>
      <c r="D444" t="inlineStr">
        <is>
          <t>SKÅNE LÄN</t>
        </is>
      </c>
      <c r="E444" t="inlineStr">
        <is>
          <t>HÄSSLEHOLM</t>
        </is>
      </c>
      <c r="G444" t="n">
        <v>3.7</v>
      </c>
      <c r="H444" t="n">
        <v>0</v>
      </c>
      <c r="I444" t="n">
        <v>0</v>
      </c>
      <c r="J444" t="n">
        <v>0</v>
      </c>
      <c r="K444" t="n">
        <v>0</v>
      </c>
      <c r="L444" t="n">
        <v>0</v>
      </c>
      <c r="M444" t="n">
        <v>0</v>
      </c>
      <c r="N444" t="n">
        <v>0</v>
      </c>
      <c r="O444" t="n">
        <v>0</v>
      </c>
      <c r="P444" t="n">
        <v>0</v>
      </c>
      <c r="Q444" t="n">
        <v>0</v>
      </c>
      <c r="R444" s="2" t="inlineStr"/>
    </row>
    <row r="445" ht="15" customHeight="1">
      <c r="A445" t="inlineStr">
        <is>
          <t>A 29850-2024</t>
        </is>
      </c>
      <c r="B445" s="1" t="n">
        <v>45485.64620370371</v>
      </c>
      <c r="C445" s="1" t="n">
        <v>46017</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35711-2024</t>
        </is>
      </c>
      <c r="B446" s="1" t="n">
        <v>45532</v>
      </c>
      <c r="C446" s="1" t="n">
        <v>46017</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43696-2024</t>
        </is>
      </c>
      <c r="B447" s="1" t="n">
        <v>45569.58855324074</v>
      </c>
      <c r="C447" s="1" t="n">
        <v>46017</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12182-2025</t>
        </is>
      </c>
      <c r="B448" s="1" t="n">
        <v>45729</v>
      </c>
      <c r="C448" s="1" t="n">
        <v>46017</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20185-2023</t>
        </is>
      </c>
      <c r="B449" s="1" t="n">
        <v>45055.56795138889</v>
      </c>
      <c r="C449" s="1" t="n">
        <v>46017</v>
      </c>
      <c r="D449" t="inlineStr">
        <is>
          <t>SKÅNE LÄN</t>
        </is>
      </c>
      <c r="E449" t="inlineStr">
        <is>
          <t>HÄSSLEHOLM</t>
        </is>
      </c>
      <c r="G449" t="n">
        <v>3.5</v>
      </c>
      <c r="H449" t="n">
        <v>0</v>
      </c>
      <c r="I449" t="n">
        <v>0</v>
      </c>
      <c r="J449" t="n">
        <v>0</v>
      </c>
      <c r="K449" t="n">
        <v>0</v>
      </c>
      <c r="L449" t="n">
        <v>0</v>
      </c>
      <c r="M449" t="n">
        <v>0</v>
      </c>
      <c r="N449" t="n">
        <v>0</v>
      </c>
      <c r="O449" t="n">
        <v>0</v>
      </c>
      <c r="P449" t="n">
        <v>0</v>
      </c>
      <c r="Q449" t="n">
        <v>0</v>
      </c>
      <c r="R449" s="2" t="inlineStr"/>
    </row>
    <row r="450" ht="15" customHeight="1">
      <c r="A450" t="inlineStr">
        <is>
          <t>A 45222-2023</t>
        </is>
      </c>
      <c r="B450" s="1" t="n">
        <v>45191</v>
      </c>
      <c r="C450" s="1" t="n">
        <v>46017</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38376-2022</t>
        </is>
      </c>
      <c r="B451" s="1" t="n">
        <v>44812</v>
      </c>
      <c r="C451" s="1" t="n">
        <v>46017</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13310-2025</t>
        </is>
      </c>
      <c r="B452" s="1" t="n">
        <v>45735.58814814815</v>
      </c>
      <c r="C452" s="1" t="n">
        <v>46017</v>
      </c>
      <c r="D452" t="inlineStr">
        <is>
          <t>SKÅNE LÄN</t>
        </is>
      </c>
      <c r="E452" t="inlineStr">
        <is>
          <t>HÄSSLEHOLM</t>
        </is>
      </c>
      <c r="G452" t="n">
        <v>2</v>
      </c>
      <c r="H452" t="n">
        <v>0</v>
      </c>
      <c r="I452" t="n">
        <v>0</v>
      </c>
      <c r="J452" t="n">
        <v>0</v>
      </c>
      <c r="K452" t="n">
        <v>0</v>
      </c>
      <c r="L452" t="n">
        <v>0</v>
      </c>
      <c r="M452" t="n">
        <v>0</v>
      </c>
      <c r="N452" t="n">
        <v>0</v>
      </c>
      <c r="O452" t="n">
        <v>0</v>
      </c>
      <c r="P452" t="n">
        <v>0</v>
      </c>
      <c r="Q452" t="n">
        <v>0</v>
      </c>
      <c r="R452" s="2" t="inlineStr"/>
    </row>
    <row r="453" ht="15" customHeight="1">
      <c r="A453" t="inlineStr">
        <is>
          <t>A 62041-2022</t>
        </is>
      </c>
      <c r="B453" s="1" t="n">
        <v>44918.55743055556</v>
      </c>
      <c r="C453" s="1" t="n">
        <v>46017</v>
      </c>
      <c r="D453" t="inlineStr">
        <is>
          <t>SKÅNE LÄN</t>
        </is>
      </c>
      <c r="E453" t="inlineStr">
        <is>
          <t>HÄSSLEHOLM</t>
        </is>
      </c>
      <c r="G453" t="n">
        <v>2.8</v>
      </c>
      <c r="H453" t="n">
        <v>0</v>
      </c>
      <c r="I453" t="n">
        <v>0</v>
      </c>
      <c r="J453" t="n">
        <v>0</v>
      </c>
      <c r="K453" t="n">
        <v>0</v>
      </c>
      <c r="L453" t="n">
        <v>0</v>
      </c>
      <c r="M453" t="n">
        <v>0</v>
      </c>
      <c r="N453" t="n">
        <v>0</v>
      </c>
      <c r="O453" t="n">
        <v>0</v>
      </c>
      <c r="P453" t="n">
        <v>0</v>
      </c>
      <c r="Q453" t="n">
        <v>0</v>
      </c>
      <c r="R453" s="2" t="inlineStr"/>
    </row>
    <row r="454" ht="15" customHeight="1">
      <c r="A454" t="inlineStr">
        <is>
          <t>A 25538-2024</t>
        </is>
      </c>
      <c r="B454" s="1" t="n">
        <v>45463</v>
      </c>
      <c r="C454" s="1" t="n">
        <v>46017</v>
      </c>
      <c r="D454" t="inlineStr">
        <is>
          <t>SKÅNE LÄN</t>
        </is>
      </c>
      <c r="E454" t="inlineStr">
        <is>
          <t>HÄSSLEHOLM</t>
        </is>
      </c>
      <c r="G454" t="n">
        <v>1.6</v>
      </c>
      <c r="H454" t="n">
        <v>0</v>
      </c>
      <c r="I454" t="n">
        <v>0</v>
      </c>
      <c r="J454" t="n">
        <v>0</v>
      </c>
      <c r="K454" t="n">
        <v>0</v>
      </c>
      <c r="L454" t="n">
        <v>0</v>
      </c>
      <c r="M454" t="n">
        <v>0</v>
      </c>
      <c r="N454" t="n">
        <v>0</v>
      </c>
      <c r="O454" t="n">
        <v>0</v>
      </c>
      <c r="P454" t="n">
        <v>0</v>
      </c>
      <c r="Q454" t="n">
        <v>0</v>
      </c>
      <c r="R454" s="2" t="inlineStr"/>
    </row>
    <row r="455" ht="15" customHeight="1">
      <c r="A455" t="inlineStr">
        <is>
          <t>A 18908-2023</t>
        </is>
      </c>
      <c r="B455" s="1" t="n">
        <v>45044</v>
      </c>
      <c r="C455" s="1" t="n">
        <v>46017</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61436-2024</t>
        </is>
      </c>
      <c r="B456" s="1" t="n">
        <v>45646.46329861111</v>
      </c>
      <c r="C456" s="1" t="n">
        <v>46017</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15055-2023</t>
        </is>
      </c>
      <c r="B457" s="1" t="n">
        <v>45015</v>
      </c>
      <c r="C457" s="1" t="n">
        <v>46017</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48046-2023</t>
        </is>
      </c>
      <c r="B458" s="1" t="n">
        <v>45204.85201388889</v>
      </c>
      <c r="C458" s="1" t="n">
        <v>46017</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11607-2025</t>
        </is>
      </c>
      <c r="B459" s="1" t="n">
        <v>45727</v>
      </c>
      <c r="C459" s="1" t="n">
        <v>46017</v>
      </c>
      <c r="D459" t="inlineStr">
        <is>
          <t>SKÅNE LÄN</t>
        </is>
      </c>
      <c r="E459" t="inlineStr">
        <is>
          <t>HÄSSLEHOLM</t>
        </is>
      </c>
      <c r="G459" t="n">
        <v>4.1</v>
      </c>
      <c r="H459" t="n">
        <v>0</v>
      </c>
      <c r="I459" t="n">
        <v>0</v>
      </c>
      <c r="J459" t="n">
        <v>0</v>
      </c>
      <c r="K459" t="n">
        <v>0</v>
      </c>
      <c r="L459" t="n">
        <v>0</v>
      </c>
      <c r="M459" t="n">
        <v>0</v>
      </c>
      <c r="N459" t="n">
        <v>0</v>
      </c>
      <c r="O459" t="n">
        <v>0</v>
      </c>
      <c r="P459" t="n">
        <v>0</v>
      </c>
      <c r="Q459" t="n">
        <v>0</v>
      </c>
      <c r="R459" s="2" t="inlineStr"/>
    </row>
    <row r="460" ht="15" customHeight="1">
      <c r="A460" t="inlineStr">
        <is>
          <t>A 1557-2023</t>
        </is>
      </c>
      <c r="B460" s="1" t="n">
        <v>44937</v>
      </c>
      <c r="C460" s="1" t="n">
        <v>46017</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25324-2024</t>
        </is>
      </c>
      <c r="B461" s="1" t="n">
        <v>45462.804375</v>
      </c>
      <c r="C461" s="1" t="n">
        <v>46017</v>
      </c>
      <c r="D461" t="inlineStr">
        <is>
          <t>SKÅNE LÄN</t>
        </is>
      </c>
      <c r="E461" t="inlineStr">
        <is>
          <t>HÄSSLEHOLM</t>
        </is>
      </c>
      <c r="G461" t="n">
        <v>0.2</v>
      </c>
      <c r="H461" t="n">
        <v>0</v>
      </c>
      <c r="I461" t="n">
        <v>0</v>
      </c>
      <c r="J461" t="n">
        <v>0</v>
      </c>
      <c r="K461" t="n">
        <v>0</v>
      </c>
      <c r="L461" t="n">
        <v>0</v>
      </c>
      <c r="M461" t="n">
        <v>0</v>
      </c>
      <c r="N461" t="n">
        <v>0</v>
      </c>
      <c r="O461" t="n">
        <v>0</v>
      </c>
      <c r="P461" t="n">
        <v>0</v>
      </c>
      <c r="Q461" t="n">
        <v>0</v>
      </c>
      <c r="R461" s="2" t="inlineStr"/>
    </row>
    <row r="462" ht="15" customHeight="1">
      <c r="A462" t="inlineStr">
        <is>
          <t>A 13808-2021</t>
        </is>
      </c>
      <c r="B462" s="1" t="n">
        <v>44276</v>
      </c>
      <c r="C462" s="1" t="n">
        <v>46017</v>
      </c>
      <c r="D462" t="inlineStr">
        <is>
          <t>SKÅNE LÄN</t>
        </is>
      </c>
      <c r="E462" t="inlineStr">
        <is>
          <t>HÄSSLEHOLM</t>
        </is>
      </c>
      <c r="G462" t="n">
        <v>10.3</v>
      </c>
      <c r="H462" t="n">
        <v>0</v>
      </c>
      <c r="I462" t="n">
        <v>0</v>
      </c>
      <c r="J462" t="n">
        <v>0</v>
      </c>
      <c r="K462" t="n">
        <v>0</v>
      </c>
      <c r="L462" t="n">
        <v>0</v>
      </c>
      <c r="M462" t="n">
        <v>0</v>
      </c>
      <c r="N462" t="n">
        <v>0</v>
      </c>
      <c r="O462" t="n">
        <v>0</v>
      </c>
      <c r="P462" t="n">
        <v>0</v>
      </c>
      <c r="Q462" t="n">
        <v>0</v>
      </c>
      <c r="R462" s="2" t="inlineStr"/>
    </row>
    <row r="463" ht="15" customHeight="1">
      <c r="A463" t="inlineStr">
        <is>
          <t>A 6327-2021</t>
        </is>
      </c>
      <c r="B463" s="1" t="n">
        <v>44235</v>
      </c>
      <c r="C463" s="1" t="n">
        <v>46017</v>
      </c>
      <c r="D463" t="inlineStr">
        <is>
          <t>SKÅNE LÄN</t>
        </is>
      </c>
      <c r="E463" t="inlineStr">
        <is>
          <t>HÄSSLEHOLM</t>
        </is>
      </c>
      <c r="G463" t="n">
        <v>1.6</v>
      </c>
      <c r="H463" t="n">
        <v>0</v>
      </c>
      <c r="I463" t="n">
        <v>0</v>
      </c>
      <c r="J463" t="n">
        <v>0</v>
      </c>
      <c r="K463" t="n">
        <v>0</v>
      </c>
      <c r="L463" t="n">
        <v>0</v>
      </c>
      <c r="M463" t="n">
        <v>0</v>
      </c>
      <c r="N463" t="n">
        <v>0</v>
      </c>
      <c r="O463" t="n">
        <v>0</v>
      </c>
      <c r="P463" t="n">
        <v>0</v>
      </c>
      <c r="Q463" t="n">
        <v>0</v>
      </c>
      <c r="R463" s="2" t="inlineStr"/>
    </row>
    <row r="464" ht="15" customHeight="1">
      <c r="A464" t="inlineStr">
        <is>
          <t>A 49106-2023</t>
        </is>
      </c>
      <c r="B464" s="1" t="n">
        <v>45210</v>
      </c>
      <c r="C464" s="1" t="n">
        <v>46017</v>
      </c>
      <c r="D464" t="inlineStr">
        <is>
          <t>SKÅNE LÄN</t>
        </is>
      </c>
      <c r="E464" t="inlineStr">
        <is>
          <t>HÄSSLEHOLM</t>
        </is>
      </c>
      <c r="G464" t="n">
        <v>0.3</v>
      </c>
      <c r="H464" t="n">
        <v>0</v>
      </c>
      <c r="I464" t="n">
        <v>0</v>
      </c>
      <c r="J464" t="n">
        <v>0</v>
      </c>
      <c r="K464" t="n">
        <v>0</v>
      </c>
      <c r="L464" t="n">
        <v>0</v>
      </c>
      <c r="M464" t="n">
        <v>0</v>
      </c>
      <c r="N464" t="n">
        <v>0</v>
      </c>
      <c r="O464" t="n">
        <v>0</v>
      </c>
      <c r="P464" t="n">
        <v>0</v>
      </c>
      <c r="Q464" t="n">
        <v>0</v>
      </c>
      <c r="R464" s="2" t="inlineStr"/>
    </row>
    <row r="465" ht="15" customHeight="1">
      <c r="A465" t="inlineStr">
        <is>
          <t>A 58815-2023</t>
        </is>
      </c>
      <c r="B465" s="1" t="n">
        <v>45247</v>
      </c>
      <c r="C465" s="1" t="n">
        <v>46017</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5478-2021</t>
        </is>
      </c>
      <c r="B466" s="1" t="n">
        <v>44230</v>
      </c>
      <c r="C466" s="1" t="n">
        <v>46017</v>
      </c>
      <c r="D466" t="inlineStr">
        <is>
          <t>SKÅNE LÄN</t>
        </is>
      </c>
      <c r="E466" t="inlineStr">
        <is>
          <t>HÄSSLEHOLM</t>
        </is>
      </c>
      <c r="G466" t="n">
        <v>0.1</v>
      </c>
      <c r="H466" t="n">
        <v>0</v>
      </c>
      <c r="I466" t="n">
        <v>0</v>
      </c>
      <c r="J466" t="n">
        <v>0</v>
      </c>
      <c r="K466" t="n">
        <v>0</v>
      </c>
      <c r="L466" t="n">
        <v>0</v>
      </c>
      <c r="M466" t="n">
        <v>0</v>
      </c>
      <c r="N466" t="n">
        <v>0</v>
      </c>
      <c r="O466" t="n">
        <v>0</v>
      </c>
      <c r="P466" t="n">
        <v>0</v>
      </c>
      <c r="Q466" t="n">
        <v>0</v>
      </c>
      <c r="R466" s="2" t="inlineStr"/>
    </row>
    <row r="467" ht="15" customHeight="1">
      <c r="A467" t="inlineStr">
        <is>
          <t>A 2290-2024</t>
        </is>
      </c>
      <c r="B467" s="1" t="n">
        <v>45310</v>
      </c>
      <c r="C467" s="1" t="n">
        <v>46017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9697-2023</t>
        </is>
      </c>
      <c r="B468" s="1" t="n">
        <v>44984</v>
      </c>
      <c r="C468" s="1" t="n">
        <v>46017</v>
      </c>
      <c r="D468" t="inlineStr">
        <is>
          <t>SKÅNE LÄN</t>
        </is>
      </c>
      <c r="E468" t="inlineStr">
        <is>
          <t>HÄSSLEHOLM</t>
        </is>
      </c>
      <c r="G468" t="n">
        <v>0.3</v>
      </c>
      <c r="H468" t="n">
        <v>0</v>
      </c>
      <c r="I468" t="n">
        <v>0</v>
      </c>
      <c r="J468" t="n">
        <v>0</v>
      </c>
      <c r="K468" t="n">
        <v>0</v>
      </c>
      <c r="L468" t="n">
        <v>0</v>
      </c>
      <c r="M468" t="n">
        <v>0</v>
      </c>
      <c r="N468" t="n">
        <v>0</v>
      </c>
      <c r="O468" t="n">
        <v>0</v>
      </c>
      <c r="P468" t="n">
        <v>0</v>
      </c>
      <c r="Q468" t="n">
        <v>0</v>
      </c>
      <c r="R468" s="2" t="inlineStr"/>
    </row>
    <row r="469" ht="15" customHeight="1">
      <c r="A469" t="inlineStr">
        <is>
          <t>A 13316-2023</t>
        </is>
      </c>
      <c r="B469" s="1" t="n">
        <v>45005.39013888889</v>
      </c>
      <c r="C469" s="1" t="n">
        <v>46017</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65235-2021</t>
        </is>
      </c>
      <c r="B470" s="1" t="n">
        <v>44515</v>
      </c>
      <c r="C470" s="1" t="n">
        <v>46017</v>
      </c>
      <c r="D470" t="inlineStr">
        <is>
          <t>SKÅNE LÄN</t>
        </is>
      </c>
      <c r="E470" t="inlineStr">
        <is>
          <t>HÄSSLEHOLM</t>
        </is>
      </c>
      <c r="G470" t="n">
        <v>2.5</v>
      </c>
      <c r="H470" t="n">
        <v>0</v>
      </c>
      <c r="I470" t="n">
        <v>0</v>
      </c>
      <c r="J470" t="n">
        <v>0</v>
      </c>
      <c r="K470" t="n">
        <v>0</v>
      </c>
      <c r="L470" t="n">
        <v>0</v>
      </c>
      <c r="M470" t="n">
        <v>0</v>
      </c>
      <c r="N470" t="n">
        <v>0</v>
      </c>
      <c r="O470" t="n">
        <v>0</v>
      </c>
      <c r="P470" t="n">
        <v>0</v>
      </c>
      <c r="Q470" t="n">
        <v>0</v>
      </c>
      <c r="R470" s="2" t="inlineStr"/>
    </row>
    <row r="471" ht="15" customHeight="1">
      <c r="A471" t="inlineStr">
        <is>
          <t>A 13358-2023</t>
        </is>
      </c>
      <c r="B471" s="1" t="n">
        <v>45005</v>
      </c>
      <c r="C471" s="1" t="n">
        <v>46017</v>
      </c>
      <c r="D471" t="inlineStr">
        <is>
          <t>SKÅNE LÄN</t>
        </is>
      </c>
      <c r="E471" t="inlineStr">
        <is>
          <t>HÄSSLEHOLM</t>
        </is>
      </c>
      <c r="F471" t="inlineStr">
        <is>
          <t>Övriga Aktiebolag</t>
        </is>
      </c>
      <c r="G471" t="n">
        <v>0.5</v>
      </c>
      <c r="H471" t="n">
        <v>0</v>
      </c>
      <c r="I471" t="n">
        <v>0</v>
      </c>
      <c r="J471" t="n">
        <v>0</v>
      </c>
      <c r="K471" t="n">
        <v>0</v>
      </c>
      <c r="L471" t="n">
        <v>0</v>
      </c>
      <c r="M471" t="n">
        <v>0</v>
      </c>
      <c r="N471" t="n">
        <v>0</v>
      </c>
      <c r="O471" t="n">
        <v>0</v>
      </c>
      <c r="P471" t="n">
        <v>0</v>
      </c>
      <c r="Q471" t="n">
        <v>0</v>
      </c>
      <c r="R471" s="2" t="inlineStr"/>
    </row>
    <row r="472" ht="15" customHeight="1">
      <c r="A472" t="inlineStr">
        <is>
          <t>A 5316-2023</t>
        </is>
      </c>
      <c r="B472" s="1" t="n">
        <v>44959</v>
      </c>
      <c r="C472" s="1" t="n">
        <v>46017</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27478-2023</t>
        </is>
      </c>
      <c r="B473" s="1" t="n">
        <v>45092</v>
      </c>
      <c r="C473" s="1" t="n">
        <v>46017</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6791-2021</t>
        </is>
      </c>
      <c r="B474" s="1" t="n">
        <v>44236</v>
      </c>
      <c r="C474" s="1" t="n">
        <v>46017</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1170-2025</t>
        </is>
      </c>
      <c r="B475" s="1" t="n">
        <v>45667.29226851852</v>
      </c>
      <c r="C475" s="1" t="n">
        <v>46017</v>
      </c>
      <c r="D475" t="inlineStr">
        <is>
          <t>SKÅNE LÄN</t>
        </is>
      </c>
      <c r="E475" t="inlineStr">
        <is>
          <t>HÄSSLEHOLM</t>
        </is>
      </c>
      <c r="G475" t="n">
        <v>4.3</v>
      </c>
      <c r="H475" t="n">
        <v>0</v>
      </c>
      <c r="I475" t="n">
        <v>0</v>
      </c>
      <c r="J475" t="n">
        <v>0</v>
      </c>
      <c r="K475" t="n">
        <v>0</v>
      </c>
      <c r="L475" t="n">
        <v>0</v>
      </c>
      <c r="M475" t="n">
        <v>0</v>
      </c>
      <c r="N475" t="n">
        <v>0</v>
      </c>
      <c r="O475" t="n">
        <v>0</v>
      </c>
      <c r="P475" t="n">
        <v>0</v>
      </c>
      <c r="Q475" t="n">
        <v>0</v>
      </c>
      <c r="R475" s="2" t="inlineStr"/>
    </row>
    <row r="476" ht="15" customHeight="1">
      <c r="A476" t="inlineStr">
        <is>
          <t>A 32794-2023</t>
        </is>
      </c>
      <c r="B476" s="1" t="n">
        <v>45124.40446759259</v>
      </c>
      <c r="C476" s="1" t="n">
        <v>46017</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57749-2023</t>
        </is>
      </c>
      <c r="B477" s="1" t="n">
        <v>45246</v>
      </c>
      <c r="C477" s="1" t="n">
        <v>46017</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28211-2022</t>
        </is>
      </c>
      <c r="B478" s="1" t="n">
        <v>44746</v>
      </c>
      <c r="C478" s="1" t="n">
        <v>46017</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12162-2023</t>
        </is>
      </c>
      <c r="B479" s="1" t="n">
        <v>44998.49619212963</v>
      </c>
      <c r="C479" s="1" t="n">
        <v>46017</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54435-2024</t>
        </is>
      </c>
      <c r="B480" s="1" t="n">
        <v>45617.49494212963</v>
      </c>
      <c r="C480" s="1" t="n">
        <v>46017</v>
      </c>
      <c r="D480" t="inlineStr">
        <is>
          <t>SKÅNE LÄN</t>
        </is>
      </c>
      <c r="E480" t="inlineStr">
        <is>
          <t>HÄSSLEHOLM</t>
        </is>
      </c>
      <c r="G480" t="n">
        <v>2.3</v>
      </c>
      <c r="H480" t="n">
        <v>0</v>
      </c>
      <c r="I480" t="n">
        <v>0</v>
      </c>
      <c r="J480" t="n">
        <v>0</v>
      </c>
      <c r="K480" t="n">
        <v>0</v>
      </c>
      <c r="L480" t="n">
        <v>0</v>
      </c>
      <c r="M480" t="n">
        <v>0</v>
      </c>
      <c r="N480" t="n">
        <v>0</v>
      </c>
      <c r="O480" t="n">
        <v>0</v>
      </c>
      <c r="P480" t="n">
        <v>0</v>
      </c>
      <c r="Q480" t="n">
        <v>0</v>
      </c>
      <c r="R480" s="2" t="inlineStr"/>
    </row>
    <row r="481" ht="15" customHeight="1">
      <c r="A481" t="inlineStr">
        <is>
          <t>A 720-2025</t>
        </is>
      </c>
      <c r="B481" s="1" t="n">
        <v>45665.3744212963</v>
      </c>
      <c r="C481" s="1" t="n">
        <v>46017</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44940-2023</t>
        </is>
      </c>
      <c r="B482" s="1" t="n">
        <v>45190.68653935185</v>
      </c>
      <c r="C482" s="1" t="n">
        <v>46017</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1560-2023</t>
        </is>
      </c>
      <c r="B483" s="1" t="n">
        <v>44937</v>
      </c>
      <c r="C483" s="1" t="n">
        <v>46017</v>
      </c>
      <c r="D483" t="inlineStr">
        <is>
          <t>SKÅNE LÄN</t>
        </is>
      </c>
      <c r="E483" t="inlineStr">
        <is>
          <t>HÄSSLEHOLM</t>
        </is>
      </c>
      <c r="G483" t="n">
        <v>6.8</v>
      </c>
      <c r="H483" t="n">
        <v>0</v>
      </c>
      <c r="I483" t="n">
        <v>0</v>
      </c>
      <c r="J483" t="n">
        <v>0</v>
      </c>
      <c r="K483" t="n">
        <v>0</v>
      </c>
      <c r="L483" t="n">
        <v>0</v>
      </c>
      <c r="M483" t="n">
        <v>0</v>
      </c>
      <c r="N483" t="n">
        <v>0</v>
      </c>
      <c r="O483" t="n">
        <v>0</v>
      </c>
      <c r="P483" t="n">
        <v>0</v>
      </c>
      <c r="Q483" t="n">
        <v>0</v>
      </c>
      <c r="R483" s="2" t="inlineStr"/>
    </row>
    <row r="484" ht="15" customHeight="1">
      <c r="A484" t="inlineStr">
        <is>
          <t>A 14702-2025</t>
        </is>
      </c>
      <c r="B484" s="1" t="n">
        <v>45742.60403935185</v>
      </c>
      <c r="C484" s="1" t="n">
        <v>46017</v>
      </c>
      <c r="D484" t="inlineStr">
        <is>
          <t>SKÅNE LÄN</t>
        </is>
      </c>
      <c r="E484" t="inlineStr">
        <is>
          <t>HÄSSLEHOLM</t>
        </is>
      </c>
      <c r="G484" t="n">
        <v>1.8</v>
      </c>
      <c r="H484" t="n">
        <v>0</v>
      </c>
      <c r="I484" t="n">
        <v>0</v>
      </c>
      <c r="J484" t="n">
        <v>0</v>
      </c>
      <c r="K484" t="n">
        <v>0</v>
      </c>
      <c r="L484" t="n">
        <v>0</v>
      </c>
      <c r="M484" t="n">
        <v>0</v>
      </c>
      <c r="N484" t="n">
        <v>0</v>
      </c>
      <c r="O484" t="n">
        <v>0</v>
      </c>
      <c r="P484" t="n">
        <v>0</v>
      </c>
      <c r="Q484" t="n">
        <v>0</v>
      </c>
      <c r="R484" s="2" t="inlineStr"/>
    </row>
    <row r="485" ht="15" customHeight="1">
      <c r="A485" t="inlineStr">
        <is>
          <t>A 31581-2023</t>
        </is>
      </c>
      <c r="B485" s="1" t="n">
        <v>45117.45165509259</v>
      </c>
      <c r="C485" s="1" t="n">
        <v>46017</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9669-2025</t>
        </is>
      </c>
      <c r="B486" s="1" t="n">
        <v>45716.32921296296</v>
      </c>
      <c r="C486" s="1" t="n">
        <v>46017</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18800-2023</t>
        </is>
      </c>
      <c r="B487" s="1" t="n">
        <v>45044</v>
      </c>
      <c r="C487" s="1" t="n">
        <v>46017</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25206-2023</t>
        </is>
      </c>
      <c r="B488" s="1" t="n">
        <v>45086.59318287037</v>
      </c>
      <c r="C488" s="1" t="n">
        <v>46017</v>
      </c>
      <c r="D488" t="inlineStr">
        <is>
          <t>SKÅNE LÄN</t>
        </is>
      </c>
      <c r="E488" t="inlineStr">
        <is>
          <t>HÄSSLEHOLM</t>
        </is>
      </c>
      <c r="G488" t="n">
        <v>2.9</v>
      </c>
      <c r="H488" t="n">
        <v>0</v>
      </c>
      <c r="I488" t="n">
        <v>0</v>
      </c>
      <c r="J488" t="n">
        <v>0</v>
      </c>
      <c r="K488" t="n">
        <v>0</v>
      </c>
      <c r="L488" t="n">
        <v>0</v>
      </c>
      <c r="M488" t="n">
        <v>0</v>
      </c>
      <c r="N488" t="n">
        <v>0</v>
      </c>
      <c r="O488" t="n">
        <v>0</v>
      </c>
      <c r="P488" t="n">
        <v>0</v>
      </c>
      <c r="Q488" t="n">
        <v>0</v>
      </c>
      <c r="R488" s="2" t="inlineStr"/>
    </row>
    <row r="489" ht="15" customHeight="1">
      <c r="A489" t="inlineStr">
        <is>
          <t>A 59109-2023</t>
        </is>
      </c>
      <c r="B489" s="1" t="n">
        <v>45253.30819444444</v>
      </c>
      <c r="C489" s="1" t="n">
        <v>46017</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5116-2023</t>
        </is>
      </c>
      <c r="B490" s="1" t="n">
        <v>44958.67546296296</v>
      </c>
      <c r="C490" s="1" t="n">
        <v>46017</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34342-2021</t>
        </is>
      </c>
      <c r="B491" s="1" t="n">
        <v>44379</v>
      </c>
      <c r="C491" s="1" t="n">
        <v>46017</v>
      </c>
      <c r="D491" t="inlineStr">
        <is>
          <t>SKÅNE LÄN</t>
        </is>
      </c>
      <c r="E491" t="inlineStr">
        <is>
          <t>HÄSSLEHOLM</t>
        </is>
      </c>
      <c r="G491" t="n">
        <v>7</v>
      </c>
      <c r="H491" t="n">
        <v>0</v>
      </c>
      <c r="I491" t="n">
        <v>0</v>
      </c>
      <c r="J491" t="n">
        <v>0</v>
      </c>
      <c r="K491" t="n">
        <v>0</v>
      </c>
      <c r="L491" t="n">
        <v>0</v>
      </c>
      <c r="M491" t="n">
        <v>0</v>
      </c>
      <c r="N491" t="n">
        <v>0</v>
      </c>
      <c r="O491" t="n">
        <v>0</v>
      </c>
      <c r="P491" t="n">
        <v>0</v>
      </c>
      <c r="Q491" t="n">
        <v>0</v>
      </c>
      <c r="R491" s="2" t="inlineStr"/>
    </row>
    <row r="492" ht="15" customHeight="1">
      <c r="A492" t="inlineStr">
        <is>
          <t>A 33597-2023</t>
        </is>
      </c>
      <c r="B492" s="1" t="n">
        <v>45132</v>
      </c>
      <c r="C492" s="1" t="n">
        <v>46017</v>
      </c>
      <c r="D492" t="inlineStr">
        <is>
          <t>SKÅNE LÄN</t>
        </is>
      </c>
      <c r="E492" t="inlineStr">
        <is>
          <t>HÄSSLEHOLM</t>
        </is>
      </c>
      <c r="G492" t="n">
        <v>3.9</v>
      </c>
      <c r="H492" t="n">
        <v>0</v>
      </c>
      <c r="I492" t="n">
        <v>0</v>
      </c>
      <c r="J492" t="n">
        <v>0</v>
      </c>
      <c r="K492" t="n">
        <v>0</v>
      </c>
      <c r="L492" t="n">
        <v>0</v>
      </c>
      <c r="M492" t="n">
        <v>0</v>
      </c>
      <c r="N492" t="n">
        <v>0</v>
      </c>
      <c r="O492" t="n">
        <v>0</v>
      </c>
      <c r="P492" t="n">
        <v>0</v>
      </c>
      <c r="Q492" t="n">
        <v>0</v>
      </c>
      <c r="R492" s="2" t="inlineStr"/>
    </row>
    <row r="493" ht="15" customHeight="1">
      <c r="A493" t="inlineStr">
        <is>
          <t>A 33599-2023</t>
        </is>
      </c>
      <c r="B493" s="1" t="n">
        <v>45132</v>
      </c>
      <c r="C493" s="1" t="n">
        <v>46017</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33938-2023</t>
        </is>
      </c>
      <c r="B494" s="1" t="n">
        <v>45124</v>
      </c>
      <c r="C494" s="1" t="n">
        <v>46017</v>
      </c>
      <c r="D494" t="inlineStr">
        <is>
          <t>SKÅNE LÄN</t>
        </is>
      </c>
      <c r="E494" t="inlineStr">
        <is>
          <t>HÄSSLEHOLM</t>
        </is>
      </c>
      <c r="G494" t="n">
        <v>1.8</v>
      </c>
      <c r="H494" t="n">
        <v>0</v>
      </c>
      <c r="I494" t="n">
        <v>0</v>
      </c>
      <c r="J494" t="n">
        <v>0</v>
      </c>
      <c r="K494" t="n">
        <v>0</v>
      </c>
      <c r="L494" t="n">
        <v>0</v>
      </c>
      <c r="M494" t="n">
        <v>0</v>
      </c>
      <c r="N494" t="n">
        <v>0</v>
      </c>
      <c r="O494" t="n">
        <v>0</v>
      </c>
      <c r="P494" t="n">
        <v>0</v>
      </c>
      <c r="Q494" t="n">
        <v>0</v>
      </c>
      <c r="R494" s="2" t="inlineStr"/>
    </row>
    <row r="495" ht="15" customHeight="1">
      <c r="A495" t="inlineStr">
        <is>
          <t>A 58888-2024</t>
        </is>
      </c>
      <c r="B495" s="1" t="n">
        <v>45636.45962962963</v>
      </c>
      <c r="C495" s="1" t="n">
        <v>46017</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21028-2021</t>
        </is>
      </c>
      <c r="B496" s="1" t="n">
        <v>44319</v>
      </c>
      <c r="C496" s="1" t="n">
        <v>46017</v>
      </c>
      <c r="D496" t="inlineStr">
        <is>
          <t>SKÅNE LÄN</t>
        </is>
      </c>
      <c r="E496" t="inlineStr">
        <is>
          <t>HÄSSLEHOLM</t>
        </is>
      </c>
      <c r="G496" t="n">
        <v>3.1</v>
      </c>
      <c r="H496" t="n">
        <v>0</v>
      </c>
      <c r="I496" t="n">
        <v>0</v>
      </c>
      <c r="J496" t="n">
        <v>0</v>
      </c>
      <c r="K496" t="n">
        <v>0</v>
      </c>
      <c r="L496" t="n">
        <v>0</v>
      </c>
      <c r="M496" t="n">
        <v>0</v>
      </c>
      <c r="N496" t="n">
        <v>0</v>
      </c>
      <c r="O496" t="n">
        <v>0</v>
      </c>
      <c r="P496" t="n">
        <v>0</v>
      </c>
      <c r="Q496" t="n">
        <v>0</v>
      </c>
      <c r="R496" s="2" t="inlineStr"/>
    </row>
    <row r="497" ht="15" customHeight="1">
      <c r="A497" t="inlineStr">
        <is>
          <t>A 22693-2022</t>
        </is>
      </c>
      <c r="B497" s="1" t="n">
        <v>44714.54729166667</v>
      </c>
      <c r="C497" s="1" t="n">
        <v>46017</v>
      </c>
      <c r="D497" t="inlineStr">
        <is>
          <t>SKÅNE LÄN</t>
        </is>
      </c>
      <c r="E497" t="inlineStr">
        <is>
          <t>HÄSSLEHOLM</t>
        </is>
      </c>
      <c r="G497" t="n">
        <v>2.8</v>
      </c>
      <c r="H497" t="n">
        <v>0</v>
      </c>
      <c r="I497" t="n">
        <v>0</v>
      </c>
      <c r="J497" t="n">
        <v>0</v>
      </c>
      <c r="K497" t="n">
        <v>0</v>
      </c>
      <c r="L497" t="n">
        <v>0</v>
      </c>
      <c r="M497" t="n">
        <v>0</v>
      </c>
      <c r="N497" t="n">
        <v>0</v>
      </c>
      <c r="O497" t="n">
        <v>0</v>
      </c>
      <c r="P497" t="n">
        <v>0</v>
      </c>
      <c r="Q497" t="n">
        <v>0</v>
      </c>
      <c r="R497" s="2" t="inlineStr"/>
    </row>
    <row r="498" ht="15" customHeight="1">
      <c r="A498" t="inlineStr">
        <is>
          <t>A 35889-2023</t>
        </is>
      </c>
      <c r="B498" s="1" t="n">
        <v>45148</v>
      </c>
      <c r="C498" s="1" t="n">
        <v>46017</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35894-2023</t>
        </is>
      </c>
      <c r="B499" s="1" t="n">
        <v>45148</v>
      </c>
      <c r="C499" s="1" t="n">
        <v>46017</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35974-2022</t>
        </is>
      </c>
      <c r="B500" s="1" t="n">
        <v>44802</v>
      </c>
      <c r="C500" s="1" t="n">
        <v>46017</v>
      </c>
      <c r="D500" t="inlineStr">
        <is>
          <t>SKÅNE LÄN</t>
        </is>
      </c>
      <c r="E500" t="inlineStr">
        <is>
          <t>HÄSSLEHOLM</t>
        </is>
      </c>
      <c r="G500" t="n">
        <v>3.8</v>
      </c>
      <c r="H500" t="n">
        <v>0</v>
      </c>
      <c r="I500" t="n">
        <v>0</v>
      </c>
      <c r="J500" t="n">
        <v>0</v>
      </c>
      <c r="K500" t="n">
        <v>0</v>
      </c>
      <c r="L500" t="n">
        <v>0</v>
      </c>
      <c r="M500" t="n">
        <v>0</v>
      </c>
      <c r="N500" t="n">
        <v>0</v>
      </c>
      <c r="O500" t="n">
        <v>0</v>
      </c>
      <c r="P500" t="n">
        <v>0</v>
      </c>
      <c r="Q500" t="n">
        <v>0</v>
      </c>
      <c r="R500" s="2" t="inlineStr"/>
    </row>
    <row r="501" ht="15" customHeight="1">
      <c r="A501" t="inlineStr">
        <is>
          <t>A 24906-2022</t>
        </is>
      </c>
      <c r="B501" s="1" t="n">
        <v>44728</v>
      </c>
      <c r="C501" s="1" t="n">
        <v>46017</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6165-2023</t>
        </is>
      </c>
      <c r="B502" s="1" t="n">
        <v>44964.67114583333</v>
      </c>
      <c r="C502" s="1" t="n">
        <v>46017</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7150-2025</t>
        </is>
      </c>
      <c r="B503" s="1" t="n">
        <v>45702.38239583333</v>
      </c>
      <c r="C503" s="1" t="n">
        <v>46017</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10220-2023</t>
        </is>
      </c>
      <c r="B504" s="1" t="n">
        <v>44986.60916666667</v>
      </c>
      <c r="C504" s="1" t="n">
        <v>46017</v>
      </c>
      <c r="D504" t="inlineStr">
        <is>
          <t>SKÅNE LÄN</t>
        </is>
      </c>
      <c r="E504" t="inlineStr">
        <is>
          <t>HÄSSLEHOLM</t>
        </is>
      </c>
      <c r="G504" t="n">
        <v>1.7</v>
      </c>
      <c r="H504" t="n">
        <v>0</v>
      </c>
      <c r="I504" t="n">
        <v>0</v>
      </c>
      <c r="J504" t="n">
        <v>0</v>
      </c>
      <c r="K504" t="n">
        <v>0</v>
      </c>
      <c r="L504" t="n">
        <v>0</v>
      </c>
      <c r="M504" t="n">
        <v>0</v>
      </c>
      <c r="N504" t="n">
        <v>0</v>
      </c>
      <c r="O504" t="n">
        <v>0</v>
      </c>
      <c r="P504" t="n">
        <v>0</v>
      </c>
      <c r="Q504" t="n">
        <v>0</v>
      </c>
      <c r="R504" s="2" t="inlineStr"/>
    </row>
    <row r="505" ht="15" customHeight="1">
      <c r="A505" t="inlineStr">
        <is>
          <t>A 16017-2023</t>
        </is>
      </c>
      <c r="B505" s="1" t="n">
        <v>45026</v>
      </c>
      <c r="C505" s="1" t="n">
        <v>46017</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31989-2024</t>
        </is>
      </c>
      <c r="B506" s="1" t="n">
        <v>45510.58085648148</v>
      </c>
      <c r="C506" s="1" t="n">
        <v>46017</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55303-2024</t>
        </is>
      </c>
      <c r="B507" s="1" t="n">
        <v>45621.6434837963</v>
      </c>
      <c r="C507" s="1" t="n">
        <v>46017</v>
      </c>
      <c r="D507" t="inlineStr">
        <is>
          <t>SKÅNE LÄN</t>
        </is>
      </c>
      <c r="E507" t="inlineStr">
        <is>
          <t>HÄSSLEHOLM</t>
        </is>
      </c>
      <c r="G507" t="n">
        <v>3.3</v>
      </c>
      <c r="H507" t="n">
        <v>0</v>
      </c>
      <c r="I507" t="n">
        <v>0</v>
      </c>
      <c r="J507" t="n">
        <v>0</v>
      </c>
      <c r="K507" t="n">
        <v>0</v>
      </c>
      <c r="L507" t="n">
        <v>0</v>
      </c>
      <c r="M507" t="n">
        <v>0</v>
      </c>
      <c r="N507" t="n">
        <v>0</v>
      </c>
      <c r="O507" t="n">
        <v>0</v>
      </c>
      <c r="P507" t="n">
        <v>0</v>
      </c>
      <c r="Q507" t="n">
        <v>0</v>
      </c>
      <c r="R507" s="2" t="inlineStr"/>
    </row>
    <row r="508" ht="15" customHeight="1">
      <c r="A508" t="inlineStr">
        <is>
          <t>A 35640-2023</t>
        </is>
      </c>
      <c r="B508" s="1" t="n">
        <v>45147</v>
      </c>
      <c r="C508" s="1" t="n">
        <v>46017</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1445-2021</t>
        </is>
      </c>
      <c r="B509" s="1" t="n">
        <v>44208</v>
      </c>
      <c r="C509" s="1" t="n">
        <v>46017</v>
      </c>
      <c r="D509" t="inlineStr">
        <is>
          <t>SKÅNE LÄN</t>
        </is>
      </c>
      <c r="E509" t="inlineStr">
        <is>
          <t>HÄSSLEHOLM</t>
        </is>
      </c>
      <c r="G509" t="n">
        <v>4.6</v>
      </c>
      <c r="H509" t="n">
        <v>0</v>
      </c>
      <c r="I509" t="n">
        <v>0</v>
      </c>
      <c r="J509" t="n">
        <v>0</v>
      </c>
      <c r="K509" t="n">
        <v>0</v>
      </c>
      <c r="L509" t="n">
        <v>0</v>
      </c>
      <c r="M509" t="n">
        <v>0</v>
      </c>
      <c r="N509" t="n">
        <v>0</v>
      </c>
      <c r="O509" t="n">
        <v>0</v>
      </c>
      <c r="P509" t="n">
        <v>0</v>
      </c>
      <c r="Q509" t="n">
        <v>0</v>
      </c>
      <c r="R509" s="2" t="inlineStr"/>
    </row>
    <row r="510" ht="15" customHeight="1">
      <c r="A510" t="inlineStr">
        <is>
          <t>A 16397-2022</t>
        </is>
      </c>
      <c r="B510" s="1" t="n">
        <v>44671</v>
      </c>
      <c r="C510" s="1" t="n">
        <v>46017</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16398-2022</t>
        </is>
      </c>
      <c r="B511" s="1" t="n">
        <v>44671</v>
      </c>
      <c r="C511" s="1" t="n">
        <v>46017</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48771-2024</t>
        </is>
      </c>
      <c r="B512" s="1" t="n">
        <v>45593.61284722222</v>
      </c>
      <c r="C512" s="1" t="n">
        <v>46017</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24241-2023</t>
        </is>
      </c>
      <c r="B513" s="1" t="n">
        <v>45079.61476851852</v>
      </c>
      <c r="C513" s="1" t="n">
        <v>46017</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23987-2024</t>
        </is>
      </c>
      <c r="B514" s="1" t="n">
        <v>45456</v>
      </c>
      <c r="C514" s="1" t="n">
        <v>46017</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19739-2023</t>
        </is>
      </c>
      <c r="B515" s="1" t="n">
        <v>45051</v>
      </c>
      <c r="C515" s="1" t="n">
        <v>46017</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59246-2024</t>
        </is>
      </c>
      <c r="B516" s="1" t="n">
        <v>45636</v>
      </c>
      <c r="C516" s="1" t="n">
        <v>46017</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4734-2025</t>
        </is>
      </c>
      <c r="B517" s="1" t="n">
        <v>45688.44030092593</v>
      </c>
      <c r="C517" s="1" t="n">
        <v>46017</v>
      </c>
      <c r="D517" t="inlineStr">
        <is>
          <t>SKÅNE LÄN</t>
        </is>
      </c>
      <c r="E517" t="inlineStr">
        <is>
          <t>HÄSSLEHOLM</t>
        </is>
      </c>
      <c r="G517" t="n">
        <v>19.6</v>
      </c>
      <c r="H517" t="n">
        <v>0</v>
      </c>
      <c r="I517" t="n">
        <v>0</v>
      </c>
      <c r="J517" t="n">
        <v>0</v>
      </c>
      <c r="K517" t="n">
        <v>0</v>
      </c>
      <c r="L517" t="n">
        <v>0</v>
      </c>
      <c r="M517" t="n">
        <v>0</v>
      </c>
      <c r="N517" t="n">
        <v>0</v>
      </c>
      <c r="O517" t="n">
        <v>0</v>
      </c>
      <c r="P517" t="n">
        <v>0</v>
      </c>
      <c r="Q517" t="n">
        <v>0</v>
      </c>
      <c r="R517" s="2" t="inlineStr"/>
    </row>
    <row r="518" ht="15" customHeight="1">
      <c r="A518" t="inlineStr">
        <is>
          <t>A 59434-2023</t>
        </is>
      </c>
      <c r="B518" s="1" t="n">
        <v>45254.30440972222</v>
      </c>
      <c r="C518" s="1" t="n">
        <v>46017</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23666-2023</t>
        </is>
      </c>
      <c r="B519" s="1" t="n">
        <v>45077</v>
      </c>
      <c r="C519" s="1" t="n">
        <v>46017</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35237-2023</t>
        </is>
      </c>
      <c r="B520" s="1" t="n">
        <v>45145.74532407407</v>
      </c>
      <c r="C520" s="1" t="n">
        <v>46017</v>
      </c>
      <c r="D520" t="inlineStr">
        <is>
          <t>SKÅNE LÄN</t>
        </is>
      </c>
      <c r="E520" t="inlineStr">
        <is>
          <t>HÄSSLEHOLM</t>
        </is>
      </c>
      <c r="G520" t="n">
        <v>1.3</v>
      </c>
      <c r="H520" t="n">
        <v>0</v>
      </c>
      <c r="I520" t="n">
        <v>0</v>
      </c>
      <c r="J520" t="n">
        <v>0</v>
      </c>
      <c r="K520" t="n">
        <v>0</v>
      </c>
      <c r="L520" t="n">
        <v>0</v>
      </c>
      <c r="M520" t="n">
        <v>0</v>
      </c>
      <c r="N520" t="n">
        <v>0</v>
      </c>
      <c r="O520" t="n">
        <v>0</v>
      </c>
      <c r="P520" t="n">
        <v>0</v>
      </c>
      <c r="Q520" t="n">
        <v>0</v>
      </c>
      <c r="R520" s="2" t="inlineStr"/>
    </row>
    <row r="521" ht="15" customHeight="1">
      <c r="A521" t="inlineStr">
        <is>
          <t>A 5476-2021</t>
        </is>
      </c>
      <c r="B521" s="1" t="n">
        <v>44230</v>
      </c>
      <c r="C521" s="1" t="n">
        <v>46017</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260-2024</t>
        </is>
      </c>
      <c r="B522" s="1" t="n">
        <v>45294</v>
      </c>
      <c r="C522" s="1" t="n">
        <v>46017</v>
      </c>
      <c r="D522" t="inlineStr">
        <is>
          <t>SKÅNE LÄN</t>
        </is>
      </c>
      <c r="E522" t="inlineStr">
        <is>
          <t>HÄSSLEHOLM</t>
        </is>
      </c>
      <c r="G522" t="n">
        <v>0.2</v>
      </c>
      <c r="H522" t="n">
        <v>0</v>
      </c>
      <c r="I522" t="n">
        <v>0</v>
      </c>
      <c r="J522" t="n">
        <v>0</v>
      </c>
      <c r="K522" t="n">
        <v>0</v>
      </c>
      <c r="L522" t="n">
        <v>0</v>
      </c>
      <c r="M522" t="n">
        <v>0</v>
      </c>
      <c r="N522" t="n">
        <v>0</v>
      </c>
      <c r="O522" t="n">
        <v>0</v>
      </c>
      <c r="P522" t="n">
        <v>0</v>
      </c>
      <c r="Q522" t="n">
        <v>0</v>
      </c>
      <c r="R522" s="2" t="inlineStr"/>
    </row>
    <row r="523" ht="15" customHeight="1">
      <c r="A523" t="inlineStr">
        <is>
          <t>A 26403-2024</t>
        </is>
      </c>
      <c r="B523" s="1" t="n">
        <v>45469.44505787037</v>
      </c>
      <c r="C523" s="1" t="n">
        <v>46017</v>
      </c>
      <c r="D523" t="inlineStr">
        <is>
          <t>SKÅNE LÄN</t>
        </is>
      </c>
      <c r="E523" t="inlineStr">
        <is>
          <t>HÄSSLEHOLM</t>
        </is>
      </c>
      <c r="G523" t="n">
        <v>2.6</v>
      </c>
      <c r="H523" t="n">
        <v>0</v>
      </c>
      <c r="I523" t="n">
        <v>0</v>
      </c>
      <c r="J523" t="n">
        <v>0</v>
      </c>
      <c r="K523" t="n">
        <v>0</v>
      </c>
      <c r="L523" t="n">
        <v>0</v>
      </c>
      <c r="M523" t="n">
        <v>0</v>
      </c>
      <c r="N523" t="n">
        <v>0</v>
      </c>
      <c r="O523" t="n">
        <v>0</v>
      </c>
      <c r="P523" t="n">
        <v>0</v>
      </c>
      <c r="Q523" t="n">
        <v>0</v>
      </c>
      <c r="R523" s="2" t="inlineStr"/>
    </row>
    <row r="524" ht="15" customHeight="1">
      <c r="A524" t="inlineStr">
        <is>
          <t>A 26403-2024</t>
        </is>
      </c>
      <c r="B524" s="1" t="n">
        <v>45469.44505787037</v>
      </c>
      <c r="C524" s="1" t="n">
        <v>46017</v>
      </c>
      <c r="D524" t="inlineStr">
        <is>
          <t>SKÅNE LÄN</t>
        </is>
      </c>
      <c r="E524" t="inlineStr">
        <is>
          <t>HÄSSLEHOLM</t>
        </is>
      </c>
      <c r="G524" t="n">
        <v>2.6</v>
      </c>
      <c r="H524" t="n">
        <v>0</v>
      </c>
      <c r="I524" t="n">
        <v>0</v>
      </c>
      <c r="J524" t="n">
        <v>0</v>
      </c>
      <c r="K524" t="n">
        <v>0</v>
      </c>
      <c r="L524" t="n">
        <v>0</v>
      </c>
      <c r="M524" t="n">
        <v>0</v>
      </c>
      <c r="N524" t="n">
        <v>0</v>
      </c>
      <c r="O524" t="n">
        <v>0</v>
      </c>
      <c r="P524" t="n">
        <v>0</v>
      </c>
      <c r="Q524" t="n">
        <v>0</v>
      </c>
      <c r="R524" s="2" t="inlineStr"/>
    </row>
    <row r="525" ht="15" customHeight="1">
      <c r="A525" t="inlineStr">
        <is>
          <t>A 57275-2023</t>
        </is>
      </c>
      <c r="B525" s="1" t="n">
        <v>45245.58886574074</v>
      </c>
      <c r="C525" s="1" t="n">
        <v>46017</v>
      </c>
      <c r="D525" t="inlineStr">
        <is>
          <t>SKÅNE LÄN</t>
        </is>
      </c>
      <c r="E525" t="inlineStr">
        <is>
          <t>HÄSSLEHOLM</t>
        </is>
      </c>
      <c r="G525" t="n">
        <v>1.7</v>
      </c>
      <c r="H525" t="n">
        <v>0</v>
      </c>
      <c r="I525" t="n">
        <v>0</v>
      </c>
      <c r="J525" t="n">
        <v>0</v>
      </c>
      <c r="K525" t="n">
        <v>0</v>
      </c>
      <c r="L525" t="n">
        <v>0</v>
      </c>
      <c r="M525" t="n">
        <v>0</v>
      </c>
      <c r="N525" t="n">
        <v>0</v>
      </c>
      <c r="O525" t="n">
        <v>0</v>
      </c>
      <c r="P525" t="n">
        <v>0</v>
      </c>
      <c r="Q525" t="n">
        <v>0</v>
      </c>
      <c r="R525" s="2" t="inlineStr"/>
    </row>
    <row r="526" ht="15" customHeight="1">
      <c r="A526" t="inlineStr">
        <is>
          <t>A 24776-2025</t>
        </is>
      </c>
      <c r="B526" s="1" t="n">
        <v>45799.40640046296</v>
      </c>
      <c r="C526" s="1" t="n">
        <v>46017</v>
      </c>
      <c r="D526" t="inlineStr">
        <is>
          <t>SKÅNE LÄN</t>
        </is>
      </c>
      <c r="E526" t="inlineStr">
        <is>
          <t>HÄSSLEHOLM</t>
        </is>
      </c>
      <c r="G526" t="n">
        <v>5.4</v>
      </c>
      <c r="H526" t="n">
        <v>0</v>
      </c>
      <c r="I526" t="n">
        <v>0</v>
      </c>
      <c r="J526" t="n">
        <v>0</v>
      </c>
      <c r="K526" t="n">
        <v>0</v>
      </c>
      <c r="L526" t="n">
        <v>0</v>
      </c>
      <c r="M526" t="n">
        <v>0</v>
      </c>
      <c r="N526" t="n">
        <v>0</v>
      </c>
      <c r="O526" t="n">
        <v>0</v>
      </c>
      <c r="P526" t="n">
        <v>0</v>
      </c>
      <c r="Q526" t="n">
        <v>0</v>
      </c>
      <c r="R526" s="2" t="inlineStr"/>
    </row>
    <row r="527" ht="15" customHeight="1">
      <c r="A527" t="inlineStr">
        <is>
          <t>A 55284-2023</t>
        </is>
      </c>
      <c r="B527" s="1" t="n">
        <v>45237.74259259259</v>
      </c>
      <c r="C527" s="1" t="n">
        <v>46017</v>
      </c>
      <c r="D527" t="inlineStr">
        <is>
          <t>SKÅNE LÄN</t>
        </is>
      </c>
      <c r="E527" t="inlineStr">
        <is>
          <t>HÄSSLEHOLM</t>
        </is>
      </c>
      <c r="G527" t="n">
        <v>1.4</v>
      </c>
      <c r="H527" t="n">
        <v>0</v>
      </c>
      <c r="I527" t="n">
        <v>0</v>
      </c>
      <c r="J527" t="n">
        <v>0</v>
      </c>
      <c r="K527" t="n">
        <v>0</v>
      </c>
      <c r="L527" t="n">
        <v>0</v>
      </c>
      <c r="M527" t="n">
        <v>0</v>
      </c>
      <c r="N527" t="n">
        <v>0</v>
      </c>
      <c r="O527" t="n">
        <v>0</v>
      </c>
      <c r="P527" t="n">
        <v>0</v>
      </c>
      <c r="Q527" t="n">
        <v>0</v>
      </c>
      <c r="R527" s="2" t="inlineStr"/>
    </row>
    <row r="528" ht="15" customHeight="1">
      <c r="A528" t="inlineStr">
        <is>
          <t>A 27304-2023</t>
        </is>
      </c>
      <c r="B528" s="1" t="n">
        <v>45096.65199074074</v>
      </c>
      <c r="C528" s="1" t="n">
        <v>46017</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22384-2024</t>
        </is>
      </c>
      <c r="B529" s="1" t="n">
        <v>45446.65592592592</v>
      </c>
      <c r="C529" s="1" t="n">
        <v>46017</v>
      </c>
      <c r="D529" t="inlineStr">
        <is>
          <t>SKÅNE LÄN</t>
        </is>
      </c>
      <c r="E529" t="inlineStr">
        <is>
          <t>HÄSSLEHOLM</t>
        </is>
      </c>
      <c r="G529" t="n">
        <v>2.4</v>
      </c>
      <c r="H529" t="n">
        <v>0</v>
      </c>
      <c r="I529" t="n">
        <v>0</v>
      </c>
      <c r="J529" t="n">
        <v>0</v>
      </c>
      <c r="K529" t="n">
        <v>0</v>
      </c>
      <c r="L529" t="n">
        <v>0</v>
      </c>
      <c r="M529" t="n">
        <v>0</v>
      </c>
      <c r="N529" t="n">
        <v>0</v>
      </c>
      <c r="O529" t="n">
        <v>0</v>
      </c>
      <c r="P529" t="n">
        <v>0</v>
      </c>
      <c r="Q529" t="n">
        <v>0</v>
      </c>
      <c r="R529" s="2" t="inlineStr"/>
    </row>
    <row r="530" ht="15" customHeight="1">
      <c r="A530" t="inlineStr">
        <is>
          <t>A 9239-2025</t>
        </is>
      </c>
      <c r="B530" s="1" t="n">
        <v>45714</v>
      </c>
      <c r="C530" s="1" t="n">
        <v>46017</v>
      </c>
      <c r="D530" t="inlineStr">
        <is>
          <t>SKÅNE LÄN</t>
        </is>
      </c>
      <c r="E530" t="inlineStr">
        <is>
          <t>HÄSSLEHOLM</t>
        </is>
      </c>
      <c r="G530" t="n">
        <v>1.8</v>
      </c>
      <c r="H530" t="n">
        <v>0</v>
      </c>
      <c r="I530" t="n">
        <v>0</v>
      </c>
      <c r="J530" t="n">
        <v>0</v>
      </c>
      <c r="K530" t="n">
        <v>0</v>
      </c>
      <c r="L530" t="n">
        <v>0</v>
      </c>
      <c r="M530" t="n">
        <v>0</v>
      </c>
      <c r="N530" t="n">
        <v>0</v>
      </c>
      <c r="O530" t="n">
        <v>0</v>
      </c>
      <c r="P530" t="n">
        <v>0</v>
      </c>
      <c r="Q530" t="n">
        <v>0</v>
      </c>
      <c r="R530" s="2" t="inlineStr"/>
    </row>
    <row r="531" ht="15" customHeight="1">
      <c r="A531" t="inlineStr">
        <is>
          <t>A 16121-2025</t>
        </is>
      </c>
      <c r="B531" s="1" t="n">
        <v>45750.40384259259</v>
      </c>
      <c r="C531" s="1" t="n">
        <v>46017</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28599-2024</t>
        </is>
      </c>
      <c r="B532" s="1" t="n">
        <v>45478.4247800926</v>
      </c>
      <c r="C532" s="1" t="n">
        <v>46017</v>
      </c>
      <c r="D532" t="inlineStr">
        <is>
          <t>SKÅNE LÄN</t>
        </is>
      </c>
      <c r="E532" t="inlineStr">
        <is>
          <t>HÄSSLEHOLM</t>
        </is>
      </c>
      <c r="G532" t="n">
        <v>8.6</v>
      </c>
      <c r="H532" t="n">
        <v>0</v>
      </c>
      <c r="I532" t="n">
        <v>0</v>
      </c>
      <c r="J532" t="n">
        <v>0</v>
      </c>
      <c r="K532" t="n">
        <v>0</v>
      </c>
      <c r="L532" t="n">
        <v>0</v>
      </c>
      <c r="M532" t="n">
        <v>0</v>
      </c>
      <c r="N532" t="n">
        <v>0</v>
      </c>
      <c r="O532" t="n">
        <v>0</v>
      </c>
      <c r="P532" t="n">
        <v>0</v>
      </c>
      <c r="Q532" t="n">
        <v>0</v>
      </c>
      <c r="R532" s="2" t="inlineStr"/>
    </row>
    <row r="533" ht="15" customHeight="1">
      <c r="A533" t="inlineStr">
        <is>
          <t>A 1616-2025</t>
        </is>
      </c>
      <c r="B533" s="1" t="n">
        <v>45670</v>
      </c>
      <c r="C533" s="1" t="n">
        <v>46017</v>
      </c>
      <c r="D533" t="inlineStr">
        <is>
          <t>SKÅNE LÄN</t>
        </is>
      </c>
      <c r="E533" t="inlineStr">
        <is>
          <t>HÄSSLEHOLM</t>
        </is>
      </c>
      <c r="G533" t="n">
        <v>3.6</v>
      </c>
      <c r="H533" t="n">
        <v>0</v>
      </c>
      <c r="I533" t="n">
        <v>0</v>
      </c>
      <c r="J533" t="n">
        <v>0</v>
      </c>
      <c r="K533" t="n">
        <v>0</v>
      </c>
      <c r="L533" t="n">
        <v>0</v>
      </c>
      <c r="M533" t="n">
        <v>0</v>
      </c>
      <c r="N533" t="n">
        <v>0</v>
      </c>
      <c r="O533" t="n">
        <v>0</v>
      </c>
      <c r="P533" t="n">
        <v>0</v>
      </c>
      <c r="Q533" t="n">
        <v>0</v>
      </c>
      <c r="R533" s="2" t="inlineStr"/>
    </row>
    <row r="534" ht="15" customHeight="1">
      <c r="A534" t="inlineStr">
        <is>
          <t>A 48191-2021</t>
        </is>
      </c>
      <c r="B534" s="1" t="n">
        <v>44449</v>
      </c>
      <c r="C534" s="1" t="n">
        <v>46017</v>
      </c>
      <c r="D534" t="inlineStr">
        <is>
          <t>SKÅNE LÄN</t>
        </is>
      </c>
      <c r="E534" t="inlineStr">
        <is>
          <t>HÄSSLEHOLM</t>
        </is>
      </c>
      <c r="G534" t="n">
        <v>6</v>
      </c>
      <c r="H534" t="n">
        <v>0</v>
      </c>
      <c r="I534" t="n">
        <v>0</v>
      </c>
      <c r="J534" t="n">
        <v>0</v>
      </c>
      <c r="K534" t="n">
        <v>0</v>
      </c>
      <c r="L534" t="n">
        <v>0</v>
      </c>
      <c r="M534" t="n">
        <v>0</v>
      </c>
      <c r="N534" t="n">
        <v>0</v>
      </c>
      <c r="O534" t="n">
        <v>0</v>
      </c>
      <c r="P534" t="n">
        <v>0</v>
      </c>
      <c r="Q534" t="n">
        <v>0</v>
      </c>
      <c r="R534" s="2" t="inlineStr"/>
    </row>
    <row r="535" ht="15" customHeight="1">
      <c r="A535" t="inlineStr">
        <is>
          <t>A 11446-2025</t>
        </is>
      </c>
      <c r="B535" s="1" t="n">
        <v>45726</v>
      </c>
      <c r="C535" s="1" t="n">
        <v>46017</v>
      </c>
      <c r="D535" t="inlineStr">
        <is>
          <t>SKÅNE LÄN</t>
        </is>
      </c>
      <c r="E535" t="inlineStr">
        <is>
          <t>HÄSSLEHOLM</t>
        </is>
      </c>
      <c r="G535" t="n">
        <v>1.9</v>
      </c>
      <c r="H535" t="n">
        <v>0</v>
      </c>
      <c r="I535" t="n">
        <v>0</v>
      </c>
      <c r="J535" t="n">
        <v>0</v>
      </c>
      <c r="K535" t="n">
        <v>0</v>
      </c>
      <c r="L535" t="n">
        <v>0</v>
      </c>
      <c r="M535" t="n">
        <v>0</v>
      </c>
      <c r="N535" t="n">
        <v>0</v>
      </c>
      <c r="O535" t="n">
        <v>0</v>
      </c>
      <c r="P535" t="n">
        <v>0</v>
      </c>
      <c r="Q535" t="n">
        <v>0</v>
      </c>
      <c r="R535" s="2" t="inlineStr"/>
    </row>
    <row r="536" ht="15" customHeight="1">
      <c r="A536" t="inlineStr">
        <is>
          <t>A 6845-2023</t>
        </is>
      </c>
      <c r="B536" s="1" t="n">
        <v>44967</v>
      </c>
      <c r="C536" s="1" t="n">
        <v>46017</v>
      </c>
      <c r="D536" t="inlineStr">
        <is>
          <t>SKÅNE LÄN</t>
        </is>
      </c>
      <c r="E536" t="inlineStr">
        <is>
          <t>HÄSSLEHOLM</t>
        </is>
      </c>
      <c r="G536" t="n">
        <v>1.4</v>
      </c>
      <c r="H536" t="n">
        <v>0</v>
      </c>
      <c r="I536" t="n">
        <v>0</v>
      </c>
      <c r="J536" t="n">
        <v>0</v>
      </c>
      <c r="K536" t="n">
        <v>0</v>
      </c>
      <c r="L536" t="n">
        <v>0</v>
      </c>
      <c r="M536" t="n">
        <v>0</v>
      </c>
      <c r="N536" t="n">
        <v>0</v>
      </c>
      <c r="O536" t="n">
        <v>0</v>
      </c>
      <c r="P536" t="n">
        <v>0</v>
      </c>
      <c r="Q536" t="n">
        <v>0</v>
      </c>
      <c r="R536" s="2" t="inlineStr"/>
    </row>
    <row r="537" ht="15" customHeight="1">
      <c r="A537" t="inlineStr">
        <is>
          <t>A 16860-2025</t>
        </is>
      </c>
      <c r="B537" s="1" t="n">
        <v>45751</v>
      </c>
      <c r="C537" s="1" t="n">
        <v>46017</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9556-2025</t>
        </is>
      </c>
      <c r="B538" s="1" t="n">
        <v>45714</v>
      </c>
      <c r="C538" s="1" t="n">
        <v>46017</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32834-2024</t>
        </is>
      </c>
      <c r="B539" s="1" t="n">
        <v>45516.6025</v>
      </c>
      <c r="C539" s="1" t="n">
        <v>46017</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49199-2024</t>
        </is>
      </c>
      <c r="B540" s="1" t="n">
        <v>45595</v>
      </c>
      <c r="C540" s="1" t="n">
        <v>46017</v>
      </c>
      <c r="D540" t="inlineStr">
        <is>
          <t>SKÅNE LÄN</t>
        </is>
      </c>
      <c r="E540" t="inlineStr">
        <is>
          <t>HÄSSLEHOLM</t>
        </is>
      </c>
      <c r="G540" t="n">
        <v>5.2</v>
      </c>
      <c r="H540" t="n">
        <v>0</v>
      </c>
      <c r="I540" t="n">
        <v>0</v>
      </c>
      <c r="J540" t="n">
        <v>0</v>
      </c>
      <c r="K540" t="n">
        <v>0</v>
      </c>
      <c r="L540" t="n">
        <v>0</v>
      </c>
      <c r="M540" t="n">
        <v>0</v>
      </c>
      <c r="N540" t="n">
        <v>0</v>
      </c>
      <c r="O540" t="n">
        <v>0</v>
      </c>
      <c r="P540" t="n">
        <v>0</v>
      </c>
      <c r="Q540" t="n">
        <v>0</v>
      </c>
      <c r="R540" s="2" t="inlineStr"/>
    </row>
    <row r="541" ht="15" customHeight="1">
      <c r="A541" t="inlineStr">
        <is>
          <t>A 39453-2025</t>
        </is>
      </c>
      <c r="B541" s="1" t="n">
        <v>45889</v>
      </c>
      <c r="C541" s="1" t="n">
        <v>46017</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46641-2023</t>
        </is>
      </c>
      <c r="B542" s="1" t="n">
        <v>45198.44523148148</v>
      </c>
      <c r="C542" s="1" t="n">
        <v>46017</v>
      </c>
      <c r="D542" t="inlineStr">
        <is>
          <t>SKÅNE LÄN</t>
        </is>
      </c>
      <c r="E542" t="inlineStr">
        <is>
          <t>HÄSSLEHOLM</t>
        </is>
      </c>
      <c r="G542" t="n">
        <v>1.2</v>
      </c>
      <c r="H542" t="n">
        <v>0</v>
      </c>
      <c r="I542" t="n">
        <v>0</v>
      </c>
      <c r="J542" t="n">
        <v>0</v>
      </c>
      <c r="K542" t="n">
        <v>0</v>
      </c>
      <c r="L542" t="n">
        <v>0</v>
      </c>
      <c r="M542" t="n">
        <v>0</v>
      </c>
      <c r="N542" t="n">
        <v>0</v>
      </c>
      <c r="O542" t="n">
        <v>0</v>
      </c>
      <c r="P542" t="n">
        <v>0</v>
      </c>
      <c r="Q542" t="n">
        <v>0</v>
      </c>
      <c r="R542" s="2" t="inlineStr"/>
    </row>
    <row r="543" ht="15" customHeight="1">
      <c r="A543" t="inlineStr">
        <is>
          <t>A 46645-2023</t>
        </is>
      </c>
      <c r="B543" s="1" t="n">
        <v>45198.44686342592</v>
      </c>
      <c r="C543" s="1" t="n">
        <v>46017</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58886-2024</t>
        </is>
      </c>
      <c r="B544" s="1" t="n">
        <v>45636.45380787037</v>
      </c>
      <c r="C544" s="1" t="n">
        <v>46017</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13345-2025</t>
        </is>
      </c>
      <c r="B545" s="1" t="n">
        <v>45735.63017361111</v>
      </c>
      <c r="C545" s="1" t="n">
        <v>46017</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39457-2025</t>
        </is>
      </c>
      <c r="B546" s="1" t="n">
        <v>45889.76887731482</v>
      </c>
      <c r="C546" s="1" t="n">
        <v>46017</v>
      </c>
      <c r="D546" t="inlineStr">
        <is>
          <t>SKÅNE LÄN</t>
        </is>
      </c>
      <c r="E546" t="inlineStr">
        <is>
          <t>HÄSSLEHOLM</t>
        </is>
      </c>
      <c r="G546" t="n">
        <v>6.6</v>
      </c>
      <c r="H546" t="n">
        <v>0</v>
      </c>
      <c r="I546" t="n">
        <v>0</v>
      </c>
      <c r="J546" t="n">
        <v>0</v>
      </c>
      <c r="K546" t="n">
        <v>0</v>
      </c>
      <c r="L546" t="n">
        <v>0</v>
      </c>
      <c r="M546" t="n">
        <v>0</v>
      </c>
      <c r="N546" t="n">
        <v>0</v>
      </c>
      <c r="O546" t="n">
        <v>0</v>
      </c>
      <c r="P546" t="n">
        <v>0</v>
      </c>
      <c r="Q546" t="n">
        <v>0</v>
      </c>
      <c r="R546" s="2" t="inlineStr"/>
    </row>
    <row r="547" ht="15" customHeight="1">
      <c r="A547" t="inlineStr">
        <is>
          <t>A 59556-2023</t>
        </is>
      </c>
      <c r="B547" s="1" t="n">
        <v>45254.56313657408</v>
      </c>
      <c r="C547" s="1" t="n">
        <v>46017</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12469-2023</t>
        </is>
      </c>
      <c r="B548" s="1" t="n">
        <v>44999.62109953703</v>
      </c>
      <c r="C548" s="1" t="n">
        <v>46017</v>
      </c>
      <c r="D548" t="inlineStr">
        <is>
          <t>SKÅNE LÄN</t>
        </is>
      </c>
      <c r="E548" t="inlineStr">
        <is>
          <t>HÄSSLEHOLM</t>
        </is>
      </c>
      <c r="G548" t="n">
        <v>2.6</v>
      </c>
      <c r="H548" t="n">
        <v>0</v>
      </c>
      <c r="I548" t="n">
        <v>0</v>
      </c>
      <c r="J548" t="n">
        <v>0</v>
      </c>
      <c r="K548" t="n">
        <v>0</v>
      </c>
      <c r="L548" t="n">
        <v>0</v>
      </c>
      <c r="M548" t="n">
        <v>0</v>
      </c>
      <c r="N548" t="n">
        <v>0</v>
      </c>
      <c r="O548" t="n">
        <v>0</v>
      </c>
      <c r="P548" t="n">
        <v>0</v>
      </c>
      <c r="Q548" t="n">
        <v>0</v>
      </c>
      <c r="R548" s="2" t="inlineStr"/>
    </row>
    <row r="549" ht="15" customHeight="1">
      <c r="A549" t="inlineStr">
        <is>
          <t>A 48663-2024</t>
        </is>
      </c>
      <c r="B549" s="1" t="n">
        <v>45593.48892361111</v>
      </c>
      <c r="C549" s="1" t="n">
        <v>46017</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39366-2025</t>
        </is>
      </c>
      <c r="B550" s="1" t="n">
        <v>45889</v>
      </c>
      <c r="C550" s="1" t="n">
        <v>46017</v>
      </c>
      <c r="D550" t="inlineStr">
        <is>
          <t>SKÅNE LÄN</t>
        </is>
      </c>
      <c r="E550" t="inlineStr">
        <is>
          <t>HÄSSLEHOLM</t>
        </is>
      </c>
      <c r="G550" t="n">
        <v>1</v>
      </c>
      <c r="H550" t="n">
        <v>0</v>
      </c>
      <c r="I550" t="n">
        <v>0</v>
      </c>
      <c r="J550" t="n">
        <v>0</v>
      </c>
      <c r="K550" t="n">
        <v>0</v>
      </c>
      <c r="L550" t="n">
        <v>0</v>
      </c>
      <c r="M550" t="n">
        <v>0</v>
      </c>
      <c r="N550" t="n">
        <v>0</v>
      </c>
      <c r="O550" t="n">
        <v>0</v>
      </c>
      <c r="P550" t="n">
        <v>0</v>
      </c>
      <c r="Q550" t="n">
        <v>0</v>
      </c>
      <c r="R550" s="2" t="inlineStr"/>
    </row>
    <row r="551" ht="15" customHeight="1">
      <c r="A551" t="inlineStr">
        <is>
          <t>A 9543-2025</t>
        </is>
      </c>
      <c r="B551" s="1" t="n">
        <v>45715</v>
      </c>
      <c r="C551" s="1" t="n">
        <v>46017</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50659-2023</t>
        </is>
      </c>
      <c r="B552" s="1" t="n">
        <v>45217</v>
      </c>
      <c r="C552" s="1" t="n">
        <v>46017</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51571-2023</t>
        </is>
      </c>
      <c r="B553" s="1" t="n">
        <v>45222</v>
      </c>
      <c r="C553" s="1" t="n">
        <v>46017</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27464-2022</t>
        </is>
      </c>
      <c r="B554" s="1" t="n">
        <v>44742.58704861111</v>
      </c>
      <c r="C554" s="1" t="n">
        <v>46017</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25611-2024</t>
        </is>
      </c>
      <c r="B555" s="1" t="n">
        <v>45463</v>
      </c>
      <c r="C555" s="1" t="n">
        <v>46017</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50525-2024</t>
        </is>
      </c>
      <c r="B556" s="1" t="n">
        <v>45601</v>
      </c>
      <c r="C556" s="1" t="n">
        <v>46017</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27291-2023</t>
        </is>
      </c>
      <c r="B557" s="1" t="n">
        <v>45096</v>
      </c>
      <c r="C557" s="1" t="n">
        <v>46017</v>
      </c>
      <c r="D557" t="inlineStr">
        <is>
          <t>SKÅNE LÄN</t>
        </is>
      </c>
      <c r="E557" t="inlineStr">
        <is>
          <t>HÄSSLEHOLM</t>
        </is>
      </c>
      <c r="G557" t="n">
        <v>3.5</v>
      </c>
      <c r="H557" t="n">
        <v>0</v>
      </c>
      <c r="I557" t="n">
        <v>0</v>
      </c>
      <c r="J557" t="n">
        <v>0</v>
      </c>
      <c r="K557" t="n">
        <v>0</v>
      </c>
      <c r="L557" t="n">
        <v>0</v>
      </c>
      <c r="M557" t="n">
        <v>0</v>
      </c>
      <c r="N557" t="n">
        <v>0</v>
      </c>
      <c r="O557" t="n">
        <v>0</v>
      </c>
      <c r="P557" t="n">
        <v>0</v>
      </c>
      <c r="Q557" t="n">
        <v>0</v>
      </c>
      <c r="R557" s="2" t="inlineStr"/>
    </row>
    <row r="558" ht="15" customHeight="1">
      <c r="A558" t="inlineStr">
        <is>
          <t>A 39934-2025</t>
        </is>
      </c>
      <c r="B558" s="1" t="n">
        <v>45891.71465277778</v>
      </c>
      <c r="C558" s="1" t="n">
        <v>46017</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27242-2022</t>
        </is>
      </c>
      <c r="B559" s="1" t="n">
        <v>44741</v>
      </c>
      <c r="C559" s="1" t="n">
        <v>46017</v>
      </c>
      <c r="D559" t="inlineStr">
        <is>
          <t>SKÅNE LÄN</t>
        </is>
      </c>
      <c r="E559" t="inlineStr">
        <is>
          <t>HÄSSLEHOLM</t>
        </is>
      </c>
      <c r="G559" t="n">
        <v>1.9</v>
      </c>
      <c r="H559" t="n">
        <v>0</v>
      </c>
      <c r="I559" t="n">
        <v>0</v>
      </c>
      <c r="J559" t="n">
        <v>0</v>
      </c>
      <c r="K559" t="n">
        <v>0</v>
      </c>
      <c r="L559" t="n">
        <v>0</v>
      </c>
      <c r="M559" t="n">
        <v>0</v>
      </c>
      <c r="N559" t="n">
        <v>0</v>
      </c>
      <c r="O559" t="n">
        <v>0</v>
      </c>
      <c r="P559" t="n">
        <v>0</v>
      </c>
      <c r="Q559" t="n">
        <v>0</v>
      </c>
      <c r="R559" s="2" t="inlineStr"/>
    </row>
    <row r="560" ht="15" customHeight="1">
      <c r="A560" t="inlineStr">
        <is>
          <t>A 39937-2025</t>
        </is>
      </c>
      <c r="B560" s="1" t="n">
        <v>45891.73162037037</v>
      </c>
      <c r="C560" s="1" t="n">
        <v>46017</v>
      </c>
      <c r="D560" t="inlineStr">
        <is>
          <t>SKÅNE LÄN</t>
        </is>
      </c>
      <c r="E560" t="inlineStr">
        <is>
          <t>HÄSSLEHOLM</t>
        </is>
      </c>
      <c r="G560" t="n">
        <v>4.5</v>
      </c>
      <c r="H560" t="n">
        <v>0</v>
      </c>
      <c r="I560" t="n">
        <v>0</v>
      </c>
      <c r="J560" t="n">
        <v>0</v>
      </c>
      <c r="K560" t="n">
        <v>0</v>
      </c>
      <c r="L560" t="n">
        <v>0</v>
      </c>
      <c r="M560" t="n">
        <v>0</v>
      </c>
      <c r="N560" t="n">
        <v>0</v>
      </c>
      <c r="O560" t="n">
        <v>0</v>
      </c>
      <c r="P560" t="n">
        <v>0</v>
      </c>
      <c r="Q560" t="n">
        <v>0</v>
      </c>
      <c r="R560" s="2" t="inlineStr"/>
    </row>
    <row r="561" ht="15" customHeight="1">
      <c r="A561" t="inlineStr">
        <is>
          <t>A 27197-2021</t>
        </is>
      </c>
      <c r="B561" s="1" t="n">
        <v>44350</v>
      </c>
      <c r="C561" s="1" t="n">
        <v>46017</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9555-2025</t>
        </is>
      </c>
      <c r="B562" s="1" t="n">
        <v>45714</v>
      </c>
      <c r="C562" s="1" t="n">
        <v>46017</v>
      </c>
      <c r="D562" t="inlineStr">
        <is>
          <t>SKÅNE LÄN</t>
        </is>
      </c>
      <c r="E562" t="inlineStr">
        <is>
          <t>HÄSSLEHOLM</t>
        </is>
      </c>
      <c r="G562" t="n">
        <v>5.4</v>
      </c>
      <c r="H562" t="n">
        <v>0</v>
      </c>
      <c r="I562" t="n">
        <v>0</v>
      </c>
      <c r="J562" t="n">
        <v>0</v>
      </c>
      <c r="K562" t="n">
        <v>0</v>
      </c>
      <c r="L562" t="n">
        <v>0</v>
      </c>
      <c r="M562" t="n">
        <v>0</v>
      </c>
      <c r="N562" t="n">
        <v>0</v>
      </c>
      <c r="O562" t="n">
        <v>0</v>
      </c>
      <c r="P562" t="n">
        <v>0</v>
      </c>
      <c r="Q562" t="n">
        <v>0</v>
      </c>
      <c r="R562" s="2" t="inlineStr"/>
    </row>
    <row r="563" ht="15" customHeight="1">
      <c r="A563" t="inlineStr">
        <is>
          <t>A 48798-2023</t>
        </is>
      </c>
      <c r="B563" s="1" t="n">
        <v>45209.25318287037</v>
      </c>
      <c r="C563" s="1" t="n">
        <v>46017</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40241-2025</t>
        </is>
      </c>
      <c r="B564" s="1" t="n">
        <v>45894.87251157407</v>
      </c>
      <c r="C564" s="1" t="n">
        <v>46017</v>
      </c>
      <c r="D564" t="inlineStr">
        <is>
          <t>SKÅNE LÄN</t>
        </is>
      </c>
      <c r="E564" t="inlineStr">
        <is>
          <t>HÄSSLEHOLM</t>
        </is>
      </c>
      <c r="G564" t="n">
        <v>3.8</v>
      </c>
      <c r="H564" t="n">
        <v>0</v>
      </c>
      <c r="I564" t="n">
        <v>0</v>
      </c>
      <c r="J564" t="n">
        <v>0</v>
      </c>
      <c r="K564" t="n">
        <v>0</v>
      </c>
      <c r="L564" t="n">
        <v>0</v>
      </c>
      <c r="M564" t="n">
        <v>0</v>
      </c>
      <c r="N564" t="n">
        <v>0</v>
      </c>
      <c r="O564" t="n">
        <v>0</v>
      </c>
      <c r="P564" t="n">
        <v>0</v>
      </c>
      <c r="Q564" t="n">
        <v>0</v>
      </c>
      <c r="R564" s="2" t="inlineStr"/>
    </row>
    <row r="565" ht="15" customHeight="1">
      <c r="A565" t="inlineStr">
        <is>
          <t>A 26536-2022</t>
        </is>
      </c>
      <c r="B565" s="1" t="n">
        <v>44739.45496527778</v>
      </c>
      <c r="C565" s="1" t="n">
        <v>46017</v>
      </c>
      <c r="D565" t="inlineStr">
        <is>
          <t>SKÅNE LÄN</t>
        </is>
      </c>
      <c r="E565" t="inlineStr">
        <is>
          <t>HÄSSLEHOLM</t>
        </is>
      </c>
      <c r="G565" t="n">
        <v>3.1</v>
      </c>
      <c r="H565" t="n">
        <v>0</v>
      </c>
      <c r="I565" t="n">
        <v>0</v>
      </c>
      <c r="J565" t="n">
        <v>0</v>
      </c>
      <c r="K565" t="n">
        <v>0</v>
      </c>
      <c r="L565" t="n">
        <v>0</v>
      </c>
      <c r="M565" t="n">
        <v>0</v>
      </c>
      <c r="N565" t="n">
        <v>0</v>
      </c>
      <c r="O565" t="n">
        <v>0</v>
      </c>
      <c r="P565" t="n">
        <v>0</v>
      </c>
      <c r="Q565" t="n">
        <v>0</v>
      </c>
      <c r="R565" s="2" t="inlineStr"/>
    </row>
    <row r="566" ht="15" customHeight="1">
      <c r="A566" t="inlineStr">
        <is>
          <t>A 48627-2023</t>
        </is>
      </c>
      <c r="B566" s="1" t="n">
        <v>45208.57371527778</v>
      </c>
      <c r="C566" s="1" t="n">
        <v>46017</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17152-2025</t>
        </is>
      </c>
      <c r="B567" s="1" t="n">
        <v>45756.33318287037</v>
      </c>
      <c r="C567" s="1" t="n">
        <v>46017</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33465-2024</t>
        </is>
      </c>
      <c r="B568" s="1" t="n">
        <v>45519.59619212963</v>
      </c>
      <c r="C568" s="1" t="n">
        <v>46017</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48326-2023</t>
        </is>
      </c>
      <c r="B569" s="1" t="n">
        <v>45205</v>
      </c>
      <c r="C569" s="1" t="n">
        <v>46017</v>
      </c>
      <c r="D569" t="inlineStr">
        <is>
          <t>SKÅNE LÄN</t>
        </is>
      </c>
      <c r="E569" t="inlineStr">
        <is>
          <t>HÄSSLEHOLM</t>
        </is>
      </c>
      <c r="G569" t="n">
        <v>12.7</v>
      </c>
      <c r="H569" t="n">
        <v>0</v>
      </c>
      <c r="I569" t="n">
        <v>0</v>
      </c>
      <c r="J569" t="n">
        <v>0</v>
      </c>
      <c r="K569" t="n">
        <v>0</v>
      </c>
      <c r="L569" t="n">
        <v>0</v>
      </c>
      <c r="M569" t="n">
        <v>0</v>
      </c>
      <c r="N569" t="n">
        <v>0</v>
      </c>
      <c r="O569" t="n">
        <v>0</v>
      </c>
      <c r="P569" t="n">
        <v>0</v>
      </c>
      <c r="Q569" t="n">
        <v>0</v>
      </c>
      <c r="R569" s="2" t="inlineStr"/>
    </row>
    <row r="570" ht="15" customHeight="1">
      <c r="A570" t="inlineStr">
        <is>
          <t>A 10752-2025</t>
        </is>
      </c>
      <c r="B570" s="1" t="n">
        <v>45722</v>
      </c>
      <c r="C570" s="1" t="n">
        <v>46017</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54462-2022</t>
        </is>
      </c>
      <c r="B571" s="1" t="n">
        <v>44882</v>
      </c>
      <c r="C571" s="1" t="n">
        <v>46017</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3890-2024</t>
        </is>
      </c>
      <c r="B572" s="1" t="n">
        <v>45322.45366898148</v>
      </c>
      <c r="C572" s="1" t="n">
        <v>46017</v>
      </c>
      <c r="D572" t="inlineStr">
        <is>
          <t>SKÅNE LÄN</t>
        </is>
      </c>
      <c r="E572" t="inlineStr">
        <is>
          <t>HÄSSLEHOLM</t>
        </is>
      </c>
      <c r="G572" t="n">
        <v>3</v>
      </c>
      <c r="H572" t="n">
        <v>0</v>
      </c>
      <c r="I572" t="n">
        <v>0</v>
      </c>
      <c r="J572" t="n">
        <v>0</v>
      </c>
      <c r="K572" t="n">
        <v>0</v>
      </c>
      <c r="L572" t="n">
        <v>0</v>
      </c>
      <c r="M572" t="n">
        <v>0</v>
      </c>
      <c r="N572" t="n">
        <v>0</v>
      </c>
      <c r="O572" t="n">
        <v>0</v>
      </c>
      <c r="P572" t="n">
        <v>0</v>
      </c>
      <c r="Q572" t="n">
        <v>0</v>
      </c>
      <c r="R572" s="2" t="inlineStr"/>
    </row>
    <row r="573" ht="15" customHeight="1">
      <c r="A573" t="inlineStr">
        <is>
          <t>A 31986-2023</t>
        </is>
      </c>
      <c r="B573" s="1" t="n">
        <v>45119</v>
      </c>
      <c r="C573" s="1" t="n">
        <v>46017</v>
      </c>
      <c r="D573" t="inlineStr">
        <is>
          <t>SKÅNE LÄN</t>
        </is>
      </c>
      <c r="E573" t="inlineStr">
        <is>
          <t>HÄSSLEHOLM</t>
        </is>
      </c>
      <c r="G573" t="n">
        <v>1.7</v>
      </c>
      <c r="H573" t="n">
        <v>0</v>
      </c>
      <c r="I573" t="n">
        <v>0</v>
      </c>
      <c r="J573" t="n">
        <v>0</v>
      </c>
      <c r="K573" t="n">
        <v>0</v>
      </c>
      <c r="L573" t="n">
        <v>0</v>
      </c>
      <c r="M573" t="n">
        <v>0</v>
      </c>
      <c r="N573" t="n">
        <v>0</v>
      </c>
      <c r="O573" t="n">
        <v>0</v>
      </c>
      <c r="P573" t="n">
        <v>0</v>
      </c>
      <c r="Q573" t="n">
        <v>0</v>
      </c>
      <c r="R573" s="2" t="inlineStr"/>
    </row>
    <row r="574" ht="15" customHeight="1">
      <c r="A574" t="inlineStr">
        <is>
          <t>A 16334-2024</t>
        </is>
      </c>
      <c r="B574" s="1" t="n">
        <v>45407.54856481482</v>
      </c>
      <c r="C574" s="1" t="n">
        <v>46017</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54471-2023</t>
        </is>
      </c>
      <c r="B575" s="1" t="n">
        <v>45233.4640162037</v>
      </c>
      <c r="C575" s="1" t="n">
        <v>46017</v>
      </c>
      <c r="D575" t="inlineStr">
        <is>
          <t>SKÅNE LÄN</t>
        </is>
      </c>
      <c r="E575" t="inlineStr">
        <is>
          <t>HÄSSLEHOLM</t>
        </is>
      </c>
      <c r="G575" t="n">
        <v>1.4</v>
      </c>
      <c r="H575" t="n">
        <v>0</v>
      </c>
      <c r="I575" t="n">
        <v>0</v>
      </c>
      <c r="J575" t="n">
        <v>0</v>
      </c>
      <c r="K575" t="n">
        <v>0</v>
      </c>
      <c r="L575" t="n">
        <v>0</v>
      </c>
      <c r="M575" t="n">
        <v>0</v>
      </c>
      <c r="N575" t="n">
        <v>0</v>
      </c>
      <c r="O575" t="n">
        <v>0</v>
      </c>
      <c r="P575" t="n">
        <v>0</v>
      </c>
      <c r="Q575" t="n">
        <v>0</v>
      </c>
      <c r="R575" s="2" t="inlineStr"/>
    </row>
    <row r="576" ht="15" customHeight="1">
      <c r="A576" t="inlineStr">
        <is>
          <t>A 41209-2023</t>
        </is>
      </c>
      <c r="B576" s="1" t="n">
        <v>45174.43481481481</v>
      </c>
      <c r="C576" s="1" t="n">
        <v>46017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61197-2024</t>
        </is>
      </c>
      <c r="B577" s="1" t="n">
        <v>45645.63184027778</v>
      </c>
      <c r="C577" s="1" t="n">
        <v>46017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57963-2023</t>
        </is>
      </c>
      <c r="B578" s="1" t="n">
        <v>45247.57732638889</v>
      </c>
      <c r="C578" s="1" t="n">
        <v>46017</v>
      </c>
      <c r="D578" t="inlineStr">
        <is>
          <t>SKÅNE LÄN</t>
        </is>
      </c>
      <c r="E578" t="inlineStr">
        <is>
          <t>HÄSSLEHOLM</t>
        </is>
      </c>
      <c r="G578" t="n">
        <v>4.6</v>
      </c>
      <c r="H578" t="n">
        <v>0</v>
      </c>
      <c r="I578" t="n">
        <v>0</v>
      </c>
      <c r="J578" t="n">
        <v>0</v>
      </c>
      <c r="K578" t="n">
        <v>0</v>
      </c>
      <c r="L578" t="n">
        <v>0</v>
      </c>
      <c r="M578" t="n">
        <v>0</v>
      </c>
      <c r="N578" t="n">
        <v>0</v>
      </c>
      <c r="O578" t="n">
        <v>0</v>
      </c>
      <c r="P578" t="n">
        <v>0</v>
      </c>
      <c r="Q578" t="n">
        <v>0</v>
      </c>
      <c r="R578" s="2" t="inlineStr"/>
    </row>
    <row r="579" ht="15" customHeight="1">
      <c r="A579" t="inlineStr">
        <is>
          <t>A 59028-2023</t>
        </is>
      </c>
      <c r="B579" s="1" t="n">
        <v>45252.67900462963</v>
      </c>
      <c r="C579" s="1" t="n">
        <v>46017</v>
      </c>
      <c r="D579" t="inlineStr">
        <is>
          <t>SKÅNE LÄN</t>
        </is>
      </c>
      <c r="E579" t="inlineStr">
        <is>
          <t>HÄSSLEHOLM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13549-2025</t>
        </is>
      </c>
      <c r="B580" s="1" t="n">
        <v>45736</v>
      </c>
      <c r="C580" s="1" t="n">
        <v>46017</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13544-2025</t>
        </is>
      </c>
      <c r="B581" s="1" t="n">
        <v>45736</v>
      </c>
      <c r="C581" s="1" t="n">
        <v>46017</v>
      </c>
      <c r="D581" t="inlineStr">
        <is>
          <t>SKÅNE LÄN</t>
        </is>
      </c>
      <c r="E581" t="inlineStr">
        <is>
          <t>HÄSSLEHOLM</t>
        </is>
      </c>
      <c r="G581" t="n">
        <v>2.5</v>
      </c>
      <c r="H581" t="n">
        <v>0</v>
      </c>
      <c r="I581" t="n">
        <v>0</v>
      </c>
      <c r="J581" t="n">
        <v>0</v>
      </c>
      <c r="K581" t="n">
        <v>0</v>
      </c>
      <c r="L581" t="n">
        <v>0</v>
      </c>
      <c r="M581" t="n">
        <v>0</v>
      </c>
      <c r="N581" t="n">
        <v>0</v>
      </c>
      <c r="O581" t="n">
        <v>0</v>
      </c>
      <c r="P581" t="n">
        <v>0</v>
      </c>
      <c r="Q581" t="n">
        <v>0</v>
      </c>
      <c r="R581" s="2" t="inlineStr"/>
    </row>
    <row r="582" ht="15" customHeight="1">
      <c r="A582" t="inlineStr">
        <is>
          <t>A 35833-2023</t>
        </is>
      </c>
      <c r="B582" s="1" t="n">
        <v>45148</v>
      </c>
      <c r="C582" s="1" t="n">
        <v>46017</v>
      </c>
      <c r="D582" t="inlineStr">
        <is>
          <t>SKÅNE LÄN</t>
        </is>
      </c>
      <c r="E582" t="inlineStr">
        <is>
          <t>HÄSSLEHOLM</t>
        </is>
      </c>
      <c r="F582" t="inlineStr">
        <is>
          <t>Kommuner</t>
        </is>
      </c>
      <c r="G582" t="n">
        <v>2</v>
      </c>
      <c r="H582" t="n">
        <v>0</v>
      </c>
      <c r="I582" t="n">
        <v>0</v>
      </c>
      <c r="J582" t="n">
        <v>0</v>
      </c>
      <c r="K582" t="n">
        <v>0</v>
      </c>
      <c r="L582" t="n">
        <v>0</v>
      </c>
      <c r="M582" t="n">
        <v>0</v>
      </c>
      <c r="N582" t="n">
        <v>0</v>
      </c>
      <c r="O582" t="n">
        <v>0</v>
      </c>
      <c r="P582" t="n">
        <v>0</v>
      </c>
      <c r="Q582" t="n">
        <v>0</v>
      </c>
      <c r="R582" s="2" t="inlineStr"/>
    </row>
    <row r="583" ht="15" customHeight="1">
      <c r="A583" t="inlineStr">
        <is>
          <t>A 2712-2024</t>
        </is>
      </c>
      <c r="B583" s="1" t="n">
        <v>45314</v>
      </c>
      <c r="C583" s="1" t="n">
        <v>46017</v>
      </c>
      <c r="D583" t="inlineStr">
        <is>
          <t>SKÅNE LÄN</t>
        </is>
      </c>
      <c r="E583" t="inlineStr">
        <is>
          <t>HÄSSLEHOLM</t>
        </is>
      </c>
      <c r="G583" t="n">
        <v>11.3</v>
      </c>
      <c r="H583" t="n">
        <v>0</v>
      </c>
      <c r="I583" t="n">
        <v>0</v>
      </c>
      <c r="J583" t="n">
        <v>0</v>
      </c>
      <c r="K583" t="n">
        <v>0</v>
      </c>
      <c r="L583" t="n">
        <v>0</v>
      </c>
      <c r="M583" t="n">
        <v>0</v>
      </c>
      <c r="N583" t="n">
        <v>0</v>
      </c>
      <c r="O583" t="n">
        <v>0</v>
      </c>
      <c r="P583" t="n">
        <v>0</v>
      </c>
      <c r="Q583" t="n">
        <v>0</v>
      </c>
      <c r="R583" s="2" t="inlineStr"/>
    </row>
    <row r="584" ht="15" customHeight="1">
      <c r="A584" t="inlineStr">
        <is>
          <t>A 57491-2024</t>
        </is>
      </c>
      <c r="B584" s="1" t="n">
        <v>45629</v>
      </c>
      <c r="C584" s="1" t="n">
        <v>46017</v>
      </c>
      <c r="D584" t="inlineStr">
        <is>
          <t>SKÅNE LÄN</t>
        </is>
      </c>
      <c r="E584" t="inlineStr">
        <is>
          <t>HÄSSLEHOLM</t>
        </is>
      </c>
      <c r="G584" t="n">
        <v>3.2</v>
      </c>
      <c r="H584" t="n">
        <v>0</v>
      </c>
      <c r="I584" t="n">
        <v>0</v>
      </c>
      <c r="J584" t="n">
        <v>0</v>
      </c>
      <c r="K584" t="n">
        <v>0</v>
      </c>
      <c r="L584" t="n">
        <v>0</v>
      </c>
      <c r="M584" t="n">
        <v>0</v>
      </c>
      <c r="N584" t="n">
        <v>0</v>
      </c>
      <c r="O584" t="n">
        <v>0</v>
      </c>
      <c r="P584" t="n">
        <v>0</v>
      </c>
      <c r="Q584" t="n">
        <v>0</v>
      </c>
      <c r="R584" s="2" t="inlineStr"/>
    </row>
    <row r="585" ht="15" customHeight="1">
      <c r="A585" t="inlineStr">
        <is>
          <t>A 260-2024</t>
        </is>
      </c>
      <c r="B585" s="1" t="n">
        <v>45294</v>
      </c>
      <c r="C585" s="1" t="n">
        <v>46017</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8263-2025</t>
        </is>
      </c>
      <c r="B586" s="1" t="n">
        <v>45708.50398148148</v>
      </c>
      <c r="C586" s="1" t="n">
        <v>46017</v>
      </c>
      <c r="D586" t="inlineStr">
        <is>
          <t>SKÅNE LÄN</t>
        </is>
      </c>
      <c r="E586" t="inlineStr">
        <is>
          <t>HÄSSLEHOLM</t>
        </is>
      </c>
      <c r="G586" t="n">
        <v>2.9</v>
      </c>
      <c r="H586" t="n">
        <v>0</v>
      </c>
      <c r="I586" t="n">
        <v>0</v>
      </c>
      <c r="J586" t="n">
        <v>0</v>
      </c>
      <c r="K586" t="n">
        <v>0</v>
      </c>
      <c r="L586" t="n">
        <v>0</v>
      </c>
      <c r="M586" t="n">
        <v>0</v>
      </c>
      <c r="N586" t="n">
        <v>0</v>
      </c>
      <c r="O586" t="n">
        <v>0</v>
      </c>
      <c r="P586" t="n">
        <v>0</v>
      </c>
      <c r="Q586" t="n">
        <v>0</v>
      </c>
      <c r="R586" s="2" t="inlineStr"/>
    </row>
    <row r="587" ht="15" customHeight="1">
      <c r="A587" t="inlineStr">
        <is>
          <t>A 58250-2024</t>
        </is>
      </c>
      <c r="B587" s="1" t="n">
        <v>45632.55643518519</v>
      </c>
      <c r="C587" s="1" t="n">
        <v>46017</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26207-2021</t>
        </is>
      </c>
      <c r="B588" s="1" t="n">
        <v>44347</v>
      </c>
      <c r="C588" s="1" t="n">
        <v>46017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30006-2023</t>
        </is>
      </c>
      <c r="B589" s="1" t="n">
        <v>45109.79962962963</v>
      </c>
      <c r="C589" s="1" t="n">
        <v>46017</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41400-2025</t>
        </is>
      </c>
      <c r="B590" s="1" t="n">
        <v>45901</v>
      </c>
      <c r="C590" s="1" t="n">
        <v>46017</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42364-2023</t>
        </is>
      </c>
      <c r="B591" s="1" t="n">
        <v>45180.54754629629</v>
      </c>
      <c r="C591" s="1" t="n">
        <v>46017</v>
      </c>
      <c r="D591" t="inlineStr">
        <is>
          <t>SKÅNE LÄN</t>
        </is>
      </c>
      <c r="E591" t="inlineStr">
        <is>
          <t>HÄSSLEHOLM</t>
        </is>
      </c>
      <c r="G591" t="n">
        <v>1.1</v>
      </c>
      <c r="H591" t="n">
        <v>0</v>
      </c>
      <c r="I591" t="n">
        <v>0</v>
      </c>
      <c r="J591" t="n">
        <v>0</v>
      </c>
      <c r="K591" t="n">
        <v>0</v>
      </c>
      <c r="L591" t="n">
        <v>0</v>
      </c>
      <c r="M591" t="n">
        <v>0</v>
      </c>
      <c r="N591" t="n">
        <v>0</v>
      </c>
      <c r="O591" t="n">
        <v>0</v>
      </c>
      <c r="P591" t="n">
        <v>0</v>
      </c>
      <c r="Q591" t="n">
        <v>0</v>
      </c>
      <c r="R591" s="2" t="inlineStr"/>
    </row>
    <row r="592" ht="15" customHeight="1">
      <c r="A592" t="inlineStr">
        <is>
          <t>A 61578-2023</t>
        </is>
      </c>
      <c r="B592" s="1" t="n">
        <v>45265.47399305556</v>
      </c>
      <c r="C592" s="1" t="n">
        <v>46017</v>
      </c>
      <c r="D592" t="inlineStr">
        <is>
          <t>SKÅNE LÄN</t>
        </is>
      </c>
      <c r="E592" t="inlineStr">
        <is>
          <t>HÄSSLEHOLM</t>
        </is>
      </c>
      <c r="G592" t="n">
        <v>1.2</v>
      </c>
      <c r="H592" t="n">
        <v>0</v>
      </c>
      <c r="I592" t="n">
        <v>0</v>
      </c>
      <c r="J592" t="n">
        <v>0</v>
      </c>
      <c r="K592" t="n">
        <v>0</v>
      </c>
      <c r="L592" t="n">
        <v>0</v>
      </c>
      <c r="M592" t="n">
        <v>0</v>
      </c>
      <c r="N592" t="n">
        <v>0</v>
      </c>
      <c r="O592" t="n">
        <v>0</v>
      </c>
      <c r="P592" t="n">
        <v>0</v>
      </c>
      <c r="Q592" t="n">
        <v>0</v>
      </c>
      <c r="R592" s="2" t="inlineStr"/>
    </row>
    <row r="593" ht="15" customHeight="1">
      <c r="A593" t="inlineStr">
        <is>
          <t>A 2597-2024</t>
        </is>
      </c>
      <c r="B593" s="1" t="n">
        <v>45313</v>
      </c>
      <c r="C593" s="1" t="n">
        <v>46017</v>
      </c>
      <c r="D593" t="inlineStr">
        <is>
          <t>SKÅNE LÄN</t>
        </is>
      </c>
      <c r="E593" t="inlineStr">
        <is>
          <t>HÄSSLEHOLM</t>
        </is>
      </c>
      <c r="G593" t="n">
        <v>1</v>
      </c>
      <c r="H593" t="n">
        <v>0</v>
      </c>
      <c r="I593" t="n">
        <v>0</v>
      </c>
      <c r="J593" t="n">
        <v>0</v>
      </c>
      <c r="K593" t="n">
        <v>0</v>
      </c>
      <c r="L593" t="n">
        <v>0</v>
      </c>
      <c r="M593" t="n">
        <v>0</v>
      </c>
      <c r="N593" t="n">
        <v>0</v>
      </c>
      <c r="O593" t="n">
        <v>0</v>
      </c>
      <c r="P593" t="n">
        <v>0</v>
      </c>
      <c r="Q593" t="n">
        <v>0</v>
      </c>
      <c r="R593" s="2" t="inlineStr"/>
    </row>
    <row r="594" ht="15" customHeight="1">
      <c r="A594" t="inlineStr">
        <is>
          <t>A 6798-2025</t>
        </is>
      </c>
      <c r="B594" s="1" t="n">
        <v>45700.668125</v>
      </c>
      <c r="C594" s="1" t="n">
        <v>46017</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69357-2021</t>
        </is>
      </c>
      <c r="B595" s="1" t="n">
        <v>44531</v>
      </c>
      <c r="C595" s="1" t="n">
        <v>46017</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41401-2025</t>
        </is>
      </c>
      <c r="B596" s="1" t="n">
        <v>45901</v>
      </c>
      <c r="C596" s="1" t="n">
        <v>46017</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37898-2021</t>
        </is>
      </c>
      <c r="B597" s="1" t="n">
        <v>44403</v>
      </c>
      <c r="C597" s="1" t="n">
        <v>46017</v>
      </c>
      <c r="D597" t="inlineStr">
        <is>
          <t>SKÅNE LÄN</t>
        </is>
      </c>
      <c r="E597" t="inlineStr">
        <is>
          <t>HÄSSLEHOLM</t>
        </is>
      </c>
      <c r="F597" t="inlineStr">
        <is>
          <t>Kommuner</t>
        </is>
      </c>
      <c r="G597" t="n">
        <v>8.4</v>
      </c>
      <c r="H597" t="n">
        <v>0</v>
      </c>
      <c r="I597" t="n">
        <v>0</v>
      </c>
      <c r="J597" t="n">
        <v>0</v>
      </c>
      <c r="K597" t="n">
        <v>0</v>
      </c>
      <c r="L597" t="n">
        <v>0</v>
      </c>
      <c r="M597" t="n">
        <v>0</v>
      </c>
      <c r="N597" t="n">
        <v>0</v>
      </c>
      <c r="O597" t="n">
        <v>0</v>
      </c>
      <c r="P597" t="n">
        <v>0</v>
      </c>
      <c r="Q597" t="n">
        <v>0</v>
      </c>
      <c r="R597" s="2" t="inlineStr"/>
    </row>
    <row r="598" ht="15" customHeight="1">
      <c r="A598" t="inlineStr">
        <is>
          <t>A 35810-2023</t>
        </is>
      </c>
      <c r="B598" s="1" t="n">
        <v>45148.44046296296</v>
      </c>
      <c r="C598" s="1" t="n">
        <v>46017</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62277-2023</t>
        </is>
      </c>
      <c r="B599" s="1" t="n">
        <v>45266</v>
      </c>
      <c r="C599" s="1" t="n">
        <v>46017</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3888-2024</t>
        </is>
      </c>
      <c r="B600" s="1" t="n">
        <v>45322.45089120371</v>
      </c>
      <c r="C600" s="1" t="n">
        <v>46017</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3889-2024</t>
        </is>
      </c>
      <c r="B601" s="1" t="n">
        <v>45322.45234953704</v>
      </c>
      <c r="C601" s="1" t="n">
        <v>46017</v>
      </c>
      <c r="D601" t="inlineStr">
        <is>
          <t>SKÅNE LÄN</t>
        </is>
      </c>
      <c r="E601" t="inlineStr">
        <is>
          <t>HÄSSLEHOLM</t>
        </is>
      </c>
      <c r="G601" t="n">
        <v>1.4</v>
      </c>
      <c r="H601" t="n">
        <v>0</v>
      </c>
      <c r="I601" t="n">
        <v>0</v>
      </c>
      <c r="J601" t="n">
        <v>0</v>
      </c>
      <c r="K601" t="n">
        <v>0</v>
      </c>
      <c r="L601" t="n">
        <v>0</v>
      </c>
      <c r="M601" t="n">
        <v>0</v>
      </c>
      <c r="N601" t="n">
        <v>0</v>
      </c>
      <c r="O601" t="n">
        <v>0</v>
      </c>
      <c r="P601" t="n">
        <v>0</v>
      </c>
      <c r="Q601" t="n">
        <v>0</v>
      </c>
      <c r="R601" s="2" t="inlineStr"/>
    </row>
    <row r="602" ht="15" customHeight="1">
      <c r="A602" t="inlineStr">
        <is>
          <t>A 8249-2023</t>
        </is>
      </c>
      <c r="B602" s="1" t="n">
        <v>44974</v>
      </c>
      <c r="C602" s="1" t="n">
        <v>46017</v>
      </c>
      <c r="D602" t="inlineStr">
        <is>
          <t>SKÅNE LÄN</t>
        </is>
      </c>
      <c r="E602" t="inlineStr">
        <is>
          <t>HÄSSLEHOLM</t>
        </is>
      </c>
      <c r="G602" t="n">
        <v>5.8</v>
      </c>
      <c r="H602" t="n">
        <v>0</v>
      </c>
      <c r="I602" t="n">
        <v>0</v>
      </c>
      <c r="J602" t="n">
        <v>0</v>
      </c>
      <c r="K602" t="n">
        <v>0</v>
      </c>
      <c r="L602" t="n">
        <v>0</v>
      </c>
      <c r="M602" t="n">
        <v>0</v>
      </c>
      <c r="N602" t="n">
        <v>0</v>
      </c>
      <c r="O602" t="n">
        <v>0</v>
      </c>
      <c r="P602" t="n">
        <v>0</v>
      </c>
      <c r="Q602" t="n">
        <v>0</v>
      </c>
      <c r="R602" s="2" t="inlineStr"/>
    </row>
    <row r="603" ht="15" customHeight="1">
      <c r="A603" t="inlineStr">
        <is>
          <t>A 23172-2022</t>
        </is>
      </c>
      <c r="B603" s="1" t="n">
        <v>44719</v>
      </c>
      <c r="C603" s="1" t="n">
        <v>46017</v>
      </c>
      <c r="D603" t="inlineStr">
        <is>
          <t>SKÅNE LÄN</t>
        </is>
      </c>
      <c r="E603" t="inlineStr">
        <is>
          <t>HÄSSLEHOLM</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23173-2022</t>
        </is>
      </c>
      <c r="B604" s="1" t="n">
        <v>44719.72155092593</v>
      </c>
      <c r="C604" s="1" t="n">
        <v>46017</v>
      </c>
      <c r="D604" t="inlineStr">
        <is>
          <t>SKÅNE LÄN</t>
        </is>
      </c>
      <c r="E604" t="inlineStr">
        <is>
          <t>HÄSSLEHOLM</t>
        </is>
      </c>
      <c r="F604" t="inlineStr">
        <is>
          <t>Övriga Aktiebolag</t>
        </is>
      </c>
      <c r="G604" t="n">
        <v>0.9</v>
      </c>
      <c r="H604" t="n">
        <v>0</v>
      </c>
      <c r="I604" t="n">
        <v>0</v>
      </c>
      <c r="J604" t="n">
        <v>0</v>
      </c>
      <c r="K604" t="n">
        <v>0</v>
      </c>
      <c r="L604" t="n">
        <v>0</v>
      </c>
      <c r="M604" t="n">
        <v>0</v>
      </c>
      <c r="N604" t="n">
        <v>0</v>
      </c>
      <c r="O604" t="n">
        <v>0</v>
      </c>
      <c r="P604" t="n">
        <v>0</v>
      </c>
      <c r="Q604" t="n">
        <v>0</v>
      </c>
      <c r="R604" s="2" t="inlineStr"/>
    </row>
    <row r="605" ht="15" customHeight="1">
      <c r="A605" t="inlineStr">
        <is>
          <t>A 52608-2023</t>
        </is>
      </c>
      <c r="B605" s="1" t="n">
        <v>45219</v>
      </c>
      <c r="C605" s="1" t="n">
        <v>46017</v>
      </c>
      <c r="D605" t="inlineStr">
        <is>
          <t>SKÅNE LÄN</t>
        </is>
      </c>
      <c r="E605" t="inlineStr">
        <is>
          <t>HÄSSLEHOLM</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3480-2024</t>
        </is>
      </c>
      <c r="B606" s="1" t="n">
        <v>45320.43998842593</v>
      </c>
      <c r="C606" s="1" t="n">
        <v>46017</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8239-2025</t>
        </is>
      </c>
      <c r="B607" s="1" t="n">
        <v>45708.47984953703</v>
      </c>
      <c r="C607" s="1" t="n">
        <v>46017</v>
      </c>
      <c r="D607" t="inlineStr">
        <is>
          <t>SKÅNE LÄN</t>
        </is>
      </c>
      <c r="E607" t="inlineStr">
        <is>
          <t>HÄSSLEHOLM</t>
        </is>
      </c>
      <c r="G607" t="n">
        <v>2.7</v>
      </c>
      <c r="H607" t="n">
        <v>0</v>
      </c>
      <c r="I607" t="n">
        <v>0</v>
      </c>
      <c r="J607" t="n">
        <v>0</v>
      </c>
      <c r="K607" t="n">
        <v>0</v>
      </c>
      <c r="L607" t="n">
        <v>0</v>
      </c>
      <c r="M607" t="n">
        <v>0</v>
      </c>
      <c r="N607" t="n">
        <v>0</v>
      </c>
      <c r="O607" t="n">
        <v>0</v>
      </c>
      <c r="P607" t="n">
        <v>0</v>
      </c>
      <c r="Q607" t="n">
        <v>0</v>
      </c>
      <c r="R607" s="2" t="inlineStr"/>
    </row>
    <row r="608" ht="15" customHeight="1">
      <c r="A608" t="inlineStr">
        <is>
          <t>A 56355-2023</t>
        </is>
      </c>
      <c r="B608" s="1" t="n">
        <v>45243.3702662037</v>
      </c>
      <c r="C608" s="1" t="n">
        <v>46017</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9394-2025</t>
        </is>
      </c>
      <c r="B609" s="1" t="n">
        <v>45715.36387731481</v>
      </c>
      <c r="C609" s="1" t="n">
        <v>46017</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7305-2025</t>
        </is>
      </c>
      <c r="B610" s="1" t="n">
        <v>45702</v>
      </c>
      <c r="C610" s="1" t="n">
        <v>46017</v>
      </c>
      <c r="D610" t="inlineStr">
        <is>
          <t>SKÅNE LÄN</t>
        </is>
      </c>
      <c r="E610" t="inlineStr">
        <is>
          <t>HÄSSLEHOLM</t>
        </is>
      </c>
      <c r="F610" t="inlineStr">
        <is>
          <t>Övriga Aktiebolag</t>
        </is>
      </c>
      <c r="G610" t="n">
        <v>2.2</v>
      </c>
      <c r="H610" t="n">
        <v>0</v>
      </c>
      <c r="I610" t="n">
        <v>0</v>
      </c>
      <c r="J610" t="n">
        <v>0</v>
      </c>
      <c r="K610" t="n">
        <v>0</v>
      </c>
      <c r="L610" t="n">
        <v>0</v>
      </c>
      <c r="M610" t="n">
        <v>0</v>
      </c>
      <c r="N610" t="n">
        <v>0</v>
      </c>
      <c r="O610" t="n">
        <v>0</v>
      </c>
      <c r="P610" t="n">
        <v>0</v>
      </c>
      <c r="Q610" t="n">
        <v>0</v>
      </c>
      <c r="R610" s="2" t="inlineStr"/>
    </row>
    <row r="611" ht="15" customHeight="1">
      <c r="A611" t="inlineStr">
        <is>
          <t>A 55218-2023</t>
        </is>
      </c>
      <c r="B611" s="1" t="n">
        <v>45237</v>
      </c>
      <c r="C611" s="1" t="n">
        <v>46017</v>
      </c>
      <c r="D611" t="inlineStr">
        <is>
          <t>SKÅNE LÄN</t>
        </is>
      </c>
      <c r="E611" t="inlineStr">
        <is>
          <t>HÄSSLEHOLM</t>
        </is>
      </c>
      <c r="G611" t="n">
        <v>2</v>
      </c>
      <c r="H611" t="n">
        <v>0</v>
      </c>
      <c r="I611" t="n">
        <v>0</v>
      </c>
      <c r="J611" t="n">
        <v>0</v>
      </c>
      <c r="K611" t="n">
        <v>0</v>
      </c>
      <c r="L611" t="n">
        <v>0</v>
      </c>
      <c r="M611" t="n">
        <v>0</v>
      </c>
      <c r="N611" t="n">
        <v>0</v>
      </c>
      <c r="O611" t="n">
        <v>0</v>
      </c>
      <c r="P611" t="n">
        <v>0</v>
      </c>
      <c r="Q611" t="n">
        <v>0</v>
      </c>
      <c r="R611" s="2" t="inlineStr"/>
    </row>
    <row r="612" ht="15" customHeight="1">
      <c r="A612" t="inlineStr">
        <is>
          <t>A 52341-2023</t>
        </is>
      </c>
      <c r="B612" s="1" t="n">
        <v>45224.67006944444</v>
      </c>
      <c r="C612" s="1" t="n">
        <v>46017</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1119-2024</t>
        </is>
      </c>
      <c r="B613" s="1" t="n">
        <v>45302</v>
      </c>
      <c r="C613" s="1" t="n">
        <v>46017</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9393-2025</t>
        </is>
      </c>
      <c r="B614" s="1" t="n">
        <v>45715.36230324074</v>
      </c>
      <c r="C614" s="1" t="n">
        <v>46017</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27173-2024</t>
        </is>
      </c>
      <c r="B615" s="1" t="n">
        <v>45471.57048611111</v>
      </c>
      <c r="C615" s="1" t="n">
        <v>46017</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11422-2025</t>
        </is>
      </c>
      <c r="B616" s="1" t="n">
        <v>45726</v>
      </c>
      <c r="C616" s="1" t="n">
        <v>46017</v>
      </c>
      <c r="D616" t="inlineStr">
        <is>
          <t>SKÅNE LÄN</t>
        </is>
      </c>
      <c r="E616" t="inlineStr">
        <is>
          <t>HÄSSLEHOLM</t>
        </is>
      </c>
      <c r="G616" t="n">
        <v>14.9</v>
      </c>
      <c r="H616" t="n">
        <v>0</v>
      </c>
      <c r="I616" t="n">
        <v>0</v>
      </c>
      <c r="J616" t="n">
        <v>0</v>
      </c>
      <c r="K616" t="n">
        <v>0</v>
      </c>
      <c r="L616" t="n">
        <v>0</v>
      </c>
      <c r="M616" t="n">
        <v>0</v>
      </c>
      <c r="N616" t="n">
        <v>0</v>
      </c>
      <c r="O616" t="n">
        <v>0</v>
      </c>
      <c r="P616" t="n">
        <v>0</v>
      </c>
      <c r="Q616" t="n">
        <v>0</v>
      </c>
      <c r="R616" s="2" t="inlineStr"/>
    </row>
    <row r="617" ht="15" customHeight="1">
      <c r="A617" t="inlineStr">
        <is>
          <t>A 41873-2023</t>
        </is>
      </c>
      <c r="B617" s="1" t="n">
        <v>45176</v>
      </c>
      <c r="C617" s="1" t="n">
        <v>46017</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15800-2025</t>
        </is>
      </c>
      <c r="B618" s="1" t="n">
        <v>45748.64831018518</v>
      </c>
      <c r="C618" s="1" t="n">
        <v>46017</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57277-2023</t>
        </is>
      </c>
      <c r="B619" s="1" t="n">
        <v>45245.59104166667</v>
      </c>
      <c r="C619" s="1" t="n">
        <v>46017</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40780-2022</t>
        </is>
      </c>
      <c r="B620" s="1" t="n">
        <v>44820</v>
      </c>
      <c r="C620" s="1" t="n">
        <v>46017</v>
      </c>
      <c r="D620" t="inlineStr">
        <is>
          <t>SKÅNE LÄN</t>
        </is>
      </c>
      <c r="E620" t="inlineStr">
        <is>
          <t>HÄSSLEHOLM</t>
        </is>
      </c>
      <c r="G620" t="n">
        <v>7.4</v>
      </c>
      <c r="H620" t="n">
        <v>0</v>
      </c>
      <c r="I620" t="n">
        <v>0</v>
      </c>
      <c r="J620" t="n">
        <v>0</v>
      </c>
      <c r="K620" t="n">
        <v>0</v>
      </c>
      <c r="L620" t="n">
        <v>0</v>
      </c>
      <c r="M620" t="n">
        <v>0</v>
      </c>
      <c r="N620" t="n">
        <v>0</v>
      </c>
      <c r="O620" t="n">
        <v>0</v>
      </c>
      <c r="P620" t="n">
        <v>0</v>
      </c>
      <c r="Q620" t="n">
        <v>0</v>
      </c>
      <c r="R620" s="2" t="inlineStr"/>
    </row>
    <row r="621" ht="15" customHeight="1">
      <c r="A621" t="inlineStr">
        <is>
          <t>A 51245-2023</t>
        </is>
      </c>
      <c r="B621" s="1" t="n">
        <v>45212</v>
      </c>
      <c r="C621" s="1" t="n">
        <v>46017</v>
      </c>
      <c r="D621" t="inlineStr">
        <is>
          <t>SKÅNE LÄN</t>
        </is>
      </c>
      <c r="E621" t="inlineStr">
        <is>
          <t>HÄSSLEHOLM</t>
        </is>
      </c>
      <c r="G621" t="n">
        <v>2.1</v>
      </c>
      <c r="H621" t="n">
        <v>0</v>
      </c>
      <c r="I621" t="n">
        <v>0</v>
      </c>
      <c r="J621" t="n">
        <v>0</v>
      </c>
      <c r="K621" t="n">
        <v>0</v>
      </c>
      <c r="L621" t="n">
        <v>0</v>
      </c>
      <c r="M621" t="n">
        <v>0</v>
      </c>
      <c r="N621" t="n">
        <v>0</v>
      </c>
      <c r="O621" t="n">
        <v>0</v>
      </c>
      <c r="P621" t="n">
        <v>0</v>
      </c>
      <c r="Q621" t="n">
        <v>0</v>
      </c>
      <c r="R621" s="2" t="inlineStr"/>
    </row>
    <row r="622" ht="15" customHeight="1">
      <c r="A622" t="inlineStr">
        <is>
          <t>A 9611-2025</t>
        </is>
      </c>
      <c r="B622" s="1" t="n">
        <v>45715</v>
      </c>
      <c r="C622" s="1" t="n">
        <v>46017</v>
      </c>
      <c r="D622" t="inlineStr">
        <is>
          <t>SKÅNE LÄN</t>
        </is>
      </c>
      <c r="E622" t="inlineStr">
        <is>
          <t>HÄSSLEHOLM</t>
        </is>
      </c>
      <c r="G622" t="n">
        <v>2.1</v>
      </c>
      <c r="H622" t="n">
        <v>0</v>
      </c>
      <c r="I622" t="n">
        <v>0</v>
      </c>
      <c r="J622" t="n">
        <v>0</v>
      </c>
      <c r="K622" t="n">
        <v>0</v>
      </c>
      <c r="L622" t="n">
        <v>0</v>
      </c>
      <c r="M622" t="n">
        <v>0</v>
      </c>
      <c r="N622" t="n">
        <v>0</v>
      </c>
      <c r="O622" t="n">
        <v>0</v>
      </c>
      <c r="P622" t="n">
        <v>0</v>
      </c>
      <c r="Q622" t="n">
        <v>0</v>
      </c>
      <c r="R622" s="2" t="inlineStr"/>
    </row>
    <row r="623" ht="15" customHeight="1">
      <c r="A623" t="inlineStr">
        <is>
          <t>A 5284-2023</t>
        </is>
      </c>
      <c r="B623" s="1" t="n">
        <v>44959.50608796296</v>
      </c>
      <c r="C623" s="1" t="n">
        <v>46017</v>
      </c>
      <c r="D623" t="inlineStr">
        <is>
          <t>SKÅNE LÄN</t>
        </is>
      </c>
      <c r="E623" t="inlineStr">
        <is>
          <t>HÄSSLEHOLM</t>
        </is>
      </c>
      <c r="G623" t="n">
        <v>0.4</v>
      </c>
      <c r="H623" t="n">
        <v>0</v>
      </c>
      <c r="I623" t="n">
        <v>0</v>
      </c>
      <c r="J623" t="n">
        <v>0</v>
      </c>
      <c r="K623" t="n">
        <v>0</v>
      </c>
      <c r="L623" t="n">
        <v>0</v>
      </c>
      <c r="M623" t="n">
        <v>0</v>
      </c>
      <c r="N623" t="n">
        <v>0</v>
      </c>
      <c r="O623" t="n">
        <v>0</v>
      </c>
      <c r="P623" t="n">
        <v>0</v>
      </c>
      <c r="Q623" t="n">
        <v>0</v>
      </c>
      <c r="R623" s="2" t="inlineStr"/>
    </row>
    <row r="624" ht="15" customHeight="1">
      <c r="A624" t="inlineStr">
        <is>
          <t>A 5285-2023</t>
        </is>
      </c>
      <c r="B624" s="1" t="n">
        <v>44959.50783564815</v>
      </c>
      <c r="C624" s="1" t="n">
        <v>46017</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57272-2023</t>
        </is>
      </c>
      <c r="B625" s="1" t="n">
        <v>45245</v>
      </c>
      <c r="C625" s="1" t="n">
        <v>46017</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2479-2024</t>
        </is>
      </c>
      <c r="B626" s="1" t="n">
        <v>45313.40148148148</v>
      </c>
      <c r="C626" s="1" t="n">
        <v>46017</v>
      </c>
      <c r="D626" t="inlineStr">
        <is>
          <t>SKÅNE LÄN</t>
        </is>
      </c>
      <c r="E626" t="inlineStr">
        <is>
          <t>HÄSSLEHOLM</t>
        </is>
      </c>
      <c r="G626" t="n">
        <v>1.2</v>
      </c>
      <c r="H626" t="n">
        <v>0</v>
      </c>
      <c r="I626" t="n">
        <v>0</v>
      </c>
      <c r="J626" t="n">
        <v>0</v>
      </c>
      <c r="K626" t="n">
        <v>0</v>
      </c>
      <c r="L626" t="n">
        <v>0</v>
      </c>
      <c r="M626" t="n">
        <v>0</v>
      </c>
      <c r="N626" t="n">
        <v>0</v>
      </c>
      <c r="O626" t="n">
        <v>0</v>
      </c>
      <c r="P626" t="n">
        <v>0</v>
      </c>
      <c r="Q626" t="n">
        <v>0</v>
      </c>
      <c r="R626" s="2" t="inlineStr"/>
    </row>
    <row r="627" ht="15" customHeight="1">
      <c r="A627" t="inlineStr">
        <is>
          <t>A 31160-2024</t>
        </is>
      </c>
      <c r="B627" s="1" t="n">
        <v>45503</v>
      </c>
      <c r="C627" s="1" t="n">
        <v>46017</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50664-2023</t>
        </is>
      </c>
      <c r="B628" s="1" t="n">
        <v>45217</v>
      </c>
      <c r="C628" s="1" t="n">
        <v>46017</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56490-2021</t>
        </is>
      </c>
      <c r="B629" s="1" t="n">
        <v>44480</v>
      </c>
      <c r="C629" s="1" t="n">
        <v>46017</v>
      </c>
      <c r="D629" t="inlineStr">
        <is>
          <t>SKÅNE LÄN</t>
        </is>
      </c>
      <c r="E629" t="inlineStr">
        <is>
          <t>HÄSSLEHOLM</t>
        </is>
      </c>
      <c r="F629" t="inlineStr">
        <is>
          <t>Kyrkan</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42520-2025</t>
        </is>
      </c>
      <c r="B630" s="1" t="n">
        <v>45905.54846064815</v>
      </c>
      <c r="C630" s="1" t="n">
        <v>46017</v>
      </c>
      <c r="D630" t="inlineStr">
        <is>
          <t>SKÅNE LÄN</t>
        </is>
      </c>
      <c r="E630" t="inlineStr">
        <is>
          <t>HÄSSLEHOLM</t>
        </is>
      </c>
      <c r="G630" t="n">
        <v>2.5</v>
      </c>
      <c r="H630" t="n">
        <v>0</v>
      </c>
      <c r="I630" t="n">
        <v>0</v>
      </c>
      <c r="J630" t="n">
        <v>0</v>
      </c>
      <c r="K630" t="n">
        <v>0</v>
      </c>
      <c r="L630" t="n">
        <v>0</v>
      </c>
      <c r="M630" t="n">
        <v>0</v>
      </c>
      <c r="N630" t="n">
        <v>0</v>
      </c>
      <c r="O630" t="n">
        <v>0</v>
      </c>
      <c r="P630" t="n">
        <v>0</v>
      </c>
      <c r="Q630" t="n">
        <v>0</v>
      </c>
      <c r="R630" s="2" t="inlineStr"/>
    </row>
    <row r="631" ht="15" customHeight="1">
      <c r="A631" t="inlineStr">
        <is>
          <t>A 417-2022</t>
        </is>
      </c>
      <c r="B631" s="1" t="n">
        <v>44565.84615740741</v>
      </c>
      <c r="C631" s="1" t="n">
        <v>46017</v>
      </c>
      <c r="D631" t="inlineStr">
        <is>
          <t>SKÅNE LÄN</t>
        </is>
      </c>
      <c r="E631" t="inlineStr">
        <is>
          <t>HÄSSLEHOLM</t>
        </is>
      </c>
      <c r="G631" t="n">
        <v>0</v>
      </c>
      <c r="H631" t="n">
        <v>0</v>
      </c>
      <c r="I631" t="n">
        <v>0</v>
      </c>
      <c r="J631" t="n">
        <v>0</v>
      </c>
      <c r="K631" t="n">
        <v>0</v>
      </c>
      <c r="L631" t="n">
        <v>0</v>
      </c>
      <c r="M631" t="n">
        <v>0</v>
      </c>
      <c r="N631" t="n">
        <v>0</v>
      </c>
      <c r="O631" t="n">
        <v>0</v>
      </c>
      <c r="P631" t="n">
        <v>0</v>
      </c>
      <c r="Q631" t="n">
        <v>0</v>
      </c>
      <c r="R631" s="2" t="inlineStr"/>
    </row>
    <row r="632" ht="15" customHeight="1">
      <c r="A632" t="inlineStr">
        <is>
          <t>A 61934-2023</t>
        </is>
      </c>
      <c r="B632" s="1" t="n">
        <v>45266.54125</v>
      </c>
      <c r="C632" s="1" t="n">
        <v>46017</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41459-2022</t>
        </is>
      </c>
      <c r="B633" s="1" t="n">
        <v>44826.93372685185</v>
      </c>
      <c r="C633" s="1" t="n">
        <v>46017</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43333-2025</t>
        </is>
      </c>
      <c r="B634" s="1" t="n">
        <v>45910</v>
      </c>
      <c r="C634" s="1" t="n">
        <v>46017</v>
      </c>
      <c r="D634" t="inlineStr">
        <is>
          <t>SKÅNE LÄN</t>
        </is>
      </c>
      <c r="E634" t="inlineStr">
        <is>
          <t>HÄSSLEHOLM</t>
        </is>
      </c>
      <c r="G634" t="n">
        <v>10.1</v>
      </c>
      <c r="H634" t="n">
        <v>0</v>
      </c>
      <c r="I634" t="n">
        <v>0</v>
      </c>
      <c r="J634" t="n">
        <v>0</v>
      </c>
      <c r="K634" t="n">
        <v>0</v>
      </c>
      <c r="L634" t="n">
        <v>0</v>
      </c>
      <c r="M634" t="n">
        <v>0</v>
      </c>
      <c r="N634" t="n">
        <v>0</v>
      </c>
      <c r="O634" t="n">
        <v>0</v>
      </c>
      <c r="P634" t="n">
        <v>0</v>
      </c>
      <c r="Q634" t="n">
        <v>0</v>
      </c>
      <c r="R634" s="2" t="inlineStr"/>
    </row>
    <row r="635" ht="15" customHeight="1">
      <c r="A635" t="inlineStr">
        <is>
          <t>A 43332-2025</t>
        </is>
      </c>
      <c r="B635" s="1" t="n">
        <v>45910.70217592592</v>
      </c>
      <c r="C635" s="1" t="n">
        <v>46017</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48747-2022</t>
        </is>
      </c>
      <c r="B636" s="1" t="n">
        <v>44859</v>
      </c>
      <c r="C636" s="1" t="n">
        <v>46017</v>
      </c>
      <c r="D636" t="inlineStr">
        <is>
          <t>SKÅNE LÄN</t>
        </is>
      </c>
      <c r="E636" t="inlineStr">
        <is>
          <t>HÄSSLEHOLM</t>
        </is>
      </c>
      <c r="G636" t="n">
        <v>1.9</v>
      </c>
      <c r="H636" t="n">
        <v>0</v>
      </c>
      <c r="I636" t="n">
        <v>0</v>
      </c>
      <c r="J636" t="n">
        <v>0</v>
      </c>
      <c r="K636" t="n">
        <v>0</v>
      </c>
      <c r="L636" t="n">
        <v>0</v>
      </c>
      <c r="M636" t="n">
        <v>0</v>
      </c>
      <c r="N636" t="n">
        <v>0</v>
      </c>
      <c r="O636" t="n">
        <v>0</v>
      </c>
      <c r="P636" t="n">
        <v>0</v>
      </c>
      <c r="Q636" t="n">
        <v>0</v>
      </c>
      <c r="R636" s="2" t="inlineStr"/>
    </row>
    <row r="637" ht="15" customHeight="1">
      <c r="A637" t="inlineStr">
        <is>
          <t>A 7153-2025</t>
        </is>
      </c>
      <c r="B637" s="1" t="n">
        <v>45702.38512731482</v>
      </c>
      <c r="C637" s="1" t="n">
        <v>46017</v>
      </c>
      <c r="D637" t="inlineStr">
        <is>
          <t>SKÅNE LÄN</t>
        </is>
      </c>
      <c r="E637" t="inlineStr">
        <is>
          <t>HÄSSLEHOLM</t>
        </is>
      </c>
      <c r="G637" t="n">
        <v>2.7</v>
      </c>
      <c r="H637" t="n">
        <v>0</v>
      </c>
      <c r="I637" t="n">
        <v>0</v>
      </c>
      <c r="J637" t="n">
        <v>0</v>
      </c>
      <c r="K637" t="n">
        <v>0</v>
      </c>
      <c r="L637" t="n">
        <v>0</v>
      </c>
      <c r="M637" t="n">
        <v>0</v>
      </c>
      <c r="N637" t="n">
        <v>0</v>
      </c>
      <c r="O637" t="n">
        <v>0</v>
      </c>
      <c r="P637" t="n">
        <v>0</v>
      </c>
      <c r="Q637" t="n">
        <v>0</v>
      </c>
      <c r="R637" s="2" t="inlineStr"/>
    </row>
    <row r="638" ht="15" customHeight="1">
      <c r="A638" t="inlineStr">
        <is>
          <t>A 19151-2023</t>
        </is>
      </c>
      <c r="B638" s="1" t="n">
        <v>45044</v>
      </c>
      <c r="C638" s="1" t="n">
        <v>46017</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54658-2023</t>
        </is>
      </c>
      <c r="B639" s="1" t="n">
        <v>45235</v>
      </c>
      <c r="C639" s="1" t="n">
        <v>46017</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42370-2023</t>
        </is>
      </c>
      <c r="B640" s="1" t="n">
        <v>45180</v>
      </c>
      <c r="C640" s="1" t="n">
        <v>46017</v>
      </c>
      <c r="D640" t="inlineStr">
        <is>
          <t>SKÅNE LÄN</t>
        </is>
      </c>
      <c r="E640" t="inlineStr">
        <is>
          <t>HÄSSLEHOLM</t>
        </is>
      </c>
      <c r="G640" t="n">
        <v>2.6</v>
      </c>
      <c r="H640" t="n">
        <v>0</v>
      </c>
      <c r="I640" t="n">
        <v>0</v>
      </c>
      <c r="J640" t="n">
        <v>0</v>
      </c>
      <c r="K640" t="n">
        <v>0</v>
      </c>
      <c r="L640" t="n">
        <v>0</v>
      </c>
      <c r="M640" t="n">
        <v>0</v>
      </c>
      <c r="N640" t="n">
        <v>0</v>
      </c>
      <c r="O640" t="n">
        <v>0</v>
      </c>
      <c r="P640" t="n">
        <v>0</v>
      </c>
      <c r="Q640" t="n">
        <v>0</v>
      </c>
      <c r="R640" s="2" t="inlineStr"/>
    </row>
    <row r="641" ht="15" customHeight="1">
      <c r="A641" t="inlineStr">
        <is>
          <t>A 60973-2024</t>
        </is>
      </c>
      <c r="B641" s="1" t="n">
        <v>45644</v>
      </c>
      <c r="C641" s="1" t="n">
        <v>46017</v>
      </c>
      <c r="D641" t="inlineStr">
        <is>
          <t>SKÅNE LÄN</t>
        </is>
      </c>
      <c r="E641" t="inlineStr">
        <is>
          <t>HÄSSLEHOLM</t>
        </is>
      </c>
      <c r="G641" t="n">
        <v>3.6</v>
      </c>
      <c r="H641" t="n">
        <v>0</v>
      </c>
      <c r="I641" t="n">
        <v>0</v>
      </c>
      <c r="J641" t="n">
        <v>0</v>
      </c>
      <c r="K641" t="n">
        <v>0</v>
      </c>
      <c r="L641" t="n">
        <v>0</v>
      </c>
      <c r="M641" t="n">
        <v>0</v>
      </c>
      <c r="N641" t="n">
        <v>0</v>
      </c>
      <c r="O641" t="n">
        <v>0</v>
      </c>
      <c r="P641" t="n">
        <v>0</v>
      </c>
      <c r="Q641" t="n">
        <v>0</v>
      </c>
      <c r="R641" s="2" t="inlineStr"/>
    </row>
    <row r="642" ht="15" customHeight="1">
      <c r="A642" t="inlineStr">
        <is>
          <t>A 7581-2023</t>
        </is>
      </c>
      <c r="B642" s="1" t="n">
        <v>44972.39556712963</v>
      </c>
      <c r="C642" s="1" t="n">
        <v>46017</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21141-2024</t>
        </is>
      </c>
      <c r="B643" s="1" t="n">
        <v>45440.39012731481</v>
      </c>
      <c r="C643" s="1" t="n">
        <v>46017</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16951-2025</t>
        </is>
      </c>
      <c r="B644" s="1" t="n">
        <v>45755</v>
      </c>
      <c r="C644" s="1" t="n">
        <v>46017</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11603-2025</t>
        </is>
      </c>
      <c r="B645" s="1" t="n">
        <v>45727</v>
      </c>
      <c r="C645" s="1" t="n">
        <v>46017</v>
      </c>
      <c r="D645" t="inlineStr">
        <is>
          <t>SKÅNE LÄN</t>
        </is>
      </c>
      <c r="E645" t="inlineStr">
        <is>
          <t>HÄSSLEHOLM</t>
        </is>
      </c>
      <c r="G645" t="n">
        <v>5.6</v>
      </c>
      <c r="H645" t="n">
        <v>0</v>
      </c>
      <c r="I645" t="n">
        <v>0</v>
      </c>
      <c r="J645" t="n">
        <v>0</v>
      </c>
      <c r="K645" t="n">
        <v>0</v>
      </c>
      <c r="L645" t="n">
        <v>0</v>
      </c>
      <c r="M645" t="n">
        <v>0</v>
      </c>
      <c r="N645" t="n">
        <v>0</v>
      </c>
      <c r="O645" t="n">
        <v>0</v>
      </c>
      <c r="P645" t="n">
        <v>0</v>
      </c>
      <c r="Q645" t="n">
        <v>0</v>
      </c>
      <c r="R645" s="2" t="inlineStr"/>
    </row>
    <row r="646" ht="15" customHeight="1">
      <c r="A646" t="inlineStr">
        <is>
          <t>A 13712-2025</t>
        </is>
      </c>
      <c r="B646" s="1" t="n">
        <v>45737</v>
      </c>
      <c r="C646" s="1" t="n">
        <v>46017</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43516-2025</t>
        </is>
      </c>
      <c r="B647" s="1" t="n">
        <v>45911</v>
      </c>
      <c r="C647" s="1" t="n">
        <v>46017</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18063-2023</t>
        </is>
      </c>
      <c r="B648" s="1" t="n">
        <v>45040.62850694444</v>
      </c>
      <c r="C648" s="1" t="n">
        <v>46017</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43738-2025</t>
        </is>
      </c>
      <c r="B649" s="1" t="n">
        <v>45912.45037037037</v>
      </c>
      <c r="C649" s="1" t="n">
        <v>46017</v>
      </c>
      <c r="D649" t="inlineStr">
        <is>
          <t>SKÅNE LÄN</t>
        </is>
      </c>
      <c r="E649" t="inlineStr">
        <is>
          <t>HÄSSLEHOLM</t>
        </is>
      </c>
      <c r="G649" t="n">
        <v>1.3</v>
      </c>
      <c r="H649" t="n">
        <v>0</v>
      </c>
      <c r="I649" t="n">
        <v>0</v>
      </c>
      <c r="J649" t="n">
        <v>0</v>
      </c>
      <c r="K649" t="n">
        <v>0</v>
      </c>
      <c r="L649" t="n">
        <v>0</v>
      </c>
      <c r="M649" t="n">
        <v>0</v>
      </c>
      <c r="N649" t="n">
        <v>0</v>
      </c>
      <c r="O649" t="n">
        <v>0</v>
      </c>
      <c r="P649" t="n">
        <v>0</v>
      </c>
      <c r="Q649" t="n">
        <v>0</v>
      </c>
      <c r="R649" s="2" t="inlineStr"/>
    </row>
    <row r="650" ht="15" customHeight="1">
      <c r="A650" t="inlineStr">
        <is>
          <t>A 43741-2025</t>
        </is>
      </c>
      <c r="B650" s="1" t="n">
        <v>45912.45541666666</v>
      </c>
      <c r="C650" s="1" t="n">
        <v>46017</v>
      </c>
      <c r="D650" t="inlineStr">
        <is>
          <t>SKÅNE LÄN</t>
        </is>
      </c>
      <c r="E650" t="inlineStr">
        <is>
          <t>HÄSSLEHOLM</t>
        </is>
      </c>
      <c r="G650" t="n">
        <v>4.3</v>
      </c>
      <c r="H650" t="n">
        <v>0</v>
      </c>
      <c r="I650" t="n">
        <v>0</v>
      </c>
      <c r="J650" t="n">
        <v>0</v>
      </c>
      <c r="K650" t="n">
        <v>0</v>
      </c>
      <c r="L650" t="n">
        <v>0</v>
      </c>
      <c r="M650" t="n">
        <v>0</v>
      </c>
      <c r="N650" t="n">
        <v>0</v>
      </c>
      <c r="O650" t="n">
        <v>0</v>
      </c>
      <c r="P650" t="n">
        <v>0</v>
      </c>
      <c r="Q650" t="n">
        <v>0</v>
      </c>
      <c r="R650" s="2" t="inlineStr"/>
    </row>
    <row r="651" ht="15" customHeight="1">
      <c r="A651" t="inlineStr">
        <is>
          <t>A 46288-2023</t>
        </is>
      </c>
      <c r="B651" s="1" t="n">
        <v>45197.30221064815</v>
      </c>
      <c r="C651" s="1" t="n">
        <v>46017</v>
      </c>
      <c r="D651" t="inlineStr">
        <is>
          <t>SKÅNE LÄN</t>
        </is>
      </c>
      <c r="E651" t="inlineStr">
        <is>
          <t>HÄSSLEHOLM</t>
        </is>
      </c>
      <c r="G651" t="n">
        <v>3</v>
      </c>
      <c r="H651" t="n">
        <v>0</v>
      </c>
      <c r="I651" t="n">
        <v>0</v>
      </c>
      <c r="J651" t="n">
        <v>0</v>
      </c>
      <c r="K651" t="n">
        <v>0</v>
      </c>
      <c r="L651" t="n">
        <v>0</v>
      </c>
      <c r="M651" t="n">
        <v>0</v>
      </c>
      <c r="N651" t="n">
        <v>0</v>
      </c>
      <c r="O651" t="n">
        <v>0</v>
      </c>
      <c r="P651" t="n">
        <v>0</v>
      </c>
      <c r="Q651" t="n">
        <v>0</v>
      </c>
      <c r="R651" s="2" t="inlineStr"/>
    </row>
    <row r="652" ht="15" customHeight="1">
      <c r="A652" t="inlineStr">
        <is>
          <t>A 14674-2025</t>
        </is>
      </c>
      <c r="B652" s="1" t="n">
        <v>45742.55548611111</v>
      </c>
      <c r="C652" s="1" t="n">
        <v>46017</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57967-2023</t>
        </is>
      </c>
      <c r="B653" s="1" t="n">
        <v>45247.57984953704</v>
      </c>
      <c r="C653" s="1" t="n">
        <v>46017</v>
      </c>
      <c r="D653" t="inlineStr">
        <is>
          <t>SKÅNE LÄN</t>
        </is>
      </c>
      <c r="E653" t="inlineStr">
        <is>
          <t>HÄSSLEHOLM</t>
        </is>
      </c>
      <c r="G653" t="n">
        <v>8.6</v>
      </c>
      <c r="H653" t="n">
        <v>0</v>
      </c>
      <c r="I653" t="n">
        <v>0</v>
      </c>
      <c r="J653" t="n">
        <v>0</v>
      </c>
      <c r="K653" t="n">
        <v>0</v>
      </c>
      <c r="L653" t="n">
        <v>0</v>
      </c>
      <c r="M653" t="n">
        <v>0</v>
      </c>
      <c r="N653" t="n">
        <v>0</v>
      </c>
      <c r="O653" t="n">
        <v>0</v>
      </c>
      <c r="P653" t="n">
        <v>0</v>
      </c>
      <c r="Q653" t="n">
        <v>0</v>
      </c>
      <c r="R653" s="2" t="inlineStr"/>
    </row>
    <row r="654" ht="15" customHeight="1">
      <c r="A654" t="inlineStr">
        <is>
          <t>A 54777-2022</t>
        </is>
      </c>
      <c r="B654" s="1" t="n">
        <v>44883</v>
      </c>
      <c r="C654" s="1" t="n">
        <v>46017</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19744-2023</t>
        </is>
      </c>
      <c r="B655" s="1" t="n">
        <v>45051</v>
      </c>
      <c r="C655" s="1" t="n">
        <v>46017</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43869-2025</t>
        </is>
      </c>
      <c r="B656" s="1" t="n">
        <v>45912.66452546296</v>
      </c>
      <c r="C656" s="1" t="n">
        <v>46017</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15990-2023</t>
        </is>
      </c>
      <c r="B657" s="1" t="n">
        <v>45023.39584490741</v>
      </c>
      <c r="C657" s="1" t="n">
        <v>46017</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47907-2021</t>
        </is>
      </c>
      <c r="B658" s="1" t="n">
        <v>44448</v>
      </c>
      <c r="C658" s="1" t="n">
        <v>46017</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7513-2025</t>
        </is>
      </c>
      <c r="B659" s="1" t="n">
        <v>45702</v>
      </c>
      <c r="C659" s="1" t="n">
        <v>46017</v>
      </c>
      <c r="D659" t="inlineStr">
        <is>
          <t>SKÅNE LÄN</t>
        </is>
      </c>
      <c r="E659" t="inlineStr">
        <is>
          <t>HÄSSLEHOLM</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23683-2023</t>
        </is>
      </c>
      <c r="B660" s="1" t="n">
        <v>45077</v>
      </c>
      <c r="C660" s="1" t="n">
        <v>46017</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23955-2023</t>
        </is>
      </c>
      <c r="B661" s="1" t="n">
        <v>45078.62217592593</v>
      </c>
      <c r="C661" s="1" t="n">
        <v>46017</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45400-2022</t>
        </is>
      </c>
      <c r="B662" s="1" t="n">
        <v>44844.713125</v>
      </c>
      <c r="C662" s="1" t="n">
        <v>46017</v>
      </c>
      <c r="D662" t="inlineStr">
        <is>
          <t>SKÅNE LÄN</t>
        </is>
      </c>
      <c r="E662" t="inlineStr">
        <is>
          <t>HÄSSLEHOLM</t>
        </is>
      </c>
      <c r="G662" t="n">
        <v>1.6</v>
      </c>
      <c r="H662" t="n">
        <v>0</v>
      </c>
      <c r="I662" t="n">
        <v>0</v>
      </c>
      <c r="J662" t="n">
        <v>0</v>
      </c>
      <c r="K662" t="n">
        <v>0</v>
      </c>
      <c r="L662" t="n">
        <v>0</v>
      </c>
      <c r="M662" t="n">
        <v>0</v>
      </c>
      <c r="N662" t="n">
        <v>0</v>
      </c>
      <c r="O662" t="n">
        <v>0</v>
      </c>
      <c r="P662" t="n">
        <v>0</v>
      </c>
      <c r="Q662" t="n">
        <v>0</v>
      </c>
      <c r="R662" s="2" t="inlineStr"/>
    </row>
    <row r="663" ht="15" customHeight="1">
      <c r="A663" t="inlineStr">
        <is>
          <t>A 54874-2022</t>
        </is>
      </c>
      <c r="B663" s="1" t="n">
        <v>44881</v>
      </c>
      <c r="C663" s="1" t="n">
        <v>46017</v>
      </c>
      <c r="D663" t="inlineStr">
        <is>
          <t>SKÅNE LÄN</t>
        </is>
      </c>
      <c r="E663" t="inlineStr">
        <is>
          <t>HÄSSLEHOLM</t>
        </is>
      </c>
      <c r="G663" t="n">
        <v>8.1</v>
      </c>
      <c r="H663" t="n">
        <v>0</v>
      </c>
      <c r="I663" t="n">
        <v>0</v>
      </c>
      <c r="J663" t="n">
        <v>0</v>
      </c>
      <c r="K663" t="n">
        <v>0</v>
      </c>
      <c r="L663" t="n">
        <v>0</v>
      </c>
      <c r="M663" t="n">
        <v>0</v>
      </c>
      <c r="N663" t="n">
        <v>0</v>
      </c>
      <c r="O663" t="n">
        <v>0</v>
      </c>
      <c r="P663" t="n">
        <v>0</v>
      </c>
      <c r="Q663" t="n">
        <v>0</v>
      </c>
      <c r="R663" s="2" t="inlineStr"/>
    </row>
    <row r="664" ht="15" customHeight="1">
      <c r="A664" t="inlineStr">
        <is>
          <t>A 44330-2025</t>
        </is>
      </c>
      <c r="B664" s="1" t="n">
        <v>45916.42120370371</v>
      </c>
      <c r="C664" s="1" t="n">
        <v>46017</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23860-2024</t>
        </is>
      </c>
      <c r="B665" s="1" t="n">
        <v>45455</v>
      </c>
      <c r="C665" s="1" t="n">
        <v>46017</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524-2024</t>
        </is>
      </c>
      <c r="B666" s="1" t="n">
        <v>45299</v>
      </c>
      <c r="C666" s="1" t="n">
        <v>46017</v>
      </c>
      <c r="D666" t="inlineStr">
        <is>
          <t>SKÅNE LÄN</t>
        </is>
      </c>
      <c r="E666" t="inlineStr">
        <is>
          <t>HÄSSLEHOLM</t>
        </is>
      </c>
      <c r="G666" t="n">
        <v>29.4</v>
      </c>
      <c r="H666" t="n">
        <v>0</v>
      </c>
      <c r="I666" t="n">
        <v>0</v>
      </c>
      <c r="J666" t="n">
        <v>0</v>
      </c>
      <c r="K666" t="n">
        <v>0</v>
      </c>
      <c r="L666" t="n">
        <v>0</v>
      </c>
      <c r="M666" t="n">
        <v>0</v>
      </c>
      <c r="N666" t="n">
        <v>0</v>
      </c>
      <c r="O666" t="n">
        <v>0</v>
      </c>
      <c r="P666" t="n">
        <v>0</v>
      </c>
      <c r="Q666" t="n">
        <v>0</v>
      </c>
      <c r="R666" s="2" t="inlineStr"/>
    </row>
    <row r="667" ht="15" customHeight="1">
      <c r="A667" t="inlineStr">
        <is>
          <t>A 44523-2025</t>
        </is>
      </c>
      <c r="B667" s="1" t="n">
        <v>45916</v>
      </c>
      <c r="C667" s="1" t="n">
        <v>46017</v>
      </c>
      <c r="D667" t="inlineStr">
        <is>
          <t>SKÅNE LÄN</t>
        </is>
      </c>
      <c r="E667" t="inlineStr">
        <is>
          <t>HÄSSLEHOLM</t>
        </is>
      </c>
      <c r="G667" t="n">
        <v>1.6</v>
      </c>
      <c r="H667" t="n">
        <v>0</v>
      </c>
      <c r="I667" t="n">
        <v>0</v>
      </c>
      <c r="J667" t="n">
        <v>0</v>
      </c>
      <c r="K667" t="n">
        <v>0</v>
      </c>
      <c r="L667" t="n">
        <v>0</v>
      </c>
      <c r="M667" t="n">
        <v>0</v>
      </c>
      <c r="N667" t="n">
        <v>0</v>
      </c>
      <c r="O667" t="n">
        <v>0</v>
      </c>
      <c r="P667" t="n">
        <v>0</v>
      </c>
      <c r="Q667" t="n">
        <v>0</v>
      </c>
      <c r="R667" s="2" t="inlineStr"/>
    </row>
    <row r="668" ht="15" customHeight="1">
      <c r="A668" t="inlineStr">
        <is>
          <t>A 1706-2025</t>
        </is>
      </c>
      <c r="B668" s="1" t="n">
        <v>45670</v>
      </c>
      <c r="C668" s="1" t="n">
        <v>46017</v>
      </c>
      <c r="D668" t="inlineStr">
        <is>
          <t>SKÅNE LÄN</t>
        </is>
      </c>
      <c r="E668" t="inlineStr">
        <is>
          <t>HÄSSLEHOLM</t>
        </is>
      </c>
      <c r="G668" t="n">
        <v>5</v>
      </c>
      <c r="H668" t="n">
        <v>0</v>
      </c>
      <c r="I668" t="n">
        <v>0</v>
      </c>
      <c r="J668" t="n">
        <v>0</v>
      </c>
      <c r="K668" t="n">
        <v>0</v>
      </c>
      <c r="L668" t="n">
        <v>0</v>
      </c>
      <c r="M668" t="n">
        <v>0</v>
      </c>
      <c r="N668" t="n">
        <v>0</v>
      </c>
      <c r="O668" t="n">
        <v>0</v>
      </c>
      <c r="P668" t="n">
        <v>0</v>
      </c>
      <c r="Q668" t="n">
        <v>0</v>
      </c>
      <c r="R668" s="2" t="inlineStr"/>
    </row>
    <row r="669" ht="15" customHeight="1">
      <c r="A669" t="inlineStr">
        <is>
          <t>A 61625-2022</t>
        </is>
      </c>
      <c r="B669" s="1" t="n">
        <v>44916</v>
      </c>
      <c r="C669" s="1" t="n">
        <v>46017</v>
      </c>
      <c r="D669" t="inlineStr">
        <is>
          <t>SKÅNE LÄN</t>
        </is>
      </c>
      <c r="E669" t="inlineStr">
        <is>
          <t>HÄSSLEHOLM</t>
        </is>
      </c>
      <c r="G669" t="n">
        <v>2.4</v>
      </c>
      <c r="H669" t="n">
        <v>0</v>
      </c>
      <c r="I669" t="n">
        <v>0</v>
      </c>
      <c r="J669" t="n">
        <v>0</v>
      </c>
      <c r="K669" t="n">
        <v>0</v>
      </c>
      <c r="L669" t="n">
        <v>0</v>
      </c>
      <c r="M669" t="n">
        <v>0</v>
      </c>
      <c r="N669" t="n">
        <v>0</v>
      </c>
      <c r="O669" t="n">
        <v>0</v>
      </c>
      <c r="P669" t="n">
        <v>0</v>
      </c>
      <c r="Q669" t="n">
        <v>0</v>
      </c>
      <c r="R669" s="2" t="inlineStr"/>
    </row>
    <row r="670" ht="15" customHeight="1">
      <c r="A670" t="inlineStr">
        <is>
          <t>A 54518-2022</t>
        </is>
      </c>
      <c r="B670" s="1" t="n">
        <v>44882</v>
      </c>
      <c r="C670" s="1" t="n">
        <v>46017</v>
      </c>
      <c r="D670" t="inlineStr">
        <is>
          <t>SKÅNE LÄN</t>
        </is>
      </c>
      <c r="E670" t="inlineStr">
        <is>
          <t>HÄSSLEHOLM</t>
        </is>
      </c>
      <c r="F670" t="inlineStr">
        <is>
          <t>Övriga Aktiebolag</t>
        </is>
      </c>
      <c r="G670" t="n">
        <v>6.8</v>
      </c>
      <c r="H670" t="n">
        <v>0</v>
      </c>
      <c r="I670" t="n">
        <v>0</v>
      </c>
      <c r="J670" t="n">
        <v>0</v>
      </c>
      <c r="K670" t="n">
        <v>0</v>
      </c>
      <c r="L670" t="n">
        <v>0</v>
      </c>
      <c r="M670" t="n">
        <v>0</v>
      </c>
      <c r="N670" t="n">
        <v>0</v>
      </c>
      <c r="O670" t="n">
        <v>0</v>
      </c>
      <c r="P670" t="n">
        <v>0</v>
      </c>
      <c r="Q670" t="n">
        <v>0</v>
      </c>
      <c r="R670" s="2" t="inlineStr"/>
    </row>
    <row r="671" ht="15" customHeight="1">
      <c r="A671" t="inlineStr">
        <is>
          <t>A 31268-2024</t>
        </is>
      </c>
      <c r="B671" s="1" t="n">
        <v>45504</v>
      </c>
      <c r="C671" s="1" t="n">
        <v>46017</v>
      </c>
      <c r="D671" t="inlineStr">
        <is>
          <t>SKÅNE LÄN</t>
        </is>
      </c>
      <c r="E671" t="inlineStr">
        <is>
          <t>HÄSSLEHOLM</t>
        </is>
      </c>
      <c r="G671" t="n">
        <v>1.5</v>
      </c>
      <c r="H671" t="n">
        <v>0</v>
      </c>
      <c r="I671" t="n">
        <v>0</v>
      </c>
      <c r="J671" t="n">
        <v>0</v>
      </c>
      <c r="K671" t="n">
        <v>0</v>
      </c>
      <c r="L671" t="n">
        <v>0</v>
      </c>
      <c r="M671" t="n">
        <v>0</v>
      </c>
      <c r="N671" t="n">
        <v>0</v>
      </c>
      <c r="O671" t="n">
        <v>0</v>
      </c>
      <c r="P671" t="n">
        <v>0</v>
      </c>
      <c r="Q671" t="n">
        <v>0</v>
      </c>
      <c r="R671" s="2" t="inlineStr"/>
    </row>
    <row r="672" ht="15" customHeight="1">
      <c r="A672" t="inlineStr">
        <is>
          <t>A 7094-2023</t>
        </is>
      </c>
      <c r="B672" s="1" t="n">
        <v>44970.36958333333</v>
      </c>
      <c r="C672" s="1" t="n">
        <v>46017</v>
      </c>
      <c r="D672" t="inlineStr">
        <is>
          <t>SKÅNE LÄN</t>
        </is>
      </c>
      <c r="E672" t="inlineStr">
        <is>
          <t>HÄSSLEHOLM</t>
        </is>
      </c>
      <c r="G672" t="n">
        <v>3.6</v>
      </c>
      <c r="H672" t="n">
        <v>0</v>
      </c>
      <c r="I672" t="n">
        <v>0</v>
      </c>
      <c r="J672" t="n">
        <v>0</v>
      </c>
      <c r="K672" t="n">
        <v>0</v>
      </c>
      <c r="L672" t="n">
        <v>0</v>
      </c>
      <c r="M672" t="n">
        <v>0</v>
      </c>
      <c r="N672" t="n">
        <v>0</v>
      </c>
      <c r="O672" t="n">
        <v>0</v>
      </c>
      <c r="P672" t="n">
        <v>0</v>
      </c>
      <c r="Q672" t="n">
        <v>0</v>
      </c>
      <c r="R672" s="2" t="inlineStr"/>
    </row>
    <row r="673" ht="15" customHeight="1">
      <c r="A673" t="inlineStr">
        <is>
          <t>A 44515-2025</t>
        </is>
      </c>
      <c r="B673" s="1" t="n">
        <v>45916.7062037037</v>
      </c>
      <c r="C673" s="1" t="n">
        <v>46017</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13856-2025</t>
        </is>
      </c>
      <c r="B674" s="1" t="n">
        <v>45737.57289351852</v>
      </c>
      <c r="C674" s="1" t="n">
        <v>46017</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3500-2024</t>
        </is>
      </c>
      <c r="B675" s="1" t="n">
        <v>45320</v>
      </c>
      <c r="C675" s="1" t="n">
        <v>46017</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36568-2024</t>
        </is>
      </c>
      <c r="B676" s="1" t="n">
        <v>45537</v>
      </c>
      <c r="C676" s="1" t="n">
        <v>46017</v>
      </c>
      <c r="D676" t="inlineStr">
        <is>
          <t>SKÅNE LÄN</t>
        </is>
      </c>
      <c r="E676" t="inlineStr">
        <is>
          <t>HÄSSLEHOLM</t>
        </is>
      </c>
      <c r="G676" t="n">
        <v>4.3</v>
      </c>
      <c r="H676" t="n">
        <v>0</v>
      </c>
      <c r="I676" t="n">
        <v>0</v>
      </c>
      <c r="J676" t="n">
        <v>0</v>
      </c>
      <c r="K676" t="n">
        <v>0</v>
      </c>
      <c r="L676" t="n">
        <v>0</v>
      </c>
      <c r="M676" t="n">
        <v>0</v>
      </c>
      <c r="N676" t="n">
        <v>0</v>
      </c>
      <c r="O676" t="n">
        <v>0</v>
      </c>
      <c r="P676" t="n">
        <v>0</v>
      </c>
      <c r="Q676" t="n">
        <v>0</v>
      </c>
      <c r="R676" s="2" t="inlineStr"/>
    </row>
    <row r="677" ht="15" customHeight="1">
      <c r="A677" t="inlineStr">
        <is>
          <t>A 32794-2021</t>
        </is>
      </c>
      <c r="B677" s="1" t="n">
        <v>44375</v>
      </c>
      <c r="C677" s="1" t="n">
        <v>46017</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11266-2025</t>
        </is>
      </c>
      <c r="B678" s="1" t="n">
        <v>45726</v>
      </c>
      <c r="C678" s="1" t="n">
        <v>46017</v>
      </c>
      <c r="D678" t="inlineStr">
        <is>
          <t>SKÅNE LÄN</t>
        </is>
      </c>
      <c r="E678" t="inlineStr">
        <is>
          <t>HÄSSLEHOLM</t>
        </is>
      </c>
      <c r="G678" t="n">
        <v>0.3</v>
      </c>
      <c r="H678" t="n">
        <v>0</v>
      </c>
      <c r="I678" t="n">
        <v>0</v>
      </c>
      <c r="J678" t="n">
        <v>0</v>
      </c>
      <c r="K678" t="n">
        <v>0</v>
      </c>
      <c r="L678" t="n">
        <v>0</v>
      </c>
      <c r="M678" t="n">
        <v>0</v>
      </c>
      <c r="N678" t="n">
        <v>0</v>
      </c>
      <c r="O678" t="n">
        <v>0</v>
      </c>
      <c r="P678" t="n">
        <v>0</v>
      </c>
      <c r="Q678" t="n">
        <v>0</v>
      </c>
      <c r="R678" s="2" t="inlineStr"/>
    </row>
    <row r="679" ht="15" customHeight="1">
      <c r="A679" t="inlineStr">
        <is>
          <t>A 49950-2023</t>
        </is>
      </c>
      <c r="B679" s="1" t="n">
        <v>45215</v>
      </c>
      <c r="C679" s="1" t="n">
        <v>46017</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13961-2023</t>
        </is>
      </c>
      <c r="B680" s="1" t="n">
        <v>45008</v>
      </c>
      <c r="C680" s="1" t="n">
        <v>46017</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29853-2024</t>
        </is>
      </c>
      <c r="B681" s="1" t="n">
        <v>45485.65844907407</v>
      </c>
      <c r="C681" s="1" t="n">
        <v>46017</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57695-2023</t>
        </is>
      </c>
      <c r="B682" s="1" t="n">
        <v>45246</v>
      </c>
      <c r="C682" s="1" t="n">
        <v>46017</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44624-2025</t>
        </is>
      </c>
      <c r="B683" s="1" t="n">
        <v>45917.47152777778</v>
      </c>
      <c r="C683" s="1" t="n">
        <v>46017</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9615-2025</t>
        </is>
      </c>
      <c r="B684" s="1" t="n">
        <v>45715</v>
      </c>
      <c r="C684" s="1" t="n">
        <v>46017</v>
      </c>
      <c r="D684" t="inlineStr">
        <is>
          <t>SKÅNE LÄN</t>
        </is>
      </c>
      <c r="E684" t="inlineStr">
        <is>
          <t>HÄSSLEHOLM</t>
        </is>
      </c>
      <c r="G684" t="n">
        <v>1.8</v>
      </c>
      <c r="H684" t="n">
        <v>0</v>
      </c>
      <c r="I684" t="n">
        <v>0</v>
      </c>
      <c r="J684" t="n">
        <v>0</v>
      </c>
      <c r="K684" t="n">
        <v>0</v>
      </c>
      <c r="L684" t="n">
        <v>0</v>
      </c>
      <c r="M684" t="n">
        <v>0</v>
      </c>
      <c r="N684" t="n">
        <v>0</v>
      </c>
      <c r="O684" t="n">
        <v>0</v>
      </c>
      <c r="P684" t="n">
        <v>0</v>
      </c>
      <c r="Q684" t="n">
        <v>0</v>
      </c>
      <c r="R684" s="2" t="inlineStr"/>
    </row>
    <row r="685" ht="15" customHeight="1">
      <c r="A685" t="inlineStr">
        <is>
          <t>A 3855-2023</t>
        </is>
      </c>
      <c r="B685" s="1" t="n">
        <v>44951.69708333333</v>
      </c>
      <c r="C685" s="1" t="n">
        <v>46017</v>
      </c>
      <c r="D685" t="inlineStr">
        <is>
          <t>SKÅNE LÄN</t>
        </is>
      </c>
      <c r="E685" t="inlineStr">
        <is>
          <t>HÄSSLEHOLM</t>
        </is>
      </c>
      <c r="G685" t="n">
        <v>2.3</v>
      </c>
      <c r="H685" t="n">
        <v>0</v>
      </c>
      <c r="I685" t="n">
        <v>0</v>
      </c>
      <c r="J685" t="n">
        <v>0</v>
      </c>
      <c r="K685" t="n">
        <v>0</v>
      </c>
      <c r="L685" t="n">
        <v>0</v>
      </c>
      <c r="M685" t="n">
        <v>0</v>
      </c>
      <c r="N685" t="n">
        <v>0</v>
      </c>
      <c r="O685" t="n">
        <v>0</v>
      </c>
      <c r="P685" t="n">
        <v>0</v>
      </c>
      <c r="Q685" t="n">
        <v>0</v>
      </c>
      <c r="R685" s="2" t="inlineStr"/>
    </row>
    <row r="686" ht="15" customHeight="1">
      <c r="A686" t="inlineStr">
        <is>
          <t>A 34301-2024</t>
        </is>
      </c>
      <c r="B686" s="1" t="n">
        <v>45524</v>
      </c>
      <c r="C686" s="1" t="n">
        <v>46017</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44611-2025</t>
        </is>
      </c>
      <c r="B687" s="1" t="n">
        <v>45917.45109953704</v>
      </c>
      <c r="C687" s="1" t="n">
        <v>46017</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45084-2025</t>
        </is>
      </c>
      <c r="B688" s="1" t="n">
        <v>45918</v>
      </c>
      <c r="C688" s="1" t="n">
        <v>46017</v>
      </c>
      <c r="D688" t="inlineStr">
        <is>
          <t>SKÅNE LÄN</t>
        </is>
      </c>
      <c r="E688" t="inlineStr">
        <is>
          <t>HÄSSLEHOLM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42232-2022</t>
        </is>
      </c>
      <c r="B689" s="1" t="n">
        <v>44830.77591435185</v>
      </c>
      <c r="C689" s="1" t="n">
        <v>46017</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15060-2023</t>
        </is>
      </c>
      <c r="B690" s="1" t="n">
        <v>45015.69832175926</v>
      </c>
      <c r="C690" s="1" t="n">
        <v>46017</v>
      </c>
      <c r="D690" t="inlineStr">
        <is>
          <t>SKÅNE LÄN</t>
        </is>
      </c>
      <c r="E690" t="inlineStr">
        <is>
          <t>HÄSSLEHOLM</t>
        </is>
      </c>
      <c r="G690" t="n">
        <v>1.7</v>
      </c>
      <c r="H690" t="n">
        <v>0</v>
      </c>
      <c r="I690" t="n">
        <v>0</v>
      </c>
      <c r="J690" t="n">
        <v>0</v>
      </c>
      <c r="K690" t="n">
        <v>0</v>
      </c>
      <c r="L690" t="n">
        <v>0</v>
      </c>
      <c r="M690" t="n">
        <v>0</v>
      </c>
      <c r="N690" t="n">
        <v>0</v>
      </c>
      <c r="O690" t="n">
        <v>0</v>
      </c>
      <c r="P690" t="n">
        <v>0</v>
      </c>
      <c r="Q690" t="n">
        <v>0</v>
      </c>
      <c r="R690" s="2" t="inlineStr"/>
    </row>
    <row r="691" ht="15" customHeight="1">
      <c r="A691" t="inlineStr">
        <is>
          <t>A 54171-2021</t>
        </is>
      </c>
      <c r="B691" s="1" t="n">
        <v>44470</v>
      </c>
      <c r="C691" s="1" t="n">
        <v>46017</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44616-2025</t>
        </is>
      </c>
      <c r="B692" s="1" t="n">
        <v>45917.45572916666</v>
      </c>
      <c r="C692" s="1" t="n">
        <v>46017</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44614-2025</t>
        </is>
      </c>
      <c r="B693" s="1" t="n">
        <v>45917.45422453704</v>
      </c>
      <c r="C693" s="1" t="n">
        <v>46017</v>
      </c>
      <c r="D693" t="inlineStr">
        <is>
          <t>SKÅNE LÄN</t>
        </is>
      </c>
      <c r="E693" t="inlineStr">
        <is>
          <t>HÄSSLEHOLM</t>
        </is>
      </c>
      <c r="G693" t="n">
        <v>5.4</v>
      </c>
      <c r="H693" t="n">
        <v>0</v>
      </c>
      <c r="I693" t="n">
        <v>0</v>
      </c>
      <c r="J693" t="n">
        <v>0</v>
      </c>
      <c r="K693" t="n">
        <v>0</v>
      </c>
      <c r="L693" t="n">
        <v>0</v>
      </c>
      <c r="M693" t="n">
        <v>0</v>
      </c>
      <c r="N693" t="n">
        <v>0</v>
      </c>
      <c r="O693" t="n">
        <v>0</v>
      </c>
      <c r="P693" t="n">
        <v>0</v>
      </c>
      <c r="Q693" t="n">
        <v>0</v>
      </c>
      <c r="R693" s="2" t="inlineStr"/>
    </row>
    <row r="694" ht="15" customHeight="1">
      <c r="A694" t="inlineStr">
        <is>
          <t>A 38829-2024</t>
        </is>
      </c>
      <c r="B694" s="1" t="n">
        <v>45547.57247685185</v>
      </c>
      <c r="C694" s="1" t="n">
        <v>46017</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38228-2021</t>
        </is>
      </c>
      <c r="B695" s="1" t="n">
        <v>44405</v>
      </c>
      <c r="C695" s="1" t="n">
        <v>46017</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25542-2024</t>
        </is>
      </c>
      <c r="B696" s="1" t="n">
        <v>45463</v>
      </c>
      <c r="C696" s="1" t="n">
        <v>46017</v>
      </c>
      <c r="D696" t="inlineStr">
        <is>
          <t>SKÅNE LÄN</t>
        </is>
      </c>
      <c r="E696" t="inlineStr">
        <is>
          <t>HÄSSLEHOLM</t>
        </is>
      </c>
      <c r="G696" t="n">
        <v>6.9</v>
      </c>
      <c r="H696" t="n">
        <v>0</v>
      </c>
      <c r="I696" t="n">
        <v>0</v>
      </c>
      <c r="J696" t="n">
        <v>0</v>
      </c>
      <c r="K696" t="n">
        <v>0</v>
      </c>
      <c r="L696" t="n">
        <v>0</v>
      </c>
      <c r="M696" t="n">
        <v>0</v>
      </c>
      <c r="N696" t="n">
        <v>0</v>
      </c>
      <c r="O696" t="n">
        <v>0</v>
      </c>
      <c r="P696" t="n">
        <v>0</v>
      </c>
      <c r="Q696" t="n">
        <v>0</v>
      </c>
      <c r="R696" s="2" t="inlineStr"/>
    </row>
    <row r="697" ht="15" customHeight="1">
      <c r="A697" t="inlineStr">
        <is>
          <t>A 45495-2025</t>
        </is>
      </c>
      <c r="B697" s="1" t="n">
        <v>45922.56369212963</v>
      </c>
      <c r="C697" s="1" t="n">
        <v>46017</v>
      </c>
      <c r="D697" t="inlineStr">
        <is>
          <t>SKÅNE LÄN</t>
        </is>
      </c>
      <c r="E697" t="inlineStr">
        <is>
          <t>HÄSSLEHOLM</t>
        </is>
      </c>
      <c r="G697" t="n">
        <v>1.8</v>
      </c>
      <c r="H697" t="n">
        <v>0</v>
      </c>
      <c r="I697" t="n">
        <v>0</v>
      </c>
      <c r="J697" t="n">
        <v>0</v>
      </c>
      <c r="K697" t="n">
        <v>0</v>
      </c>
      <c r="L697" t="n">
        <v>0</v>
      </c>
      <c r="M697" t="n">
        <v>0</v>
      </c>
      <c r="N697" t="n">
        <v>0</v>
      </c>
      <c r="O697" t="n">
        <v>0</v>
      </c>
      <c r="P697" t="n">
        <v>0</v>
      </c>
      <c r="Q697" t="n">
        <v>0</v>
      </c>
      <c r="R697" s="2" t="inlineStr"/>
    </row>
    <row r="698" ht="15" customHeight="1">
      <c r="A698" t="inlineStr">
        <is>
          <t>A 55454-2021</t>
        </is>
      </c>
      <c r="B698" s="1" t="n">
        <v>44475</v>
      </c>
      <c r="C698" s="1" t="n">
        <v>46017</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45176-2025</t>
        </is>
      </c>
      <c r="B699" s="1" t="n">
        <v>45919.52307870371</v>
      </c>
      <c r="C699" s="1" t="n">
        <v>46017</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45273-2025</t>
        </is>
      </c>
      <c r="B700" s="1" t="n">
        <v>45919.70486111111</v>
      </c>
      <c r="C700" s="1" t="n">
        <v>46017</v>
      </c>
      <c r="D700" t="inlineStr">
        <is>
          <t>SKÅNE LÄN</t>
        </is>
      </c>
      <c r="E700" t="inlineStr">
        <is>
          <t>HÄSSLEHOLM</t>
        </is>
      </c>
      <c r="G700" t="n">
        <v>4.4</v>
      </c>
      <c r="H700" t="n">
        <v>0</v>
      </c>
      <c r="I700" t="n">
        <v>0</v>
      </c>
      <c r="J700" t="n">
        <v>0</v>
      </c>
      <c r="K700" t="n">
        <v>0</v>
      </c>
      <c r="L700" t="n">
        <v>0</v>
      </c>
      <c r="M700" t="n">
        <v>0</v>
      </c>
      <c r="N700" t="n">
        <v>0</v>
      </c>
      <c r="O700" t="n">
        <v>0</v>
      </c>
      <c r="P700" t="n">
        <v>0</v>
      </c>
      <c r="Q700" t="n">
        <v>0</v>
      </c>
      <c r="R700" s="2" t="inlineStr"/>
    </row>
    <row r="701" ht="15" customHeight="1">
      <c r="A701" t="inlineStr">
        <is>
          <t>A 13347-2025</t>
        </is>
      </c>
      <c r="B701" s="1" t="n">
        <v>45735.63175925926</v>
      </c>
      <c r="C701" s="1" t="n">
        <v>46017</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45314-2025</t>
        </is>
      </c>
      <c r="B702" s="1" t="n">
        <v>45921.81738425926</v>
      </c>
      <c r="C702" s="1" t="n">
        <v>46017</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61489-2024</t>
        </is>
      </c>
      <c r="B703" s="1" t="n">
        <v>45646.54875</v>
      </c>
      <c r="C703" s="1" t="n">
        <v>46017</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45516-2025</t>
        </is>
      </c>
      <c r="B704" s="1" t="n">
        <v>45922</v>
      </c>
      <c r="C704" s="1" t="n">
        <v>46017</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26879-2024</t>
        </is>
      </c>
      <c r="B705" s="1" t="n">
        <v>45470</v>
      </c>
      <c r="C705" s="1" t="n">
        <v>46017</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11260-2021</t>
        </is>
      </c>
      <c r="B706" s="1" t="n">
        <v>44263</v>
      </c>
      <c r="C706" s="1" t="n">
        <v>46017</v>
      </c>
      <c r="D706" t="inlineStr">
        <is>
          <t>SKÅNE LÄN</t>
        </is>
      </c>
      <c r="E706" t="inlineStr">
        <is>
          <t>HÄSSLEHOLM</t>
        </is>
      </c>
      <c r="G706" t="n">
        <v>5.4</v>
      </c>
      <c r="H706" t="n">
        <v>0</v>
      </c>
      <c r="I706" t="n">
        <v>0</v>
      </c>
      <c r="J706" t="n">
        <v>0</v>
      </c>
      <c r="K706" t="n">
        <v>0</v>
      </c>
      <c r="L706" t="n">
        <v>0</v>
      </c>
      <c r="M706" t="n">
        <v>0</v>
      </c>
      <c r="N706" t="n">
        <v>0</v>
      </c>
      <c r="O706" t="n">
        <v>0</v>
      </c>
      <c r="P706" t="n">
        <v>0</v>
      </c>
      <c r="Q706" t="n">
        <v>0</v>
      </c>
      <c r="R706" s="2" t="inlineStr"/>
    </row>
    <row r="707" ht="15" customHeight="1">
      <c r="A707" t="inlineStr">
        <is>
          <t>A 13198-2025</t>
        </is>
      </c>
      <c r="B707" s="1" t="n">
        <v>45735</v>
      </c>
      <c r="C707" s="1" t="n">
        <v>46017</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45514-2025</t>
        </is>
      </c>
      <c r="B708" s="1" t="n">
        <v>45922</v>
      </c>
      <c r="C708" s="1" t="n">
        <v>46017</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3135-2023</t>
        </is>
      </c>
      <c r="B709" s="1" t="n">
        <v>44946.51672453704</v>
      </c>
      <c r="C709" s="1" t="n">
        <v>46017</v>
      </c>
      <c r="D709" t="inlineStr">
        <is>
          <t>SKÅNE LÄN</t>
        </is>
      </c>
      <c r="E709" t="inlineStr">
        <is>
          <t>HÄSSLEHOLM</t>
        </is>
      </c>
      <c r="G709" t="n">
        <v>7.2</v>
      </c>
      <c r="H709" t="n">
        <v>0</v>
      </c>
      <c r="I709" t="n">
        <v>0</v>
      </c>
      <c r="J709" t="n">
        <v>0</v>
      </c>
      <c r="K709" t="n">
        <v>0</v>
      </c>
      <c r="L709" t="n">
        <v>0</v>
      </c>
      <c r="M709" t="n">
        <v>0</v>
      </c>
      <c r="N709" t="n">
        <v>0</v>
      </c>
      <c r="O709" t="n">
        <v>0</v>
      </c>
      <c r="P709" t="n">
        <v>0</v>
      </c>
      <c r="Q709" t="n">
        <v>0</v>
      </c>
      <c r="R709" s="2" t="inlineStr"/>
    </row>
    <row r="710" ht="15" customHeight="1">
      <c r="A710" t="inlineStr">
        <is>
          <t>A 45221-2025</t>
        </is>
      </c>
      <c r="B710" s="1" t="n">
        <v>45919.57760416667</v>
      </c>
      <c r="C710" s="1" t="n">
        <v>46017</v>
      </c>
      <c r="D710" t="inlineStr">
        <is>
          <t>SKÅNE LÄN</t>
        </is>
      </c>
      <c r="E710" t="inlineStr">
        <is>
          <t>HÄSSLEHOLM</t>
        </is>
      </c>
      <c r="G710" t="n">
        <v>1.7</v>
      </c>
      <c r="H710" t="n">
        <v>0</v>
      </c>
      <c r="I710" t="n">
        <v>0</v>
      </c>
      <c r="J710" t="n">
        <v>0</v>
      </c>
      <c r="K710" t="n">
        <v>0</v>
      </c>
      <c r="L710" t="n">
        <v>0</v>
      </c>
      <c r="M710" t="n">
        <v>0</v>
      </c>
      <c r="N710" t="n">
        <v>0</v>
      </c>
      <c r="O710" t="n">
        <v>0</v>
      </c>
      <c r="P710" t="n">
        <v>0</v>
      </c>
      <c r="Q710" t="n">
        <v>0</v>
      </c>
      <c r="R710" s="2" t="inlineStr"/>
    </row>
    <row r="711" ht="15" customHeight="1">
      <c r="A711" t="inlineStr">
        <is>
          <t>A 45414-2025</t>
        </is>
      </c>
      <c r="B711" s="1" t="n">
        <v>45920</v>
      </c>
      <c r="C711" s="1" t="n">
        <v>46017</v>
      </c>
      <c r="D711" t="inlineStr">
        <is>
          <t>SKÅNE LÄN</t>
        </is>
      </c>
      <c r="E711" t="inlineStr">
        <is>
          <t>HÄSSLEHOLM</t>
        </is>
      </c>
      <c r="G711" t="n">
        <v>14.7</v>
      </c>
      <c r="H711" t="n">
        <v>0</v>
      </c>
      <c r="I711" t="n">
        <v>0</v>
      </c>
      <c r="J711" t="n">
        <v>0</v>
      </c>
      <c r="K711" t="n">
        <v>0</v>
      </c>
      <c r="L711" t="n">
        <v>0</v>
      </c>
      <c r="M711" t="n">
        <v>0</v>
      </c>
      <c r="N711" t="n">
        <v>0</v>
      </c>
      <c r="O711" t="n">
        <v>0</v>
      </c>
      <c r="P711" t="n">
        <v>0</v>
      </c>
      <c r="Q711" t="n">
        <v>0</v>
      </c>
      <c r="R711" s="2" t="inlineStr"/>
    </row>
    <row r="712" ht="15" customHeight="1">
      <c r="A712" t="inlineStr">
        <is>
          <t>A 45443-2025</t>
        </is>
      </c>
      <c r="B712" s="1" t="n">
        <v>45920</v>
      </c>
      <c r="C712" s="1" t="n">
        <v>46017</v>
      </c>
      <c r="D712" t="inlineStr">
        <is>
          <t>SKÅNE LÄN</t>
        </is>
      </c>
      <c r="E712" t="inlineStr">
        <is>
          <t>HÄSSLEHOLM</t>
        </is>
      </c>
      <c r="G712" t="n">
        <v>1.6</v>
      </c>
      <c r="H712" t="n">
        <v>0</v>
      </c>
      <c r="I712" t="n">
        <v>0</v>
      </c>
      <c r="J712" t="n">
        <v>0</v>
      </c>
      <c r="K712" t="n">
        <v>0</v>
      </c>
      <c r="L712" t="n">
        <v>0</v>
      </c>
      <c r="M712" t="n">
        <v>0</v>
      </c>
      <c r="N712" t="n">
        <v>0</v>
      </c>
      <c r="O712" t="n">
        <v>0</v>
      </c>
      <c r="P712" t="n">
        <v>0</v>
      </c>
      <c r="Q712" t="n">
        <v>0</v>
      </c>
      <c r="R712" s="2" t="inlineStr"/>
    </row>
    <row r="713" ht="15" customHeight="1">
      <c r="A713" t="inlineStr">
        <is>
          <t>A 45496-2025</t>
        </is>
      </c>
      <c r="B713" s="1" t="n">
        <v>45922</v>
      </c>
      <c r="C713" s="1" t="n">
        <v>46017</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59728-2022</t>
        </is>
      </c>
      <c r="B714" s="1" t="n">
        <v>44900</v>
      </c>
      <c r="C714" s="1" t="n">
        <v>46017</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45458-2025</t>
        </is>
      </c>
      <c r="B715" s="1" t="n">
        <v>45920</v>
      </c>
      <c r="C715" s="1" t="n">
        <v>46017</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45465-2025</t>
        </is>
      </c>
      <c r="B716" s="1" t="n">
        <v>45920</v>
      </c>
      <c r="C716" s="1" t="n">
        <v>46017</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59429-2023</t>
        </is>
      </c>
      <c r="B717" s="1" t="n">
        <v>45254.2875</v>
      </c>
      <c r="C717" s="1" t="n">
        <v>46017</v>
      </c>
      <c r="D717" t="inlineStr">
        <is>
          <t>SKÅNE LÄN</t>
        </is>
      </c>
      <c r="E717" t="inlineStr">
        <is>
          <t>HÄSSLEHOLM</t>
        </is>
      </c>
      <c r="G717" t="n">
        <v>0</v>
      </c>
      <c r="H717" t="n">
        <v>0</v>
      </c>
      <c r="I717" t="n">
        <v>0</v>
      </c>
      <c r="J717" t="n">
        <v>0</v>
      </c>
      <c r="K717" t="n">
        <v>0</v>
      </c>
      <c r="L717" t="n">
        <v>0</v>
      </c>
      <c r="M717" t="n">
        <v>0</v>
      </c>
      <c r="N717" t="n">
        <v>0</v>
      </c>
      <c r="O717" t="n">
        <v>0</v>
      </c>
      <c r="P717" t="n">
        <v>0</v>
      </c>
      <c r="Q717" t="n">
        <v>0</v>
      </c>
      <c r="R717" s="2" t="inlineStr"/>
    </row>
    <row r="718" ht="15" customHeight="1">
      <c r="A718" t="inlineStr">
        <is>
          <t>A 40202-2022</t>
        </is>
      </c>
      <c r="B718" s="1" t="n">
        <v>44820.60614583334</v>
      </c>
      <c r="C718" s="1" t="n">
        <v>46017</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9678-2025</t>
        </is>
      </c>
      <c r="B719" s="1" t="n">
        <v>45716</v>
      </c>
      <c r="C719" s="1" t="n">
        <v>46017</v>
      </c>
      <c r="D719" t="inlineStr">
        <is>
          <t>SKÅNE LÄN</t>
        </is>
      </c>
      <c r="E719" t="inlineStr">
        <is>
          <t>HÄSSLEHOLM</t>
        </is>
      </c>
      <c r="G719" t="n">
        <v>2.1</v>
      </c>
      <c r="H719" t="n">
        <v>0</v>
      </c>
      <c r="I719" t="n">
        <v>0</v>
      </c>
      <c r="J719" t="n">
        <v>0</v>
      </c>
      <c r="K719" t="n">
        <v>0</v>
      </c>
      <c r="L719" t="n">
        <v>0</v>
      </c>
      <c r="M719" t="n">
        <v>0</v>
      </c>
      <c r="N719" t="n">
        <v>0</v>
      </c>
      <c r="O719" t="n">
        <v>0</v>
      </c>
      <c r="P719" t="n">
        <v>0</v>
      </c>
      <c r="Q719" t="n">
        <v>0</v>
      </c>
      <c r="R719" s="2" t="inlineStr"/>
    </row>
    <row r="720" ht="15" customHeight="1">
      <c r="A720" t="inlineStr">
        <is>
          <t>A 45683-2025</t>
        </is>
      </c>
      <c r="B720" s="1" t="n">
        <v>45923.37590277778</v>
      </c>
      <c r="C720" s="1" t="n">
        <v>46017</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3294-2025</t>
        </is>
      </c>
      <c r="B721" s="1" t="n">
        <v>45679.64125</v>
      </c>
      <c r="C721" s="1" t="n">
        <v>46017</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54326-2022</t>
        </is>
      </c>
      <c r="B722" s="1" t="n">
        <v>44882.42965277778</v>
      </c>
      <c r="C722" s="1" t="n">
        <v>46017</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41998-2021</t>
        </is>
      </c>
      <c r="B723" s="1" t="n">
        <v>44425</v>
      </c>
      <c r="C723" s="1" t="n">
        <v>46017</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13897-2024</t>
        </is>
      </c>
      <c r="B724" s="1" t="n">
        <v>45391</v>
      </c>
      <c r="C724" s="1" t="n">
        <v>46017</v>
      </c>
      <c r="D724" t="inlineStr">
        <is>
          <t>SKÅNE LÄN</t>
        </is>
      </c>
      <c r="E724" t="inlineStr">
        <is>
          <t>HÄSSLEHOLM</t>
        </is>
      </c>
      <c r="F724" t="inlineStr">
        <is>
          <t>Kommuner</t>
        </is>
      </c>
      <c r="G724" t="n">
        <v>4</v>
      </c>
      <c r="H724" t="n">
        <v>0</v>
      </c>
      <c r="I724" t="n">
        <v>0</v>
      </c>
      <c r="J724" t="n">
        <v>0</v>
      </c>
      <c r="K724" t="n">
        <v>0</v>
      </c>
      <c r="L724" t="n">
        <v>0</v>
      </c>
      <c r="M724" t="n">
        <v>0</v>
      </c>
      <c r="N724" t="n">
        <v>0</v>
      </c>
      <c r="O724" t="n">
        <v>0</v>
      </c>
      <c r="P724" t="n">
        <v>0</v>
      </c>
      <c r="Q724" t="n">
        <v>0</v>
      </c>
      <c r="R724" s="2" t="inlineStr"/>
    </row>
    <row r="725" ht="15" customHeight="1">
      <c r="A725" t="inlineStr">
        <is>
          <t>A 69500-2020</t>
        </is>
      </c>
      <c r="B725" s="1" t="n">
        <v>44194</v>
      </c>
      <c r="C725" s="1" t="n">
        <v>46017</v>
      </c>
      <c r="D725" t="inlineStr">
        <is>
          <t>SKÅNE LÄN</t>
        </is>
      </c>
      <c r="E725" t="inlineStr">
        <is>
          <t>HÄSSLEHOLM</t>
        </is>
      </c>
      <c r="G725" t="n">
        <v>1.5</v>
      </c>
      <c r="H725" t="n">
        <v>0</v>
      </c>
      <c r="I725" t="n">
        <v>0</v>
      </c>
      <c r="J725" t="n">
        <v>0</v>
      </c>
      <c r="K725" t="n">
        <v>0</v>
      </c>
      <c r="L725" t="n">
        <v>0</v>
      </c>
      <c r="M725" t="n">
        <v>0</v>
      </c>
      <c r="N725" t="n">
        <v>0</v>
      </c>
      <c r="O725" t="n">
        <v>0</v>
      </c>
      <c r="P725" t="n">
        <v>0</v>
      </c>
      <c r="Q725" t="n">
        <v>0</v>
      </c>
      <c r="R725" s="2" t="inlineStr"/>
    </row>
    <row r="726" ht="15" customHeight="1">
      <c r="A726" t="inlineStr">
        <is>
          <t>A 11121-2023</t>
        </is>
      </c>
      <c r="B726" s="1" t="n">
        <v>44986</v>
      </c>
      <c r="C726" s="1" t="n">
        <v>46017</v>
      </c>
      <c r="D726" t="inlineStr">
        <is>
          <t>SKÅNE LÄN</t>
        </is>
      </c>
      <c r="E726" t="inlineStr">
        <is>
          <t>HÄSSLEHOLM</t>
        </is>
      </c>
      <c r="F726" t="inlineStr">
        <is>
          <t>Kommuner</t>
        </is>
      </c>
      <c r="G726" t="n">
        <v>5.8</v>
      </c>
      <c r="H726" t="n">
        <v>0</v>
      </c>
      <c r="I726" t="n">
        <v>0</v>
      </c>
      <c r="J726" t="n">
        <v>0</v>
      </c>
      <c r="K726" t="n">
        <v>0</v>
      </c>
      <c r="L726" t="n">
        <v>0</v>
      </c>
      <c r="M726" t="n">
        <v>0</v>
      </c>
      <c r="N726" t="n">
        <v>0</v>
      </c>
      <c r="O726" t="n">
        <v>0</v>
      </c>
      <c r="P726" t="n">
        <v>0</v>
      </c>
      <c r="Q726" t="n">
        <v>0</v>
      </c>
      <c r="R726" s="2" t="inlineStr"/>
    </row>
    <row r="727" ht="15" customHeight="1">
      <c r="A727" t="inlineStr">
        <is>
          <t>A 61524-2022</t>
        </is>
      </c>
      <c r="B727" s="1" t="n">
        <v>44910</v>
      </c>
      <c r="C727" s="1" t="n">
        <v>46017</v>
      </c>
      <c r="D727" t="inlineStr">
        <is>
          <t>SKÅNE LÄN</t>
        </is>
      </c>
      <c r="E727" t="inlineStr">
        <is>
          <t>HÄSSLEHOLM</t>
        </is>
      </c>
      <c r="F727" t="inlineStr">
        <is>
          <t>Kyrkan</t>
        </is>
      </c>
      <c r="G727" t="n">
        <v>2.1</v>
      </c>
      <c r="H727" t="n">
        <v>0</v>
      </c>
      <c r="I727" t="n">
        <v>0</v>
      </c>
      <c r="J727" t="n">
        <v>0</v>
      </c>
      <c r="K727" t="n">
        <v>0</v>
      </c>
      <c r="L727" t="n">
        <v>0</v>
      </c>
      <c r="M727" t="n">
        <v>0</v>
      </c>
      <c r="N727" t="n">
        <v>0</v>
      </c>
      <c r="O727" t="n">
        <v>0</v>
      </c>
      <c r="P727" t="n">
        <v>0</v>
      </c>
      <c r="Q727" t="n">
        <v>0</v>
      </c>
      <c r="R727" s="2" t="inlineStr"/>
    </row>
    <row r="728" ht="15" customHeight="1">
      <c r="A728" t="inlineStr">
        <is>
          <t>A 7604-2024</t>
        </is>
      </c>
      <c r="B728" s="1" t="n">
        <v>45348</v>
      </c>
      <c r="C728" s="1" t="n">
        <v>46017</v>
      </c>
      <c r="D728" t="inlineStr">
        <is>
          <t>SKÅNE LÄN</t>
        </is>
      </c>
      <c r="E728" t="inlineStr">
        <is>
          <t>HÄSSLEHOLM</t>
        </is>
      </c>
      <c r="G728" t="n">
        <v>11.1</v>
      </c>
      <c r="H728" t="n">
        <v>0</v>
      </c>
      <c r="I728" t="n">
        <v>0</v>
      </c>
      <c r="J728" t="n">
        <v>0</v>
      </c>
      <c r="K728" t="n">
        <v>0</v>
      </c>
      <c r="L728" t="n">
        <v>0</v>
      </c>
      <c r="M728" t="n">
        <v>0</v>
      </c>
      <c r="N728" t="n">
        <v>0</v>
      </c>
      <c r="O728" t="n">
        <v>0</v>
      </c>
      <c r="P728" t="n">
        <v>0</v>
      </c>
      <c r="Q728" t="n">
        <v>0</v>
      </c>
      <c r="R728" s="2" t="inlineStr"/>
    </row>
    <row r="729" ht="15" customHeight="1">
      <c r="A729" t="inlineStr">
        <is>
          <t>A 61533-2022</t>
        </is>
      </c>
      <c r="B729" s="1" t="n">
        <v>44910</v>
      </c>
      <c r="C729" s="1" t="n">
        <v>46017</v>
      </c>
      <c r="D729" t="inlineStr">
        <is>
          <t>SKÅNE LÄN</t>
        </is>
      </c>
      <c r="E729" t="inlineStr">
        <is>
          <t>HÄSSLEHOLM</t>
        </is>
      </c>
      <c r="F729" t="inlineStr">
        <is>
          <t>Kyrkan</t>
        </is>
      </c>
      <c r="G729" t="n">
        <v>1</v>
      </c>
      <c r="H729" t="n">
        <v>0</v>
      </c>
      <c r="I729" t="n">
        <v>0</v>
      </c>
      <c r="J729" t="n">
        <v>0</v>
      </c>
      <c r="K729" t="n">
        <v>0</v>
      </c>
      <c r="L729" t="n">
        <v>0</v>
      </c>
      <c r="M729" t="n">
        <v>0</v>
      </c>
      <c r="N729" t="n">
        <v>0</v>
      </c>
      <c r="O729" t="n">
        <v>0</v>
      </c>
      <c r="P729" t="n">
        <v>0</v>
      </c>
      <c r="Q729" t="n">
        <v>0</v>
      </c>
      <c r="R729" s="2" t="inlineStr"/>
    </row>
    <row r="730" ht="15" customHeight="1">
      <c r="A730" t="inlineStr">
        <is>
          <t>A 32154-2024</t>
        </is>
      </c>
      <c r="B730" s="1" t="n">
        <v>45511</v>
      </c>
      <c r="C730" s="1" t="n">
        <v>46017</v>
      </c>
      <c r="D730" t="inlineStr">
        <is>
          <t>SKÅNE LÄN</t>
        </is>
      </c>
      <c r="E730" t="inlineStr">
        <is>
          <t>HÄSSLEHOLM</t>
        </is>
      </c>
      <c r="G730" t="n">
        <v>6.4</v>
      </c>
      <c r="H730" t="n">
        <v>0</v>
      </c>
      <c r="I730" t="n">
        <v>0</v>
      </c>
      <c r="J730" t="n">
        <v>0</v>
      </c>
      <c r="K730" t="n">
        <v>0</v>
      </c>
      <c r="L730" t="n">
        <v>0</v>
      </c>
      <c r="M730" t="n">
        <v>0</v>
      </c>
      <c r="N730" t="n">
        <v>0</v>
      </c>
      <c r="O730" t="n">
        <v>0</v>
      </c>
      <c r="P730" t="n">
        <v>0</v>
      </c>
      <c r="Q730" t="n">
        <v>0</v>
      </c>
      <c r="R730" s="2" t="inlineStr"/>
    </row>
    <row r="731" ht="15" customHeight="1">
      <c r="A731" t="inlineStr">
        <is>
          <t>A 14655-2025</t>
        </is>
      </c>
      <c r="B731" s="1" t="n">
        <v>45742.5072337963</v>
      </c>
      <c r="C731" s="1" t="n">
        <v>46017</v>
      </c>
      <c r="D731" t="inlineStr">
        <is>
          <t>SKÅNE LÄN</t>
        </is>
      </c>
      <c r="E731" t="inlineStr">
        <is>
          <t>HÄSSLEHOLM</t>
        </is>
      </c>
      <c r="G731" t="n">
        <v>4.5</v>
      </c>
      <c r="H731" t="n">
        <v>0</v>
      </c>
      <c r="I731" t="n">
        <v>0</v>
      </c>
      <c r="J731" t="n">
        <v>0</v>
      </c>
      <c r="K731" t="n">
        <v>0</v>
      </c>
      <c r="L731" t="n">
        <v>0</v>
      </c>
      <c r="M731" t="n">
        <v>0</v>
      </c>
      <c r="N731" t="n">
        <v>0</v>
      </c>
      <c r="O731" t="n">
        <v>0</v>
      </c>
      <c r="P731" t="n">
        <v>0</v>
      </c>
      <c r="Q731" t="n">
        <v>0</v>
      </c>
      <c r="R731" s="2" t="inlineStr"/>
    </row>
    <row r="732" ht="15" customHeight="1">
      <c r="A732" t="inlineStr">
        <is>
          <t>A 53055-2021</t>
        </is>
      </c>
      <c r="B732" s="1" t="n">
        <v>44467</v>
      </c>
      <c r="C732" s="1" t="n">
        <v>46017</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45763-2025</t>
        </is>
      </c>
      <c r="B733" s="1" t="n">
        <v>45923.51778935185</v>
      </c>
      <c r="C733" s="1" t="n">
        <v>46017</v>
      </c>
      <c r="D733" t="inlineStr">
        <is>
          <t>SKÅNE LÄN</t>
        </is>
      </c>
      <c r="E733" t="inlineStr">
        <is>
          <t>HÄSSLEHOLM</t>
        </is>
      </c>
      <c r="G733" t="n">
        <v>4.8</v>
      </c>
      <c r="H733" t="n">
        <v>0</v>
      </c>
      <c r="I733" t="n">
        <v>0</v>
      </c>
      <c r="J733" t="n">
        <v>0</v>
      </c>
      <c r="K733" t="n">
        <v>0</v>
      </c>
      <c r="L733" t="n">
        <v>0</v>
      </c>
      <c r="M733" t="n">
        <v>0</v>
      </c>
      <c r="N733" t="n">
        <v>0</v>
      </c>
      <c r="O733" t="n">
        <v>0</v>
      </c>
      <c r="P733" t="n">
        <v>0</v>
      </c>
      <c r="Q733" t="n">
        <v>0</v>
      </c>
      <c r="R733" s="2" t="inlineStr"/>
    </row>
    <row r="734" ht="15" customHeight="1">
      <c r="A734" t="inlineStr">
        <is>
          <t>A 45764-2025</t>
        </is>
      </c>
      <c r="B734" s="1" t="n">
        <v>45923.52037037037</v>
      </c>
      <c r="C734" s="1" t="n">
        <v>46017</v>
      </c>
      <c r="D734" t="inlineStr">
        <is>
          <t>SKÅNE LÄN</t>
        </is>
      </c>
      <c r="E734" t="inlineStr">
        <is>
          <t>HÄSSLEHOLM</t>
        </is>
      </c>
      <c r="G734" t="n">
        <v>6.3</v>
      </c>
      <c r="H734" t="n">
        <v>0</v>
      </c>
      <c r="I734" t="n">
        <v>0</v>
      </c>
      <c r="J734" t="n">
        <v>0</v>
      </c>
      <c r="K734" t="n">
        <v>0</v>
      </c>
      <c r="L734" t="n">
        <v>0</v>
      </c>
      <c r="M734" t="n">
        <v>0</v>
      </c>
      <c r="N734" t="n">
        <v>0</v>
      </c>
      <c r="O734" t="n">
        <v>0</v>
      </c>
      <c r="P734" t="n">
        <v>0</v>
      </c>
      <c r="Q734" t="n">
        <v>0</v>
      </c>
      <c r="R734" s="2" t="inlineStr"/>
    </row>
    <row r="735" ht="15" customHeight="1">
      <c r="A735" t="inlineStr">
        <is>
          <t>A 11116-2023</t>
        </is>
      </c>
      <c r="B735" s="1" t="n">
        <v>44986</v>
      </c>
      <c r="C735" s="1" t="n">
        <v>46017</v>
      </c>
      <c r="D735" t="inlineStr">
        <is>
          <t>SKÅNE LÄN</t>
        </is>
      </c>
      <c r="E735" t="inlineStr">
        <is>
          <t>HÄSSLEHOLM</t>
        </is>
      </c>
      <c r="F735" t="inlineStr">
        <is>
          <t>Kommuner</t>
        </is>
      </c>
      <c r="G735" t="n">
        <v>15.1</v>
      </c>
      <c r="H735" t="n">
        <v>0</v>
      </c>
      <c r="I735" t="n">
        <v>0</v>
      </c>
      <c r="J735" t="n">
        <v>0</v>
      </c>
      <c r="K735" t="n">
        <v>0</v>
      </c>
      <c r="L735" t="n">
        <v>0</v>
      </c>
      <c r="M735" t="n">
        <v>0</v>
      </c>
      <c r="N735" t="n">
        <v>0</v>
      </c>
      <c r="O735" t="n">
        <v>0</v>
      </c>
      <c r="P735" t="n">
        <v>0</v>
      </c>
      <c r="Q735" t="n">
        <v>0</v>
      </c>
      <c r="R735" s="2" t="inlineStr"/>
    </row>
    <row r="736" ht="15" customHeight="1">
      <c r="A736" t="inlineStr">
        <is>
          <t>A 45762-2025</t>
        </is>
      </c>
      <c r="B736" s="1" t="n">
        <v>45923.51548611111</v>
      </c>
      <c r="C736" s="1" t="n">
        <v>46017</v>
      </c>
      <c r="D736" t="inlineStr">
        <is>
          <t>SKÅNE LÄN</t>
        </is>
      </c>
      <c r="E736" t="inlineStr">
        <is>
          <t>HÄSSLEHOLM</t>
        </is>
      </c>
      <c r="G736" t="n">
        <v>2.3</v>
      </c>
      <c r="H736" t="n">
        <v>0</v>
      </c>
      <c r="I736" t="n">
        <v>0</v>
      </c>
      <c r="J736" t="n">
        <v>0</v>
      </c>
      <c r="K736" t="n">
        <v>0</v>
      </c>
      <c r="L736" t="n">
        <v>0</v>
      </c>
      <c r="M736" t="n">
        <v>0</v>
      </c>
      <c r="N736" t="n">
        <v>0</v>
      </c>
      <c r="O736" t="n">
        <v>0</v>
      </c>
      <c r="P736" t="n">
        <v>0</v>
      </c>
      <c r="Q736" t="n">
        <v>0</v>
      </c>
      <c r="R736" s="2" t="inlineStr"/>
    </row>
    <row r="737" ht="15" customHeight="1">
      <c r="A737" t="inlineStr">
        <is>
          <t>A 8619-2023</t>
        </is>
      </c>
      <c r="B737" s="1" t="n">
        <v>44977.81979166667</v>
      </c>
      <c r="C737" s="1" t="n">
        <v>46017</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9668-2025</t>
        </is>
      </c>
      <c r="B738" s="1" t="n">
        <v>45716</v>
      </c>
      <c r="C738" s="1" t="n">
        <v>46017</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49219-2021</t>
        </is>
      </c>
      <c r="B739" s="1" t="n">
        <v>44454</v>
      </c>
      <c r="C739" s="1" t="n">
        <v>46017</v>
      </c>
      <c r="D739" t="inlineStr">
        <is>
          <t>SKÅNE LÄN</t>
        </is>
      </c>
      <c r="E739" t="inlineStr">
        <is>
          <t>HÄSSLEHOLM</t>
        </is>
      </c>
      <c r="G739" t="n">
        <v>7.8</v>
      </c>
      <c r="H739" t="n">
        <v>0</v>
      </c>
      <c r="I739" t="n">
        <v>0</v>
      </c>
      <c r="J739" t="n">
        <v>0</v>
      </c>
      <c r="K739" t="n">
        <v>0</v>
      </c>
      <c r="L739" t="n">
        <v>0</v>
      </c>
      <c r="M739" t="n">
        <v>0</v>
      </c>
      <c r="N739" t="n">
        <v>0</v>
      </c>
      <c r="O739" t="n">
        <v>0</v>
      </c>
      <c r="P739" t="n">
        <v>0</v>
      </c>
      <c r="Q739" t="n">
        <v>0</v>
      </c>
      <c r="R739" s="2" t="inlineStr"/>
    </row>
    <row r="740" ht="15" customHeight="1">
      <c r="A740" t="inlineStr">
        <is>
          <t>A 36706-2022</t>
        </is>
      </c>
      <c r="B740" s="1" t="n">
        <v>44805.32891203704</v>
      </c>
      <c r="C740" s="1" t="n">
        <v>46017</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46000-2021</t>
        </is>
      </c>
      <c r="B741" s="1" t="n">
        <v>44441</v>
      </c>
      <c r="C741" s="1" t="n">
        <v>46017</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441-2022</t>
        </is>
      </c>
      <c r="B742" s="1" t="n">
        <v>44565.97125</v>
      </c>
      <c r="C742" s="1" t="n">
        <v>46017</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46605-2025</t>
        </is>
      </c>
      <c r="B743" s="1" t="n">
        <v>45926.41214120371</v>
      </c>
      <c r="C743" s="1" t="n">
        <v>46017</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62171-2022</t>
        </is>
      </c>
      <c r="B744" s="1" t="n">
        <v>44915</v>
      </c>
      <c r="C744" s="1" t="n">
        <v>46017</v>
      </c>
      <c r="D744" t="inlineStr">
        <is>
          <t>SKÅNE LÄN</t>
        </is>
      </c>
      <c r="E744" t="inlineStr">
        <is>
          <t>HÄSSLEHOLM</t>
        </is>
      </c>
      <c r="F744" t="inlineStr">
        <is>
          <t>Kyrkan</t>
        </is>
      </c>
      <c r="G744" t="n">
        <v>9</v>
      </c>
      <c r="H744" t="n">
        <v>0</v>
      </c>
      <c r="I744" t="n">
        <v>0</v>
      </c>
      <c r="J744" t="n">
        <v>0</v>
      </c>
      <c r="K744" t="n">
        <v>0</v>
      </c>
      <c r="L744" t="n">
        <v>0</v>
      </c>
      <c r="M744" t="n">
        <v>0</v>
      </c>
      <c r="N744" t="n">
        <v>0</v>
      </c>
      <c r="O744" t="n">
        <v>0</v>
      </c>
      <c r="P744" t="n">
        <v>0</v>
      </c>
      <c r="Q744" t="n">
        <v>0</v>
      </c>
      <c r="R744" s="2" t="inlineStr"/>
    </row>
    <row r="745" ht="15" customHeight="1">
      <c r="A745" t="inlineStr">
        <is>
          <t>A 32100-2024</t>
        </is>
      </c>
      <c r="B745" s="1" t="n">
        <v>45511.41451388889</v>
      </c>
      <c r="C745" s="1" t="n">
        <v>46017</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33481-2024</t>
        </is>
      </c>
      <c r="B746" s="1" t="n">
        <v>45519</v>
      </c>
      <c r="C746" s="1" t="n">
        <v>46017</v>
      </c>
      <c r="D746" t="inlineStr">
        <is>
          <t>SKÅNE LÄN</t>
        </is>
      </c>
      <c r="E746" t="inlineStr">
        <is>
          <t>HÄSSLEHOLM</t>
        </is>
      </c>
      <c r="G746" t="n">
        <v>3</v>
      </c>
      <c r="H746" t="n">
        <v>0</v>
      </c>
      <c r="I746" t="n">
        <v>0</v>
      </c>
      <c r="J746" t="n">
        <v>0</v>
      </c>
      <c r="K746" t="n">
        <v>0</v>
      </c>
      <c r="L746" t="n">
        <v>0</v>
      </c>
      <c r="M746" t="n">
        <v>0</v>
      </c>
      <c r="N746" t="n">
        <v>0</v>
      </c>
      <c r="O746" t="n">
        <v>0</v>
      </c>
      <c r="P746" t="n">
        <v>0</v>
      </c>
      <c r="Q746" t="n">
        <v>0</v>
      </c>
      <c r="R746" s="2" t="inlineStr"/>
    </row>
    <row r="747" ht="15" customHeight="1">
      <c r="A747" t="inlineStr">
        <is>
          <t>A 48807-2021</t>
        </is>
      </c>
      <c r="B747" s="1" t="n">
        <v>44452</v>
      </c>
      <c r="C747" s="1" t="n">
        <v>46017</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3364-2023</t>
        </is>
      </c>
      <c r="B748" s="1" t="n">
        <v>44949</v>
      </c>
      <c r="C748" s="1" t="n">
        <v>46017</v>
      </c>
      <c r="D748" t="inlineStr">
        <is>
          <t>SKÅNE LÄN</t>
        </is>
      </c>
      <c r="E748" t="inlineStr">
        <is>
          <t>HÄSSLEHOLM</t>
        </is>
      </c>
      <c r="G748" t="n">
        <v>5.1</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46017</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46761-2025</t>
        </is>
      </c>
      <c r="B750" s="1" t="n">
        <v>45926.62289351852</v>
      </c>
      <c r="C750" s="1" t="n">
        <v>46017</v>
      </c>
      <c r="D750" t="inlineStr">
        <is>
          <t>SKÅNE LÄN</t>
        </is>
      </c>
      <c r="E750" t="inlineStr">
        <is>
          <t>HÄSSLEHOLM</t>
        </is>
      </c>
      <c r="G750" t="n">
        <v>1.6</v>
      </c>
      <c r="H750" t="n">
        <v>0</v>
      </c>
      <c r="I750" t="n">
        <v>0</v>
      </c>
      <c r="J750" t="n">
        <v>0</v>
      </c>
      <c r="K750" t="n">
        <v>0</v>
      </c>
      <c r="L750" t="n">
        <v>0</v>
      </c>
      <c r="M750" t="n">
        <v>0</v>
      </c>
      <c r="N750" t="n">
        <v>0</v>
      </c>
      <c r="O750" t="n">
        <v>0</v>
      </c>
      <c r="P750" t="n">
        <v>0</v>
      </c>
      <c r="Q750" t="n">
        <v>0</v>
      </c>
      <c r="R750" s="2" t="inlineStr"/>
    </row>
    <row r="751" ht="15" customHeight="1">
      <c r="A751" t="inlineStr">
        <is>
          <t>A 16614-2025</t>
        </is>
      </c>
      <c r="B751" s="1" t="n">
        <v>45754.283125</v>
      </c>
      <c r="C751" s="1" t="n">
        <v>46017</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46786-2025</t>
        </is>
      </c>
      <c r="B752" s="1" t="n">
        <v>45926.64484953704</v>
      </c>
      <c r="C752" s="1" t="n">
        <v>46017</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59763-2022</t>
        </is>
      </c>
      <c r="B753" s="1" t="n">
        <v>44900</v>
      </c>
      <c r="C753" s="1" t="n">
        <v>46017</v>
      </c>
      <c r="D753" t="inlineStr">
        <is>
          <t>SKÅNE LÄN</t>
        </is>
      </c>
      <c r="E753" t="inlineStr">
        <is>
          <t>HÄSSLEHOLM</t>
        </is>
      </c>
      <c r="F753" t="inlineStr">
        <is>
          <t>Övriga Aktiebolag</t>
        </is>
      </c>
      <c r="G753" t="n">
        <v>1.2</v>
      </c>
      <c r="H753" t="n">
        <v>0</v>
      </c>
      <c r="I753" t="n">
        <v>0</v>
      </c>
      <c r="J753" t="n">
        <v>0</v>
      </c>
      <c r="K753" t="n">
        <v>0</v>
      </c>
      <c r="L753" t="n">
        <v>0</v>
      </c>
      <c r="M753" t="n">
        <v>0</v>
      </c>
      <c r="N753" t="n">
        <v>0</v>
      </c>
      <c r="O753" t="n">
        <v>0</v>
      </c>
      <c r="P753" t="n">
        <v>0</v>
      </c>
      <c r="Q753" t="n">
        <v>0</v>
      </c>
      <c r="R753" s="2" t="inlineStr"/>
    </row>
    <row r="754" ht="15" customHeight="1">
      <c r="A754" t="inlineStr">
        <is>
          <t>A 23723-2023</t>
        </is>
      </c>
      <c r="B754" s="1" t="n">
        <v>45077</v>
      </c>
      <c r="C754" s="1" t="n">
        <v>46017</v>
      </c>
      <c r="D754" t="inlineStr">
        <is>
          <t>SKÅNE LÄN</t>
        </is>
      </c>
      <c r="E754" t="inlineStr">
        <is>
          <t>HÄSSLEHOLM</t>
        </is>
      </c>
      <c r="G754" t="n">
        <v>3.9</v>
      </c>
      <c r="H754" t="n">
        <v>0</v>
      </c>
      <c r="I754" t="n">
        <v>0</v>
      </c>
      <c r="J754" t="n">
        <v>0</v>
      </c>
      <c r="K754" t="n">
        <v>0</v>
      </c>
      <c r="L754" t="n">
        <v>0</v>
      </c>
      <c r="M754" t="n">
        <v>0</v>
      </c>
      <c r="N754" t="n">
        <v>0</v>
      </c>
      <c r="O754" t="n">
        <v>0</v>
      </c>
      <c r="P754" t="n">
        <v>0</v>
      </c>
      <c r="Q754" t="n">
        <v>0</v>
      </c>
      <c r="R754" s="2" t="inlineStr"/>
    </row>
    <row r="755" ht="15" customHeight="1">
      <c r="A755" t="inlineStr">
        <is>
          <t>A 43629-2023</t>
        </is>
      </c>
      <c r="B755" s="1" t="n">
        <v>45184</v>
      </c>
      <c r="C755" s="1" t="n">
        <v>46017</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57656-2022</t>
        </is>
      </c>
      <c r="B756" s="1" t="n">
        <v>44897.4325925926</v>
      </c>
      <c r="C756" s="1" t="n">
        <v>46017</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4945-2022</t>
        </is>
      </c>
      <c r="B757" s="1" t="n">
        <v>44593</v>
      </c>
      <c r="C757" s="1" t="n">
        <v>46017</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47259-2025</t>
        </is>
      </c>
      <c r="B758" s="1" t="n">
        <v>45930</v>
      </c>
      <c r="C758" s="1" t="n">
        <v>46017</v>
      </c>
      <c r="D758" t="inlineStr">
        <is>
          <t>SKÅNE LÄN</t>
        </is>
      </c>
      <c r="E758" t="inlineStr">
        <is>
          <t>HÄSSLEHOLM</t>
        </is>
      </c>
      <c r="G758" t="n">
        <v>1.6</v>
      </c>
      <c r="H758" t="n">
        <v>0</v>
      </c>
      <c r="I758" t="n">
        <v>0</v>
      </c>
      <c r="J758" t="n">
        <v>0</v>
      </c>
      <c r="K758" t="n">
        <v>0</v>
      </c>
      <c r="L758" t="n">
        <v>0</v>
      </c>
      <c r="M758" t="n">
        <v>0</v>
      </c>
      <c r="N758" t="n">
        <v>0</v>
      </c>
      <c r="O758" t="n">
        <v>0</v>
      </c>
      <c r="P758" t="n">
        <v>0</v>
      </c>
      <c r="Q758" t="n">
        <v>0</v>
      </c>
      <c r="R758" s="2" t="inlineStr"/>
    </row>
    <row r="759" ht="15" customHeight="1">
      <c r="A759" t="inlineStr">
        <is>
          <t>A 8250-2023</t>
        </is>
      </c>
      <c r="B759" s="1" t="n">
        <v>44974</v>
      </c>
      <c r="C759" s="1" t="n">
        <v>46017</v>
      </c>
      <c r="D759" t="inlineStr">
        <is>
          <t>SKÅNE LÄN</t>
        </is>
      </c>
      <c r="E759" t="inlineStr">
        <is>
          <t>HÄSSLEHOLM</t>
        </is>
      </c>
      <c r="G759" t="n">
        <v>3</v>
      </c>
      <c r="H759" t="n">
        <v>0</v>
      </c>
      <c r="I759" t="n">
        <v>0</v>
      </c>
      <c r="J759" t="n">
        <v>0</v>
      </c>
      <c r="K759" t="n">
        <v>0</v>
      </c>
      <c r="L759" t="n">
        <v>0</v>
      </c>
      <c r="M759" t="n">
        <v>0</v>
      </c>
      <c r="N759" t="n">
        <v>0</v>
      </c>
      <c r="O759" t="n">
        <v>0</v>
      </c>
      <c r="P759" t="n">
        <v>0</v>
      </c>
      <c r="Q759" t="n">
        <v>0</v>
      </c>
      <c r="R759" s="2" t="inlineStr"/>
    </row>
    <row r="760" ht="15" customHeight="1">
      <c r="A760" t="inlineStr">
        <is>
          <t>A 6101-2022</t>
        </is>
      </c>
      <c r="B760" s="1" t="n">
        <v>44599.63016203704</v>
      </c>
      <c r="C760" s="1" t="n">
        <v>46017</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47248-2023</t>
        </is>
      </c>
      <c r="B761" s="1" t="n">
        <v>45202</v>
      </c>
      <c r="C761" s="1" t="n">
        <v>46017</v>
      </c>
      <c r="D761" t="inlineStr">
        <is>
          <t>SKÅNE LÄN</t>
        </is>
      </c>
      <c r="E761" t="inlineStr">
        <is>
          <t>HÄSSLEHOLM</t>
        </is>
      </c>
      <c r="G761" t="n">
        <v>1.5</v>
      </c>
      <c r="H761" t="n">
        <v>0</v>
      </c>
      <c r="I761" t="n">
        <v>0</v>
      </c>
      <c r="J761" t="n">
        <v>0</v>
      </c>
      <c r="K761" t="n">
        <v>0</v>
      </c>
      <c r="L761" t="n">
        <v>0</v>
      </c>
      <c r="M761" t="n">
        <v>0</v>
      </c>
      <c r="N761" t="n">
        <v>0</v>
      </c>
      <c r="O761" t="n">
        <v>0</v>
      </c>
      <c r="P761" t="n">
        <v>0</v>
      </c>
      <c r="Q761" t="n">
        <v>0</v>
      </c>
      <c r="R761" s="2" t="inlineStr"/>
    </row>
    <row r="762" ht="15" customHeight="1">
      <c r="A762" t="inlineStr">
        <is>
          <t>A 6842-2023</t>
        </is>
      </c>
      <c r="B762" s="1" t="n">
        <v>44967</v>
      </c>
      <c r="C762" s="1" t="n">
        <v>46017</v>
      </c>
      <c r="D762" t="inlineStr">
        <is>
          <t>SKÅNE LÄN</t>
        </is>
      </c>
      <c r="E762" t="inlineStr">
        <is>
          <t>HÄSSLEHOLM</t>
        </is>
      </c>
      <c r="G762" t="n">
        <v>1.9</v>
      </c>
      <c r="H762" t="n">
        <v>0</v>
      </c>
      <c r="I762" t="n">
        <v>0</v>
      </c>
      <c r="J762" t="n">
        <v>0</v>
      </c>
      <c r="K762" t="n">
        <v>0</v>
      </c>
      <c r="L762" t="n">
        <v>0</v>
      </c>
      <c r="M762" t="n">
        <v>0</v>
      </c>
      <c r="N762" t="n">
        <v>0</v>
      </c>
      <c r="O762" t="n">
        <v>0</v>
      </c>
      <c r="P762" t="n">
        <v>0</v>
      </c>
      <c r="Q762" t="n">
        <v>0</v>
      </c>
      <c r="R762" s="2" t="inlineStr"/>
    </row>
    <row r="763" ht="15" customHeight="1">
      <c r="A763" t="inlineStr">
        <is>
          <t>A 38306-2022</t>
        </is>
      </c>
      <c r="B763" s="1" t="n">
        <v>44812.57515046297</v>
      </c>
      <c r="C763" s="1" t="n">
        <v>46017</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47473-2025</t>
        </is>
      </c>
      <c r="B764" s="1" t="n">
        <v>45930.67763888889</v>
      </c>
      <c r="C764" s="1" t="n">
        <v>46017</v>
      </c>
      <c r="D764" t="inlineStr">
        <is>
          <t>SKÅNE LÄN</t>
        </is>
      </c>
      <c r="E764" t="inlineStr">
        <is>
          <t>HÄSSLEHOLM</t>
        </is>
      </c>
      <c r="G764" t="n">
        <v>4.7</v>
      </c>
      <c r="H764" t="n">
        <v>0</v>
      </c>
      <c r="I764" t="n">
        <v>0</v>
      </c>
      <c r="J764" t="n">
        <v>0</v>
      </c>
      <c r="K764" t="n">
        <v>0</v>
      </c>
      <c r="L764" t="n">
        <v>0</v>
      </c>
      <c r="M764" t="n">
        <v>0</v>
      </c>
      <c r="N764" t="n">
        <v>0</v>
      </c>
      <c r="O764" t="n">
        <v>0</v>
      </c>
      <c r="P764" t="n">
        <v>0</v>
      </c>
      <c r="Q764" t="n">
        <v>0</v>
      </c>
      <c r="R764" s="2" t="inlineStr"/>
    </row>
    <row r="765" ht="15" customHeight="1">
      <c r="A765" t="inlineStr">
        <is>
          <t>A 46855-2025</t>
        </is>
      </c>
      <c r="B765" s="1" t="n">
        <v>45928.88497685185</v>
      </c>
      <c r="C765" s="1" t="n">
        <v>46017</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47466-2025</t>
        </is>
      </c>
      <c r="B766" s="1" t="n">
        <v>45930.66677083333</v>
      </c>
      <c r="C766" s="1" t="n">
        <v>46017</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35845-2022</t>
        </is>
      </c>
      <c r="B767" s="1" t="n">
        <v>44802</v>
      </c>
      <c r="C767" s="1" t="n">
        <v>46017</v>
      </c>
      <c r="D767" t="inlineStr">
        <is>
          <t>SKÅNE LÄN</t>
        </is>
      </c>
      <c r="E767" t="inlineStr">
        <is>
          <t>HÄSSLEHOLM</t>
        </is>
      </c>
      <c r="G767" t="n">
        <v>0.9</v>
      </c>
      <c r="H767" t="n">
        <v>0</v>
      </c>
      <c r="I767" t="n">
        <v>0</v>
      </c>
      <c r="J767" t="n">
        <v>0</v>
      </c>
      <c r="K767" t="n">
        <v>0</v>
      </c>
      <c r="L767" t="n">
        <v>0</v>
      </c>
      <c r="M767" t="n">
        <v>0</v>
      </c>
      <c r="N767" t="n">
        <v>0</v>
      </c>
      <c r="O767" t="n">
        <v>0</v>
      </c>
      <c r="P767" t="n">
        <v>0</v>
      </c>
      <c r="Q767" t="n">
        <v>0</v>
      </c>
      <c r="R767" s="2" t="inlineStr"/>
    </row>
    <row r="768" ht="15" customHeight="1">
      <c r="A768" t="inlineStr">
        <is>
          <t>A 7202-2022</t>
        </is>
      </c>
      <c r="B768" s="1" t="n">
        <v>44606</v>
      </c>
      <c r="C768" s="1" t="n">
        <v>46017</v>
      </c>
      <c r="D768" t="inlineStr">
        <is>
          <t>SKÅNE LÄN</t>
        </is>
      </c>
      <c r="E768" t="inlineStr">
        <is>
          <t>HÄSSLEHOLM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47126-2025</t>
        </is>
      </c>
      <c r="B769" s="1" t="n">
        <v>45929.685625</v>
      </c>
      <c r="C769" s="1" t="n">
        <v>46017</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47127-2025</t>
        </is>
      </c>
      <c r="B770" s="1" t="n">
        <v>45929.6893287037</v>
      </c>
      <c r="C770" s="1" t="n">
        <v>46017</v>
      </c>
      <c r="D770" t="inlineStr">
        <is>
          <t>SKÅNE LÄN</t>
        </is>
      </c>
      <c r="E770" t="inlineStr">
        <is>
          <t>HÄSSLEHOLM</t>
        </is>
      </c>
      <c r="G770" t="n">
        <v>1.7</v>
      </c>
      <c r="H770" t="n">
        <v>0</v>
      </c>
      <c r="I770" t="n">
        <v>0</v>
      </c>
      <c r="J770" t="n">
        <v>0</v>
      </c>
      <c r="K770" t="n">
        <v>0</v>
      </c>
      <c r="L770" t="n">
        <v>0</v>
      </c>
      <c r="M770" t="n">
        <v>0</v>
      </c>
      <c r="N770" t="n">
        <v>0</v>
      </c>
      <c r="O770" t="n">
        <v>0</v>
      </c>
      <c r="P770" t="n">
        <v>0</v>
      </c>
      <c r="Q770" t="n">
        <v>0</v>
      </c>
      <c r="R770" s="2" t="inlineStr"/>
    </row>
    <row r="771" ht="15" customHeight="1">
      <c r="A771" t="inlineStr">
        <is>
          <t>A 12503-2022</t>
        </is>
      </c>
      <c r="B771" s="1" t="n">
        <v>44638</v>
      </c>
      <c r="C771" s="1" t="n">
        <v>46017</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5054-2022</t>
        </is>
      </c>
      <c r="B772" s="1" t="n">
        <v>44593.69065972222</v>
      </c>
      <c r="C772" s="1" t="n">
        <v>46017</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49181-2024</t>
        </is>
      </c>
      <c r="B773" s="1" t="n">
        <v>45595</v>
      </c>
      <c r="C773" s="1" t="n">
        <v>46017</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43061-2024</t>
        </is>
      </c>
      <c r="B774" s="1" t="n">
        <v>45567</v>
      </c>
      <c r="C774" s="1" t="n">
        <v>46017</v>
      </c>
      <c r="D774" t="inlineStr">
        <is>
          <t>SKÅNE LÄN</t>
        </is>
      </c>
      <c r="E774" t="inlineStr">
        <is>
          <t>HÄSSLEHOLM</t>
        </is>
      </c>
      <c r="G774" t="n">
        <v>4.5</v>
      </c>
      <c r="H774" t="n">
        <v>0</v>
      </c>
      <c r="I774" t="n">
        <v>0</v>
      </c>
      <c r="J774" t="n">
        <v>0</v>
      </c>
      <c r="K774" t="n">
        <v>0</v>
      </c>
      <c r="L774" t="n">
        <v>0</v>
      </c>
      <c r="M774" t="n">
        <v>0</v>
      </c>
      <c r="N774" t="n">
        <v>0</v>
      </c>
      <c r="O774" t="n">
        <v>0</v>
      </c>
      <c r="P774" t="n">
        <v>0</v>
      </c>
      <c r="Q774" t="n">
        <v>0</v>
      </c>
      <c r="R774" s="2" t="inlineStr"/>
    </row>
    <row r="775" ht="15" customHeight="1">
      <c r="A775" t="inlineStr">
        <is>
          <t>A 3349-2023</t>
        </is>
      </c>
      <c r="B775" s="1" t="n">
        <v>44949</v>
      </c>
      <c r="C775" s="1" t="n">
        <v>46017</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23950-2023</t>
        </is>
      </c>
      <c r="B776" s="1" t="n">
        <v>45078.61771990741</v>
      </c>
      <c r="C776" s="1" t="n">
        <v>46017</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23952-2023</t>
        </is>
      </c>
      <c r="B777" s="1" t="n">
        <v>45078.62064814815</v>
      </c>
      <c r="C777" s="1" t="n">
        <v>46017</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25726-2025</t>
        </is>
      </c>
      <c r="B778" s="1" t="n">
        <v>45803</v>
      </c>
      <c r="C778" s="1" t="n">
        <v>46017</v>
      </c>
      <c r="D778" t="inlineStr">
        <is>
          <t>SKÅNE LÄN</t>
        </is>
      </c>
      <c r="E778" t="inlineStr">
        <is>
          <t>HÄSSLEHOLM</t>
        </is>
      </c>
      <c r="G778" t="n">
        <v>5.5</v>
      </c>
      <c r="H778" t="n">
        <v>0</v>
      </c>
      <c r="I778" t="n">
        <v>0</v>
      </c>
      <c r="J778" t="n">
        <v>0</v>
      </c>
      <c r="K778" t="n">
        <v>0</v>
      </c>
      <c r="L778" t="n">
        <v>0</v>
      </c>
      <c r="M778" t="n">
        <v>0</v>
      </c>
      <c r="N778" t="n">
        <v>0</v>
      </c>
      <c r="O778" t="n">
        <v>0</v>
      </c>
      <c r="P778" t="n">
        <v>0</v>
      </c>
      <c r="Q778" t="n">
        <v>0</v>
      </c>
      <c r="R778" s="2" t="inlineStr"/>
    </row>
    <row r="779" ht="15" customHeight="1">
      <c r="A779" t="inlineStr">
        <is>
          <t>A 21328-2023</t>
        </is>
      </c>
      <c r="B779" s="1" t="n">
        <v>45062</v>
      </c>
      <c r="C779" s="1" t="n">
        <v>46017</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2144-2023</t>
        </is>
      </c>
      <c r="B780" s="1" t="n">
        <v>44940.79054398148</v>
      </c>
      <c r="C780" s="1" t="n">
        <v>46017</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49384-2021</t>
        </is>
      </c>
      <c r="B781" s="1" t="n">
        <v>44454</v>
      </c>
      <c r="C781" s="1" t="n">
        <v>46017</v>
      </c>
      <c r="D781" t="inlineStr">
        <is>
          <t>SKÅNE LÄN</t>
        </is>
      </c>
      <c r="E781" t="inlineStr">
        <is>
          <t>HÄSSLEHOLM</t>
        </is>
      </c>
      <c r="G781" t="n">
        <v>2.6</v>
      </c>
      <c r="H781" t="n">
        <v>0</v>
      </c>
      <c r="I781" t="n">
        <v>0</v>
      </c>
      <c r="J781" t="n">
        <v>0</v>
      </c>
      <c r="K781" t="n">
        <v>0</v>
      </c>
      <c r="L781" t="n">
        <v>0</v>
      </c>
      <c r="M781" t="n">
        <v>0</v>
      </c>
      <c r="N781" t="n">
        <v>0</v>
      </c>
      <c r="O781" t="n">
        <v>0</v>
      </c>
      <c r="P781" t="n">
        <v>0</v>
      </c>
      <c r="Q781" t="n">
        <v>0</v>
      </c>
      <c r="R781" s="2" t="inlineStr"/>
    </row>
    <row r="782" ht="15" customHeight="1">
      <c r="A782" t="inlineStr">
        <is>
          <t>A 61680-2022</t>
        </is>
      </c>
      <c r="B782" s="1" t="n">
        <v>44917.36372685185</v>
      </c>
      <c r="C782" s="1" t="n">
        <v>46017</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10277-2023</t>
        </is>
      </c>
      <c r="B783" s="1" t="n">
        <v>44986</v>
      </c>
      <c r="C783" s="1" t="n">
        <v>46017</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10290-2023</t>
        </is>
      </c>
      <c r="B784" s="1" t="n">
        <v>44986</v>
      </c>
      <c r="C784" s="1" t="n">
        <v>46017</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16550-2025</t>
        </is>
      </c>
      <c r="B785" s="1" t="n">
        <v>45751.69412037037</v>
      </c>
      <c r="C785" s="1" t="n">
        <v>46017</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44914.64777777778</v>
      </c>
      <c r="C786" s="1" t="n">
        <v>46017</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16285-2025</t>
        </is>
      </c>
      <c r="B787" s="1" t="n">
        <v>45751.30045138889</v>
      </c>
      <c r="C787" s="1" t="n">
        <v>46017</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56767-2025</t>
        </is>
      </c>
      <c r="B788" s="1" t="n">
        <v>45978.38178240741</v>
      </c>
      <c r="C788" s="1" t="n">
        <v>46017</v>
      </c>
      <c r="D788" t="inlineStr">
        <is>
          <t>SKÅNE LÄN</t>
        </is>
      </c>
      <c r="E788" t="inlineStr">
        <is>
          <t>HÄSSLEHOLM</t>
        </is>
      </c>
      <c r="G788" t="n">
        <v>1.7</v>
      </c>
      <c r="H788" t="n">
        <v>0</v>
      </c>
      <c r="I788" t="n">
        <v>0</v>
      </c>
      <c r="J788" t="n">
        <v>0</v>
      </c>
      <c r="K788" t="n">
        <v>0</v>
      </c>
      <c r="L788" t="n">
        <v>0</v>
      </c>
      <c r="M788" t="n">
        <v>0</v>
      </c>
      <c r="N788" t="n">
        <v>0</v>
      </c>
      <c r="O788" t="n">
        <v>0</v>
      </c>
      <c r="P788" t="n">
        <v>0</v>
      </c>
      <c r="Q788" t="n">
        <v>0</v>
      </c>
      <c r="R788" s="2" t="inlineStr"/>
    </row>
    <row r="789" ht="15" customHeight="1">
      <c r="A789" t="inlineStr">
        <is>
          <t>A 5780-2024</t>
        </is>
      </c>
      <c r="B789" s="1" t="n">
        <v>45335.41983796296</v>
      </c>
      <c r="C789" s="1" t="n">
        <v>46017</v>
      </c>
      <c r="D789" t="inlineStr">
        <is>
          <t>SKÅNE LÄN</t>
        </is>
      </c>
      <c r="E789" t="inlineStr">
        <is>
          <t>HÄSSLEHOLM</t>
        </is>
      </c>
      <c r="G789" t="n">
        <v>2.5</v>
      </c>
      <c r="H789" t="n">
        <v>0</v>
      </c>
      <c r="I789" t="n">
        <v>0</v>
      </c>
      <c r="J789" t="n">
        <v>0</v>
      </c>
      <c r="K789" t="n">
        <v>0</v>
      </c>
      <c r="L789" t="n">
        <v>0</v>
      </c>
      <c r="M789" t="n">
        <v>0</v>
      </c>
      <c r="N789" t="n">
        <v>0</v>
      </c>
      <c r="O789" t="n">
        <v>0</v>
      </c>
      <c r="P789" t="n">
        <v>0</v>
      </c>
      <c r="Q789" t="n">
        <v>0</v>
      </c>
      <c r="R789" s="2" t="inlineStr"/>
    </row>
    <row r="790" ht="15" customHeight="1">
      <c r="A790" t="inlineStr">
        <is>
          <t>A 56797-2025</t>
        </is>
      </c>
      <c r="B790" s="1" t="n">
        <v>45978.43273148148</v>
      </c>
      <c r="C790" s="1" t="n">
        <v>46017</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56798-2025</t>
        </is>
      </c>
      <c r="B791" s="1" t="n">
        <v>45978.43378472222</v>
      </c>
      <c r="C791" s="1" t="n">
        <v>46017</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15897-2025</t>
        </is>
      </c>
      <c r="B792" s="1" t="n">
        <v>45749.41598379629</v>
      </c>
      <c r="C792" s="1" t="n">
        <v>46017</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3746-2024</t>
        </is>
      </c>
      <c r="B793" s="1" t="n">
        <v>45321.50745370371</v>
      </c>
      <c r="C793" s="1" t="n">
        <v>46017</v>
      </c>
      <c r="D793" t="inlineStr">
        <is>
          <t>SKÅNE LÄN</t>
        </is>
      </c>
      <c r="E793" t="inlineStr">
        <is>
          <t>HÄSSLEHOLM</t>
        </is>
      </c>
      <c r="G793" t="n">
        <v>3.4</v>
      </c>
      <c r="H793" t="n">
        <v>0</v>
      </c>
      <c r="I793" t="n">
        <v>0</v>
      </c>
      <c r="J793" t="n">
        <v>0</v>
      </c>
      <c r="K793" t="n">
        <v>0</v>
      </c>
      <c r="L793" t="n">
        <v>0</v>
      </c>
      <c r="M793" t="n">
        <v>0</v>
      </c>
      <c r="N793" t="n">
        <v>0</v>
      </c>
      <c r="O793" t="n">
        <v>0</v>
      </c>
      <c r="P793" t="n">
        <v>0</v>
      </c>
      <c r="Q793" t="n">
        <v>0</v>
      </c>
      <c r="R793" s="2" t="inlineStr"/>
    </row>
    <row r="794" ht="15" customHeight="1">
      <c r="A794" t="inlineStr">
        <is>
          <t>A 48184-2025</t>
        </is>
      </c>
      <c r="B794" s="1" t="n">
        <v>45933.46131944445</v>
      </c>
      <c r="C794" s="1" t="n">
        <v>46017</v>
      </c>
      <c r="D794" t="inlineStr">
        <is>
          <t>SKÅNE LÄN</t>
        </is>
      </c>
      <c r="E794" t="inlineStr">
        <is>
          <t>HÄSSLEHOLM</t>
        </is>
      </c>
      <c r="G794" t="n">
        <v>3</v>
      </c>
      <c r="H794" t="n">
        <v>0</v>
      </c>
      <c r="I794" t="n">
        <v>0</v>
      </c>
      <c r="J794" t="n">
        <v>0</v>
      </c>
      <c r="K794" t="n">
        <v>0</v>
      </c>
      <c r="L794" t="n">
        <v>0</v>
      </c>
      <c r="M794" t="n">
        <v>0</v>
      </c>
      <c r="N794" t="n">
        <v>0</v>
      </c>
      <c r="O794" t="n">
        <v>0</v>
      </c>
      <c r="P794" t="n">
        <v>0</v>
      </c>
      <c r="Q794" t="n">
        <v>0</v>
      </c>
      <c r="R794" s="2" t="inlineStr"/>
    </row>
    <row r="795" ht="15" customHeight="1">
      <c r="A795" t="inlineStr">
        <is>
          <t>A 48185-2025</t>
        </is>
      </c>
      <c r="B795" s="1" t="n">
        <v>45933.46434027778</v>
      </c>
      <c r="C795" s="1" t="n">
        <v>46017</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6638-2021</t>
        </is>
      </c>
      <c r="B796" s="1" t="n">
        <v>44235</v>
      </c>
      <c r="C796" s="1" t="n">
        <v>46017</v>
      </c>
      <c r="D796" t="inlineStr">
        <is>
          <t>SKÅNE LÄN</t>
        </is>
      </c>
      <c r="E796" t="inlineStr">
        <is>
          <t>HÄSSLEHOLM</t>
        </is>
      </c>
      <c r="G796" t="n">
        <v>112.4</v>
      </c>
      <c r="H796" t="n">
        <v>0</v>
      </c>
      <c r="I796" t="n">
        <v>0</v>
      </c>
      <c r="J796" t="n">
        <v>0</v>
      </c>
      <c r="K796" t="n">
        <v>0</v>
      </c>
      <c r="L796" t="n">
        <v>0</v>
      </c>
      <c r="M796" t="n">
        <v>0</v>
      </c>
      <c r="N796" t="n">
        <v>0</v>
      </c>
      <c r="O796" t="n">
        <v>0</v>
      </c>
      <c r="P796" t="n">
        <v>0</v>
      </c>
      <c r="Q796" t="n">
        <v>0</v>
      </c>
      <c r="R796" s="2" t="inlineStr"/>
    </row>
    <row r="797" ht="15" customHeight="1">
      <c r="A797" t="inlineStr">
        <is>
          <t>A 44262-2021</t>
        </is>
      </c>
      <c r="B797" s="1" t="n">
        <v>44434</v>
      </c>
      <c r="C797" s="1" t="n">
        <v>46017</v>
      </c>
      <c r="D797" t="inlineStr">
        <is>
          <t>SKÅNE LÄN</t>
        </is>
      </c>
      <c r="E797" t="inlineStr">
        <is>
          <t>HÄSSLEHOLM</t>
        </is>
      </c>
      <c r="G797" t="n">
        <v>4.7</v>
      </c>
      <c r="H797" t="n">
        <v>0</v>
      </c>
      <c r="I797" t="n">
        <v>0</v>
      </c>
      <c r="J797" t="n">
        <v>0</v>
      </c>
      <c r="K797" t="n">
        <v>0</v>
      </c>
      <c r="L797" t="n">
        <v>0</v>
      </c>
      <c r="M797" t="n">
        <v>0</v>
      </c>
      <c r="N797" t="n">
        <v>0</v>
      </c>
      <c r="O797" t="n">
        <v>0</v>
      </c>
      <c r="P797" t="n">
        <v>0</v>
      </c>
      <c r="Q797" t="n">
        <v>0</v>
      </c>
      <c r="R797" s="2" t="inlineStr"/>
    </row>
    <row r="798" ht="15" customHeight="1">
      <c r="A798" t="inlineStr">
        <is>
          <t>A 61504-2022</t>
        </is>
      </c>
      <c r="B798" s="1" t="n">
        <v>44910</v>
      </c>
      <c r="C798" s="1" t="n">
        <v>46017</v>
      </c>
      <c r="D798" t="inlineStr">
        <is>
          <t>SKÅNE LÄN</t>
        </is>
      </c>
      <c r="E798" t="inlineStr">
        <is>
          <t>HÄSSLEHOLM</t>
        </is>
      </c>
      <c r="F798" t="inlineStr">
        <is>
          <t>Kyrkan</t>
        </is>
      </c>
      <c r="G798" t="n">
        <v>2.9</v>
      </c>
      <c r="H798" t="n">
        <v>0</v>
      </c>
      <c r="I798" t="n">
        <v>0</v>
      </c>
      <c r="J798" t="n">
        <v>0</v>
      </c>
      <c r="K798" t="n">
        <v>0</v>
      </c>
      <c r="L798" t="n">
        <v>0</v>
      </c>
      <c r="M798" t="n">
        <v>0</v>
      </c>
      <c r="N798" t="n">
        <v>0</v>
      </c>
      <c r="O798" t="n">
        <v>0</v>
      </c>
      <c r="P798" t="n">
        <v>0</v>
      </c>
      <c r="Q798" t="n">
        <v>0</v>
      </c>
      <c r="R798" s="2" t="inlineStr"/>
    </row>
    <row r="799" ht="15" customHeight="1">
      <c r="A799" t="inlineStr">
        <is>
          <t>A 29275-2023</t>
        </is>
      </c>
      <c r="B799" s="1" t="n">
        <v>45105</v>
      </c>
      <c r="C799" s="1" t="n">
        <v>46017</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1553-2023</t>
        </is>
      </c>
      <c r="B800" s="1" t="n">
        <v>44937</v>
      </c>
      <c r="C800" s="1" t="n">
        <v>46017</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1562-2023</t>
        </is>
      </c>
      <c r="B801" s="1" t="n">
        <v>44937.60450231482</v>
      </c>
      <c r="C801" s="1" t="n">
        <v>46017</v>
      </c>
      <c r="D801" t="inlineStr">
        <is>
          <t>SKÅNE LÄN</t>
        </is>
      </c>
      <c r="E801" t="inlineStr">
        <is>
          <t>HÄSSLEHOLM</t>
        </is>
      </c>
      <c r="G801" t="n">
        <v>2.7</v>
      </c>
      <c r="H801" t="n">
        <v>0</v>
      </c>
      <c r="I801" t="n">
        <v>0</v>
      </c>
      <c r="J801" t="n">
        <v>0</v>
      </c>
      <c r="K801" t="n">
        <v>0</v>
      </c>
      <c r="L801" t="n">
        <v>0</v>
      </c>
      <c r="M801" t="n">
        <v>0</v>
      </c>
      <c r="N801" t="n">
        <v>0</v>
      </c>
      <c r="O801" t="n">
        <v>0</v>
      </c>
      <c r="P801" t="n">
        <v>0</v>
      </c>
      <c r="Q801" t="n">
        <v>0</v>
      </c>
      <c r="R801" s="2" t="inlineStr"/>
    </row>
    <row r="802" ht="15" customHeight="1">
      <c r="A802" t="inlineStr">
        <is>
          <t>A 56667-2025</t>
        </is>
      </c>
      <c r="B802" s="1" t="n">
        <v>45975.68508101852</v>
      </c>
      <c r="C802" s="1" t="n">
        <v>46017</v>
      </c>
      <c r="D802" t="inlineStr">
        <is>
          <t>SKÅNE LÄN</t>
        </is>
      </c>
      <c r="E802" t="inlineStr">
        <is>
          <t>HÄSSLEHOLM</t>
        </is>
      </c>
      <c r="G802" t="n">
        <v>4.4</v>
      </c>
      <c r="H802" t="n">
        <v>0</v>
      </c>
      <c r="I802" t="n">
        <v>0</v>
      </c>
      <c r="J802" t="n">
        <v>0</v>
      </c>
      <c r="K802" t="n">
        <v>0</v>
      </c>
      <c r="L802" t="n">
        <v>0</v>
      </c>
      <c r="M802" t="n">
        <v>0</v>
      </c>
      <c r="N802" t="n">
        <v>0</v>
      </c>
      <c r="O802" t="n">
        <v>0</v>
      </c>
      <c r="P802" t="n">
        <v>0</v>
      </c>
      <c r="Q802" t="n">
        <v>0</v>
      </c>
      <c r="R802" s="2" t="inlineStr"/>
    </row>
    <row r="803" ht="15" customHeight="1">
      <c r="A803" t="inlineStr">
        <is>
          <t>A 6619-2024</t>
        </is>
      </c>
      <c r="B803" s="1" t="n">
        <v>45341.6021412037</v>
      </c>
      <c r="C803" s="1" t="n">
        <v>46017</v>
      </c>
      <c r="D803" t="inlineStr">
        <is>
          <t>SKÅNE LÄN</t>
        </is>
      </c>
      <c r="E803" t="inlineStr">
        <is>
          <t>HÄSSLEHOLM</t>
        </is>
      </c>
      <c r="G803" t="n">
        <v>1</v>
      </c>
      <c r="H803" t="n">
        <v>0</v>
      </c>
      <c r="I803" t="n">
        <v>0</v>
      </c>
      <c r="J803" t="n">
        <v>0</v>
      </c>
      <c r="K803" t="n">
        <v>0</v>
      </c>
      <c r="L803" t="n">
        <v>0</v>
      </c>
      <c r="M803" t="n">
        <v>0</v>
      </c>
      <c r="N803" t="n">
        <v>0</v>
      </c>
      <c r="O803" t="n">
        <v>0</v>
      </c>
      <c r="P803" t="n">
        <v>0</v>
      </c>
      <c r="Q803" t="n">
        <v>0</v>
      </c>
      <c r="R803" s="2" t="inlineStr"/>
    </row>
    <row r="804" ht="15" customHeight="1">
      <c r="A804" t="inlineStr">
        <is>
          <t>A 3452-2023</t>
        </is>
      </c>
      <c r="B804" s="1" t="n">
        <v>44949</v>
      </c>
      <c r="C804" s="1" t="n">
        <v>46017</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27502-2023</t>
        </is>
      </c>
      <c r="B805" s="1" t="n">
        <v>45092</v>
      </c>
      <c r="C805" s="1" t="n">
        <v>46017</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54473-2023</t>
        </is>
      </c>
      <c r="B806" s="1" t="n">
        <v>45233</v>
      </c>
      <c r="C806" s="1" t="n">
        <v>46017</v>
      </c>
      <c r="D806" t="inlineStr">
        <is>
          <t>SKÅNE LÄN</t>
        </is>
      </c>
      <c r="E806" t="inlineStr">
        <is>
          <t>HÄSSLEHOLM</t>
        </is>
      </c>
      <c r="G806" t="n">
        <v>24.5</v>
      </c>
      <c r="H806" t="n">
        <v>0</v>
      </c>
      <c r="I806" t="n">
        <v>0</v>
      </c>
      <c r="J806" t="n">
        <v>0</v>
      </c>
      <c r="K806" t="n">
        <v>0</v>
      </c>
      <c r="L806" t="n">
        <v>0</v>
      </c>
      <c r="M806" t="n">
        <v>0</v>
      </c>
      <c r="N806" t="n">
        <v>0</v>
      </c>
      <c r="O806" t="n">
        <v>0</v>
      </c>
      <c r="P806" t="n">
        <v>0</v>
      </c>
      <c r="Q806" t="n">
        <v>0</v>
      </c>
      <c r="R806" s="2" t="inlineStr"/>
    </row>
    <row r="807" ht="15" customHeight="1">
      <c r="A807" t="inlineStr">
        <is>
          <t>A 48722-2025</t>
        </is>
      </c>
      <c r="B807" s="1" t="n">
        <v>45935</v>
      </c>
      <c r="C807" s="1" t="n">
        <v>46017</v>
      </c>
      <c r="D807" t="inlineStr">
        <is>
          <t>SKÅNE LÄN</t>
        </is>
      </c>
      <c r="E807" t="inlineStr">
        <is>
          <t>HÄSSLEHOLM</t>
        </is>
      </c>
      <c r="G807" t="n">
        <v>4.3</v>
      </c>
      <c r="H807" t="n">
        <v>0</v>
      </c>
      <c r="I807" t="n">
        <v>0</v>
      </c>
      <c r="J807" t="n">
        <v>0</v>
      </c>
      <c r="K807" t="n">
        <v>0</v>
      </c>
      <c r="L807" t="n">
        <v>0</v>
      </c>
      <c r="M807" t="n">
        <v>0</v>
      </c>
      <c r="N807" t="n">
        <v>0</v>
      </c>
      <c r="O807" t="n">
        <v>0</v>
      </c>
      <c r="P807" t="n">
        <v>0</v>
      </c>
      <c r="Q807" t="n">
        <v>0</v>
      </c>
      <c r="R807" s="2" t="inlineStr"/>
    </row>
    <row r="808" ht="15" customHeight="1">
      <c r="A808" t="inlineStr">
        <is>
          <t>A 26641-2023</t>
        </is>
      </c>
      <c r="B808" s="1" t="n">
        <v>45092.89619212963</v>
      </c>
      <c r="C808" s="1" t="n">
        <v>46017</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2596-2024</t>
        </is>
      </c>
      <c r="B809" s="1" t="n">
        <v>45313.69969907407</v>
      </c>
      <c r="C809" s="1" t="n">
        <v>46017</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2681-2024</t>
        </is>
      </c>
      <c r="B810" s="1" t="n">
        <v>45314</v>
      </c>
      <c r="C810" s="1" t="n">
        <v>46017</v>
      </c>
      <c r="D810" t="inlineStr">
        <is>
          <t>SKÅNE LÄN</t>
        </is>
      </c>
      <c r="E810" t="inlineStr">
        <is>
          <t>HÄSSLEHOLM</t>
        </is>
      </c>
      <c r="F810" t="inlineStr">
        <is>
          <t>Övriga Aktiebolag</t>
        </is>
      </c>
      <c r="G810" t="n">
        <v>1.4</v>
      </c>
      <c r="H810" t="n">
        <v>0</v>
      </c>
      <c r="I810" t="n">
        <v>0</v>
      </c>
      <c r="J810" t="n">
        <v>0</v>
      </c>
      <c r="K810" t="n">
        <v>0</v>
      </c>
      <c r="L810" t="n">
        <v>0</v>
      </c>
      <c r="M810" t="n">
        <v>0</v>
      </c>
      <c r="N810" t="n">
        <v>0</v>
      </c>
      <c r="O810" t="n">
        <v>0</v>
      </c>
      <c r="P810" t="n">
        <v>0</v>
      </c>
      <c r="Q810" t="n">
        <v>0</v>
      </c>
      <c r="R810" s="2" t="inlineStr"/>
    </row>
    <row r="811" ht="15" customHeight="1">
      <c r="A811" t="inlineStr">
        <is>
          <t>A 4187-2023</t>
        </is>
      </c>
      <c r="B811" s="1" t="n">
        <v>44953</v>
      </c>
      <c r="C811" s="1" t="n">
        <v>46017</v>
      </c>
      <c r="D811" t="inlineStr">
        <is>
          <t>SKÅNE LÄN</t>
        </is>
      </c>
      <c r="E811" t="inlineStr">
        <is>
          <t>HÄSSLEHOLM</t>
        </is>
      </c>
      <c r="G811" t="n">
        <v>3.2</v>
      </c>
      <c r="H811" t="n">
        <v>0</v>
      </c>
      <c r="I811" t="n">
        <v>0</v>
      </c>
      <c r="J811" t="n">
        <v>0</v>
      </c>
      <c r="K811" t="n">
        <v>0</v>
      </c>
      <c r="L811" t="n">
        <v>0</v>
      </c>
      <c r="M811" t="n">
        <v>0</v>
      </c>
      <c r="N811" t="n">
        <v>0</v>
      </c>
      <c r="O811" t="n">
        <v>0</v>
      </c>
      <c r="P811" t="n">
        <v>0</v>
      </c>
      <c r="Q811" t="n">
        <v>0</v>
      </c>
      <c r="R811" s="2" t="inlineStr"/>
    </row>
    <row r="812" ht="15" customHeight="1">
      <c r="A812" t="inlineStr">
        <is>
          <t>A 4382-2023</t>
        </is>
      </c>
      <c r="B812" s="1" t="n">
        <v>44955.61152777778</v>
      </c>
      <c r="C812" s="1" t="n">
        <v>46017</v>
      </c>
      <c r="D812" t="inlineStr">
        <is>
          <t>SKÅNE LÄN</t>
        </is>
      </c>
      <c r="E812" t="inlineStr">
        <is>
          <t>HÄSSLEHOLM</t>
        </is>
      </c>
      <c r="G812" t="n">
        <v>0.3</v>
      </c>
      <c r="H812" t="n">
        <v>0</v>
      </c>
      <c r="I812" t="n">
        <v>0</v>
      </c>
      <c r="J812" t="n">
        <v>0</v>
      </c>
      <c r="K812" t="n">
        <v>0</v>
      </c>
      <c r="L812" t="n">
        <v>0</v>
      </c>
      <c r="M812" t="n">
        <v>0</v>
      </c>
      <c r="N812" t="n">
        <v>0</v>
      </c>
      <c r="O812" t="n">
        <v>0</v>
      </c>
      <c r="P812" t="n">
        <v>0</v>
      </c>
      <c r="Q812" t="n">
        <v>0</v>
      </c>
      <c r="R812" s="2" t="inlineStr"/>
    </row>
    <row r="813" ht="15" customHeight="1">
      <c r="A813" t="inlineStr">
        <is>
          <t>A 56769-2025</t>
        </is>
      </c>
      <c r="B813" s="1" t="n">
        <v>45978.38429398148</v>
      </c>
      <c r="C813" s="1" t="n">
        <v>46017</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56794-2025</t>
        </is>
      </c>
      <c r="B814" s="1" t="n">
        <v>45978.43039351852</v>
      </c>
      <c r="C814" s="1" t="n">
        <v>46017</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51752-2023</t>
        </is>
      </c>
      <c r="B815" s="1" t="n">
        <v>45222</v>
      </c>
      <c r="C815" s="1" t="n">
        <v>46017</v>
      </c>
      <c r="D815" t="inlineStr">
        <is>
          <t>SKÅNE LÄN</t>
        </is>
      </c>
      <c r="E815" t="inlineStr">
        <is>
          <t>HÄSSLEHOLM</t>
        </is>
      </c>
      <c r="G815" t="n">
        <v>1.8</v>
      </c>
      <c r="H815" t="n">
        <v>0</v>
      </c>
      <c r="I815" t="n">
        <v>0</v>
      </c>
      <c r="J815" t="n">
        <v>0</v>
      </c>
      <c r="K815" t="n">
        <v>0</v>
      </c>
      <c r="L815" t="n">
        <v>0</v>
      </c>
      <c r="M815" t="n">
        <v>0</v>
      </c>
      <c r="N815" t="n">
        <v>0</v>
      </c>
      <c r="O815" t="n">
        <v>0</v>
      </c>
      <c r="P815" t="n">
        <v>0</v>
      </c>
      <c r="Q815" t="n">
        <v>0</v>
      </c>
      <c r="R815" s="2" t="inlineStr"/>
    </row>
    <row r="816" ht="15" customHeight="1">
      <c r="A816" t="inlineStr">
        <is>
          <t>A 20666-2023</t>
        </is>
      </c>
      <c r="B816" s="1" t="n">
        <v>45058.35664351852</v>
      </c>
      <c r="C816" s="1" t="n">
        <v>46017</v>
      </c>
      <c r="D816" t="inlineStr">
        <is>
          <t>SKÅNE LÄN</t>
        </is>
      </c>
      <c r="E816" t="inlineStr">
        <is>
          <t>HÄSSLEHOLM</t>
        </is>
      </c>
      <c r="F816" t="inlineStr">
        <is>
          <t>Kyrkan</t>
        </is>
      </c>
      <c r="G816" t="n">
        <v>1.3</v>
      </c>
      <c r="H816" t="n">
        <v>0</v>
      </c>
      <c r="I816" t="n">
        <v>0</v>
      </c>
      <c r="J816" t="n">
        <v>0</v>
      </c>
      <c r="K816" t="n">
        <v>0</v>
      </c>
      <c r="L816" t="n">
        <v>0</v>
      </c>
      <c r="M816" t="n">
        <v>0</v>
      </c>
      <c r="N816" t="n">
        <v>0</v>
      </c>
      <c r="O816" t="n">
        <v>0</v>
      </c>
      <c r="P816" t="n">
        <v>0</v>
      </c>
      <c r="Q816" t="n">
        <v>0</v>
      </c>
      <c r="R816" s="2" t="inlineStr"/>
    </row>
    <row r="817" ht="15" customHeight="1">
      <c r="A817" t="inlineStr">
        <is>
          <t>A 20800-2023</t>
        </is>
      </c>
      <c r="B817" s="1" t="n">
        <v>45058.61640046296</v>
      </c>
      <c r="C817" s="1" t="n">
        <v>46017</v>
      </c>
      <c r="D817" t="inlineStr">
        <is>
          <t>SKÅNE LÄN</t>
        </is>
      </c>
      <c r="E817" t="inlineStr">
        <is>
          <t>HÄSSLEHOLM</t>
        </is>
      </c>
      <c r="G817" t="n">
        <v>0.4</v>
      </c>
      <c r="H817" t="n">
        <v>0</v>
      </c>
      <c r="I817" t="n">
        <v>0</v>
      </c>
      <c r="J817" t="n">
        <v>0</v>
      </c>
      <c r="K817" t="n">
        <v>0</v>
      </c>
      <c r="L817" t="n">
        <v>0</v>
      </c>
      <c r="M817" t="n">
        <v>0</v>
      </c>
      <c r="N817" t="n">
        <v>0</v>
      </c>
      <c r="O817" t="n">
        <v>0</v>
      </c>
      <c r="P817" t="n">
        <v>0</v>
      </c>
      <c r="Q817" t="n">
        <v>0</v>
      </c>
      <c r="R817" s="2" t="inlineStr"/>
    </row>
    <row r="818" ht="15" customHeight="1">
      <c r="A818" t="inlineStr">
        <is>
          <t>A 49219-2024</t>
        </is>
      </c>
      <c r="B818" s="1" t="n">
        <v>45595.40923611111</v>
      </c>
      <c r="C818" s="1" t="n">
        <v>46017</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19593-2023</t>
        </is>
      </c>
      <c r="B819" s="1" t="n">
        <v>45050.75895833333</v>
      </c>
      <c r="C819" s="1" t="n">
        <v>46017</v>
      </c>
      <c r="D819" t="inlineStr">
        <is>
          <t>SKÅNE LÄN</t>
        </is>
      </c>
      <c r="E819" t="inlineStr">
        <is>
          <t>HÄSSLEHOLM</t>
        </is>
      </c>
      <c r="G819" t="n">
        <v>11</v>
      </c>
      <c r="H819" t="n">
        <v>0</v>
      </c>
      <c r="I819" t="n">
        <v>0</v>
      </c>
      <c r="J819" t="n">
        <v>0</v>
      </c>
      <c r="K819" t="n">
        <v>0</v>
      </c>
      <c r="L819" t="n">
        <v>0</v>
      </c>
      <c r="M819" t="n">
        <v>0</v>
      </c>
      <c r="N819" t="n">
        <v>0</v>
      </c>
      <c r="O819" t="n">
        <v>0</v>
      </c>
      <c r="P819" t="n">
        <v>0</v>
      </c>
      <c r="Q819" t="n">
        <v>0</v>
      </c>
      <c r="R819" s="2" t="inlineStr"/>
    </row>
    <row r="820" ht="15" customHeight="1">
      <c r="A820" t="inlineStr">
        <is>
          <t>A 7152-2025</t>
        </is>
      </c>
      <c r="B820" s="1" t="n">
        <v>45702.3837037037</v>
      </c>
      <c r="C820" s="1" t="n">
        <v>46017</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7160-2025</t>
        </is>
      </c>
      <c r="B821" s="1" t="n">
        <v>45702.3875462963</v>
      </c>
      <c r="C821" s="1" t="n">
        <v>46017</v>
      </c>
      <c r="D821" t="inlineStr">
        <is>
          <t>SKÅNE LÄN</t>
        </is>
      </c>
      <c r="E821" t="inlineStr">
        <is>
          <t>HÄSSLEHOLM</t>
        </is>
      </c>
      <c r="G821" t="n">
        <v>2.5</v>
      </c>
      <c r="H821" t="n">
        <v>0</v>
      </c>
      <c r="I821" t="n">
        <v>0</v>
      </c>
      <c r="J821" t="n">
        <v>0</v>
      </c>
      <c r="K821" t="n">
        <v>0</v>
      </c>
      <c r="L821" t="n">
        <v>0</v>
      </c>
      <c r="M821" t="n">
        <v>0</v>
      </c>
      <c r="N821" t="n">
        <v>0</v>
      </c>
      <c r="O821" t="n">
        <v>0</v>
      </c>
      <c r="P821" t="n">
        <v>0</v>
      </c>
      <c r="Q821" t="n">
        <v>0</v>
      </c>
      <c r="R821" s="2" t="inlineStr"/>
    </row>
    <row r="822" ht="15" customHeight="1">
      <c r="A822" t="inlineStr">
        <is>
          <t>A 14939-2023</t>
        </is>
      </c>
      <c r="B822" s="1" t="n">
        <v>45014</v>
      </c>
      <c r="C822" s="1" t="n">
        <v>46017</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49107-2023</t>
        </is>
      </c>
      <c r="B823" s="1" t="n">
        <v>45210.44337962963</v>
      </c>
      <c r="C823" s="1" t="n">
        <v>46017</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5282-2023</t>
        </is>
      </c>
      <c r="B824" s="1" t="n">
        <v>44959.50471064815</v>
      </c>
      <c r="C824" s="1" t="n">
        <v>46017</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6180-2021</t>
        </is>
      </c>
      <c r="B825" s="1" t="n">
        <v>44232</v>
      </c>
      <c r="C825" s="1" t="n">
        <v>46017</v>
      </c>
      <c r="D825" t="inlineStr">
        <is>
          <t>SKÅNE LÄN</t>
        </is>
      </c>
      <c r="E825" t="inlineStr">
        <is>
          <t>HÄSSLEHOLM</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15104-2023</t>
        </is>
      </c>
      <c r="B826" s="1" t="n">
        <v>45016.40576388889</v>
      </c>
      <c r="C826" s="1" t="n">
        <v>46017</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66321-2021</t>
        </is>
      </c>
      <c r="B827" s="1" t="n">
        <v>44518</v>
      </c>
      <c r="C827" s="1" t="n">
        <v>46017</v>
      </c>
      <c r="D827" t="inlineStr">
        <is>
          <t>SKÅNE LÄN</t>
        </is>
      </c>
      <c r="E827" t="inlineStr">
        <is>
          <t>HÄSSLEHOLM</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21494-2023</t>
        </is>
      </c>
      <c r="B828" s="1" t="n">
        <v>45063</v>
      </c>
      <c r="C828" s="1" t="n">
        <v>46017</v>
      </c>
      <c r="D828" t="inlineStr">
        <is>
          <t>SKÅNE LÄN</t>
        </is>
      </c>
      <c r="E828" t="inlineStr">
        <is>
          <t>HÄSSLEHOLM</t>
        </is>
      </c>
      <c r="G828" t="n">
        <v>3.7</v>
      </c>
      <c r="H828" t="n">
        <v>0</v>
      </c>
      <c r="I828" t="n">
        <v>0</v>
      </c>
      <c r="J828" t="n">
        <v>0</v>
      </c>
      <c r="K828" t="n">
        <v>0</v>
      </c>
      <c r="L828" t="n">
        <v>0</v>
      </c>
      <c r="M828" t="n">
        <v>0</v>
      </c>
      <c r="N828" t="n">
        <v>0</v>
      </c>
      <c r="O828" t="n">
        <v>0</v>
      </c>
      <c r="P828" t="n">
        <v>0</v>
      </c>
      <c r="Q828" t="n">
        <v>0</v>
      </c>
      <c r="R828" s="2" t="inlineStr"/>
    </row>
    <row r="829" ht="15" customHeight="1">
      <c r="A829" t="inlineStr">
        <is>
          <t>A 21495-2023</t>
        </is>
      </c>
      <c r="B829" s="1" t="n">
        <v>45063</v>
      </c>
      <c r="C829" s="1" t="n">
        <v>46017</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53897-2023</t>
        </is>
      </c>
      <c r="B830" s="1" t="n">
        <v>45231.53934027778</v>
      </c>
      <c r="C830" s="1" t="n">
        <v>46017</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40739-2024</t>
        </is>
      </c>
      <c r="B831" s="1" t="n">
        <v>45558</v>
      </c>
      <c r="C831" s="1" t="n">
        <v>46017</v>
      </c>
      <c r="D831" t="inlineStr">
        <is>
          <t>SKÅNE LÄN</t>
        </is>
      </c>
      <c r="E831" t="inlineStr">
        <is>
          <t>HÄSSLEHOLM</t>
        </is>
      </c>
      <c r="G831" t="n">
        <v>1.6</v>
      </c>
      <c r="H831" t="n">
        <v>0</v>
      </c>
      <c r="I831" t="n">
        <v>0</v>
      </c>
      <c r="J831" t="n">
        <v>0</v>
      </c>
      <c r="K831" t="n">
        <v>0</v>
      </c>
      <c r="L831" t="n">
        <v>0</v>
      </c>
      <c r="M831" t="n">
        <v>0</v>
      </c>
      <c r="N831" t="n">
        <v>0</v>
      </c>
      <c r="O831" t="n">
        <v>0</v>
      </c>
      <c r="P831" t="n">
        <v>0</v>
      </c>
      <c r="Q831" t="n">
        <v>0</v>
      </c>
      <c r="R831" s="2" t="inlineStr"/>
    </row>
    <row r="832" ht="15" customHeight="1">
      <c r="A832" t="inlineStr">
        <is>
          <t>A 20990-2023</t>
        </is>
      </c>
      <c r="B832" s="1" t="n">
        <v>45061.46186342592</v>
      </c>
      <c r="C832" s="1" t="n">
        <v>46017</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64884-2023</t>
        </is>
      </c>
      <c r="B833" s="1" t="n">
        <v>45282.57809027778</v>
      </c>
      <c r="C833" s="1" t="n">
        <v>46017</v>
      </c>
      <c r="D833" t="inlineStr">
        <is>
          <t>SKÅNE LÄN</t>
        </is>
      </c>
      <c r="E833" t="inlineStr">
        <is>
          <t>HÄSSLEHOLM</t>
        </is>
      </c>
      <c r="G833" t="n">
        <v>4.6</v>
      </c>
      <c r="H833" t="n">
        <v>0</v>
      </c>
      <c r="I833" t="n">
        <v>0</v>
      </c>
      <c r="J833" t="n">
        <v>0</v>
      </c>
      <c r="K833" t="n">
        <v>0</v>
      </c>
      <c r="L833" t="n">
        <v>0</v>
      </c>
      <c r="M833" t="n">
        <v>0</v>
      </c>
      <c r="N833" t="n">
        <v>0</v>
      </c>
      <c r="O833" t="n">
        <v>0</v>
      </c>
      <c r="P833" t="n">
        <v>0</v>
      </c>
      <c r="Q833" t="n">
        <v>0</v>
      </c>
      <c r="R833" s="2" t="inlineStr"/>
    </row>
    <row r="834" ht="15" customHeight="1">
      <c r="A834" t="inlineStr">
        <is>
          <t>A 22140-2023</t>
        </is>
      </c>
      <c r="B834" s="1" t="n">
        <v>45065</v>
      </c>
      <c r="C834" s="1" t="n">
        <v>46017</v>
      </c>
      <c r="D834" t="inlineStr">
        <is>
          <t>SKÅNE LÄN</t>
        </is>
      </c>
      <c r="E834" t="inlineStr">
        <is>
          <t>HÄSSLEHOLM</t>
        </is>
      </c>
      <c r="G834" t="n">
        <v>6.7</v>
      </c>
      <c r="H834" t="n">
        <v>0</v>
      </c>
      <c r="I834" t="n">
        <v>0</v>
      </c>
      <c r="J834" t="n">
        <v>0</v>
      </c>
      <c r="K834" t="n">
        <v>0</v>
      </c>
      <c r="L834" t="n">
        <v>0</v>
      </c>
      <c r="M834" t="n">
        <v>0</v>
      </c>
      <c r="N834" t="n">
        <v>0</v>
      </c>
      <c r="O834" t="n">
        <v>0</v>
      </c>
      <c r="P834" t="n">
        <v>0</v>
      </c>
      <c r="Q834" t="n">
        <v>0</v>
      </c>
      <c r="R834" s="2" t="inlineStr"/>
    </row>
    <row r="835" ht="15" customHeight="1">
      <c r="A835" t="inlineStr">
        <is>
          <t>A 22696-2023</t>
        </is>
      </c>
      <c r="B835" s="1" t="n">
        <v>45071.69464120371</v>
      </c>
      <c r="C835" s="1" t="n">
        <v>46017</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33873-2021</t>
        </is>
      </c>
      <c r="B836" s="1" t="n">
        <v>44378</v>
      </c>
      <c r="C836" s="1" t="n">
        <v>46017</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31944-2023</t>
        </is>
      </c>
      <c r="B837" s="1" t="n">
        <v>45119.34895833334</v>
      </c>
      <c r="C837" s="1" t="n">
        <v>46017</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7890-2024</t>
        </is>
      </c>
      <c r="B838" s="1" t="n">
        <v>45350.40780092592</v>
      </c>
      <c r="C838" s="1" t="n">
        <v>46017</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31946-2023</t>
        </is>
      </c>
      <c r="B839" s="1" t="n">
        <v>45119.35158564815</v>
      </c>
      <c r="C839" s="1" t="n">
        <v>46017</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7494-2023</t>
        </is>
      </c>
      <c r="B840" s="1" t="n">
        <v>44971.70835648148</v>
      </c>
      <c r="C840" s="1" t="n">
        <v>46017</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8755-2024</t>
        </is>
      </c>
      <c r="B841" s="1" t="n">
        <v>45356</v>
      </c>
      <c r="C841" s="1" t="n">
        <v>46017</v>
      </c>
      <c r="D841" t="inlineStr">
        <is>
          <t>SKÅNE LÄN</t>
        </is>
      </c>
      <c r="E841" t="inlineStr">
        <is>
          <t>HÄSSLEHOLM</t>
        </is>
      </c>
      <c r="G841" t="n">
        <v>1.4</v>
      </c>
      <c r="H841" t="n">
        <v>0</v>
      </c>
      <c r="I841" t="n">
        <v>0</v>
      </c>
      <c r="J841" t="n">
        <v>0</v>
      </c>
      <c r="K841" t="n">
        <v>0</v>
      </c>
      <c r="L841" t="n">
        <v>0</v>
      </c>
      <c r="M841" t="n">
        <v>0</v>
      </c>
      <c r="N841" t="n">
        <v>0</v>
      </c>
      <c r="O841" t="n">
        <v>0</v>
      </c>
      <c r="P841" t="n">
        <v>0</v>
      </c>
      <c r="Q841" t="n">
        <v>0</v>
      </c>
      <c r="R841" s="2" t="inlineStr"/>
    </row>
    <row r="842" ht="15" customHeight="1">
      <c r="A842" t="inlineStr">
        <is>
          <t>A 34348-2022</t>
        </is>
      </c>
      <c r="B842" s="1" t="n">
        <v>44792</v>
      </c>
      <c r="C842" s="1" t="n">
        <v>46017</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6836-2023</t>
        </is>
      </c>
      <c r="B843" s="1" t="n">
        <v>44967</v>
      </c>
      <c r="C843" s="1" t="n">
        <v>46017</v>
      </c>
      <c r="D843" t="inlineStr">
        <is>
          <t>SKÅNE LÄN</t>
        </is>
      </c>
      <c r="E843" t="inlineStr">
        <is>
          <t>HÄSSLEHOLM</t>
        </is>
      </c>
      <c r="G843" t="n">
        <v>3.5</v>
      </c>
      <c r="H843" t="n">
        <v>0</v>
      </c>
      <c r="I843" t="n">
        <v>0</v>
      </c>
      <c r="J843" t="n">
        <v>0</v>
      </c>
      <c r="K843" t="n">
        <v>0</v>
      </c>
      <c r="L843" t="n">
        <v>0</v>
      </c>
      <c r="M843" t="n">
        <v>0</v>
      </c>
      <c r="N843" t="n">
        <v>0</v>
      </c>
      <c r="O843" t="n">
        <v>0</v>
      </c>
      <c r="P843" t="n">
        <v>0</v>
      </c>
      <c r="Q843" t="n">
        <v>0</v>
      </c>
      <c r="R843" s="2" t="inlineStr"/>
    </row>
    <row r="844" ht="15" customHeight="1">
      <c r="A844" t="inlineStr">
        <is>
          <t>A 31931-2024</t>
        </is>
      </c>
      <c r="B844" s="1" t="n">
        <v>45510.40878472223</v>
      </c>
      <c r="C844" s="1" t="n">
        <v>46017</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8803-2023</t>
        </is>
      </c>
      <c r="B845" s="1" t="n">
        <v>44978.61712962963</v>
      </c>
      <c r="C845" s="1" t="n">
        <v>46017</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11681-2023</t>
        </is>
      </c>
      <c r="B846" s="1" t="n">
        <v>44992</v>
      </c>
      <c r="C846" s="1" t="n">
        <v>46017</v>
      </c>
      <c r="D846" t="inlineStr">
        <is>
          <t>SKÅNE LÄN</t>
        </is>
      </c>
      <c r="E846" t="inlineStr">
        <is>
          <t>HÄSSLEHOLM</t>
        </is>
      </c>
      <c r="F846" t="inlineStr">
        <is>
          <t>Övriga Aktiebolag</t>
        </is>
      </c>
      <c r="G846" t="n">
        <v>1.6</v>
      </c>
      <c r="H846" t="n">
        <v>0</v>
      </c>
      <c r="I846" t="n">
        <v>0</v>
      </c>
      <c r="J846" t="n">
        <v>0</v>
      </c>
      <c r="K846" t="n">
        <v>0</v>
      </c>
      <c r="L846" t="n">
        <v>0</v>
      </c>
      <c r="M846" t="n">
        <v>0</v>
      </c>
      <c r="N846" t="n">
        <v>0</v>
      </c>
      <c r="O846" t="n">
        <v>0</v>
      </c>
      <c r="P846" t="n">
        <v>0</v>
      </c>
      <c r="Q846" t="n">
        <v>0</v>
      </c>
      <c r="R846" s="2" t="inlineStr"/>
    </row>
    <row r="847" ht="15" customHeight="1">
      <c r="A847" t="inlineStr">
        <is>
          <t>A 49135-2025</t>
        </is>
      </c>
      <c r="B847" s="1" t="n">
        <v>45938.00990740741</v>
      </c>
      <c r="C847" s="1" t="n">
        <v>46017</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49136-2025</t>
        </is>
      </c>
      <c r="B848" s="1" t="n">
        <v>45938.01277777777</v>
      </c>
      <c r="C848" s="1" t="n">
        <v>46017</v>
      </c>
      <c r="D848" t="inlineStr">
        <is>
          <t>SKÅNE LÄN</t>
        </is>
      </c>
      <c r="E848" t="inlineStr">
        <is>
          <t>HÄSSLEHOLM</t>
        </is>
      </c>
      <c r="G848" t="n">
        <v>1.1</v>
      </c>
      <c r="H848" t="n">
        <v>0</v>
      </c>
      <c r="I848" t="n">
        <v>0</v>
      </c>
      <c r="J848" t="n">
        <v>0</v>
      </c>
      <c r="K848" t="n">
        <v>0</v>
      </c>
      <c r="L848" t="n">
        <v>0</v>
      </c>
      <c r="M848" t="n">
        <v>0</v>
      </c>
      <c r="N848" t="n">
        <v>0</v>
      </c>
      <c r="O848" t="n">
        <v>0</v>
      </c>
      <c r="P848" t="n">
        <v>0</v>
      </c>
      <c r="Q848" t="n">
        <v>0</v>
      </c>
      <c r="R848" s="2" t="inlineStr"/>
    </row>
    <row r="849" ht="15" customHeight="1">
      <c r="A849" t="inlineStr">
        <is>
          <t>A 49137-2025</t>
        </is>
      </c>
      <c r="B849" s="1" t="n">
        <v>45938.05672453704</v>
      </c>
      <c r="C849" s="1" t="n">
        <v>46017</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46222-2022</t>
        </is>
      </c>
      <c r="B850" s="1" t="n">
        <v>44847.58725694445</v>
      </c>
      <c r="C850" s="1" t="n">
        <v>46017</v>
      </c>
      <c r="D850" t="inlineStr">
        <is>
          <t>SKÅNE LÄN</t>
        </is>
      </c>
      <c r="E850" t="inlineStr">
        <is>
          <t>HÄSSLEHOLM</t>
        </is>
      </c>
      <c r="G850" t="n">
        <v>6.3</v>
      </c>
      <c r="H850" t="n">
        <v>0</v>
      </c>
      <c r="I850" t="n">
        <v>0</v>
      </c>
      <c r="J850" t="n">
        <v>0</v>
      </c>
      <c r="K850" t="n">
        <v>0</v>
      </c>
      <c r="L850" t="n">
        <v>0</v>
      </c>
      <c r="M850" t="n">
        <v>0</v>
      </c>
      <c r="N850" t="n">
        <v>0</v>
      </c>
      <c r="O850" t="n">
        <v>0</v>
      </c>
      <c r="P850" t="n">
        <v>0</v>
      </c>
      <c r="Q850" t="n">
        <v>0</v>
      </c>
      <c r="R850" s="2" t="inlineStr"/>
    </row>
    <row r="851" ht="15" customHeight="1">
      <c r="A851" t="inlineStr">
        <is>
          <t>A 6087-2025</t>
        </is>
      </c>
      <c r="B851" s="1" t="n">
        <v>45697.69782407407</v>
      </c>
      <c r="C851" s="1" t="n">
        <v>46017</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61178-2022</t>
        </is>
      </c>
      <c r="B852" s="1" t="n">
        <v>44915</v>
      </c>
      <c r="C852" s="1" t="n">
        <v>46017</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61185-2022</t>
        </is>
      </c>
      <c r="B853" s="1" t="n">
        <v>44915</v>
      </c>
      <c r="C853" s="1" t="n">
        <v>46017</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61691-2021</t>
        </is>
      </c>
      <c r="B854" s="1" t="n">
        <v>44501</v>
      </c>
      <c r="C854" s="1" t="n">
        <v>46017</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25221-2023</t>
        </is>
      </c>
      <c r="B855" s="1" t="n">
        <v>45086.60842592592</v>
      </c>
      <c r="C855" s="1" t="n">
        <v>46017</v>
      </c>
      <c r="D855" t="inlineStr">
        <is>
          <t>SKÅNE LÄN</t>
        </is>
      </c>
      <c r="E855" t="inlineStr">
        <is>
          <t>HÄSSLEHOLM</t>
        </is>
      </c>
      <c r="G855" t="n">
        <v>2.5</v>
      </c>
      <c r="H855" t="n">
        <v>0</v>
      </c>
      <c r="I855" t="n">
        <v>0</v>
      </c>
      <c r="J855" t="n">
        <v>0</v>
      </c>
      <c r="K855" t="n">
        <v>0</v>
      </c>
      <c r="L855" t="n">
        <v>0</v>
      </c>
      <c r="M855" t="n">
        <v>0</v>
      </c>
      <c r="N855" t="n">
        <v>0</v>
      </c>
      <c r="O855" t="n">
        <v>0</v>
      </c>
      <c r="P855" t="n">
        <v>0</v>
      </c>
      <c r="Q855" t="n">
        <v>0</v>
      </c>
      <c r="R855" s="2" t="inlineStr"/>
    </row>
    <row r="856" ht="15" customHeight="1">
      <c r="A856" t="inlineStr">
        <is>
          <t>A 59390-2021</t>
        </is>
      </c>
      <c r="B856" s="1" t="n">
        <v>44490</v>
      </c>
      <c r="C856" s="1" t="n">
        <v>46017</v>
      </c>
      <c r="D856" t="inlineStr">
        <is>
          <t>SKÅNE LÄN</t>
        </is>
      </c>
      <c r="E856" t="inlineStr">
        <is>
          <t>HÄSSLEHOLM</t>
        </is>
      </c>
      <c r="G856" t="n">
        <v>7.1</v>
      </c>
      <c r="H856" t="n">
        <v>0</v>
      </c>
      <c r="I856" t="n">
        <v>0</v>
      </c>
      <c r="J856" t="n">
        <v>0</v>
      </c>
      <c r="K856" t="n">
        <v>0</v>
      </c>
      <c r="L856" t="n">
        <v>0</v>
      </c>
      <c r="M856" t="n">
        <v>0</v>
      </c>
      <c r="N856" t="n">
        <v>0</v>
      </c>
      <c r="O856" t="n">
        <v>0</v>
      </c>
      <c r="P856" t="n">
        <v>0</v>
      </c>
      <c r="Q856" t="n">
        <v>0</v>
      </c>
      <c r="R856" s="2" t="inlineStr"/>
    </row>
    <row r="857" ht="15" customHeight="1">
      <c r="A857" t="inlineStr">
        <is>
          <t>A 50249-2024</t>
        </is>
      </c>
      <c r="B857" s="1" t="n">
        <v>45600.56866898148</v>
      </c>
      <c r="C857" s="1" t="n">
        <v>46017</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60843-2022</t>
        </is>
      </c>
      <c r="B858" s="1" t="n">
        <v>44914</v>
      </c>
      <c r="C858" s="1" t="n">
        <v>46017</v>
      </c>
      <c r="D858" t="inlineStr">
        <is>
          <t>SKÅNE LÄN</t>
        </is>
      </c>
      <c r="E858" t="inlineStr">
        <is>
          <t>HÄSSLEHOLM</t>
        </is>
      </c>
      <c r="G858" t="n">
        <v>2.2</v>
      </c>
      <c r="H858" t="n">
        <v>0</v>
      </c>
      <c r="I858" t="n">
        <v>0</v>
      </c>
      <c r="J858" t="n">
        <v>0</v>
      </c>
      <c r="K858" t="n">
        <v>0</v>
      </c>
      <c r="L858" t="n">
        <v>0</v>
      </c>
      <c r="M858" t="n">
        <v>0</v>
      </c>
      <c r="N858" t="n">
        <v>0</v>
      </c>
      <c r="O858" t="n">
        <v>0</v>
      </c>
      <c r="P858" t="n">
        <v>0</v>
      </c>
      <c r="Q858" t="n">
        <v>0</v>
      </c>
      <c r="R858" s="2" t="inlineStr"/>
    </row>
    <row r="859" ht="15" customHeight="1">
      <c r="A859" t="inlineStr">
        <is>
          <t>A 51040-2024</t>
        </is>
      </c>
      <c r="B859" s="1" t="n">
        <v>45603.43222222223</v>
      </c>
      <c r="C859" s="1" t="n">
        <v>46017</v>
      </c>
      <c r="D859" t="inlineStr">
        <is>
          <t>SKÅNE LÄN</t>
        </is>
      </c>
      <c r="E859" t="inlineStr">
        <is>
          <t>HÄSSLEHOLM</t>
        </is>
      </c>
      <c r="G859" t="n">
        <v>2.7</v>
      </c>
      <c r="H859" t="n">
        <v>0</v>
      </c>
      <c r="I859" t="n">
        <v>0</v>
      </c>
      <c r="J859" t="n">
        <v>0</v>
      </c>
      <c r="K859" t="n">
        <v>0</v>
      </c>
      <c r="L859" t="n">
        <v>0</v>
      </c>
      <c r="M859" t="n">
        <v>0</v>
      </c>
      <c r="N859" t="n">
        <v>0</v>
      </c>
      <c r="O859" t="n">
        <v>0</v>
      </c>
      <c r="P859" t="n">
        <v>0</v>
      </c>
      <c r="Q859" t="n">
        <v>0</v>
      </c>
      <c r="R859" s="2" t="inlineStr"/>
    </row>
    <row r="860" ht="15" customHeight="1">
      <c r="A860" t="inlineStr">
        <is>
          <t>A 56881-2021</t>
        </is>
      </c>
      <c r="B860" s="1" t="n">
        <v>44481</v>
      </c>
      <c r="C860" s="1" t="n">
        <v>46017</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50564-2023</t>
        </is>
      </c>
      <c r="B861" s="1" t="n">
        <v>45217.37957175926</v>
      </c>
      <c r="C861" s="1" t="n">
        <v>46017</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15133-2023</t>
        </is>
      </c>
      <c r="B862" s="1" t="n">
        <v>45016</v>
      </c>
      <c r="C862" s="1" t="n">
        <v>46017</v>
      </c>
      <c r="D862" t="inlineStr">
        <is>
          <t>SKÅNE LÄN</t>
        </is>
      </c>
      <c r="E862" t="inlineStr">
        <is>
          <t>HÄSSLEHOLM</t>
        </is>
      </c>
      <c r="G862" t="n">
        <v>7.8</v>
      </c>
      <c r="H862" t="n">
        <v>0</v>
      </c>
      <c r="I862" t="n">
        <v>0</v>
      </c>
      <c r="J862" t="n">
        <v>0</v>
      </c>
      <c r="K862" t="n">
        <v>0</v>
      </c>
      <c r="L862" t="n">
        <v>0</v>
      </c>
      <c r="M862" t="n">
        <v>0</v>
      </c>
      <c r="N862" t="n">
        <v>0</v>
      </c>
      <c r="O862" t="n">
        <v>0</v>
      </c>
      <c r="P862" t="n">
        <v>0</v>
      </c>
      <c r="Q862" t="n">
        <v>0</v>
      </c>
      <c r="R862" s="2" t="inlineStr"/>
    </row>
    <row r="863" ht="15" customHeight="1">
      <c r="A863" t="inlineStr">
        <is>
          <t>A 45653-2024</t>
        </is>
      </c>
      <c r="B863" s="1" t="n">
        <v>45579.48872685185</v>
      </c>
      <c r="C863" s="1" t="n">
        <v>46017</v>
      </c>
      <c r="D863" t="inlineStr">
        <is>
          <t>SKÅNE LÄN</t>
        </is>
      </c>
      <c r="E863" t="inlineStr">
        <is>
          <t>HÄSSLEHOLM</t>
        </is>
      </c>
      <c r="G863" t="n">
        <v>2.6</v>
      </c>
      <c r="H863" t="n">
        <v>0</v>
      </c>
      <c r="I863" t="n">
        <v>0</v>
      </c>
      <c r="J863" t="n">
        <v>0</v>
      </c>
      <c r="K863" t="n">
        <v>0</v>
      </c>
      <c r="L863" t="n">
        <v>0</v>
      </c>
      <c r="M863" t="n">
        <v>0</v>
      </c>
      <c r="N863" t="n">
        <v>0</v>
      </c>
      <c r="O863" t="n">
        <v>0</v>
      </c>
      <c r="P863" t="n">
        <v>0</v>
      </c>
      <c r="Q863" t="n">
        <v>0</v>
      </c>
      <c r="R863" s="2" t="inlineStr"/>
    </row>
    <row r="864" ht="15" customHeight="1">
      <c r="A864" t="inlineStr">
        <is>
          <t>A 56956-2024</t>
        </is>
      </c>
      <c r="B864" s="1" t="n">
        <v>45626</v>
      </c>
      <c r="C864" s="1" t="n">
        <v>46017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57817-2025</t>
        </is>
      </c>
      <c r="B865" s="1" t="n">
        <v>45981.59475694445</v>
      </c>
      <c r="C865" s="1" t="n">
        <v>46017</v>
      </c>
      <c r="D865" t="inlineStr">
        <is>
          <t>SKÅNE LÄN</t>
        </is>
      </c>
      <c r="E865" t="inlineStr">
        <is>
          <t>HÄSSLEHOLM</t>
        </is>
      </c>
      <c r="G865" t="n">
        <v>3.8</v>
      </c>
      <c r="H865" t="n">
        <v>0</v>
      </c>
      <c r="I865" t="n">
        <v>0</v>
      </c>
      <c r="J865" t="n">
        <v>0</v>
      </c>
      <c r="K865" t="n">
        <v>0</v>
      </c>
      <c r="L865" t="n">
        <v>0</v>
      </c>
      <c r="M865" t="n">
        <v>0</v>
      </c>
      <c r="N865" t="n">
        <v>0</v>
      </c>
      <c r="O865" t="n">
        <v>0</v>
      </c>
      <c r="P865" t="n">
        <v>0</v>
      </c>
      <c r="Q865" t="n">
        <v>0</v>
      </c>
      <c r="R865" s="2" t="inlineStr"/>
    </row>
    <row r="866" ht="15" customHeight="1">
      <c r="A866" t="inlineStr">
        <is>
          <t>A 50571-2023</t>
        </is>
      </c>
      <c r="B866" s="1" t="n">
        <v>45217.38359953704</v>
      </c>
      <c r="C866" s="1" t="n">
        <v>46017</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45392-2024</t>
        </is>
      </c>
      <c r="B867" s="1" t="n">
        <v>45576.55008101852</v>
      </c>
      <c r="C867" s="1" t="n">
        <v>46017</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20187-2023</t>
        </is>
      </c>
      <c r="B868" s="1" t="n">
        <v>45055.57027777778</v>
      </c>
      <c r="C868" s="1" t="n">
        <v>46017</v>
      </c>
      <c r="D868" t="inlineStr">
        <is>
          <t>SKÅNE LÄN</t>
        </is>
      </c>
      <c r="E868" t="inlineStr">
        <is>
          <t>HÄSSLEHOLM</t>
        </is>
      </c>
      <c r="G868" t="n">
        <v>1.8</v>
      </c>
      <c r="H868" t="n">
        <v>0</v>
      </c>
      <c r="I868" t="n">
        <v>0</v>
      </c>
      <c r="J868" t="n">
        <v>0</v>
      </c>
      <c r="K868" t="n">
        <v>0</v>
      </c>
      <c r="L868" t="n">
        <v>0</v>
      </c>
      <c r="M868" t="n">
        <v>0</v>
      </c>
      <c r="N868" t="n">
        <v>0</v>
      </c>
      <c r="O868" t="n">
        <v>0</v>
      </c>
      <c r="P868" t="n">
        <v>0</v>
      </c>
      <c r="Q868" t="n">
        <v>0</v>
      </c>
      <c r="R868" s="2" t="inlineStr"/>
    </row>
    <row r="869" ht="15" customHeight="1">
      <c r="A869" t="inlineStr">
        <is>
          <t>A 1543-2024</t>
        </is>
      </c>
      <c r="B869" s="1" t="n">
        <v>45306</v>
      </c>
      <c r="C869" s="1" t="n">
        <v>46017</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15053-2023</t>
        </is>
      </c>
      <c r="B870" s="1" t="n">
        <v>45015</v>
      </c>
      <c r="C870" s="1" t="n">
        <v>46017</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37038-2022</t>
        </is>
      </c>
      <c r="B871" s="1" t="n">
        <v>44806.44232638889</v>
      </c>
      <c r="C871" s="1" t="n">
        <v>46017</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23857-2024</t>
        </is>
      </c>
      <c r="B872" s="1" t="n">
        <v>45455</v>
      </c>
      <c r="C872" s="1" t="n">
        <v>46017</v>
      </c>
      <c r="D872" t="inlineStr">
        <is>
          <t>SKÅNE LÄN</t>
        </is>
      </c>
      <c r="E872" t="inlineStr">
        <is>
          <t>HÄSSLEHOLM</t>
        </is>
      </c>
      <c r="G872" t="n">
        <v>3</v>
      </c>
      <c r="H872" t="n">
        <v>0</v>
      </c>
      <c r="I872" t="n">
        <v>0</v>
      </c>
      <c r="J872" t="n">
        <v>0</v>
      </c>
      <c r="K872" t="n">
        <v>0</v>
      </c>
      <c r="L872" t="n">
        <v>0</v>
      </c>
      <c r="M872" t="n">
        <v>0</v>
      </c>
      <c r="N872" t="n">
        <v>0</v>
      </c>
      <c r="O872" t="n">
        <v>0</v>
      </c>
      <c r="P872" t="n">
        <v>0</v>
      </c>
      <c r="Q872" t="n">
        <v>0</v>
      </c>
      <c r="R872" s="2" t="inlineStr"/>
    </row>
    <row r="873" ht="15" customHeight="1">
      <c r="A873" t="inlineStr">
        <is>
          <t>A 35644-2023</t>
        </is>
      </c>
      <c r="B873" s="1" t="n">
        <v>45147</v>
      </c>
      <c r="C873" s="1" t="n">
        <v>46017</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46185-2022</t>
        </is>
      </c>
      <c r="B874" s="1" t="n">
        <v>44847</v>
      </c>
      <c r="C874" s="1" t="n">
        <v>46017</v>
      </c>
      <c r="D874" t="inlineStr">
        <is>
          <t>SKÅNE LÄN</t>
        </is>
      </c>
      <c r="E874" t="inlineStr">
        <is>
          <t>HÄSSLEHOLM</t>
        </is>
      </c>
      <c r="G874" t="n">
        <v>16.8</v>
      </c>
      <c r="H874" t="n">
        <v>0</v>
      </c>
      <c r="I874" t="n">
        <v>0</v>
      </c>
      <c r="J874" t="n">
        <v>0</v>
      </c>
      <c r="K874" t="n">
        <v>0</v>
      </c>
      <c r="L874" t="n">
        <v>0</v>
      </c>
      <c r="M874" t="n">
        <v>0</v>
      </c>
      <c r="N874" t="n">
        <v>0</v>
      </c>
      <c r="O874" t="n">
        <v>0</v>
      </c>
      <c r="P874" t="n">
        <v>0</v>
      </c>
      <c r="Q874" t="n">
        <v>0</v>
      </c>
      <c r="R874" s="2" t="inlineStr"/>
    </row>
    <row r="875" ht="15" customHeight="1">
      <c r="A875" t="inlineStr">
        <is>
          <t>A 8433-2024</t>
        </is>
      </c>
      <c r="B875" s="1" t="n">
        <v>45353.48434027778</v>
      </c>
      <c r="C875" s="1" t="n">
        <v>46017</v>
      </c>
      <c r="D875" t="inlineStr">
        <is>
          <t>SKÅNE LÄN</t>
        </is>
      </c>
      <c r="E875" t="inlineStr">
        <is>
          <t>HÄSSLEHOLM</t>
        </is>
      </c>
      <c r="G875" t="n">
        <v>1.9</v>
      </c>
      <c r="H875" t="n">
        <v>0</v>
      </c>
      <c r="I875" t="n">
        <v>0</v>
      </c>
      <c r="J875" t="n">
        <v>0</v>
      </c>
      <c r="K875" t="n">
        <v>0</v>
      </c>
      <c r="L875" t="n">
        <v>0</v>
      </c>
      <c r="M875" t="n">
        <v>0</v>
      </c>
      <c r="N875" t="n">
        <v>0</v>
      </c>
      <c r="O875" t="n">
        <v>0</v>
      </c>
      <c r="P875" t="n">
        <v>0</v>
      </c>
      <c r="Q875" t="n">
        <v>0</v>
      </c>
      <c r="R875" s="2" t="inlineStr"/>
    </row>
    <row r="876" ht="15" customHeight="1">
      <c r="A876" t="inlineStr">
        <is>
          <t>A 62055-2023</t>
        </is>
      </c>
      <c r="B876" s="1" t="n">
        <v>45266.70287037037</v>
      </c>
      <c r="C876" s="1" t="n">
        <v>46017</v>
      </c>
      <c r="D876" t="inlineStr">
        <is>
          <t>SKÅNE LÄN</t>
        </is>
      </c>
      <c r="E876" t="inlineStr">
        <is>
          <t>HÄSSLEHOLM</t>
        </is>
      </c>
      <c r="G876" t="n">
        <v>5.2</v>
      </c>
      <c r="H876" t="n">
        <v>0</v>
      </c>
      <c r="I876" t="n">
        <v>0</v>
      </c>
      <c r="J876" t="n">
        <v>0</v>
      </c>
      <c r="K876" t="n">
        <v>0</v>
      </c>
      <c r="L876" t="n">
        <v>0</v>
      </c>
      <c r="M876" t="n">
        <v>0</v>
      </c>
      <c r="N876" t="n">
        <v>0</v>
      </c>
      <c r="O876" t="n">
        <v>0</v>
      </c>
      <c r="P876" t="n">
        <v>0</v>
      </c>
      <c r="Q876" t="n">
        <v>0</v>
      </c>
      <c r="R876" s="2" t="inlineStr"/>
    </row>
    <row r="877" ht="15" customHeight="1">
      <c r="A877" t="inlineStr">
        <is>
          <t>A 49845-2025</t>
        </is>
      </c>
      <c r="B877" s="1" t="n">
        <v>45940.48015046296</v>
      </c>
      <c r="C877" s="1" t="n">
        <v>46017</v>
      </c>
      <c r="D877" t="inlineStr">
        <is>
          <t>SKÅNE LÄN</t>
        </is>
      </c>
      <c r="E877" t="inlineStr">
        <is>
          <t>HÄSSLEHOLM</t>
        </is>
      </c>
      <c r="G877" t="n">
        <v>1.1</v>
      </c>
      <c r="H877" t="n">
        <v>0</v>
      </c>
      <c r="I877" t="n">
        <v>0</v>
      </c>
      <c r="J877" t="n">
        <v>0</v>
      </c>
      <c r="K877" t="n">
        <v>0</v>
      </c>
      <c r="L877" t="n">
        <v>0</v>
      </c>
      <c r="M877" t="n">
        <v>0</v>
      </c>
      <c r="N877" t="n">
        <v>0</v>
      </c>
      <c r="O877" t="n">
        <v>0</v>
      </c>
      <c r="P877" t="n">
        <v>0</v>
      </c>
      <c r="Q877" t="n">
        <v>0</v>
      </c>
      <c r="R877" s="2" t="inlineStr"/>
    </row>
    <row r="878" ht="15" customHeight="1">
      <c r="A878" t="inlineStr">
        <is>
          <t>A 16454-2023</t>
        </is>
      </c>
      <c r="B878" s="1" t="n">
        <v>45029.48425925926</v>
      </c>
      <c r="C878" s="1" t="n">
        <v>46017</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31572-2022</t>
        </is>
      </c>
      <c r="B879" s="1" t="n">
        <v>44775</v>
      </c>
      <c r="C879" s="1" t="n">
        <v>46017</v>
      </c>
      <c r="D879" t="inlineStr">
        <is>
          <t>SKÅNE LÄN</t>
        </is>
      </c>
      <c r="E879" t="inlineStr">
        <is>
          <t>HÄSSLEHOLM</t>
        </is>
      </c>
      <c r="F879" t="inlineStr">
        <is>
          <t>Kommuner</t>
        </is>
      </c>
      <c r="G879" t="n">
        <v>1.2</v>
      </c>
      <c r="H879" t="n">
        <v>0</v>
      </c>
      <c r="I879" t="n">
        <v>0</v>
      </c>
      <c r="J879" t="n">
        <v>0</v>
      </c>
      <c r="K879" t="n">
        <v>0</v>
      </c>
      <c r="L879" t="n">
        <v>0</v>
      </c>
      <c r="M879" t="n">
        <v>0</v>
      </c>
      <c r="N879" t="n">
        <v>0</v>
      </c>
      <c r="O879" t="n">
        <v>0</v>
      </c>
      <c r="P879" t="n">
        <v>0</v>
      </c>
      <c r="Q879" t="n">
        <v>0</v>
      </c>
      <c r="R879" s="2" t="inlineStr"/>
    </row>
    <row r="880" ht="15" customHeight="1">
      <c r="A880" t="inlineStr">
        <is>
          <t>A 70087-2021</t>
        </is>
      </c>
      <c r="B880" s="1" t="n">
        <v>44533</v>
      </c>
      <c r="C880" s="1" t="n">
        <v>46017</v>
      </c>
      <c r="D880" t="inlineStr">
        <is>
          <t>SKÅNE LÄN</t>
        </is>
      </c>
      <c r="E880" t="inlineStr">
        <is>
          <t>HÄSSLEHOLM</t>
        </is>
      </c>
      <c r="G880" t="n">
        <v>5</v>
      </c>
      <c r="H880" t="n">
        <v>0</v>
      </c>
      <c r="I880" t="n">
        <v>0</v>
      </c>
      <c r="J880" t="n">
        <v>0</v>
      </c>
      <c r="K880" t="n">
        <v>0</v>
      </c>
      <c r="L880" t="n">
        <v>0</v>
      </c>
      <c r="M880" t="n">
        <v>0</v>
      </c>
      <c r="N880" t="n">
        <v>0</v>
      </c>
      <c r="O880" t="n">
        <v>0</v>
      </c>
      <c r="P880" t="n">
        <v>0</v>
      </c>
      <c r="Q880" t="n">
        <v>0</v>
      </c>
      <c r="R880" s="2" t="inlineStr"/>
    </row>
    <row r="881" ht="15" customHeight="1">
      <c r="A881" t="inlineStr">
        <is>
          <t>A 9375-2023</t>
        </is>
      </c>
      <c r="B881" s="1" t="n">
        <v>44981</v>
      </c>
      <c r="C881" s="1" t="n">
        <v>46017</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29287-2023</t>
        </is>
      </c>
      <c r="B882" s="1" t="n">
        <v>45098</v>
      </c>
      <c r="C882" s="1" t="n">
        <v>46017</v>
      </c>
      <c r="D882" t="inlineStr">
        <is>
          <t>SKÅNE LÄN</t>
        </is>
      </c>
      <c r="E882" t="inlineStr">
        <is>
          <t>HÄSSLEHOLM</t>
        </is>
      </c>
      <c r="G882" t="n">
        <v>5.7</v>
      </c>
      <c r="H882" t="n">
        <v>0</v>
      </c>
      <c r="I882" t="n">
        <v>0</v>
      </c>
      <c r="J882" t="n">
        <v>0</v>
      </c>
      <c r="K882" t="n">
        <v>0</v>
      </c>
      <c r="L882" t="n">
        <v>0</v>
      </c>
      <c r="M882" t="n">
        <v>0</v>
      </c>
      <c r="N882" t="n">
        <v>0</v>
      </c>
      <c r="O882" t="n">
        <v>0</v>
      </c>
      <c r="P882" t="n">
        <v>0</v>
      </c>
      <c r="Q882" t="n">
        <v>0</v>
      </c>
      <c r="R882" s="2" t="inlineStr"/>
    </row>
    <row r="883" ht="15" customHeight="1">
      <c r="A883" t="inlineStr">
        <is>
          <t>A 18041-2023</t>
        </is>
      </c>
      <c r="B883" s="1" t="n">
        <v>45040</v>
      </c>
      <c r="C883" s="1" t="n">
        <v>46017</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13555-2025</t>
        </is>
      </c>
      <c r="B884" s="1" t="n">
        <v>45736</v>
      </c>
      <c r="C884" s="1" t="n">
        <v>46017</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55416-2021</t>
        </is>
      </c>
      <c r="B885" s="1" t="n">
        <v>44475</v>
      </c>
      <c r="C885" s="1" t="n">
        <v>46017</v>
      </c>
      <c r="D885" t="inlineStr">
        <is>
          <t>SKÅNE LÄN</t>
        </is>
      </c>
      <c r="E885" t="inlineStr">
        <is>
          <t>HÄSSLEHOLM</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60509-2023</t>
        </is>
      </c>
      <c r="B886" s="1" t="n">
        <v>45259</v>
      </c>
      <c r="C886" s="1" t="n">
        <v>46017</v>
      </c>
      <c r="D886" t="inlineStr">
        <is>
          <t>SKÅNE LÄN</t>
        </is>
      </c>
      <c r="E886" t="inlineStr">
        <is>
          <t>HÄSSLEHOLM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16950-2025</t>
        </is>
      </c>
      <c r="B887" s="1" t="n">
        <v>45755</v>
      </c>
      <c r="C887" s="1" t="n">
        <v>46017</v>
      </c>
      <c r="D887" t="inlineStr">
        <is>
          <t>SKÅNE LÄN</t>
        </is>
      </c>
      <c r="E887" t="inlineStr">
        <is>
          <t>HÄSSLEHOLM</t>
        </is>
      </c>
      <c r="G887" t="n">
        <v>0.7</v>
      </c>
      <c r="H887" t="n">
        <v>0</v>
      </c>
      <c r="I887" t="n">
        <v>0</v>
      </c>
      <c r="J887" t="n">
        <v>0</v>
      </c>
      <c r="K887" t="n">
        <v>0</v>
      </c>
      <c r="L887" t="n">
        <v>0</v>
      </c>
      <c r="M887" t="n">
        <v>0</v>
      </c>
      <c r="N887" t="n">
        <v>0</v>
      </c>
      <c r="O887" t="n">
        <v>0</v>
      </c>
      <c r="P887" t="n">
        <v>0</v>
      </c>
      <c r="Q887" t="n">
        <v>0</v>
      </c>
      <c r="R887" s="2" t="inlineStr"/>
    </row>
    <row r="888" ht="15" customHeight="1">
      <c r="A888" t="inlineStr">
        <is>
          <t>A 28632-2024</t>
        </is>
      </c>
      <c r="B888" s="1" t="n">
        <v>45478</v>
      </c>
      <c r="C888" s="1" t="n">
        <v>46017</v>
      </c>
      <c r="D888" t="inlineStr">
        <is>
          <t>SKÅNE LÄN</t>
        </is>
      </c>
      <c r="E888" t="inlineStr">
        <is>
          <t>HÄSSLEHOLM</t>
        </is>
      </c>
      <c r="G888" t="n">
        <v>4</v>
      </c>
      <c r="H888" t="n">
        <v>0</v>
      </c>
      <c r="I888" t="n">
        <v>0</v>
      </c>
      <c r="J888" t="n">
        <v>0</v>
      </c>
      <c r="K888" t="n">
        <v>0</v>
      </c>
      <c r="L888" t="n">
        <v>0</v>
      </c>
      <c r="M888" t="n">
        <v>0</v>
      </c>
      <c r="N888" t="n">
        <v>0</v>
      </c>
      <c r="O888" t="n">
        <v>0</v>
      </c>
      <c r="P888" t="n">
        <v>0</v>
      </c>
      <c r="Q888" t="n">
        <v>0</v>
      </c>
      <c r="R888" s="2" t="inlineStr"/>
    </row>
    <row r="889" ht="15" customHeight="1">
      <c r="A889" t="inlineStr">
        <is>
          <t>A 21310-2022</t>
        </is>
      </c>
      <c r="B889" s="1" t="n">
        <v>44705</v>
      </c>
      <c r="C889" s="1" t="n">
        <v>46017</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58618-2024</t>
        </is>
      </c>
      <c r="B890" s="1" t="n">
        <v>45635.56150462963</v>
      </c>
      <c r="C890" s="1" t="n">
        <v>46017</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35712-2024</t>
        </is>
      </c>
      <c r="B891" s="1" t="n">
        <v>45532</v>
      </c>
      <c r="C891" s="1" t="n">
        <v>46017</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9485-2023</t>
        </is>
      </c>
      <c r="B892" s="1" t="n">
        <v>44981.60901620371</v>
      </c>
      <c r="C892" s="1" t="n">
        <v>46017</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9502-2023</t>
        </is>
      </c>
      <c r="B893" s="1" t="n">
        <v>44981.63278935185</v>
      </c>
      <c r="C893" s="1" t="n">
        <v>46017</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58241-2025</t>
        </is>
      </c>
      <c r="B894" s="1" t="n">
        <v>45985.38797453704</v>
      </c>
      <c r="C894" s="1" t="n">
        <v>46017</v>
      </c>
      <c r="D894" t="inlineStr">
        <is>
          <t>SKÅNE LÄN</t>
        </is>
      </c>
      <c r="E894" t="inlineStr">
        <is>
          <t>HÄSSLEHOLM</t>
        </is>
      </c>
      <c r="G894" t="n">
        <v>3.6</v>
      </c>
      <c r="H894" t="n">
        <v>0</v>
      </c>
      <c r="I894" t="n">
        <v>0</v>
      </c>
      <c r="J894" t="n">
        <v>0</v>
      </c>
      <c r="K894" t="n">
        <v>0</v>
      </c>
      <c r="L894" t="n">
        <v>0</v>
      </c>
      <c r="M894" t="n">
        <v>0</v>
      </c>
      <c r="N894" t="n">
        <v>0</v>
      </c>
      <c r="O894" t="n">
        <v>0</v>
      </c>
      <c r="P894" t="n">
        <v>0</v>
      </c>
      <c r="Q894" t="n">
        <v>0</v>
      </c>
      <c r="R894" s="2" t="inlineStr"/>
    </row>
    <row r="895" ht="15" customHeight="1">
      <c r="A895" t="inlineStr">
        <is>
          <t>A 33466-2024</t>
        </is>
      </c>
      <c r="B895" s="1" t="n">
        <v>45519</v>
      </c>
      <c r="C895" s="1" t="n">
        <v>46017</v>
      </c>
      <c r="D895" t="inlineStr">
        <is>
          <t>SKÅNE LÄN</t>
        </is>
      </c>
      <c r="E895" t="inlineStr">
        <is>
          <t>HÄSSLEHOLM</t>
        </is>
      </c>
      <c r="G895" t="n">
        <v>0.4</v>
      </c>
      <c r="H895" t="n">
        <v>0</v>
      </c>
      <c r="I895" t="n">
        <v>0</v>
      </c>
      <c r="J895" t="n">
        <v>0</v>
      </c>
      <c r="K895" t="n">
        <v>0</v>
      </c>
      <c r="L895" t="n">
        <v>0</v>
      </c>
      <c r="M895" t="n">
        <v>0</v>
      </c>
      <c r="N895" t="n">
        <v>0</v>
      </c>
      <c r="O895" t="n">
        <v>0</v>
      </c>
      <c r="P895" t="n">
        <v>0</v>
      </c>
      <c r="Q895" t="n">
        <v>0</v>
      </c>
      <c r="R895" s="2" t="inlineStr"/>
    </row>
    <row r="896" ht="15" customHeight="1">
      <c r="A896" t="inlineStr">
        <is>
          <t>A 10928-2024</t>
        </is>
      </c>
      <c r="B896" s="1" t="n">
        <v>45370</v>
      </c>
      <c r="C896" s="1" t="n">
        <v>46017</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5890-2023</t>
        </is>
      </c>
      <c r="B897" s="1" t="n">
        <v>44963.64527777778</v>
      </c>
      <c r="C897" s="1" t="n">
        <v>46017</v>
      </c>
      <c r="D897" t="inlineStr">
        <is>
          <t>SKÅNE LÄN</t>
        </is>
      </c>
      <c r="E897" t="inlineStr">
        <is>
          <t>HÄSSLEHOLM</t>
        </is>
      </c>
      <c r="G897" t="n">
        <v>1.6</v>
      </c>
      <c r="H897" t="n">
        <v>0</v>
      </c>
      <c r="I897" t="n">
        <v>0</v>
      </c>
      <c r="J897" t="n">
        <v>0</v>
      </c>
      <c r="K897" t="n">
        <v>0</v>
      </c>
      <c r="L897" t="n">
        <v>0</v>
      </c>
      <c r="M897" t="n">
        <v>0</v>
      </c>
      <c r="N897" t="n">
        <v>0</v>
      </c>
      <c r="O897" t="n">
        <v>0</v>
      </c>
      <c r="P897" t="n">
        <v>0</v>
      </c>
      <c r="Q897" t="n">
        <v>0</v>
      </c>
      <c r="R897" s="2" t="inlineStr"/>
    </row>
    <row r="898" ht="15" customHeight="1">
      <c r="A898" t="inlineStr">
        <is>
          <t>A 5894-2023</t>
        </is>
      </c>
      <c r="B898" s="1" t="n">
        <v>44963.65148148148</v>
      </c>
      <c r="C898" s="1" t="n">
        <v>46017</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52337-2023</t>
        </is>
      </c>
      <c r="B899" s="1" t="n">
        <v>45224.66359953704</v>
      </c>
      <c r="C899" s="1" t="n">
        <v>46017</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12843-2023</t>
        </is>
      </c>
      <c r="B900" s="1" t="n">
        <v>45001.48423611111</v>
      </c>
      <c r="C900" s="1" t="n">
        <v>46017</v>
      </c>
      <c r="D900" t="inlineStr">
        <is>
          <t>SKÅNE LÄN</t>
        </is>
      </c>
      <c r="E900" t="inlineStr">
        <is>
          <t>HÄSSLEHOLM</t>
        </is>
      </c>
      <c r="G900" t="n">
        <v>3.9</v>
      </c>
      <c r="H900" t="n">
        <v>0</v>
      </c>
      <c r="I900" t="n">
        <v>0</v>
      </c>
      <c r="J900" t="n">
        <v>0</v>
      </c>
      <c r="K900" t="n">
        <v>0</v>
      </c>
      <c r="L900" t="n">
        <v>0</v>
      </c>
      <c r="M900" t="n">
        <v>0</v>
      </c>
      <c r="N900" t="n">
        <v>0</v>
      </c>
      <c r="O900" t="n">
        <v>0</v>
      </c>
      <c r="P900" t="n">
        <v>0</v>
      </c>
      <c r="Q900" t="n">
        <v>0</v>
      </c>
      <c r="R900" s="2" t="inlineStr"/>
    </row>
    <row r="901" ht="15" customHeight="1">
      <c r="A901" t="inlineStr">
        <is>
          <t>A 26397-2023</t>
        </is>
      </c>
      <c r="B901" s="1" t="n">
        <v>45087</v>
      </c>
      <c r="C901" s="1" t="n">
        <v>46017</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27175-2024</t>
        </is>
      </c>
      <c r="B902" s="1" t="n">
        <v>45471.57111111111</v>
      </c>
      <c r="C902" s="1" t="n">
        <v>46017</v>
      </c>
      <c r="D902" t="inlineStr">
        <is>
          <t>SKÅNE LÄN</t>
        </is>
      </c>
      <c r="E902" t="inlineStr">
        <is>
          <t>HÄSSLEHOLM</t>
        </is>
      </c>
      <c r="G902" t="n">
        <v>1</v>
      </c>
      <c r="H902" t="n">
        <v>0</v>
      </c>
      <c r="I902" t="n">
        <v>0</v>
      </c>
      <c r="J902" t="n">
        <v>0</v>
      </c>
      <c r="K902" t="n">
        <v>0</v>
      </c>
      <c r="L902" t="n">
        <v>0</v>
      </c>
      <c r="M902" t="n">
        <v>0</v>
      </c>
      <c r="N902" t="n">
        <v>0</v>
      </c>
      <c r="O902" t="n">
        <v>0</v>
      </c>
      <c r="P902" t="n">
        <v>0</v>
      </c>
      <c r="Q902" t="n">
        <v>0</v>
      </c>
      <c r="R902" s="2" t="inlineStr"/>
    </row>
    <row r="903" ht="15" customHeight="1">
      <c r="A903" t="inlineStr">
        <is>
          <t>A 10944-2024</t>
        </is>
      </c>
      <c r="B903" s="1" t="n">
        <v>45370</v>
      </c>
      <c r="C903" s="1" t="n">
        <v>46017</v>
      </c>
      <c r="D903" t="inlineStr">
        <is>
          <t>SKÅNE LÄN</t>
        </is>
      </c>
      <c r="E903" t="inlineStr">
        <is>
          <t>HÄSSLEHOLM</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1197-2024</t>
        </is>
      </c>
      <c r="B904" s="1" t="n">
        <v>45302</v>
      </c>
      <c r="C904" s="1" t="n">
        <v>46017</v>
      </c>
      <c r="D904" t="inlineStr">
        <is>
          <t>SKÅNE LÄN</t>
        </is>
      </c>
      <c r="E904" t="inlineStr">
        <is>
          <t>HÄSSLEHOLM</t>
        </is>
      </c>
      <c r="G904" t="n">
        <v>1.7</v>
      </c>
      <c r="H904" t="n">
        <v>0</v>
      </c>
      <c r="I904" t="n">
        <v>0</v>
      </c>
      <c r="J904" t="n">
        <v>0</v>
      </c>
      <c r="K904" t="n">
        <v>0</v>
      </c>
      <c r="L904" t="n">
        <v>0</v>
      </c>
      <c r="M904" t="n">
        <v>0</v>
      </c>
      <c r="N904" t="n">
        <v>0</v>
      </c>
      <c r="O904" t="n">
        <v>0</v>
      </c>
      <c r="P904" t="n">
        <v>0</v>
      </c>
      <c r="Q904" t="n">
        <v>0</v>
      </c>
      <c r="R904" s="2" t="inlineStr"/>
    </row>
    <row r="905" ht="15" customHeight="1">
      <c r="A905" t="inlineStr">
        <is>
          <t>A 13309-2025</t>
        </is>
      </c>
      <c r="B905" s="1" t="n">
        <v>45735.58512731481</v>
      </c>
      <c r="C905" s="1" t="n">
        <v>46017</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5980-2024</t>
        </is>
      </c>
      <c r="B906" s="1" t="n">
        <v>45335</v>
      </c>
      <c r="C906" s="1" t="n">
        <v>46017</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58632-2025</t>
        </is>
      </c>
      <c r="B907" s="1" t="n">
        <v>45986</v>
      </c>
      <c r="C907" s="1" t="n">
        <v>46017</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48097-2024</t>
        </is>
      </c>
      <c r="B908" s="1" t="n">
        <v>45589.61413194444</v>
      </c>
      <c r="C908" s="1" t="n">
        <v>46017</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53077-2022</t>
        </is>
      </c>
      <c r="B909" s="1" t="n">
        <v>44873</v>
      </c>
      <c r="C909" s="1" t="n">
        <v>46017</v>
      </c>
      <c r="D909" t="inlineStr">
        <is>
          <t>SKÅNE LÄN</t>
        </is>
      </c>
      <c r="E909" t="inlineStr">
        <is>
          <t>HÄSSLEHOLM</t>
        </is>
      </c>
      <c r="G909" t="n">
        <v>3</v>
      </c>
      <c r="H909" t="n">
        <v>0</v>
      </c>
      <c r="I909" t="n">
        <v>0</v>
      </c>
      <c r="J909" t="n">
        <v>0</v>
      </c>
      <c r="K909" t="n">
        <v>0</v>
      </c>
      <c r="L909" t="n">
        <v>0</v>
      </c>
      <c r="M909" t="n">
        <v>0</v>
      </c>
      <c r="N909" t="n">
        <v>0</v>
      </c>
      <c r="O909" t="n">
        <v>0</v>
      </c>
      <c r="P909" t="n">
        <v>0</v>
      </c>
      <c r="Q909" t="n">
        <v>0</v>
      </c>
      <c r="R909" s="2" t="inlineStr"/>
    </row>
    <row r="910" ht="15" customHeight="1">
      <c r="A910" t="inlineStr">
        <is>
          <t>A 24904-2025</t>
        </is>
      </c>
      <c r="B910" s="1" t="n">
        <v>45799</v>
      </c>
      <c r="C910" s="1" t="n">
        <v>46017</v>
      </c>
      <c r="D910" t="inlineStr">
        <is>
          <t>SKÅNE LÄN</t>
        </is>
      </c>
      <c r="E910" t="inlineStr">
        <is>
          <t>HÄSSLEHOLM</t>
        </is>
      </c>
      <c r="G910" t="n">
        <v>2.2</v>
      </c>
      <c r="H910" t="n">
        <v>0</v>
      </c>
      <c r="I910" t="n">
        <v>0</v>
      </c>
      <c r="J910" t="n">
        <v>0</v>
      </c>
      <c r="K910" t="n">
        <v>0</v>
      </c>
      <c r="L910" t="n">
        <v>0</v>
      </c>
      <c r="M910" t="n">
        <v>0</v>
      </c>
      <c r="N910" t="n">
        <v>0</v>
      </c>
      <c r="O910" t="n">
        <v>0</v>
      </c>
      <c r="P910" t="n">
        <v>0</v>
      </c>
      <c r="Q910" t="n">
        <v>0</v>
      </c>
      <c r="R910" s="2" t="inlineStr"/>
    </row>
    <row r="911" ht="15" customHeight="1">
      <c r="A911" t="inlineStr">
        <is>
          <t>A 50676-2025</t>
        </is>
      </c>
      <c r="B911" s="1" t="n">
        <v>45945</v>
      </c>
      <c r="C911" s="1" t="n">
        <v>46017</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42372-2024</t>
        </is>
      </c>
      <c r="B912" s="1" t="n">
        <v>45564.5127199074</v>
      </c>
      <c r="C912" s="1" t="n">
        <v>46017</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50677-2025</t>
        </is>
      </c>
      <c r="B913" s="1" t="n">
        <v>45945</v>
      </c>
      <c r="C913" s="1" t="n">
        <v>46017</v>
      </c>
      <c r="D913" t="inlineStr">
        <is>
          <t>SKÅNE LÄN</t>
        </is>
      </c>
      <c r="E913" t="inlineStr">
        <is>
          <t>HÄSSLEHOLM</t>
        </is>
      </c>
      <c r="G913" t="n">
        <v>2.3</v>
      </c>
      <c r="H913" t="n">
        <v>0</v>
      </c>
      <c r="I913" t="n">
        <v>0</v>
      </c>
      <c r="J913" t="n">
        <v>0</v>
      </c>
      <c r="K913" t="n">
        <v>0</v>
      </c>
      <c r="L913" t="n">
        <v>0</v>
      </c>
      <c r="M913" t="n">
        <v>0</v>
      </c>
      <c r="N913" t="n">
        <v>0</v>
      </c>
      <c r="O913" t="n">
        <v>0</v>
      </c>
      <c r="P913" t="n">
        <v>0</v>
      </c>
      <c r="Q913" t="n">
        <v>0</v>
      </c>
      <c r="R913" s="2" t="inlineStr"/>
    </row>
    <row r="914" ht="15" customHeight="1">
      <c r="A914" t="inlineStr">
        <is>
          <t>A 58933-2025</t>
        </is>
      </c>
      <c r="B914" s="1" t="n">
        <v>45987.56107638889</v>
      </c>
      <c r="C914" s="1" t="n">
        <v>46017</v>
      </c>
      <c r="D914" t="inlineStr">
        <is>
          <t>SKÅNE LÄN</t>
        </is>
      </c>
      <c r="E914" t="inlineStr">
        <is>
          <t>HÄSSLEHOLM</t>
        </is>
      </c>
      <c r="G914" t="n">
        <v>2.3</v>
      </c>
      <c r="H914" t="n">
        <v>0</v>
      </c>
      <c r="I914" t="n">
        <v>0</v>
      </c>
      <c r="J914" t="n">
        <v>0</v>
      </c>
      <c r="K914" t="n">
        <v>0</v>
      </c>
      <c r="L914" t="n">
        <v>0</v>
      </c>
      <c r="M914" t="n">
        <v>0</v>
      </c>
      <c r="N914" t="n">
        <v>0</v>
      </c>
      <c r="O914" t="n">
        <v>0</v>
      </c>
      <c r="P914" t="n">
        <v>0</v>
      </c>
      <c r="Q914" t="n">
        <v>0</v>
      </c>
      <c r="R914" s="2" t="inlineStr"/>
    </row>
    <row r="915" ht="15" customHeight="1">
      <c r="A915" t="inlineStr">
        <is>
          <t>A 50834-2025</t>
        </is>
      </c>
      <c r="B915" s="1" t="n">
        <v>45946.55746527778</v>
      </c>
      <c r="C915" s="1" t="n">
        <v>46017</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17699-2024</t>
        </is>
      </c>
      <c r="B916" s="1" t="n">
        <v>45418.46094907408</v>
      </c>
      <c r="C916" s="1" t="n">
        <v>46017</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17702-2024</t>
        </is>
      </c>
      <c r="B917" s="1" t="n">
        <v>45418.46534722222</v>
      </c>
      <c r="C917" s="1" t="n">
        <v>46017</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19020-2024</t>
        </is>
      </c>
      <c r="B918" s="1" t="n">
        <v>45427.66167824074</v>
      </c>
      <c r="C918" s="1" t="n">
        <v>46017</v>
      </c>
      <c r="D918" t="inlineStr">
        <is>
          <t>SKÅNE LÄN</t>
        </is>
      </c>
      <c r="E918" t="inlineStr">
        <is>
          <t>HÄSSLEHOLM</t>
        </is>
      </c>
      <c r="G918" t="n">
        <v>2.3</v>
      </c>
      <c r="H918" t="n">
        <v>0</v>
      </c>
      <c r="I918" t="n">
        <v>0</v>
      </c>
      <c r="J918" t="n">
        <v>0</v>
      </c>
      <c r="K918" t="n">
        <v>0</v>
      </c>
      <c r="L918" t="n">
        <v>0</v>
      </c>
      <c r="M918" t="n">
        <v>0</v>
      </c>
      <c r="N918" t="n">
        <v>0</v>
      </c>
      <c r="O918" t="n">
        <v>0</v>
      </c>
      <c r="P918" t="n">
        <v>0</v>
      </c>
      <c r="Q918" t="n">
        <v>0</v>
      </c>
      <c r="R918" s="2" t="inlineStr"/>
    </row>
    <row r="919" ht="15" customHeight="1">
      <c r="A919" t="inlineStr">
        <is>
          <t>A 52912-2022</t>
        </is>
      </c>
      <c r="B919" s="1" t="n">
        <v>44872</v>
      </c>
      <c r="C919" s="1" t="n">
        <v>46017</v>
      </c>
      <c r="D919" t="inlineStr">
        <is>
          <t>SKÅNE LÄN</t>
        </is>
      </c>
      <c r="E919" t="inlineStr">
        <is>
          <t>HÄSSLEHOLM</t>
        </is>
      </c>
      <c r="G919" t="n">
        <v>4.7</v>
      </c>
      <c r="H919" t="n">
        <v>0</v>
      </c>
      <c r="I919" t="n">
        <v>0</v>
      </c>
      <c r="J919" t="n">
        <v>0</v>
      </c>
      <c r="K919" t="n">
        <v>0</v>
      </c>
      <c r="L919" t="n">
        <v>0</v>
      </c>
      <c r="M919" t="n">
        <v>0</v>
      </c>
      <c r="N919" t="n">
        <v>0</v>
      </c>
      <c r="O919" t="n">
        <v>0</v>
      </c>
      <c r="P919" t="n">
        <v>0</v>
      </c>
      <c r="Q919" t="n">
        <v>0</v>
      </c>
      <c r="R919" s="2" t="inlineStr"/>
    </row>
    <row r="920" ht="15" customHeight="1">
      <c r="A920" t="inlineStr">
        <is>
          <t>A 24640-2023</t>
        </is>
      </c>
      <c r="B920" s="1" t="n">
        <v>45084.43181712963</v>
      </c>
      <c r="C920" s="1" t="n">
        <v>46017</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20566-2023</t>
        </is>
      </c>
      <c r="B921" s="1" t="n">
        <v>45057</v>
      </c>
      <c r="C921" s="1" t="n">
        <v>46017</v>
      </c>
      <c r="D921" t="inlineStr">
        <is>
          <t>SKÅNE LÄN</t>
        </is>
      </c>
      <c r="E921" t="inlineStr">
        <is>
          <t>HÄSSLEHOLM</t>
        </is>
      </c>
      <c r="G921" t="n">
        <v>5.2</v>
      </c>
      <c r="H921" t="n">
        <v>0</v>
      </c>
      <c r="I921" t="n">
        <v>0</v>
      </c>
      <c r="J921" t="n">
        <v>0</v>
      </c>
      <c r="K921" t="n">
        <v>0</v>
      </c>
      <c r="L921" t="n">
        <v>0</v>
      </c>
      <c r="M921" t="n">
        <v>0</v>
      </c>
      <c r="N921" t="n">
        <v>0</v>
      </c>
      <c r="O921" t="n">
        <v>0</v>
      </c>
      <c r="P921" t="n">
        <v>0</v>
      </c>
      <c r="Q921" t="n">
        <v>0</v>
      </c>
      <c r="R921" s="2" t="inlineStr"/>
    </row>
    <row r="922" ht="15" customHeight="1">
      <c r="A922" t="inlineStr">
        <is>
          <t>A 22535-2024</t>
        </is>
      </c>
      <c r="B922" s="1" t="n">
        <v>45447</v>
      </c>
      <c r="C922" s="1" t="n">
        <v>46017</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50839-2025</t>
        </is>
      </c>
      <c r="B923" s="1" t="n">
        <v>45946</v>
      </c>
      <c r="C923" s="1" t="n">
        <v>46017</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30007-2023</t>
        </is>
      </c>
      <c r="B924" s="1" t="n">
        <v>45109.80349537037</v>
      </c>
      <c r="C924" s="1" t="n">
        <v>46017</v>
      </c>
      <c r="D924" t="inlineStr">
        <is>
          <t>SKÅNE LÄN</t>
        </is>
      </c>
      <c r="E924" t="inlineStr">
        <is>
          <t>HÄSSLEHOLM</t>
        </is>
      </c>
      <c r="G924" t="n">
        <v>2.2</v>
      </c>
      <c r="H924" t="n">
        <v>0</v>
      </c>
      <c r="I924" t="n">
        <v>0</v>
      </c>
      <c r="J924" t="n">
        <v>0</v>
      </c>
      <c r="K924" t="n">
        <v>0</v>
      </c>
      <c r="L924" t="n">
        <v>0</v>
      </c>
      <c r="M924" t="n">
        <v>0</v>
      </c>
      <c r="N924" t="n">
        <v>0</v>
      </c>
      <c r="O924" t="n">
        <v>0</v>
      </c>
      <c r="P924" t="n">
        <v>0</v>
      </c>
      <c r="Q924" t="n">
        <v>0</v>
      </c>
      <c r="R924" s="2" t="inlineStr"/>
    </row>
    <row r="925" ht="15" customHeight="1">
      <c r="A925" t="inlineStr">
        <is>
          <t>A 32967-2023</t>
        </is>
      </c>
      <c r="B925" s="1" t="n">
        <v>45125</v>
      </c>
      <c r="C925" s="1" t="n">
        <v>46017</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32968-2023</t>
        </is>
      </c>
      <c r="B926" s="1" t="n">
        <v>45125</v>
      </c>
      <c r="C926" s="1" t="n">
        <v>46017</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42231-2022</t>
        </is>
      </c>
      <c r="B927" s="1" t="n">
        <v>44830.77003472222</v>
      </c>
      <c r="C927" s="1" t="n">
        <v>46017</v>
      </c>
      <c r="D927" t="inlineStr">
        <is>
          <t>SKÅNE LÄN</t>
        </is>
      </c>
      <c r="E927" t="inlineStr">
        <is>
          <t>HÄSSLEHOLM</t>
        </is>
      </c>
      <c r="G927" t="n">
        <v>2.7</v>
      </c>
      <c r="H927" t="n">
        <v>0</v>
      </c>
      <c r="I927" t="n">
        <v>0</v>
      </c>
      <c r="J927" t="n">
        <v>0</v>
      </c>
      <c r="K927" t="n">
        <v>0</v>
      </c>
      <c r="L927" t="n">
        <v>0</v>
      </c>
      <c r="M927" t="n">
        <v>0</v>
      </c>
      <c r="N927" t="n">
        <v>0</v>
      </c>
      <c r="O927" t="n">
        <v>0</v>
      </c>
      <c r="P927" t="n">
        <v>0</v>
      </c>
      <c r="Q927" t="n">
        <v>0</v>
      </c>
      <c r="R927" s="2" t="inlineStr"/>
    </row>
    <row r="928" ht="15" customHeight="1">
      <c r="A928" t="inlineStr">
        <is>
          <t>A 1289-2024</t>
        </is>
      </c>
      <c r="B928" s="1" t="n">
        <v>45303.32234953704</v>
      </c>
      <c r="C928" s="1" t="n">
        <v>46017</v>
      </c>
      <c r="D928" t="inlineStr">
        <is>
          <t>SKÅNE LÄN</t>
        </is>
      </c>
      <c r="E928" t="inlineStr">
        <is>
          <t>HÄSSLEHOLM</t>
        </is>
      </c>
      <c r="G928" t="n">
        <v>4.6</v>
      </c>
      <c r="H928" t="n">
        <v>0</v>
      </c>
      <c r="I928" t="n">
        <v>0</v>
      </c>
      <c r="J928" t="n">
        <v>0</v>
      </c>
      <c r="K928" t="n">
        <v>0</v>
      </c>
      <c r="L928" t="n">
        <v>0</v>
      </c>
      <c r="M928" t="n">
        <v>0</v>
      </c>
      <c r="N928" t="n">
        <v>0</v>
      </c>
      <c r="O928" t="n">
        <v>0</v>
      </c>
      <c r="P928" t="n">
        <v>0</v>
      </c>
      <c r="Q928" t="n">
        <v>0</v>
      </c>
      <c r="R928" s="2" t="inlineStr"/>
    </row>
    <row r="929" ht="15" customHeight="1">
      <c r="A929" t="inlineStr">
        <is>
          <t>A 50678-2025</t>
        </is>
      </c>
      <c r="B929" s="1" t="n">
        <v>45945</v>
      </c>
      <c r="C929" s="1" t="n">
        <v>46017</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50872-2025</t>
        </is>
      </c>
      <c r="B930" s="1" t="n">
        <v>45946</v>
      </c>
      <c r="C930" s="1" t="n">
        <v>46017</v>
      </c>
      <c r="D930" t="inlineStr">
        <is>
          <t>SKÅNE LÄN</t>
        </is>
      </c>
      <c r="E930" t="inlineStr">
        <is>
          <t>HÄSSLEHOLM</t>
        </is>
      </c>
      <c r="G930" t="n">
        <v>0.7</v>
      </c>
      <c r="H930" t="n">
        <v>0</v>
      </c>
      <c r="I930" t="n">
        <v>0</v>
      </c>
      <c r="J930" t="n">
        <v>0</v>
      </c>
      <c r="K930" t="n">
        <v>0</v>
      </c>
      <c r="L930" t="n">
        <v>0</v>
      </c>
      <c r="M930" t="n">
        <v>0</v>
      </c>
      <c r="N930" t="n">
        <v>0</v>
      </c>
      <c r="O930" t="n">
        <v>0</v>
      </c>
      <c r="P930" t="n">
        <v>0</v>
      </c>
      <c r="Q930" t="n">
        <v>0</v>
      </c>
      <c r="R930" s="2" t="inlineStr"/>
    </row>
    <row r="931" ht="15" customHeight="1">
      <c r="A931" t="inlineStr">
        <is>
          <t>A 1886-2025</t>
        </is>
      </c>
      <c r="B931" s="1" t="n">
        <v>45671</v>
      </c>
      <c r="C931" s="1" t="n">
        <v>46017</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15536-2025</t>
        </is>
      </c>
      <c r="B932" s="1" t="n">
        <v>45747</v>
      </c>
      <c r="C932" s="1" t="n">
        <v>46017</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50829-2025</t>
        </is>
      </c>
      <c r="B933" s="1" t="n">
        <v>45946.55309027778</v>
      </c>
      <c r="C933" s="1" t="n">
        <v>46017</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54982-2024</t>
        </is>
      </c>
      <c r="B934" s="1" t="n">
        <v>45620.7580787037</v>
      </c>
      <c r="C934" s="1" t="n">
        <v>46017</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36795-2023</t>
        </is>
      </c>
      <c r="B935" s="1" t="n">
        <v>45154.38245370371</v>
      </c>
      <c r="C935" s="1" t="n">
        <v>46017</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49824-2024</t>
        </is>
      </c>
      <c r="B936" s="1" t="n">
        <v>45597</v>
      </c>
      <c r="C936" s="1" t="n">
        <v>46017</v>
      </c>
      <c r="D936" t="inlineStr">
        <is>
          <t>SKÅNE LÄN</t>
        </is>
      </c>
      <c r="E936" t="inlineStr">
        <is>
          <t>HÄSSLEHOLM</t>
        </is>
      </c>
      <c r="G936" t="n">
        <v>1.3</v>
      </c>
      <c r="H936" t="n">
        <v>0</v>
      </c>
      <c r="I936" t="n">
        <v>0</v>
      </c>
      <c r="J936" t="n">
        <v>0</v>
      </c>
      <c r="K936" t="n">
        <v>0</v>
      </c>
      <c r="L936" t="n">
        <v>0</v>
      </c>
      <c r="M936" t="n">
        <v>0</v>
      </c>
      <c r="N936" t="n">
        <v>0</v>
      </c>
      <c r="O936" t="n">
        <v>0</v>
      </c>
      <c r="P936" t="n">
        <v>0</v>
      </c>
      <c r="Q936" t="n">
        <v>0</v>
      </c>
      <c r="R936" s="2" t="inlineStr"/>
    </row>
    <row r="937" ht="15" customHeight="1">
      <c r="A937" t="inlineStr">
        <is>
          <t>A 15698-2023</t>
        </is>
      </c>
      <c r="B937" s="1" t="n">
        <v>45021</v>
      </c>
      <c r="C937" s="1" t="n">
        <v>46017</v>
      </c>
      <c r="D937" t="inlineStr">
        <is>
          <t>SKÅNE LÄN</t>
        </is>
      </c>
      <c r="E937" t="inlineStr">
        <is>
          <t>HÄSSLEHOLM</t>
        </is>
      </c>
      <c r="F937" t="inlineStr">
        <is>
          <t>Kommuner</t>
        </is>
      </c>
      <c r="G937" t="n">
        <v>5.5</v>
      </c>
      <c r="H937" t="n">
        <v>0</v>
      </c>
      <c r="I937" t="n">
        <v>0</v>
      </c>
      <c r="J937" t="n">
        <v>0</v>
      </c>
      <c r="K937" t="n">
        <v>0</v>
      </c>
      <c r="L937" t="n">
        <v>0</v>
      </c>
      <c r="M937" t="n">
        <v>0</v>
      </c>
      <c r="N937" t="n">
        <v>0</v>
      </c>
      <c r="O937" t="n">
        <v>0</v>
      </c>
      <c r="P937" t="n">
        <v>0</v>
      </c>
      <c r="Q937" t="n">
        <v>0</v>
      </c>
      <c r="R937" s="2" t="inlineStr"/>
    </row>
    <row r="938" ht="15" customHeight="1">
      <c r="A938" t="inlineStr">
        <is>
          <t>A 13084-2025</t>
        </is>
      </c>
      <c r="B938" s="1" t="n">
        <v>45734</v>
      </c>
      <c r="C938" s="1" t="n">
        <v>46017</v>
      </c>
      <c r="D938" t="inlineStr">
        <is>
          <t>SKÅNE LÄN</t>
        </is>
      </c>
      <c r="E938" t="inlineStr">
        <is>
          <t>HÄSSLEHOLM</t>
        </is>
      </c>
      <c r="G938" t="n">
        <v>2.3</v>
      </c>
      <c r="H938" t="n">
        <v>0</v>
      </c>
      <c r="I938" t="n">
        <v>0</v>
      </c>
      <c r="J938" t="n">
        <v>0</v>
      </c>
      <c r="K938" t="n">
        <v>0</v>
      </c>
      <c r="L938" t="n">
        <v>0</v>
      </c>
      <c r="M938" t="n">
        <v>0</v>
      </c>
      <c r="N938" t="n">
        <v>0</v>
      </c>
      <c r="O938" t="n">
        <v>0</v>
      </c>
      <c r="P938" t="n">
        <v>0</v>
      </c>
      <c r="Q938" t="n">
        <v>0</v>
      </c>
      <c r="R938" s="2" t="inlineStr"/>
    </row>
    <row r="939" ht="15" customHeight="1">
      <c r="A939" t="inlineStr">
        <is>
          <t>A 12584-2025</t>
        </is>
      </c>
      <c r="B939" s="1" t="n">
        <v>45732</v>
      </c>
      <c r="C939" s="1" t="n">
        <v>46017</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51024-2025</t>
        </is>
      </c>
      <c r="B940" s="1" t="n">
        <v>45947.395</v>
      </c>
      <c r="C940" s="1" t="n">
        <v>46017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31998-2023</t>
        </is>
      </c>
      <c r="B941" s="1" t="n">
        <v>45119</v>
      </c>
      <c r="C941" s="1" t="n">
        <v>46017</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4140-2023</t>
        </is>
      </c>
      <c r="B942" s="1" t="n">
        <v>44953</v>
      </c>
      <c r="C942" s="1" t="n">
        <v>46017</v>
      </c>
      <c r="D942" t="inlineStr">
        <is>
          <t>SKÅNE LÄN</t>
        </is>
      </c>
      <c r="E942" t="inlineStr">
        <is>
          <t>HÄSSLEHOLM</t>
        </is>
      </c>
      <c r="G942" t="n">
        <v>10.6</v>
      </c>
      <c r="H942" t="n">
        <v>0</v>
      </c>
      <c r="I942" t="n">
        <v>0</v>
      </c>
      <c r="J942" t="n">
        <v>0</v>
      </c>
      <c r="K942" t="n">
        <v>0</v>
      </c>
      <c r="L942" t="n">
        <v>0</v>
      </c>
      <c r="M942" t="n">
        <v>0</v>
      </c>
      <c r="N942" t="n">
        <v>0</v>
      </c>
      <c r="O942" t="n">
        <v>0</v>
      </c>
      <c r="P942" t="n">
        <v>0</v>
      </c>
      <c r="Q942" t="n">
        <v>0</v>
      </c>
      <c r="R942" s="2" t="inlineStr"/>
    </row>
    <row r="943" ht="15" customHeight="1">
      <c r="A943" t="inlineStr">
        <is>
          <t>A 25077-2024</t>
        </is>
      </c>
      <c r="B943" s="1" t="n">
        <v>45462</v>
      </c>
      <c r="C943" s="1" t="n">
        <v>46017</v>
      </c>
      <c r="D943" t="inlineStr">
        <is>
          <t>SKÅNE LÄN</t>
        </is>
      </c>
      <c r="E943" t="inlineStr">
        <is>
          <t>HÄSSLEHOLM</t>
        </is>
      </c>
      <c r="G943" t="n">
        <v>1.6</v>
      </c>
      <c r="H943" t="n">
        <v>0</v>
      </c>
      <c r="I943" t="n">
        <v>0</v>
      </c>
      <c r="J943" t="n">
        <v>0</v>
      </c>
      <c r="K943" t="n">
        <v>0</v>
      </c>
      <c r="L943" t="n">
        <v>0</v>
      </c>
      <c r="M943" t="n">
        <v>0</v>
      </c>
      <c r="N943" t="n">
        <v>0</v>
      </c>
      <c r="O943" t="n">
        <v>0</v>
      </c>
      <c r="P943" t="n">
        <v>0</v>
      </c>
      <c r="Q943" t="n">
        <v>0</v>
      </c>
      <c r="R943" s="2" t="inlineStr"/>
    </row>
    <row r="944" ht="15" customHeight="1">
      <c r="A944" t="inlineStr">
        <is>
          <t>A 46942-2024</t>
        </is>
      </c>
      <c r="B944" s="1" t="n">
        <v>45585.6684375</v>
      </c>
      <c r="C944" s="1" t="n">
        <v>46017</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51097-2025</t>
        </is>
      </c>
      <c r="B945" s="1" t="n">
        <v>45947.48018518519</v>
      </c>
      <c r="C945" s="1" t="n">
        <v>46017</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33257-2024</t>
        </is>
      </c>
      <c r="B946" s="1" t="n">
        <v>45518</v>
      </c>
      <c r="C946" s="1" t="n">
        <v>46017</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27991-2024</t>
        </is>
      </c>
      <c r="B947" s="1" t="n">
        <v>45476</v>
      </c>
      <c r="C947" s="1" t="n">
        <v>46017</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6612-2024</t>
        </is>
      </c>
      <c r="B948" s="1" t="n">
        <v>45341.58859953703</v>
      </c>
      <c r="C948" s="1" t="n">
        <v>46017</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17492-2025</t>
        </is>
      </c>
      <c r="B949" s="1" t="n">
        <v>45747</v>
      </c>
      <c r="C949" s="1" t="n">
        <v>46017</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5887-2025</t>
        </is>
      </c>
      <c r="B950" s="1" t="n">
        <v>45695.37925925926</v>
      </c>
      <c r="C950" s="1" t="n">
        <v>46017</v>
      </c>
      <c r="D950" t="inlineStr">
        <is>
          <t>SKÅNE LÄN</t>
        </is>
      </c>
      <c r="E950" t="inlineStr">
        <is>
          <t>HÄSSLEHOLM</t>
        </is>
      </c>
      <c r="G950" t="n">
        <v>4.8</v>
      </c>
      <c r="H950" t="n">
        <v>0</v>
      </c>
      <c r="I950" t="n">
        <v>0</v>
      </c>
      <c r="J950" t="n">
        <v>0</v>
      </c>
      <c r="K950" t="n">
        <v>0</v>
      </c>
      <c r="L950" t="n">
        <v>0</v>
      </c>
      <c r="M950" t="n">
        <v>0</v>
      </c>
      <c r="N950" t="n">
        <v>0</v>
      </c>
      <c r="O950" t="n">
        <v>0</v>
      </c>
      <c r="P950" t="n">
        <v>0</v>
      </c>
      <c r="Q950" t="n">
        <v>0</v>
      </c>
      <c r="R950" s="2" t="inlineStr"/>
    </row>
    <row r="951" ht="15" customHeight="1">
      <c r="A951" t="inlineStr">
        <is>
          <t>A 8760-2024</t>
        </is>
      </c>
      <c r="B951" s="1" t="n">
        <v>45356.53420138889</v>
      </c>
      <c r="C951" s="1" t="n">
        <v>46017</v>
      </c>
      <c r="D951" t="inlineStr">
        <is>
          <t>SKÅNE LÄN</t>
        </is>
      </c>
      <c r="E951" t="inlineStr">
        <is>
          <t>HÄSSLEHOLM</t>
        </is>
      </c>
      <c r="G951" t="n">
        <v>6.1</v>
      </c>
      <c r="H951" t="n">
        <v>0</v>
      </c>
      <c r="I951" t="n">
        <v>0</v>
      </c>
      <c r="J951" t="n">
        <v>0</v>
      </c>
      <c r="K951" t="n">
        <v>0</v>
      </c>
      <c r="L951" t="n">
        <v>0</v>
      </c>
      <c r="M951" t="n">
        <v>0</v>
      </c>
      <c r="N951" t="n">
        <v>0</v>
      </c>
      <c r="O951" t="n">
        <v>0</v>
      </c>
      <c r="P951" t="n">
        <v>0</v>
      </c>
      <c r="Q951" t="n">
        <v>0</v>
      </c>
      <c r="R951" s="2" t="inlineStr"/>
    </row>
    <row r="952" ht="15" customHeight="1">
      <c r="A952" t="inlineStr">
        <is>
          <t>A 48889-2024</t>
        </is>
      </c>
      <c r="B952" s="1" t="n">
        <v>45594.33754629629</v>
      </c>
      <c r="C952" s="1" t="n">
        <v>46017</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51795-2025</t>
        </is>
      </c>
      <c r="B953" s="1" t="n">
        <v>45951</v>
      </c>
      <c r="C953" s="1" t="n">
        <v>46017</v>
      </c>
      <c r="D953" t="inlineStr">
        <is>
          <t>SKÅNE LÄN</t>
        </is>
      </c>
      <c r="E953" t="inlineStr">
        <is>
          <t>HÄSSLEHOLM</t>
        </is>
      </c>
      <c r="G953" t="n">
        <v>2.4</v>
      </c>
      <c r="H953" t="n">
        <v>0</v>
      </c>
      <c r="I953" t="n">
        <v>0</v>
      </c>
      <c r="J953" t="n">
        <v>0</v>
      </c>
      <c r="K953" t="n">
        <v>0</v>
      </c>
      <c r="L953" t="n">
        <v>0</v>
      </c>
      <c r="M953" t="n">
        <v>0</v>
      </c>
      <c r="N953" t="n">
        <v>0</v>
      </c>
      <c r="O953" t="n">
        <v>0</v>
      </c>
      <c r="P953" t="n">
        <v>0</v>
      </c>
      <c r="Q953" t="n">
        <v>0</v>
      </c>
      <c r="R953" s="2" t="inlineStr"/>
    </row>
    <row r="954" ht="15" customHeight="1">
      <c r="A954" t="inlineStr">
        <is>
          <t>A 51796-2025</t>
        </is>
      </c>
      <c r="B954" s="1" t="n">
        <v>45951.74546296296</v>
      </c>
      <c r="C954" s="1" t="n">
        <v>46017</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2567-2024</t>
        </is>
      </c>
      <c r="B955" s="1" t="n">
        <v>45313.62460648148</v>
      </c>
      <c r="C955" s="1" t="n">
        <v>46017</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51618-2024</t>
        </is>
      </c>
      <c r="B956" s="1" t="n">
        <v>45604.82615740741</v>
      </c>
      <c r="C956" s="1" t="n">
        <v>46017</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10409-2024</t>
        </is>
      </c>
      <c r="B957" s="1" t="n">
        <v>45365.6978125</v>
      </c>
      <c r="C957" s="1" t="n">
        <v>46017</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31995-2023</t>
        </is>
      </c>
      <c r="B958" s="1" t="n">
        <v>45107</v>
      </c>
      <c r="C958" s="1" t="n">
        <v>46017</v>
      </c>
      <c r="D958" t="inlineStr">
        <is>
          <t>SKÅNE LÄN</t>
        </is>
      </c>
      <c r="E958" t="inlineStr">
        <is>
          <t>HÄSSLEHOLM</t>
        </is>
      </c>
      <c r="G958" t="n">
        <v>7.3</v>
      </c>
      <c r="H958" t="n">
        <v>0</v>
      </c>
      <c r="I958" t="n">
        <v>0</v>
      </c>
      <c r="J958" t="n">
        <v>0</v>
      </c>
      <c r="K958" t="n">
        <v>0</v>
      </c>
      <c r="L958" t="n">
        <v>0</v>
      </c>
      <c r="M958" t="n">
        <v>0</v>
      </c>
      <c r="N958" t="n">
        <v>0</v>
      </c>
      <c r="O958" t="n">
        <v>0</v>
      </c>
      <c r="P958" t="n">
        <v>0</v>
      </c>
      <c r="Q958" t="n">
        <v>0</v>
      </c>
      <c r="R958" s="2" t="inlineStr"/>
    </row>
    <row r="959" ht="15" customHeight="1">
      <c r="A959" t="inlineStr">
        <is>
          <t>A 4356-2024</t>
        </is>
      </c>
      <c r="B959" s="1" t="n">
        <v>45325.36195601852</v>
      </c>
      <c r="C959" s="1" t="n">
        <v>46017</v>
      </c>
      <c r="D959" t="inlineStr">
        <is>
          <t>SKÅNE LÄN</t>
        </is>
      </c>
      <c r="E959" t="inlineStr">
        <is>
          <t>HÄSSLEHOLM</t>
        </is>
      </c>
      <c r="G959" t="n">
        <v>3.2</v>
      </c>
      <c r="H959" t="n">
        <v>0</v>
      </c>
      <c r="I959" t="n">
        <v>0</v>
      </c>
      <c r="J959" t="n">
        <v>0</v>
      </c>
      <c r="K959" t="n">
        <v>0</v>
      </c>
      <c r="L959" t="n">
        <v>0</v>
      </c>
      <c r="M959" t="n">
        <v>0</v>
      </c>
      <c r="N959" t="n">
        <v>0</v>
      </c>
      <c r="O959" t="n">
        <v>0</v>
      </c>
      <c r="P959" t="n">
        <v>0</v>
      </c>
      <c r="Q959" t="n">
        <v>0</v>
      </c>
      <c r="R959" s="2" t="inlineStr"/>
    </row>
    <row r="960" ht="15" customHeight="1">
      <c r="A960" t="inlineStr">
        <is>
          <t>A 47840-2023</t>
        </is>
      </c>
      <c r="B960" s="1" t="n">
        <v>45204</v>
      </c>
      <c r="C960" s="1" t="n">
        <v>46017</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34888-2023</t>
        </is>
      </c>
      <c r="B961" s="1" t="n">
        <v>45142.388125</v>
      </c>
      <c r="C961" s="1" t="n">
        <v>46017</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20435-2021</t>
        </is>
      </c>
      <c r="B962" s="1" t="n">
        <v>44315.5793287037</v>
      </c>
      <c r="C962" s="1" t="n">
        <v>46017</v>
      </c>
      <c r="D962" t="inlineStr">
        <is>
          <t>SKÅNE LÄN</t>
        </is>
      </c>
      <c r="E962" t="inlineStr">
        <is>
          <t>HÄSSLEHOLM</t>
        </is>
      </c>
      <c r="G962" t="n">
        <v>4.8</v>
      </c>
      <c r="H962" t="n">
        <v>0</v>
      </c>
      <c r="I962" t="n">
        <v>0</v>
      </c>
      <c r="J962" t="n">
        <v>0</v>
      </c>
      <c r="K962" t="n">
        <v>0</v>
      </c>
      <c r="L962" t="n">
        <v>0</v>
      </c>
      <c r="M962" t="n">
        <v>0</v>
      </c>
      <c r="N962" t="n">
        <v>0</v>
      </c>
      <c r="O962" t="n">
        <v>0</v>
      </c>
      <c r="P962" t="n">
        <v>0</v>
      </c>
      <c r="Q962" t="n">
        <v>0</v>
      </c>
      <c r="R962" s="2" t="inlineStr"/>
    </row>
    <row r="963" ht="15" customHeight="1">
      <c r="A963" t="inlineStr">
        <is>
          <t>A 59722-2025</t>
        </is>
      </c>
      <c r="B963" s="1" t="n">
        <v>45992.5474537037</v>
      </c>
      <c r="C963" s="1" t="n">
        <v>46017</v>
      </c>
      <c r="D963" t="inlineStr">
        <is>
          <t>SKÅNE LÄN</t>
        </is>
      </c>
      <c r="E963" t="inlineStr">
        <is>
          <t>HÄSSLEHOLM</t>
        </is>
      </c>
      <c r="G963" t="n">
        <v>1.6</v>
      </c>
      <c r="H963" t="n">
        <v>0</v>
      </c>
      <c r="I963" t="n">
        <v>0</v>
      </c>
      <c r="J963" t="n">
        <v>0</v>
      </c>
      <c r="K963" t="n">
        <v>0</v>
      </c>
      <c r="L963" t="n">
        <v>0</v>
      </c>
      <c r="M963" t="n">
        <v>0</v>
      </c>
      <c r="N963" t="n">
        <v>0</v>
      </c>
      <c r="O963" t="n">
        <v>0</v>
      </c>
      <c r="P963" t="n">
        <v>0</v>
      </c>
      <c r="Q963" t="n">
        <v>0</v>
      </c>
      <c r="R963" s="2" t="inlineStr"/>
    </row>
    <row r="964" ht="15" customHeight="1">
      <c r="A964" t="inlineStr">
        <is>
          <t>A 51640-2025</t>
        </is>
      </c>
      <c r="B964" s="1" t="n">
        <v>45951.44361111111</v>
      </c>
      <c r="C964" s="1" t="n">
        <v>46017</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51597-2025</t>
        </is>
      </c>
      <c r="B965" s="1" t="n">
        <v>45951.37163194444</v>
      </c>
      <c r="C965" s="1" t="n">
        <v>46017</v>
      </c>
      <c r="D965" t="inlineStr">
        <is>
          <t>SKÅNE LÄN</t>
        </is>
      </c>
      <c r="E965" t="inlineStr">
        <is>
          <t>HÄSSLEHOLM</t>
        </is>
      </c>
      <c r="G965" t="n">
        <v>3.5</v>
      </c>
      <c r="H965" t="n">
        <v>0</v>
      </c>
      <c r="I965" t="n">
        <v>0</v>
      </c>
      <c r="J965" t="n">
        <v>0</v>
      </c>
      <c r="K965" t="n">
        <v>0</v>
      </c>
      <c r="L965" t="n">
        <v>0</v>
      </c>
      <c r="M965" t="n">
        <v>0</v>
      </c>
      <c r="N965" t="n">
        <v>0</v>
      </c>
      <c r="O965" t="n">
        <v>0</v>
      </c>
      <c r="P965" t="n">
        <v>0</v>
      </c>
      <c r="Q965" t="n">
        <v>0</v>
      </c>
      <c r="R965" s="2" t="inlineStr"/>
    </row>
    <row r="966" ht="15" customHeight="1">
      <c r="A966" t="inlineStr">
        <is>
          <t>A 29994-2023</t>
        </is>
      </c>
      <c r="B966" s="1" t="n">
        <v>45109.60038194444</v>
      </c>
      <c r="C966" s="1" t="n">
        <v>46017</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20872-2025</t>
        </is>
      </c>
      <c r="B967" s="1" t="n">
        <v>45777.34688657407</v>
      </c>
      <c r="C967" s="1" t="n">
        <v>46017</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52126-2025</t>
        </is>
      </c>
      <c r="B968" s="1" t="n">
        <v>45952.72109953704</v>
      </c>
      <c r="C968" s="1" t="n">
        <v>46017</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53085-2022</t>
        </is>
      </c>
      <c r="B969" s="1" t="n">
        <v>44873</v>
      </c>
      <c r="C969" s="1" t="n">
        <v>46017</v>
      </c>
      <c r="D969" t="inlineStr">
        <is>
          <t>SKÅNE LÄN</t>
        </is>
      </c>
      <c r="E969" t="inlineStr">
        <is>
          <t>HÄSSLEHOLM</t>
        </is>
      </c>
      <c r="G969" t="n">
        <v>1.9</v>
      </c>
      <c r="H969" t="n">
        <v>0</v>
      </c>
      <c r="I969" t="n">
        <v>0</v>
      </c>
      <c r="J969" t="n">
        <v>0</v>
      </c>
      <c r="K969" t="n">
        <v>0</v>
      </c>
      <c r="L969" t="n">
        <v>0</v>
      </c>
      <c r="M969" t="n">
        <v>0</v>
      </c>
      <c r="N969" t="n">
        <v>0</v>
      </c>
      <c r="O969" t="n">
        <v>0</v>
      </c>
      <c r="P969" t="n">
        <v>0</v>
      </c>
      <c r="Q969" t="n">
        <v>0</v>
      </c>
      <c r="R969" s="2" t="inlineStr"/>
    </row>
    <row r="970" ht="15" customHeight="1">
      <c r="A970" t="inlineStr">
        <is>
          <t>A 16388-2025</t>
        </is>
      </c>
      <c r="B970" s="1" t="n">
        <v>45751.42787037037</v>
      </c>
      <c r="C970" s="1" t="n">
        <v>46017</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16668-2025</t>
        </is>
      </c>
      <c r="B971" s="1" t="n">
        <v>45754.43009259259</v>
      </c>
      <c r="C971" s="1" t="n">
        <v>46017</v>
      </c>
      <c r="D971" t="inlineStr">
        <is>
          <t>SKÅNE LÄN</t>
        </is>
      </c>
      <c r="E971" t="inlineStr">
        <is>
          <t>HÄSSLEHOLM</t>
        </is>
      </c>
      <c r="G971" t="n">
        <v>4</v>
      </c>
      <c r="H971" t="n">
        <v>0</v>
      </c>
      <c r="I971" t="n">
        <v>0</v>
      </c>
      <c r="J971" t="n">
        <v>0</v>
      </c>
      <c r="K971" t="n">
        <v>0</v>
      </c>
      <c r="L971" t="n">
        <v>0</v>
      </c>
      <c r="M971" t="n">
        <v>0</v>
      </c>
      <c r="N971" t="n">
        <v>0</v>
      </c>
      <c r="O971" t="n">
        <v>0</v>
      </c>
      <c r="P971" t="n">
        <v>0</v>
      </c>
      <c r="Q971" t="n">
        <v>0</v>
      </c>
      <c r="R971" s="2" t="inlineStr"/>
    </row>
    <row r="972" ht="15" customHeight="1">
      <c r="A972" t="inlineStr">
        <is>
          <t>A 9709-2023</t>
        </is>
      </c>
      <c r="B972" s="1" t="n">
        <v>44984.48376157408</v>
      </c>
      <c r="C972" s="1" t="n">
        <v>46017</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21091-2025</t>
        </is>
      </c>
      <c r="B973" s="1" t="n">
        <v>45777</v>
      </c>
      <c r="C973" s="1" t="n">
        <v>46017</v>
      </c>
      <c r="D973" t="inlineStr">
        <is>
          <t>SKÅNE LÄN</t>
        </is>
      </c>
      <c r="E973" t="inlineStr">
        <is>
          <t>HÄSSLEHOLM</t>
        </is>
      </c>
      <c r="G973" t="n">
        <v>3.4</v>
      </c>
      <c r="H973" t="n">
        <v>0</v>
      </c>
      <c r="I973" t="n">
        <v>0</v>
      </c>
      <c r="J973" t="n">
        <v>0</v>
      </c>
      <c r="K973" t="n">
        <v>0</v>
      </c>
      <c r="L973" t="n">
        <v>0</v>
      </c>
      <c r="M973" t="n">
        <v>0</v>
      </c>
      <c r="N973" t="n">
        <v>0</v>
      </c>
      <c r="O973" t="n">
        <v>0</v>
      </c>
      <c r="P973" t="n">
        <v>0</v>
      </c>
      <c r="Q973" t="n">
        <v>0</v>
      </c>
      <c r="R973" s="2" t="inlineStr"/>
    </row>
    <row r="974" ht="15" customHeight="1">
      <c r="A974" t="inlineStr">
        <is>
          <t>A 21206-2025</t>
        </is>
      </c>
      <c r="B974" s="1" t="n">
        <v>45779.48318287037</v>
      </c>
      <c r="C974" s="1" t="n">
        <v>46017</v>
      </c>
      <c r="D974" t="inlineStr">
        <is>
          <t>SKÅNE LÄN</t>
        </is>
      </c>
      <c r="E974" t="inlineStr">
        <is>
          <t>HÄSSLEHOLM</t>
        </is>
      </c>
      <c r="G974" t="n">
        <v>2.2</v>
      </c>
      <c r="H974" t="n">
        <v>0</v>
      </c>
      <c r="I974" t="n">
        <v>0</v>
      </c>
      <c r="J974" t="n">
        <v>0</v>
      </c>
      <c r="K974" t="n">
        <v>0</v>
      </c>
      <c r="L974" t="n">
        <v>0</v>
      </c>
      <c r="M974" t="n">
        <v>0</v>
      </c>
      <c r="N974" t="n">
        <v>0</v>
      </c>
      <c r="O974" t="n">
        <v>0</v>
      </c>
      <c r="P974" t="n">
        <v>0</v>
      </c>
      <c r="Q974" t="n">
        <v>0</v>
      </c>
      <c r="R974" s="2" t="inlineStr"/>
    </row>
    <row r="975" ht="15" customHeight="1">
      <c r="A975" t="inlineStr">
        <is>
          <t>A 13646-2024</t>
        </is>
      </c>
      <c r="B975" s="1" t="n">
        <v>45387</v>
      </c>
      <c r="C975" s="1" t="n">
        <v>46017</v>
      </c>
      <c r="D975" t="inlineStr">
        <is>
          <t>SKÅNE LÄN</t>
        </is>
      </c>
      <c r="E975" t="inlineStr">
        <is>
          <t>HÄSSLEHOLM</t>
        </is>
      </c>
      <c r="G975" t="n">
        <v>1.1</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46017</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29845-2024</t>
        </is>
      </c>
      <c r="B977" s="1" t="n">
        <v>45485.6212037037</v>
      </c>
      <c r="C977" s="1" t="n">
        <v>46017</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20006-2025</t>
        </is>
      </c>
      <c r="B978" s="1" t="n">
        <v>45772.05032407407</v>
      </c>
      <c r="C978" s="1" t="n">
        <v>46017</v>
      </c>
      <c r="D978" t="inlineStr">
        <is>
          <t>SKÅNE LÄN</t>
        </is>
      </c>
      <c r="E978" t="inlineStr">
        <is>
          <t>HÄSSLEHOLM</t>
        </is>
      </c>
      <c r="G978" t="n">
        <v>3.9</v>
      </c>
      <c r="H978" t="n">
        <v>0</v>
      </c>
      <c r="I978" t="n">
        <v>0</v>
      </c>
      <c r="J978" t="n">
        <v>0</v>
      </c>
      <c r="K978" t="n">
        <v>0</v>
      </c>
      <c r="L978" t="n">
        <v>0</v>
      </c>
      <c r="M978" t="n">
        <v>0</v>
      </c>
      <c r="N978" t="n">
        <v>0</v>
      </c>
      <c r="O978" t="n">
        <v>0</v>
      </c>
      <c r="P978" t="n">
        <v>0</v>
      </c>
      <c r="Q978" t="n">
        <v>0</v>
      </c>
      <c r="R978" s="2" t="inlineStr"/>
    </row>
    <row r="979" ht="15" customHeight="1">
      <c r="A979" t="inlineStr">
        <is>
          <t>A 61533-2024</t>
        </is>
      </c>
      <c r="B979" s="1" t="n">
        <v>45646</v>
      </c>
      <c r="C979" s="1" t="n">
        <v>46017</v>
      </c>
      <c r="D979" t="inlineStr">
        <is>
          <t>SKÅNE LÄN</t>
        </is>
      </c>
      <c r="E979" t="inlineStr">
        <is>
          <t>HÄSSLEHOLM</t>
        </is>
      </c>
      <c r="G979" t="n">
        <v>4.5</v>
      </c>
      <c r="H979" t="n">
        <v>0</v>
      </c>
      <c r="I979" t="n">
        <v>0</v>
      </c>
      <c r="J979" t="n">
        <v>0</v>
      </c>
      <c r="K979" t="n">
        <v>0</v>
      </c>
      <c r="L979" t="n">
        <v>0</v>
      </c>
      <c r="M979" t="n">
        <v>0</v>
      </c>
      <c r="N979" t="n">
        <v>0</v>
      </c>
      <c r="O979" t="n">
        <v>0</v>
      </c>
      <c r="P979" t="n">
        <v>0</v>
      </c>
      <c r="Q979" t="n">
        <v>0</v>
      </c>
      <c r="R979" s="2" t="inlineStr"/>
    </row>
    <row r="980" ht="15" customHeight="1">
      <c r="A980" t="inlineStr">
        <is>
          <t>A 61537-2024</t>
        </is>
      </c>
      <c r="B980" s="1" t="n">
        <v>45646</v>
      </c>
      <c r="C980" s="1" t="n">
        <v>46017</v>
      </c>
      <c r="D980" t="inlineStr">
        <is>
          <t>SKÅNE LÄN</t>
        </is>
      </c>
      <c r="E980" t="inlineStr">
        <is>
          <t>HÄSSLEHOLM</t>
        </is>
      </c>
      <c r="G980" t="n">
        <v>3.7</v>
      </c>
      <c r="H980" t="n">
        <v>0</v>
      </c>
      <c r="I980" t="n">
        <v>0</v>
      </c>
      <c r="J980" t="n">
        <v>0</v>
      </c>
      <c r="K980" t="n">
        <v>0</v>
      </c>
      <c r="L980" t="n">
        <v>0</v>
      </c>
      <c r="M980" t="n">
        <v>0</v>
      </c>
      <c r="N980" t="n">
        <v>0</v>
      </c>
      <c r="O980" t="n">
        <v>0</v>
      </c>
      <c r="P980" t="n">
        <v>0</v>
      </c>
      <c r="Q980" t="n">
        <v>0</v>
      </c>
      <c r="R980" s="2" t="inlineStr"/>
    </row>
    <row r="981" ht="15" customHeight="1">
      <c r="A981" t="inlineStr">
        <is>
          <t>A 21638-2025</t>
        </is>
      </c>
      <c r="B981" s="1" t="n">
        <v>45783.43087962963</v>
      </c>
      <c r="C981" s="1" t="n">
        <v>46017</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7818-2024</t>
        </is>
      </c>
      <c r="B982" s="1" t="n">
        <v>45349.68872685185</v>
      </c>
      <c r="C982" s="1" t="n">
        <v>46017</v>
      </c>
      <c r="D982" t="inlineStr">
        <is>
          <t>SKÅNE LÄN</t>
        </is>
      </c>
      <c r="E982" t="inlineStr">
        <is>
          <t>HÄSSLEHOLM</t>
        </is>
      </c>
      <c r="G982" t="n">
        <v>2.5</v>
      </c>
      <c r="H982" t="n">
        <v>0</v>
      </c>
      <c r="I982" t="n">
        <v>0</v>
      </c>
      <c r="J982" t="n">
        <v>0</v>
      </c>
      <c r="K982" t="n">
        <v>0</v>
      </c>
      <c r="L982" t="n">
        <v>0</v>
      </c>
      <c r="M982" t="n">
        <v>0</v>
      </c>
      <c r="N982" t="n">
        <v>0</v>
      </c>
      <c r="O982" t="n">
        <v>0</v>
      </c>
      <c r="P982" t="n">
        <v>0</v>
      </c>
      <c r="Q982" t="n">
        <v>0</v>
      </c>
      <c r="R982" s="2" t="inlineStr"/>
    </row>
    <row r="983" ht="15" customHeight="1">
      <c r="A983" t="inlineStr">
        <is>
          <t>A 13087-2023</t>
        </is>
      </c>
      <c r="B983" s="1" t="n">
        <v>45001</v>
      </c>
      <c r="C983" s="1" t="n">
        <v>46017</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52968-2022</t>
        </is>
      </c>
      <c r="B984" s="1" t="n">
        <v>44875</v>
      </c>
      <c r="C984" s="1" t="n">
        <v>46017</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53018-2025</t>
        </is>
      </c>
      <c r="B985" s="1" t="n">
        <v>45957.90064814815</v>
      </c>
      <c r="C985" s="1" t="n">
        <v>46017</v>
      </c>
      <c r="D985" t="inlineStr">
        <is>
          <t>SKÅNE LÄN</t>
        </is>
      </c>
      <c r="E985" t="inlineStr">
        <is>
          <t>HÄSSLEHOLM</t>
        </is>
      </c>
      <c r="G985" t="n">
        <v>2.2</v>
      </c>
      <c r="H985" t="n">
        <v>0</v>
      </c>
      <c r="I985" t="n">
        <v>0</v>
      </c>
      <c r="J985" t="n">
        <v>0</v>
      </c>
      <c r="K985" t="n">
        <v>0</v>
      </c>
      <c r="L985" t="n">
        <v>0</v>
      </c>
      <c r="M985" t="n">
        <v>0</v>
      </c>
      <c r="N985" t="n">
        <v>0</v>
      </c>
      <c r="O985" t="n">
        <v>0</v>
      </c>
      <c r="P985" t="n">
        <v>0</v>
      </c>
      <c r="Q985" t="n">
        <v>0</v>
      </c>
      <c r="R985" s="2" t="inlineStr"/>
    </row>
    <row r="986" ht="15" customHeight="1">
      <c r="A986" t="inlineStr">
        <is>
          <t>A 53056-2025</t>
        </is>
      </c>
      <c r="B986" s="1" t="n">
        <v>45958.36518518518</v>
      </c>
      <c r="C986" s="1" t="n">
        <v>46017</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39111-2023</t>
        </is>
      </c>
      <c r="B987" s="1" t="n">
        <v>45164.87140046297</v>
      </c>
      <c r="C987" s="1" t="n">
        <v>46017</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60851-2024</t>
        </is>
      </c>
      <c r="B988" s="1" t="n">
        <v>45644.66182870371</v>
      </c>
      <c r="C988" s="1" t="n">
        <v>46017</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317-2025</t>
        </is>
      </c>
      <c r="B989" s="1" t="n">
        <v>45660</v>
      </c>
      <c r="C989" s="1" t="n">
        <v>46017</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62167-2022</t>
        </is>
      </c>
      <c r="B990" s="1" t="n">
        <v>44915</v>
      </c>
      <c r="C990" s="1" t="n">
        <v>46017</v>
      </c>
      <c r="D990" t="inlineStr">
        <is>
          <t>SKÅNE LÄN</t>
        </is>
      </c>
      <c r="E990" t="inlineStr">
        <is>
          <t>HÄSSLEHOLM</t>
        </is>
      </c>
      <c r="F990" t="inlineStr">
        <is>
          <t>Kyrkan</t>
        </is>
      </c>
      <c r="G990" t="n">
        <v>3.1</v>
      </c>
      <c r="H990" t="n">
        <v>0</v>
      </c>
      <c r="I990" t="n">
        <v>0</v>
      </c>
      <c r="J990" t="n">
        <v>0</v>
      </c>
      <c r="K990" t="n">
        <v>0</v>
      </c>
      <c r="L990" t="n">
        <v>0</v>
      </c>
      <c r="M990" t="n">
        <v>0</v>
      </c>
      <c r="N990" t="n">
        <v>0</v>
      </c>
      <c r="O990" t="n">
        <v>0</v>
      </c>
      <c r="P990" t="n">
        <v>0</v>
      </c>
      <c r="Q990" t="n">
        <v>0</v>
      </c>
      <c r="R990" s="2" t="inlineStr"/>
    </row>
    <row r="991" ht="15" customHeight="1">
      <c r="A991" t="inlineStr">
        <is>
          <t>A 62234-2022</t>
        </is>
      </c>
      <c r="B991" s="1" t="n">
        <v>44922</v>
      </c>
      <c r="C991" s="1" t="n">
        <v>46017</v>
      </c>
      <c r="D991" t="inlineStr">
        <is>
          <t>SKÅNE LÄN</t>
        </is>
      </c>
      <c r="E991" t="inlineStr">
        <is>
          <t>HÄSSLEHOLM</t>
        </is>
      </c>
      <c r="G991" t="n">
        <v>1.3</v>
      </c>
      <c r="H991" t="n">
        <v>0</v>
      </c>
      <c r="I991" t="n">
        <v>0</v>
      </c>
      <c r="J991" t="n">
        <v>0</v>
      </c>
      <c r="K991" t="n">
        <v>0</v>
      </c>
      <c r="L991" t="n">
        <v>0</v>
      </c>
      <c r="M991" t="n">
        <v>0</v>
      </c>
      <c r="N991" t="n">
        <v>0</v>
      </c>
      <c r="O991" t="n">
        <v>0</v>
      </c>
      <c r="P991" t="n">
        <v>0</v>
      </c>
      <c r="Q991" t="n">
        <v>0</v>
      </c>
      <c r="R991" s="2" t="inlineStr"/>
    </row>
    <row r="992" ht="15" customHeight="1">
      <c r="A992" t="inlineStr">
        <is>
          <t>A 21625-2025</t>
        </is>
      </c>
      <c r="B992" s="1" t="n">
        <v>45783.41252314814</v>
      </c>
      <c r="C992" s="1" t="n">
        <v>46017</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44741-2023</t>
        </is>
      </c>
      <c r="B993" s="1" t="n">
        <v>45190.38804398148</v>
      </c>
      <c r="C993" s="1" t="n">
        <v>46017</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9397-2025</t>
        </is>
      </c>
      <c r="B994" s="1" t="n">
        <v>45715.37361111111</v>
      </c>
      <c r="C994" s="1" t="n">
        <v>46017</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53020-2025</t>
        </is>
      </c>
      <c r="B995" s="1" t="n">
        <v>45957.90707175926</v>
      </c>
      <c r="C995" s="1" t="n">
        <v>46017</v>
      </c>
      <c r="D995" t="inlineStr">
        <is>
          <t>SKÅNE LÄN</t>
        </is>
      </c>
      <c r="E995" t="inlineStr">
        <is>
          <t>HÄSSLEHOLM</t>
        </is>
      </c>
      <c r="G995" t="n">
        <v>1.1</v>
      </c>
      <c r="H995" t="n">
        <v>0</v>
      </c>
      <c r="I995" t="n">
        <v>0</v>
      </c>
      <c r="J995" t="n">
        <v>0</v>
      </c>
      <c r="K995" t="n">
        <v>0</v>
      </c>
      <c r="L995" t="n">
        <v>0</v>
      </c>
      <c r="M995" t="n">
        <v>0</v>
      </c>
      <c r="N995" t="n">
        <v>0</v>
      </c>
      <c r="O995" t="n">
        <v>0</v>
      </c>
      <c r="P995" t="n">
        <v>0</v>
      </c>
      <c r="Q995" t="n">
        <v>0</v>
      </c>
      <c r="R995" s="2" t="inlineStr"/>
    </row>
    <row r="996" ht="15" customHeight="1">
      <c r="A996" t="inlineStr">
        <is>
          <t>A 6583-2021</t>
        </is>
      </c>
      <c r="B996" s="1" t="n">
        <v>44236</v>
      </c>
      <c r="C996" s="1" t="n">
        <v>46017</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60920-2024</t>
        </is>
      </c>
      <c r="B997" s="1" t="n">
        <v>45645.34442129629</v>
      </c>
      <c r="C997" s="1" t="n">
        <v>46017</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1703-2025</t>
        </is>
      </c>
      <c r="B998" s="1" t="n">
        <v>45670.80732638889</v>
      </c>
      <c r="C998" s="1" t="n">
        <v>46017</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22024-2025</t>
        </is>
      </c>
      <c r="B999" s="1" t="n">
        <v>45784.85322916666</v>
      </c>
      <c r="C999" s="1" t="n">
        <v>46017</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29274-2023</t>
        </is>
      </c>
      <c r="B1000" s="1" t="n">
        <v>45105</v>
      </c>
      <c r="C1000" s="1" t="n">
        <v>46017</v>
      </c>
      <c r="D1000" t="inlineStr">
        <is>
          <t>SKÅNE LÄN</t>
        </is>
      </c>
      <c r="E1000" t="inlineStr">
        <is>
          <t>HÄSSLEHOLM</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34890-2023</t>
        </is>
      </c>
      <c r="B1001" s="1" t="n">
        <v>45142.39475694444</v>
      </c>
      <c r="C1001" s="1" t="n">
        <v>46017</v>
      </c>
      <c r="D1001" t="inlineStr">
        <is>
          <t>SKÅNE LÄN</t>
        </is>
      </c>
      <c r="E1001" t="inlineStr">
        <is>
          <t>HÄSSLEHOLM</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3886-2024</t>
        </is>
      </c>
      <c r="B1002" s="1" t="n">
        <v>45322.44539351852</v>
      </c>
      <c r="C1002" s="1" t="n">
        <v>46017</v>
      </c>
      <c r="D1002" t="inlineStr">
        <is>
          <t>SKÅNE LÄN</t>
        </is>
      </c>
      <c r="E1002" t="inlineStr">
        <is>
          <t>HÄSSLEHOLM</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61932-2023</t>
        </is>
      </c>
      <c r="B1003" s="1" t="n">
        <v>45266.53761574074</v>
      </c>
      <c r="C1003" s="1" t="n">
        <v>46017</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13149-2024</t>
        </is>
      </c>
      <c r="B1004" s="1" t="n">
        <v>45386</v>
      </c>
      <c r="C1004" s="1" t="n">
        <v>46017</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53466-2024</t>
        </is>
      </c>
      <c r="B1005" s="1" t="n">
        <v>45614.55304398148</v>
      </c>
      <c r="C1005" s="1" t="n">
        <v>46017</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10230-2025</t>
        </is>
      </c>
      <c r="B1006" s="1" t="n">
        <v>45720</v>
      </c>
      <c r="C1006" s="1" t="n">
        <v>46017</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19735-2023</t>
        </is>
      </c>
      <c r="B1007" s="1" t="n">
        <v>45051.52199074074</v>
      </c>
      <c r="C1007" s="1" t="n">
        <v>46017</v>
      </c>
      <c r="D1007" t="inlineStr">
        <is>
          <t>SKÅNE LÄN</t>
        </is>
      </c>
      <c r="E1007" t="inlineStr">
        <is>
          <t>HÄSSLEHOLM</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48797-2023</t>
        </is>
      </c>
      <c r="B1008" s="1" t="n">
        <v>45209.24986111111</v>
      </c>
      <c r="C1008" s="1" t="n">
        <v>46017</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5532-2025</t>
        </is>
      </c>
      <c r="B1009" s="1" t="n">
        <v>45693</v>
      </c>
      <c r="C1009" s="1" t="n">
        <v>46017</v>
      </c>
      <c r="D1009" t="inlineStr">
        <is>
          <t>SKÅNE LÄN</t>
        </is>
      </c>
      <c r="E1009" t="inlineStr">
        <is>
          <t>HÄSSLEHOLM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55662-2022</t>
        </is>
      </c>
      <c r="B1010" s="1" t="n">
        <v>44883</v>
      </c>
      <c r="C1010" s="1" t="n">
        <v>46017</v>
      </c>
      <c r="D1010" t="inlineStr">
        <is>
          <t>SKÅNE LÄN</t>
        </is>
      </c>
      <c r="E1010" t="inlineStr">
        <is>
          <t>HÄSSLEHOLM</t>
        </is>
      </c>
      <c r="F1010" t="inlineStr">
        <is>
          <t>Övriga Aktiebolag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29844-2024</t>
        </is>
      </c>
      <c r="B1011" s="1" t="n">
        <v>45485</v>
      </c>
      <c r="C1011" s="1" t="n">
        <v>46017</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40536-2024</t>
        </is>
      </c>
      <c r="B1012" s="1" t="n">
        <v>45555.61314814815</v>
      </c>
      <c r="C1012" s="1" t="n">
        <v>46017</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33266-2024</t>
        </is>
      </c>
      <c r="B1013" s="1" t="n">
        <v>45518</v>
      </c>
      <c r="C1013" s="1" t="n">
        <v>46017</v>
      </c>
      <c r="D1013" t="inlineStr">
        <is>
          <t>SKÅNE LÄN</t>
        </is>
      </c>
      <c r="E1013" t="inlineStr">
        <is>
          <t>HÄSSLEHOLM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56386-2023</t>
        </is>
      </c>
      <c r="B1014" s="1" t="n">
        <v>45243</v>
      </c>
      <c r="C1014" s="1" t="n">
        <v>46017</v>
      </c>
      <c r="D1014" t="inlineStr">
        <is>
          <t>SKÅNE LÄN</t>
        </is>
      </c>
      <c r="E1014" t="inlineStr">
        <is>
          <t>HÄSSLEHOLM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2490-2024</t>
        </is>
      </c>
      <c r="B1015" s="1" t="n">
        <v>45313.43649305555</v>
      </c>
      <c r="C1015" s="1" t="n">
        <v>46017</v>
      </c>
      <c r="D1015" t="inlineStr">
        <is>
          <t>SKÅNE LÄN</t>
        </is>
      </c>
      <c r="E1015" t="inlineStr">
        <is>
          <t>HÄSSLEHOLM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50244-2024</t>
        </is>
      </c>
      <c r="B1016" s="1" t="n">
        <v>45600.56502314815</v>
      </c>
      <c r="C1016" s="1" t="n">
        <v>46017</v>
      </c>
      <c r="D1016" t="inlineStr">
        <is>
          <t>SKÅNE LÄN</t>
        </is>
      </c>
      <c r="E1016" t="inlineStr">
        <is>
          <t>HÄSSLEHOLM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9924-2025</t>
        </is>
      </c>
      <c r="B1017" s="1" t="n">
        <v>45717.72505787037</v>
      </c>
      <c r="C1017" s="1" t="n">
        <v>46017</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61474-2025</t>
        </is>
      </c>
      <c r="B1018" s="1" t="n">
        <v>46001.61886574074</v>
      </c>
      <c r="C1018" s="1" t="n">
        <v>46017</v>
      </c>
      <c r="D1018" t="inlineStr">
        <is>
          <t>SKÅNE LÄN</t>
        </is>
      </c>
      <c r="E1018" t="inlineStr">
        <is>
          <t>HÄSSLEHOLM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13007-2024</t>
        </is>
      </c>
      <c r="B1019" s="1" t="n">
        <v>45385.57092592592</v>
      </c>
      <c r="C1019" s="1" t="n">
        <v>46017</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53424-2025</t>
        </is>
      </c>
      <c r="B1020" s="1" t="n">
        <v>45959</v>
      </c>
      <c r="C1020" s="1" t="n">
        <v>46017</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23007-2025</t>
        </is>
      </c>
      <c r="B1021" s="1" t="n">
        <v>45790</v>
      </c>
      <c r="C1021" s="1" t="n">
        <v>46017</v>
      </c>
      <c r="D1021" t="inlineStr">
        <is>
          <t>SKÅNE LÄN</t>
        </is>
      </c>
      <c r="E1021" t="inlineStr">
        <is>
          <t>HÄSSLEHOLM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61322-2025</t>
        </is>
      </c>
      <c r="B1022" s="1" t="n">
        <v>46000</v>
      </c>
      <c r="C1022" s="1" t="n">
        <v>46017</v>
      </c>
      <c r="D1022" t="inlineStr">
        <is>
          <t>SKÅNE LÄN</t>
        </is>
      </c>
      <c r="E1022" t="inlineStr">
        <is>
          <t>HÄSSLEHOLM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7221-2025</t>
        </is>
      </c>
      <c r="B1023" s="1" t="n">
        <v>45701</v>
      </c>
      <c r="C1023" s="1" t="n">
        <v>46017</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74030-2021</t>
        </is>
      </c>
      <c r="B1024" s="1" t="n">
        <v>44553</v>
      </c>
      <c r="C1024" s="1" t="n">
        <v>46017</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27606-2024</t>
        </is>
      </c>
      <c r="B1025" s="1" t="n">
        <v>45474</v>
      </c>
      <c r="C1025" s="1" t="n">
        <v>46017</v>
      </c>
      <c r="D1025" t="inlineStr">
        <is>
          <t>SKÅNE LÄN</t>
        </is>
      </c>
      <c r="E1025" t="inlineStr">
        <is>
          <t>HÄSSLEHOLM</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56735-2024</t>
        </is>
      </c>
      <c r="B1026" s="1" t="n">
        <v>45628.36234953703</v>
      </c>
      <c r="C1026" s="1" t="n">
        <v>46017</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2621-2025</t>
        </is>
      </c>
      <c r="B1027" s="1" t="n">
        <v>45675.60765046296</v>
      </c>
      <c r="C1027" s="1" t="n">
        <v>46017</v>
      </c>
      <c r="D1027" t="inlineStr">
        <is>
          <t>SKÅNE LÄN</t>
        </is>
      </c>
      <c r="E1027" t="inlineStr">
        <is>
          <t>HÄSSLEHOLM</t>
        </is>
      </c>
      <c r="F1027" t="inlineStr">
        <is>
          <t>Kommuner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23005-2025</t>
        </is>
      </c>
      <c r="B1028" s="1" t="n">
        <v>45790</v>
      </c>
      <c r="C1028" s="1" t="n">
        <v>46017</v>
      </c>
      <c r="D1028" t="inlineStr">
        <is>
          <t>SKÅNE LÄN</t>
        </is>
      </c>
      <c r="E1028" t="inlineStr">
        <is>
          <t>HÄSSLEHOLM</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8737-2025</t>
        </is>
      </c>
      <c r="B1029" s="1" t="n">
        <v>45712.54578703704</v>
      </c>
      <c r="C1029" s="1" t="n">
        <v>46017</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22587-2025</t>
        </is>
      </c>
      <c r="B1030" s="1" t="n">
        <v>45789.39974537037</v>
      </c>
      <c r="C1030" s="1" t="n">
        <v>46017</v>
      </c>
      <c r="D1030" t="inlineStr">
        <is>
          <t>SKÅNE LÄN</t>
        </is>
      </c>
      <c r="E1030" t="inlineStr">
        <is>
          <t>HÄSSLEHOLM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22592-2025</t>
        </is>
      </c>
      <c r="B1031" s="1" t="n">
        <v>45789.40502314815</v>
      </c>
      <c r="C1031" s="1" t="n">
        <v>46017</v>
      </c>
      <c r="D1031" t="inlineStr">
        <is>
          <t>SKÅNE LÄN</t>
        </is>
      </c>
      <c r="E1031" t="inlineStr">
        <is>
          <t>HÄSSLEHOLM</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17171-2025</t>
        </is>
      </c>
      <c r="B1032" s="1" t="n">
        <v>45755</v>
      </c>
      <c r="C1032" s="1" t="n">
        <v>46017</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13954-2023</t>
        </is>
      </c>
      <c r="B1033" s="1" t="n">
        <v>45008</v>
      </c>
      <c r="C1033" s="1" t="n">
        <v>46017</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51018-2023</t>
        </is>
      </c>
      <c r="B1034" s="1" t="n">
        <v>45218</v>
      </c>
      <c r="C1034" s="1" t="n">
        <v>46017</v>
      </c>
      <c r="D1034" t="inlineStr">
        <is>
          <t>SKÅNE LÄN</t>
        </is>
      </c>
      <c r="E1034" t="inlineStr">
        <is>
          <t>HÄSSLEHOLM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40152-2024</t>
        </is>
      </c>
      <c r="B1035" s="1" t="n">
        <v>45554</v>
      </c>
      <c r="C1035" s="1" t="n">
        <v>46017</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31254-2024</t>
        </is>
      </c>
      <c r="B1036" s="1" t="n">
        <v>45503</v>
      </c>
      <c r="C1036" s="1" t="n">
        <v>46017</v>
      </c>
      <c r="D1036" t="inlineStr">
        <is>
          <t>SKÅNE LÄN</t>
        </is>
      </c>
      <c r="E1036" t="inlineStr">
        <is>
          <t>HÄSSLEHOLM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27825-2024</t>
        </is>
      </c>
      <c r="B1037" s="1" t="n">
        <v>45475</v>
      </c>
      <c r="C1037" s="1" t="n">
        <v>46017</v>
      </c>
      <c r="D1037" t="inlineStr">
        <is>
          <t>SKÅNE LÄN</t>
        </is>
      </c>
      <c r="E1037" t="inlineStr">
        <is>
          <t>HÄSSLEHOLM</t>
        </is>
      </c>
      <c r="F1037" t="inlineStr">
        <is>
          <t>Kommuner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37764-2022</t>
        </is>
      </c>
      <c r="B1038" s="1" t="n">
        <v>44810</v>
      </c>
      <c r="C1038" s="1" t="n">
        <v>46017</v>
      </c>
      <c r="D1038" t="inlineStr">
        <is>
          <t>SKÅNE LÄN</t>
        </is>
      </c>
      <c r="E1038" t="inlineStr">
        <is>
          <t>HÄSSLEHOLM</t>
        </is>
      </c>
      <c r="F1038" t="inlineStr">
        <is>
          <t>Kyrkan</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37486-2024</t>
        </is>
      </c>
      <c r="B1039" s="1" t="n">
        <v>45541</v>
      </c>
      <c r="C1039" s="1" t="n">
        <v>46017</v>
      </c>
      <c r="D1039" t="inlineStr">
        <is>
          <t>SKÅNE LÄN</t>
        </is>
      </c>
      <c r="E1039" t="inlineStr">
        <is>
          <t>HÄSSLEHOLM</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44838-2023</t>
        </is>
      </c>
      <c r="B1040" s="1" t="n">
        <v>45190</v>
      </c>
      <c r="C1040" s="1" t="n">
        <v>46017</v>
      </c>
      <c r="D1040" t="inlineStr">
        <is>
          <t>SKÅNE LÄN</t>
        </is>
      </c>
      <c r="E1040" t="inlineStr">
        <is>
          <t>HÄSSLEHOLM</t>
        </is>
      </c>
      <c r="F1040" t="inlineStr">
        <is>
          <t>Kommuner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15072-2024</t>
        </is>
      </c>
      <c r="B1041" s="1" t="n">
        <v>45399.5996875</v>
      </c>
      <c r="C1041" s="1" t="n">
        <v>46017</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16930-2024</t>
        </is>
      </c>
      <c r="B1042" s="1" t="n">
        <v>45411</v>
      </c>
      <c r="C1042" s="1" t="n">
        <v>46017</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11262-2025</t>
        </is>
      </c>
      <c r="B1043" s="1" t="n">
        <v>45726</v>
      </c>
      <c r="C1043" s="1" t="n">
        <v>46017</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5395-2024</t>
        </is>
      </c>
      <c r="B1044" s="1" t="n">
        <v>45331</v>
      </c>
      <c r="C1044" s="1" t="n">
        <v>46017</v>
      </c>
      <c r="D1044" t="inlineStr">
        <is>
          <t>SKÅNE LÄN</t>
        </is>
      </c>
      <c r="E1044" t="inlineStr">
        <is>
          <t>HÄSSLEHOLM</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56069-2024</t>
        </is>
      </c>
      <c r="B1045" s="1" t="n">
        <v>45624.38006944444</v>
      </c>
      <c r="C1045" s="1" t="n">
        <v>46017</v>
      </c>
      <c r="D1045" t="inlineStr">
        <is>
          <t>SKÅNE LÄN</t>
        </is>
      </c>
      <c r="E1045" t="inlineStr">
        <is>
          <t>HÄSSLEHOLM</t>
        </is>
      </c>
      <c r="F1045" t="inlineStr">
        <is>
          <t>Övriga Aktiebolag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60797-2024</t>
        </is>
      </c>
      <c r="B1046" s="1" t="n">
        <v>45644</v>
      </c>
      <c r="C1046" s="1" t="n">
        <v>46017</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24034-2025</t>
        </is>
      </c>
      <c r="B1047" s="1" t="n">
        <v>45796.48251157408</v>
      </c>
      <c r="C1047" s="1" t="n">
        <v>46017</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47161-2025</t>
        </is>
      </c>
      <c r="B1048" s="1" t="n">
        <v>45929</v>
      </c>
      <c r="C1048" s="1" t="n">
        <v>46017</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54668-2025</t>
        </is>
      </c>
      <c r="B1049" s="1" t="n">
        <v>45966.40803240741</v>
      </c>
      <c r="C1049" s="1" t="n">
        <v>46017</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24039-2025</t>
        </is>
      </c>
      <c r="B1050" s="1" t="n">
        <v>45796.48675925926</v>
      </c>
      <c r="C1050" s="1" t="n">
        <v>46017</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10594-2025</t>
        </is>
      </c>
      <c r="B1051" s="1" t="n">
        <v>45721</v>
      </c>
      <c r="C1051" s="1" t="n">
        <v>46017</v>
      </c>
      <c r="D1051" t="inlineStr">
        <is>
          <t>SKÅNE LÄN</t>
        </is>
      </c>
      <c r="E1051" t="inlineStr">
        <is>
          <t>HÄSSLEHOLM</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54763-2025</t>
        </is>
      </c>
      <c r="B1052" s="1" t="n">
        <v>45966.60167824074</v>
      </c>
      <c r="C1052" s="1" t="n">
        <v>46017</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6596-2021</t>
        </is>
      </c>
      <c r="B1053" s="1" t="n">
        <v>44236</v>
      </c>
      <c r="C1053" s="1" t="n">
        <v>46017</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7681-2025</t>
        </is>
      </c>
      <c r="B1054" s="1" t="n">
        <v>45706.36758101852</v>
      </c>
      <c r="C1054" s="1" t="n">
        <v>46017</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24032-2025</t>
        </is>
      </c>
      <c r="B1055" s="1" t="n">
        <v>45796.478125</v>
      </c>
      <c r="C1055" s="1" t="n">
        <v>46017</v>
      </c>
      <c r="D1055" t="inlineStr">
        <is>
          <t>SKÅNE LÄN</t>
        </is>
      </c>
      <c r="E1055" t="inlineStr">
        <is>
          <t>HÄSSLEHOLM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62376-2025</t>
        </is>
      </c>
      <c r="B1056" s="1" t="n">
        <v>46006</v>
      </c>
      <c r="C1056" s="1" t="n">
        <v>46017</v>
      </c>
      <c r="D1056" t="inlineStr">
        <is>
          <t>SKÅNE LÄN</t>
        </is>
      </c>
      <c r="E1056" t="inlineStr">
        <is>
          <t>HÄSSLEHOLM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54664-2025</t>
        </is>
      </c>
      <c r="B1057" s="1" t="n">
        <v>45966.40738425926</v>
      </c>
      <c r="C1057" s="1" t="n">
        <v>46017</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5252-2025</t>
        </is>
      </c>
      <c r="B1058" s="1" t="n">
        <v>45692.3449537037</v>
      </c>
      <c r="C1058" s="1" t="n">
        <v>46017</v>
      </c>
      <c r="D1058" t="inlineStr">
        <is>
          <t>SKÅNE LÄN</t>
        </is>
      </c>
      <c r="E1058" t="inlineStr">
        <is>
          <t>HÄSSLEHOLM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20510-2021</t>
        </is>
      </c>
      <c r="B1059" s="1" t="n">
        <v>44315</v>
      </c>
      <c r="C1059" s="1" t="n">
        <v>46017</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24047-2025</t>
        </is>
      </c>
      <c r="B1060" s="1" t="n">
        <v>45796.49528935185</v>
      </c>
      <c r="C1060" s="1" t="n">
        <v>46017</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54771-2025</t>
        </is>
      </c>
      <c r="B1061" s="1" t="n">
        <v>45966.60829861111</v>
      </c>
      <c r="C1061" s="1" t="n">
        <v>46017</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60789-2024</t>
        </is>
      </c>
      <c r="B1062" s="1" t="n">
        <v>45644</v>
      </c>
      <c r="C1062" s="1" t="n">
        <v>46017</v>
      </c>
      <c r="D1062" t="inlineStr">
        <is>
          <t>SKÅNE LÄN</t>
        </is>
      </c>
      <c r="E1062" t="inlineStr">
        <is>
          <t>HÄSSLEHOLM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24029-2025</t>
        </is>
      </c>
      <c r="B1063" s="1" t="n">
        <v>45796.47552083333</v>
      </c>
      <c r="C1063" s="1" t="n">
        <v>46017</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62271-2025</t>
        </is>
      </c>
      <c r="B1064" s="1" t="n">
        <v>46006.62256944444</v>
      </c>
      <c r="C1064" s="1" t="n">
        <v>46017</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24675-2025</t>
        </is>
      </c>
      <c r="B1065" s="1" t="n">
        <v>45798.653125</v>
      </c>
      <c r="C1065" s="1" t="n">
        <v>46017</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62417-2025</t>
        </is>
      </c>
      <c r="B1066" s="1" t="n">
        <v>46007</v>
      </c>
      <c r="C1066" s="1" t="n">
        <v>46017</v>
      </c>
      <c r="D1066" t="inlineStr">
        <is>
          <t>SKÅNE LÄN</t>
        </is>
      </c>
      <c r="E1066" t="inlineStr">
        <is>
          <t>HÄSSLEHOLM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10562-2025</t>
        </is>
      </c>
      <c r="B1067" s="1" t="n">
        <v>45721.52913194444</v>
      </c>
      <c r="C1067" s="1" t="n">
        <v>46017</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62264-2025</t>
        </is>
      </c>
      <c r="B1068" s="1" t="n">
        <v>46006.61644675926</v>
      </c>
      <c r="C1068" s="1" t="n">
        <v>46017</v>
      </c>
      <c r="D1068" t="inlineStr">
        <is>
          <t>SKÅNE LÄN</t>
        </is>
      </c>
      <c r="E1068" t="inlineStr">
        <is>
          <t>HÄSSLEHOLM</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32512-2024</t>
        </is>
      </c>
      <c r="B1069" s="1" t="n">
        <v>45513.45613425926</v>
      </c>
      <c r="C1069" s="1" t="n">
        <v>46017</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55522-2024</t>
        </is>
      </c>
      <c r="B1070" s="1" t="n">
        <v>45622</v>
      </c>
      <c r="C1070" s="1" t="n">
        <v>46017</v>
      </c>
      <c r="D1070" t="inlineStr">
        <is>
          <t>SKÅNE LÄN</t>
        </is>
      </c>
      <c r="E1070" t="inlineStr">
        <is>
          <t>HÄSSLEHOLM</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54426-2025</t>
        </is>
      </c>
      <c r="B1071" s="1" t="n">
        <v>45965</v>
      </c>
      <c r="C1071" s="1" t="n">
        <v>46017</v>
      </c>
      <c r="D1071" t="inlineStr">
        <is>
          <t>SKÅNE LÄN</t>
        </is>
      </c>
      <c r="E1071" t="inlineStr">
        <is>
          <t>HÄSSLEHOLM</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5242-2025</t>
        </is>
      </c>
      <c r="B1072" s="1" t="n">
        <v>45692.32883101852</v>
      </c>
      <c r="C1072" s="1" t="n">
        <v>46017</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42735-2024</t>
        </is>
      </c>
      <c r="B1073" s="1" t="n">
        <v>45566.47274305556</v>
      </c>
      <c r="C1073" s="1" t="n">
        <v>46017</v>
      </c>
      <c r="D1073" t="inlineStr">
        <is>
          <t>SKÅNE LÄN</t>
        </is>
      </c>
      <c r="E1073" t="inlineStr">
        <is>
          <t>HÄSSLEHOLM</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24658-2025</t>
        </is>
      </c>
      <c r="B1074" s="1" t="n">
        <v>45798.64134259259</v>
      </c>
      <c r="C1074" s="1" t="n">
        <v>46017</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24250-2025</t>
        </is>
      </c>
      <c r="B1075" s="1" t="n">
        <v>45797.40260416667</v>
      </c>
      <c r="C1075" s="1" t="n">
        <v>46017</v>
      </c>
      <c r="D1075" t="inlineStr">
        <is>
          <t>SKÅNE LÄN</t>
        </is>
      </c>
      <c r="E1075" t="inlineStr">
        <is>
          <t>HÄSSLEHOLM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32826-2024</t>
        </is>
      </c>
      <c r="B1076" s="1" t="n">
        <v>45516.59056712963</v>
      </c>
      <c r="C1076" s="1" t="n">
        <v>46017</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24985-2025</t>
        </is>
      </c>
      <c r="B1077" s="1" t="n">
        <v>45799.60256944445</v>
      </c>
      <c r="C1077" s="1" t="n">
        <v>46017</v>
      </c>
      <c r="D1077" t="inlineStr">
        <is>
          <t>SKÅNE LÄN</t>
        </is>
      </c>
      <c r="E1077" t="inlineStr">
        <is>
          <t>HÄSSLEHOLM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27837-2024</t>
        </is>
      </c>
      <c r="B1078" s="1" t="n">
        <v>45475</v>
      </c>
      <c r="C1078" s="1" t="n">
        <v>46017</v>
      </c>
      <c r="D1078" t="inlineStr">
        <is>
          <t>SKÅNE LÄN</t>
        </is>
      </c>
      <c r="E1078" t="inlineStr">
        <is>
          <t>HÄSSLEHOLM</t>
        </is>
      </c>
      <c r="F1078" t="inlineStr">
        <is>
          <t>Kommuner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29659-2024</t>
        </is>
      </c>
      <c r="B1079" s="1" t="n">
        <v>45484.92587962963</v>
      </c>
      <c r="C1079" s="1" t="n">
        <v>46017</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1679-2022</t>
        </is>
      </c>
      <c r="B1080" s="1" t="n">
        <v>44573</v>
      </c>
      <c r="C1080" s="1" t="n">
        <v>46017</v>
      </c>
      <c r="D1080" t="inlineStr">
        <is>
          <t>SKÅNE LÄN</t>
        </is>
      </c>
      <c r="E1080" t="inlineStr">
        <is>
          <t>HÄSSLEHOLM</t>
        </is>
      </c>
      <c r="F1080" t="inlineStr">
        <is>
          <t>Kyrkan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55569-2025</t>
        </is>
      </c>
      <c r="B1081" s="1" t="n">
        <v>45971</v>
      </c>
      <c r="C1081" s="1" t="n">
        <v>46017</v>
      </c>
      <c r="D1081" t="inlineStr">
        <is>
          <t>SKÅNE LÄN</t>
        </is>
      </c>
      <c r="E1081" t="inlineStr">
        <is>
          <t>HÄSSLEHOLM</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30092-2025</t>
        </is>
      </c>
      <c r="B1082" s="1" t="n">
        <v>45826</v>
      </c>
      <c r="C1082" s="1" t="n">
        <v>46017</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259-2024</t>
        </is>
      </c>
      <c r="B1083" s="1" t="n">
        <v>45294</v>
      </c>
      <c r="C1083" s="1" t="n">
        <v>46017</v>
      </c>
      <c r="D1083" t="inlineStr">
        <is>
          <t>SKÅNE LÄN</t>
        </is>
      </c>
      <c r="E1083" t="inlineStr">
        <is>
          <t>HÄSSLEHOLM</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54798-2025</t>
        </is>
      </c>
      <c r="B1084" s="1" t="n">
        <v>45966</v>
      </c>
      <c r="C1084" s="1" t="n">
        <v>46017</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54807-2025</t>
        </is>
      </c>
      <c r="B1085" s="1" t="n">
        <v>45966</v>
      </c>
      <c r="C1085" s="1" t="n">
        <v>46017</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61215-2025</t>
        </is>
      </c>
      <c r="B1086" s="1" t="n">
        <v>46000</v>
      </c>
      <c r="C1086" s="1" t="n">
        <v>46017</v>
      </c>
      <c r="D1086" t="inlineStr">
        <is>
          <t>SKÅNE LÄN</t>
        </is>
      </c>
      <c r="E1086" t="inlineStr">
        <is>
          <t>HÄSSLEHOLM</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55268-2025</t>
        </is>
      </c>
      <c r="B1087" s="1" t="n">
        <v>45968.6715625</v>
      </c>
      <c r="C1087" s="1" t="n">
        <v>46017</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25372-2025</t>
        </is>
      </c>
      <c r="B1088" s="1" t="n">
        <v>45799</v>
      </c>
      <c r="C1088" s="1" t="n">
        <v>46017</v>
      </c>
      <c r="D1088" t="inlineStr">
        <is>
          <t>SKÅNE LÄN</t>
        </is>
      </c>
      <c r="E1088" t="inlineStr">
        <is>
          <t>HÄSSLEHOLM</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9399-2025</t>
        </is>
      </c>
      <c r="B1089" s="1" t="n">
        <v>45715.37861111111</v>
      </c>
      <c r="C1089" s="1" t="n">
        <v>46017</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30109-2025</t>
        </is>
      </c>
      <c r="B1090" s="1" t="n">
        <v>45826</v>
      </c>
      <c r="C1090" s="1" t="n">
        <v>46017</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27297-2023</t>
        </is>
      </c>
      <c r="B1091" s="1" t="n">
        <v>45096</v>
      </c>
      <c r="C1091" s="1" t="n">
        <v>46017</v>
      </c>
      <c r="D1091" t="inlineStr">
        <is>
          <t>SKÅNE LÄN</t>
        </is>
      </c>
      <c r="E1091" t="inlineStr">
        <is>
          <t>HÄSSLEHOLM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51565-2023</t>
        </is>
      </c>
      <c r="B1092" s="1" t="n">
        <v>45222</v>
      </c>
      <c r="C1092" s="1" t="n">
        <v>46017</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25430-2025</t>
        </is>
      </c>
      <c r="B1093" s="1" t="n">
        <v>45800.78212962963</v>
      </c>
      <c r="C1093" s="1" t="n">
        <v>46017</v>
      </c>
      <c r="D1093" t="inlineStr">
        <is>
          <t>SKÅNE LÄN</t>
        </is>
      </c>
      <c r="E1093" t="inlineStr">
        <is>
          <t>HÄSSLEHOLM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58689-2025</t>
        </is>
      </c>
      <c r="B1094" s="1" t="n">
        <v>45986</v>
      </c>
      <c r="C1094" s="1" t="n">
        <v>46017</v>
      </c>
      <c r="D1094" t="inlineStr">
        <is>
          <t>SKÅNE LÄN</t>
        </is>
      </c>
      <c r="E1094" t="inlineStr">
        <is>
          <t>HÄSSLEHOLM</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56065-2025</t>
        </is>
      </c>
      <c r="B1095" s="1" t="n">
        <v>45973</v>
      </c>
      <c r="C1095" s="1" t="n">
        <v>46017</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11470-2025</t>
        </is>
      </c>
      <c r="B1096" s="1" t="n">
        <v>45726</v>
      </c>
      <c r="C1096" s="1" t="n">
        <v>46017</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25615-2025</t>
        </is>
      </c>
      <c r="B1097" s="1" t="n">
        <v>45803</v>
      </c>
      <c r="C1097" s="1" t="n">
        <v>46017</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63710-2025</t>
        </is>
      </c>
      <c r="B1098" s="1" t="n">
        <v>46014.62143518519</v>
      </c>
      <c r="C1098" s="1" t="n">
        <v>46017</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55549-2025</t>
        </is>
      </c>
      <c r="B1099" s="1" t="n">
        <v>45971.63805555556</v>
      </c>
      <c r="C1099" s="1" t="n">
        <v>46017</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63709-2025</t>
        </is>
      </c>
      <c r="B1100" s="1" t="n">
        <v>46014.61700231482</v>
      </c>
      <c r="C1100" s="1" t="n">
        <v>46017</v>
      </c>
      <c r="D1100" t="inlineStr">
        <is>
          <t>SKÅNE LÄN</t>
        </is>
      </c>
      <c r="E1100" t="inlineStr">
        <is>
          <t>HÄSSLEHOLM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55455-2025</t>
        </is>
      </c>
      <c r="B1101" s="1" t="n">
        <v>45971</v>
      </c>
      <c r="C1101" s="1" t="n">
        <v>46017</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25431-2025</t>
        </is>
      </c>
      <c r="B1102" s="1" t="n">
        <v>45800.78340277778</v>
      </c>
      <c r="C1102" s="1" t="n">
        <v>46017</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25432-2025</t>
        </is>
      </c>
      <c r="B1103" s="1" t="n">
        <v>45800.7847800926</v>
      </c>
      <c r="C1103" s="1" t="n">
        <v>46017</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11412-2025</t>
        </is>
      </c>
      <c r="B1104" s="1" t="n">
        <v>45726</v>
      </c>
      <c r="C1104" s="1" t="n">
        <v>46017</v>
      </c>
      <c r="D1104" t="inlineStr">
        <is>
          <t>SKÅNE LÄN</t>
        </is>
      </c>
      <c r="E1104" t="inlineStr">
        <is>
          <t>HÄSSLEHOLM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9747-2024</t>
        </is>
      </c>
      <c r="B1105" s="1" t="n">
        <v>45362</v>
      </c>
      <c r="C1105" s="1" t="n">
        <v>46017</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11753-2025</t>
        </is>
      </c>
      <c r="B1106" s="1" t="n">
        <v>45727</v>
      </c>
      <c r="C1106" s="1" t="n">
        <v>46017</v>
      </c>
      <c r="D1106" t="inlineStr">
        <is>
          <t>SKÅNE LÄN</t>
        </is>
      </c>
      <c r="E1106" t="inlineStr">
        <is>
          <t>HÄSSLEHOLM</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55458-2025</t>
        </is>
      </c>
      <c r="B1107" s="1" t="n">
        <v>45971</v>
      </c>
      <c r="C1107" s="1" t="n">
        <v>46017</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63473-2025</t>
        </is>
      </c>
      <c r="B1108" s="1" t="n">
        <v>46013.44364583334</v>
      </c>
      <c r="C1108" s="1" t="n">
        <v>46017</v>
      </c>
      <c r="D1108" t="inlineStr">
        <is>
          <t>SKÅNE LÄN</t>
        </is>
      </c>
      <c r="E1108" t="inlineStr">
        <is>
          <t>HÄSSLEHOLM</t>
        </is>
      </c>
      <c r="F1108" t="inlineStr">
        <is>
          <t>Kommuner</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63487-2025</t>
        </is>
      </c>
      <c r="B1109" s="1" t="n">
        <v>46013.46878472222</v>
      </c>
      <c r="C1109" s="1" t="n">
        <v>46017</v>
      </c>
      <c r="D1109" t="inlineStr">
        <is>
          <t>SKÅNE LÄN</t>
        </is>
      </c>
      <c r="E1109" t="inlineStr">
        <is>
          <t>HÄSSLEHOLM</t>
        </is>
      </c>
      <c r="F1109" t="inlineStr">
        <is>
          <t>Kommuner</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46813-2024</t>
        </is>
      </c>
      <c r="B1110" s="1" t="n">
        <v>45583</v>
      </c>
      <c r="C1110" s="1" t="n">
        <v>46017</v>
      </c>
      <c r="D1110" t="inlineStr">
        <is>
          <t>SKÅNE LÄN</t>
        </is>
      </c>
      <c r="E1110" t="inlineStr">
        <is>
          <t>HÄSSLEHOLM</t>
        </is>
      </c>
      <c r="G1110" t="n">
        <v>14.9</v>
      </c>
      <c r="H1110" t="n">
        <v>0</v>
      </c>
      <c r="I1110" t="n">
        <v>0</v>
      </c>
      <c r="J1110" t="n">
        <v>0</v>
      </c>
      <c r="K1110" t="n">
        <v>0</v>
      </c>
      <c r="L1110" t="n">
        <v>0</v>
      </c>
      <c r="M1110" t="n">
        <v>0</v>
      </c>
      <c r="N1110" t="n">
        <v>0</v>
      </c>
      <c r="O1110" t="n">
        <v>0</v>
      </c>
      <c r="P1110" t="n">
        <v>0</v>
      </c>
      <c r="Q1110" t="n">
        <v>0</v>
      </c>
      <c r="R1110" s="2" t="inlineStr"/>
    </row>
    <row r="1111" ht="15" customHeight="1">
      <c r="A1111" t="inlineStr">
        <is>
          <t>A 47352-2025</t>
        </is>
      </c>
      <c r="B1111" s="1" t="n">
        <v>45930</v>
      </c>
      <c r="C1111" s="1" t="n">
        <v>46017</v>
      </c>
      <c r="D1111" t="inlineStr">
        <is>
          <t>SKÅNE LÄN</t>
        </is>
      </c>
      <c r="E1111" t="inlineStr">
        <is>
          <t>HÄSSLEHOLM</t>
        </is>
      </c>
      <c r="G1111" t="n">
        <v>16.6</v>
      </c>
      <c r="H1111" t="n">
        <v>0</v>
      </c>
      <c r="I1111" t="n">
        <v>0</v>
      </c>
      <c r="J1111" t="n">
        <v>0</v>
      </c>
      <c r="K1111" t="n">
        <v>0</v>
      </c>
      <c r="L1111" t="n">
        <v>0</v>
      </c>
      <c r="M1111" t="n">
        <v>0</v>
      </c>
      <c r="N1111" t="n">
        <v>0</v>
      </c>
      <c r="O1111" t="n">
        <v>0</v>
      </c>
      <c r="P1111" t="n">
        <v>0</v>
      </c>
      <c r="Q1111" t="n">
        <v>0</v>
      </c>
      <c r="R1111" s="2" t="inlineStr"/>
    </row>
    <row r="1112" ht="15" customHeight="1">
      <c r="A1112" t="inlineStr">
        <is>
          <t>A 47394-2025</t>
        </is>
      </c>
      <c r="B1112" s="1" t="n">
        <v>45930</v>
      </c>
      <c r="C1112" s="1" t="n">
        <v>46017</v>
      </c>
      <c r="D1112" t="inlineStr">
        <is>
          <t>SKÅNE LÄN</t>
        </is>
      </c>
      <c r="E1112" t="inlineStr">
        <is>
          <t>HÄSSLEHOLM</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47422-2025</t>
        </is>
      </c>
      <c r="B1113" s="1" t="n">
        <v>45930</v>
      </c>
      <c r="C1113" s="1" t="n">
        <v>46017</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11466-2025</t>
        </is>
      </c>
      <c r="B1114" s="1" t="n">
        <v>45726</v>
      </c>
      <c r="C1114" s="1" t="n">
        <v>46017</v>
      </c>
      <c r="D1114" t="inlineStr">
        <is>
          <t>SKÅNE LÄN</t>
        </is>
      </c>
      <c r="E1114" t="inlineStr">
        <is>
          <t>HÄSSLEHOLM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63510-2025</t>
        </is>
      </c>
      <c r="B1115" s="1" t="n">
        <v>46013.49172453704</v>
      </c>
      <c r="C1115" s="1" t="n">
        <v>46017</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63712-2025</t>
        </is>
      </c>
      <c r="B1116" s="1" t="n">
        <v>46014.63092592593</v>
      </c>
      <c r="C1116" s="1" t="n">
        <v>46017</v>
      </c>
      <c r="D1116" t="inlineStr">
        <is>
          <t>SKÅNE LÄN</t>
        </is>
      </c>
      <c r="E1116" t="inlineStr">
        <is>
          <t>HÄSSLEHOLM</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26232-2025</t>
        </is>
      </c>
      <c r="B1117" s="1" t="n">
        <v>45805.56642361111</v>
      </c>
      <c r="C1117" s="1" t="n">
        <v>46017</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63284-2025</t>
        </is>
      </c>
      <c r="B1118" s="1" t="n">
        <v>46010.58899305556</v>
      </c>
      <c r="C1118" s="1" t="n">
        <v>46017</v>
      </c>
      <c r="D1118" t="inlineStr">
        <is>
          <t>SKÅNE LÄN</t>
        </is>
      </c>
      <c r="E1118" t="inlineStr">
        <is>
          <t>HÄSSLEHOLM</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63416-2025</t>
        </is>
      </c>
      <c r="B1119" s="1" t="n">
        <v>46013.3232175926</v>
      </c>
      <c r="C1119" s="1" t="n">
        <v>46017</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63415-2025</t>
        </is>
      </c>
      <c r="B1120" s="1" t="n">
        <v>46013.32163194445</v>
      </c>
      <c r="C1120" s="1" t="n">
        <v>46017</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63414-2025</t>
        </is>
      </c>
      <c r="B1121" s="1" t="n">
        <v>46013.32008101852</v>
      </c>
      <c r="C1121" s="1" t="n">
        <v>46017</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26244-2025</t>
        </is>
      </c>
      <c r="B1122" s="1" t="n">
        <v>45805.57364583333</v>
      </c>
      <c r="C1122" s="1" t="n">
        <v>46017</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47432-2025</t>
        </is>
      </c>
      <c r="B1123" s="1" t="n">
        <v>45930</v>
      </c>
      <c r="C1123" s="1" t="n">
        <v>46017</v>
      </c>
      <c r="D1123" t="inlineStr">
        <is>
          <t>SKÅNE LÄN</t>
        </is>
      </c>
      <c r="E1123" t="inlineStr">
        <is>
          <t>HÄSSLEHOLM</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47450-2025</t>
        </is>
      </c>
      <c r="B1124" s="1" t="n">
        <v>45930</v>
      </c>
      <c r="C1124" s="1" t="n">
        <v>46017</v>
      </c>
      <c r="D1124" t="inlineStr">
        <is>
          <t>SKÅNE LÄN</t>
        </is>
      </c>
      <c r="E1124" t="inlineStr">
        <is>
          <t>HÄSSLEHOLM</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63354-2025</t>
        </is>
      </c>
      <c r="B1125" s="1" t="n">
        <v>46010.66957175926</v>
      </c>
      <c r="C1125" s="1" t="n">
        <v>46017</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63476-2025</t>
        </is>
      </c>
      <c r="B1126" s="1" t="n">
        <v>46013.44621527778</v>
      </c>
      <c r="C1126" s="1" t="n">
        <v>46017</v>
      </c>
      <c r="D1126" t="inlineStr">
        <is>
          <t>SKÅNE LÄN</t>
        </is>
      </c>
      <c r="E1126" t="inlineStr">
        <is>
          <t>HÄSSLEHOLM</t>
        </is>
      </c>
      <c r="F1126" t="inlineStr">
        <is>
          <t>Kommuner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38358-2024</t>
        </is>
      </c>
      <c r="B1127" s="1" t="n">
        <v>45545.79068287037</v>
      </c>
      <c r="C1127" s="1" t="n">
        <v>46017</v>
      </c>
      <c r="D1127" t="inlineStr">
        <is>
          <t>SKÅNE LÄN</t>
        </is>
      </c>
      <c r="E1127" t="inlineStr">
        <is>
          <t>HÄSSLEHOLM</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27349-2025</t>
        </is>
      </c>
      <c r="B1128" s="1" t="n">
        <v>45812</v>
      </c>
      <c r="C1128" s="1" t="n">
        <v>46017</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16368-2025</t>
        </is>
      </c>
      <c r="B1129" s="1" t="n">
        <v>45751</v>
      </c>
      <c r="C1129" s="1" t="n">
        <v>46017</v>
      </c>
      <c r="D1129" t="inlineStr">
        <is>
          <t>SKÅNE LÄN</t>
        </is>
      </c>
      <c r="E1129" t="inlineStr">
        <is>
          <t>HÄSSLEHOLM</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27393-2025</t>
        </is>
      </c>
      <c r="B1130" s="1" t="n">
        <v>45812.68295138889</v>
      </c>
      <c r="C1130" s="1" t="n">
        <v>46017</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28240-2025</t>
        </is>
      </c>
      <c r="B1131" s="1" t="n">
        <v>45817</v>
      </c>
      <c r="C1131" s="1" t="n">
        <v>46017</v>
      </c>
      <c r="D1131" t="inlineStr">
        <is>
          <t>SKÅNE LÄN</t>
        </is>
      </c>
      <c r="E1131" t="inlineStr">
        <is>
          <t>HÄSSLEHOLM</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28095-2025</t>
        </is>
      </c>
      <c r="B1132" s="1" t="n">
        <v>45817</v>
      </c>
      <c r="C1132" s="1" t="n">
        <v>46017</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27940-2025</t>
        </is>
      </c>
      <c r="B1133" s="1" t="n">
        <v>45817.50439814815</v>
      </c>
      <c r="C1133" s="1" t="n">
        <v>46017</v>
      </c>
      <c r="D1133" t="inlineStr">
        <is>
          <t>SKÅNE LÄN</t>
        </is>
      </c>
      <c r="E1133" t="inlineStr">
        <is>
          <t>HÄSSLEHOLM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27887-2025</t>
        </is>
      </c>
      <c r="B1134" s="1" t="n">
        <v>45817.45994212963</v>
      </c>
      <c r="C1134" s="1" t="n">
        <v>46017</v>
      </c>
      <c r="D1134" t="inlineStr">
        <is>
          <t>SKÅNE LÄN</t>
        </is>
      </c>
      <c r="E1134" t="inlineStr">
        <is>
          <t>HÄSSLEHOLM</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49827-2022</t>
        </is>
      </c>
      <c r="B1135" s="1" t="n">
        <v>44859</v>
      </c>
      <c r="C1135" s="1" t="n">
        <v>46017</v>
      </c>
      <c r="D1135" t="inlineStr">
        <is>
          <t>SKÅNE LÄN</t>
        </is>
      </c>
      <c r="E1135" t="inlineStr">
        <is>
          <t>HÄSSLEHOLM</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28251-2025</t>
        </is>
      </c>
      <c r="B1136" s="1" t="n">
        <v>45817</v>
      </c>
      <c r="C1136" s="1" t="n">
        <v>46017</v>
      </c>
      <c r="D1136" t="inlineStr">
        <is>
          <t>SKÅNE LÄN</t>
        </is>
      </c>
      <c r="E1136" t="inlineStr">
        <is>
          <t>HÄSSLEHOLM</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27934-2025</t>
        </is>
      </c>
      <c r="B1137" s="1" t="n">
        <v>45817.49761574074</v>
      </c>
      <c r="C1137" s="1" t="n">
        <v>46017</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28122-2025</t>
        </is>
      </c>
      <c r="B1138" s="1" t="n">
        <v>45817</v>
      </c>
      <c r="C1138" s="1" t="n">
        <v>46017</v>
      </c>
      <c r="D1138" t="inlineStr">
        <is>
          <t>SKÅNE LÄN</t>
        </is>
      </c>
      <c r="E1138" t="inlineStr">
        <is>
          <t>HÄSSLEHOLM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29170-2025</t>
        </is>
      </c>
      <c r="B1139" s="1" t="n">
        <v>45821.69766203704</v>
      </c>
      <c r="C1139" s="1" t="n">
        <v>46017</v>
      </c>
      <c r="D1139" t="inlineStr">
        <is>
          <t>SKÅNE LÄN</t>
        </is>
      </c>
      <c r="E1139" t="inlineStr">
        <is>
          <t>HÄSSLEHOLM</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29168-2025</t>
        </is>
      </c>
      <c r="B1140" s="1" t="n">
        <v>45821.69547453704</v>
      </c>
      <c r="C1140" s="1" t="n">
        <v>46017</v>
      </c>
      <c r="D1140" t="inlineStr">
        <is>
          <t>SKÅNE LÄN</t>
        </is>
      </c>
      <c r="E1140" t="inlineStr">
        <is>
          <t>HÄSSLEHOLM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29171-2025</t>
        </is>
      </c>
      <c r="B1141" s="1" t="n">
        <v>45821.69863425926</v>
      </c>
      <c r="C1141" s="1" t="n">
        <v>46017</v>
      </c>
      <c r="D1141" t="inlineStr">
        <is>
          <t>SKÅNE LÄN</t>
        </is>
      </c>
      <c r="E1141" t="inlineStr">
        <is>
          <t>HÄSSLEHOLM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30010-2025</t>
        </is>
      </c>
      <c r="B1142" s="1" t="n">
        <v>45826</v>
      </c>
      <c r="C1142" s="1" t="n">
        <v>46017</v>
      </c>
      <c r="D1142" t="inlineStr">
        <is>
          <t>SKÅNE LÄN</t>
        </is>
      </c>
      <c r="E1142" t="inlineStr">
        <is>
          <t>HÄSSLEHOLM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31159-2025</t>
        </is>
      </c>
      <c r="B1143" s="1" t="n">
        <v>45832.65322916667</v>
      </c>
      <c r="C1143" s="1" t="n">
        <v>46017</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32585-2025</t>
        </is>
      </c>
      <c r="B1144" s="1" t="n">
        <v>45838.60021990741</v>
      </c>
      <c r="C1144" s="1" t="n">
        <v>46017</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32592-2025</t>
        </is>
      </c>
      <c r="B1145" s="1" t="n">
        <v>45838.61020833333</v>
      </c>
      <c r="C1145" s="1" t="n">
        <v>46017</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29649-2025</t>
        </is>
      </c>
      <c r="B1146" s="1" t="n">
        <v>45825.47446759259</v>
      </c>
      <c r="C1146" s="1" t="n">
        <v>46017</v>
      </c>
      <c r="D1146" t="inlineStr">
        <is>
          <t>SKÅNE LÄN</t>
        </is>
      </c>
      <c r="E1146" t="inlineStr">
        <is>
          <t>HÄSSLEHOLM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33948-2025</t>
        </is>
      </c>
      <c r="B1147" s="1" t="n">
        <v>45842.65945601852</v>
      </c>
      <c r="C1147" s="1" t="n">
        <v>46017</v>
      </c>
      <c r="D1147" t="inlineStr">
        <is>
          <t>SKÅNE LÄN</t>
        </is>
      </c>
      <c r="E1147" t="inlineStr">
        <is>
          <t>HÄSSLEHOLM</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33875-2025</t>
        </is>
      </c>
      <c r="B1148" s="1" t="n">
        <v>45842.55300925926</v>
      </c>
      <c r="C1148" s="1" t="n">
        <v>46017</v>
      </c>
      <c r="D1148" t="inlineStr">
        <is>
          <t>SKÅNE LÄN</t>
        </is>
      </c>
      <c r="E1148" t="inlineStr">
        <is>
          <t>HÄSSLEHOLM</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33877-2025</t>
        </is>
      </c>
      <c r="B1149" s="1" t="n">
        <v>45842.55564814815</v>
      </c>
      <c r="C1149" s="1" t="n">
        <v>46017</v>
      </c>
      <c r="D1149" t="inlineStr">
        <is>
          <t>SKÅNE LÄN</t>
        </is>
      </c>
      <c r="E1149" t="inlineStr">
        <is>
          <t>HÄSSLEHOLM</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33879-2025</t>
        </is>
      </c>
      <c r="B1150" s="1" t="n">
        <v>45842.55766203703</v>
      </c>
      <c r="C1150" s="1" t="n">
        <v>46017</v>
      </c>
      <c r="D1150" t="inlineStr">
        <is>
          <t>SKÅNE LÄN</t>
        </is>
      </c>
      <c r="E1150" t="inlineStr">
        <is>
          <t>HÄSSLEHOLM</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33562-2025</t>
        </is>
      </c>
      <c r="B1151" s="1" t="n">
        <v>45841.57803240741</v>
      </c>
      <c r="C1151" s="1" t="n">
        <v>46017</v>
      </c>
      <c r="D1151" t="inlineStr">
        <is>
          <t>SKÅNE LÄN</t>
        </is>
      </c>
      <c r="E1151" t="inlineStr">
        <is>
          <t>HÄSSLEHOLM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33950-2025</t>
        </is>
      </c>
      <c r="B1152" s="1" t="n">
        <v>45842</v>
      </c>
      <c r="C1152" s="1" t="n">
        <v>46017</v>
      </c>
      <c r="D1152" t="inlineStr">
        <is>
          <t>SKÅNE LÄN</t>
        </is>
      </c>
      <c r="E1152" t="inlineStr">
        <is>
          <t>HÄSSLEHOLM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34174-2025</t>
        </is>
      </c>
      <c r="B1153" s="1" t="n">
        <v>45844</v>
      </c>
      <c r="C1153" s="1" t="n">
        <v>46017</v>
      </c>
      <c r="D1153" t="inlineStr">
        <is>
          <t>SKÅNE LÄN</t>
        </is>
      </c>
      <c r="E1153" t="inlineStr">
        <is>
          <t>HÄSSLEHOLM</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34177-2025</t>
        </is>
      </c>
      <c r="B1154" s="1" t="n">
        <v>45844</v>
      </c>
      <c r="C1154" s="1" t="n">
        <v>46017</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22678-2025</t>
        </is>
      </c>
      <c r="B1155" s="1" t="n">
        <v>45789.49725694444</v>
      </c>
      <c r="C1155" s="1" t="n">
        <v>46017</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32958-2023</t>
        </is>
      </c>
      <c r="B1156" s="1" t="n">
        <v>45125.52142361111</v>
      </c>
      <c r="C1156" s="1" t="n">
        <v>46017</v>
      </c>
      <c r="D1156" t="inlineStr">
        <is>
          <t>SKÅNE LÄN</t>
        </is>
      </c>
      <c r="E1156" t="inlineStr">
        <is>
          <t>HÄSSLEHOLM</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34869-2025</t>
        </is>
      </c>
      <c r="B1157" s="1" t="n">
        <v>45849</v>
      </c>
      <c r="C1157" s="1" t="n">
        <v>46017</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35259-2025</t>
        </is>
      </c>
      <c r="B1158" s="1" t="n">
        <v>45853.76912037037</v>
      </c>
      <c r="C1158" s="1" t="n">
        <v>46017</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20970-2025</t>
        </is>
      </c>
      <c r="B1159" s="1" t="n">
        <v>45777.45417824074</v>
      </c>
      <c r="C1159" s="1" t="n">
        <v>46017</v>
      </c>
      <c r="D1159" t="inlineStr">
        <is>
          <t>SKÅNE LÄN</t>
        </is>
      </c>
      <c r="E1159" t="inlineStr">
        <is>
          <t>HÄSSLEHOLM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17413-2025</t>
        </is>
      </c>
      <c r="B1160" s="1" t="n">
        <v>45757.37480324074</v>
      </c>
      <c r="C1160" s="1" t="n">
        <v>46017</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41680-2024</t>
        </is>
      </c>
      <c r="B1161" s="1" t="n">
        <v>45560</v>
      </c>
      <c r="C1161" s="1" t="n">
        <v>46017</v>
      </c>
      <c r="D1161" t="inlineStr">
        <is>
          <t>SKÅNE LÄN</t>
        </is>
      </c>
      <c r="E1161" t="inlineStr">
        <is>
          <t>HÄSSLEHOLM</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36085-2025</t>
        </is>
      </c>
      <c r="B1162" s="1" t="n">
        <v>45866.46190972222</v>
      </c>
      <c r="C1162" s="1" t="n">
        <v>46017</v>
      </c>
      <c r="D1162" t="inlineStr">
        <is>
          <t>SKÅNE LÄN</t>
        </is>
      </c>
      <c r="E1162" t="inlineStr">
        <is>
          <t>HÄSSLEHOLM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36130-2025</t>
        </is>
      </c>
      <c r="B1163" s="1" t="n">
        <v>45866.62273148148</v>
      </c>
      <c r="C1163" s="1" t="n">
        <v>46017</v>
      </c>
      <c r="D1163" t="inlineStr">
        <is>
          <t>SKÅNE LÄN</t>
        </is>
      </c>
      <c r="E1163" t="inlineStr">
        <is>
          <t>HÄSSLEHOLM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19666-2025</t>
        </is>
      </c>
      <c r="B1164" s="1" t="n">
        <v>45770.69326388889</v>
      </c>
      <c r="C1164" s="1" t="n">
        <v>46017</v>
      </c>
      <c r="D1164" t="inlineStr">
        <is>
          <t>SKÅNE LÄN</t>
        </is>
      </c>
      <c r="E1164" t="inlineStr">
        <is>
          <t>HÄSSLEHOLM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36361-2025</t>
        </is>
      </c>
      <c r="B1165" s="1" t="n">
        <v>45867</v>
      </c>
      <c r="C1165" s="1" t="n">
        <v>46017</v>
      </c>
      <c r="D1165" t="inlineStr">
        <is>
          <t>SKÅNE LÄN</t>
        </is>
      </c>
      <c r="E1165" t="inlineStr">
        <is>
          <t>HÄSSLEHOLM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36358-2025</t>
        </is>
      </c>
      <c r="B1166" s="1" t="n">
        <v>45867</v>
      </c>
      <c r="C1166" s="1" t="n">
        <v>46017</v>
      </c>
      <c r="D1166" t="inlineStr">
        <is>
          <t>SKÅNE LÄN</t>
        </is>
      </c>
      <c r="E1166" t="inlineStr">
        <is>
          <t>HÄSSLEHOLM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36359-2025</t>
        </is>
      </c>
      <c r="B1167" s="1" t="n">
        <v>45867</v>
      </c>
      <c r="C1167" s="1" t="n">
        <v>46017</v>
      </c>
      <c r="D1167" t="inlineStr">
        <is>
          <t>SKÅNE LÄN</t>
        </is>
      </c>
      <c r="E1167" t="inlineStr">
        <is>
          <t>HÄSSLEHOLM</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36259-2025</t>
        </is>
      </c>
      <c r="B1168" s="1" t="n">
        <v>45867.59799768519</v>
      </c>
      <c r="C1168" s="1" t="n">
        <v>46017</v>
      </c>
      <c r="D1168" t="inlineStr">
        <is>
          <t>SKÅNE LÄN</t>
        </is>
      </c>
      <c r="E1168" t="inlineStr">
        <is>
          <t>HÄSSLEHOLM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8209-2025</t>
        </is>
      </c>
      <c r="B1169" s="1" t="n">
        <v>45708.44244212963</v>
      </c>
      <c r="C1169" s="1" t="n">
        <v>46017</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36938-2025</t>
        </is>
      </c>
      <c r="B1170" s="1" t="n">
        <v>45874.58476851852</v>
      </c>
      <c r="C1170" s="1" t="n">
        <v>46017</v>
      </c>
      <c r="D1170" t="inlineStr">
        <is>
          <t>SKÅNE LÄN</t>
        </is>
      </c>
      <c r="E1170" t="inlineStr">
        <is>
          <t>HÄSSLEHOLM</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37286-2025</t>
        </is>
      </c>
      <c r="B1171" s="1" t="n">
        <v>45876.50116898148</v>
      </c>
      <c r="C1171" s="1" t="n">
        <v>46017</v>
      </c>
      <c r="D1171" t="inlineStr">
        <is>
          <t>SKÅNE LÄN</t>
        </is>
      </c>
      <c r="E1171" t="inlineStr">
        <is>
          <t>HÄSSLEHOLM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37271-2025</t>
        </is>
      </c>
      <c r="B1172" s="1" t="n">
        <v>45876.47828703704</v>
      </c>
      <c r="C1172" s="1" t="n">
        <v>46017</v>
      </c>
      <c r="D1172" t="inlineStr">
        <is>
          <t>SKÅNE LÄN</t>
        </is>
      </c>
      <c r="E1172" t="inlineStr">
        <is>
          <t>HÄSSLEHOLM</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32981-2025</t>
        </is>
      </c>
      <c r="B1173" s="1" t="n">
        <v>45839.86820601852</v>
      </c>
      <c r="C1173" s="1" t="n">
        <v>46017</v>
      </c>
      <c r="D1173" t="inlineStr">
        <is>
          <t>SKÅNE LÄN</t>
        </is>
      </c>
      <c r="E1173" t="inlineStr">
        <is>
          <t>HÄSSLEHOLM</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18109-2025</t>
        </is>
      </c>
      <c r="B1174" s="1" t="n">
        <v>45761</v>
      </c>
      <c r="C1174" s="1" t="n">
        <v>46017</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c r="A1175" t="inlineStr">
        <is>
          <t>A 16862-2025</t>
        </is>
      </c>
      <c r="B1175" s="1" t="n">
        <v>45751</v>
      </c>
      <c r="C1175" s="1" t="n">
        <v>46017</v>
      </c>
      <c r="D1175" t="inlineStr">
        <is>
          <t>SKÅNE LÄN</t>
        </is>
      </c>
      <c r="E1175" t="inlineStr">
        <is>
          <t>HÄSSLEHOLM</t>
        </is>
      </c>
      <c r="G1175" t="n">
        <v>2.3</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2025-12-26T09:32:03Z</dcterms:created>
  <dcterms:modified xmlns:dcterms="http://purl.org/dc/terms/" xmlns:xsi="http://www.w3.org/2001/XMLSchema-instance" xsi:type="dcterms:W3CDTF">2025-12-26T09:32:04Z</dcterms:modified>
</cp:coreProperties>
</file>