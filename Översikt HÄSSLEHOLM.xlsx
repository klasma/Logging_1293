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45907</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45907</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45907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45907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45907</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45907</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45907</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45907</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45907</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45907</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8257-2025</t>
        </is>
      </c>
      <c r="B18" s="1" t="n">
        <v>45708.49938657408</v>
      </c>
      <c r="C18" s="1" t="n">
        <v>45907</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45907</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45907</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45907</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45907</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6634-2024</t>
        </is>
      </c>
      <c r="B23" s="1" t="n">
        <v>45341</v>
      </c>
      <c r="C23" s="1" t="n">
        <v>45907</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45907</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54523-2024</t>
        </is>
      </c>
      <c r="B25" s="1" t="n">
        <v>45617</v>
      </c>
      <c r="C25" s="1" t="n">
        <v>45907</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45907</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36690-2025</t>
        </is>
      </c>
      <c r="B27" s="1" t="n">
        <v>45873.42915509259</v>
      </c>
      <c r="C27" s="1" t="n">
        <v>45907</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40613-2025</t>
        </is>
      </c>
      <c r="B28" s="1" t="n">
        <v>45896</v>
      </c>
      <c r="C28" s="1" t="n">
        <v>45907</v>
      </c>
      <c r="D28" t="inlineStr">
        <is>
          <t>SKÅNE LÄN</t>
        </is>
      </c>
      <c r="E28" t="inlineStr">
        <is>
          <t>HÄSSLEHOLM</t>
        </is>
      </c>
      <c r="F28" t="inlineStr">
        <is>
          <t>Kyrkan</t>
        </is>
      </c>
      <c r="G28" t="n">
        <v>3.4</v>
      </c>
      <c r="H28" t="n">
        <v>1</v>
      </c>
      <c r="I28" t="n">
        <v>0</v>
      </c>
      <c r="J28" t="n">
        <v>0</v>
      </c>
      <c r="K28" t="n">
        <v>0</v>
      </c>
      <c r="L28" t="n">
        <v>0</v>
      </c>
      <c r="M28" t="n">
        <v>0</v>
      </c>
      <c r="N28" t="n">
        <v>0</v>
      </c>
      <c r="O28" t="n">
        <v>0</v>
      </c>
      <c r="P28" t="n">
        <v>0</v>
      </c>
      <c r="Q28" t="n">
        <v>1</v>
      </c>
      <c r="R28" s="2" t="inlineStr">
        <is>
          <t>Revlummer</t>
        </is>
      </c>
      <c r="S28">
        <f>HYPERLINK("https://klasma.github.io/Logging_1293/artfynd/A 40613-2025 artfynd.xlsx", "A 40613-2025")</f>
        <v/>
      </c>
      <c r="T28">
        <f>HYPERLINK("https://klasma.github.io/Logging_1293/kartor/A 40613-2025 karta.png", "A 40613-2025")</f>
        <v/>
      </c>
      <c r="V28">
        <f>HYPERLINK("https://klasma.github.io/Logging_1293/klagomål/A 40613-2025 FSC-klagomål.docx", "A 40613-2025")</f>
        <v/>
      </c>
      <c r="W28">
        <f>HYPERLINK("https://klasma.github.io/Logging_1293/klagomålsmail/A 40613-2025 FSC-klagomål mail.docx", "A 40613-2025")</f>
        <v/>
      </c>
      <c r="X28">
        <f>HYPERLINK("https://klasma.github.io/Logging_1293/tillsyn/A 40613-2025 tillsynsbegäran.docx", "A 40613-2025")</f>
        <v/>
      </c>
      <c r="Y28">
        <f>HYPERLINK("https://klasma.github.io/Logging_1293/tillsynsmail/A 40613-2025 tillsynsbegäran mail.docx", "A 40613-2025")</f>
        <v/>
      </c>
    </row>
    <row r="29" ht="15" customHeight="1">
      <c r="A29" t="inlineStr">
        <is>
          <t>A 9289-2025</t>
        </is>
      </c>
      <c r="B29" s="1" t="n">
        <v>45714</v>
      </c>
      <c r="C29" s="1" t="n">
        <v>45907</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4619-2025</t>
        </is>
      </c>
      <c r="B30" s="1" t="n">
        <v>45687</v>
      </c>
      <c r="C30" s="1" t="n">
        <v>45907</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45907</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4725-2025</t>
        </is>
      </c>
      <c r="B32" s="1" t="n">
        <v>45688.42583333333</v>
      </c>
      <c r="C32" s="1" t="n">
        <v>45907</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14933-2023</t>
        </is>
      </c>
      <c r="B33" s="1" t="n">
        <v>45014</v>
      </c>
      <c r="C33" s="1" t="n">
        <v>45907</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45907</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7862-2024</t>
        </is>
      </c>
      <c r="B35" s="1" t="n">
        <v>45348</v>
      </c>
      <c r="C35" s="1" t="n">
        <v>45907</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8223-2025</t>
        </is>
      </c>
      <c r="B36" s="1" t="n">
        <v>45708.46127314815</v>
      </c>
      <c r="C36" s="1" t="n">
        <v>45907</v>
      </c>
      <c r="D36" t="inlineStr">
        <is>
          <t>SKÅNE LÄN</t>
        </is>
      </c>
      <c r="E36" t="inlineStr">
        <is>
          <t>HÄSSLEHOLM</t>
        </is>
      </c>
      <c r="G36" t="n">
        <v>0.8</v>
      </c>
      <c r="H36" t="n">
        <v>1</v>
      </c>
      <c r="I36" t="n">
        <v>0</v>
      </c>
      <c r="J36" t="n">
        <v>0</v>
      </c>
      <c r="K36" t="n">
        <v>0</v>
      </c>
      <c r="L36" t="n">
        <v>0</v>
      </c>
      <c r="M36" t="n">
        <v>0</v>
      </c>
      <c r="N36" t="n">
        <v>0</v>
      </c>
      <c r="O36" t="n">
        <v>0</v>
      </c>
      <c r="P36" t="n">
        <v>0</v>
      </c>
      <c r="Q36" t="n">
        <v>1</v>
      </c>
      <c r="R36" s="2" t="inlineStr">
        <is>
          <t>Kungsfågel</t>
        </is>
      </c>
      <c r="S36">
        <f>HYPERLINK("https://klasma.github.io/Logging_1293/artfynd/A 8223-2025 artfynd.xlsx", "A 8223-2025")</f>
        <v/>
      </c>
      <c r="T36">
        <f>HYPERLINK("https://klasma.github.io/Logging_1293/kartor/A 8223-2025 karta.png", "A 8223-2025")</f>
        <v/>
      </c>
      <c r="V36">
        <f>HYPERLINK("https://klasma.github.io/Logging_1293/klagomål/A 8223-2025 FSC-klagomål.docx", "A 8223-2025")</f>
        <v/>
      </c>
      <c r="W36">
        <f>HYPERLINK("https://klasma.github.io/Logging_1293/klagomålsmail/A 8223-2025 FSC-klagomål mail.docx", "A 8223-2025")</f>
        <v/>
      </c>
      <c r="X36">
        <f>HYPERLINK("https://klasma.github.io/Logging_1293/tillsyn/A 8223-2025 tillsynsbegäran.docx", "A 8223-2025")</f>
        <v/>
      </c>
      <c r="Y36">
        <f>HYPERLINK("https://klasma.github.io/Logging_1293/tillsynsmail/A 8223-2025 tillsynsbegäran mail.docx", "A 8223-2025")</f>
        <v/>
      </c>
      <c r="Z36">
        <f>HYPERLINK("https://klasma.github.io/Logging_1293/fåglar/A 8223-2025 prioriterade fågelarter.docx", "A 8223-2025")</f>
        <v/>
      </c>
    </row>
    <row r="37" ht="15" customHeight="1">
      <c r="A37" t="inlineStr">
        <is>
          <t>A 29272-2023</t>
        </is>
      </c>
      <c r="B37" s="1" t="n">
        <v>45105</v>
      </c>
      <c r="C37" s="1" t="n">
        <v>45907</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46602-2023</t>
        </is>
      </c>
      <c r="B38" s="1" t="n">
        <v>45194</v>
      </c>
      <c r="C38" s="1" t="n">
        <v>45907</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45907</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45907</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45907</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45907</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47531-2020</t>
        </is>
      </c>
      <c r="B43" s="1" t="n">
        <v>44098</v>
      </c>
      <c r="C43" s="1" t="n">
        <v>45907</v>
      </c>
      <c r="D43" t="inlineStr">
        <is>
          <t>SKÅNE LÄN</t>
        </is>
      </c>
      <c r="E43" t="inlineStr">
        <is>
          <t>HÄSSLEHOLM</t>
        </is>
      </c>
      <c r="G43" t="n">
        <v>0.3</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45907</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45907</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45907</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45907</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45907</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45907</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45907</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45907</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45907</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45907</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45907</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45907</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45907</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45907</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45907</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45907</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45907</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45907</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45907</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1445-2021</t>
        </is>
      </c>
      <c r="B64" s="1" t="n">
        <v>44208</v>
      </c>
      <c r="C64" s="1" t="n">
        <v>45907</v>
      </c>
      <c r="D64" t="inlineStr">
        <is>
          <t>SKÅNE LÄN</t>
        </is>
      </c>
      <c r="E64" t="inlineStr">
        <is>
          <t>HÄSSLEHOLM</t>
        </is>
      </c>
      <c r="G64" t="n">
        <v>4.6</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45907</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43600-2020</t>
        </is>
      </c>
      <c r="B66" s="1" t="n">
        <v>44082</v>
      </c>
      <c r="C66" s="1" t="n">
        <v>45907</v>
      </c>
      <c r="D66" t="inlineStr">
        <is>
          <t>SKÅNE LÄN</t>
        </is>
      </c>
      <c r="E66" t="inlineStr">
        <is>
          <t>HÄSSLEHOLM</t>
        </is>
      </c>
      <c r="F66" t="inlineStr">
        <is>
          <t>Kyrkan</t>
        </is>
      </c>
      <c r="G66" t="n">
        <v>0.9</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45907</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45907</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2509-2021</t>
        </is>
      </c>
      <c r="B69" s="1" t="n">
        <v>44214</v>
      </c>
      <c r="C69" s="1" t="n">
        <v>45907</v>
      </c>
      <c r="D69" t="inlineStr">
        <is>
          <t>SKÅNE LÄN</t>
        </is>
      </c>
      <c r="E69" t="inlineStr">
        <is>
          <t>HÄSSLEHOLM</t>
        </is>
      </c>
      <c r="G69" t="n">
        <v>1.1</v>
      </c>
      <c r="H69" t="n">
        <v>0</v>
      </c>
      <c r="I69" t="n">
        <v>0</v>
      </c>
      <c r="J69" t="n">
        <v>0</v>
      </c>
      <c r="K69" t="n">
        <v>0</v>
      </c>
      <c r="L69" t="n">
        <v>0</v>
      </c>
      <c r="M69" t="n">
        <v>0</v>
      </c>
      <c r="N69" t="n">
        <v>0</v>
      </c>
      <c r="O69" t="n">
        <v>0</v>
      </c>
      <c r="P69" t="n">
        <v>0</v>
      </c>
      <c r="Q69" t="n">
        <v>0</v>
      </c>
      <c r="R69" s="2" t="inlineStr"/>
    </row>
    <row r="70" ht="15" customHeight="1">
      <c r="A70" t="inlineStr">
        <is>
          <t>A 54175-2021</t>
        </is>
      </c>
      <c r="B70" s="1" t="n">
        <v>44470</v>
      </c>
      <c r="C70" s="1" t="n">
        <v>45907</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45907</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3483-2021</t>
        </is>
      </c>
      <c r="B72" s="1" t="n">
        <v>44218</v>
      </c>
      <c r="C72" s="1" t="n">
        <v>45907</v>
      </c>
      <c r="D72" t="inlineStr">
        <is>
          <t>SKÅNE LÄN</t>
        </is>
      </c>
      <c r="E72" t="inlineStr">
        <is>
          <t>HÄSSLEHOLM</t>
        </is>
      </c>
      <c r="G72" t="n">
        <v>2.1</v>
      </c>
      <c r="H72" t="n">
        <v>0</v>
      </c>
      <c r="I72" t="n">
        <v>0</v>
      </c>
      <c r="J72" t="n">
        <v>0</v>
      </c>
      <c r="K72" t="n">
        <v>0</v>
      </c>
      <c r="L72" t="n">
        <v>0</v>
      </c>
      <c r="M72" t="n">
        <v>0</v>
      </c>
      <c r="N72" t="n">
        <v>0</v>
      </c>
      <c r="O72" t="n">
        <v>0</v>
      </c>
      <c r="P72" t="n">
        <v>0</v>
      </c>
      <c r="Q72" t="n">
        <v>0</v>
      </c>
      <c r="R72" s="2" t="inlineStr"/>
    </row>
    <row r="73" ht="15" customHeight="1">
      <c r="A73" t="inlineStr">
        <is>
          <t>A 35727-2022</t>
        </is>
      </c>
      <c r="B73" s="1" t="n">
        <v>44799.71708333334</v>
      </c>
      <c r="C73" s="1" t="n">
        <v>45907</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45907</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45907</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45907</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45907</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74294-2021</t>
        </is>
      </c>
      <c r="B78" s="1" t="n">
        <v>44558</v>
      </c>
      <c r="C78" s="1" t="n">
        <v>45907</v>
      </c>
      <c r="D78" t="inlineStr">
        <is>
          <t>SKÅNE LÄN</t>
        </is>
      </c>
      <c r="E78" t="inlineStr">
        <is>
          <t>HÄSSLEHOLM</t>
        </is>
      </c>
      <c r="F78" t="inlineStr">
        <is>
          <t>Kyrkan</t>
        </is>
      </c>
      <c r="G78" t="n">
        <v>16.2</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45907</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45907</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45907</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45907</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45907</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45907</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45907</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45907</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45907</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45907</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45907</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45907</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45907</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45907</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45907</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45907</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45907</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45907</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45907</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45907</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45907</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45907</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45907</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45907</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45907</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45907</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45907</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45907</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45907</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45907</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45907</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45907</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45907</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45907</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45907</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45907</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3447-2021</t>
        </is>
      </c>
      <c r="B115" s="1" t="n">
        <v>44218</v>
      </c>
      <c r="C115" s="1" t="n">
        <v>45907</v>
      </c>
      <c r="D115" t="inlineStr">
        <is>
          <t>SKÅNE LÄN</t>
        </is>
      </c>
      <c r="E115" t="inlineStr">
        <is>
          <t>HÄSSLEHOLM</t>
        </is>
      </c>
      <c r="G115" t="n">
        <v>3.9</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45907</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45907</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45907</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45907</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45907</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45907</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45907</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45907</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45907</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45907</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45907</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45907</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45907</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45907</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44328-2021</t>
        </is>
      </c>
      <c r="B130" s="1" t="n">
        <v>44435</v>
      </c>
      <c r="C130" s="1" t="n">
        <v>45907</v>
      </c>
      <c r="D130" t="inlineStr">
        <is>
          <t>SKÅNE LÄN</t>
        </is>
      </c>
      <c r="E130" t="inlineStr">
        <is>
          <t>HÄSSLEHOLM</t>
        </is>
      </c>
      <c r="G130" t="n">
        <v>2.7</v>
      </c>
      <c r="H130" t="n">
        <v>0</v>
      </c>
      <c r="I130" t="n">
        <v>0</v>
      </c>
      <c r="J130" t="n">
        <v>0</v>
      </c>
      <c r="K130" t="n">
        <v>0</v>
      </c>
      <c r="L130" t="n">
        <v>0</v>
      </c>
      <c r="M130" t="n">
        <v>0</v>
      </c>
      <c r="N130" t="n">
        <v>0</v>
      </c>
      <c r="O130" t="n">
        <v>0</v>
      </c>
      <c r="P130" t="n">
        <v>0</v>
      </c>
      <c r="Q130" t="n">
        <v>0</v>
      </c>
      <c r="R130" s="2" t="inlineStr"/>
    </row>
    <row r="131" ht="15" customHeight="1">
      <c r="A131" t="inlineStr">
        <is>
          <t>A 34684-2021</t>
        </is>
      </c>
      <c r="B131" s="1" t="n">
        <v>44382</v>
      </c>
      <c r="C131" s="1" t="n">
        <v>45907</v>
      </c>
      <c r="D131" t="inlineStr">
        <is>
          <t>SKÅNE LÄN</t>
        </is>
      </c>
      <c r="E131" t="inlineStr">
        <is>
          <t>HÄSSLEHOLM</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45907</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45907</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45907</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43580-2020</t>
        </is>
      </c>
      <c r="B135" s="1" t="n">
        <v>44082</v>
      </c>
      <c r="C135" s="1" t="n">
        <v>45907</v>
      </c>
      <c r="D135" t="inlineStr">
        <is>
          <t>SKÅNE LÄN</t>
        </is>
      </c>
      <c r="E135" t="inlineStr">
        <is>
          <t>HÄSSLEHOLM</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15118-2022</t>
        </is>
      </c>
      <c r="B136" s="1" t="n">
        <v>44659</v>
      </c>
      <c r="C136" s="1" t="n">
        <v>45907</v>
      </c>
      <c r="D136" t="inlineStr">
        <is>
          <t>SKÅNE LÄN</t>
        </is>
      </c>
      <c r="E136" t="inlineStr">
        <is>
          <t>HÄSSLEHOLM</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45555-2020</t>
        </is>
      </c>
      <c r="B137" s="1" t="n">
        <v>44089</v>
      </c>
      <c r="C137" s="1" t="n">
        <v>45907</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45907</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7701-2021</t>
        </is>
      </c>
      <c r="B139" s="1" t="n">
        <v>44242</v>
      </c>
      <c r="C139" s="1" t="n">
        <v>45907</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3276-2022</t>
        </is>
      </c>
      <c r="B140" s="1" t="n">
        <v>44584.40916666666</v>
      </c>
      <c r="C140" s="1" t="n">
        <v>45907</v>
      </c>
      <c r="D140" t="inlineStr">
        <is>
          <t>SKÅNE LÄN</t>
        </is>
      </c>
      <c r="E140" t="inlineStr">
        <is>
          <t>HÄSSLEHOLM</t>
        </is>
      </c>
      <c r="G140" t="n">
        <v>0.2</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45907</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63972-2021</t>
        </is>
      </c>
      <c r="B142" s="1" t="n">
        <v>44509.89649305555</v>
      </c>
      <c r="C142" s="1" t="n">
        <v>45907</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45907</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45907</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2952-2021</t>
        </is>
      </c>
      <c r="B145" s="1" t="n">
        <v>44216</v>
      </c>
      <c r="C145" s="1" t="n">
        <v>45907</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52852-2020</t>
        </is>
      </c>
      <c r="B146" s="1" t="n">
        <v>44119</v>
      </c>
      <c r="C146" s="1" t="n">
        <v>45907</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5564-2022</t>
        </is>
      </c>
      <c r="B147" s="1" t="n">
        <v>44595</v>
      </c>
      <c r="C147" s="1" t="n">
        <v>45907</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37334-2021</t>
        </is>
      </c>
      <c r="B148" s="1" t="n">
        <v>44397.57800925926</v>
      </c>
      <c r="C148" s="1" t="n">
        <v>45907</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45907</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21535-2021</t>
        </is>
      </c>
      <c r="B150" s="1" t="n">
        <v>44321</v>
      </c>
      <c r="C150" s="1" t="n">
        <v>45907</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34027-2021</t>
        </is>
      </c>
      <c r="B151" s="1" t="n">
        <v>44379</v>
      </c>
      <c r="C151" s="1" t="n">
        <v>45907</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32792-2021</t>
        </is>
      </c>
      <c r="B152" s="1" t="n">
        <v>44375</v>
      </c>
      <c r="C152" s="1" t="n">
        <v>45907</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3167-2022</t>
        </is>
      </c>
      <c r="B153" s="1" t="n">
        <v>44582</v>
      </c>
      <c r="C153" s="1" t="n">
        <v>45907</v>
      </c>
      <c r="D153" t="inlineStr">
        <is>
          <t>SKÅNE LÄN</t>
        </is>
      </c>
      <c r="E153" t="inlineStr">
        <is>
          <t>HÄSSLEHOLM</t>
        </is>
      </c>
      <c r="F153" t="inlineStr">
        <is>
          <t>Kommuner</t>
        </is>
      </c>
      <c r="G153" t="n">
        <v>1.5</v>
      </c>
      <c r="H153" t="n">
        <v>0</v>
      </c>
      <c r="I153" t="n">
        <v>0</v>
      </c>
      <c r="J153" t="n">
        <v>0</v>
      </c>
      <c r="K153" t="n">
        <v>0</v>
      </c>
      <c r="L153" t="n">
        <v>0</v>
      </c>
      <c r="M153" t="n">
        <v>0</v>
      </c>
      <c r="N153" t="n">
        <v>0</v>
      </c>
      <c r="O153" t="n">
        <v>0</v>
      </c>
      <c r="P153" t="n">
        <v>0</v>
      </c>
      <c r="Q153" t="n">
        <v>0</v>
      </c>
      <c r="R153" s="2" t="inlineStr"/>
    </row>
    <row r="154" ht="15" customHeight="1">
      <c r="A154" t="inlineStr">
        <is>
          <t>A 33736-2021</t>
        </is>
      </c>
      <c r="B154" s="1" t="n">
        <v>44378</v>
      </c>
      <c r="C154" s="1" t="n">
        <v>45907</v>
      </c>
      <c r="D154" t="inlineStr">
        <is>
          <t>SKÅNE LÄN</t>
        </is>
      </c>
      <c r="E154" t="inlineStr">
        <is>
          <t>HÄSSLEHOLM</t>
        </is>
      </c>
      <c r="G154" t="n">
        <v>7.6</v>
      </c>
      <c r="H154" t="n">
        <v>0</v>
      </c>
      <c r="I154" t="n">
        <v>0</v>
      </c>
      <c r="J154" t="n">
        <v>0</v>
      </c>
      <c r="K154" t="n">
        <v>0</v>
      </c>
      <c r="L154" t="n">
        <v>0</v>
      </c>
      <c r="M154" t="n">
        <v>0</v>
      </c>
      <c r="N154" t="n">
        <v>0</v>
      </c>
      <c r="O154" t="n">
        <v>0</v>
      </c>
      <c r="P154" t="n">
        <v>0</v>
      </c>
      <c r="Q154" t="n">
        <v>0</v>
      </c>
      <c r="R154" s="2" t="inlineStr"/>
    </row>
    <row r="155" ht="15" customHeight="1">
      <c r="A155" t="inlineStr">
        <is>
          <t>A 40702-2021</t>
        </is>
      </c>
      <c r="B155" s="1" t="n">
        <v>44420.61719907408</v>
      </c>
      <c r="C155" s="1" t="n">
        <v>45907</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1535-2022</t>
        </is>
      </c>
      <c r="B156" s="1" t="n">
        <v>44573</v>
      </c>
      <c r="C156" s="1" t="n">
        <v>45907</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45907</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45907</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4161-2022</t>
        </is>
      </c>
      <c r="B159" s="1" t="n">
        <v>44588</v>
      </c>
      <c r="C159" s="1" t="n">
        <v>45907</v>
      </c>
      <c r="D159" t="inlineStr">
        <is>
          <t>SKÅNE LÄN</t>
        </is>
      </c>
      <c r="E159" t="inlineStr">
        <is>
          <t>HÄSSLEHOLM</t>
        </is>
      </c>
      <c r="G159" t="n">
        <v>0.5</v>
      </c>
      <c r="H159" t="n">
        <v>0</v>
      </c>
      <c r="I159" t="n">
        <v>0</v>
      </c>
      <c r="J159" t="n">
        <v>0</v>
      </c>
      <c r="K159" t="n">
        <v>0</v>
      </c>
      <c r="L159" t="n">
        <v>0</v>
      </c>
      <c r="M159" t="n">
        <v>0</v>
      </c>
      <c r="N159" t="n">
        <v>0</v>
      </c>
      <c r="O159" t="n">
        <v>0</v>
      </c>
      <c r="P159" t="n">
        <v>0</v>
      </c>
      <c r="Q159" t="n">
        <v>0</v>
      </c>
      <c r="R159" s="2" t="inlineStr"/>
    </row>
    <row r="160" ht="15" customHeight="1">
      <c r="A160" t="inlineStr">
        <is>
          <t>A 21029-2021</t>
        </is>
      </c>
      <c r="B160" s="1" t="n">
        <v>44319.63366898148</v>
      </c>
      <c r="C160" s="1" t="n">
        <v>45907</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64607-2021</t>
        </is>
      </c>
      <c r="B161" s="1" t="n">
        <v>44511</v>
      </c>
      <c r="C161" s="1" t="n">
        <v>45907</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45907</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45907</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18515-2021</t>
        </is>
      </c>
      <c r="B164" s="1" t="n">
        <v>44305</v>
      </c>
      <c r="C164" s="1" t="n">
        <v>45907</v>
      </c>
      <c r="D164" t="inlineStr">
        <is>
          <t>SKÅNE LÄN</t>
        </is>
      </c>
      <c r="E164" t="inlineStr">
        <is>
          <t>HÄSSLEHOLM</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18523-2021</t>
        </is>
      </c>
      <c r="B165" s="1" t="n">
        <v>44305</v>
      </c>
      <c r="C165" s="1" t="n">
        <v>45907</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12617-2021</t>
        </is>
      </c>
      <c r="B166" s="1" t="n">
        <v>44270.45030092593</v>
      </c>
      <c r="C166" s="1" t="n">
        <v>45907</v>
      </c>
      <c r="D166" t="inlineStr">
        <is>
          <t>SKÅNE LÄN</t>
        </is>
      </c>
      <c r="E166" t="inlineStr">
        <is>
          <t>HÄSSLEHOLM</t>
        </is>
      </c>
      <c r="G166" t="n">
        <v>1.2</v>
      </c>
      <c r="H166" t="n">
        <v>0</v>
      </c>
      <c r="I166" t="n">
        <v>0</v>
      </c>
      <c r="J166" t="n">
        <v>0</v>
      </c>
      <c r="K166" t="n">
        <v>0</v>
      </c>
      <c r="L166" t="n">
        <v>0</v>
      </c>
      <c r="M166" t="n">
        <v>0</v>
      </c>
      <c r="N166" t="n">
        <v>0</v>
      </c>
      <c r="O166" t="n">
        <v>0</v>
      </c>
      <c r="P166" t="n">
        <v>0</v>
      </c>
      <c r="Q166" t="n">
        <v>0</v>
      </c>
      <c r="R166" s="2" t="inlineStr"/>
    </row>
    <row r="167" ht="15" customHeight="1">
      <c r="A167" t="inlineStr">
        <is>
          <t>A 2631-2022</t>
        </is>
      </c>
      <c r="B167" s="1" t="n">
        <v>44580</v>
      </c>
      <c r="C167" s="1" t="n">
        <v>45907</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15423-2022</t>
        </is>
      </c>
      <c r="B168" s="1" t="n">
        <v>44659</v>
      </c>
      <c r="C168" s="1" t="n">
        <v>45907</v>
      </c>
      <c r="D168" t="inlineStr">
        <is>
          <t>SKÅNE LÄN</t>
        </is>
      </c>
      <c r="E168" t="inlineStr">
        <is>
          <t>HÄSSLEHOLM</t>
        </is>
      </c>
      <c r="F168" t="inlineStr">
        <is>
          <t>Kyrkan</t>
        </is>
      </c>
      <c r="G168" t="n">
        <v>0.9</v>
      </c>
      <c r="H168" t="n">
        <v>0</v>
      </c>
      <c r="I168" t="n">
        <v>0</v>
      </c>
      <c r="J168" t="n">
        <v>0</v>
      </c>
      <c r="K168" t="n">
        <v>0</v>
      </c>
      <c r="L168" t="n">
        <v>0</v>
      </c>
      <c r="M168" t="n">
        <v>0</v>
      </c>
      <c r="N168" t="n">
        <v>0</v>
      </c>
      <c r="O168" t="n">
        <v>0</v>
      </c>
      <c r="P168" t="n">
        <v>0</v>
      </c>
      <c r="Q168" t="n">
        <v>0</v>
      </c>
      <c r="R168" s="2" t="inlineStr"/>
    </row>
    <row r="169" ht="15" customHeight="1">
      <c r="A169" t="inlineStr">
        <is>
          <t>A 50371-2020</t>
        </is>
      </c>
      <c r="B169" s="1" t="n">
        <v>44110.44322916667</v>
      </c>
      <c r="C169" s="1" t="n">
        <v>45907</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56989-2021</t>
        </is>
      </c>
      <c r="B170" s="1" t="n">
        <v>44482</v>
      </c>
      <c r="C170" s="1" t="n">
        <v>45907</v>
      </c>
      <c r="D170" t="inlineStr">
        <is>
          <t>SKÅNE LÄN</t>
        </is>
      </c>
      <c r="E170" t="inlineStr">
        <is>
          <t>HÄSSLEHOLM</t>
        </is>
      </c>
      <c r="G170" t="n">
        <v>1.1</v>
      </c>
      <c r="H170" t="n">
        <v>0</v>
      </c>
      <c r="I170" t="n">
        <v>0</v>
      </c>
      <c r="J170" t="n">
        <v>0</v>
      </c>
      <c r="K170" t="n">
        <v>0</v>
      </c>
      <c r="L170" t="n">
        <v>0</v>
      </c>
      <c r="M170" t="n">
        <v>0</v>
      </c>
      <c r="N170" t="n">
        <v>0</v>
      </c>
      <c r="O170" t="n">
        <v>0</v>
      </c>
      <c r="P170" t="n">
        <v>0</v>
      </c>
      <c r="Q170" t="n">
        <v>0</v>
      </c>
      <c r="R170" s="2" t="inlineStr"/>
    </row>
    <row r="171" ht="15" customHeight="1">
      <c r="A171" t="inlineStr">
        <is>
          <t>A 51159-2021</t>
        </is>
      </c>
      <c r="B171" s="1" t="n">
        <v>44461</v>
      </c>
      <c r="C171" s="1" t="n">
        <v>45907</v>
      </c>
      <c r="D171" t="inlineStr">
        <is>
          <t>SKÅNE LÄN</t>
        </is>
      </c>
      <c r="E171" t="inlineStr">
        <is>
          <t>HÄSSLEHOLM</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25383-2021</t>
        </is>
      </c>
      <c r="B172" s="1" t="n">
        <v>44342</v>
      </c>
      <c r="C172" s="1" t="n">
        <v>45907</v>
      </c>
      <c r="D172" t="inlineStr">
        <is>
          <t>SKÅNE LÄN</t>
        </is>
      </c>
      <c r="E172" t="inlineStr">
        <is>
          <t>HÄSSLEHOLM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57811-2020</t>
        </is>
      </c>
      <c r="B173" s="1" t="n">
        <v>44141</v>
      </c>
      <c r="C173" s="1" t="n">
        <v>45907</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60260-2021</t>
        </is>
      </c>
      <c r="B174" s="1" t="n">
        <v>44495</v>
      </c>
      <c r="C174" s="1" t="n">
        <v>45907</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59542-2020</t>
        </is>
      </c>
      <c r="B175" s="1" t="n">
        <v>44148</v>
      </c>
      <c r="C175" s="1" t="n">
        <v>45907</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45907</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27330-2021</t>
        </is>
      </c>
      <c r="B177" s="1" t="n">
        <v>44351</v>
      </c>
      <c r="C177" s="1" t="n">
        <v>45907</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7729-2021</t>
        </is>
      </c>
      <c r="B178" s="1" t="n">
        <v>44242</v>
      </c>
      <c r="C178" s="1" t="n">
        <v>45907</v>
      </c>
      <c r="D178" t="inlineStr">
        <is>
          <t>SKÅNE LÄN</t>
        </is>
      </c>
      <c r="E178" t="inlineStr">
        <is>
          <t>HÄSSLEHOLM</t>
        </is>
      </c>
      <c r="G178" t="n">
        <v>0.8</v>
      </c>
      <c r="H178" t="n">
        <v>0</v>
      </c>
      <c r="I178" t="n">
        <v>0</v>
      </c>
      <c r="J178" t="n">
        <v>0</v>
      </c>
      <c r="K178" t="n">
        <v>0</v>
      </c>
      <c r="L178" t="n">
        <v>0</v>
      </c>
      <c r="M178" t="n">
        <v>0</v>
      </c>
      <c r="N178" t="n">
        <v>0</v>
      </c>
      <c r="O178" t="n">
        <v>0</v>
      </c>
      <c r="P178" t="n">
        <v>0</v>
      </c>
      <c r="Q178" t="n">
        <v>0</v>
      </c>
      <c r="R178" s="2" t="inlineStr"/>
    </row>
    <row r="179" ht="15" customHeight="1">
      <c r="A179" t="inlineStr">
        <is>
          <t>A 197-2021</t>
        </is>
      </c>
      <c r="B179" s="1" t="n">
        <v>44200</v>
      </c>
      <c r="C179" s="1" t="n">
        <v>45907</v>
      </c>
      <c r="D179" t="inlineStr">
        <is>
          <t>SKÅNE LÄN</t>
        </is>
      </c>
      <c r="E179" t="inlineStr">
        <is>
          <t>HÄSSLEHOLM</t>
        </is>
      </c>
      <c r="G179" t="n">
        <v>12.9</v>
      </c>
      <c r="H179" t="n">
        <v>0</v>
      </c>
      <c r="I179" t="n">
        <v>0</v>
      </c>
      <c r="J179" t="n">
        <v>0</v>
      </c>
      <c r="K179" t="n">
        <v>0</v>
      </c>
      <c r="L179" t="n">
        <v>0</v>
      </c>
      <c r="M179" t="n">
        <v>0</v>
      </c>
      <c r="N179" t="n">
        <v>0</v>
      </c>
      <c r="O179" t="n">
        <v>0</v>
      </c>
      <c r="P179" t="n">
        <v>0</v>
      </c>
      <c r="Q179" t="n">
        <v>0</v>
      </c>
      <c r="R179" s="2" t="inlineStr"/>
    </row>
    <row r="180" ht="15" customHeight="1">
      <c r="A180" t="inlineStr">
        <is>
          <t>A 59302-2020</t>
        </is>
      </c>
      <c r="B180" s="1" t="n">
        <v>44147</v>
      </c>
      <c r="C180" s="1" t="n">
        <v>45907</v>
      </c>
      <c r="D180" t="inlineStr">
        <is>
          <t>SKÅNE LÄN</t>
        </is>
      </c>
      <c r="E180" t="inlineStr">
        <is>
          <t>HÄSSLEHOLM</t>
        </is>
      </c>
      <c r="G180" t="n">
        <v>11.2</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45907</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15986-2022</t>
        </is>
      </c>
      <c r="B182" s="1" t="n">
        <v>44664</v>
      </c>
      <c r="C182" s="1" t="n">
        <v>45907</v>
      </c>
      <c r="D182" t="inlineStr">
        <is>
          <t>SKÅNE LÄN</t>
        </is>
      </c>
      <c r="E182" t="inlineStr">
        <is>
          <t>HÄSSLEHOLM</t>
        </is>
      </c>
      <c r="F182" t="inlineStr">
        <is>
          <t>Kyrkan</t>
        </is>
      </c>
      <c r="G182" t="n">
        <v>6</v>
      </c>
      <c r="H182" t="n">
        <v>0</v>
      </c>
      <c r="I182" t="n">
        <v>0</v>
      </c>
      <c r="J182" t="n">
        <v>0</v>
      </c>
      <c r="K182" t="n">
        <v>0</v>
      </c>
      <c r="L182" t="n">
        <v>0</v>
      </c>
      <c r="M182" t="n">
        <v>0</v>
      </c>
      <c r="N182" t="n">
        <v>0</v>
      </c>
      <c r="O182" t="n">
        <v>0</v>
      </c>
      <c r="P182" t="n">
        <v>0</v>
      </c>
      <c r="Q182" t="n">
        <v>0</v>
      </c>
      <c r="R182" s="2" t="inlineStr"/>
    </row>
    <row r="183" ht="15" customHeight="1">
      <c r="A183" t="inlineStr">
        <is>
          <t>A 51893-2021</t>
        </is>
      </c>
      <c r="B183" s="1" t="n">
        <v>44462</v>
      </c>
      <c r="C183" s="1" t="n">
        <v>45907</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45907</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45907</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52786-2021</t>
        </is>
      </c>
      <c r="B186" s="1" t="n">
        <v>44467.36061342592</v>
      </c>
      <c r="C186" s="1" t="n">
        <v>45907</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45907</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44669-2022</t>
        </is>
      </c>
      <c r="B188" s="1" t="n">
        <v>44840</v>
      </c>
      <c r="C188" s="1" t="n">
        <v>45907</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354-2022</t>
        </is>
      </c>
      <c r="B189" s="1" t="n">
        <v>44565.62510416667</v>
      </c>
      <c r="C189" s="1" t="n">
        <v>45907</v>
      </c>
      <c r="D189" t="inlineStr">
        <is>
          <t>SKÅNE LÄN</t>
        </is>
      </c>
      <c r="E189" t="inlineStr">
        <is>
          <t>HÄSSLEHOLM</t>
        </is>
      </c>
      <c r="G189" t="n">
        <v>2.4</v>
      </c>
      <c r="H189" t="n">
        <v>0</v>
      </c>
      <c r="I189" t="n">
        <v>0</v>
      </c>
      <c r="J189" t="n">
        <v>0</v>
      </c>
      <c r="K189" t="n">
        <v>0</v>
      </c>
      <c r="L189" t="n">
        <v>0</v>
      </c>
      <c r="M189" t="n">
        <v>0</v>
      </c>
      <c r="N189" t="n">
        <v>0</v>
      </c>
      <c r="O189" t="n">
        <v>0</v>
      </c>
      <c r="P189" t="n">
        <v>0</v>
      </c>
      <c r="Q189" t="n">
        <v>0</v>
      </c>
      <c r="R189" s="2" t="inlineStr"/>
    </row>
    <row r="190" ht="15" customHeight="1">
      <c r="A190" t="inlineStr">
        <is>
          <t>A 26386-2022</t>
        </is>
      </c>
      <c r="B190" s="1" t="n">
        <v>44735.6803125</v>
      </c>
      <c r="C190" s="1" t="n">
        <v>45907</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32892-2021</t>
        </is>
      </c>
      <c r="B191" s="1" t="n">
        <v>44375</v>
      </c>
      <c r="C191" s="1" t="n">
        <v>45907</v>
      </c>
      <c r="D191" t="inlineStr">
        <is>
          <t>SKÅNE LÄN</t>
        </is>
      </c>
      <c r="E191" t="inlineStr">
        <is>
          <t>HÄSSLEHOLM</t>
        </is>
      </c>
      <c r="G191" t="n">
        <v>2.9</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45907</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1461-2021</t>
        </is>
      </c>
      <c r="B193" s="1" t="n">
        <v>44208</v>
      </c>
      <c r="C193" s="1" t="n">
        <v>45907</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73513-2021</t>
        </is>
      </c>
      <c r="B194" s="1" t="n">
        <v>44551.69012731482</v>
      </c>
      <c r="C194" s="1" t="n">
        <v>45907</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45907</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39102-2022</t>
        </is>
      </c>
      <c r="B196" s="1" t="n">
        <v>44817.43260416666</v>
      </c>
      <c r="C196" s="1" t="n">
        <v>45907</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69198-2020</t>
        </is>
      </c>
      <c r="B197" s="1" t="n">
        <v>44191</v>
      </c>
      <c r="C197" s="1" t="n">
        <v>45907</v>
      </c>
      <c r="D197" t="inlineStr">
        <is>
          <t>SKÅNE LÄN</t>
        </is>
      </c>
      <c r="E197" t="inlineStr">
        <is>
          <t>HÄSSLEHOLM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45907</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47112-2021</t>
        </is>
      </c>
      <c r="B199" s="1" t="n">
        <v>44446</v>
      </c>
      <c r="C199" s="1" t="n">
        <v>45907</v>
      </c>
      <c r="D199" t="inlineStr">
        <is>
          <t>SKÅNE LÄN</t>
        </is>
      </c>
      <c r="E199" t="inlineStr">
        <is>
          <t>HÄSSLEHOLM</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45357-2022</t>
        </is>
      </c>
      <c r="B200" s="1" t="n">
        <v>44844.61952546296</v>
      </c>
      <c r="C200" s="1" t="n">
        <v>45907</v>
      </c>
      <c r="D200" t="inlineStr">
        <is>
          <t>SKÅNE LÄN</t>
        </is>
      </c>
      <c r="E200" t="inlineStr">
        <is>
          <t>HÄSSLEHOLM</t>
        </is>
      </c>
      <c r="G200" t="n">
        <v>5.8</v>
      </c>
      <c r="H200" t="n">
        <v>0</v>
      </c>
      <c r="I200" t="n">
        <v>0</v>
      </c>
      <c r="J200" t="n">
        <v>0</v>
      </c>
      <c r="K200" t="n">
        <v>0</v>
      </c>
      <c r="L200" t="n">
        <v>0</v>
      </c>
      <c r="M200" t="n">
        <v>0</v>
      </c>
      <c r="N200" t="n">
        <v>0</v>
      </c>
      <c r="O200" t="n">
        <v>0</v>
      </c>
      <c r="P200" t="n">
        <v>0</v>
      </c>
      <c r="Q200" t="n">
        <v>0</v>
      </c>
      <c r="R200" s="2" t="inlineStr"/>
    </row>
    <row r="201" ht="15" customHeight="1">
      <c r="A201" t="inlineStr">
        <is>
          <t>A 45989-2021</t>
        </is>
      </c>
      <c r="B201" s="1" t="n">
        <v>44441.74627314815</v>
      </c>
      <c r="C201" s="1" t="n">
        <v>45907</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48792-2020</t>
        </is>
      </c>
      <c r="B202" s="1" t="n">
        <v>44103</v>
      </c>
      <c r="C202" s="1" t="n">
        <v>45907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7248-2021</t>
        </is>
      </c>
      <c r="B203" s="1" t="n">
        <v>44236</v>
      </c>
      <c r="C203" s="1" t="n">
        <v>45907</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2858-2022</t>
        </is>
      </c>
      <c r="B204" s="1" t="n">
        <v>44581</v>
      </c>
      <c r="C204" s="1" t="n">
        <v>45907</v>
      </c>
      <c r="D204" t="inlineStr">
        <is>
          <t>SKÅNE LÄN</t>
        </is>
      </c>
      <c r="E204" t="inlineStr">
        <is>
          <t>HÄSSLEHOLM</t>
        </is>
      </c>
      <c r="F204" t="inlineStr">
        <is>
          <t>Övriga Aktiebolag</t>
        </is>
      </c>
      <c r="G204" t="n">
        <v>1.3</v>
      </c>
      <c r="H204" t="n">
        <v>0</v>
      </c>
      <c r="I204" t="n">
        <v>0</v>
      </c>
      <c r="J204" t="n">
        <v>0</v>
      </c>
      <c r="K204" t="n">
        <v>0</v>
      </c>
      <c r="L204" t="n">
        <v>0</v>
      </c>
      <c r="M204" t="n">
        <v>0</v>
      </c>
      <c r="N204" t="n">
        <v>0</v>
      </c>
      <c r="O204" t="n">
        <v>0</v>
      </c>
      <c r="P204" t="n">
        <v>0</v>
      </c>
      <c r="Q204" t="n">
        <v>0</v>
      </c>
      <c r="R204" s="2" t="inlineStr"/>
    </row>
    <row r="205" ht="15" customHeight="1">
      <c r="A205" t="inlineStr">
        <is>
          <t>A 6414-2022</t>
        </is>
      </c>
      <c r="B205" s="1" t="n">
        <v>44600</v>
      </c>
      <c r="C205" s="1" t="n">
        <v>45907</v>
      </c>
      <c r="D205" t="inlineStr">
        <is>
          <t>SKÅNE LÄN</t>
        </is>
      </c>
      <c r="E205" t="inlineStr">
        <is>
          <t>HÄSSLEHOLM</t>
        </is>
      </c>
      <c r="G205" t="n">
        <v>2.9</v>
      </c>
      <c r="H205" t="n">
        <v>0</v>
      </c>
      <c r="I205" t="n">
        <v>0</v>
      </c>
      <c r="J205" t="n">
        <v>0</v>
      </c>
      <c r="K205" t="n">
        <v>0</v>
      </c>
      <c r="L205" t="n">
        <v>0</v>
      </c>
      <c r="M205" t="n">
        <v>0</v>
      </c>
      <c r="N205" t="n">
        <v>0</v>
      </c>
      <c r="O205" t="n">
        <v>0</v>
      </c>
      <c r="P205" t="n">
        <v>0</v>
      </c>
      <c r="Q205" t="n">
        <v>0</v>
      </c>
      <c r="R205" s="2" t="inlineStr"/>
    </row>
    <row r="206" ht="15" customHeight="1">
      <c r="A206" t="inlineStr">
        <is>
          <t>A 54079-2020</t>
        </is>
      </c>
      <c r="B206" s="1" t="n">
        <v>44125.61570601852</v>
      </c>
      <c r="C206" s="1" t="n">
        <v>45907</v>
      </c>
      <c r="D206" t="inlineStr">
        <is>
          <t>SKÅNE LÄN</t>
        </is>
      </c>
      <c r="E206" t="inlineStr">
        <is>
          <t>HÄSSLEHOLM</t>
        </is>
      </c>
      <c r="G206" t="n">
        <v>0.3</v>
      </c>
      <c r="H206" t="n">
        <v>0</v>
      </c>
      <c r="I206" t="n">
        <v>0</v>
      </c>
      <c r="J206" t="n">
        <v>0</v>
      </c>
      <c r="K206" t="n">
        <v>0</v>
      </c>
      <c r="L206" t="n">
        <v>0</v>
      </c>
      <c r="M206" t="n">
        <v>0</v>
      </c>
      <c r="N206" t="n">
        <v>0</v>
      </c>
      <c r="O206" t="n">
        <v>0</v>
      </c>
      <c r="P206" t="n">
        <v>0</v>
      </c>
      <c r="Q206" t="n">
        <v>0</v>
      </c>
      <c r="R206" s="2" t="inlineStr"/>
    </row>
    <row r="207" ht="15" customHeight="1">
      <c r="A207" t="inlineStr">
        <is>
          <t>A 27959-2022</t>
        </is>
      </c>
      <c r="B207" s="1" t="n">
        <v>44744</v>
      </c>
      <c r="C207" s="1" t="n">
        <v>45907</v>
      </c>
      <c r="D207" t="inlineStr">
        <is>
          <t>SKÅNE LÄN</t>
        </is>
      </c>
      <c r="E207" t="inlineStr">
        <is>
          <t>HÄSSLEHOLM</t>
        </is>
      </c>
      <c r="G207" t="n">
        <v>3</v>
      </c>
      <c r="H207" t="n">
        <v>0</v>
      </c>
      <c r="I207" t="n">
        <v>0</v>
      </c>
      <c r="J207" t="n">
        <v>0</v>
      </c>
      <c r="K207" t="n">
        <v>0</v>
      </c>
      <c r="L207" t="n">
        <v>0</v>
      </c>
      <c r="M207" t="n">
        <v>0</v>
      </c>
      <c r="N207" t="n">
        <v>0</v>
      </c>
      <c r="O207" t="n">
        <v>0</v>
      </c>
      <c r="P207" t="n">
        <v>0</v>
      </c>
      <c r="Q207" t="n">
        <v>0</v>
      </c>
      <c r="R207" s="2" t="inlineStr"/>
    </row>
    <row r="208" ht="15" customHeight="1">
      <c r="A208" t="inlineStr">
        <is>
          <t>A 56431-2021</t>
        </is>
      </c>
      <c r="B208" s="1" t="n">
        <v>44480</v>
      </c>
      <c r="C208" s="1" t="n">
        <v>45907</v>
      </c>
      <c r="D208" t="inlineStr">
        <is>
          <t>SKÅNE LÄN</t>
        </is>
      </c>
      <c r="E208" t="inlineStr">
        <is>
          <t>HÄSSLEHOLM</t>
        </is>
      </c>
      <c r="F208" t="inlineStr">
        <is>
          <t>Kyrkan</t>
        </is>
      </c>
      <c r="G208" t="n">
        <v>0.9</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45907</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45907</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54362-2020</t>
        </is>
      </c>
      <c r="B211" s="1" t="n">
        <v>44126</v>
      </c>
      <c r="C211" s="1" t="n">
        <v>45907</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45907</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50372-2020</t>
        </is>
      </c>
      <c r="B213" s="1" t="n">
        <v>44110</v>
      </c>
      <c r="C213" s="1" t="n">
        <v>45907</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62802-2020</t>
        </is>
      </c>
      <c r="B214" s="1" t="n">
        <v>44161</v>
      </c>
      <c r="C214" s="1" t="n">
        <v>45907</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23967-2022</t>
        </is>
      </c>
      <c r="B215" s="1" t="n">
        <v>44722.74079861111</v>
      </c>
      <c r="C215" s="1" t="n">
        <v>45907</v>
      </c>
      <c r="D215" t="inlineStr">
        <is>
          <t>SKÅNE LÄN</t>
        </is>
      </c>
      <c r="E215" t="inlineStr">
        <is>
          <t>HÄSSLEHOLM</t>
        </is>
      </c>
      <c r="F215" t="inlineStr">
        <is>
          <t>Kyrkan</t>
        </is>
      </c>
      <c r="G215" t="n">
        <v>12.4</v>
      </c>
      <c r="H215" t="n">
        <v>0</v>
      </c>
      <c r="I215" t="n">
        <v>0</v>
      </c>
      <c r="J215" t="n">
        <v>0</v>
      </c>
      <c r="K215" t="n">
        <v>0</v>
      </c>
      <c r="L215" t="n">
        <v>0</v>
      </c>
      <c r="M215" t="n">
        <v>0</v>
      </c>
      <c r="N215" t="n">
        <v>0</v>
      </c>
      <c r="O215" t="n">
        <v>0</v>
      </c>
      <c r="P215" t="n">
        <v>0</v>
      </c>
      <c r="Q215" t="n">
        <v>0</v>
      </c>
      <c r="R215" s="2" t="inlineStr"/>
    </row>
    <row r="216" ht="15" customHeight="1">
      <c r="A216" t="inlineStr">
        <is>
          <t>A 48397-2020</t>
        </is>
      </c>
      <c r="B216" s="1" t="n">
        <v>44097</v>
      </c>
      <c r="C216" s="1" t="n">
        <v>45907</v>
      </c>
      <c r="D216" t="inlineStr">
        <is>
          <t>SKÅNE LÄN</t>
        </is>
      </c>
      <c r="E216" t="inlineStr">
        <is>
          <t>HÄSSLEHOLM</t>
        </is>
      </c>
      <c r="G216" t="n">
        <v>8</v>
      </c>
      <c r="H216" t="n">
        <v>0</v>
      </c>
      <c r="I216" t="n">
        <v>0</v>
      </c>
      <c r="J216" t="n">
        <v>0</v>
      </c>
      <c r="K216" t="n">
        <v>0</v>
      </c>
      <c r="L216" t="n">
        <v>0</v>
      </c>
      <c r="M216" t="n">
        <v>0</v>
      </c>
      <c r="N216" t="n">
        <v>0</v>
      </c>
      <c r="O216" t="n">
        <v>0</v>
      </c>
      <c r="P216" t="n">
        <v>0</v>
      </c>
      <c r="Q216" t="n">
        <v>0</v>
      </c>
      <c r="R216" s="2" t="inlineStr"/>
    </row>
    <row r="217" ht="15" customHeight="1">
      <c r="A217" t="inlineStr">
        <is>
          <t>A 60597-2020</t>
        </is>
      </c>
      <c r="B217" s="1" t="n">
        <v>44152</v>
      </c>
      <c r="C217" s="1" t="n">
        <v>45907</v>
      </c>
      <c r="D217" t="inlineStr">
        <is>
          <t>SKÅNE LÄN</t>
        </is>
      </c>
      <c r="E217" t="inlineStr">
        <is>
          <t>HÄSSLEHOLM</t>
        </is>
      </c>
      <c r="G217" t="n">
        <v>3.4</v>
      </c>
      <c r="H217" t="n">
        <v>0</v>
      </c>
      <c r="I217" t="n">
        <v>0</v>
      </c>
      <c r="J217" t="n">
        <v>0</v>
      </c>
      <c r="K217" t="n">
        <v>0</v>
      </c>
      <c r="L217" t="n">
        <v>0</v>
      </c>
      <c r="M217" t="n">
        <v>0</v>
      </c>
      <c r="N217" t="n">
        <v>0</v>
      </c>
      <c r="O217" t="n">
        <v>0</v>
      </c>
      <c r="P217" t="n">
        <v>0</v>
      </c>
      <c r="Q217" t="n">
        <v>0</v>
      </c>
      <c r="R217" s="2" t="inlineStr"/>
    </row>
    <row r="218" ht="15" customHeight="1">
      <c r="A218" t="inlineStr">
        <is>
          <t>A 13811-2021</t>
        </is>
      </c>
      <c r="B218" s="1" t="n">
        <v>44276</v>
      </c>
      <c r="C218" s="1" t="n">
        <v>45907</v>
      </c>
      <c r="D218" t="inlineStr">
        <is>
          <t>SKÅNE LÄN</t>
        </is>
      </c>
      <c r="E218" t="inlineStr">
        <is>
          <t>HÄSSLEHOLM</t>
        </is>
      </c>
      <c r="G218" t="n">
        <v>8</v>
      </c>
      <c r="H218" t="n">
        <v>0</v>
      </c>
      <c r="I218" t="n">
        <v>0</v>
      </c>
      <c r="J218" t="n">
        <v>0</v>
      </c>
      <c r="K218" t="n">
        <v>0</v>
      </c>
      <c r="L218" t="n">
        <v>0</v>
      </c>
      <c r="M218" t="n">
        <v>0</v>
      </c>
      <c r="N218" t="n">
        <v>0</v>
      </c>
      <c r="O218" t="n">
        <v>0</v>
      </c>
      <c r="P218" t="n">
        <v>0</v>
      </c>
      <c r="Q218" t="n">
        <v>0</v>
      </c>
      <c r="R218" s="2" t="inlineStr"/>
    </row>
    <row r="219" ht="15" customHeight="1">
      <c r="A219" t="inlineStr">
        <is>
          <t>A 69504-2020</t>
        </is>
      </c>
      <c r="B219" s="1" t="n">
        <v>44194</v>
      </c>
      <c r="C219" s="1" t="n">
        <v>45907</v>
      </c>
      <c r="D219" t="inlineStr">
        <is>
          <t>SKÅNE LÄN</t>
        </is>
      </c>
      <c r="E219" t="inlineStr">
        <is>
          <t>HÄSSLEHOLM</t>
        </is>
      </c>
      <c r="G219" t="n">
        <v>0.6</v>
      </c>
      <c r="H219" t="n">
        <v>0</v>
      </c>
      <c r="I219" t="n">
        <v>0</v>
      </c>
      <c r="J219" t="n">
        <v>0</v>
      </c>
      <c r="K219" t="n">
        <v>0</v>
      </c>
      <c r="L219" t="n">
        <v>0</v>
      </c>
      <c r="M219" t="n">
        <v>0</v>
      </c>
      <c r="N219" t="n">
        <v>0</v>
      </c>
      <c r="O219" t="n">
        <v>0</v>
      </c>
      <c r="P219" t="n">
        <v>0</v>
      </c>
      <c r="Q219" t="n">
        <v>0</v>
      </c>
      <c r="R219" s="2" t="inlineStr"/>
    </row>
    <row r="220" ht="15" customHeight="1">
      <c r="A220" t="inlineStr">
        <is>
          <t>A 46145-2020</t>
        </is>
      </c>
      <c r="B220" s="1" t="n">
        <v>44091</v>
      </c>
      <c r="C220" s="1" t="n">
        <v>45907</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61216-2020</t>
        </is>
      </c>
      <c r="B221" s="1" t="n">
        <v>44155</v>
      </c>
      <c r="C221" s="1" t="n">
        <v>45907</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6967-2021</t>
        </is>
      </c>
      <c r="B222" s="1" t="n">
        <v>44237</v>
      </c>
      <c r="C222" s="1" t="n">
        <v>45907</v>
      </c>
      <c r="D222" t="inlineStr">
        <is>
          <t>SKÅNE LÄN</t>
        </is>
      </c>
      <c r="E222" t="inlineStr">
        <is>
          <t>HÄSSLEHOLM</t>
        </is>
      </c>
      <c r="G222" t="n">
        <v>0.7</v>
      </c>
      <c r="H222" t="n">
        <v>0</v>
      </c>
      <c r="I222" t="n">
        <v>0</v>
      </c>
      <c r="J222" t="n">
        <v>0</v>
      </c>
      <c r="K222" t="n">
        <v>0</v>
      </c>
      <c r="L222" t="n">
        <v>0</v>
      </c>
      <c r="M222" t="n">
        <v>0</v>
      </c>
      <c r="N222" t="n">
        <v>0</v>
      </c>
      <c r="O222" t="n">
        <v>0</v>
      </c>
      <c r="P222" t="n">
        <v>0</v>
      </c>
      <c r="Q222" t="n">
        <v>0</v>
      </c>
      <c r="R222" s="2" t="inlineStr"/>
    </row>
    <row r="223" ht="15" customHeight="1">
      <c r="A223" t="inlineStr">
        <is>
          <t>A 43595-2020</t>
        </is>
      </c>
      <c r="B223" s="1" t="n">
        <v>44082</v>
      </c>
      <c r="C223" s="1" t="n">
        <v>45907</v>
      </c>
      <c r="D223" t="inlineStr">
        <is>
          <t>SKÅNE LÄN</t>
        </is>
      </c>
      <c r="E223" t="inlineStr">
        <is>
          <t>HÄSSLEHOLM</t>
        </is>
      </c>
      <c r="F223" t="inlineStr">
        <is>
          <t>Kyrkan</t>
        </is>
      </c>
      <c r="G223" t="n">
        <v>1.4</v>
      </c>
      <c r="H223" t="n">
        <v>0</v>
      </c>
      <c r="I223" t="n">
        <v>0</v>
      </c>
      <c r="J223" t="n">
        <v>0</v>
      </c>
      <c r="K223" t="n">
        <v>0</v>
      </c>
      <c r="L223" t="n">
        <v>0</v>
      </c>
      <c r="M223" t="n">
        <v>0</v>
      </c>
      <c r="N223" t="n">
        <v>0</v>
      </c>
      <c r="O223" t="n">
        <v>0</v>
      </c>
      <c r="P223" t="n">
        <v>0</v>
      </c>
      <c r="Q223" t="n">
        <v>0</v>
      </c>
      <c r="R223" s="2" t="inlineStr"/>
    </row>
    <row r="224" ht="15" customHeight="1">
      <c r="A224" t="inlineStr">
        <is>
          <t>A 8177-2022</t>
        </is>
      </c>
      <c r="B224" s="1" t="n">
        <v>44607</v>
      </c>
      <c r="C224" s="1" t="n">
        <v>45907</v>
      </c>
      <c r="D224" t="inlineStr">
        <is>
          <t>SKÅNE LÄN</t>
        </is>
      </c>
      <c r="E224" t="inlineStr">
        <is>
          <t>HÄSSLEHOLM</t>
        </is>
      </c>
      <c r="F224" t="inlineStr">
        <is>
          <t>Kyrkan</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25464-2022</t>
        </is>
      </c>
      <c r="B225" s="1" t="n">
        <v>44729</v>
      </c>
      <c r="C225" s="1" t="n">
        <v>45907</v>
      </c>
      <c r="D225" t="inlineStr">
        <is>
          <t>SKÅNE LÄN</t>
        </is>
      </c>
      <c r="E225" t="inlineStr">
        <is>
          <t>HÄSSLEHOLM</t>
        </is>
      </c>
      <c r="G225" t="n">
        <v>21</v>
      </c>
      <c r="H225" t="n">
        <v>0</v>
      </c>
      <c r="I225" t="n">
        <v>0</v>
      </c>
      <c r="J225" t="n">
        <v>0</v>
      </c>
      <c r="K225" t="n">
        <v>0</v>
      </c>
      <c r="L225" t="n">
        <v>0</v>
      </c>
      <c r="M225" t="n">
        <v>0</v>
      </c>
      <c r="N225" t="n">
        <v>0</v>
      </c>
      <c r="O225" t="n">
        <v>0</v>
      </c>
      <c r="P225" t="n">
        <v>0</v>
      </c>
      <c r="Q225" t="n">
        <v>0</v>
      </c>
      <c r="R225" s="2" t="inlineStr"/>
    </row>
    <row r="226" ht="15" customHeight="1">
      <c r="A226" t="inlineStr">
        <is>
          <t>A 46479-2020</t>
        </is>
      </c>
      <c r="B226" s="1" t="n">
        <v>44095</v>
      </c>
      <c r="C226" s="1" t="n">
        <v>45907</v>
      </c>
      <c r="D226" t="inlineStr">
        <is>
          <t>SKÅNE LÄN</t>
        </is>
      </c>
      <c r="E226" t="inlineStr">
        <is>
          <t>HÄSSLEHOLM</t>
        </is>
      </c>
      <c r="F226" t="inlineStr">
        <is>
          <t>Kyrkan</t>
        </is>
      </c>
      <c r="G226" t="n">
        <v>1.5</v>
      </c>
      <c r="H226" t="n">
        <v>0</v>
      </c>
      <c r="I226" t="n">
        <v>0</v>
      </c>
      <c r="J226" t="n">
        <v>0</v>
      </c>
      <c r="K226" t="n">
        <v>0</v>
      </c>
      <c r="L226" t="n">
        <v>0</v>
      </c>
      <c r="M226" t="n">
        <v>0</v>
      </c>
      <c r="N226" t="n">
        <v>0</v>
      </c>
      <c r="O226" t="n">
        <v>0</v>
      </c>
      <c r="P226" t="n">
        <v>0</v>
      </c>
      <c r="Q226" t="n">
        <v>0</v>
      </c>
      <c r="R226" s="2" t="inlineStr"/>
    </row>
    <row r="227" ht="15" customHeight="1">
      <c r="A227" t="inlineStr">
        <is>
          <t>A 45814-2020</t>
        </is>
      </c>
      <c r="B227" s="1" t="n">
        <v>44090.8908912037</v>
      </c>
      <c r="C227" s="1" t="n">
        <v>45907</v>
      </c>
      <c r="D227" t="inlineStr">
        <is>
          <t>SKÅNE LÄN</t>
        </is>
      </c>
      <c r="E227" t="inlineStr">
        <is>
          <t>HÄSSLEHOLM</t>
        </is>
      </c>
      <c r="G227" t="n">
        <v>0.2</v>
      </c>
      <c r="H227" t="n">
        <v>0</v>
      </c>
      <c r="I227" t="n">
        <v>0</v>
      </c>
      <c r="J227" t="n">
        <v>0</v>
      </c>
      <c r="K227" t="n">
        <v>0</v>
      </c>
      <c r="L227" t="n">
        <v>0</v>
      </c>
      <c r="M227" t="n">
        <v>0</v>
      </c>
      <c r="N227" t="n">
        <v>0</v>
      </c>
      <c r="O227" t="n">
        <v>0</v>
      </c>
      <c r="P227" t="n">
        <v>0</v>
      </c>
      <c r="Q227" t="n">
        <v>0</v>
      </c>
      <c r="R227" s="2" t="inlineStr"/>
    </row>
    <row r="228" ht="15" customHeight="1">
      <c r="A228" t="inlineStr">
        <is>
          <t>A 45815-2020</t>
        </is>
      </c>
      <c r="B228" s="1" t="n">
        <v>44090.9071875</v>
      </c>
      <c r="C228" s="1" t="n">
        <v>45907</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418-2022</t>
        </is>
      </c>
      <c r="B229" s="1" t="n">
        <v>44565.84958333334</v>
      </c>
      <c r="C229" s="1" t="n">
        <v>45907</v>
      </c>
      <c r="D229" t="inlineStr">
        <is>
          <t>SKÅNE LÄN</t>
        </is>
      </c>
      <c r="E229" t="inlineStr">
        <is>
          <t>HÄSSLEHOLM</t>
        </is>
      </c>
      <c r="G229" t="n">
        <v>0</v>
      </c>
      <c r="H229" t="n">
        <v>0</v>
      </c>
      <c r="I229" t="n">
        <v>0</v>
      </c>
      <c r="J229" t="n">
        <v>0</v>
      </c>
      <c r="K229" t="n">
        <v>0</v>
      </c>
      <c r="L229" t="n">
        <v>0</v>
      </c>
      <c r="M229" t="n">
        <v>0</v>
      </c>
      <c r="N229" t="n">
        <v>0</v>
      </c>
      <c r="O229" t="n">
        <v>0</v>
      </c>
      <c r="P229" t="n">
        <v>0</v>
      </c>
      <c r="Q229" t="n">
        <v>0</v>
      </c>
      <c r="R229" s="2" t="inlineStr"/>
    </row>
    <row r="230" ht="15" customHeight="1">
      <c r="A230" t="inlineStr">
        <is>
          <t>A 57807-2020</t>
        </is>
      </c>
      <c r="B230" s="1" t="n">
        <v>44141</v>
      </c>
      <c r="C230" s="1" t="n">
        <v>45907</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6965-2021</t>
        </is>
      </c>
      <c r="B231" s="1" t="n">
        <v>44237</v>
      </c>
      <c r="C231" s="1" t="n">
        <v>45907</v>
      </c>
      <c r="D231" t="inlineStr">
        <is>
          <t>SKÅNE LÄN</t>
        </is>
      </c>
      <c r="E231" t="inlineStr">
        <is>
          <t>HÄSSLEHOLM</t>
        </is>
      </c>
      <c r="G231" t="n">
        <v>0.3</v>
      </c>
      <c r="H231" t="n">
        <v>0</v>
      </c>
      <c r="I231" t="n">
        <v>0</v>
      </c>
      <c r="J231" t="n">
        <v>0</v>
      </c>
      <c r="K231" t="n">
        <v>0</v>
      </c>
      <c r="L231" t="n">
        <v>0</v>
      </c>
      <c r="M231" t="n">
        <v>0</v>
      </c>
      <c r="N231" t="n">
        <v>0</v>
      </c>
      <c r="O231" t="n">
        <v>0</v>
      </c>
      <c r="P231" t="n">
        <v>0</v>
      </c>
      <c r="Q231" t="n">
        <v>0</v>
      </c>
      <c r="R231" s="2" t="inlineStr"/>
    </row>
    <row r="232" ht="15" customHeight="1">
      <c r="A232" t="inlineStr">
        <is>
          <t>A 30344-2022</t>
        </is>
      </c>
      <c r="B232" s="1" t="n">
        <v>44760.50783564815</v>
      </c>
      <c r="C232" s="1" t="n">
        <v>45907</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25788-2021</t>
        </is>
      </c>
      <c r="B233" s="1" t="n">
        <v>44343</v>
      </c>
      <c r="C233" s="1" t="n">
        <v>45907</v>
      </c>
      <c r="D233" t="inlineStr">
        <is>
          <t>SKÅNE LÄN</t>
        </is>
      </c>
      <c r="E233" t="inlineStr">
        <is>
          <t>HÄSSLEHOLM</t>
        </is>
      </c>
      <c r="G233" t="n">
        <v>4.8</v>
      </c>
      <c r="H233" t="n">
        <v>0</v>
      </c>
      <c r="I233" t="n">
        <v>0</v>
      </c>
      <c r="J233" t="n">
        <v>0</v>
      </c>
      <c r="K233" t="n">
        <v>0</v>
      </c>
      <c r="L233" t="n">
        <v>0</v>
      </c>
      <c r="M233" t="n">
        <v>0</v>
      </c>
      <c r="N233" t="n">
        <v>0</v>
      </c>
      <c r="O233" t="n">
        <v>0</v>
      </c>
      <c r="P233" t="n">
        <v>0</v>
      </c>
      <c r="Q233" t="n">
        <v>0</v>
      </c>
      <c r="R233" s="2" t="inlineStr"/>
    </row>
    <row r="234" ht="15" customHeight="1">
      <c r="A234" t="inlineStr">
        <is>
          <t>A 56527-2021</t>
        </is>
      </c>
      <c r="B234" s="1" t="n">
        <v>44480</v>
      </c>
      <c r="C234" s="1" t="n">
        <v>45907</v>
      </c>
      <c r="D234" t="inlineStr">
        <is>
          <t>SKÅNE LÄN</t>
        </is>
      </c>
      <c r="E234" t="inlineStr">
        <is>
          <t>HÄSSLEHOLM</t>
        </is>
      </c>
      <c r="F234" t="inlineStr">
        <is>
          <t>Kyrkan</t>
        </is>
      </c>
      <c r="G234" t="n">
        <v>2.7</v>
      </c>
      <c r="H234" t="n">
        <v>0</v>
      </c>
      <c r="I234" t="n">
        <v>0</v>
      </c>
      <c r="J234" t="n">
        <v>0</v>
      </c>
      <c r="K234" t="n">
        <v>0</v>
      </c>
      <c r="L234" t="n">
        <v>0</v>
      </c>
      <c r="M234" t="n">
        <v>0</v>
      </c>
      <c r="N234" t="n">
        <v>0</v>
      </c>
      <c r="O234" t="n">
        <v>0</v>
      </c>
      <c r="P234" t="n">
        <v>0</v>
      </c>
      <c r="Q234" t="n">
        <v>0</v>
      </c>
      <c r="R234" s="2" t="inlineStr"/>
    </row>
    <row r="235" ht="15" customHeight="1">
      <c r="A235" t="inlineStr">
        <is>
          <t>A 47121-2020</t>
        </is>
      </c>
      <c r="B235" s="1" t="n">
        <v>44096</v>
      </c>
      <c r="C235" s="1" t="n">
        <v>45907</v>
      </c>
      <c r="D235" t="inlineStr">
        <is>
          <t>SKÅNE LÄN</t>
        </is>
      </c>
      <c r="E235" t="inlineStr">
        <is>
          <t>HÄSSLEHOLM</t>
        </is>
      </c>
      <c r="G235" t="n">
        <v>3.6</v>
      </c>
      <c r="H235" t="n">
        <v>0</v>
      </c>
      <c r="I235" t="n">
        <v>0</v>
      </c>
      <c r="J235" t="n">
        <v>0</v>
      </c>
      <c r="K235" t="n">
        <v>0</v>
      </c>
      <c r="L235" t="n">
        <v>0</v>
      </c>
      <c r="M235" t="n">
        <v>0</v>
      </c>
      <c r="N235" t="n">
        <v>0</v>
      </c>
      <c r="O235" t="n">
        <v>0</v>
      </c>
      <c r="P235" t="n">
        <v>0</v>
      </c>
      <c r="Q235" t="n">
        <v>0</v>
      </c>
      <c r="R235" s="2" t="inlineStr"/>
    </row>
    <row r="236" ht="15" customHeight="1">
      <c r="A236" t="inlineStr">
        <is>
          <t>A 69505-2020</t>
        </is>
      </c>
      <c r="B236" s="1" t="n">
        <v>44194</v>
      </c>
      <c r="C236" s="1" t="n">
        <v>45907</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3992-2022</t>
        </is>
      </c>
      <c r="B237" s="1" t="n">
        <v>44587</v>
      </c>
      <c r="C237" s="1" t="n">
        <v>45907</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52567-2021</t>
        </is>
      </c>
      <c r="B238" s="1" t="n">
        <v>44466</v>
      </c>
      <c r="C238" s="1" t="n">
        <v>45907</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62782-2020</t>
        </is>
      </c>
      <c r="B239" s="1" t="n">
        <v>44161</v>
      </c>
      <c r="C239" s="1" t="n">
        <v>45907</v>
      </c>
      <c r="D239" t="inlineStr">
        <is>
          <t>SKÅNE LÄN</t>
        </is>
      </c>
      <c r="E239" t="inlineStr">
        <is>
          <t>HÄSSLEHOLM</t>
        </is>
      </c>
      <c r="F239" t="inlineStr">
        <is>
          <t>Kyrkan</t>
        </is>
      </c>
      <c r="G239" t="n">
        <v>1.6</v>
      </c>
      <c r="H239" t="n">
        <v>0</v>
      </c>
      <c r="I239" t="n">
        <v>0</v>
      </c>
      <c r="J239" t="n">
        <v>0</v>
      </c>
      <c r="K239" t="n">
        <v>0</v>
      </c>
      <c r="L239" t="n">
        <v>0</v>
      </c>
      <c r="M239" t="n">
        <v>0</v>
      </c>
      <c r="N239" t="n">
        <v>0</v>
      </c>
      <c r="O239" t="n">
        <v>0</v>
      </c>
      <c r="P239" t="n">
        <v>0</v>
      </c>
      <c r="Q239" t="n">
        <v>0</v>
      </c>
      <c r="R239" s="2" t="inlineStr"/>
    </row>
    <row r="240" ht="15" customHeight="1">
      <c r="A240" t="inlineStr">
        <is>
          <t>A 74297-2021</t>
        </is>
      </c>
      <c r="B240" s="1" t="n">
        <v>44558</v>
      </c>
      <c r="C240" s="1" t="n">
        <v>45907</v>
      </c>
      <c r="D240" t="inlineStr">
        <is>
          <t>SKÅNE LÄN</t>
        </is>
      </c>
      <c r="E240" t="inlineStr">
        <is>
          <t>HÄSSLEHOLM</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2514-2021</t>
        </is>
      </c>
      <c r="B241" s="1" t="n">
        <v>44214</v>
      </c>
      <c r="C241" s="1" t="n">
        <v>45907</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25955-2022</t>
        </is>
      </c>
      <c r="B242" s="1" t="n">
        <v>44734</v>
      </c>
      <c r="C242" s="1" t="n">
        <v>45907</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20657-2022</t>
        </is>
      </c>
      <c r="B243" s="1" t="n">
        <v>44700</v>
      </c>
      <c r="C243" s="1" t="n">
        <v>45907</v>
      </c>
      <c r="D243" t="inlineStr">
        <is>
          <t>SKÅNE LÄN</t>
        </is>
      </c>
      <c r="E243" t="inlineStr">
        <is>
          <t>HÄSSLEHOLM</t>
        </is>
      </c>
      <c r="G243" t="n">
        <v>3.8</v>
      </c>
      <c r="H243" t="n">
        <v>0</v>
      </c>
      <c r="I243" t="n">
        <v>0</v>
      </c>
      <c r="J243" t="n">
        <v>0</v>
      </c>
      <c r="K243" t="n">
        <v>0</v>
      </c>
      <c r="L243" t="n">
        <v>0</v>
      </c>
      <c r="M243" t="n">
        <v>0</v>
      </c>
      <c r="N243" t="n">
        <v>0</v>
      </c>
      <c r="O243" t="n">
        <v>0</v>
      </c>
      <c r="P243" t="n">
        <v>0</v>
      </c>
      <c r="Q243" t="n">
        <v>0</v>
      </c>
      <c r="R243" s="2" t="inlineStr"/>
    </row>
    <row r="244" ht="15" customHeight="1">
      <c r="A244" t="inlineStr">
        <is>
          <t>A 52295-2021</t>
        </is>
      </c>
      <c r="B244" s="1" t="n">
        <v>44463</v>
      </c>
      <c r="C244" s="1" t="n">
        <v>45907</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6973-2021</t>
        </is>
      </c>
      <c r="B245" s="1" t="n">
        <v>44237</v>
      </c>
      <c r="C245" s="1" t="n">
        <v>45907</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68909-2021</t>
        </is>
      </c>
      <c r="B246" s="1" t="n">
        <v>44530.46730324074</v>
      </c>
      <c r="C246" s="1" t="n">
        <v>45907</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7904-2022</t>
        </is>
      </c>
      <c r="B247" s="1" t="n">
        <v>44607</v>
      </c>
      <c r="C247" s="1" t="n">
        <v>45907</v>
      </c>
      <c r="D247" t="inlineStr">
        <is>
          <t>SKÅNE LÄN</t>
        </is>
      </c>
      <c r="E247" t="inlineStr">
        <is>
          <t>HÄSSLEHOLM</t>
        </is>
      </c>
      <c r="F247" t="inlineStr">
        <is>
          <t>Kyrkan</t>
        </is>
      </c>
      <c r="G247" t="n">
        <v>3.9</v>
      </c>
      <c r="H247" t="n">
        <v>0</v>
      </c>
      <c r="I247" t="n">
        <v>0</v>
      </c>
      <c r="J247" t="n">
        <v>0</v>
      </c>
      <c r="K247" t="n">
        <v>0</v>
      </c>
      <c r="L247" t="n">
        <v>0</v>
      </c>
      <c r="M247" t="n">
        <v>0</v>
      </c>
      <c r="N247" t="n">
        <v>0</v>
      </c>
      <c r="O247" t="n">
        <v>0</v>
      </c>
      <c r="P247" t="n">
        <v>0</v>
      </c>
      <c r="Q247" t="n">
        <v>0</v>
      </c>
      <c r="R247" s="2" t="inlineStr"/>
    </row>
    <row r="248" ht="15" customHeight="1">
      <c r="A248" t="inlineStr">
        <is>
          <t>A 9453-2021</t>
        </is>
      </c>
      <c r="B248" s="1" t="n">
        <v>44251</v>
      </c>
      <c r="C248" s="1" t="n">
        <v>45907</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45907</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45907</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62347-2020</t>
        </is>
      </c>
      <c r="B251" s="1" t="n">
        <v>44159</v>
      </c>
      <c r="C251" s="1" t="n">
        <v>45907</v>
      </c>
      <c r="D251" t="inlineStr">
        <is>
          <t>SKÅNE LÄN</t>
        </is>
      </c>
      <c r="E251" t="inlineStr">
        <is>
          <t>HÄSSLEHOLM</t>
        </is>
      </c>
      <c r="G251" t="n">
        <v>4</v>
      </c>
      <c r="H251" t="n">
        <v>0</v>
      </c>
      <c r="I251" t="n">
        <v>0</v>
      </c>
      <c r="J251" t="n">
        <v>0</v>
      </c>
      <c r="K251" t="n">
        <v>0</v>
      </c>
      <c r="L251" t="n">
        <v>0</v>
      </c>
      <c r="M251" t="n">
        <v>0</v>
      </c>
      <c r="N251" t="n">
        <v>0</v>
      </c>
      <c r="O251" t="n">
        <v>0</v>
      </c>
      <c r="P251" t="n">
        <v>0</v>
      </c>
      <c r="Q251" t="n">
        <v>0</v>
      </c>
      <c r="R251" s="2" t="inlineStr"/>
    </row>
    <row r="252" ht="15" customHeight="1">
      <c r="A252" t="inlineStr">
        <is>
          <t>A 219-2022</t>
        </is>
      </c>
      <c r="B252" s="1" t="n">
        <v>44564</v>
      </c>
      <c r="C252" s="1" t="n">
        <v>45907</v>
      </c>
      <c r="D252" t="inlineStr">
        <is>
          <t>SKÅNE LÄN</t>
        </is>
      </c>
      <c r="E252" t="inlineStr">
        <is>
          <t>HÄSSLEHOLM</t>
        </is>
      </c>
      <c r="G252" t="n">
        <v>0.8</v>
      </c>
      <c r="H252" t="n">
        <v>0</v>
      </c>
      <c r="I252" t="n">
        <v>0</v>
      </c>
      <c r="J252" t="n">
        <v>0</v>
      </c>
      <c r="K252" t="n">
        <v>0</v>
      </c>
      <c r="L252" t="n">
        <v>0</v>
      </c>
      <c r="M252" t="n">
        <v>0</v>
      </c>
      <c r="N252" t="n">
        <v>0</v>
      </c>
      <c r="O252" t="n">
        <v>0</v>
      </c>
      <c r="P252" t="n">
        <v>0</v>
      </c>
      <c r="Q252" t="n">
        <v>0</v>
      </c>
      <c r="R252" s="2" t="inlineStr"/>
    </row>
    <row r="253" ht="15" customHeight="1">
      <c r="A253" t="inlineStr">
        <is>
          <t>A 20566-2023</t>
        </is>
      </c>
      <c r="B253" s="1" t="n">
        <v>45057</v>
      </c>
      <c r="C253" s="1" t="n">
        <v>45907</v>
      </c>
      <c r="D253" t="inlineStr">
        <is>
          <t>SKÅNE LÄN</t>
        </is>
      </c>
      <c r="E253" t="inlineStr">
        <is>
          <t>HÄSSLEHOLM</t>
        </is>
      </c>
      <c r="G253" t="n">
        <v>5.2</v>
      </c>
      <c r="H253" t="n">
        <v>0</v>
      </c>
      <c r="I253" t="n">
        <v>0</v>
      </c>
      <c r="J253" t="n">
        <v>0</v>
      </c>
      <c r="K253" t="n">
        <v>0</v>
      </c>
      <c r="L253" t="n">
        <v>0</v>
      </c>
      <c r="M253" t="n">
        <v>0</v>
      </c>
      <c r="N253" t="n">
        <v>0</v>
      </c>
      <c r="O253" t="n">
        <v>0</v>
      </c>
      <c r="P253" t="n">
        <v>0</v>
      </c>
      <c r="Q253" t="n">
        <v>0</v>
      </c>
      <c r="R253" s="2" t="inlineStr"/>
    </row>
    <row r="254" ht="15" customHeight="1">
      <c r="A254" t="inlineStr">
        <is>
          <t>A 6048-2022</t>
        </is>
      </c>
      <c r="B254" s="1" t="n">
        <v>44599.5174537037</v>
      </c>
      <c r="C254" s="1" t="n">
        <v>45907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45907</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45907</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3930-2021</t>
        </is>
      </c>
      <c r="B257" s="1" t="n">
        <v>44222</v>
      </c>
      <c r="C257" s="1" t="n">
        <v>45907</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6842-2023</t>
        </is>
      </c>
      <c r="B258" s="1" t="n">
        <v>44967</v>
      </c>
      <c r="C258" s="1" t="n">
        <v>45907</v>
      </c>
      <c r="D258" t="inlineStr">
        <is>
          <t>SKÅNE LÄN</t>
        </is>
      </c>
      <c r="E258" t="inlineStr">
        <is>
          <t>HÄSSLEHOLM</t>
        </is>
      </c>
      <c r="G258" t="n">
        <v>1.9</v>
      </c>
      <c r="H258" t="n">
        <v>0</v>
      </c>
      <c r="I258" t="n">
        <v>0</v>
      </c>
      <c r="J258" t="n">
        <v>0</v>
      </c>
      <c r="K258" t="n">
        <v>0</v>
      </c>
      <c r="L258" t="n">
        <v>0</v>
      </c>
      <c r="M258" t="n">
        <v>0</v>
      </c>
      <c r="N258" t="n">
        <v>0</v>
      </c>
      <c r="O258" t="n">
        <v>0</v>
      </c>
      <c r="P258" t="n">
        <v>0</v>
      </c>
      <c r="Q258" t="n">
        <v>0</v>
      </c>
      <c r="R258" s="2" t="inlineStr"/>
    </row>
    <row r="259" ht="15" customHeight="1">
      <c r="A259" t="inlineStr">
        <is>
          <t>A 48747-2022</t>
        </is>
      </c>
      <c r="B259" s="1" t="n">
        <v>44859</v>
      </c>
      <c r="C259" s="1" t="n">
        <v>45907</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55412-2022</t>
        </is>
      </c>
      <c r="B260" s="1" t="n">
        <v>44882</v>
      </c>
      <c r="C260" s="1" t="n">
        <v>45907</v>
      </c>
      <c r="D260" t="inlineStr">
        <is>
          <t>SKÅNE LÄN</t>
        </is>
      </c>
      <c r="E260" t="inlineStr">
        <is>
          <t>HÄSSLEHOLM</t>
        </is>
      </c>
      <c r="F260" t="inlineStr">
        <is>
          <t>Övriga Aktiebolag</t>
        </is>
      </c>
      <c r="G260" t="n">
        <v>4</v>
      </c>
      <c r="H260" t="n">
        <v>0</v>
      </c>
      <c r="I260" t="n">
        <v>0</v>
      </c>
      <c r="J260" t="n">
        <v>0</v>
      </c>
      <c r="K260" t="n">
        <v>0</v>
      </c>
      <c r="L260" t="n">
        <v>0</v>
      </c>
      <c r="M260" t="n">
        <v>0</v>
      </c>
      <c r="N260" t="n">
        <v>0</v>
      </c>
      <c r="O260" t="n">
        <v>0</v>
      </c>
      <c r="P260" t="n">
        <v>0</v>
      </c>
      <c r="Q260" t="n">
        <v>0</v>
      </c>
      <c r="R260" s="2" t="inlineStr"/>
    </row>
    <row r="261" ht="15" customHeight="1">
      <c r="A261" t="inlineStr">
        <is>
          <t>A 53576-2022</t>
        </is>
      </c>
      <c r="B261" s="1" t="n">
        <v>44875</v>
      </c>
      <c r="C261" s="1" t="n">
        <v>45907</v>
      </c>
      <c r="D261" t="inlineStr">
        <is>
          <t>SKÅNE LÄN</t>
        </is>
      </c>
      <c r="E261" t="inlineStr">
        <is>
          <t>HÄSSLEHOLM</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6253-2022</t>
        </is>
      </c>
      <c r="B262" s="1" t="n">
        <v>44600</v>
      </c>
      <c r="C262" s="1" t="n">
        <v>45907</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23956-2023</t>
        </is>
      </c>
      <c r="B263" s="1" t="n">
        <v>45078.62302083334</v>
      </c>
      <c r="C263" s="1" t="n">
        <v>45907</v>
      </c>
      <c r="D263" t="inlineStr">
        <is>
          <t>SKÅNE LÄN</t>
        </is>
      </c>
      <c r="E263" t="inlineStr">
        <is>
          <t>HÄSSLEHOLM</t>
        </is>
      </c>
      <c r="G263" t="n">
        <v>0.1</v>
      </c>
      <c r="H263" t="n">
        <v>0</v>
      </c>
      <c r="I263" t="n">
        <v>0</v>
      </c>
      <c r="J263" t="n">
        <v>0</v>
      </c>
      <c r="K263" t="n">
        <v>0</v>
      </c>
      <c r="L263" t="n">
        <v>0</v>
      </c>
      <c r="M263" t="n">
        <v>0</v>
      </c>
      <c r="N263" t="n">
        <v>0</v>
      </c>
      <c r="O263" t="n">
        <v>0</v>
      </c>
      <c r="P263" t="n">
        <v>0</v>
      </c>
      <c r="Q263" t="n">
        <v>0</v>
      </c>
      <c r="R263" s="2" t="inlineStr"/>
    </row>
    <row r="264" ht="15" customHeight="1">
      <c r="A264" t="inlineStr">
        <is>
          <t>A 58509-2020</t>
        </is>
      </c>
      <c r="B264" s="1" t="n">
        <v>44144</v>
      </c>
      <c r="C264" s="1" t="n">
        <v>45907</v>
      </c>
      <c r="D264" t="inlineStr">
        <is>
          <t>SKÅNE LÄN</t>
        </is>
      </c>
      <c r="E264" t="inlineStr">
        <is>
          <t>HÄSSLEHOLM</t>
        </is>
      </c>
      <c r="G264" t="n">
        <v>8.5</v>
      </c>
      <c r="H264" t="n">
        <v>0</v>
      </c>
      <c r="I264" t="n">
        <v>0</v>
      </c>
      <c r="J264" t="n">
        <v>0</v>
      </c>
      <c r="K264" t="n">
        <v>0</v>
      </c>
      <c r="L264" t="n">
        <v>0</v>
      </c>
      <c r="M264" t="n">
        <v>0</v>
      </c>
      <c r="N264" t="n">
        <v>0</v>
      </c>
      <c r="O264" t="n">
        <v>0</v>
      </c>
      <c r="P264" t="n">
        <v>0</v>
      </c>
      <c r="Q264" t="n">
        <v>0</v>
      </c>
      <c r="R264" s="2" t="inlineStr"/>
    </row>
    <row r="265" ht="15" customHeight="1">
      <c r="A265" t="inlineStr">
        <is>
          <t>A 50899-2024</t>
        </is>
      </c>
      <c r="B265" s="1" t="n">
        <v>45602.68584490741</v>
      </c>
      <c r="C265" s="1" t="n">
        <v>45907</v>
      </c>
      <c r="D265" t="inlineStr">
        <is>
          <t>SKÅNE LÄN</t>
        </is>
      </c>
      <c r="E265" t="inlineStr">
        <is>
          <t>HÄSSLEHOLM</t>
        </is>
      </c>
      <c r="G265" t="n">
        <v>1.7</v>
      </c>
      <c r="H265" t="n">
        <v>0</v>
      </c>
      <c r="I265" t="n">
        <v>0</v>
      </c>
      <c r="J265" t="n">
        <v>0</v>
      </c>
      <c r="K265" t="n">
        <v>0</v>
      </c>
      <c r="L265" t="n">
        <v>0</v>
      </c>
      <c r="M265" t="n">
        <v>0</v>
      </c>
      <c r="N265" t="n">
        <v>0</v>
      </c>
      <c r="O265" t="n">
        <v>0</v>
      </c>
      <c r="P265" t="n">
        <v>0</v>
      </c>
      <c r="Q265" t="n">
        <v>0</v>
      </c>
      <c r="R265" s="2" t="inlineStr"/>
    </row>
    <row r="266" ht="15" customHeight="1">
      <c r="A266" t="inlineStr">
        <is>
          <t>A 13198-2025</t>
        </is>
      </c>
      <c r="B266" s="1" t="n">
        <v>45735</v>
      </c>
      <c r="C266" s="1" t="n">
        <v>45907</v>
      </c>
      <c r="D266" t="inlineStr">
        <is>
          <t>SKÅNE LÄN</t>
        </is>
      </c>
      <c r="E266" t="inlineStr">
        <is>
          <t>HÄSSLEHOLM</t>
        </is>
      </c>
      <c r="G266" t="n">
        <v>0.7</v>
      </c>
      <c r="H266" t="n">
        <v>0</v>
      </c>
      <c r="I266" t="n">
        <v>0</v>
      </c>
      <c r="J266" t="n">
        <v>0</v>
      </c>
      <c r="K266" t="n">
        <v>0</v>
      </c>
      <c r="L266" t="n">
        <v>0</v>
      </c>
      <c r="M266" t="n">
        <v>0</v>
      </c>
      <c r="N266" t="n">
        <v>0</v>
      </c>
      <c r="O266" t="n">
        <v>0</v>
      </c>
      <c r="P266" t="n">
        <v>0</v>
      </c>
      <c r="Q266" t="n">
        <v>0</v>
      </c>
      <c r="R266" s="2" t="inlineStr"/>
    </row>
    <row r="267" ht="15" customHeight="1">
      <c r="A267" t="inlineStr">
        <is>
          <t>A 58268-2024</t>
        </is>
      </c>
      <c r="B267" s="1" t="n">
        <v>45632.56893518518</v>
      </c>
      <c r="C267" s="1" t="n">
        <v>45907</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3855-2023</t>
        </is>
      </c>
      <c r="B268" s="1" t="n">
        <v>44951.69708333333</v>
      </c>
      <c r="C268" s="1" t="n">
        <v>45907</v>
      </c>
      <c r="D268" t="inlineStr">
        <is>
          <t>SKÅNE LÄN</t>
        </is>
      </c>
      <c r="E268" t="inlineStr">
        <is>
          <t>HÄSSLEHOLM</t>
        </is>
      </c>
      <c r="G268" t="n">
        <v>2.3</v>
      </c>
      <c r="H268" t="n">
        <v>0</v>
      </c>
      <c r="I268" t="n">
        <v>0</v>
      </c>
      <c r="J268" t="n">
        <v>0</v>
      </c>
      <c r="K268" t="n">
        <v>0</v>
      </c>
      <c r="L268" t="n">
        <v>0</v>
      </c>
      <c r="M268" t="n">
        <v>0</v>
      </c>
      <c r="N268" t="n">
        <v>0</v>
      </c>
      <c r="O268" t="n">
        <v>0</v>
      </c>
      <c r="P268" t="n">
        <v>0</v>
      </c>
      <c r="Q268" t="n">
        <v>0</v>
      </c>
      <c r="R268" s="2" t="inlineStr"/>
    </row>
    <row r="269" ht="15" customHeight="1">
      <c r="A269" t="inlineStr">
        <is>
          <t>A 33481-2024</t>
        </is>
      </c>
      <c r="B269" s="1" t="n">
        <v>45519</v>
      </c>
      <c r="C269" s="1" t="n">
        <v>45907</v>
      </c>
      <c r="D269" t="inlineStr">
        <is>
          <t>SKÅNE LÄN</t>
        </is>
      </c>
      <c r="E269" t="inlineStr">
        <is>
          <t>HÄSSLEHOLM</t>
        </is>
      </c>
      <c r="G269" t="n">
        <v>3</v>
      </c>
      <c r="H269" t="n">
        <v>0</v>
      </c>
      <c r="I269" t="n">
        <v>0</v>
      </c>
      <c r="J269" t="n">
        <v>0</v>
      </c>
      <c r="K269" t="n">
        <v>0</v>
      </c>
      <c r="L269" t="n">
        <v>0</v>
      </c>
      <c r="M269" t="n">
        <v>0</v>
      </c>
      <c r="N269" t="n">
        <v>0</v>
      </c>
      <c r="O269" t="n">
        <v>0</v>
      </c>
      <c r="P269" t="n">
        <v>0</v>
      </c>
      <c r="Q269" t="n">
        <v>0</v>
      </c>
      <c r="R269" s="2" t="inlineStr"/>
    </row>
    <row r="270" ht="15" customHeight="1">
      <c r="A270" t="inlineStr">
        <is>
          <t>A 14674-2025</t>
        </is>
      </c>
      <c r="B270" s="1" t="n">
        <v>45742.55548611111</v>
      </c>
      <c r="C270" s="1" t="n">
        <v>45907</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14702-2025</t>
        </is>
      </c>
      <c r="B271" s="1" t="n">
        <v>45742.60403935185</v>
      </c>
      <c r="C271" s="1" t="n">
        <v>45907</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16388-2025</t>
        </is>
      </c>
      <c r="B272" s="1" t="n">
        <v>45751.42787037037</v>
      </c>
      <c r="C272" s="1" t="n">
        <v>45907</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2813-2021</t>
        </is>
      </c>
      <c r="B273" s="1" t="n">
        <v>44215</v>
      </c>
      <c r="C273" s="1" t="n">
        <v>45907</v>
      </c>
      <c r="D273" t="inlineStr">
        <is>
          <t>SKÅNE LÄN</t>
        </is>
      </c>
      <c r="E273" t="inlineStr">
        <is>
          <t>HÄSSLEHOLM</t>
        </is>
      </c>
      <c r="G273" t="n">
        <v>7.1</v>
      </c>
      <c r="H273" t="n">
        <v>0</v>
      </c>
      <c r="I273" t="n">
        <v>0</v>
      </c>
      <c r="J273" t="n">
        <v>0</v>
      </c>
      <c r="K273" t="n">
        <v>0</v>
      </c>
      <c r="L273" t="n">
        <v>0</v>
      </c>
      <c r="M273" t="n">
        <v>0</v>
      </c>
      <c r="N273" t="n">
        <v>0</v>
      </c>
      <c r="O273" t="n">
        <v>0</v>
      </c>
      <c r="P273" t="n">
        <v>0</v>
      </c>
      <c r="Q273" t="n">
        <v>0</v>
      </c>
      <c r="R273" s="2" t="inlineStr"/>
    </row>
    <row r="274" ht="15" customHeight="1">
      <c r="A274" t="inlineStr">
        <is>
          <t>A 23950-2023</t>
        </is>
      </c>
      <c r="B274" s="1" t="n">
        <v>45078.61771990741</v>
      </c>
      <c r="C274" s="1" t="n">
        <v>45907</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23952-2023</t>
        </is>
      </c>
      <c r="B275" s="1" t="n">
        <v>45078.62064814815</v>
      </c>
      <c r="C275" s="1" t="n">
        <v>45907</v>
      </c>
      <c r="D275" t="inlineStr">
        <is>
          <t>SKÅNE LÄN</t>
        </is>
      </c>
      <c r="E275" t="inlineStr">
        <is>
          <t>HÄSSLEHOLM</t>
        </is>
      </c>
      <c r="G275" t="n">
        <v>0.4</v>
      </c>
      <c r="H275" t="n">
        <v>0</v>
      </c>
      <c r="I275" t="n">
        <v>0</v>
      </c>
      <c r="J275" t="n">
        <v>0</v>
      </c>
      <c r="K275" t="n">
        <v>0</v>
      </c>
      <c r="L275" t="n">
        <v>0</v>
      </c>
      <c r="M275" t="n">
        <v>0</v>
      </c>
      <c r="N275" t="n">
        <v>0</v>
      </c>
      <c r="O275" t="n">
        <v>0</v>
      </c>
      <c r="P275" t="n">
        <v>0</v>
      </c>
      <c r="Q275" t="n">
        <v>0</v>
      </c>
      <c r="R275" s="2" t="inlineStr"/>
    </row>
    <row r="276" ht="15" customHeight="1">
      <c r="A276" t="inlineStr">
        <is>
          <t>A 1289-2024</t>
        </is>
      </c>
      <c r="B276" s="1" t="n">
        <v>45303.32234953704</v>
      </c>
      <c r="C276" s="1" t="n">
        <v>45907</v>
      </c>
      <c r="D276" t="inlineStr">
        <is>
          <t>SKÅNE LÄN</t>
        </is>
      </c>
      <c r="E276" t="inlineStr">
        <is>
          <t>HÄSSLEHOLM</t>
        </is>
      </c>
      <c r="G276" t="n">
        <v>4.6</v>
      </c>
      <c r="H276" t="n">
        <v>0</v>
      </c>
      <c r="I276" t="n">
        <v>0</v>
      </c>
      <c r="J276" t="n">
        <v>0</v>
      </c>
      <c r="K276" t="n">
        <v>0</v>
      </c>
      <c r="L276" t="n">
        <v>0</v>
      </c>
      <c r="M276" t="n">
        <v>0</v>
      </c>
      <c r="N276" t="n">
        <v>0</v>
      </c>
      <c r="O276" t="n">
        <v>0</v>
      </c>
      <c r="P276" t="n">
        <v>0</v>
      </c>
      <c r="Q276" t="n">
        <v>0</v>
      </c>
      <c r="R276" s="2" t="inlineStr"/>
    </row>
    <row r="277" ht="15" customHeight="1">
      <c r="A277" t="inlineStr">
        <is>
          <t>A 35974-2022</t>
        </is>
      </c>
      <c r="B277" s="1" t="n">
        <v>44802</v>
      </c>
      <c r="C277" s="1" t="n">
        <v>45907</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1619-2022</t>
        </is>
      </c>
      <c r="B278" s="1" t="n">
        <v>44573</v>
      </c>
      <c r="C278" s="1" t="n">
        <v>45907</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41874-2024</t>
        </is>
      </c>
      <c r="B279" s="1" t="n">
        <v>45561</v>
      </c>
      <c r="C279" s="1" t="n">
        <v>45907</v>
      </c>
      <c r="D279" t="inlineStr">
        <is>
          <t>SKÅNE LÄN</t>
        </is>
      </c>
      <c r="E279" t="inlineStr">
        <is>
          <t>HÄSSLEHOLM</t>
        </is>
      </c>
      <c r="G279" t="n">
        <v>1</v>
      </c>
      <c r="H279" t="n">
        <v>0</v>
      </c>
      <c r="I279" t="n">
        <v>0</v>
      </c>
      <c r="J279" t="n">
        <v>0</v>
      </c>
      <c r="K279" t="n">
        <v>0</v>
      </c>
      <c r="L279" t="n">
        <v>0</v>
      </c>
      <c r="M279" t="n">
        <v>0</v>
      </c>
      <c r="N279" t="n">
        <v>0</v>
      </c>
      <c r="O279" t="n">
        <v>0</v>
      </c>
      <c r="P279" t="n">
        <v>0</v>
      </c>
      <c r="Q279" t="n">
        <v>0</v>
      </c>
      <c r="R279" s="2" t="inlineStr"/>
    </row>
    <row r="280" ht="15" customHeight="1">
      <c r="A280" t="inlineStr">
        <is>
          <t>A 54176-2022</t>
        </is>
      </c>
      <c r="B280" s="1" t="n">
        <v>44881</v>
      </c>
      <c r="C280" s="1" t="n">
        <v>45907</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50616-2023</t>
        </is>
      </c>
      <c r="B281" s="1" t="n">
        <v>45210</v>
      </c>
      <c r="C281" s="1" t="n">
        <v>45907</v>
      </c>
      <c r="D281" t="inlineStr">
        <is>
          <t>SKÅNE LÄN</t>
        </is>
      </c>
      <c r="E281" t="inlineStr">
        <is>
          <t>HÄSSLEHOLM</t>
        </is>
      </c>
      <c r="G281" t="n">
        <v>1.1</v>
      </c>
      <c r="H281" t="n">
        <v>0</v>
      </c>
      <c r="I281" t="n">
        <v>0</v>
      </c>
      <c r="J281" t="n">
        <v>0</v>
      </c>
      <c r="K281" t="n">
        <v>0</v>
      </c>
      <c r="L281" t="n">
        <v>0</v>
      </c>
      <c r="M281" t="n">
        <v>0</v>
      </c>
      <c r="N281" t="n">
        <v>0</v>
      </c>
      <c r="O281" t="n">
        <v>0</v>
      </c>
      <c r="P281" t="n">
        <v>0</v>
      </c>
      <c r="Q281" t="n">
        <v>0</v>
      </c>
      <c r="R281" s="2" t="inlineStr"/>
    </row>
    <row r="282" ht="15" customHeight="1">
      <c r="A282" t="inlineStr">
        <is>
          <t>A 45361-2023</t>
        </is>
      </c>
      <c r="B282" s="1" t="n">
        <v>45192.49068287037</v>
      </c>
      <c r="C282" s="1" t="n">
        <v>45907</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23003-2021</t>
        </is>
      </c>
      <c r="B283" s="1" t="n">
        <v>44328</v>
      </c>
      <c r="C283" s="1" t="n">
        <v>45907</v>
      </c>
      <c r="D283" t="inlineStr">
        <is>
          <t>SKÅNE LÄN</t>
        </is>
      </c>
      <c r="E283" t="inlineStr">
        <is>
          <t>HÄSSLEHOLM</t>
        </is>
      </c>
      <c r="G283" t="n">
        <v>4.4</v>
      </c>
      <c r="H283" t="n">
        <v>0</v>
      </c>
      <c r="I283" t="n">
        <v>0</v>
      </c>
      <c r="J283" t="n">
        <v>0</v>
      </c>
      <c r="K283" t="n">
        <v>0</v>
      </c>
      <c r="L283" t="n">
        <v>0</v>
      </c>
      <c r="M283" t="n">
        <v>0</v>
      </c>
      <c r="N283" t="n">
        <v>0</v>
      </c>
      <c r="O283" t="n">
        <v>0</v>
      </c>
      <c r="P283" t="n">
        <v>0</v>
      </c>
      <c r="Q283" t="n">
        <v>0</v>
      </c>
      <c r="R283" s="2" t="inlineStr"/>
    </row>
    <row r="284" ht="15" customHeight="1">
      <c r="A284" t="inlineStr">
        <is>
          <t>A 7152-2025</t>
        </is>
      </c>
      <c r="B284" s="1" t="n">
        <v>45702.3837037037</v>
      </c>
      <c r="C284" s="1" t="n">
        <v>45907</v>
      </c>
      <c r="D284" t="inlineStr">
        <is>
          <t>SKÅNE LÄN</t>
        </is>
      </c>
      <c r="E284" t="inlineStr">
        <is>
          <t>HÄSSLEHOLM</t>
        </is>
      </c>
      <c r="G284" t="n">
        <v>1.3</v>
      </c>
      <c r="H284" t="n">
        <v>0</v>
      </c>
      <c r="I284" t="n">
        <v>0</v>
      </c>
      <c r="J284" t="n">
        <v>0</v>
      </c>
      <c r="K284" t="n">
        <v>0</v>
      </c>
      <c r="L284" t="n">
        <v>0</v>
      </c>
      <c r="M284" t="n">
        <v>0</v>
      </c>
      <c r="N284" t="n">
        <v>0</v>
      </c>
      <c r="O284" t="n">
        <v>0</v>
      </c>
      <c r="P284" t="n">
        <v>0</v>
      </c>
      <c r="Q284" t="n">
        <v>0</v>
      </c>
      <c r="R284" s="2" t="inlineStr"/>
    </row>
    <row r="285" ht="15" customHeight="1">
      <c r="A285" t="inlineStr">
        <is>
          <t>A 7160-2025</t>
        </is>
      </c>
      <c r="B285" s="1" t="n">
        <v>45702.3875462963</v>
      </c>
      <c r="C285" s="1" t="n">
        <v>45907</v>
      </c>
      <c r="D285" t="inlineStr">
        <is>
          <t>SKÅNE LÄN</t>
        </is>
      </c>
      <c r="E285" t="inlineStr">
        <is>
          <t>HÄSSLEHOLM</t>
        </is>
      </c>
      <c r="G285" t="n">
        <v>2.5</v>
      </c>
      <c r="H285" t="n">
        <v>0</v>
      </c>
      <c r="I285" t="n">
        <v>0</v>
      </c>
      <c r="J285" t="n">
        <v>0</v>
      </c>
      <c r="K285" t="n">
        <v>0</v>
      </c>
      <c r="L285" t="n">
        <v>0</v>
      </c>
      <c r="M285" t="n">
        <v>0</v>
      </c>
      <c r="N285" t="n">
        <v>0</v>
      </c>
      <c r="O285" t="n">
        <v>0</v>
      </c>
      <c r="P285" t="n">
        <v>0</v>
      </c>
      <c r="Q285" t="n">
        <v>0</v>
      </c>
      <c r="R285" s="2" t="inlineStr"/>
    </row>
    <row r="286" ht="15" customHeight="1">
      <c r="A286" t="inlineStr">
        <is>
          <t>A 5091-2022</t>
        </is>
      </c>
      <c r="B286" s="1" t="n">
        <v>44593.85114583333</v>
      </c>
      <c r="C286" s="1" t="n">
        <v>45907</v>
      </c>
      <c r="D286" t="inlineStr">
        <is>
          <t>SKÅNE LÄN</t>
        </is>
      </c>
      <c r="E286" t="inlineStr">
        <is>
          <t>HÄSSLEHOLM</t>
        </is>
      </c>
      <c r="G286" t="n">
        <v>2.5</v>
      </c>
      <c r="H286" t="n">
        <v>0</v>
      </c>
      <c r="I286" t="n">
        <v>0</v>
      </c>
      <c r="J286" t="n">
        <v>0</v>
      </c>
      <c r="K286" t="n">
        <v>0</v>
      </c>
      <c r="L286" t="n">
        <v>0</v>
      </c>
      <c r="M286" t="n">
        <v>0</v>
      </c>
      <c r="N286" t="n">
        <v>0</v>
      </c>
      <c r="O286" t="n">
        <v>0</v>
      </c>
      <c r="P286" t="n">
        <v>0</v>
      </c>
      <c r="Q286" t="n">
        <v>0</v>
      </c>
      <c r="R286" s="2" t="inlineStr"/>
    </row>
    <row r="287" ht="15" customHeight="1">
      <c r="A287" t="inlineStr">
        <is>
          <t>A 27291-2023</t>
        </is>
      </c>
      <c r="B287" s="1" t="n">
        <v>45096</v>
      </c>
      <c r="C287" s="1" t="n">
        <v>45907</v>
      </c>
      <c r="D287" t="inlineStr">
        <is>
          <t>SKÅNE LÄN</t>
        </is>
      </c>
      <c r="E287" t="inlineStr">
        <is>
          <t>HÄSSLEHOLM</t>
        </is>
      </c>
      <c r="G287" t="n">
        <v>3.5</v>
      </c>
      <c r="H287" t="n">
        <v>0</v>
      </c>
      <c r="I287" t="n">
        <v>0</v>
      </c>
      <c r="J287" t="n">
        <v>0</v>
      </c>
      <c r="K287" t="n">
        <v>0</v>
      </c>
      <c r="L287" t="n">
        <v>0</v>
      </c>
      <c r="M287" t="n">
        <v>0</v>
      </c>
      <c r="N287" t="n">
        <v>0</v>
      </c>
      <c r="O287" t="n">
        <v>0</v>
      </c>
      <c r="P287" t="n">
        <v>0</v>
      </c>
      <c r="Q287" t="n">
        <v>0</v>
      </c>
      <c r="R287" s="2" t="inlineStr"/>
    </row>
    <row r="288" ht="15" customHeight="1">
      <c r="A288" t="inlineStr">
        <is>
          <t>A 9747-2024</t>
        </is>
      </c>
      <c r="B288" s="1" t="n">
        <v>45362</v>
      </c>
      <c r="C288" s="1" t="n">
        <v>45907</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7153-2025</t>
        </is>
      </c>
      <c r="B289" s="1" t="n">
        <v>45702.38512731482</v>
      </c>
      <c r="C289" s="1" t="n">
        <v>45907</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49107-2023</t>
        </is>
      </c>
      <c r="B290" s="1" t="n">
        <v>45210.44337962963</v>
      </c>
      <c r="C290" s="1" t="n">
        <v>45907</v>
      </c>
      <c r="D290" t="inlineStr">
        <is>
          <t>SKÅNE LÄN</t>
        </is>
      </c>
      <c r="E290" t="inlineStr">
        <is>
          <t>HÄSSLEHOLM</t>
        </is>
      </c>
      <c r="G290" t="n">
        <v>0.3</v>
      </c>
      <c r="H290" t="n">
        <v>0</v>
      </c>
      <c r="I290" t="n">
        <v>0</v>
      </c>
      <c r="J290" t="n">
        <v>0</v>
      </c>
      <c r="K290" t="n">
        <v>0</v>
      </c>
      <c r="L290" t="n">
        <v>0</v>
      </c>
      <c r="M290" t="n">
        <v>0</v>
      </c>
      <c r="N290" t="n">
        <v>0</v>
      </c>
      <c r="O290" t="n">
        <v>0</v>
      </c>
      <c r="P290" t="n">
        <v>0</v>
      </c>
      <c r="Q290" t="n">
        <v>0</v>
      </c>
      <c r="R290" s="2" t="inlineStr"/>
    </row>
    <row r="291" ht="15" customHeight="1">
      <c r="A291" t="inlineStr">
        <is>
          <t>A 441-2022</t>
        </is>
      </c>
      <c r="B291" s="1" t="n">
        <v>44565.97125</v>
      </c>
      <c r="C291" s="1" t="n">
        <v>45907</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10594-2025</t>
        </is>
      </c>
      <c r="B292" s="1" t="n">
        <v>45721</v>
      </c>
      <c r="C292" s="1" t="n">
        <v>45907</v>
      </c>
      <c r="D292" t="inlineStr">
        <is>
          <t>SKÅNE LÄN</t>
        </is>
      </c>
      <c r="E292" t="inlineStr">
        <is>
          <t>HÄSSLEHOLM</t>
        </is>
      </c>
      <c r="G292" t="n">
        <v>5.3</v>
      </c>
      <c r="H292" t="n">
        <v>0</v>
      </c>
      <c r="I292" t="n">
        <v>0</v>
      </c>
      <c r="J292" t="n">
        <v>0</v>
      </c>
      <c r="K292" t="n">
        <v>0</v>
      </c>
      <c r="L292" t="n">
        <v>0</v>
      </c>
      <c r="M292" t="n">
        <v>0</v>
      </c>
      <c r="N292" t="n">
        <v>0</v>
      </c>
      <c r="O292" t="n">
        <v>0</v>
      </c>
      <c r="P292" t="n">
        <v>0</v>
      </c>
      <c r="Q292" t="n">
        <v>0</v>
      </c>
      <c r="R292" s="2" t="inlineStr"/>
    </row>
    <row r="293" ht="15" customHeight="1">
      <c r="A293" t="inlineStr">
        <is>
          <t>A 48771-2024</t>
        </is>
      </c>
      <c r="B293" s="1" t="n">
        <v>45593.61284722222</v>
      </c>
      <c r="C293" s="1" t="n">
        <v>45907</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12344-2023</t>
        </is>
      </c>
      <c r="B294" s="1" t="n">
        <v>44999</v>
      </c>
      <c r="C294" s="1" t="n">
        <v>45907</v>
      </c>
      <c r="D294" t="inlineStr">
        <is>
          <t>SKÅNE LÄN</t>
        </is>
      </c>
      <c r="E294" t="inlineStr">
        <is>
          <t>HÄSSLEHOLM</t>
        </is>
      </c>
      <c r="G294" t="n">
        <v>2.4</v>
      </c>
      <c r="H294" t="n">
        <v>0</v>
      </c>
      <c r="I294" t="n">
        <v>0</v>
      </c>
      <c r="J294" t="n">
        <v>0</v>
      </c>
      <c r="K294" t="n">
        <v>0</v>
      </c>
      <c r="L294" t="n">
        <v>0</v>
      </c>
      <c r="M294" t="n">
        <v>0</v>
      </c>
      <c r="N294" t="n">
        <v>0</v>
      </c>
      <c r="O294" t="n">
        <v>0</v>
      </c>
      <c r="P294" t="n">
        <v>0</v>
      </c>
      <c r="Q294" t="n">
        <v>0</v>
      </c>
      <c r="R294" s="2" t="inlineStr"/>
    </row>
    <row r="295" ht="15" customHeight="1">
      <c r="A295" t="inlineStr">
        <is>
          <t>A 61197-2024</t>
        </is>
      </c>
      <c r="B295" s="1" t="n">
        <v>45645.63184027778</v>
      </c>
      <c r="C295" s="1" t="n">
        <v>45907</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6165-2023</t>
        </is>
      </c>
      <c r="B296" s="1" t="n">
        <v>44964.67114583333</v>
      </c>
      <c r="C296" s="1" t="n">
        <v>45907</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33938-2023</t>
        </is>
      </c>
      <c r="B297" s="1" t="n">
        <v>45124</v>
      </c>
      <c r="C297" s="1" t="n">
        <v>45907</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61533-2022</t>
        </is>
      </c>
      <c r="B298" s="1" t="n">
        <v>44910</v>
      </c>
      <c r="C298" s="1" t="n">
        <v>45907</v>
      </c>
      <c r="D298" t="inlineStr">
        <is>
          <t>SKÅNE LÄN</t>
        </is>
      </c>
      <c r="E298" t="inlineStr">
        <is>
          <t>HÄSSLEHOLM</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677-2024</t>
        </is>
      </c>
      <c r="B299" s="1" t="n">
        <v>45300</v>
      </c>
      <c r="C299" s="1" t="n">
        <v>45907</v>
      </c>
      <c r="D299" t="inlineStr">
        <is>
          <t>SKÅNE LÄN</t>
        </is>
      </c>
      <c r="E299" t="inlineStr">
        <is>
          <t>HÄSSLEHOLM</t>
        </is>
      </c>
      <c r="G299" t="n">
        <v>6.8</v>
      </c>
      <c r="H299" t="n">
        <v>0</v>
      </c>
      <c r="I299" t="n">
        <v>0</v>
      </c>
      <c r="J299" t="n">
        <v>0</v>
      </c>
      <c r="K299" t="n">
        <v>0</v>
      </c>
      <c r="L299" t="n">
        <v>0</v>
      </c>
      <c r="M299" t="n">
        <v>0</v>
      </c>
      <c r="N299" t="n">
        <v>0</v>
      </c>
      <c r="O299" t="n">
        <v>0</v>
      </c>
      <c r="P299" t="n">
        <v>0</v>
      </c>
      <c r="Q299" t="n">
        <v>0</v>
      </c>
      <c r="R299" s="2" t="inlineStr"/>
    </row>
    <row r="300" ht="15" customHeight="1">
      <c r="A300" t="inlineStr">
        <is>
          <t>A 55284-2023</t>
        </is>
      </c>
      <c r="B300" s="1" t="n">
        <v>45237.74259259259</v>
      </c>
      <c r="C300" s="1" t="n">
        <v>45907</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5887-2025</t>
        </is>
      </c>
      <c r="B301" s="1" t="n">
        <v>45695.37925925926</v>
      </c>
      <c r="C301" s="1" t="n">
        <v>45907</v>
      </c>
      <c r="D301" t="inlineStr">
        <is>
          <t>SKÅNE LÄN</t>
        </is>
      </c>
      <c r="E301" t="inlineStr">
        <is>
          <t>HÄSSLEHOLM</t>
        </is>
      </c>
      <c r="G301" t="n">
        <v>4.8</v>
      </c>
      <c r="H301" t="n">
        <v>0</v>
      </c>
      <c r="I301" t="n">
        <v>0</v>
      </c>
      <c r="J301" t="n">
        <v>0</v>
      </c>
      <c r="K301" t="n">
        <v>0</v>
      </c>
      <c r="L301" t="n">
        <v>0</v>
      </c>
      <c r="M301" t="n">
        <v>0</v>
      </c>
      <c r="N301" t="n">
        <v>0</v>
      </c>
      <c r="O301" t="n">
        <v>0</v>
      </c>
      <c r="P301" t="n">
        <v>0</v>
      </c>
      <c r="Q301" t="n">
        <v>0</v>
      </c>
      <c r="R301" s="2" t="inlineStr"/>
    </row>
    <row r="302" ht="15" customHeight="1">
      <c r="A302" t="inlineStr">
        <is>
          <t>A 20872-2025</t>
        </is>
      </c>
      <c r="B302" s="1" t="n">
        <v>45777.34688657407</v>
      </c>
      <c r="C302" s="1" t="n">
        <v>45907</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29994-2023</t>
        </is>
      </c>
      <c r="B303" s="1" t="n">
        <v>45109.60038194444</v>
      </c>
      <c r="C303" s="1" t="n">
        <v>45907</v>
      </c>
      <c r="D303" t="inlineStr">
        <is>
          <t>SKÅNE LÄN</t>
        </is>
      </c>
      <c r="E303" t="inlineStr">
        <is>
          <t>HÄSSLEHOLM</t>
        </is>
      </c>
      <c r="G303" t="n">
        <v>2.8</v>
      </c>
      <c r="H303" t="n">
        <v>0</v>
      </c>
      <c r="I303" t="n">
        <v>0</v>
      </c>
      <c r="J303" t="n">
        <v>0</v>
      </c>
      <c r="K303" t="n">
        <v>0</v>
      </c>
      <c r="L303" t="n">
        <v>0</v>
      </c>
      <c r="M303" t="n">
        <v>0</v>
      </c>
      <c r="N303" t="n">
        <v>0</v>
      </c>
      <c r="O303" t="n">
        <v>0</v>
      </c>
      <c r="P303" t="n">
        <v>0</v>
      </c>
      <c r="Q303" t="n">
        <v>0</v>
      </c>
      <c r="R303" s="2" t="inlineStr"/>
    </row>
    <row r="304" ht="15" customHeight="1">
      <c r="A304" t="inlineStr">
        <is>
          <t>A 14157-2021</t>
        </is>
      </c>
      <c r="B304" s="1" t="n">
        <v>44278.43246527778</v>
      </c>
      <c r="C304" s="1" t="n">
        <v>45907</v>
      </c>
      <c r="D304" t="inlineStr">
        <is>
          <t>SKÅNE LÄN</t>
        </is>
      </c>
      <c r="E304" t="inlineStr">
        <is>
          <t>HÄSSLEHOLM</t>
        </is>
      </c>
      <c r="G304" t="n">
        <v>10.5</v>
      </c>
      <c r="H304" t="n">
        <v>0</v>
      </c>
      <c r="I304" t="n">
        <v>0</v>
      </c>
      <c r="J304" t="n">
        <v>0</v>
      </c>
      <c r="K304" t="n">
        <v>0</v>
      </c>
      <c r="L304" t="n">
        <v>0</v>
      </c>
      <c r="M304" t="n">
        <v>0</v>
      </c>
      <c r="N304" t="n">
        <v>0</v>
      </c>
      <c r="O304" t="n">
        <v>0</v>
      </c>
      <c r="P304" t="n">
        <v>0</v>
      </c>
      <c r="Q304" t="n">
        <v>0</v>
      </c>
      <c r="R304" s="2" t="inlineStr"/>
    </row>
    <row r="305" ht="15" customHeight="1">
      <c r="A305" t="inlineStr">
        <is>
          <t>A 54874-2022</t>
        </is>
      </c>
      <c r="B305" s="1" t="n">
        <v>44881</v>
      </c>
      <c r="C305" s="1" t="n">
        <v>45907</v>
      </c>
      <c r="D305" t="inlineStr">
        <is>
          <t>SKÅNE LÄN</t>
        </is>
      </c>
      <c r="E305" t="inlineStr">
        <is>
          <t>HÄSSLEHOLM</t>
        </is>
      </c>
      <c r="G305" t="n">
        <v>8.1</v>
      </c>
      <c r="H305" t="n">
        <v>0</v>
      </c>
      <c r="I305" t="n">
        <v>0</v>
      </c>
      <c r="J305" t="n">
        <v>0</v>
      </c>
      <c r="K305" t="n">
        <v>0</v>
      </c>
      <c r="L305" t="n">
        <v>0</v>
      </c>
      <c r="M305" t="n">
        <v>0</v>
      </c>
      <c r="N305" t="n">
        <v>0</v>
      </c>
      <c r="O305" t="n">
        <v>0</v>
      </c>
      <c r="P305" t="n">
        <v>0</v>
      </c>
      <c r="Q305" t="n">
        <v>0</v>
      </c>
      <c r="R305" s="2" t="inlineStr"/>
    </row>
    <row r="306" ht="15" customHeight="1">
      <c r="A306" t="inlineStr">
        <is>
          <t>A 65235-2021</t>
        </is>
      </c>
      <c r="B306" s="1" t="n">
        <v>44515</v>
      </c>
      <c r="C306" s="1" t="n">
        <v>45907</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21206-2025</t>
        </is>
      </c>
      <c r="B307" s="1" t="n">
        <v>45779.48318287037</v>
      </c>
      <c r="C307" s="1" t="n">
        <v>45907</v>
      </c>
      <c r="D307" t="inlineStr">
        <is>
          <t>SKÅNE LÄN</t>
        </is>
      </c>
      <c r="E307" t="inlineStr">
        <is>
          <t>HÄSSLEHOLM</t>
        </is>
      </c>
      <c r="G307" t="n">
        <v>2.2</v>
      </c>
      <c r="H307" t="n">
        <v>0</v>
      </c>
      <c r="I307" t="n">
        <v>0</v>
      </c>
      <c r="J307" t="n">
        <v>0</v>
      </c>
      <c r="K307" t="n">
        <v>0</v>
      </c>
      <c r="L307" t="n">
        <v>0</v>
      </c>
      <c r="M307" t="n">
        <v>0</v>
      </c>
      <c r="N307" t="n">
        <v>0</v>
      </c>
      <c r="O307" t="n">
        <v>0</v>
      </c>
      <c r="P307" t="n">
        <v>0</v>
      </c>
      <c r="Q307" t="n">
        <v>0</v>
      </c>
      <c r="R307" s="2" t="inlineStr"/>
    </row>
    <row r="308" ht="15" customHeight="1">
      <c r="A308" t="inlineStr">
        <is>
          <t>A 13549-2025</t>
        </is>
      </c>
      <c r="B308" s="1" t="n">
        <v>45736</v>
      </c>
      <c r="C308" s="1" t="n">
        <v>45907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51245-2023</t>
        </is>
      </c>
      <c r="B309" s="1" t="n">
        <v>45212</v>
      </c>
      <c r="C309" s="1" t="n">
        <v>45907</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21091-2025</t>
        </is>
      </c>
      <c r="B310" s="1" t="n">
        <v>45777</v>
      </c>
      <c r="C310" s="1" t="n">
        <v>45907</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31934-2024</t>
        </is>
      </c>
      <c r="B311" s="1" t="n">
        <v>45510.41177083334</v>
      </c>
      <c r="C311" s="1" t="n">
        <v>45907</v>
      </c>
      <c r="D311" t="inlineStr">
        <is>
          <t>SKÅNE LÄN</t>
        </is>
      </c>
      <c r="E311" t="inlineStr">
        <is>
          <t>HÄSSLEHOLM</t>
        </is>
      </c>
      <c r="G311" t="n">
        <v>1.9</v>
      </c>
      <c r="H311" t="n">
        <v>0</v>
      </c>
      <c r="I311" t="n">
        <v>0</v>
      </c>
      <c r="J311" t="n">
        <v>0</v>
      </c>
      <c r="K311" t="n">
        <v>0</v>
      </c>
      <c r="L311" t="n">
        <v>0</v>
      </c>
      <c r="M311" t="n">
        <v>0</v>
      </c>
      <c r="N311" t="n">
        <v>0</v>
      </c>
      <c r="O311" t="n">
        <v>0</v>
      </c>
      <c r="P311" t="n">
        <v>0</v>
      </c>
      <c r="Q311" t="n">
        <v>0</v>
      </c>
      <c r="R311" s="2" t="inlineStr"/>
    </row>
    <row r="312" ht="15" customHeight="1">
      <c r="A312" t="inlineStr">
        <is>
          <t>A 17152-2025</t>
        </is>
      </c>
      <c r="B312" s="1" t="n">
        <v>45756.33318287037</v>
      </c>
      <c r="C312" s="1" t="n">
        <v>45907</v>
      </c>
      <c r="D312" t="inlineStr">
        <is>
          <t>SKÅNE LÄN</t>
        </is>
      </c>
      <c r="E312" t="inlineStr">
        <is>
          <t>HÄSSLEHOLM</t>
        </is>
      </c>
      <c r="G312" t="n">
        <v>0.9</v>
      </c>
      <c r="H312" t="n">
        <v>0</v>
      </c>
      <c r="I312" t="n">
        <v>0</v>
      </c>
      <c r="J312" t="n">
        <v>0</v>
      </c>
      <c r="K312" t="n">
        <v>0</v>
      </c>
      <c r="L312" t="n">
        <v>0</v>
      </c>
      <c r="M312" t="n">
        <v>0</v>
      </c>
      <c r="N312" t="n">
        <v>0</v>
      </c>
      <c r="O312" t="n">
        <v>0</v>
      </c>
      <c r="P312" t="n">
        <v>0</v>
      </c>
      <c r="Q312" t="n">
        <v>0</v>
      </c>
      <c r="R312" s="2" t="inlineStr"/>
    </row>
    <row r="313" ht="15" customHeight="1">
      <c r="A313" t="inlineStr">
        <is>
          <t>A 317-2025</t>
        </is>
      </c>
      <c r="B313" s="1" t="n">
        <v>45660</v>
      </c>
      <c r="C313" s="1" t="n">
        <v>45907</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21638-2025</t>
        </is>
      </c>
      <c r="B314" s="1" t="n">
        <v>45783.43087962963</v>
      </c>
      <c r="C314" s="1" t="n">
        <v>45907</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8160-2024</t>
        </is>
      </c>
      <c r="B315" s="1" t="n">
        <v>45351</v>
      </c>
      <c r="C315" s="1" t="n">
        <v>45907</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34301-2024</t>
        </is>
      </c>
      <c r="B316" s="1" t="n">
        <v>45524</v>
      </c>
      <c r="C316" s="1" t="n">
        <v>45907</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27242-2022</t>
        </is>
      </c>
      <c r="B317" s="1" t="n">
        <v>44741</v>
      </c>
      <c r="C317" s="1" t="n">
        <v>45907</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46813-2024</t>
        </is>
      </c>
      <c r="B318" s="1" t="n">
        <v>45583</v>
      </c>
      <c r="C318" s="1" t="n">
        <v>45907</v>
      </c>
      <c r="D318" t="inlineStr">
        <is>
          <t>SKÅNE LÄN</t>
        </is>
      </c>
      <c r="E318" t="inlineStr">
        <is>
          <t>HÄSSLEHOLM</t>
        </is>
      </c>
      <c r="G318" t="n">
        <v>14.9</v>
      </c>
      <c r="H318" t="n">
        <v>0</v>
      </c>
      <c r="I318" t="n">
        <v>0</v>
      </c>
      <c r="J318" t="n">
        <v>0</v>
      </c>
      <c r="K318" t="n">
        <v>0</v>
      </c>
      <c r="L318" t="n">
        <v>0</v>
      </c>
      <c r="M318" t="n">
        <v>0</v>
      </c>
      <c r="N318" t="n">
        <v>0</v>
      </c>
      <c r="O318" t="n">
        <v>0</v>
      </c>
      <c r="P318" t="n">
        <v>0</v>
      </c>
      <c r="Q318" t="n">
        <v>0</v>
      </c>
      <c r="R318" s="2" t="inlineStr"/>
    </row>
    <row r="319" ht="15" customHeight="1">
      <c r="A319" t="inlineStr">
        <is>
          <t>A 39111-2023</t>
        </is>
      </c>
      <c r="B319" s="1" t="n">
        <v>45164.87140046297</v>
      </c>
      <c r="C319" s="1" t="n">
        <v>45907</v>
      </c>
      <c r="D319" t="inlineStr">
        <is>
          <t>SKÅNE LÄN</t>
        </is>
      </c>
      <c r="E319" t="inlineStr">
        <is>
          <t>HÄSSLEHOLM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59429-2023</t>
        </is>
      </c>
      <c r="B320" s="1" t="n">
        <v>45254.2875</v>
      </c>
      <c r="C320" s="1" t="n">
        <v>45907</v>
      </c>
      <c r="D320" t="inlineStr">
        <is>
          <t>SKÅNE LÄN</t>
        </is>
      </c>
      <c r="E320" t="inlineStr">
        <is>
          <t>HÄSSLEHOLM</t>
        </is>
      </c>
      <c r="G320" t="n">
        <v>0</v>
      </c>
      <c r="H320" t="n">
        <v>0</v>
      </c>
      <c r="I320" t="n">
        <v>0</v>
      </c>
      <c r="J320" t="n">
        <v>0</v>
      </c>
      <c r="K320" t="n">
        <v>0</v>
      </c>
      <c r="L320" t="n">
        <v>0</v>
      </c>
      <c r="M320" t="n">
        <v>0</v>
      </c>
      <c r="N320" t="n">
        <v>0</v>
      </c>
      <c r="O320" t="n">
        <v>0</v>
      </c>
      <c r="P320" t="n">
        <v>0</v>
      </c>
      <c r="Q320" t="n">
        <v>0</v>
      </c>
      <c r="R320" s="2" t="inlineStr"/>
    </row>
    <row r="321" ht="15" customHeight="1">
      <c r="A321" t="inlineStr">
        <is>
          <t>A 60851-2024</t>
        </is>
      </c>
      <c r="B321" s="1" t="n">
        <v>45644.66182870371</v>
      </c>
      <c r="C321" s="1" t="n">
        <v>45907</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21625-2025</t>
        </is>
      </c>
      <c r="B322" s="1" t="n">
        <v>45783.41252314814</v>
      </c>
      <c r="C322" s="1" t="n">
        <v>45907</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61158-2022</t>
        </is>
      </c>
      <c r="B323" s="1" t="n">
        <v>44915.47112268519</v>
      </c>
      <c r="C323" s="1" t="n">
        <v>45907</v>
      </c>
      <c r="D323" t="inlineStr">
        <is>
          <t>SKÅNE LÄN</t>
        </is>
      </c>
      <c r="E323" t="inlineStr">
        <is>
          <t>HÄSSLEHOLM</t>
        </is>
      </c>
      <c r="G323" t="n">
        <v>8.4</v>
      </c>
      <c r="H323" t="n">
        <v>0</v>
      </c>
      <c r="I323" t="n">
        <v>0</v>
      </c>
      <c r="J323" t="n">
        <v>0</v>
      </c>
      <c r="K323" t="n">
        <v>0</v>
      </c>
      <c r="L323" t="n">
        <v>0</v>
      </c>
      <c r="M323" t="n">
        <v>0</v>
      </c>
      <c r="N323" t="n">
        <v>0</v>
      </c>
      <c r="O323" t="n">
        <v>0</v>
      </c>
      <c r="P323" t="n">
        <v>0</v>
      </c>
      <c r="Q323" t="n">
        <v>0</v>
      </c>
      <c r="R323" s="2" t="inlineStr"/>
    </row>
    <row r="324" ht="15" customHeight="1">
      <c r="A324" t="inlineStr">
        <is>
          <t>A 61186-2022</t>
        </is>
      </c>
      <c r="B324" s="1" t="n">
        <v>44915.50745370371</v>
      </c>
      <c r="C324" s="1" t="n">
        <v>45907</v>
      </c>
      <c r="D324" t="inlineStr">
        <is>
          <t>SKÅNE LÄN</t>
        </is>
      </c>
      <c r="E324" t="inlineStr">
        <is>
          <t>HÄSSLEHOLM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62055-2023</t>
        </is>
      </c>
      <c r="B325" s="1" t="n">
        <v>45266.70287037037</v>
      </c>
      <c r="C325" s="1" t="n">
        <v>45907</v>
      </c>
      <c r="D325" t="inlineStr">
        <is>
          <t>SKÅNE LÄN</t>
        </is>
      </c>
      <c r="E325" t="inlineStr">
        <is>
          <t>HÄSSLEHOLM</t>
        </is>
      </c>
      <c r="G325" t="n">
        <v>5.2</v>
      </c>
      <c r="H325" t="n">
        <v>0</v>
      </c>
      <c r="I325" t="n">
        <v>0</v>
      </c>
      <c r="J325" t="n">
        <v>0</v>
      </c>
      <c r="K325" t="n">
        <v>0</v>
      </c>
      <c r="L325" t="n">
        <v>0</v>
      </c>
      <c r="M325" t="n">
        <v>0</v>
      </c>
      <c r="N325" t="n">
        <v>0</v>
      </c>
      <c r="O325" t="n">
        <v>0</v>
      </c>
      <c r="P325" t="n">
        <v>0</v>
      </c>
      <c r="Q325" t="n">
        <v>0</v>
      </c>
      <c r="R325" s="2" t="inlineStr"/>
    </row>
    <row r="326" ht="15" customHeight="1">
      <c r="A326" t="inlineStr">
        <is>
          <t>A 7818-2024</t>
        </is>
      </c>
      <c r="B326" s="1" t="n">
        <v>45349.68872685185</v>
      </c>
      <c r="C326" s="1" t="n">
        <v>45907</v>
      </c>
      <c r="D326" t="inlineStr">
        <is>
          <t>SKÅNE LÄN</t>
        </is>
      </c>
      <c r="E326" t="inlineStr">
        <is>
          <t>HÄSSLEHOLM</t>
        </is>
      </c>
      <c r="G326" t="n">
        <v>2.5</v>
      </c>
      <c r="H326" t="n">
        <v>0</v>
      </c>
      <c r="I326" t="n">
        <v>0</v>
      </c>
      <c r="J326" t="n">
        <v>0</v>
      </c>
      <c r="K326" t="n">
        <v>0</v>
      </c>
      <c r="L326" t="n">
        <v>0</v>
      </c>
      <c r="M326" t="n">
        <v>0</v>
      </c>
      <c r="N326" t="n">
        <v>0</v>
      </c>
      <c r="O326" t="n">
        <v>0</v>
      </c>
      <c r="P326" t="n">
        <v>0</v>
      </c>
      <c r="Q326" t="n">
        <v>0</v>
      </c>
      <c r="R326" s="2" t="inlineStr"/>
    </row>
    <row r="327" ht="15" customHeight="1">
      <c r="A327" t="inlineStr">
        <is>
          <t>A 60959-2022</t>
        </is>
      </c>
      <c r="B327" s="1" t="n">
        <v>44914.64777777778</v>
      </c>
      <c r="C327" s="1" t="n">
        <v>45907</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13149-2024</t>
        </is>
      </c>
      <c r="B328" s="1" t="n">
        <v>45386</v>
      </c>
      <c r="C328" s="1" t="n">
        <v>45907</v>
      </c>
      <c r="D328" t="inlineStr">
        <is>
          <t>SKÅNE LÄN</t>
        </is>
      </c>
      <c r="E328" t="inlineStr">
        <is>
          <t>HÄSSLEHOLM</t>
        </is>
      </c>
      <c r="G328" t="n">
        <v>1.1</v>
      </c>
      <c r="H328" t="n">
        <v>0</v>
      </c>
      <c r="I328" t="n">
        <v>0</v>
      </c>
      <c r="J328" t="n">
        <v>0</v>
      </c>
      <c r="K328" t="n">
        <v>0</v>
      </c>
      <c r="L328" t="n">
        <v>0</v>
      </c>
      <c r="M328" t="n">
        <v>0</v>
      </c>
      <c r="N328" t="n">
        <v>0</v>
      </c>
      <c r="O328" t="n">
        <v>0</v>
      </c>
      <c r="P328" t="n">
        <v>0</v>
      </c>
      <c r="Q328" t="n">
        <v>0</v>
      </c>
      <c r="R328" s="2" t="inlineStr"/>
    </row>
    <row r="329" ht="15" customHeight="1">
      <c r="A329" t="inlineStr">
        <is>
          <t>A 42906-2022</t>
        </is>
      </c>
      <c r="B329" s="1" t="n">
        <v>44833</v>
      </c>
      <c r="C329" s="1" t="n">
        <v>45907</v>
      </c>
      <c r="D329" t="inlineStr">
        <is>
          <t>SKÅNE LÄN</t>
        </is>
      </c>
      <c r="E329" t="inlineStr">
        <is>
          <t>HÄSSLEHOLM</t>
        </is>
      </c>
      <c r="G329" t="n">
        <v>1.1</v>
      </c>
      <c r="H329" t="n">
        <v>0</v>
      </c>
      <c r="I329" t="n">
        <v>0</v>
      </c>
      <c r="J329" t="n">
        <v>0</v>
      </c>
      <c r="K329" t="n">
        <v>0</v>
      </c>
      <c r="L329" t="n">
        <v>0</v>
      </c>
      <c r="M329" t="n">
        <v>0</v>
      </c>
      <c r="N329" t="n">
        <v>0</v>
      </c>
      <c r="O329" t="n">
        <v>0</v>
      </c>
      <c r="P329" t="n">
        <v>0</v>
      </c>
      <c r="Q329" t="n">
        <v>0</v>
      </c>
      <c r="R329" s="2" t="inlineStr"/>
    </row>
    <row r="330" ht="15" customHeight="1">
      <c r="A330" t="inlineStr">
        <is>
          <t>A 29845-2024</t>
        </is>
      </c>
      <c r="B330" s="1" t="n">
        <v>45485.6212037037</v>
      </c>
      <c r="C330" s="1" t="n">
        <v>45907</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30109-2025</t>
        </is>
      </c>
      <c r="B331" s="1" t="n">
        <v>45826</v>
      </c>
      <c r="C331" s="1" t="n">
        <v>45907</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31931-2024</t>
        </is>
      </c>
      <c r="B332" s="1" t="n">
        <v>45510.40878472223</v>
      </c>
      <c r="C332" s="1" t="n">
        <v>45907</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1703-2025</t>
        </is>
      </c>
      <c r="B333" s="1" t="n">
        <v>45670.80732638889</v>
      </c>
      <c r="C333" s="1" t="n">
        <v>45907</v>
      </c>
      <c r="D333" t="inlineStr">
        <is>
          <t>SKÅNE LÄN</t>
        </is>
      </c>
      <c r="E333" t="inlineStr">
        <is>
          <t>HÄSSLEHOLM</t>
        </is>
      </c>
      <c r="G333" t="n">
        <v>0.9</v>
      </c>
      <c r="H333" t="n">
        <v>0</v>
      </c>
      <c r="I333" t="n">
        <v>0</v>
      </c>
      <c r="J333" t="n">
        <v>0</v>
      </c>
      <c r="K333" t="n">
        <v>0</v>
      </c>
      <c r="L333" t="n">
        <v>0</v>
      </c>
      <c r="M333" t="n">
        <v>0</v>
      </c>
      <c r="N333" t="n">
        <v>0</v>
      </c>
      <c r="O333" t="n">
        <v>0</v>
      </c>
      <c r="P333" t="n">
        <v>0</v>
      </c>
      <c r="Q333" t="n">
        <v>0</v>
      </c>
      <c r="R333" s="2" t="inlineStr"/>
    </row>
    <row r="334" ht="15" customHeight="1">
      <c r="A334" t="inlineStr">
        <is>
          <t>A 7890-2024</t>
        </is>
      </c>
      <c r="B334" s="1" t="n">
        <v>45350.40780092592</v>
      </c>
      <c r="C334" s="1" t="n">
        <v>45907</v>
      </c>
      <c r="D334" t="inlineStr">
        <is>
          <t>SKÅNE LÄN</t>
        </is>
      </c>
      <c r="E334" t="inlineStr">
        <is>
          <t>HÄSSLEHOLM</t>
        </is>
      </c>
      <c r="G334" t="n">
        <v>1.4</v>
      </c>
      <c r="H334" t="n">
        <v>0</v>
      </c>
      <c r="I334" t="n">
        <v>0</v>
      </c>
      <c r="J334" t="n">
        <v>0</v>
      </c>
      <c r="K334" t="n">
        <v>0</v>
      </c>
      <c r="L334" t="n">
        <v>0</v>
      </c>
      <c r="M334" t="n">
        <v>0</v>
      </c>
      <c r="N334" t="n">
        <v>0</v>
      </c>
      <c r="O334" t="n">
        <v>0</v>
      </c>
      <c r="P334" t="n">
        <v>0</v>
      </c>
      <c r="Q334" t="n">
        <v>0</v>
      </c>
      <c r="R334" s="2" t="inlineStr"/>
    </row>
    <row r="335" ht="15" customHeight="1">
      <c r="A335" t="inlineStr">
        <is>
          <t>A 15133-2023</t>
        </is>
      </c>
      <c r="B335" s="1" t="n">
        <v>45016</v>
      </c>
      <c r="C335" s="1" t="n">
        <v>45907</v>
      </c>
      <c r="D335" t="inlineStr">
        <is>
          <t>SKÅNE LÄN</t>
        </is>
      </c>
      <c r="E335" t="inlineStr">
        <is>
          <t>HÄSSLEHOLM</t>
        </is>
      </c>
      <c r="G335" t="n">
        <v>7.8</v>
      </c>
      <c r="H335" t="n">
        <v>0</v>
      </c>
      <c r="I335" t="n">
        <v>0</v>
      </c>
      <c r="J335" t="n">
        <v>0</v>
      </c>
      <c r="K335" t="n">
        <v>0</v>
      </c>
      <c r="L335" t="n">
        <v>0</v>
      </c>
      <c r="M335" t="n">
        <v>0</v>
      </c>
      <c r="N335" t="n">
        <v>0</v>
      </c>
      <c r="O335" t="n">
        <v>0</v>
      </c>
      <c r="P335" t="n">
        <v>0</v>
      </c>
      <c r="Q335" t="n">
        <v>0</v>
      </c>
      <c r="R335" s="2" t="inlineStr"/>
    </row>
    <row r="336" ht="15" customHeight="1">
      <c r="A336" t="inlineStr">
        <is>
          <t>A 34883-2023</t>
        </is>
      </c>
      <c r="B336" s="1" t="n">
        <v>45142.37902777778</v>
      </c>
      <c r="C336" s="1" t="n">
        <v>45907</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53466-2024</t>
        </is>
      </c>
      <c r="B337" s="1" t="n">
        <v>45614.55304398148</v>
      </c>
      <c r="C337" s="1" t="n">
        <v>45907</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20187-2023</t>
        </is>
      </c>
      <c r="B338" s="1" t="n">
        <v>45055.57027777778</v>
      </c>
      <c r="C338" s="1" t="n">
        <v>45907</v>
      </c>
      <c r="D338" t="inlineStr">
        <is>
          <t>SKÅNE LÄN</t>
        </is>
      </c>
      <c r="E338" t="inlineStr">
        <is>
          <t>HÄSSLEHOLM</t>
        </is>
      </c>
      <c r="G338" t="n">
        <v>1.8</v>
      </c>
      <c r="H338" t="n">
        <v>0</v>
      </c>
      <c r="I338" t="n">
        <v>0</v>
      </c>
      <c r="J338" t="n">
        <v>0</v>
      </c>
      <c r="K338" t="n">
        <v>0</v>
      </c>
      <c r="L338" t="n">
        <v>0</v>
      </c>
      <c r="M338" t="n">
        <v>0</v>
      </c>
      <c r="N338" t="n">
        <v>0</v>
      </c>
      <c r="O338" t="n">
        <v>0</v>
      </c>
      <c r="P338" t="n">
        <v>0</v>
      </c>
      <c r="Q338" t="n">
        <v>0</v>
      </c>
      <c r="R338" s="2" t="inlineStr"/>
    </row>
    <row r="339" ht="15" customHeight="1">
      <c r="A339" t="inlineStr">
        <is>
          <t>A 61533-2024</t>
        </is>
      </c>
      <c r="B339" s="1" t="n">
        <v>45646</v>
      </c>
      <c r="C339" s="1" t="n">
        <v>45907</v>
      </c>
      <c r="D339" t="inlineStr">
        <is>
          <t>SKÅNE LÄN</t>
        </is>
      </c>
      <c r="E339" t="inlineStr">
        <is>
          <t>HÄSSLEHOLM</t>
        </is>
      </c>
      <c r="G339" t="n">
        <v>4.5</v>
      </c>
      <c r="H339" t="n">
        <v>0</v>
      </c>
      <c r="I339" t="n">
        <v>0</v>
      </c>
      <c r="J339" t="n">
        <v>0</v>
      </c>
      <c r="K339" t="n">
        <v>0</v>
      </c>
      <c r="L339" t="n">
        <v>0</v>
      </c>
      <c r="M339" t="n">
        <v>0</v>
      </c>
      <c r="N339" t="n">
        <v>0</v>
      </c>
      <c r="O339" t="n">
        <v>0</v>
      </c>
      <c r="P339" t="n">
        <v>0</v>
      </c>
      <c r="Q339" t="n">
        <v>0</v>
      </c>
      <c r="R339" s="2" t="inlineStr"/>
    </row>
    <row r="340" ht="15" customHeight="1">
      <c r="A340" t="inlineStr">
        <is>
          <t>A 1557-2023</t>
        </is>
      </c>
      <c r="B340" s="1" t="n">
        <v>44937</v>
      </c>
      <c r="C340" s="1" t="n">
        <v>45907</v>
      </c>
      <c r="D340" t="inlineStr">
        <is>
          <t>SKÅNE LÄN</t>
        </is>
      </c>
      <c r="E340" t="inlineStr">
        <is>
          <t>HÄSSLEHOLM</t>
        </is>
      </c>
      <c r="G340" t="n">
        <v>1.5</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45907</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19735-2023</t>
        </is>
      </c>
      <c r="B342" s="1" t="n">
        <v>45051.52199074074</v>
      </c>
      <c r="C342" s="1" t="n">
        <v>45907</v>
      </c>
      <c r="D342" t="inlineStr">
        <is>
          <t>SKÅNE LÄN</t>
        </is>
      </c>
      <c r="E342" t="inlineStr">
        <is>
          <t>HÄSSLEHOLM</t>
        </is>
      </c>
      <c r="G342" t="n">
        <v>4</v>
      </c>
      <c r="H342" t="n">
        <v>0</v>
      </c>
      <c r="I342" t="n">
        <v>0</v>
      </c>
      <c r="J342" t="n">
        <v>0</v>
      </c>
      <c r="K342" t="n">
        <v>0</v>
      </c>
      <c r="L342" t="n">
        <v>0</v>
      </c>
      <c r="M342" t="n">
        <v>0</v>
      </c>
      <c r="N342" t="n">
        <v>0</v>
      </c>
      <c r="O342" t="n">
        <v>0</v>
      </c>
      <c r="P342" t="n">
        <v>0</v>
      </c>
      <c r="Q342" t="n">
        <v>0</v>
      </c>
      <c r="R342" s="2" t="inlineStr"/>
    </row>
    <row r="343" ht="15" customHeight="1">
      <c r="A343" t="inlineStr">
        <is>
          <t>A 33465-2024</t>
        </is>
      </c>
      <c r="B343" s="1" t="n">
        <v>45519.59619212963</v>
      </c>
      <c r="C343" s="1" t="n">
        <v>45907</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2490-2024</t>
        </is>
      </c>
      <c r="B344" s="1" t="n">
        <v>45313.43649305555</v>
      </c>
      <c r="C344" s="1" t="n">
        <v>45907</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61537-2024</t>
        </is>
      </c>
      <c r="B345" s="1" t="n">
        <v>45646</v>
      </c>
      <c r="C345" s="1" t="n">
        <v>45907</v>
      </c>
      <c r="D345" t="inlineStr">
        <is>
          <t>SKÅNE LÄN</t>
        </is>
      </c>
      <c r="E345" t="inlineStr">
        <is>
          <t>HÄSSLEHOLM</t>
        </is>
      </c>
      <c r="G345" t="n">
        <v>3.7</v>
      </c>
      <c r="H345" t="n">
        <v>0</v>
      </c>
      <c r="I345" t="n">
        <v>0</v>
      </c>
      <c r="J345" t="n">
        <v>0</v>
      </c>
      <c r="K345" t="n">
        <v>0</v>
      </c>
      <c r="L345" t="n">
        <v>0</v>
      </c>
      <c r="M345" t="n">
        <v>0</v>
      </c>
      <c r="N345" t="n">
        <v>0</v>
      </c>
      <c r="O345" t="n">
        <v>0</v>
      </c>
      <c r="P345" t="n">
        <v>0</v>
      </c>
      <c r="Q345" t="n">
        <v>0</v>
      </c>
      <c r="R345" s="2" t="inlineStr"/>
    </row>
    <row r="346" ht="15" customHeight="1">
      <c r="A346" t="inlineStr">
        <is>
          <t>A 58618-2024</t>
        </is>
      </c>
      <c r="B346" s="1" t="n">
        <v>45635.56150462963</v>
      </c>
      <c r="C346" s="1" t="n">
        <v>45907</v>
      </c>
      <c r="D346" t="inlineStr">
        <is>
          <t>SKÅNE LÄN</t>
        </is>
      </c>
      <c r="E346" t="inlineStr">
        <is>
          <t>HÄSSLEHOLM</t>
        </is>
      </c>
      <c r="G346" t="n">
        <v>2.3</v>
      </c>
      <c r="H346" t="n">
        <v>0</v>
      </c>
      <c r="I346" t="n">
        <v>0</v>
      </c>
      <c r="J346" t="n">
        <v>0</v>
      </c>
      <c r="K346" t="n">
        <v>0</v>
      </c>
      <c r="L346" t="n">
        <v>0</v>
      </c>
      <c r="M346" t="n">
        <v>0</v>
      </c>
      <c r="N346" t="n">
        <v>0</v>
      </c>
      <c r="O346" t="n">
        <v>0</v>
      </c>
      <c r="P346" t="n">
        <v>0</v>
      </c>
      <c r="Q346" t="n">
        <v>0</v>
      </c>
      <c r="R346" s="2" t="inlineStr"/>
    </row>
    <row r="347" ht="15" customHeight="1">
      <c r="A347" t="inlineStr">
        <is>
          <t>A 26642-2023</t>
        </is>
      </c>
      <c r="B347" s="1" t="n">
        <v>45092.8975</v>
      </c>
      <c r="C347" s="1" t="n">
        <v>45907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34890-2023</t>
        </is>
      </c>
      <c r="B348" s="1" t="n">
        <v>45142.39475694444</v>
      </c>
      <c r="C348" s="1" t="n">
        <v>45907</v>
      </c>
      <c r="D348" t="inlineStr">
        <is>
          <t>SKÅNE LÄN</t>
        </is>
      </c>
      <c r="E348" t="inlineStr">
        <is>
          <t>HÄSSLEHOLM</t>
        </is>
      </c>
      <c r="G348" t="n">
        <v>4</v>
      </c>
      <c r="H348" t="n">
        <v>0</v>
      </c>
      <c r="I348" t="n">
        <v>0</v>
      </c>
      <c r="J348" t="n">
        <v>0</v>
      </c>
      <c r="K348" t="n">
        <v>0</v>
      </c>
      <c r="L348" t="n">
        <v>0</v>
      </c>
      <c r="M348" t="n">
        <v>0</v>
      </c>
      <c r="N348" t="n">
        <v>0</v>
      </c>
      <c r="O348" t="n">
        <v>0</v>
      </c>
      <c r="P348" t="n">
        <v>0</v>
      </c>
      <c r="Q348" t="n">
        <v>0</v>
      </c>
      <c r="R348" s="2" t="inlineStr"/>
    </row>
    <row r="349" ht="15" customHeight="1">
      <c r="A349" t="inlineStr">
        <is>
          <t>A 24241-2023</t>
        </is>
      </c>
      <c r="B349" s="1" t="n">
        <v>45079.61476851852</v>
      </c>
      <c r="C349" s="1" t="n">
        <v>45907</v>
      </c>
      <c r="D349" t="inlineStr">
        <is>
          <t>SKÅNE LÄN</t>
        </is>
      </c>
      <c r="E349" t="inlineStr">
        <is>
          <t>HÄSSLEHOLM</t>
        </is>
      </c>
      <c r="G349" t="n">
        <v>0.9</v>
      </c>
      <c r="H349" t="n">
        <v>0</v>
      </c>
      <c r="I349" t="n">
        <v>0</v>
      </c>
      <c r="J349" t="n">
        <v>0</v>
      </c>
      <c r="K349" t="n">
        <v>0</v>
      </c>
      <c r="L349" t="n">
        <v>0</v>
      </c>
      <c r="M349" t="n">
        <v>0</v>
      </c>
      <c r="N349" t="n">
        <v>0</v>
      </c>
      <c r="O349" t="n">
        <v>0</v>
      </c>
      <c r="P349" t="n">
        <v>0</v>
      </c>
      <c r="Q349" t="n">
        <v>0</v>
      </c>
      <c r="R349" s="2" t="inlineStr"/>
    </row>
    <row r="350" ht="15" customHeight="1">
      <c r="A350" t="inlineStr">
        <is>
          <t>A 21310-2022</t>
        </is>
      </c>
      <c r="B350" s="1" t="n">
        <v>44705</v>
      </c>
      <c r="C350" s="1" t="n">
        <v>45907</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3500-2024</t>
        </is>
      </c>
      <c r="B351" s="1" t="n">
        <v>45320</v>
      </c>
      <c r="C351" s="1" t="n">
        <v>45907</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58815-2023</t>
        </is>
      </c>
      <c r="B352" s="1" t="n">
        <v>45247</v>
      </c>
      <c r="C352" s="1" t="n">
        <v>45907</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11266-2025</t>
        </is>
      </c>
      <c r="B353" s="1" t="n">
        <v>45726</v>
      </c>
      <c r="C353" s="1" t="n">
        <v>45907</v>
      </c>
      <c r="D353" t="inlineStr">
        <is>
          <t>SKÅNE LÄN</t>
        </is>
      </c>
      <c r="E353" t="inlineStr">
        <is>
          <t>HÄSSLEHOLM</t>
        </is>
      </c>
      <c r="G353" t="n">
        <v>0.3</v>
      </c>
      <c r="H353" t="n">
        <v>0</v>
      </c>
      <c r="I353" t="n">
        <v>0</v>
      </c>
      <c r="J353" t="n">
        <v>0</v>
      </c>
      <c r="K353" t="n">
        <v>0</v>
      </c>
      <c r="L353" t="n">
        <v>0</v>
      </c>
      <c r="M353" t="n">
        <v>0</v>
      </c>
      <c r="N353" t="n">
        <v>0</v>
      </c>
      <c r="O353" t="n">
        <v>0</v>
      </c>
      <c r="P353" t="n">
        <v>0</v>
      </c>
      <c r="Q353" t="n">
        <v>0</v>
      </c>
      <c r="R353" s="2" t="inlineStr"/>
    </row>
    <row r="354" ht="15" customHeight="1">
      <c r="A354" t="inlineStr">
        <is>
          <t>A 33597-2023</t>
        </is>
      </c>
      <c r="B354" s="1" t="n">
        <v>45132</v>
      </c>
      <c r="C354" s="1" t="n">
        <v>45907</v>
      </c>
      <c r="D354" t="inlineStr">
        <is>
          <t>SKÅNE LÄN</t>
        </is>
      </c>
      <c r="E354" t="inlineStr">
        <is>
          <t>HÄSSLEHOLM</t>
        </is>
      </c>
      <c r="G354" t="n">
        <v>3.9</v>
      </c>
      <c r="H354" t="n">
        <v>0</v>
      </c>
      <c r="I354" t="n">
        <v>0</v>
      </c>
      <c r="J354" t="n">
        <v>0</v>
      </c>
      <c r="K354" t="n">
        <v>0</v>
      </c>
      <c r="L354" t="n">
        <v>0</v>
      </c>
      <c r="M354" t="n">
        <v>0</v>
      </c>
      <c r="N354" t="n">
        <v>0</v>
      </c>
      <c r="O354" t="n">
        <v>0</v>
      </c>
      <c r="P354" t="n">
        <v>0</v>
      </c>
      <c r="Q354" t="n">
        <v>0</v>
      </c>
      <c r="R354" s="2" t="inlineStr"/>
    </row>
    <row r="355" ht="15" customHeight="1">
      <c r="A355" t="inlineStr">
        <is>
          <t>A 33599-2023</t>
        </is>
      </c>
      <c r="B355" s="1" t="n">
        <v>45132</v>
      </c>
      <c r="C355" s="1" t="n">
        <v>45907</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27173-2024</t>
        </is>
      </c>
      <c r="B356" s="1" t="n">
        <v>45471.57048611111</v>
      </c>
      <c r="C356" s="1" t="n">
        <v>45907</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22024-2025</t>
        </is>
      </c>
      <c r="B357" s="1" t="n">
        <v>45784.85322916666</v>
      </c>
      <c r="C357" s="1" t="n">
        <v>45907</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30092-2025</t>
        </is>
      </c>
      <c r="B358" s="1" t="n">
        <v>45826</v>
      </c>
      <c r="C358" s="1" t="n">
        <v>45907</v>
      </c>
      <c r="D358" t="inlineStr">
        <is>
          <t>SKÅNE LÄN</t>
        </is>
      </c>
      <c r="E358" t="inlineStr">
        <is>
          <t>HÄSSLEHOLM</t>
        </is>
      </c>
      <c r="G358" t="n">
        <v>1.4</v>
      </c>
      <c r="H358" t="n">
        <v>0</v>
      </c>
      <c r="I358" t="n">
        <v>0</v>
      </c>
      <c r="J358" t="n">
        <v>0</v>
      </c>
      <c r="K358" t="n">
        <v>0</v>
      </c>
      <c r="L358" t="n">
        <v>0</v>
      </c>
      <c r="M358" t="n">
        <v>0</v>
      </c>
      <c r="N358" t="n">
        <v>0</v>
      </c>
      <c r="O358" t="n">
        <v>0</v>
      </c>
      <c r="P358" t="n">
        <v>0</v>
      </c>
      <c r="Q358" t="n">
        <v>0</v>
      </c>
      <c r="R358" s="2" t="inlineStr"/>
    </row>
    <row r="359" ht="15" customHeight="1">
      <c r="A359" t="inlineStr">
        <is>
          <t>A 20006-2025</t>
        </is>
      </c>
      <c r="B359" s="1" t="n">
        <v>45772.05032407407</v>
      </c>
      <c r="C359" s="1" t="n">
        <v>45907</v>
      </c>
      <c r="D359" t="inlineStr">
        <is>
          <t>SKÅNE LÄN</t>
        </is>
      </c>
      <c r="E359" t="inlineStr">
        <is>
          <t>HÄSSLEHOLM</t>
        </is>
      </c>
      <c r="G359" t="n">
        <v>3.9</v>
      </c>
      <c r="H359" t="n">
        <v>0</v>
      </c>
      <c r="I359" t="n">
        <v>0</v>
      </c>
      <c r="J359" t="n">
        <v>0</v>
      </c>
      <c r="K359" t="n">
        <v>0</v>
      </c>
      <c r="L359" t="n">
        <v>0</v>
      </c>
      <c r="M359" t="n">
        <v>0</v>
      </c>
      <c r="N359" t="n">
        <v>0</v>
      </c>
      <c r="O359" t="n">
        <v>0</v>
      </c>
      <c r="P359" t="n">
        <v>0</v>
      </c>
      <c r="Q359" t="n">
        <v>0</v>
      </c>
      <c r="R359" s="2" t="inlineStr"/>
    </row>
    <row r="360" ht="15" customHeight="1">
      <c r="A360" t="inlineStr">
        <is>
          <t>A 10020-2024</t>
        </is>
      </c>
      <c r="B360" s="1" t="n">
        <v>45363.96944444445</v>
      </c>
      <c r="C360" s="1" t="n">
        <v>45907</v>
      </c>
      <c r="D360" t="inlineStr">
        <is>
          <t>SKÅNE LÄN</t>
        </is>
      </c>
      <c r="E360" t="inlineStr">
        <is>
          <t>HÄSSLEHOLM</t>
        </is>
      </c>
      <c r="G360" t="n">
        <v>5.3</v>
      </c>
      <c r="H360" t="n">
        <v>0</v>
      </c>
      <c r="I360" t="n">
        <v>0</v>
      </c>
      <c r="J360" t="n">
        <v>0</v>
      </c>
      <c r="K360" t="n">
        <v>0</v>
      </c>
      <c r="L360" t="n">
        <v>0</v>
      </c>
      <c r="M360" t="n">
        <v>0</v>
      </c>
      <c r="N360" t="n">
        <v>0</v>
      </c>
      <c r="O360" t="n">
        <v>0</v>
      </c>
      <c r="P360" t="n">
        <v>0</v>
      </c>
      <c r="Q360" t="n">
        <v>0</v>
      </c>
      <c r="R360" s="2" t="inlineStr"/>
    </row>
    <row r="361" ht="15" customHeight="1">
      <c r="A361" t="inlineStr">
        <is>
          <t>A 32794-2021</t>
        </is>
      </c>
      <c r="B361" s="1" t="n">
        <v>44375</v>
      </c>
      <c r="C361" s="1" t="n">
        <v>45907</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70087-2021</t>
        </is>
      </c>
      <c r="B362" s="1" t="n">
        <v>44533</v>
      </c>
      <c r="C362" s="1" t="n">
        <v>45907</v>
      </c>
      <c r="D362" t="inlineStr">
        <is>
          <t>SKÅNE LÄN</t>
        </is>
      </c>
      <c r="E362" t="inlineStr">
        <is>
          <t>HÄSSLEHOLM</t>
        </is>
      </c>
      <c r="G362" t="n">
        <v>5</v>
      </c>
      <c r="H362" t="n">
        <v>0</v>
      </c>
      <c r="I362" t="n">
        <v>0</v>
      </c>
      <c r="J362" t="n">
        <v>0</v>
      </c>
      <c r="K362" t="n">
        <v>0</v>
      </c>
      <c r="L362" t="n">
        <v>0</v>
      </c>
      <c r="M362" t="n">
        <v>0</v>
      </c>
      <c r="N362" t="n">
        <v>0</v>
      </c>
      <c r="O362" t="n">
        <v>0</v>
      </c>
      <c r="P362" t="n">
        <v>0</v>
      </c>
      <c r="Q362" t="n">
        <v>0</v>
      </c>
      <c r="R362" s="2" t="inlineStr"/>
    </row>
    <row r="363" ht="15" customHeight="1">
      <c r="A363" t="inlineStr">
        <is>
          <t>A 16860-2025</t>
        </is>
      </c>
      <c r="B363" s="1" t="n">
        <v>45751</v>
      </c>
      <c r="C363" s="1" t="n">
        <v>45907</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66321-2021</t>
        </is>
      </c>
      <c r="B364" s="1" t="n">
        <v>44518</v>
      </c>
      <c r="C364" s="1" t="n">
        <v>45907</v>
      </c>
      <c r="D364" t="inlineStr">
        <is>
          <t>SKÅNE LÄN</t>
        </is>
      </c>
      <c r="E364" t="inlineStr">
        <is>
          <t>HÄSSLEHOLM</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16668-2025</t>
        </is>
      </c>
      <c r="B365" s="1" t="n">
        <v>45754.43009259259</v>
      </c>
      <c r="C365" s="1" t="n">
        <v>45907</v>
      </c>
      <c r="D365" t="inlineStr">
        <is>
          <t>SKÅNE LÄN</t>
        </is>
      </c>
      <c r="E365" t="inlineStr">
        <is>
          <t>HÄSSLEHOLM</t>
        </is>
      </c>
      <c r="G365" t="n">
        <v>4</v>
      </c>
      <c r="H365" t="n">
        <v>0</v>
      </c>
      <c r="I365" t="n">
        <v>0</v>
      </c>
      <c r="J365" t="n">
        <v>0</v>
      </c>
      <c r="K365" t="n">
        <v>0</v>
      </c>
      <c r="L365" t="n">
        <v>0</v>
      </c>
      <c r="M365" t="n">
        <v>0</v>
      </c>
      <c r="N365" t="n">
        <v>0</v>
      </c>
      <c r="O365" t="n">
        <v>0</v>
      </c>
      <c r="P365" t="n">
        <v>0</v>
      </c>
      <c r="Q365" t="n">
        <v>0</v>
      </c>
      <c r="R365" s="2" t="inlineStr"/>
    </row>
    <row r="366" ht="15" customHeight="1">
      <c r="A366" t="inlineStr">
        <is>
          <t>A 23857-2024</t>
        </is>
      </c>
      <c r="B366" s="1" t="n">
        <v>45455</v>
      </c>
      <c r="C366" s="1" t="n">
        <v>45907</v>
      </c>
      <c r="D366" t="inlineStr">
        <is>
          <t>SKÅNE LÄN</t>
        </is>
      </c>
      <c r="E366" t="inlineStr">
        <is>
          <t>HÄSSLEHOLM</t>
        </is>
      </c>
      <c r="G366" t="n">
        <v>3</v>
      </c>
      <c r="H366" t="n">
        <v>0</v>
      </c>
      <c r="I366" t="n">
        <v>0</v>
      </c>
      <c r="J366" t="n">
        <v>0</v>
      </c>
      <c r="K366" t="n">
        <v>0</v>
      </c>
      <c r="L366" t="n">
        <v>0</v>
      </c>
      <c r="M366" t="n">
        <v>0</v>
      </c>
      <c r="N366" t="n">
        <v>0</v>
      </c>
      <c r="O366" t="n">
        <v>0</v>
      </c>
      <c r="P366" t="n">
        <v>0</v>
      </c>
      <c r="Q366" t="n">
        <v>0</v>
      </c>
      <c r="R366" s="2" t="inlineStr"/>
    </row>
    <row r="367" ht="15" customHeight="1">
      <c r="A367" t="inlineStr">
        <is>
          <t>A 31268-2024</t>
        </is>
      </c>
      <c r="B367" s="1" t="n">
        <v>45504</v>
      </c>
      <c r="C367" s="1" t="n">
        <v>45907</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12843-2023</t>
        </is>
      </c>
      <c r="B368" s="1" t="n">
        <v>45001.48423611111</v>
      </c>
      <c r="C368" s="1" t="n">
        <v>45907</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56735-2024</t>
        </is>
      </c>
      <c r="B369" s="1" t="n">
        <v>45628.36234953703</v>
      </c>
      <c r="C369" s="1" t="n">
        <v>45907</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47647-2024</t>
        </is>
      </c>
      <c r="B370" s="1" t="n">
        <v>45588</v>
      </c>
      <c r="C370" s="1" t="n">
        <v>45907</v>
      </c>
      <c r="D370" t="inlineStr">
        <is>
          <t>SKÅNE LÄN</t>
        </is>
      </c>
      <c r="E370" t="inlineStr">
        <is>
          <t>HÄSSLEHOLM</t>
        </is>
      </c>
      <c r="G370" t="n">
        <v>6.5</v>
      </c>
      <c r="H370" t="n">
        <v>0</v>
      </c>
      <c r="I370" t="n">
        <v>0</v>
      </c>
      <c r="J370" t="n">
        <v>0</v>
      </c>
      <c r="K370" t="n">
        <v>0</v>
      </c>
      <c r="L370" t="n">
        <v>0</v>
      </c>
      <c r="M370" t="n">
        <v>0</v>
      </c>
      <c r="N370" t="n">
        <v>0</v>
      </c>
      <c r="O370" t="n">
        <v>0</v>
      </c>
      <c r="P370" t="n">
        <v>0</v>
      </c>
      <c r="Q370" t="n">
        <v>0</v>
      </c>
      <c r="R370" s="2" t="inlineStr"/>
    </row>
    <row r="371" ht="15" customHeight="1">
      <c r="A371" t="inlineStr">
        <is>
          <t>A 51287-2022</t>
        </is>
      </c>
      <c r="B371" s="1" t="n">
        <v>44868.83146990741</v>
      </c>
      <c r="C371" s="1" t="n">
        <v>45907</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21867-2023</t>
        </is>
      </c>
      <c r="B372" s="1" t="n">
        <v>45063</v>
      </c>
      <c r="C372" s="1" t="n">
        <v>45907</v>
      </c>
      <c r="D372" t="inlineStr">
        <is>
          <t>SKÅNE LÄN</t>
        </is>
      </c>
      <c r="E372" t="inlineStr">
        <is>
          <t>HÄSSLEHOLM</t>
        </is>
      </c>
      <c r="G372" t="n">
        <v>7.6</v>
      </c>
      <c r="H372" t="n">
        <v>0</v>
      </c>
      <c r="I372" t="n">
        <v>0</v>
      </c>
      <c r="J372" t="n">
        <v>0</v>
      </c>
      <c r="K372" t="n">
        <v>0</v>
      </c>
      <c r="L372" t="n">
        <v>0</v>
      </c>
      <c r="M372" t="n">
        <v>0</v>
      </c>
      <c r="N372" t="n">
        <v>0</v>
      </c>
      <c r="O372" t="n">
        <v>0</v>
      </c>
      <c r="P372" t="n">
        <v>0</v>
      </c>
      <c r="Q372" t="n">
        <v>0</v>
      </c>
      <c r="R372" s="2" t="inlineStr"/>
    </row>
    <row r="373" ht="15" customHeight="1">
      <c r="A373" t="inlineStr">
        <is>
          <t>A 29844-2024</t>
        </is>
      </c>
      <c r="B373" s="1" t="n">
        <v>45485</v>
      </c>
      <c r="C373" s="1" t="n">
        <v>45907</v>
      </c>
      <c r="D373" t="inlineStr">
        <is>
          <t>SKÅNE LÄN</t>
        </is>
      </c>
      <c r="E373" t="inlineStr">
        <is>
          <t>HÄSSLEHOLM</t>
        </is>
      </c>
      <c r="G373" t="n">
        <v>1.9</v>
      </c>
      <c r="H373" t="n">
        <v>0</v>
      </c>
      <c r="I373" t="n">
        <v>0</v>
      </c>
      <c r="J373" t="n">
        <v>0</v>
      </c>
      <c r="K373" t="n">
        <v>0</v>
      </c>
      <c r="L373" t="n">
        <v>0</v>
      </c>
      <c r="M373" t="n">
        <v>0</v>
      </c>
      <c r="N373" t="n">
        <v>0</v>
      </c>
      <c r="O373" t="n">
        <v>0</v>
      </c>
      <c r="P373" t="n">
        <v>0</v>
      </c>
      <c r="Q373" t="n">
        <v>0</v>
      </c>
      <c r="R373" s="2" t="inlineStr"/>
    </row>
    <row r="374" ht="15" customHeight="1">
      <c r="A374" t="inlineStr">
        <is>
          <t>A 9556-2025</t>
        </is>
      </c>
      <c r="B374" s="1" t="n">
        <v>45714</v>
      </c>
      <c r="C374" s="1" t="n">
        <v>45907</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20494-2024</t>
        </is>
      </c>
      <c r="B375" s="1" t="n">
        <v>45435</v>
      </c>
      <c r="C375" s="1" t="n">
        <v>45907</v>
      </c>
      <c r="D375" t="inlineStr">
        <is>
          <t>SKÅNE LÄN</t>
        </is>
      </c>
      <c r="E375" t="inlineStr">
        <is>
          <t>HÄSSLEHOLM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55454-2021</t>
        </is>
      </c>
      <c r="B376" s="1" t="n">
        <v>44475</v>
      </c>
      <c r="C376" s="1" t="n">
        <v>45907</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31572-2022</t>
        </is>
      </c>
      <c r="B377" s="1" t="n">
        <v>44775</v>
      </c>
      <c r="C377" s="1" t="n">
        <v>45907</v>
      </c>
      <c r="D377" t="inlineStr">
        <is>
          <t>SKÅNE LÄN</t>
        </is>
      </c>
      <c r="E377" t="inlineStr">
        <is>
          <t>HÄSSLEHOLM</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4356-2024</t>
        </is>
      </c>
      <c r="B378" s="1" t="n">
        <v>45325.36195601852</v>
      </c>
      <c r="C378" s="1" t="n">
        <v>45907</v>
      </c>
      <c r="D378" t="inlineStr">
        <is>
          <t>SKÅNE LÄN</t>
        </is>
      </c>
      <c r="E378" t="inlineStr">
        <is>
          <t>HÄSSLEHOLM</t>
        </is>
      </c>
      <c r="G378" t="n">
        <v>3.2</v>
      </c>
      <c r="H378" t="n">
        <v>0</v>
      </c>
      <c r="I378" t="n">
        <v>0</v>
      </c>
      <c r="J378" t="n">
        <v>0</v>
      </c>
      <c r="K378" t="n">
        <v>0</v>
      </c>
      <c r="L378" t="n">
        <v>0</v>
      </c>
      <c r="M378" t="n">
        <v>0</v>
      </c>
      <c r="N378" t="n">
        <v>0</v>
      </c>
      <c r="O378" t="n">
        <v>0</v>
      </c>
      <c r="P378" t="n">
        <v>0</v>
      </c>
      <c r="Q378" t="n">
        <v>0</v>
      </c>
      <c r="R378" s="2" t="inlineStr"/>
    </row>
    <row r="379" ht="15" customHeight="1">
      <c r="A379" t="inlineStr">
        <is>
          <t>A 5284-2023</t>
        </is>
      </c>
      <c r="B379" s="1" t="n">
        <v>44959.50608796296</v>
      </c>
      <c r="C379" s="1" t="n">
        <v>45907</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5285-2023</t>
        </is>
      </c>
      <c r="B380" s="1" t="n">
        <v>44959.50783564815</v>
      </c>
      <c r="C380" s="1" t="n">
        <v>45907</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34888-2023</t>
        </is>
      </c>
      <c r="B381" s="1" t="n">
        <v>45142.388125</v>
      </c>
      <c r="C381" s="1" t="n">
        <v>45907</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2479-2024</t>
        </is>
      </c>
      <c r="B382" s="1" t="n">
        <v>45313.40148148148</v>
      </c>
      <c r="C382" s="1" t="n">
        <v>45907</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55662-2022</t>
        </is>
      </c>
      <c r="B383" s="1" t="n">
        <v>44883</v>
      </c>
      <c r="C383" s="1" t="n">
        <v>45907</v>
      </c>
      <c r="D383" t="inlineStr">
        <is>
          <t>SKÅNE LÄN</t>
        </is>
      </c>
      <c r="E383" t="inlineStr">
        <is>
          <t>HÄSSLEHOLM</t>
        </is>
      </c>
      <c r="F383" t="inlineStr">
        <is>
          <t>Övriga Aktiebolag</t>
        </is>
      </c>
      <c r="G383" t="n">
        <v>2.6</v>
      </c>
      <c r="H383" t="n">
        <v>0</v>
      </c>
      <c r="I383" t="n">
        <v>0</v>
      </c>
      <c r="J383" t="n">
        <v>0</v>
      </c>
      <c r="K383" t="n">
        <v>0</v>
      </c>
      <c r="L383" t="n">
        <v>0</v>
      </c>
      <c r="M383" t="n">
        <v>0</v>
      </c>
      <c r="N383" t="n">
        <v>0</v>
      </c>
      <c r="O383" t="n">
        <v>0</v>
      </c>
      <c r="P383" t="n">
        <v>0</v>
      </c>
      <c r="Q383" t="n">
        <v>0</v>
      </c>
      <c r="R383" s="2" t="inlineStr"/>
    </row>
    <row r="384" ht="15" customHeight="1">
      <c r="A384" t="inlineStr">
        <is>
          <t>A 3480-2024</t>
        </is>
      </c>
      <c r="B384" s="1" t="n">
        <v>45320.43998842593</v>
      </c>
      <c r="C384" s="1" t="n">
        <v>45907</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5980-2024</t>
        </is>
      </c>
      <c r="B385" s="1" t="n">
        <v>45335</v>
      </c>
      <c r="C385" s="1" t="n">
        <v>45907</v>
      </c>
      <c r="D385" t="inlineStr">
        <is>
          <t>SKÅNE LÄN</t>
        </is>
      </c>
      <c r="E385" t="inlineStr">
        <is>
          <t>HÄSSLEHOLM</t>
        </is>
      </c>
      <c r="G385" t="n">
        <v>1.2</v>
      </c>
      <c r="H385" t="n">
        <v>0</v>
      </c>
      <c r="I385" t="n">
        <v>0</v>
      </c>
      <c r="J385" t="n">
        <v>0</v>
      </c>
      <c r="K385" t="n">
        <v>0</v>
      </c>
      <c r="L385" t="n">
        <v>0</v>
      </c>
      <c r="M385" t="n">
        <v>0</v>
      </c>
      <c r="N385" t="n">
        <v>0</v>
      </c>
      <c r="O385" t="n">
        <v>0</v>
      </c>
      <c r="P385" t="n">
        <v>0</v>
      </c>
      <c r="Q385" t="n">
        <v>0</v>
      </c>
      <c r="R385" s="2" t="inlineStr"/>
    </row>
    <row r="386" ht="15" customHeight="1">
      <c r="A386" t="inlineStr">
        <is>
          <t>A 3886-2024</t>
        </is>
      </c>
      <c r="B386" s="1" t="n">
        <v>45322.44539351852</v>
      </c>
      <c r="C386" s="1" t="n">
        <v>45907</v>
      </c>
      <c r="D386" t="inlineStr">
        <is>
          <t>SKÅNE LÄN</t>
        </is>
      </c>
      <c r="E386" t="inlineStr">
        <is>
          <t>HÄSSLEHOLM</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9924-2025</t>
        </is>
      </c>
      <c r="B387" s="1" t="n">
        <v>45717.72505787037</v>
      </c>
      <c r="C387" s="1" t="n">
        <v>45907</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22587-2025</t>
        </is>
      </c>
      <c r="B388" s="1" t="n">
        <v>45789.39974537037</v>
      </c>
      <c r="C388" s="1" t="n">
        <v>45907</v>
      </c>
      <c r="D388" t="inlineStr">
        <is>
          <t>SKÅNE LÄN</t>
        </is>
      </c>
      <c r="E388" t="inlineStr">
        <is>
          <t>HÄSSLEHOLM</t>
        </is>
      </c>
      <c r="G388" t="n">
        <v>5.7</v>
      </c>
      <c r="H388" t="n">
        <v>0</v>
      </c>
      <c r="I388" t="n">
        <v>0</v>
      </c>
      <c r="J388" t="n">
        <v>0</v>
      </c>
      <c r="K388" t="n">
        <v>0</v>
      </c>
      <c r="L388" t="n">
        <v>0</v>
      </c>
      <c r="M388" t="n">
        <v>0</v>
      </c>
      <c r="N388" t="n">
        <v>0</v>
      </c>
      <c r="O388" t="n">
        <v>0</v>
      </c>
      <c r="P388" t="n">
        <v>0</v>
      </c>
      <c r="Q388" t="n">
        <v>0</v>
      </c>
      <c r="R388" s="2" t="inlineStr"/>
    </row>
    <row r="389" ht="15" customHeight="1">
      <c r="A389" t="inlineStr">
        <is>
          <t>A 10802-2024</t>
        </is>
      </c>
      <c r="B389" s="1" t="n">
        <v>45369</v>
      </c>
      <c r="C389" s="1" t="n">
        <v>45907</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60920-2024</t>
        </is>
      </c>
      <c r="B390" s="1" t="n">
        <v>45645.34442129629</v>
      </c>
      <c r="C390" s="1" t="n">
        <v>45907</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40536-2024</t>
        </is>
      </c>
      <c r="B391" s="1" t="n">
        <v>45555.61314814815</v>
      </c>
      <c r="C391" s="1" t="n">
        <v>45907</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45653-2024</t>
        </is>
      </c>
      <c r="B392" s="1" t="n">
        <v>45579.48872685185</v>
      </c>
      <c r="C392" s="1" t="n">
        <v>45907</v>
      </c>
      <c r="D392" t="inlineStr">
        <is>
          <t>SKÅNE LÄN</t>
        </is>
      </c>
      <c r="E392" t="inlineStr">
        <is>
          <t>HÄSSLEHOLM</t>
        </is>
      </c>
      <c r="G392" t="n">
        <v>2.6</v>
      </c>
      <c r="H392" t="n">
        <v>0</v>
      </c>
      <c r="I392" t="n">
        <v>0</v>
      </c>
      <c r="J392" t="n">
        <v>0</v>
      </c>
      <c r="K392" t="n">
        <v>0</v>
      </c>
      <c r="L392" t="n">
        <v>0</v>
      </c>
      <c r="M392" t="n">
        <v>0</v>
      </c>
      <c r="N392" t="n">
        <v>0</v>
      </c>
      <c r="O392" t="n">
        <v>0</v>
      </c>
      <c r="P392" t="n">
        <v>0</v>
      </c>
      <c r="Q392" t="n">
        <v>0</v>
      </c>
      <c r="R392" s="2" t="inlineStr"/>
    </row>
    <row r="393" ht="15" customHeight="1">
      <c r="A393" t="inlineStr">
        <is>
          <t>A 56386-2023</t>
        </is>
      </c>
      <c r="B393" s="1" t="n">
        <v>45243</v>
      </c>
      <c r="C393" s="1" t="n">
        <v>45907</v>
      </c>
      <c r="D393" t="inlineStr">
        <is>
          <t>SKÅNE LÄN</t>
        </is>
      </c>
      <c r="E393" t="inlineStr">
        <is>
          <t>HÄSSLEHOLM</t>
        </is>
      </c>
      <c r="G393" t="n">
        <v>2</v>
      </c>
      <c r="H393" t="n">
        <v>0</v>
      </c>
      <c r="I393" t="n">
        <v>0</v>
      </c>
      <c r="J393" t="n">
        <v>0</v>
      </c>
      <c r="K393" t="n">
        <v>0</v>
      </c>
      <c r="L393" t="n">
        <v>0</v>
      </c>
      <c r="M393" t="n">
        <v>0</v>
      </c>
      <c r="N393" t="n">
        <v>0</v>
      </c>
      <c r="O393" t="n">
        <v>0</v>
      </c>
      <c r="P393" t="n">
        <v>0</v>
      </c>
      <c r="Q393" t="n">
        <v>0</v>
      </c>
      <c r="R393" s="2" t="inlineStr"/>
    </row>
    <row r="394" ht="15" customHeight="1">
      <c r="A394" t="inlineStr">
        <is>
          <t>A 29274-2023</t>
        </is>
      </c>
      <c r="B394" s="1" t="n">
        <v>45105</v>
      </c>
      <c r="C394" s="1" t="n">
        <v>45907</v>
      </c>
      <c r="D394" t="inlineStr">
        <is>
          <t>SKÅNE LÄN</t>
        </is>
      </c>
      <c r="E394" t="inlineStr">
        <is>
          <t>HÄSSLEHOLM</t>
        </is>
      </c>
      <c r="G394" t="n">
        <v>3.4</v>
      </c>
      <c r="H394" t="n">
        <v>0</v>
      </c>
      <c r="I394" t="n">
        <v>0</v>
      </c>
      <c r="J394" t="n">
        <v>0</v>
      </c>
      <c r="K394" t="n">
        <v>0</v>
      </c>
      <c r="L394" t="n">
        <v>0</v>
      </c>
      <c r="M394" t="n">
        <v>0</v>
      </c>
      <c r="N394" t="n">
        <v>0</v>
      </c>
      <c r="O394" t="n">
        <v>0</v>
      </c>
      <c r="P394" t="n">
        <v>0</v>
      </c>
      <c r="Q394" t="n">
        <v>0</v>
      </c>
      <c r="R394" s="2" t="inlineStr"/>
    </row>
    <row r="395" ht="15" customHeight="1">
      <c r="A395" t="inlineStr">
        <is>
          <t>A 61932-2023</t>
        </is>
      </c>
      <c r="B395" s="1" t="n">
        <v>45266.53761574074</v>
      </c>
      <c r="C395" s="1" t="n">
        <v>45907</v>
      </c>
      <c r="D395" t="inlineStr">
        <is>
          <t>SKÅNE LÄN</t>
        </is>
      </c>
      <c r="E395" t="inlineStr">
        <is>
          <t>HÄSSLEHOLM</t>
        </is>
      </c>
      <c r="G395" t="n">
        <v>0.9</v>
      </c>
      <c r="H395" t="n">
        <v>0</v>
      </c>
      <c r="I395" t="n">
        <v>0</v>
      </c>
      <c r="J395" t="n">
        <v>0</v>
      </c>
      <c r="K395" t="n">
        <v>0</v>
      </c>
      <c r="L395" t="n">
        <v>0</v>
      </c>
      <c r="M395" t="n">
        <v>0</v>
      </c>
      <c r="N395" t="n">
        <v>0</v>
      </c>
      <c r="O395" t="n">
        <v>0</v>
      </c>
      <c r="P395" t="n">
        <v>0</v>
      </c>
      <c r="Q395" t="n">
        <v>0</v>
      </c>
      <c r="R395" s="2" t="inlineStr"/>
    </row>
    <row r="396" ht="15" customHeight="1">
      <c r="A396" t="inlineStr">
        <is>
          <t>A 27606-2024</t>
        </is>
      </c>
      <c r="B396" s="1" t="n">
        <v>45474</v>
      </c>
      <c r="C396" s="1" t="n">
        <v>45907</v>
      </c>
      <c r="D396" t="inlineStr">
        <is>
          <t>SKÅNE LÄN</t>
        </is>
      </c>
      <c r="E396" t="inlineStr">
        <is>
          <t>HÄSSLEHOLM</t>
        </is>
      </c>
      <c r="G396" t="n">
        <v>3.6</v>
      </c>
      <c r="H396" t="n">
        <v>0</v>
      </c>
      <c r="I396" t="n">
        <v>0</v>
      </c>
      <c r="J396" t="n">
        <v>0</v>
      </c>
      <c r="K396" t="n">
        <v>0</v>
      </c>
      <c r="L396" t="n">
        <v>0</v>
      </c>
      <c r="M396" t="n">
        <v>0</v>
      </c>
      <c r="N396" t="n">
        <v>0</v>
      </c>
      <c r="O396" t="n">
        <v>0</v>
      </c>
      <c r="P396" t="n">
        <v>0</v>
      </c>
      <c r="Q396" t="n">
        <v>0</v>
      </c>
      <c r="R396" s="2" t="inlineStr"/>
    </row>
    <row r="397" ht="15" customHeight="1">
      <c r="A397" t="inlineStr">
        <is>
          <t>A 50244-2024</t>
        </is>
      </c>
      <c r="B397" s="1" t="n">
        <v>45600.56502314815</v>
      </c>
      <c r="C397" s="1" t="n">
        <v>45907</v>
      </c>
      <c r="D397" t="inlineStr">
        <is>
          <t>SKÅNE LÄN</t>
        </is>
      </c>
      <c r="E397" t="inlineStr">
        <is>
          <t>HÄSSLEHOLM</t>
        </is>
      </c>
      <c r="G397" t="n">
        <v>1.9</v>
      </c>
      <c r="H397" t="n">
        <v>0</v>
      </c>
      <c r="I397" t="n">
        <v>0</v>
      </c>
      <c r="J397" t="n">
        <v>0</v>
      </c>
      <c r="K397" t="n">
        <v>0</v>
      </c>
      <c r="L397" t="n">
        <v>0</v>
      </c>
      <c r="M397" t="n">
        <v>0</v>
      </c>
      <c r="N397" t="n">
        <v>0</v>
      </c>
      <c r="O397" t="n">
        <v>0</v>
      </c>
      <c r="P397" t="n">
        <v>0</v>
      </c>
      <c r="Q397" t="n">
        <v>0</v>
      </c>
      <c r="R397" s="2" t="inlineStr"/>
    </row>
    <row r="398" ht="15" customHeight="1">
      <c r="A398" t="inlineStr">
        <is>
          <t>A 7221-2025</t>
        </is>
      </c>
      <c r="B398" s="1" t="n">
        <v>45701</v>
      </c>
      <c r="C398" s="1" t="n">
        <v>45907</v>
      </c>
      <c r="D398" t="inlineStr">
        <is>
          <t>SKÅNE LÄN</t>
        </is>
      </c>
      <c r="E398" t="inlineStr">
        <is>
          <t>HÄSSLEHOLM</t>
        </is>
      </c>
      <c r="G398" t="n">
        <v>1.8</v>
      </c>
      <c r="H398" t="n">
        <v>0</v>
      </c>
      <c r="I398" t="n">
        <v>0</v>
      </c>
      <c r="J398" t="n">
        <v>0</v>
      </c>
      <c r="K398" t="n">
        <v>0</v>
      </c>
      <c r="L398" t="n">
        <v>0</v>
      </c>
      <c r="M398" t="n">
        <v>0</v>
      </c>
      <c r="N398" t="n">
        <v>0</v>
      </c>
      <c r="O398" t="n">
        <v>0</v>
      </c>
      <c r="P398" t="n">
        <v>0</v>
      </c>
      <c r="Q398" t="n">
        <v>0</v>
      </c>
      <c r="R398" s="2" t="inlineStr"/>
    </row>
    <row r="399" ht="15" customHeight="1">
      <c r="A399" t="inlineStr">
        <is>
          <t>A 5532-2025</t>
        </is>
      </c>
      <c r="B399" s="1" t="n">
        <v>45693</v>
      </c>
      <c r="C399" s="1" t="n">
        <v>45907</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9322-2025</t>
        </is>
      </c>
      <c r="B400" s="1" t="n">
        <v>45714.72241898148</v>
      </c>
      <c r="C400" s="1" t="n">
        <v>45907</v>
      </c>
      <c r="D400" t="inlineStr">
        <is>
          <t>SKÅNE LÄN</t>
        </is>
      </c>
      <c r="E400" t="inlineStr">
        <is>
          <t>HÄSSLEHOLM</t>
        </is>
      </c>
      <c r="G400" t="n">
        <v>2.6</v>
      </c>
      <c r="H400" t="n">
        <v>0</v>
      </c>
      <c r="I400" t="n">
        <v>0</v>
      </c>
      <c r="J400" t="n">
        <v>0</v>
      </c>
      <c r="K400" t="n">
        <v>0</v>
      </c>
      <c r="L400" t="n">
        <v>0</v>
      </c>
      <c r="M400" t="n">
        <v>0</v>
      </c>
      <c r="N400" t="n">
        <v>0</v>
      </c>
      <c r="O400" t="n">
        <v>0</v>
      </c>
      <c r="P400" t="n">
        <v>0</v>
      </c>
      <c r="Q400" t="n">
        <v>0</v>
      </c>
      <c r="R400" s="2" t="inlineStr"/>
    </row>
    <row r="401" ht="15" customHeight="1">
      <c r="A401" t="inlineStr">
        <is>
          <t>A 26397-2023</t>
        </is>
      </c>
      <c r="B401" s="1" t="n">
        <v>45087</v>
      </c>
      <c r="C401" s="1" t="n">
        <v>45907</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1119-2024</t>
        </is>
      </c>
      <c r="B402" s="1" t="n">
        <v>45302</v>
      </c>
      <c r="C402" s="1" t="n">
        <v>45907</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58888-2024</t>
        </is>
      </c>
      <c r="B403" s="1" t="n">
        <v>45636.45962962963</v>
      </c>
      <c r="C403" s="1" t="n">
        <v>45907</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16334-2024</t>
        </is>
      </c>
      <c r="B404" s="1" t="n">
        <v>45407.54856481482</v>
      </c>
      <c r="C404" s="1" t="n">
        <v>45907</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10230-2025</t>
        </is>
      </c>
      <c r="B405" s="1" t="n">
        <v>45720</v>
      </c>
      <c r="C405" s="1" t="n">
        <v>45907</v>
      </c>
      <c r="D405" t="inlineStr">
        <is>
          <t>SKÅNE LÄN</t>
        </is>
      </c>
      <c r="E405" t="inlineStr">
        <is>
          <t>HÄSSLEHOLM</t>
        </is>
      </c>
      <c r="G405" t="n">
        <v>1.5</v>
      </c>
      <c r="H405" t="n">
        <v>0</v>
      </c>
      <c r="I405" t="n">
        <v>0</v>
      </c>
      <c r="J405" t="n">
        <v>0</v>
      </c>
      <c r="K405" t="n">
        <v>0</v>
      </c>
      <c r="L405" t="n">
        <v>0</v>
      </c>
      <c r="M405" t="n">
        <v>0</v>
      </c>
      <c r="N405" t="n">
        <v>0</v>
      </c>
      <c r="O405" t="n">
        <v>0</v>
      </c>
      <c r="P405" t="n">
        <v>0</v>
      </c>
      <c r="Q405" t="n">
        <v>0</v>
      </c>
      <c r="R405" s="2" t="inlineStr"/>
    </row>
    <row r="406" ht="15" customHeight="1">
      <c r="A406" t="inlineStr">
        <is>
          <t>A 33266-2024</t>
        </is>
      </c>
      <c r="B406" s="1" t="n">
        <v>45518</v>
      </c>
      <c r="C406" s="1" t="n">
        <v>45907</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54435-2024</t>
        </is>
      </c>
      <c r="B407" s="1" t="n">
        <v>45617.49494212963</v>
      </c>
      <c r="C407" s="1" t="n">
        <v>45907</v>
      </c>
      <c r="D407" t="inlineStr">
        <is>
          <t>SKÅNE LÄN</t>
        </is>
      </c>
      <c r="E407" t="inlineStr">
        <is>
          <t>HÄSSLEHOLM</t>
        </is>
      </c>
      <c r="G407" t="n">
        <v>2.3</v>
      </c>
      <c r="H407" t="n">
        <v>0</v>
      </c>
      <c r="I407" t="n">
        <v>0</v>
      </c>
      <c r="J407" t="n">
        <v>0</v>
      </c>
      <c r="K407" t="n">
        <v>0</v>
      </c>
      <c r="L407" t="n">
        <v>0</v>
      </c>
      <c r="M407" t="n">
        <v>0</v>
      </c>
      <c r="N407" t="n">
        <v>0</v>
      </c>
      <c r="O407" t="n">
        <v>0</v>
      </c>
      <c r="P407" t="n">
        <v>0</v>
      </c>
      <c r="Q407" t="n">
        <v>0</v>
      </c>
      <c r="R407" s="2" t="inlineStr"/>
    </row>
    <row r="408" ht="15" customHeight="1">
      <c r="A408" t="inlineStr">
        <is>
          <t>A 58886-2024</t>
        </is>
      </c>
      <c r="B408" s="1" t="n">
        <v>45636.45380787037</v>
      </c>
      <c r="C408" s="1" t="n">
        <v>45907</v>
      </c>
      <c r="D408" t="inlineStr">
        <is>
          <t>SKÅNE LÄN</t>
        </is>
      </c>
      <c r="E408" t="inlineStr">
        <is>
          <t>HÄSSLEHOLM</t>
        </is>
      </c>
      <c r="G408" t="n">
        <v>1.9</v>
      </c>
      <c r="H408" t="n">
        <v>0</v>
      </c>
      <c r="I408" t="n">
        <v>0</v>
      </c>
      <c r="J408" t="n">
        <v>0</v>
      </c>
      <c r="K408" t="n">
        <v>0</v>
      </c>
      <c r="L408" t="n">
        <v>0</v>
      </c>
      <c r="M408" t="n">
        <v>0</v>
      </c>
      <c r="N408" t="n">
        <v>0</v>
      </c>
      <c r="O408" t="n">
        <v>0</v>
      </c>
      <c r="P408" t="n">
        <v>0</v>
      </c>
      <c r="Q408" t="n">
        <v>0</v>
      </c>
      <c r="R408" s="2" t="inlineStr"/>
    </row>
    <row r="409" ht="15" customHeight="1">
      <c r="A409" t="inlineStr">
        <is>
          <t>A 3663-2024</t>
        </is>
      </c>
      <c r="B409" s="1" t="n">
        <v>45321.34775462963</v>
      </c>
      <c r="C409" s="1" t="n">
        <v>45907</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48797-2023</t>
        </is>
      </c>
      <c r="B410" s="1" t="n">
        <v>45209.24986111111</v>
      </c>
      <c r="C410" s="1" t="n">
        <v>45907</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13087-2023</t>
        </is>
      </c>
      <c r="B411" s="1" t="n">
        <v>45001</v>
      </c>
      <c r="C411" s="1" t="n">
        <v>45907</v>
      </c>
      <c r="D411" t="inlineStr">
        <is>
          <t>SKÅNE LÄN</t>
        </is>
      </c>
      <c r="E411" t="inlineStr">
        <is>
          <t>HÄSSLEHOLM</t>
        </is>
      </c>
      <c r="G411" t="n">
        <v>3.8</v>
      </c>
      <c r="H411" t="n">
        <v>0</v>
      </c>
      <c r="I411" t="n">
        <v>0</v>
      </c>
      <c r="J411" t="n">
        <v>0</v>
      </c>
      <c r="K411" t="n">
        <v>0</v>
      </c>
      <c r="L411" t="n">
        <v>0</v>
      </c>
      <c r="M411" t="n">
        <v>0</v>
      </c>
      <c r="N411" t="n">
        <v>0</v>
      </c>
      <c r="O411" t="n">
        <v>0</v>
      </c>
      <c r="P411" t="n">
        <v>0</v>
      </c>
      <c r="Q411" t="n">
        <v>0</v>
      </c>
      <c r="R411" s="2" t="inlineStr"/>
    </row>
    <row r="412" ht="15" customHeight="1">
      <c r="A412" t="inlineStr">
        <is>
          <t>A 6583-2021</t>
        </is>
      </c>
      <c r="B412" s="1" t="n">
        <v>44236</v>
      </c>
      <c r="C412" s="1" t="n">
        <v>45907</v>
      </c>
      <c r="D412" t="inlineStr">
        <is>
          <t>SKÅNE LÄN</t>
        </is>
      </c>
      <c r="E412" t="inlineStr">
        <is>
          <t>HÄSSLEHOLM</t>
        </is>
      </c>
      <c r="G412" t="n">
        <v>1.6</v>
      </c>
      <c r="H412" t="n">
        <v>0</v>
      </c>
      <c r="I412" t="n">
        <v>0</v>
      </c>
      <c r="J412" t="n">
        <v>0</v>
      </c>
      <c r="K412" t="n">
        <v>0</v>
      </c>
      <c r="L412" t="n">
        <v>0</v>
      </c>
      <c r="M412" t="n">
        <v>0</v>
      </c>
      <c r="N412" t="n">
        <v>0</v>
      </c>
      <c r="O412" t="n">
        <v>0</v>
      </c>
      <c r="P412" t="n">
        <v>0</v>
      </c>
      <c r="Q412" t="n">
        <v>0</v>
      </c>
      <c r="R412" s="2" t="inlineStr"/>
    </row>
    <row r="413" ht="15" customHeight="1">
      <c r="A413" t="inlineStr">
        <is>
          <t>A 22592-2025</t>
        </is>
      </c>
      <c r="B413" s="1" t="n">
        <v>45789.40502314815</v>
      </c>
      <c r="C413" s="1" t="n">
        <v>45907</v>
      </c>
      <c r="D413" t="inlineStr">
        <is>
          <t>SKÅNE LÄN</t>
        </is>
      </c>
      <c r="E413" t="inlineStr">
        <is>
          <t>HÄSSLEHOLM</t>
        </is>
      </c>
      <c r="G413" t="n">
        <v>7.1</v>
      </c>
      <c r="H413" t="n">
        <v>0</v>
      </c>
      <c r="I413" t="n">
        <v>0</v>
      </c>
      <c r="J413" t="n">
        <v>0</v>
      </c>
      <c r="K413" t="n">
        <v>0</v>
      </c>
      <c r="L413" t="n">
        <v>0</v>
      </c>
      <c r="M413" t="n">
        <v>0</v>
      </c>
      <c r="N413" t="n">
        <v>0</v>
      </c>
      <c r="O413" t="n">
        <v>0</v>
      </c>
      <c r="P413" t="n">
        <v>0</v>
      </c>
      <c r="Q413" t="n">
        <v>0</v>
      </c>
      <c r="R413" s="2" t="inlineStr"/>
    </row>
    <row r="414" ht="15" customHeight="1">
      <c r="A414" t="inlineStr">
        <is>
          <t>A 260-2024</t>
        </is>
      </c>
      <c r="B414" s="1" t="n">
        <v>45294</v>
      </c>
      <c r="C414" s="1" t="n">
        <v>45907</v>
      </c>
      <c r="D414" t="inlineStr">
        <is>
          <t>SKÅNE LÄN</t>
        </is>
      </c>
      <c r="E414" t="inlineStr">
        <is>
          <t>HÄSSLEHOLM</t>
        </is>
      </c>
      <c r="G414" t="n">
        <v>1</v>
      </c>
      <c r="H414" t="n">
        <v>0</v>
      </c>
      <c r="I414" t="n">
        <v>0</v>
      </c>
      <c r="J414" t="n">
        <v>0</v>
      </c>
      <c r="K414" t="n">
        <v>0</v>
      </c>
      <c r="L414" t="n">
        <v>0</v>
      </c>
      <c r="M414" t="n">
        <v>0</v>
      </c>
      <c r="N414" t="n">
        <v>0</v>
      </c>
      <c r="O414" t="n">
        <v>0</v>
      </c>
      <c r="P414" t="n">
        <v>0</v>
      </c>
      <c r="Q414" t="n">
        <v>0</v>
      </c>
      <c r="R414" s="2" t="inlineStr"/>
    </row>
    <row r="415" ht="15" customHeight="1">
      <c r="A415" t="inlineStr">
        <is>
          <t>A 40780-2022</t>
        </is>
      </c>
      <c r="B415" s="1" t="n">
        <v>44820</v>
      </c>
      <c r="C415" s="1" t="n">
        <v>45907</v>
      </c>
      <c r="D415" t="inlineStr">
        <is>
          <t>SKÅNE LÄN</t>
        </is>
      </c>
      <c r="E415" t="inlineStr">
        <is>
          <t>HÄSSLEHOLM</t>
        </is>
      </c>
      <c r="G415" t="n">
        <v>7.4</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45907</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20666-2023</t>
        </is>
      </c>
      <c r="B417" s="1" t="n">
        <v>45058.35664351852</v>
      </c>
      <c r="C417" s="1" t="n">
        <v>45907</v>
      </c>
      <c r="D417" t="inlineStr">
        <is>
          <t>SKÅNE LÄN</t>
        </is>
      </c>
      <c r="E417" t="inlineStr">
        <is>
          <t>HÄSSLEHOLM</t>
        </is>
      </c>
      <c r="F417" t="inlineStr">
        <is>
          <t>Kyrkan</t>
        </is>
      </c>
      <c r="G417" t="n">
        <v>1.3</v>
      </c>
      <c r="H417" t="n">
        <v>0</v>
      </c>
      <c r="I417" t="n">
        <v>0</v>
      </c>
      <c r="J417" t="n">
        <v>0</v>
      </c>
      <c r="K417" t="n">
        <v>0</v>
      </c>
      <c r="L417" t="n">
        <v>0</v>
      </c>
      <c r="M417" t="n">
        <v>0</v>
      </c>
      <c r="N417" t="n">
        <v>0</v>
      </c>
      <c r="O417" t="n">
        <v>0</v>
      </c>
      <c r="P417" t="n">
        <v>0</v>
      </c>
      <c r="Q417" t="n">
        <v>0</v>
      </c>
      <c r="R417" s="2" t="inlineStr"/>
    </row>
    <row r="418" ht="15" customHeight="1">
      <c r="A418" t="inlineStr">
        <is>
          <t>A 59028-2023</t>
        </is>
      </c>
      <c r="B418" s="1" t="n">
        <v>45252.67900462963</v>
      </c>
      <c r="C418" s="1" t="n">
        <v>45907</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8250-2023</t>
        </is>
      </c>
      <c r="B419" s="1" t="n">
        <v>44974</v>
      </c>
      <c r="C419" s="1" t="n">
        <v>45907</v>
      </c>
      <c r="D419" t="inlineStr">
        <is>
          <t>SKÅNE LÄN</t>
        </is>
      </c>
      <c r="E419" t="inlineStr">
        <is>
          <t>HÄSSLEHOLM</t>
        </is>
      </c>
      <c r="G419" t="n">
        <v>3</v>
      </c>
      <c r="H419" t="n">
        <v>0</v>
      </c>
      <c r="I419" t="n">
        <v>0</v>
      </c>
      <c r="J419" t="n">
        <v>0</v>
      </c>
      <c r="K419" t="n">
        <v>0</v>
      </c>
      <c r="L419" t="n">
        <v>0</v>
      </c>
      <c r="M419" t="n">
        <v>0</v>
      </c>
      <c r="N419" t="n">
        <v>0</v>
      </c>
      <c r="O419" t="n">
        <v>0</v>
      </c>
      <c r="P419" t="n">
        <v>0</v>
      </c>
      <c r="Q419" t="n">
        <v>0</v>
      </c>
      <c r="R419" s="2" t="inlineStr"/>
    </row>
    <row r="420" ht="15" customHeight="1">
      <c r="A420" t="inlineStr">
        <is>
          <t>A 9393-2025</t>
        </is>
      </c>
      <c r="B420" s="1" t="n">
        <v>45715.36230324074</v>
      </c>
      <c r="C420" s="1" t="n">
        <v>45907</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57079-2022</t>
        </is>
      </c>
      <c r="B421" s="1" t="n">
        <v>44895</v>
      </c>
      <c r="C421" s="1" t="n">
        <v>45907</v>
      </c>
      <c r="D421" t="inlineStr">
        <is>
          <t>SKÅNE LÄN</t>
        </is>
      </c>
      <c r="E421" t="inlineStr">
        <is>
          <t>HÄSSLEHOLM</t>
        </is>
      </c>
      <c r="G421" t="n">
        <v>2.6</v>
      </c>
      <c r="H421" t="n">
        <v>0</v>
      </c>
      <c r="I421" t="n">
        <v>0</v>
      </c>
      <c r="J421" t="n">
        <v>0</v>
      </c>
      <c r="K421" t="n">
        <v>0</v>
      </c>
      <c r="L421" t="n">
        <v>0</v>
      </c>
      <c r="M421" t="n">
        <v>0</v>
      </c>
      <c r="N421" t="n">
        <v>0</v>
      </c>
      <c r="O421" t="n">
        <v>0</v>
      </c>
      <c r="P421" t="n">
        <v>0</v>
      </c>
      <c r="Q421" t="n">
        <v>0</v>
      </c>
      <c r="R421" s="2" t="inlineStr"/>
    </row>
    <row r="422" ht="15" customHeight="1">
      <c r="A422" t="inlineStr">
        <is>
          <t>A 15698-2023</t>
        </is>
      </c>
      <c r="B422" s="1" t="n">
        <v>45021</v>
      </c>
      <c r="C422" s="1" t="n">
        <v>45907</v>
      </c>
      <c r="D422" t="inlineStr">
        <is>
          <t>SKÅNE LÄN</t>
        </is>
      </c>
      <c r="E422" t="inlineStr">
        <is>
          <t>HÄSSLEHOLM</t>
        </is>
      </c>
      <c r="F422" t="inlineStr">
        <is>
          <t>Kommuner</t>
        </is>
      </c>
      <c r="G422" t="n">
        <v>5.5</v>
      </c>
      <c r="H422" t="n">
        <v>0</v>
      </c>
      <c r="I422" t="n">
        <v>0</v>
      </c>
      <c r="J422" t="n">
        <v>0</v>
      </c>
      <c r="K422" t="n">
        <v>0</v>
      </c>
      <c r="L422" t="n">
        <v>0</v>
      </c>
      <c r="M422" t="n">
        <v>0</v>
      </c>
      <c r="N422" t="n">
        <v>0</v>
      </c>
      <c r="O422" t="n">
        <v>0</v>
      </c>
      <c r="P422" t="n">
        <v>0</v>
      </c>
      <c r="Q422" t="n">
        <v>0</v>
      </c>
      <c r="R422" s="2" t="inlineStr"/>
    </row>
    <row r="423" ht="15" customHeight="1">
      <c r="A423" t="inlineStr">
        <is>
          <t>A 17171-2025</t>
        </is>
      </c>
      <c r="B423" s="1" t="n">
        <v>45755</v>
      </c>
      <c r="C423" s="1" t="n">
        <v>45907</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15897-2025</t>
        </is>
      </c>
      <c r="B424" s="1" t="n">
        <v>45749.41598379629</v>
      </c>
      <c r="C424" s="1" t="n">
        <v>45907</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16930-2024</t>
        </is>
      </c>
      <c r="B425" s="1" t="n">
        <v>45411</v>
      </c>
      <c r="C425" s="1" t="n">
        <v>45907</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27825-2024</t>
        </is>
      </c>
      <c r="B426" s="1" t="n">
        <v>45475</v>
      </c>
      <c r="C426" s="1" t="n">
        <v>45907</v>
      </c>
      <c r="D426" t="inlineStr">
        <is>
          <t>SKÅNE LÄN</t>
        </is>
      </c>
      <c r="E426" t="inlineStr">
        <is>
          <t>HÄSSLEHOLM</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54982-2024</t>
        </is>
      </c>
      <c r="B427" s="1" t="n">
        <v>45620.7580787037</v>
      </c>
      <c r="C427" s="1" t="n">
        <v>45907</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5316-2023</t>
        </is>
      </c>
      <c r="B428" s="1" t="n">
        <v>44959</v>
      </c>
      <c r="C428" s="1" t="n">
        <v>45907</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61182-2024</t>
        </is>
      </c>
      <c r="B429" s="1" t="n">
        <v>45645</v>
      </c>
      <c r="C429" s="1" t="n">
        <v>45907</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31254-2024</t>
        </is>
      </c>
      <c r="B430" s="1" t="n">
        <v>45503</v>
      </c>
      <c r="C430" s="1" t="n">
        <v>45907</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37486-2024</t>
        </is>
      </c>
      <c r="B431" s="1" t="n">
        <v>45541</v>
      </c>
      <c r="C431" s="1" t="n">
        <v>45907</v>
      </c>
      <c r="D431" t="inlineStr">
        <is>
          <t>SKÅNE LÄN</t>
        </is>
      </c>
      <c r="E431" t="inlineStr">
        <is>
          <t>HÄSSLEHOLM</t>
        </is>
      </c>
      <c r="G431" t="n">
        <v>8.5</v>
      </c>
      <c r="H431" t="n">
        <v>0</v>
      </c>
      <c r="I431" t="n">
        <v>0</v>
      </c>
      <c r="J431" t="n">
        <v>0</v>
      </c>
      <c r="K431" t="n">
        <v>0</v>
      </c>
      <c r="L431" t="n">
        <v>0</v>
      </c>
      <c r="M431" t="n">
        <v>0</v>
      </c>
      <c r="N431" t="n">
        <v>0</v>
      </c>
      <c r="O431" t="n">
        <v>0</v>
      </c>
      <c r="P431" t="n">
        <v>0</v>
      </c>
      <c r="Q431" t="n">
        <v>0</v>
      </c>
      <c r="R431" s="2" t="inlineStr"/>
    </row>
    <row r="432" ht="15" customHeight="1">
      <c r="A432" t="inlineStr">
        <is>
          <t>A 11753-2025</t>
        </is>
      </c>
      <c r="B432" s="1" t="n">
        <v>45727</v>
      </c>
      <c r="C432" s="1" t="n">
        <v>45907</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44838-2023</t>
        </is>
      </c>
      <c r="B433" s="1" t="n">
        <v>45190</v>
      </c>
      <c r="C433" s="1" t="n">
        <v>45907</v>
      </c>
      <c r="D433" t="inlineStr">
        <is>
          <t>SKÅNE LÄN</t>
        </is>
      </c>
      <c r="E433" t="inlineStr">
        <is>
          <t>HÄSSLEHOLM</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13954-2023</t>
        </is>
      </c>
      <c r="B434" s="1" t="n">
        <v>45008</v>
      </c>
      <c r="C434" s="1" t="n">
        <v>45907</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14255-2024</t>
        </is>
      </c>
      <c r="B435" s="1" t="n">
        <v>45393</v>
      </c>
      <c r="C435" s="1" t="n">
        <v>45907</v>
      </c>
      <c r="D435" t="inlineStr">
        <is>
          <t>SKÅNE LÄN</t>
        </is>
      </c>
      <c r="E435" t="inlineStr">
        <is>
          <t>HÄSSLEHOLM</t>
        </is>
      </c>
      <c r="G435" t="n">
        <v>11.9</v>
      </c>
      <c r="H435" t="n">
        <v>0</v>
      </c>
      <c r="I435" t="n">
        <v>0</v>
      </c>
      <c r="J435" t="n">
        <v>0</v>
      </c>
      <c r="K435" t="n">
        <v>0</v>
      </c>
      <c r="L435" t="n">
        <v>0</v>
      </c>
      <c r="M435" t="n">
        <v>0</v>
      </c>
      <c r="N435" t="n">
        <v>0</v>
      </c>
      <c r="O435" t="n">
        <v>0</v>
      </c>
      <c r="P435" t="n">
        <v>0</v>
      </c>
      <c r="Q435" t="n">
        <v>0</v>
      </c>
      <c r="R435" s="2" t="inlineStr"/>
    </row>
    <row r="436" ht="15" customHeight="1">
      <c r="A436" t="inlineStr">
        <is>
          <t>A 13007-2024</t>
        </is>
      </c>
      <c r="B436" s="1" t="n">
        <v>45385.57092592592</v>
      </c>
      <c r="C436" s="1" t="n">
        <v>45907</v>
      </c>
      <c r="D436" t="inlineStr">
        <is>
          <t>SKÅNE LÄN</t>
        </is>
      </c>
      <c r="E436" t="inlineStr">
        <is>
          <t>HÄSSLEHOLM</t>
        </is>
      </c>
      <c r="G436" t="n">
        <v>1.4</v>
      </c>
      <c r="H436" t="n">
        <v>0</v>
      </c>
      <c r="I436" t="n">
        <v>0</v>
      </c>
      <c r="J436" t="n">
        <v>0</v>
      </c>
      <c r="K436" t="n">
        <v>0</v>
      </c>
      <c r="L436" t="n">
        <v>0</v>
      </c>
      <c r="M436" t="n">
        <v>0</v>
      </c>
      <c r="N436" t="n">
        <v>0</v>
      </c>
      <c r="O436" t="n">
        <v>0</v>
      </c>
      <c r="P436" t="n">
        <v>0</v>
      </c>
      <c r="Q436" t="n">
        <v>0</v>
      </c>
      <c r="R436" s="2" t="inlineStr"/>
    </row>
    <row r="437" ht="15" customHeight="1">
      <c r="A437" t="inlineStr">
        <is>
          <t>A 43874-2022</t>
        </is>
      </c>
      <c r="B437" s="1" t="n">
        <v>44838.44738425926</v>
      </c>
      <c r="C437" s="1" t="n">
        <v>45907</v>
      </c>
      <c r="D437" t="inlineStr">
        <is>
          <t>SKÅNE LÄN</t>
        </is>
      </c>
      <c r="E437" t="inlineStr">
        <is>
          <t>HÄSSLEHOLM</t>
        </is>
      </c>
      <c r="G437" t="n">
        <v>2.1</v>
      </c>
      <c r="H437" t="n">
        <v>0</v>
      </c>
      <c r="I437" t="n">
        <v>0</v>
      </c>
      <c r="J437" t="n">
        <v>0</v>
      </c>
      <c r="K437" t="n">
        <v>0</v>
      </c>
      <c r="L437" t="n">
        <v>0</v>
      </c>
      <c r="M437" t="n">
        <v>0</v>
      </c>
      <c r="N437" t="n">
        <v>0</v>
      </c>
      <c r="O437" t="n">
        <v>0</v>
      </c>
      <c r="P437" t="n">
        <v>0</v>
      </c>
      <c r="Q437" t="n">
        <v>0</v>
      </c>
      <c r="R437" s="2" t="inlineStr"/>
    </row>
    <row r="438" ht="15" customHeight="1">
      <c r="A438" t="inlineStr">
        <is>
          <t>A 64884-2023</t>
        </is>
      </c>
      <c r="B438" s="1" t="n">
        <v>45282.57809027778</v>
      </c>
      <c r="C438" s="1" t="n">
        <v>45907</v>
      </c>
      <c r="D438" t="inlineStr">
        <is>
          <t>SKÅNE LÄN</t>
        </is>
      </c>
      <c r="E438" t="inlineStr">
        <is>
          <t>HÄSSLEHOLM</t>
        </is>
      </c>
      <c r="G438" t="n">
        <v>4.6</v>
      </c>
      <c r="H438" t="n">
        <v>0</v>
      </c>
      <c r="I438" t="n">
        <v>0</v>
      </c>
      <c r="J438" t="n">
        <v>0</v>
      </c>
      <c r="K438" t="n">
        <v>0</v>
      </c>
      <c r="L438" t="n">
        <v>0</v>
      </c>
      <c r="M438" t="n">
        <v>0</v>
      </c>
      <c r="N438" t="n">
        <v>0</v>
      </c>
      <c r="O438" t="n">
        <v>0</v>
      </c>
      <c r="P438" t="n">
        <v>0</v>
      </c>
      <c r="Q438" t="n">
        <v>0</v>
      </c>
      <c r="R438" s="2" t="inlineStr"/>
    </row>
    <row r="439" ht="15" customHeight="1">
      <c r="A439" t="inlineStr">
        <is>
          <t>A 40152-2024</t>
        </is>
      </c>
      <c r="B439" s="1" t="n">
        <v>45554</v>
      </c>
      <c r="C439" s="1" t="n">
        <v>45907</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74030-2021</t>
        </is>
      </c>
      <c r="B440" s="1" t="n">
        <v>44553</v>
      </c>
      <c r="C440" s="1" t="n">
        <v>45907</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15072-2024</t>
        </is>
      </c>
      <c r="B441" s="1" t="n">
        <v>45399.5996875</v>
      </c>
      <c r="C441" s="1" t="n">
        <v>45907</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11262-2025</t>
        </is>
      </c>
      <c r="B442" s="1" t="n">
        <v>45726</v>
      </c>
      <c r="C442" s="1" t="n">
        <v>45907</v>
      </c>
      <c r="D442" t="inlineStr">
        <is>
          <t>SKÅNE LÄN</t>
        </is>
      </c>
      <c r="E442" t="inlineStr">
        <is>
          <t>HÄSSLEHOLM</t>
        </is>
      </c>
      <c r="G442" t="n">
        <v>1.9</v>
      </c>
      <c r="H442" t="n">
        <v>0</v>
      </c>
      <c r="I442" t="n">
        <v>0</v>
      </c>
      <c r="J442" t="n">
        <v>0</v>
      </c>
      <c r="K442" t="n">
        <v>0</v>
      </c>
      <c r="L442" t="n">
        <v>0</v>
      </c>
      <c r="M442" t="n">
        <v>0</v>
      </c>
      <c r="N442" t="n">
        <v>0</v>
      </c>
      <c r="O442" t="n">
        <v>0</v>
      </c>
      <c r="P442" t="n">
        <v>0</v>
      </c>
      <c r="Q442" t="n">
        <v>0</v>
      </c>
      <c r="R442" s="2" t="inlineStr"/>
    </row>
    <row r="443" ht="15" customHeight="1">
      <c r="A443" t="inlineStr">
        <is>
          <t>A 5395-2024</t>
        </is>
      </c>
      <c r="B443" s="1" t="n">
        <v>45331</v>
      </c>
      <c r="C443" s="1" t="n">
        <v>45907</v>
      </c>
      <c r="D443" t="inlineStr">
        <is>
          <t>SKÅNE LÄN</t>
        </is>
      </c>
      <c r="E443" t="inlineStr">
        <is>
          <t>HÄSSLEHOLM</t>
        </is>
      </c>
      <c r="G443" t="n">
        <v>2.6</v>
      </c>
      <c r="H443" t="n">
        <v>0</v>
      </c>
      <c r="I443" t="n">
        <v>0</v>
      </c>
      <c r="J443" t="n">
        <v>0</v>
      </c>
      <c r="K443" t="n">
        <v>0</v>
      </c>
      <c r="L443" t="n">
        <v>0</v>
      </c>
      <c r="M443" t="n">
        <v>0</v>
      </c>
      <c r="N443" t="n">
        <v>0</v>
      </c>
      <c r="O443" t="n">
        <v>0</v>
      </c>
      <c r="P443" t="n">
        <v>0</v>
      </c>
      <c r="Q443" t="n">
        <v>0</v>
      </c>
      <c r="R443" s="2" t="inlineStr"/>
    </row>
    <row r="444" ht="15" customHeight="1">
      <c r="A444" t="inlineStr">
        <is>
          <t>A 2621-2025</t>
        </is>
      </c>
      <c r="B444" s="1" t="n">
        <v>45675.60765046296</v>
      </c>
      <c r="C444" s="1" t="n">
        <v>45907</v>
      </c>
      <c r="D444" t="inlineStr">
        <is>
          <t>SKÅNE LÄN</t>
        </is>
      </c>
      <c r="E444" t="inlineStr">
        <is>
          <t>HÄSSLEHOLM</t>
        </is>
      </c>
      <c r="F444" t="inlineStr">
        <is>
          <t>Kommuner</t>
        </is>
      </c>
      <c r="G444" t="n">
        <v>3</v>
      </c>
      <c r="H444" t="n">
        <v>0</v>
      </c>
      <c r="I444" t="n">
        <v>0</v>
      </c>
      <c r="J444" t="n">
        <v>0</v>
      </c>
      <c r="K444" t="n">
        <v>0</v>
      </c>
      <c r="L444" t="n">
        <v>0</v>
      </c>
      <c r="M444" t="n">
        <v>0</v>
      </c>
      <c r="N444" t="n">
        <v>0</v>
      </c>
      <c r="O444" t="n">
        <v>0</v>
      </c>
      <c r="P444" t="n">
        <v>0</v>
      </c>
      <c r="Q444" t="n">
        <v>0</v>
      </c>
      <c r="R444" s="2" t="inlineStr"/>
    </row>
    <row r="445" ht="15" customHeight="1">
      <c r="A445" t="inlineStr">
        <is>
          <t>A 8737-2025</t>
        </is>
      </c>
      <c r="B445" s="1" t="n">
        <v>45712.54578703704</v>
      </c>
      <c r="C445" s="1" t="n">
        <v>45907</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37764-2022</t>
        </is>
      </c>
      <c r="B446" s="1" t="n">
        <v>44810</v>
      </c>
      <c r="C446" s="1" t="n">
        <v>45907</v>
      </c>
      <c r="D446" t="inlineStr">
        <is>
          <t>SKÅNE LÄN</t>
        </is>
      </c>
      <c r="E446" t="inlineStr">
        <is>
          <t>HÄSSLEHOLM</t>
        </is>
      </c>
      <c r="F446" t="inlineStr">
        <is>
          <t>Kyrkan</t>
        </is>
      </c>
      <c r="G446" t="n">
        <v>9.4</v>
      </c>
      <c r="H446" t="n">
        <v>0</v>
      </c>
      <c r="I446" t="n">
        <v>0</v>
      </c>
      <c r="J446" t="n">
        <v>0</v>
      </c>
      <c r="K446" t="n">
        <v>0</v>
      </c>
      <c r="L446" t="n">
        <v>0</v>
      </c>
      <c r="M446" t="n">
        <v>0</v>
      </c>
      <c r="N446" t="n">
        <v>0</v>
      </c>
      <c r="O446" t="n">
        <v>0</v>
      </c>
      <c r="P446" t="n">
        <v>0</v>
      </c>
      <c r="Q446" t="n">
        <v>0</v>
      </c>
      <c r="R446" s="2" t="inlineStr"/>
    </row>
    <row r="447" ht="15" customHeight="1">
      <c r="A447" t="inlineStr">
        <is>
          <t>A 51018-2023</t>
        </is>
      </c>
      <c r="B447" s="1" t="n">
        <v>45218</v>
      </c>
      <c r="C447" s="1" t="n">
        <v>45907</v>
      </c>
      <c r="D447" t="inlineStr">
        <is>
          <t>SKÅNE LÄN</t>
        </is>
      </c>
      <c r="E447" t="inlineStr">
        <is>
          <t>HÄSSLEHOLM</t>
        </is>
      </c>
      <c r="G447" t="n">
        <v>3.1</v>
      </c>
      <c r="H447" t="n">
        <v>0</v>
      </c>
      <c r="I447" t="n">
        <v>0</v>
      </c>
      <c r="J447" t="n">
        <v>0</v>
      </c>
      <c r="K447" t="n">
        <v>0</v>
      </c>
      <c r="L447" t="n">
        <v>0</v>
      </c>
      <c r="M447" t="n">
        <v>0</v>
      </c>
      <c r="N447" t="n">
        <v>0</v>
      </c>
      <c r="O447" t="n">
        <v>0</v>
      </c>
      <c r="P447" t="n">
        <v>0</v>
      </c>
      <c r="Q447" t="n">
        <v>0</v>
      </c>
      <c r="R447" s="2" t="inlineStr"/>
    </row>
    <row r="448" ht="15" customHeight="1">
      <c r="A448" t="inlineStr">
        <is>
          <t>A 23005-2025</t>
        </is>
      </c>
      <c r="B448" s="1" t="n">
        <v>45790</v>
      </c>
      <c r="C448" s="1" t="n">
        <v>45907</v>
      </c>
      <c r="D448" t="inlineStr">
        <is>
          <t>SKÅNE LÄN</t>
        </is>
      </c>
      <c r="E448" t="inlineStr">
        <is>
          <t>HÄSSLEHOLM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48112-2024</t>
        </is>
      </c>
      <c r="B449" s="1" t="n">
        <v>45589.6295949074</v>
      </c>
      <c r="C449" s="1" t="n">
        <v>45907</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60797-2024</t>
        </is>
      </c>
      <c r="B450" s="1" t="n">
        <v>45644</v>
      </c>
      <c r="C450" s="1" t="n">
        <v>45907</v>
      </c>
      <c r="D450" t="inlineStr">
        <is>
          <t>SKÅNE LÄN</t>
        </is>
      </c>
      <c r="E450" t="inlineStr">
        <is>
          <t>HÄSSLEHOLM</t>
        </is>
      </c>
      <c r="G450" t="n">
        <v>3.4</v>
      </c>
      <c r="H450" t="n">
        <v>0</v>
      </c>
      <c r="I450" t="n">
        <v>0</v>
      </c>
      <c r="J450" t="n">
        <v>0</v>
      </c>
      <c r="K450" t="n">
        <v>0</v>
      </c>
      <c r="L450" t="n">
        <v>0</v>
      </c>
      <c r="M450" t="n">
        <v>0</v>
      </c>
      <c r="N450" t="n">
        <v>0</v>
      </c>
      <c r="O450" t="n">
        <v>0</v>
      </c>
      <c r="P450" t="n">
        <v>0</v>
      </c>
      <c r="Q450" t="n">
        <v>0</v>
      </c>
      <c r="R450" s="2" t="inlineStr"/>
    </row>
    <row r="451" ht="15" customHeight="1">
      <c r="A451" t="inlineStr">
        <is>
          <t>A 6309-2025</t>
        </is>
      </c>
      <c r="B451" s="1" t="n">
        <v>45698</v>
      </c>
      <c r="C451" s="1" t="n">
        <v>45907</v>
      </c>
      <c r="D451" t="inlineStr">
        <is>
          <t>SKÅNE LÄN</t>
        </is>
      </c>
      <c r="E451" t="inlineStr">
        <is>
          <t>HÄSSLEHOLM</t>
        </is>
      </c>
      <c r="G451" t="n">
        <v>2.7</v>
      </c>
      <c r="H451" t="n">
        <v>0</v>
      </c>
      <c r="I451" t="n">
        <v>0</v>
      </c>
      <c r="J451" t="n">
        <v>0</v>
      </c>
      <c r="K451" t="n">
        <v>0</v>
      </c>
      <c r="L451" t="n">
        <v>0</v>
      </c>
      <c r="M451" t="n">
        <v>0</v>
      </c>
      <c r="N451" t="n">
        <v>0</v>
      </c>
      <c r="O451" t="n">
        <v>0</v>
      </c>
      <c r="P451" t="n">
        <v>0</v>
      </c>
      <c r="Q451" t="n">
        <v>0</v>
      </c>
      <c r="R451" s="2" t="inlineStr"/>
    </row>
    <row r="452" ht="15" customHeight="1">
      <c r="A452" t="inlineStr">
        <is>
          <t>A 6310-2025</t>
        </is>
      </c>
      <c r="B452" s="1" t="n">
        <v>45698</v>
      </c>
      <c r="C452" s="1" t="n">
        <v>45907</v>
      </c>
      <c r="D452" t="inlineStr">
        <is>
          <t>SKÅNE LÄN</t>
        </is>
      </c>
      <c r="E452" t="inlineStr">
        <is>
          <t>HÄSSLEHOLM</t>
        </is>
      </c>
      <c r="G452" t="n">
        <v>2.7</v>
      </c>
      <c r="H452" t="n">
        <v>0</v>
      </c>
      <c r="I452" t="n">
        <v>0</v>
      </c>
      <c r="J452" t="n">
        <v>0</v>
      </c>
      <c r="K452" t="n">
        <v>0</v>
      </c>
      <c r="L452" t="n">
        <v>0</v>
      </c>
      <c r="M452" t="n">
        <v>0</v>
      </c>
      <c r="N452" t="n">
        <v>0</v>
      </c>
      <c r="O452" t="n">
        <v>0</v>
      </c>
      <c r="P452" t="n">
        <v>0</v>
      </c>
      <c r="Q452" t="n">
        <v>0</v>
      </c>
      <c r="R452" s="2" t="inlineStr"/>
    </row>
    <row r="453" ht="15" customHeight="1">
      <c r="A453" t="inlineStr">
        <is>
          <t>A 12338-2024</t>
        </is>
      </c>
      <c r="B453" s="1" t="n">
        <v>45378.72869212963</v>
      </c>
      <c r="C453" s="1" t="n">
        <v>45907</v>
      </c>
      <c r="D453" t="inlineStr">
        <is>
          <t>SKÅNE LÄN</t>
        </is>
      </c>
      <c r="E453" t="inlineStr">
        <is>
          <t>HÄSSLEHOLM</t>
        </is>
      </c>
      <c r="G453" t="n">
        <v>1.8</v>
      </c>
      <c r="H453" t="n">
        <v>0</v>
      </c>
      <c r="I453" t="n">
        <v>0</v>
      </c>
      <c r="J453" t="n">
        <v>0</v>
      </c>
      <c r="K453" t="n">
        <v>0</v>
      </c>
      <c r="L453" t="n">
        <v>0</v>
      </c>
      <c r="M453" t="n">
        <v>0</v>
      </c>
      <c r="N453" t="n">
        <v>0</v>
      </c>
      <c r="O453" t="n">
        <v>0</v>
      </c>
      <c r="P453" t="n">
        <v>0</v>
      </c>
      <c r="Q453" t="n">
        <v>0</v>
      </c>
      <c r="R453" s="2" t="inlineStr"/>
    </row>
    <row r="454" ht="15" customHeight="1">
      <c r="A454" t="inlineStr">
        <is>
          <t>A 56069-2024</t>
        </is>
      </c>
      <c r="B454" s="1" t="n">
        <v>45624.38006944444</v>
      </c>
      <c r="C454" s="1" t="n">
        <v>45907</v>
      </c>
      <c r="D454" t="inlineStr">
        <is>
          <t>SKÅNE LÄN</t>
        </is>
      </c>
      <c r="E454" t="inlineStr">
        <is>
          <t>HÄSSLEHOLM</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16474-2025</t>
        </is>
      </c>
      <c r="B455" s="1" t="n">
        <v>45751.56834490741</v>
      </c>
      <c r="C455" s="1" t="n">
        <v>45907</v>
      </c>
      <c r="D455" t="inlineStr">
        <is>
          <t>SKÅNE LÄN</t>
        </is>
      </c>
      <c r="E455" t="inlineStr">
        <is>
          <t>HÄSSLEHOLM</t>
        </is>
      </c>
      <c r="G455" t="n">
        <v>5.9</v>
      </c>
      <c r="H455" t="n">
        <v>0</v>
      </c>
      <c r="I455" t="n">
        <v>0</v>
      </c>
      <c r="J455" t="n">
        <v>0</v>
      </c>
      <c r="K455" t="n">
        <v>0</v>
      </c>
      <c r="L455" t="n">
        <v>0</v>
      </c>
      <c r="M455" t="n">
        <v>0</v>
      </c>
      <c r="N455" t="n">
        <v>0</v>
      </c>
      <c r="O455" t="n">
        <v>0</v>
      </c>
      <c r="P455" t="n">
        <v>0</v>
      </c>
      <c r="Q455" t="n">
        <v>0</v>
      </c>
      <c r="R455" s="2" t="inlineStr"/>
    </row>
    <row r="456" ht="15" customHeight="1">
      <c r="A456" t="inlineStr">
        <is>
          <t>A 48097-2024</t>
        </is>
      </c>
      <c r="B456" s="1" t="n">
        <v>45589.61413194444</v>
      </c>
      <c r="C456" s="1" t="n">
        <v>45907</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15055-2023</t>
        </is>
      </c>
      <c r="B457" s="1" t="n">
        <v>45015</v>
      </c>
      <c r="C457" s="1" t="n">
        <v>45907</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44527-2020</t>
        </is>
      </c>
      <c r="B458" s="1" t="n">
        <v>44085</v>
      </c>
      <c r="C458" s="1" t="n">
        <v>45907</v>
      </c>
      <c r="D458" t="inlineStr">
        <is>
          <t>SKÅNE LÄN</t>
        </is>
      </c>
      <c r="E458" t="inlineStr">
        <is>
          <t>HÄSSLEHOLM</t>
        </is>
      </c>
      <c r="F458" t="inlineStr">
        <is>
          <t>Kommuner</t>
        </is>
      </c>
      <c r="G458" t="n">
        <v>7.7</v>
      </c>
      <c r="H458" t="n">
        <v>0</v>
      </c>
      <c r="I458" t="n">
        <v>0</v>
      </c>
      <c r="J458" t="n">
        <v>0</v>
      </c>
      <c r="K458" t="n">
        <v>0</v>
      </c>
      <c r="L458" t="n">
        <v>0</v>
      </c>
      <c r="M458" t="n">
        <v>0</v>
      </c>
      <c r="N458" t="n">
        <v>0</v>
      </c>
      <c r="O458" t="n">
        <v>0</v>
      </c>
      <c r="P458" t="n">
        <v>0</v>
      </c>
      <c r="Q458" t="n">
        <v>0</v>
      </c>
      <c r="R458" s="2" t="inlineStr"/>
    </row>
    <row r="459" ht="15" customHeight="1">
      <c r="A459" t="inlineStr">
        <is>
          <t>A 60846-2022</t>
        </is>
      </c>
      <c r="B459" s="1" t="n">
        <v>44914</v>
      </c>
      <c r="C459" s="1" t="n">
        <v>45907</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42776-2021</t>
        </is>
      </c>
      <c r="B460" s="1" t="n">
        <v>44428</v>
      </c>
      <c r="C460" s="1" t="n">
        <v>45907</v>
      </c>
      <c r="D460" t="inlineStr">
        <is>
          <t>SKÅNE LÄN</t>
        </is>
      </c>
      <c r="E460" t="inlineStr">
        <is>
          <t>HÄSSLEHOLM</t>
        </is>
      </c>
      <c r="G460" t="n">
        <v>3.2</v>
      </c>
      <c r="H460" t="n">
        <v>0</v>
      </c>
      <c r="I460" t="n">
        <v>0</v>
      </c>
      <c r="J460" t="n">
        <v>0</v>
      </c>
      <c r="K460" t="n">
        <v>0</v>
      </c>
      <c r="L460" t="n">
        <v>0</v>
      </c>
      <c r="M460" t="n">
        <v>0</v>
      </c>
      <c r="N460" t="n">
        <v>0</v>
      </c>
      <c r="O460" t="n">
        <v>0</v>
      </c>
      <c r="P460" t="n">
        <v>0</v>
      </c>
      <c r="Q460" t="n">
        <v>0</v>
      </c>
      <c r="R460" s="2" t="inlineStr"/>
    </row>
    <row r="461" ht="15" customHeight="1">
      <c r="A461" t="inlineStr">
        <is>
          <t>A 34187-2023</t>
        </is>
      </c>
      <c r="B461" s="1" t="n">
        <v>45138</v>
      </c>
      <c r="C461" s="1" t="n">
        <v>45907</v>
      </c>
      <c r="D461" t="inlineStr">
        <is>
          <t>SKÅNE LÄN</t>
        </is>
      </c>
      <c r="E461" t="inlineStr">
        <is>
          <t>HÄSSLEHOLM</t>
        </is>
      </c>
      <c r="G461" t="n">
        <v>0.4</v>
      </c>
      <c r="H461" t="n">
        <v>0</v>
      </c>
      <c r="I461" t="n">
        <v>0</v>
      </c>
      <c r="J461" t="n">
        <v>0</v>
      </c>
      <c r="K461" t="n">
        <v>0</v>
      </c>
      <c r="L461" t="n">
        <v>0</v>
      </c>
      <c r="M461" t="n">
        <v>0</v>
      </c>
      <c r="N461" t="n">
        <v>0</v>
      </c>
      <c r="O461" t="n">
        <v>0</v>
      </c>
      <c r="P461" t="n">
        <v>0</v>
      </c>
      <c r="Q461" t="n">
        <v>0</v>
      </c>
      <c r="R461" s="2" t="inlineStr"/>
    </row>
    <row r="462" ht="15" customHeight="1">
      <c r="A462" t="inlineStr">
        <is>
          <t>A 1344-2021</t>
        </is>
      </c>
      <c r="B462" s="1" t="n">
        <v>44208</v>
      </c>
      <c r="C462" s="1" t="n">
        <v>45907</v>
      </c>
      <c r="D462" t="inlineStr">
        <is>
          <t>SKÅNE LÄN</t>
        </is>
      </c>
      <c r="E462" t="inlineStr">
        <is>
          <t>HÄSSLEHOLM</t>
        </is>
      </c>
      <c r="G462" t="n">
        <v>1.3</v>
      </c>
      <c r="H462" t="n">
        <v>0</v>
      </c>
      <c r="I462" t="n">
        <v>0</v>
      </c>
      <c r="J462" t="n">
        <v>0</v>
      </c>
      <c r="K462" t="n">
        <v>0</v>
      </c>
      <c r="L462" t="n">
        <v>0</v>
      </c>
      <c r="M462" t="n">
        <v>0</v>
      </c>
      <c r="N462" t="n">
        <v>0</v>
      </c>
      <c r="O462" t="n">
        <v>0</v>
      </c>
      <c r="P462" t="n">
        <v>0</v>
      </c>
      <c r="Q462" t="n">
        <v>0</v>
      </c>
      <c r="R462" s="2" t="inlineStr"/>
    </row>
    <row r="463" ht="15" customHeight="1">
      <c r="A463" t="inlineStr">
        <is>
          <t>A 31255-2024</t>
        </is>
      </c>
      <c r="B463" s="1" t="n">
        <v>45503.69114583333</v>
      </c>
      <c r="C463" s="1" t="n">
        <v>45907</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44697-2021</t>
        </is>
      </c>
      <c r="B464" s="1" t="n">
        <v>44438</v>
      </c>
      <c r="C464" s="1" t="n">
        <v>45907</v>
      </c>
      <c r="D464" t="inlineStr">
        <is>
          <t>SKÅNE LÄN</t>
        </is>
      </c>
      <c r="E464" t="inlineStr">
        <is>
          <t>HÄSSLEHOLM</t>
        </is>
      </c>
      <c r="G464" t="n">
        <v>4.8</v>
      </c>
      <c r="H464" t="n">
        <v>0</v>
      </c>
      <c r="I464" t="n">
        <v>0</v>
      </c>
      <c r="J464" t="n">
        <v>0</v>
      </c>
      <c r="K464" t="n">
        <v>0</v>
      </c>
      <c r="L464" t="n">
        <v>0</v>
      </c>
      <c r="M464" t="n">
        <v>0</v>
      </c>
      <c r="N464" t="n">
        <v>0</v>
      </c>
      <c r="O464" t="n">
        <v>0</v>
      </c>
      <c r="P464" t="n">
        <v>0</v>
      </c>
      <c r="Q464" t="n">
        <v>0</v>
      </c>
      <c r="R464" s="2" t="inlineStr"/>
    </row>
    <row r="465" ht="15" customHeight="1">
      <c r="A465" t="inlineStr">
        <is>
          <t>A 8433-2024</t>
        </is>
      </c>
      <c r="B465" s="1" t="n">
        <v>45353.48434027778</v>
      </c>
      <c r="C465" s="1" t="n">
        <v>45907</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48807-2021</t>
        </is>
      </c>
      <c r="B466" s="1" t="n">
        <v>44452</v>
      </c>
      <c r="C466" s="1" t="n">
        <v>45907</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28457-2024</t>
        </is>
      </c>
      <c r="B467" s="1" t="n">
        <v>45477.68884259259</v>
      </c>
      <c r="C467" s="1" t="n">
        <v>45907</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14700-2023</t>
        </is>
      </c>
      <c r="B468" s="1" t="n">
        <v>45014.38376157408</v>
      </c>
      <c r="C468" s="1" t="n">
        <v>45907</v>
      </c>
      <c r="D468" t="inlineStr">
        <is>
          <t>SKÅNE LÄN</t>
        </is>
      </c>
      <c r="E468" t="inlineStr">
        <is>
          <t>HÄSSLEHOLM</t>
        </is>
      </c>
      <c r="G468" t="n">
        <v>0.5</v>
      </c>
      <c r="H468" t="n">
        <v>0</v>
      </c>
      <c r="I468" t="n">
        <v>0</v>
      </c>
      <c r="J468" t="n">
        <v>0</v>
      </c>
      <c r="K468" t="n">
        <v>0</v>
      </c>
      <c r="L468" t="n">
        <v>0</v>
      </c>
      <c r="M468" t="n">
        <v>0</v>
      </c>
      <c r="N468" t="n">
        <v>0</v>
      </c>
      <c r="O468" t="n">
        <v>0</v>
      </c>
      <c r="P468" t="n">
        <v>0</v>
      </c>
      <c r="Q468" t="n">
        <v>0</v>
      </c>
      <c r="R468" s="2" t="inlineStr"/>
    </row>
    <row r="469" ht="15" customHeight="1">
      <c r="A469" t="inlineStr">
        <is>
          <t>A 13309-2025</t>
        </is>
      </c>
      <c r="B469" s="1" t="n">
        <v>45735.58512731481</v>
      </c>
      <c r="C469" s="1" t="n">
        <v>45907</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51752-2023</t>
        </is>
      </c>
      <c r="B470" s="1" t="n">
        <v>45222</v>
      </c>
      <c r="C470" s="1" t="n">
        <v>45907</v>
      </c>
      <c r="D470" t="inlineStr">
        <is>
          <t>SKÅNE LÄN</t>
        </is>
      </c>
      <c r="E470" t="inlineStr">
        <is>
          <t>HÄSSLEHOLM</t>
        </is>
      </c>
      <c r="G470" t="n">
        <v>1.8</v>
      </c>
      <c r="H470" t="n">
        <v>0</v>
      </c>
      <c r="I470" t="n">
        <v>0</v>
      </c>
      <c r="J470" t="n">
        <v>0</v>
      </c>
      <c r="K470" t="n">
        <v>0</v>
      </c>
      <c r="L470" t="n">
        <v>0</v>
      </c>
      <c r="M470" t="n">
        <v>0</v>
      </c>
      <c r="N470" t="n">
        <v>0</v>
      </c>
      <c r="O470" t="n">
        <v>0</v>
      </c>
      <c r="P470" t="n">
        <v>0</v>
      </c>
      <c r="Q470" t="n">
        <v>0</v>
      </c>
      <c r="R470" s="2" t="inlineStr"/>
    </row>
    <row r="471" ht="15" customHeight="1">
      <c r="A471" t="inlineStr">
        <is>
          <t>A 39915-2023</t>
        </is>
      </c>
      <c r="B471" s="1" t="n">
        <v>45168.4684375</v>
      </c>
      <c r="C471" s="1" t="n">
        <v>45907</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7681-2025</t>
        </is>
      </c>
      <c r="B472" s="1" t="n">
        <v>45706.36758101852</v>
      </c>
      <c r="C472" s="1" t="n">
        <v>45907</v>
      </c>
      <c r="D472" t="inlineStr">
        <is>
          <t>SKÅNE LÄN</t>
        </is>
      </c>
      <c r="E472" t="inlineStr">
        <is>
          <t>HÄSSLEHOLM</t>
        </is>
      </c>
      <c r="G472" t="n">
        <v>1.9</v>
      </c>
      <c r="H472" t="n">
        <v>0</v>
      </c>
      <c r="I472" t="n">
        <v>0</v>
      </c>
      <c r="J472" t="n">
        <v>0</v>
      </c>
      <c r="K472" t="n">
        <v>0</v>
      </c>
      <c r="L472" t="n">
        <v>0</v>
      </c>
      <c r="M472" t="n">
        <v>0</v>
      </c>
      <c r="N472" t="n">
        <v>0</v>
      </c>
      <c r="O472" t="n">
        <v>0</v>
      </c>
      <c r="P472" t="n">
        <v>0</v>
      </c>
      <c r="Q472" t="n">
        <v>0</v>
      </c>
      <c r="R472" s="2" t="inlineStr"/>
    </row>
    <row r="473" ht="15" customHeight="1">
      <c r="A473" t="inlineStr">
        <is>
          <t>A 32834-2024</t>
        </is>
      </c>
      <c r="B473" s="1" t="n">
        <v>45516.6025</v>
      </c>
      <c r="C473" s="1" t="n">
        <v>45907</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24032-2025</t>
        </is>
      </c>
      <c r="B474" s="1" t="n">
        <v>45796.478125</v>
      </c>
      <c r="C474" s="1" t="n">
        <v>45907</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6596-2021</t>
        </is>
      </c>
      <c r="B475" s="1" t="n">
        <v>44236</v>
      </c>
      <c r="C475" s="1" t="n">
        <v>45907</v>
      </c>
      <c r="D475" t="inlineStr">
        <is>
          <t>SKÅNE LÄN</t>
        </is>
      </c>
      <c r="E475" t="inlineStr">
        <is>
          <t>HÄSSLEHOLM</t>
        </is>
      </c>
      <c r="G475" t="n">
        <v>2</v>
      </c>
      <c r="H475" t="n">
        <v>0</v>
      </c>
      <c r="I475" t="n">
        <v>0</v>
      </c>
      <c r="J475" t="n">
        <v>0</v>
      </c>
      <c r="K475" t="n">
        <v>0</v>
      </c>
      <c r="L475" t="n">
        <v>0</v>
      </c>
      <c r="M475" t="n">
        <v>0</v>
      </c>
      <c r="N475" t="n">
        <v>0</v>
      </c>
      <c r="O475" t="n">
        <v>0</v>
      </c>
      <c r="P475" t="n">
        <v>0</v>
      </c>
      <c r="Q475" t="n">
        <v>0</v>
      </c>
      <c r="R475" s="2" t="inlineStr"/>
    </row>
    <row r="476" ht="15" customHeight="1">
      <c r="A476" t="inlineStr">
        <is>
          <t>A 20058-2023</t>
        </is>
      </c>
      <c r="B476" s="1" t="n">
        <v>45054.68476851852</v>
      </c>
      <c r="C476" s="1" t="n">
        <v>45907</v>
      </c>
      <c r="D476" t="inlineStr">
        <is>
          <t>SKÅNE LÄN</t>
        </is>
      </c>
      <c r="E476" t="inlineStr">
        <is>
          <t>HÄSSLEHOLM</t>
        </is>
      </c>
      <c r="G476" t="n">
        <v>1.4</v>
      </c>
      <c r="H476" t="n">
        <v>0</v>
      </c>
      <c r="I476" t="n">
        <v>0</v>
      </c>
      <c r="J476" t="n">
        <v>0</v>
      </c>
      <c r="K476" t="n">
        <v>0</v>
      </c>
      <c r="L476" t="n">
        <v>0</v>
      </c>
      <c r="M476" t="n">
        <v>0</v>
      </c>
      <c r="N476" t="n">
        <v>0</v>
      </c>
      <c r="O476" t="n">
        <v>0</v>
      </c>
      <c r="P476" t="n">
        <v>0</v>
      </c>
      <c r="Q476" t="n">
        <v>0</v>
      </c>
      <c r="R476" s="2" t="inlineStr"/>
    </row>
    <row r="477" ht="15" customHeight="1">
      <c r="A477" t="inlineStr">
        <is>
          <t>A 9397-2025</t>
        </is>
      </c>
      <c r="B477" s="1" t="n">
        <v>45715.37361111111</v>
      </c>
      <c r="C477" s="1" t="n">
        <v>45907</v>
      </c>
      <c r="D477" t="inlineStr">
        <is>
          <t>SKÅNE LÄN</t>
        </is>
      </c>
      <c r="E477" t="inlineStr">
        <is>
          <t>HÄSSLEHOLM</t>
        </is>
      </c>
      <c r="G477" t="n">
        <v>1.2</v>
      </c>
      <c r="H477" t="n">
        <v>0</v>
      </c>
      <c r="I477" t="n">
        <v>0</v>
      </c>
      <c r="J477" t="n">
        <v>0</v>
      </c>
      <c r="K477" t="n">
        <v>0</v>
      </c>
      <c r="L477" t="n">
        <v>0</v>
      </c>
      <c r="M477" t="n">
        <v>0</v>
      </c>
      <c r="N477" t="n">
        <v>0</v>
      </c>
      <c r="O477" t="n">
        <v>0</v>
      </c>
      <c r="P477" t="n">
        <v>0</v>
      </c>
      <c r="Q477" t="n">
        <v>0</v>
      </c>
      <c r="R477" s="2" t="inlineStr"/>
    </row>
    <row r="478" ht="15" customHeight="1">
      <c r="A478" t="inlineStr">
        <is>
          <t>A 59109-2023</t>
        </is>
      </c>
      <c r="B478" s="1" t="n">
        <v>45253.30819444444</v>
      </c>
      <c r="C478" s="1" t="n">
        <v>45907</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49384-2021</t>
        </is>
      </c>
      <c r="B479" s="1" t="n">
        <v>44454</v>
      </c>
      <c r="C479" s="1" t="n">
        <v>45907</v>
      </c>
      <c r="D479" t="inlineStr">
        <is>
          <t>SKÅNE LÄN</t>
        </is>
      </c>
      <c r="E479" t="inlineStr">
        <is>
          <t>HÄSSLEHOLM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60789-2024</t>
        </is>
      </c>
      <c r="B480" s="1" t="n">
        <v>45644</v>
      </c>
      <c r="C480" s="1" t="n">
        <v>45907</v>
      </c>
      <c r="D480" t="inlineStr">
        <is>
          <t>SKÅNE LÄN</t>
        </is>
      </c>
      <c r="E480" t="inlineStr">
        <is>
          <t>HÄSSLEHOLM</t>
        </is>
      </c>
      <c r="G480" t="n">
        <v>3</v>
      </c>
      <c r="H480" t="n">
        <v>0</v>
      </c>
      <c r="I480" t="n">
        <v>0</v>
      </c>
      <c r="J480" t="n">
        <v>0</v>
      </c>
      <c r="K480" t="n">
        <v>0</v>
      </c>
      <c r="L480" t="n">
        <v>0</v>
      </c>
      <c r="M480" t="n">
        <v>0</v>
      </c>
      <c r="N480" t="n">
        <v>0</v>
      </c>
      <c r="O480" t="n">
        <v>0</v>
      </c>
      <c r="P480" t="n">
        <v>0</v>
      </c>
      <c r="Q480" t="n">
        <v>0</v>
      </c>
      <c r="R480" s="2" t="inlineStr"/>
    </row>
    <row r="481" ht="15" customHeight="1">
      <c r="A481" t="inlineStr">
        <is>
          <t>A 8619-2023</t>
        </is>
      </c>
      <c r="B481" s="1" t="n">
        <v>44977.81979166667</v>
      </c>
      <c r="C481" s="1" t="n">
        <v>45907</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9543-2025</t>
        </is>
      </c>
      <c r="B482" s="1" t="n">
        <v>45715</v>
      </c>
      <c r="C482" s="1" t="n">
        <v>45907</v>
      </c>
      <c r="D482" t="inlineStr">
        <is>
          <t>SKÅNE LÄN</t>
        </is>
      </c>
      <c r="E482" t="inlineStr">
        <is>
          <t>HÄSSLEHOLM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54462-2022</t>
        </is>
      </c>
      <c r="B483" s="1" t="n">
        <v>44882</v>
      </c>
      <c r="C483" s="1" t="n">
        <v>45907</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53067-2022</t>
        </is>
      </c>
      <c r="B484" s="1" t="n">
        <v>44873</v>
      </c>
      <c r="C484" s="1" t="n">
        <v>45907</v>
      </c>
      <c r="D484" t="inlineStr">
        <is>
          <t>SKÅNE LÄN</t>
        </is>
      </c>
      <c r="E484" t="inlineStr">
        <is>
          <t>HÄSSLEHOLM</t>
        </is>
      </c>
      <c r="G484" t="n">
        <v>1.2</v>
      </c>
      <c r="H484" t="n">
        <v>0</v>
      </c>
      <c r="I484" t="n">
        <v>0</v>
      </c>
      <c r="J484" t="n">
        <v>0</v>
      </c>
      <c r="K484" t="n">
        <v>0</v>
      </c>
      <c r="L484" t="n">
        <v>0</v>
      </c>
      <c r="M484" t="n">
        <v>0</v>
      </c>
      <c r="N484" t="n">
        <v>0</v>
      </c>
      <c r="O484" t="n">
        <v>0</v>
      </c>
      <c r="P484" t="n">
        <v>0</v>
      </c>
      <c r="Q484" t="n">
        <v>0</v>
      </c>
      <c r="R484" s="2" t="inlineStr"/>
    </row>
    <row r="485" ht="15" customHeight="1">
      <c r="A485" t="inlineStr">
        <is>
          <t>A 3349-2023</t>
        </is>
      </c>
      <c r="B485" s="1" t="n">
        <v>44949</v>
      </c>
      <c r="C485" s="1" t="n">
        <v>45907</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25611-2024</t>
        </is>
      </c>
      <c r="B486" s="1" t="n">
        <v>45463</v>
      </c>
      <c r="C486" s="1" t="n">
        <v>45907</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7094-2023</t>
        </is>
      </c>
      <c r="B487" s="1" t="n">
        <v>44970.36958333333</v>
      </c>
      <c r="C487" s="1" t="n">
        <v>45907</v>
      </c>
      <c r="D487" t="inlineStr">
        <is>
          <t>SKÅNE LÄN</t>
        </is>
      </c>
      <c r="E487" t="inlineStr">
        <is>
          <t>HÄSSLEHOLM</t>
        </is>
      </c>
      <c r="G487" t="n">
        <v>3.6</v>
      </c>
      <c r="H487" t="n">
        <v>0</v>
      </c>
      <c r="I487" t="n">
        <v>0</v>
      </c>
      <c r="J487" t="n">
        <v>0</v>
      </c>
      <c r="K487" t="n">
        <v>0</v>
      </c>
      <c r="L487" t="n">
        <v>0</v>
      </c>
      <c r="M487" t="n">
        <v>0</v>
      </c>
      <c r="N487" t="n">
        <v>0</v>
      </c>
      <c r="O487" t="n">
        <v>0</v>
      </c>
      <c r="P487" t="n">
        <v>0</v>
      </c>
      <c r="Q487" t="n">
        <v>0</v>
      </c>
      <c r="R487" s="2" t="inlineStr"/>
    </row>
    <row r="488" ht="15" customHeight="1">
      <c r="A488" t="inlineStr">
        <is>
          <t>A 5252-2025</t>
        </is>
      </c>
      <c r="B488" s="1" t="n">
        <v>45692.3449537037</v>
      </c>
      <c r="C488" s="1" t="n">
        <v>45907</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32100-2024</t>
        </is>
      </c>
      <c r="B489" s="1" t="n">
        <v>45511.41451388889</v>
      </c>
      <c r="C489" s="1" t="n">
        <v>45907</v>
      </c>
      <c r="D489" t="inlineStr">
        <is>
          <t>SKÅNE LÄN</t>
        </is>
      </c>
      <c r="E489" t="inlineStr">
        <is>
          <t>HÄSSLEHOLM</t>
        </is>
      </c>
      <c r="G489" t="n">
        <v>0.8</v>
      </c>
      <c r="H489" t="n">
        <v>0</v>
      </c>
      <c r="I489" t="n">
        <v>0</v>
      </c>
      <c r="J489" t="n">
        <v>0</v>
      </c>
      <c r="K489" t="n">
        <v>0</v>
      </c>
      <c r="L489" t="n">
        <v>0</v>
      </c>
      <c r="M489" t="n">
        <v>0</v>
      </c>
      <c r="N489" t="n">
        <v>0</v>
      </c>
      <c r="O489" t="n">
        <v>0</v>
      </c>
      <c r="P489" t="n">
        <v>0</v>
      </c>
      <c r="Q489" t="n">
        <v>0</v>
      </c>
      <c r="R489" s="2" t="inlineStr"/>
    </row>
    <row r="490" ht="15" customHeight="1">
      <c r="A490" t="inlineStr">
        <is>
          <t>A 10220-2023</t>
        </is>
      </c>
      <c r="B490" s="1" t="n">
        <v>44986.60916666667</v>
      </c>
      <c r="C490" s="1" t="n">
        <v>45907</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5242-2025</t>
        </is>
      </c>
      <c r="B491" s="1" t="n">
        <v>45692.32883101852</v>
      </c>
      <c r="C491" s="1" t="n">
        <v>45907</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24034-2025</t>
        </is>
      </c>
      <c r="B492" s="1" t="n">
        <v>45796.48251157408</v>
      </c>
      <c r="C492" s="1" t="n">
        <v>45907</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35810-2023</t>
        </is>
      </c>
      <c r="B493" s="1" t="n">
        <v>45148.44046296296</v>
      </c>
      <c r="C493" s="1" t="n">
        <v>45907</v>
      </c>
      <c r="D493" t="inlineStr">
        <is>
          <t>SKÅNE LÄN</t>
        </is>
      </c>
      <c r="E493" t="inlineStr">
        <is>
          <t>HÄSSLEHOLM</t>
        </is>
      </c>
      <c r="G493" t="n">
        <v>1.2</v>
      </c>
      <c r="H493" t="n">
        <v>0</v>
      </c>
      <c r="I493" t="n">
        <v>0</v>
      </c>
      <c r="J493" t="n">
        <v>0</v>
      </c>
      <c r="K493" t="n">
        <v>0</v>
      </c>
      <c r="L493" t="n">
        <v>0</v>
      </c>
      <c r="M493" t="n">
        <v>0</v>
      </c>
      <c r="N493" t="n">
        <v>0</v>
      </c>
      <c r="O493" t="n">
        <v>0</v>
      </c>
      <c r="P493" t="n">
        <v>0</v>
      </c>
      <c r="Q493" t="n">
        <v>0</v>
      </c>
      <c r="R493" s="2" t="inlineStr"/>
    </row>
    <row r="494" ht="15" customHeight="1">
      <c r="A494" t="inlineStr">
        <is>
          <t>A 11260-2021</t>
        </is>
      </c>
      <c r="B494" s="1" t="n">
        <v>44263</v>
      </c>
      <c r="C494" s="1" t="n">
        <v>45907</v>
      </c>
      <c r="D494" t="inlineStr">
        <is>
          <t>SKÅNE LÄN</t>
        </is>
      </c>
      <c r="E494" t="inlineStr">
        <is>
          <t>HÄSSLEHOLM</t>
        </is>
      </c>
      <c r="G494" t="n">
        <v>5.4</v>
      </c>
      <c r="H494" t="n">
        <v>0</v>
      </c>
      <c r="I494" t="n">
        <v>0</v>
      </c>
      <c r="J494" t="n">
        <v>0</v>
      </c>
      <c r="K494" t="n">
        <v>0</v>
      </c>
      <c r="L494" t="n">
        <v>0</v>
      </c>
      <c r="M494" t="n">
        <v>0</v>
      </c>
      <c r="N494" t="n">
        <v>0</v>
      </c>
      <c r="O494" t="n">
        <v>0</v>
      </c>
      <c r="P494" t="n">
        <v>0</v>
      </c>
      <c r="Q494" t="n">
        <v>0</v>
      </c>
      <c r="R494" s="2" t="inlineStr"/>
    </row>
    <row r="495" ht="15" customHeight="1">
      <c r="A495" t="inlineStr">
        <is>
          <t>A 35833-2023</t>
        </is>
      </c>
      <c r="B495" s="1" t="n">
        <v>45148</v>
      </c>
      <c r="C495" s="1" t="n">
        <v>45907</v>
      </c>
      <c r="D495" t="inlineStr">
        <is>
          <t>SKÅNE LÄN</t>
        </is>
      </c>
      <c r="E495" t="inlineStr">
        <is>
          <t>HÄSSLEHOLM</t>
        </is>
      </c>
      <c r="F495" t="inlineStr">
        <is>
          <t>Kommuner</t>
        </is>
      </c>
      <c r="G495" t="n">
        <v>2</v>
      </c>
      <c r="H495" t="n">
        <v>0</v>
      </c>
      <c r="I495" t="n">
        <v>0</v>
      </c>
      <c r="J495" t="n">
        <v>0</v>
      </c>
      <c r="K495" t="n">
        <v>0</v>
      </c>
      <c r="L495" t="n">
        <v>0</v>
      </c>
      <c r="M495" t="n">
        <v>0</v>
      </c>
      <c r="N495" t="n">
        <v>0</v>
      </c>
      <c r="O495" t="n">
        <v>0</v>
      </c>
      <c r="P495" t="n">
        <v>0</v>
      </c>
      <c r="Q495" t="n">
        <v>0</v>
      </c>
      <c r="R495" s="2" t="inlineStr"/>
    </row>
    <row r="496" ht="15" customHeight="1">
      <c r="A496" t="inlineStr">
        <is>
          <t>A 59556-2023</t>
        </is>
      </c>
      <c r="B496" s="1" t="n">
        <v>45254.56313657408</v>
      </c>
      <c r="C496" s="1" t="n">
        <v>45907</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53077-2022</t>
        </is>
      </c>
      <c r="B497" s="1" t="n">
        <v>44873</v>
      </c>
      <c r="C497" s="1" t="n">
        <v>45907</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24250-2025</t>
        </is>
      </c>
      <c r="B498" s="1" t="n">
        <v>45797.40260416667</v>
      </c>
      <c r="C498" s="1" t="n">
        <v>45907</v>
      </c>
      <c r="D498" t="inlineStr">
        <is>
          <t>SKÅNE LÄN</t>
        </is>
      </c>
      <c r="E498" t="inlineStr">
        <is>
          <t>HÄSSLEHOLM</t>
        </is>
      </c>
      <c r="G498" t="n">
        <v>2.3</v>
      </c>
      <c r="H498" t="n">
        <v>0</v>
      </c>
      <c r="I498" t="n">
        <v>0</v>
      </c>
      <c r="J498" t="n">
        <v>0</v>
      </c>
      <c r="K498" t="n">
        <v>0</v>
      </c>
      <c r="L498" t="n">
        <v>0</v>
      </c>
      <c r="M498" t="n">
        <v>0</v>
      </c>
      <c r="N498" t="n">
        <v>0</v>
      </c>
      <c r="O498" t="n">
        <v>0</v>
      </c>
      <c r="P498" t="n">
        <v>0</v>
      </c>
      <c r="Q498" t="n">
        <v>0</v>
      </c>
      <c r="R498" s="2" t="inlineStr"/>
    </row>
    <row r="499" ht="15" customHeight="1">
      <c r="A499" t="inlineStr">
        <is>
          <t>A 19744-2023</t>
        </is>
      </c>
      <c r="B499" s="1" t="n">
        <v>45051</v>
      </c>
      <c r="C499" s="1" t="n">
        <v>45907</v>
      </c>
      <c r="D499" t="inlineStr">
        <is>
          <t>SKÅNE LÄN</t>
        </is>
      </c>
      <c r="E499" t="inlineStr">
        <is>
          <t>HÄSSLEHOLM</t>
        </is>
      </c>
      <c r="G499" t="n">
        <v>0.4</v>
      </c>
      <c r="H499" t="n">
        <v>0</v>
      </c>
      <c r="I499" t="n">
        <v>0</v>
      </c>
      <c r="J499" t="n">
        <v>0</v>
      </c>
      <c r="K499" t="n">
        <v>0</v>
      </c>
      <c r="L499" t="n">
        <v>0</v>
      </c>
      <c r="M499" t="n">
        <v>0</v>
      </c>
      <c r="N499" t="n">
        <v>0</v>
      </c>
      <c r="O499" t="n">
        <v>0</v>
      </c>
      <c r="P499" t="n">
        <v>0</v>
      </c>
      <c r="Q499" t="n">
        <v>0</v>
      </c>
      <c r="R499" s="2" t="inlineStr"/>
    </row>
    <row r="500" ht="15" customHeight="1">
      <c r="A500" t="inlineStr">
        <is>
          <t>A 14655-2025</t>
        </is>
      </c>
      <c r="B500" s="1" t="n">
        <v>45742.5072337963</v>
      </c>
      <c r="C500" s="1" t="n">
        <v>45907</v>
      </c>
      <c r="D500" t="inlineStr">
        <is>
          <t>SKÅNE LÄN</t>
        </is>
      </c>
      <c r="E500" t="inlineStr">
        <is>
          <t>HÄSSLEHOLM</t>
        </is>
      </c>
      <c r="G500" t="n">
        <v>4.5</v>
      </c>
      <c r="H500" t="n">
        <v>0</v>
      </c>
      <c r="I500" t="n">
        <v>0</v>
      </c>
      <c r="J500" t="n">
        <v>0</v>
      </c>
      <c r="K500" t="n">
        <v>0</v>
      </c>
      <c r="L500" t="n">
        <v>0</v>
      </c>
      <c r="M500" t="n">
        <v>0</v>
      </c>
      <c r="N500" t="n">
        <v>0</v>
      </c>
      <c r="O500" t="n">
        <v>0</v>
      </c>
      <c r="P500" t="n">
        <v>0</v>
      </c>
      <c r="Q500" t="n">
        <v>0</v>
      </c>
      <c r="R500" s="2" t="inlineStr"/>
    </row>
    <row r="501" ht="15" customHeight="1">
      <c r="A501" t="inlineStr">
        <is>
          <t>A 24029-2025</t>
        </is>
      </c>
      <c r="B501" s="1" t="n">
        <v>45796.47552083333</v>
      </c>
      <c r="C501" s="1" t="n">
        <v>45907</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14926-2024</t>
        </is>
      </c>
      <c r="B502" s="1" t="n">
        <v>45398</v>
      </c>
      <c r="C502" s="1" t="n">
        <v>45907</v>
      </c>
      <c r="D502" t="inlineStr">
        <is>
          <t>SKÅNE LÄN</t>
        </is>
      </c>
      <c r="E502" t="inlineStr">
        <is>
          <t>HÄSSLEHOLM</t>
        </is>
      </c>
      <c r="G502" t="n">
        <v>3.4</v>
      </c>
      <c r="H502" t="n">
        <v>0</v>
      </c>
      <c r="I502" t="n">
        <v>0</v>
      </c>
      <c r="J502" t="n">
        <v>0</v>
      </c>
      <c r="K502" t="n">
        <v>0</v>
      </c>
      <c r="L502" t="n">
        <v>0</v>
      </c>
      <c r="M502" t="n">
        <v>0</v>
      </c>
      <c r="N502" t="n">
        <v>0</v>
      </c>
      <c r="O502" t="n">
        <v>0</v>
      </c>
      <c r="P502" t="n">
        <v>0</v>
      </c>
      <c r="Q502" t="n">
        <v>0</v>
      </c>
      <c r="R502" s="2" t="inlineStr"/>
    </row>
    <row r="503" ht="15" customHeight="1">
      <c r="A503" t="inlineStr">
        <is>
          <t>A 24039-2025</t>
        </is>
      </c>
      <c r="B503" s="1" t="n">
        <v>45796.48675925926</v>
      </c>
      <c r="C503" s="1" t="n">
        <v>45907</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16862-2025</t>
        </is>
      </c>
      <c r="B504" s="1" t="n">
        <v>45751</v>
      </c>
      <c r="C504" s="1" t="n">
        <v>45907</v>
      </c>
      <c r="D504" t="inlineStr">
        <is>
          <t>SKÅNE LÄN</t>
        </is>
      </c>
      <c r="E504" t="inlineStr">
        <is>
          <t>HÄSSLEHOLM</t>
        </is>
      </c>
      <c r="G504" t="n">
        <v>2.3</v>
      </c>
      <c r="H504" t="n">
        <v>0</v>
      </c>
      <c r="I504" t="n">
        <v>0</v>
      </c>
      <c r="J504" t="n">
        <v>0</v>
      </c>
      <c r="K504" t="n">
        <v>0</v>
      </c>
      <c r="L504" t="n">
        <v>0</v>
      </c>
      <c r="M504" t="n">
        <v>0</v>
      </c>
      <c r="N504" t="n">
        <v>0</v>
      </c>
      <c r="O504" t="n">
        <v>0</v>
      </c>
      <c r="P504" t="n">
        <v>0</v>
      </c>
      <c r="Q504" t="n">
        <v>0</v>
      </c>
      <c r="R504" s="2" t="inlineStr"/>
    </row>
    <row r="505" ht="15" customHeight="1">
      <c r="A505" t="inlineStr">
        <is>
          <t>A 46185-2022</t>
        </is>
      </c>
      <c r="B505" s="1" t="n">
        <v>44847</v>
      </c>
      <c r="C505" s="1" t="n">
        <v>45907</v>
      </c>
      <c r="D505" t="inlineStr">
        <is>
          <t>SKÅNE LÄN</t>
        </is>
      </c>
      <c r="E505" t="inlineStr">
        <is>
          <t>HÄSSLEHOLM</t>
        </is>
      </c>
      <c r="G505" t="n">
        <v>16.8</v>
      </c>
      <c r="H505" t="n">
        <v>0</v>
      </c>
      <c r="I505" t="n">
        <v>0</v>
      </c>
      <c r="J505" t="n">
        <v>0</v>
      </c>
      <c r="K505" t="n">
        <v>0</v>
      </c>
      <c r="L505" t="n">
        <v>0</v>
      </c>
      <c r="M505" t="n">
        <v>0</v>
      </c>
      <c r="N505" t="n">
        <v>0</v>
      </c>
      <c r="O505" t="n">
        <v>0</v>
      </c>
      <c r="P505" t="n">
        <v>0</v>
      </c>
      <c r="Q505" t="n">
        <v>0</v>
      </c>
      <c r="R505" s="2" t="inlineStr"/>
    </row>
    <row r="506" ht="15" customHeight="1">
      <c r="A506" t="inlineStr">
        <is>
          <t>A 60843-2022</t>
        </is>
      </c>
      <c r="B506" s="1" t="n">
        <v>44914</v>
      </c>
      <c r="C506" s="1" t="n">
        <v>45907</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18623-2023</t>
        </is>
      </c>
      <c r="B507" s="1" t="n">
        <v>45043</v>
      </c>
      <c r="C507" s="1" t="n">
        <v>45907</v>
      </c>
      <c r="D507" t="inlineStr">
        <is>
          <t>SKÅNE LÄN</t>
        </is>
      </c>
      <c r="E507" t="inlineStr">
        <is>
          <t>HÄSSLEHOLM</t>
        </is>
      </c>
      <c r="G507" t="n">
        <v>3.2</v>
      </c>
      <c r="H507" t="n">
        <v>0</v>
      </c>
      <c r="I507" t="n">
        <v>0</v>
      </c>
      <c r="J507" t="n">
        <v>0</v>
      </c>
      <c r="K507" t="n">
        <v>0</v>
      </c>
      <c r="L507" t="n">
        <v>0</v>
      </c>
      <c r="M507" t="n">
        <v>0</v>
      </c>
      <c r="N507" t="n">
        <v>0</v>
      </c>
      <c r="O507" t="n">
        <v>0</v>
      </c>
      <c r="P507" t="n">
        <v>0</v>
      </c>
      <c r="Q507" t="n">
        <v>0</v>
      </c>
      <c r="R507" s="2" t="inlineStr"/>
    </row>
    <row r="508" ht="15" customHeight="1">
      <c r="A508" t="inlineStr">
        <is>
          <t>A 24047-2025</t>
        </is>
      </c>
      <c r="B508" s="1" t="n">
        <v>45796.49528935185</v>
      </c>
      <c r="C508" s="1" t="n">
        <v>45907</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61504-2022</t>
        </is>
      </c>
      <c r="B509" s="1" t="n">
        <v>44910</v>
      </c>
      <c r="C509" s="1" t="n">
        <v>45907</v>
      </c>
      <c r="D509" t="inlineStr">
        <is>
          <t>SKÅNE LÄN</t>
        </is>
      </c>
      <c r="E509" t="inlineStr">
        <is>
          <t>HÄSSLEHOLM</t>
        </is>
      </c>
      <c r="F509" t="inlineStr">
        <is>
          <t>Kyrkan</t>
        </is>
      </c>
      <c r="G509" t="n">
        <v>2.9</v>
      </c>
      <c r="H509" t="n">
        <v>0</v>
      </c>
      <c r="I509" t="n">
        <v>0</v>
      </c>
      <c r="J509" t="n">
        <v>0</v>
      </c>
      <c r="K509" t="n">
        <v>0</v>
      </c>
      <c r="L509" t="n">
        <v>0</v>
      </c>
      <c r="M509" t="n">
        <v>0</v>
      </c>
      <c r="N509" t="n">
        <v>0</v>
      </c>
      <c r="O509" t="n">
        <v>0</v>
      </c>
      <c r="P509" t="n">
        <v>0</v>
      </c>
      <c r="Q509" t="n">
        <v>0</v>
      </c>
      <c r="R509" s="2" t="inlineStr"/>
    </row>
    <row r="510" ht="15" customHeight="1">
      <c r="A510" t="inlineStr">
        <is>
          <t>A 24675-2025</t>
        </is>
      </c>
      <c r="B510" s="1" t="n">
        <v>45798.653125</v>
      </c>
      <c r="C510" s="1" t="n">
        <v>45907</v>
      </c>
      <c r="D510" t="inlineStr">
        <is>
          <t>SKÅNE LÄN</t>
        </is>
      </c>
      <c r="E510" t="inlineStr">
        <is>
          <t>HÄSSLEHOLM</t>
        </is>
      </c>
      <c r="G510" t="n">
        <v>1.8</v>
      </c>
      <c r="H510" t="n">
        <v>0</v>
      </c>
      <c r="I510" t="n">
        <v>0</v>
      </c>
      <c r="J510" t="n">
        <v>0</v>
      </c>
      <c r="K510" t="n">
        <v>0</v>
      </c>
      <c r="L510" t="n">
        <v>0</v>
      </c>
      <c r="M510" t="n">
        <v>0</v>
      </c>
      <c r="N510" t="n">
        <v>0</v>
      </c>
      <c r="O510" t="n">
        <v>0</v>
      </c>
      <c r="P510" t="n">
        <v>0</v>
      </c>
      <c r="Q510" t="n">
        <v>0</v>
      </c>
      <c r="R510" s="2" t="inlineStr"/>
    </row>
    <row r="511" ht="15" customHeight="1">
      <c r="A511" t="inlineStr">
        <is>
          <t>A 33873-2021</t>
        </is>
      </c>
      <c r="B511" s="1" t="n">
        <v>44378</v>
      </c>
      <c r="C511" s="1" t="n">
        <v>45907</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15053-2023</t>
        </is>
      </c>
      <c r="B512" s="1" t="n">
        <v>45015</v>
      </c>
      <c r="C512" s="1" t="n">
        <v>45907</v>
      </c>
      <c r="D512" t="inlineStr">
        <is>
          <t>SKÅNE LÄN</t>
        </is>
      </c>
      <c r="E512" t="inlineStr">
        <is>
          <t>HÄSSLEHOLM</t>
        </is>
      </c>
      <c r="G512" t="n">
        <v>1</v>
      </c>
      <c r="H512" t="n">
        <v>0</v>
      </c>
      <c r="I512" t="n">
        <v>0</v>
      </c>
      <c r="J512" t="n">
        <v>0</v>
      </c>
      <c r="K512" t="n">
        <v>0</v>
      </c>
      <c r="L512" t="n">
        <v>0</v>
      </c>
      <c r="M512" t="n">
        <v>0</v>
      </c>
      <c r="N512" t="n">
        <v>0</v>
      </c>
      <c r="O512" t="n">
        <v>0</v>
      </c>
      <c r="P512" t="n">
        <v>0</v>
      </c>
      <c r="Q512" t="n">
        <v>0</v>
      </c>
      <c r="R512" s="2" t="inlineStr"/>
    </row>
    <row r="513" ht="15" customHeight="1">
      <c r="A513" t="inlineStr">
        <is>
          <t>A 69109-2020</t>
        </is>
      </c>
      <c r="B513" s="1" t="n">
        <v>44188</v>
      </c>
      <c r="C513" s="1" t="n">
        <v>45907</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42735-2024</t>
        </is>
      </c>
      <c r="B514" s="1" t="n">
        <v>45566.47274305556</v>
      </c>
      <c r="C514" s="1" t="n">
        <v>45907</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19739-2023</t>
        </is>
      </c>
      <c r="B515" s="1" t="n">
        <v>45051</v>
      </c>
      <c r="C515" s="1" t="n">
        <v>45907</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55522-2024</t>
        </is>
      </c>
      <c r="B516" s="1" t="n">
        <v>45622</v>
      </c>
      <c r="C516" s="1" t="n">
        <v>45907</v>
      </c>
      <c r="D516" t="inlineStr">
        <is>
          <t>SKÅNE LÄN</t>
        </is>
      </c>
      <c r="E516" t="inlineStr">
        <is>
          <t>HÄSSLEHOLM</t>
        </is>
      </c>
      <c r="G516" t="n">
        <v>5.6</v>
      </c>
      <c r="H516" t="n">
        <v>0</v>
      </c>
      <c r="I516" t="n">
        <v>0</v>
      </c>
      <c r="J516" t="n">
        <v>0</v>
      </c>
      <c r="K516" t="n">
        <v>0</v>
      </c>
      <c r="L516" t="n">
        <v>0</v>
      </c>
      <c r="M516" t="n">
        <v>0</v>
      </c>
      <c r="N516" t="n">
        <v>0</v>
      </c>
      <c r="O516" t="n">
        <v>0</v>
      </c>
      <c r="P516" t="n">
        <v>0</v>
      </c>
      <c r="Q516" t="n">
        <v>0</v>
      </c>
      <c r="R516" s="2" t="inlineStr"/>
    </row>
    <row r="517" ht="15" customHeight="1">
      <c r="A517" t="inlineStr">
        <is>
          <t>A 52968-2022</t>
        </is>
      </c>
      <c r="B517" s="1" t="n">
        <v>44875</v>
      </c>
      <c r="C517" s="1" t="n">
        <v>45907</v>
      </c>
      <c r="D517" t="inlineStr">
        <is>
          <t>SKÅNE LÄN</t>
        </is>
      </c>
      <c r="E517" t="inlineStr">
        <is>
          <t>HÄSSLEHOLM</t>
        </is>
      </c>
      <c r="G517" t="n">
        <v>2.6</v>
      </c>
      <c r="H517" t="n">
        <v>0</v>
      </c>
      <c r="I517" t="n">
        <v>0</v>
      </c>
      <c r="J517" t="n">
        <v>0</v>
      </c>
      <c r="K517" t="n">
        <v>0</v>
      </c>
      <c r="L517" t="n">
        <v>0</v>
      </c>
      <c r="M517" t="n">
        <v>0</v>
      </c>
      <c r="N517" t="n">
        <v>0</v>
      </c>
      <c r="O517" t="n">
        <v>0</v>
      </c>
      <c r="P517" t="n">
        <v>0</v>
      </c>
      <c r="Q517" t="n">
        <v>0</v>
      </c>
      <c r="R517" s="2" t="inlineStr"/>
    </row>
    <row r="518" ht="15" customHeight="1">
      <c r="A518" t="inlineStr">
        <is>
          <t>A 9302-2025</t>
        </is>
      </c>
      <c r="B518" s="1" t="n">
        <v>45714.67233796296</v>
      </c>
      <c r="C518" s="1" t="n">
        <v>45907</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32826-2024</t>
        </is>
      </c>
      <c r="B519" s="1" t="n">
        <v>45516.59056712963</v>
      </c>
      <c r="C519" s="1" t="n">
        <v>45907</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47907-2021</t>
        </is>
      </c>
      <c r="B520" s="1" t="n">
        <v>44448</v>
      </c>
      <c r="C520" s="1" t="n">
        <v>45907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1197-2024</t>
        </is>
      </c>
      <c r="B521" s="1" t="n">
        <v>45302</v>
      </c>
      <c r="C521" s="1" t="n">
        <v>45907</v>
      </c>
      <c r="D521" t="inlineStr">
        <is>
          <t>SKÅNE LÄN</t>
        </is>
      </c>
      <c r="E521" t="inlineStr">
        <is>
          <t>HÄSSLEHOLM</t>
        </is>
      </c>
      <c r="G521" t="n">
        <v>1.7</v>
      </c>
      <c r="H521" t="n">
        <v>0</v>
      </c>
      <c r="I521" t="n">
        <v>0</v>
      </c>
      <c r="J521" t="n">
        <v>0</v>
      </c>
      <c r="K521" t="n">
        <v>0</v>
      </c>
      <c r="L521" t="n">
        <v>0</v>
      </c>
      <c r="M521" t="n">
        <v>0</v>
      </c>
      <c r="N521" t="n">
        <v>0</v>
      </c>
      <c r="O521" t="n">
        <v>0</v>
      </c>
      <c r="P521" t="n">
        <v>0</v>
      </c>
      <c r="Q521" t="n">
        <v>0</v>
      </c>
      <c r="R521" s="2" t="inlineStr"/>
    </row>
    <row r="522" ht="15" customHeight="1">
      <c r="A522" t="inlineStr">
        <is>
          <t>A 13712-2025</t>
        </is>
      </c>
      <c r="B522" s="1" t="n">
        <v>45737</v>
      </c>
      <c r="C522" s="1" t="n">
        <v>45907</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59763-2022</t>
        </is>
      </c>
      <c r="B523" s="1" t="n">
        <v>44900</v>
      </c>
      <c r="C523" s="1" t="n">
        <v>45907</v>
      </c>
      <c r="D523" t="inlineStr">
        <is>
          <t>SKÅNE LÄN</t>
        </is>
      </c>
      <c r="E523" t="inlineStr">
        <is>
          <t>HÄSSLEHOLM</t>
        </is>
      </c>
      <c r="F523" t="inlineStr">
        <is>
          <t>Övriga Aktiebolag</t>
        </is>
      </c>
      <c r="G523" t="n">
        <v>1.2</v>
      </c>
      <c r="H523" t="n">
        <v>0</v>
      </c>
      <c r="I523" t="n">
        <v>0</v>
      </c>
      <c r="J523" t="n">
        <v>0</v>
      </c>
      <c r="K523" t="n">
        <v>0</v>
      </c>
      <c r="L523" t="n">
        <v>0</v>
      </c>
      <c r="M523" t="n">
        <v>0</v>
      </c>
      <c r="N523" t="n">
        <v>0</v>
      </c>
      <c r="O523" t="n">
        <v>0</v>
      </c>
      <c r="P523" t="n">
        <v>0</v>
      </c>
      <c r="Q523" t="n">
        <v>0</v>
      </c>
      <c r="R523" s="2" t="inlineStr"/>
    </row>
    <row r="524" ht="15" customHeight="1">
      <c r="A524" t="inlineStr">
        <is>
          <t>A 3364-2023</t>
        </is>
      </c>
      <c r="B524" s="1" t="n">
        <v>44949</v>
      </c>
      <c r="C524" s="1" t="n">
        <v>45907</v>
      </c>
      <c r="D524" t="inlineStr">
        <is>
          <t>SKÅNE LÄN</t>
        </is>
      </c>
      <c r="E524" t="inlineStr">
        <is>
          <t>HÄSSLEHOLM</t>
        </is>
      </c>
      <c r="G524" t="n">
        <v>5.1</v>
      </c>
      <c r="H524" t="n">
        <v>0</v>
      </c>
      <c r="I524" t="n">
        <v>0</v>
      </c>
      <c r="J524" t="n">
        <v>0</v>
      </c>
      <c r="K524" t="n">
        <v>0</v>
      </c>
      <c r="L524" t="n">
        <v>0</v>
      </c>
      <c r="M524" t="n">
        <v>0</v>
      </c>
      <c r="N524" t="n">
        <v>0</v>
      </c>
      <c r="O524" t="n">
        <v>0</v>
      </c>
      <c r="P524" t="n">
        <v>0</v>
      </c>
      <c r="Q524" t="n">
        <v>0</v>
      </c>
      <c r="R524" s="2" t="inlineStr"/>
    </row>
    <row r="525" ht="15" customHeight="1">
      <c r="A525" t="inlineStr">
        <is>
          <t>A 49950-2023</t>
        </is>
      </c>
      <c r="B525" s="1" t="n">
        <v>45215</v>
      </c>
      <c r="C525" s="1" t="n">
        <v>45907</v>
      </c>
      <c r="D525" t="inlineStr">
        <is>
          <t>SKÅNE LÄN</t>
        </is>
      </c>
      <c r="E525" t="inlineStr">
        <is>
          <t>HÄSSLEHOLM</t>
        </is>
      </c>
      <c r="G525" t="n">
        <v>1</v>
      </c>
      <c r="H525" t="n">
        <v>0</v>
      </c>
      <c r="I525" t="n">
        <v>0</v>
      </c>
      <c r="J525" t="n">
        <v>0</v>
      </c>
      <c r="K525" t="n">
        <v>0</v>
      </c>
      <c r="L525" t="n">
        <v>0</v>
      </c>
      <c r="M525" t="n">
        <v>0</v>
      </c>
      <c r="N525" t="n">
        <v>0</v>
      </c>
      <c r="O525" t="n">
        <v>0</v>
      </c>
      <c r="P525" t="n">
        <v>0</v>
      </c>
      <c r="Q525" t="n">
        <v>0</v>
      </c>
      <c r="R525" s="2" t="inlineStr"/>
    </row>
    <row r="526" ht="15" customHeight="1">
      <c r="A526" t="inlineStr">
        <is>
          <t>A 41694-2024</t>
        </is>
      </c>
      <c r="B526" s="1" t="n">
        <v>45560.68341435185</v>
      </c>
      <c r="C526" s="1" t="n">
        <v>45907</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32512-2024</t>
        </is>
      </c>
      <c r="B527" s="1" t="n">
        <v>45513.45613425926</v>
      </c>
      <c r="C527" s="1" t="n">
        <v>45907</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52642-2021</t>
        </is>
      </c>
      <c r="B528" s="1" t="n">
        <v>44466.64298611111</v>
      </c>
      <c r="C528" s="1" t="n">
        <v>45907</v>
      </c>
      <c r="D528" t="inlineStr">
        <is>
          <t>SKÅNE LÄN</t>
        </is>
      </c>
      <c r="E528" t="inlineStr">
        <is>
          <t>HÄSSLEHOLM</t>
        </is>
      </c>
      <c r="G528" t="n">
        <v>3.7</v>
      </c>
      <c r="H528" t="n">
        <v>0</v>
      </c>
      <c r="I528" t="n">
        <v>0</v>
      </c>
      <c r="J528" t="n">
        <v>0</v>
      </c>
      <c r="K528" t="n">
        <v>0</v>
      </c>
      <c r="L528" t="n">
        <v>0</v>
      </c>
      <c r="M528" t="n">
        <v>0</v>
      </c>
      <c r="N528" t="n">
        <v>0</v>
      </c>
      <c r="O528" t="n">
        <v>0</v>
      </c>
      <c r="P528" t="n">
        <v>0</v>
      </c>
      <c r="Q528" t="n">
        <v>0</v>
      </c>
      <c r="R528" s="2" t="inlineStr"/>
    </row>
    <row r="529" ht="15" customHeight="1">
      <c r="A529" t="inlineStr">
        <is>
          <t>A 50046-2020</t>
        </is>
      </c>
      <c r="B529" s="1" t="n">
        <v>44109</v>
      </c>
      <c r="C529" s="1" t="n">
        <v>45907</v>
      </c>
      <c r="D529" t="inlineStr">
        <is>
          <t>SKÅNE LÄN</t>
        </is>
      </c>
      <c r="E529" t="inlineStr">
        <is>
          <t>HÄSSLEHOLM</t>
        </is>
      </c>
      <c r="G529" t="n">
        <v>1.2</v>
      </c>
      <c r="H529" t="n">
        <v>0</v>
      </c>
      <c r="I529" t="n">
        <v>0</v>
      </c>
      <c r="J529" t="n">
        <v>0</v>
      </c>
      <c r="K529" t="n">
        <v>0</v>
      </c>
      <c r="L529" t="n">
        <v>0</v>
      </c>
      <c r="M529" t="n">
        <v>0</v>
      </c>
      <c r="N529" t="n">
        <v>0</v>
      </c>
      <c r="O529" t="n">
        <v>0</v>
      </c>
      <c r="P529" t="n">
        <v>0</v>
      </c>
      <c r="Q529" t="n">
        <v>0</v>
      </c>
      <c r="R529" s="2" t="inlineStr"/>
    </row>
    <row r="530" ht="15" customHeight="1">
      <c r="A530" t="inlineStr">
        <is>
          <t>A 36795-2023</t>
        </is>
      </c>
      <c r="B530" s="1" t="n">
        <v>45154.38245370371</v>
      </c>
      <c r="C530" s="1" t="n">
        <v>45907</v>
      </c>
      <c r="D530" t="inlineStr">
        <is>
          <t>SKÅNE LÄN</t>
        </is>
      </c>
      <c r="E530" t="inlineStr">
        <is>
          <t>HÄSSLEHOLM</t>
        </is>
      </c>
      <c r="G530" t="n">
        <v>0.9</v>
      </c>
      <c r="H530" t="n">
        <v>0</v>
      </c>
      <c r="I530" t="n">
        <v>0</v>
      </c>
      <c r="J530" t="n">
        <v>0</v>
      </c>
      <c r="K530" t="n">
        <v>0</v>
      </c>
      <c r="L530" t="n">
        <v>0</v>
      </c>
      <c r="M530" t="n">
        <v>0</v>
      </c>
      <c r="N530" t="n">
        <v>0</v>
      </c>
      <c r="O530" t="n">
        <v>0</v>
      </c>
      <c r="P530" t="n">
        <v>0</v>
      </c>
      <c r="Q530" t="n">
        <v>0</v>
      </c>
      <c r="R530" s="2" t="inlineStr"/>
    </row>
    <row r="531" ht="15" customHeight="1">
      <c r="A531" t="inlineStr">
        <is>
          <t>A 46942-2024</t>
        </is>
      </c>
      <c r="B531" s="1" t="n">
        <v>45585.6684375</v>
      </c>
      <c r="C531" s="1" t="n">
        <v>45907</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15562-2024</t>
        </is>
      </c>
      <c r="B532" s="1" t="n">
        <v>45401.64975694445</v>
      </c>
      <c r="C532" s="1" t="n">
        <v>45907</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24985-2025</t>
        </is>
      </c>
      <c r="B533" s="1" t="n">
        <v>45799.60256944445</v>
      </c>
      <c r="C533" s="1" t="n">
        <v>45907</v>
      </c>
      <c r="D533" t="inlineStr">
        <is>
          <t>SKÅNE LÄN</t>
        </is>
      </c>
      <c r="E533" t="inlineStr">
        <is>
          <t>HÄSSLEHOLM</t>
        </is>
      </c>
      <c r="G533" t="n">
        <v>2.3</v>
      </c>
      <c r="H533" t="n">
        <v>0</v>
      </c>
      <c r="I533" t="n">
        <v>0</v>
      </c>
      <c r="J533" t="n">
        <v>0</v>
      </c>
      <c r="K533" t="n">
        <v>0</v>
      </c>
      <c r="L533" t="n">
        <v>0</v>
      </c>
      <c r="M533" t="n">
        <v>0</v>
      </c>
      <c r="N533" t="n">
        <v>0</v>
      </c>
      <c r="O533" t="n">
        <v>0</v>
      </c>
      <c r="P533" t="n">
        <v>0</v>
      </c>
      <c r="Q533" t="n">
        <v>0</v>
      </c>
      <c r="R533" s="2" t="inlineStr"/>
    </row>
    <row r="534" ht="15" customHeight="1">
      <c r="A534" t="inlineStr">
        <is>
          <t>A 10562-2025</t>
        </is>
      </c>
      <c r="B534" s="1" t="n">
        <v>45721.52913194444</v>
      </c>
      <c r="C534" s="1" t="n">
        <v>45907</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43696-2024</t>
        </is>
      </c>
      <c r="B535" s="1" t="n">
        <v>45569.58855324074</v>
      </c>
      <c r="C535" s="1" t="n">
        <v>45907</v>
      </c>
      <c r="D535" t="inlineStr">
        <is>
          <t>SKÅNE LÄN</t>
        </is>
      </c>
      <c r="E535" t="inlineStr">
        <is>
          <t>HÄSSLEHOLM</t>
        </is>
      </c>
      <c r="G535" t="n">
        <v>2.9</v>
      </c>
      <c r="H535" t="n">
        <v>0</v>
      </c>
      <c r="I535" t="n">
        <v>0</v>
      </c>
      <c r="J535" t="n">
        <v>0</v>
      </c>
      <c r="K535" t="n">
        <v>0</v>
      </c>
      <c r="L535" t="n">
        <v>0</v>
      </c>
      <c r="M535" t="n">
        <v>0</v>
      </c>
      <c r="N535" t="n">
        <v>0</v>
      </c>
      <c r="O535" t="n">
        <v>0</v>
      </c>
      <c r="P535" t="n">
        <v>0</v>
      </c>
      <c r="Q535" t="n">
        <v>0</v>
      </c>
      <c r="R535" s="2" t="inlineStr"/>
    </row>
    <row r="536" ht="15" customHeight="1">
      <c r="A536" t="inlineStr">
        <is>
          <t>A 36706-2022</t>
        </is>
      </c>
      <c r="B536" s="1" t="n">
        <v>44805.32891203704</v>
      </c>
      <c r="C536" s="1" t="n">
        <v>45907</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22594-2024</t>
        </is>
      </c>
      <c r="B537" s="1" t="n">
        <v>45447.60892361111</v>
      </c>
      <c r="C537" s="1" t="n">
        <v>45907</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26403-2024</t>
        </is>
      </c>
      <c r="B538" s="1" t="n">
        <v>45469.44505787037</v>
      </c>
      <c r="C538" s="1" t="n">
        <v>45907</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24776-2025</t>
        </is>
      </c>
      <c r="B539" s="1" t="n">
        <v>45799.40640046296</v>
      </c>
      <c r="C539" s="1" t="n">
        <v>45907</v>
      </c>
      <c r="D539" t="inlineStr">
        <is>
          <t>SKÅNE LÄN</t>
        </is>
      </c>
      <c r="E539" t="inlineStr">
        <is>
          <t>HÄSSLEHOLM</t>
        </is>
      </c>
      <c r="G539" t="n">
        <v>5.4</v>
      </c>
      <c r="H539" t="n">
        <v>0</v>
      </c>
      <c r="I539" t="n">
        <v>0</v>
      </c>
      <c r="J539" t="n">
        <v>0</v>
      </c>
      <c r="K539" t="n">
        <v>0</v>
      </c>
      <c r="L539" t="n">
        <v>0</v>
      </c>
      <c r="M539" t="n">
        <v>0</v>
      </c>
      <c r="N539" t="n">
        <v>0</v>
      </c>
      <c r="O539" t="n">
        <v>0</v>
      </c>
      <c r="P539" t="n">
        <v>0</v>
      </c>
      <c r="Q539" t="n">
        <v>0</v>
      </c>
      <c r="R539" s="2" t="inlineStr"/>
    </row>
    <row r="540" ht="15" customHeight="1">
      <c r="A540" t="inlineStr">
        <is>
          <t>A 28071-2023</t>
        </is>
      </c>
      <c r="B540" s="1" t="n">
        <v>45099.37755787037</v>
      </c>
      <c r="C540" s="1" t="n">
        <v>45907</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25213-2023</t>
        </is>
      </c>
      <c r="B541" s="1" t="n">
        <v>45086.60010416667</v>
      </c>
      <c r="C541" s="1" t="n">
        <v>45907</v>
      </c>
      <c r="D541" t="inlineStr">
        <is>
          <t>SKÅNE LÄN</t>
        </is>
      </c>
      <c r="E541" t="inlineStr">
        <is>
          <t>HÄSSLEHOLM</t>
        </is>
      </c>
      <c r="G541" t="n">
        <v>7.2</v>
      </c>
      <c r="H541" t="n">
        <v>0</v>
      </c>
      <c r="I541" t="n">
        <v>0</v>
      </c>
      <c r="J541" t="n">
        <v>0</v>
      </c>
      <c r="K541" t="n">
        <v>0</v>
      </c>
      <c r="L541" t="n">
        <v>0</v>
      </c>
      <c r="M541" t="n">
        <v>0</v>
      </c>
      <c r="N541" t="n">
        <v>0</v>
      </c>
      <c r="O541" t="n">
        <v>0</v>
      </c>
      <c r="P541" t="n">
        <v>0</v>
      </c>
      <c r="Q541" t="n">
        <v>0</v>
      </c>
      <c r="R541" s="2" t="inlineStr"/>
    </row>
    <row r="542" ht="15" customHeight="1">
      <c r="A542" t="inlineStr">
        <is>
          <t>A 18648-2021</t>
        </is>
      </c>
      <c r="B542" s="1" t="n">
        <v>44306.70583333333</v>
      </c>
      <c r="C542" s="1" t="n">
        <v>45907</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24658-2025</t>
        </is>
      </c>
      <c r="B543" s="1" t="n">
        <v>45798.64134259259</v>
      </c>
      <c r="C543" s="1" t="n">
        <v>45907</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23946-2023</t>
        </is>
      </c>
      <c r="B544" s="1" t="n">
        <v>45078.61601851852</v>
      </c>
      <c r="C544" s="1" t="n">
        <v>45907</v>
      </c>
      <c r="D544" t="inlineStr">
        <is>
          <t>SKÅNE LÄN</t>
        </is>
      </c>
      <c r="E544" t="inlineStr">
        <is>
          <t>HÄSSLEHOLM</t>
        </is>
      </c>
      <c r="G544" t="n">
        <v>0.2</v>
      </c>
      <c r="H544" t="n">
        <v>0</v>
      </c>
      <c r="I544" t="n">
        <v>0</v>
      </c>
      <c r="J544" t="n">
        <v>0</v>
      </c>
      <c r="K544" t="n">
        <v>0</v>
      </c>
      <c r="L544" t="n">
        <v>0</v>
      </c>
      <c r="M544" t="n">
        <v>0</v>
      </c>
      <c r="N544" t="n">
        <v>0</v>
      </c>
      <c r="O544" t="n">
        <v>0</v>
      </c>
      <c r="P544" t="n">
        <v>0</v>
      </c>
      <c r="Q544" t="n">
        <v>0</v>
      </c>
      <c r="R544" s="2" t="inlineStr"/>
    </row>
    <row r="545" ht="15" customHeight="1">
      <c r="A545" t="inlineStr">
        <is>
          <t>A 41459-2022</t>
        </is>
      </c>
      <c r="B545" s="1" t="n">
        <v>44826.93372685185</v>
      </c>
      <c r="C545" s="1" t="n">
        <v>45907</v>
      </c>
      <c r="D545" t="inlineStr">
        <is>
          <t>SKÅNE LÄN</t>
        </is>
      </c>
      <c r="E545" t="inlineStr">
        <is>
          <t>HÄSSLEHOLM</t>
        </is>
      </c>
      <c r="G545" t="n">
        <v>2.3</v>
      </c>
      <c r="H545" t="n">
        <v>0</v>
      </c>
      <c r="I545" t="n">
        <v>0</v>
      </c>
      <c r="J545" t="n">
        <v>0</v>
      </c>
      <c r="K545" t="n">
        <v>0</v>
      </c>
      <c r="L545" t="n">
        <v>0</v>
      </c>
      <c r="M545" t="n">
        <v>0</v>
      </c>
      <c r="N545" t="n">
        <v>0</v>
      </c>
      <c r="O545" t="n">
        <v>0</v>
      </c>
      <c r="P545" t="n">
        <v>0</v>
      </c>
      <c r="Q545" t="n">
        <v>0</v>
      </c>
      <c r="R545" s="2" t="inlineStr"/>
    </row>
    <row r="546" ht="15" customHeight="1">
      <c r="A546" t="inlineStr">
        <is>
          <t>A 18063-2023</t>
        </is>
      </c>
      <c r="B546" s="1" t="n">
        <v>45040.62850694444</v>
      </c>
      <c r="C546" s="1" t="n">
        <v>45907</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25372-2025</t>
        </is>
      </c>
      <c r="B547" s="1" t="n">
        <v>45799</v>
      </c>
      <c r="C547" s="1" t="n">
        <v>45907</v>
      </c>
      <c r="D547" t="inlineStr">
        <is>
          <t>SKÅNE LÄN</t>
        </is>
      </c>
      <c r="E547" t="inlineStr">
        <is>
          <t>HÄSSLEHOLM</t>
        </is>
      </c>
      <c r="G547" t="n">
        <v>3.1</v>
      </c>
      <c r="H547" t="n">
        <v>0</v>
      </c>
      <c r="I547" t="n">
        <v>0</v>
      </c>
      <c r="J547" t="n">
        <v>0</v>
      </c>
      <c r="K547" t="n">
        <v>0</v>
      </c>
      <c r="L547" t="n">
        <v>0</v>
      </c>
      <c r="M547" t="n">
        <v>0</v>
      </c>
      <c r="N547" t="n">
        <v>0</v>
      </c>
      <c r="O547" t="n">
        <v>0</v>
      </c>
      <c r="P547" t="n">
        <v>0</v>
      </c>
      <c r="Q547" t="n">
        <v>0</v>
      </c>
      <c r="R547" s="2" t="inlineStr"/>
    </row>
    <row r="548" ht="15" customHeight="1">
      <c r="A548" t="inlineStr">
        <is>
          <t>A 9399-2025</t>
        </is>
      </c>
      <c r="B548" s="1" t="n">
        <v>45715.37861111111</v>
      </c>
      <c r="C548" s="1" t="n">
        <v>45907</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61524-2022</t>
        </is>
      </c>
      <c r="B549" s="1" t="n">
        <v>44910</v>
      </c>
      <c r="C549" s="1" t="n">
        <v>45907</v>
      </c>
      <c r="D549" t="inlineStr">
        <is>
          <t>SKÅNE LÄN</t>
        </is>
      </c>
      <c r="E549" t="inlineStr">
        <is>
          <t>HÄSSLEHOLM</t>
        </is>
      </c>
      <c r="F549" t="inlineStr">
        <is>
          <t>Kyrkan</t>
        </is>
      </c>
      <c r="G549" t="n">
        <v>2.1</v>
      </c>
      <c r="H549" t="n">
        <v>0</v>
      </c>
      <c r="I549" t="n">
        <v>0</v>
      </c>
      <c r="J549" t="n">
        <v>0</v>
      </c>
      <c r="K549" t="n">
        <v>0</v>
      </c>
      <c r="L549" t="n">
        <v>0</v>
      </c>
      <c r="M549" t="n">
        <v>0</v>
      </c>
      <c r="N549" t="n">
        <v>0</v>
      </c>
      <c r="O549" t="n">
        <v>0</v>
      </c>
      <c r="P549" t="n">
        <v>0</v>
      </c>
      <c r="Q549" t="n">
        <v>0</v>
      </c>
      <c r="R549" s="2" t="inlineStr"/>
    </row>
    <row r="550" ht="15" customHeight="1">
      <c r="A550" t="inlineStr">
        <is>
          <t>A 61578-2023</t>
        </is>
      </c>
      <c r="B550" s="1" t="n">
        <v>45265.47399305556</v>
      </c>
      <c r="C550" s="1" t="n">
        <v>45907</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9668-2025</t>
        </is>
      </c>
      <c r="B551" s="1" t="n">
        <v>45716.3278587963</v>
      </c>
      <c r="C551" s="1" t="n">
        <v>45907</v>
      </c>
      <c r="D551" t="inlineStr">
        <is>
          <t>SKÅNE LÄN</t>
        </is>
      </c>
      <c r="E551" t="inlineStr">
        <is>
          <t>HÄSSLEHOLM</t>
        </is>
      </c>
      <c r="G551" t="n">
        <v>1.2</v>
      </c>
      <c r="H551" t="n">
        <v>0</v>
      </c>
      <c r="I551" t="n">
        <v>0</v>
      </c>
      <c r="J551" t="n">
        <v>0</v>
      </c>
      <c r="K551" t="n">
        <v>0</v>
      </c>
      <c r="L551" t="n">
        <v>0</v>
      </c>
      <c r="M551" t="n">
        <v>0</v>
      </c>
      <c r="N551" t="n">
        <v>0</v>
      </c>
      <c r="O551" t="n">
        <v>0</v>
      </c>
      <c r="P551" t="n">
        <v>0</v>
      </c>
      <c r="Q551" t="n">
        <v>0</v>
      </c>
      <c r="R551" s="2" t="inlineStr"/>
    </row>
    <row r="552" ht="15" customHeight="1">
      <c r="A552" t="inlineStr">
        <is>
          <t>A 259-2024</t>
        </is>
      </c>
      <c r="B552" s="1" t="n">
        <v>45294</v>
      </c>
      <c r="C552" s="1" t="n">
        <v>45907</v>
      </c>
      <c r="D552" t="inlineStr">
        <is>
          <t>SKÅNE LÄN</t>
        </is>
      </c>
      <c r="E552" t="inlineStr">
        <is>
          <t>HÄSSLEHOLM</t>
        </is>
      </c>
      <c r="G552" t="n">
        <v>8</v>
      </c>
      <c r="H552" t="n">
        <v>0</v>
      </c>
      <c r="I552" t="n">
        <v>0</v>
      </c>
      <c r="J552" t="n">
        <v>0</v>
      </c>
      <c r="K552" t="n">
        <v>0</v>
      </c>
      <c r="L552" t="n">
        <v>0</v>
      </c>
      <c r="M552" t="n">
        <v>0</v>
      </c>
      <c r="N552" t="n">
        <v>0</v>
      </c>
      <c r="O552" t="n">
        <v>0</v>
      </c>
      <c r="P552" t="n">
        <v>0</v>
      </c>
      <c r="Q552" t="n">
        <v>0</v>
      </c>
      <c r="R552" s="2" t="inlineStr"/>
    </row>
    <row r="553" ht="15" customHeight="1">
      <c r="A553" t="inlineStr">
        <is>
          <t>A 25542-2024</t>
        </is>
      </c>
      <c r="B553" s="1" t="n">
        <v>45463</v>
      </c>
      <c r="C553" s="1" t="n">
        <v>45907</v>
      </c>
      <c r="D553" t="inlineStr">
        <is>
          <t>SKÅNE LÄN</t>
        </is>
      </c>
      <c r="E553" t="inlineStr">
        <is>
          <t>HÄSSLEHOLM</t>
        </is>
      </c>
      <c r="G553" t="n">
        <v>6.9</v>
      </c>
      <c r="H553" t="n">
        <v>0</v>
      </c>
      <c r="I553" t="n">
        <v>0</v>
      </c>
      <c r="J553" t="n">
        <v>0</v>
      </c>
      <c r="K553" t="n">
        <v>0</v>
      </c>
      <c r="L553" t="n">
        <v>0</v>
      </c>
      <c r="M553" t="n">
        <v>0</v>
      </c>
      <c r="N553" t="n">
        <v>0</v>
      </c>
      <c r="O553" t="n">
        <v>0</v>
      </c>
      <c r="P553" t="n">
        <v>0</v>
      </c>
      <c r="Q553" t="n">
        <v>0</v>
      </c>
      <c r="R553" s="2" t="inlineStr"/>
    </row>
    <row r="554" ht="15" customHeight="1">
      <c r="A554" t="inlineStr">
        <is>
          <t>A 29659-2024</t>
        </is>
      </c>
      <c r="B554" s="1" t="n">
        <v>45484.92587962963</v>
      </c>
      <c r="C554" s="1" t="n">
        <v>45907</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27837-2024</t>
        </is>
      </c>
      <c r="B555" s="1" t="n">
        <v>45475</v>
      </c>
      <c r="C555" s="1" t="n">
        <v>45907</v>
      </c>
      <c r="D555" t="inlineStr">
        <is>
          <t>SKÅNE LÄN</t>
        </is>
      </c>
      <c r="E555" t="inlineStr">
        <is>
          <t>HÄSSLEHOLM</t>
        </is>
      </c>
      <c r="F555" t="inlineStr">
        <is>
          <t>Kommuner</t>
        </is>
      </c>
      <c r="G555" t="n">
        <v>2.3</v>
      </c>
      <c r="H555" t="n">
        <v>0</v>
      </c>
      <c r="I555" t="n">
        <v>0</v>
      </c>
      <c r="J555" t="n">
        <v>0</v>
      </c>
      <c r="K555" t="n">
        <v>0</v>
      </c>
      <c r="L555" t="n">
        <v>0</v>
      </c>
      <c r="M555" t="n">
        <v>0</v>
      </c>
      <c r="N555" t="n">
        <v>0</v>
      </c>
      <c r="O555" t="n">
        <v>0</v>
      </c>
      <c r="P555" t="n">
        <v>0</v>
      </c>
      <c r="Q555" t="n">
        <v>0</v>
      </c>
      <c r="R555" s="2" t="inlineStr"/>
    </row>
    <row r="556" ht="15" customHeight="1">
      <c r="A556" t="inlineStr">
        <is>
          <t>A 1679-2022</t>
        </is>
      </c>
      <c r="B556" s="1" t="n">
        <v>44573</v>
      </c>
      <c r="C556" s="1" t="n">
        <v>45907</v>
      </c>
      <c r="D556" t="inlineStr">
        <is>
          <t>SKÅNE LÄN</t>
        </is>
      </c>
      <c r="E556" t="inlineStr">
        <is>
          <t>HÄSSLEHOLM</t>
        </is>
      </c>
      <c r="F556" t="inlineStr">
        <is>
          <t>Kyrkan</t>
        </is>
      </c>
      <c r="G556" t="n">
        <v>4.3</v>
      </c>
      <c r="H556" t="n">
        <v>0</v>
      </c>
      <c r="I556" t="n">
        <v>0</v>
      </c>
      <c r="J556" t="n">
        <v>0</v>
      </c>
      <c r="K556" t="n">
        <v>0</v>
      </c>
      <c r="L556" t="n">
        <v>0</v>
      </c>
      <c r="M556" t="n">
        <v>0</v>
      </c>
      <c r="N556" t="n">
        <v>0</v>
      </c>
      <c r="O556" t="n">
        <v>0</v>
      </c>
      <c r="P556" t="n">
        <v>0</v>
      </c>
      <c r="Q556" t="n">
        <v>0</v>
      </c>
      <c r="R556" s="2" t="inlineStr"/>
    </row>
    <row r="557" ht="15" customHeight="1">
      <c r="A557" t="inlineStr">
        <is>
          <t>A 49865-2020</t>
        </is>
      </c>
      <c r="B557" s="1" t="n">
        <v>44107</v>
      </c>
      <c r="C557" s="1" t="n">
        <v>45907</v>
      </c>
      <c r="D557" t="inlineStr">
        <is>
          <t>SKÅNE LÄN</t>
        </is>
      </c>
      <c r="E557" t="inlineStr">
        <is>
          <t>HÄSSLEHOLM</t>
        </is>
      </c>
      <c r="G557" t="n">
        <v>1.4</v>
      </c>
      <c r="H557" t="n">
        <v>0</v>
      </c>
      <c r="I557" t="n">
        <v>0</v>
      </c>
      <c r="J557" t="n">
        <v>0</v>
      </c>
      <c r="K557" t="n">
        <v>0</v>
      </c>
      <c r="L557" t="n">
        <v>0</v>
      </c>
      <c r="M557" t="n">
        <v>0</v>
      </c>
      <c r="N557" t="n">
        <v>0</v>
      </c>
      <c r="O557" t="n">
        <v>0</v>
      </c>
      <c r="P557" t="n">
        <v>0</v>
      </c>
      <c r="Q557" t="n">
        <v>0</v>
      </c>
      <c r="R557" s="2" t="inlineStr"/>
    </row>
    <row r="558" ht="15" customHeight="1">
      <c r="A558" t="inlineStr">
        <is>
          <t>A 42370-2023</t>
        </is>
      </c>
      <c r="B558" s="1" t="n">
        <v>45180</v>
      </c>
      <c r="C558" s="1" t="n">
        <v>45907</v>
      </c>
      <c r="D558" t="inlineStr">
        <is>
          <t>SKÅNE LÄN</t>
        </is>
      </c>
      <c r="E558" t="inlineStr">
        <is>
          <t>HÄSSLEHOLM</t>
        </is>
      </c>
      <c r="G558" t="n">
        <v>2.6</v>
      </c>
      <c r="H558" t="n">
        <v>0</v>
      </c>
      <c r="I558" t="n">
        <v>0</v>
      </c>
      <c r="J558" t="n">
        <v>0</v>
      </c>
      <c r="K558" t="n">
        <v>0</v>
      </c>
      <c r="L558" t="n">
        <v>0</v>
      </c>
      <c r="M558" t="n">
        <v>0</v>
      </c>
      <c r="N558" t="n">
        <v>0</v>
      </c>
      <c r="O558" t="n">
        <v>0</v>
      </c>
      <c r="P558" t="n">
        <v>0</v>
      </c>
      <c r="Q558" t="n">
        <v>0</v>
      </c>
      <c r="R558" s="2" t="inlineStr"/>
    </row>
    <row r="559" ht="15" customHeight="1">
      <c r="A559" t="inlineStr">
        <is>
          <t>A 51565-2023</t>
        </is>
      </c>
      <c r="B559" s="1" t="n">
        <v>45222</v>
      </c>
      <c r="C559" s="1" t="n">
        <v>45907</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11422-2025</t>
        </is>
      </c>
      <c r="B560" s="1" t="n">
        <v>45726</v>
      </c>
      <c r="C560" s="1" t="n">
        <v>45907</v>
      </c>
      <c r="D560" t="inlineStr">
        <is>
          <t>SKÅNE LÄN</t>
        </is>
      </c>
      <c r="E560" t="inlineStr">
        <is>
          <t>HÄSSLEHOLM</t>
        </is>
      </c>
      <c r="G560" t="n">
        <v>14.9</v>
      </c>
      <c r="H560" t="n">
        <v>0</v>
      </c>
      <c r="I560" t="n">
        <v>0</v>
      </c>
      <c r="J560" t="n">
        <v>0</v>
      </c>
      <c r="K560" t="n">
        <v>0</v>
      </c>
      <c r="L560" t="n">
        <v>0</v>
      </c>
      <c r="M560" t="n">
        <v>0</v>
      </c>
      <c r="N560" t="n">
        <v>0</v>
      </c>
      <c r="O560" t="n">
        <v>0</v>
      </c>
      <c r="P560" t="n">
        <v>0</v>
      </c>
      <c r="Q560" t="n">
        <v>0</v>
      </c>
      <c r="R560" s="2" t="inlineStr"/>
    </row>
    <row r="561" ht="15" customHeight="1">
      <c r="A561" t="inlineStr">
        <is>
          <t>A 7604-2024</t>
        </is>
      </c>
      <c r="B561" s="1" t="n">
        <v>45348</v>
      </c>
      <c r="C561" s="1" t="n">
        <v>45907</v>
      </c>
      <c r="D561" t="inlineStr">
        <is>
          <t>SKÅNE LÄN</t>
        </is>
      </c>
      <c r="E561" t="inlineStr">
        <is>
          <t>HÄSSLEHOLM</t>
        </is>
      </c>
      <c r="G561" t="n">
        <v>11.1</v>
      </c>
      <c r="H561" t="n">
        <v>0</v>
      </c>
      <c r="I561" t="n">
        <v>0</v>
      </c>
      <c r="J561" t="n">
        <v>0</v>
      </c>
      <c r="K561" t="n">
        <v>0</v>
      </c>
      <c r="L561" t="n">
        <v>0</v>
      </c>
      <c r="M561" t="n">
        <v>0</v>
      </c>
      <c r="N561" t="n">
        <v>0</v>
      </c>
      <c r="O561" t="n">
        <v>0</v>
      </c>
      <c r="P561" t="n">
        <v>0</v>
      </c>
      <c r="Q561" t="n">
        <v>0</v>
      </c>
      <c r="R561" s="2" t="inlineStr"/>
    </row>
    <row r="562" ht="15" customHeight="1">
      <c r="A562" t="inlineStr">
        <is>
          <t>A 25615-2025</t>
        </is>
      </c>
      <c r="B562" s="1" t="n">
        <v>45803</v>
      </c>
      <c r="C562" s="1" t="n">
        <v>45907</v>
      </c>
      <c r="D562" t="inlineStr">
        <is>
          <t>SKÅNE LÄN</t>
        </is>
      </c>
      <c r="E562" t="inlineStr">
        <is>
          <t>HÄSSLEHOLM</t>
        </is>
      </c>
      <c r="G562" t="n">
        <v>2.6</v>
      </c>
      <c r="H562" t="n">
        <v>0</v>
      </c>
      <c r="I562" t="n">
        <v>0</v>
      </c>
      <c r="J562" t="n">
        <v>0</v>
      </c>
      <c r="K562" t="n">
        <v>0</v>
      </c>
      <c r="L562" t="n">
        <v>0</v>
      </c>
      <c r="M562" t="n">
        <v>0</v>
      </c>
      <c r="N562" t="n">
        <v>0</v>
      </c>
      <c r="O562" t="n">
        <v>0</v>
      </c>
      <c r="P562" t="n">
        <v>0</v>
      </c>
      <c r="Q562" t="n">
        <v>0</v>
      </c>
      <c r="R562" s="2" t="inlineStr"/>
    </row>
    <row r="563" ht="15" customHeight="1">
      <c r="A563" t="inlineStr">
        <is>
          <t>A 29847-2024</t>
        </is>
      </c>
      <c r="B563" s="1" t="n">
        <v>45485.6278587963</v>
      </c>
      <c r="C563" s="1" t="n">
        <v>45907</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29853-2024</t>
        </is>
      </c>
      <c r="B564" s="1" t="n">
        <v>45485.65844907407</v>
      </c>
      <c r="C564" s="1" t="n">
        <v>45907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29287-2023</t>
        </is>
      </c>
      <c r="B565" s="1" t="n">
        <v>45098</v>
      </c>
      <c r="C565" s="1" t="n">
        <v>45907</v>
      </c>
      <c r="D565" t="inlineStr">
        <is>
          <t>SKÅNE LÄN</t>
        </is>
      </c>
      <c r="E565" t="inlineStr">
        <is>
          <t>HÄSSLEHOLM</t>
        </is>
      </c>
      <c r="G565" t="n">
        <v>5.7</v>
      </c>
      <c r="H565" t="n">
        <v>0</v>
      </c>
      <c r="I565" t="n">
        <v>0</v>
      </c>
      <c r="J565" t="n">
        <v>0</v>
      </c>
      <c r="K565" t="n">
        <v>0</v>
      </c>
      <c r="L565" t="n">
        <v>0</v>
      </c>
      <c r="M565" t="n">
        <v>0</v>
      </c>
      <c r="N565" t="n">
        <v>0</v>
      </c>
      <c r="O565" t="n">
        <v>0</v>
      </c>
      <c r="P565" t="n">
        <v>0</v>
      </c>
      <c r="Q565" t="n">
        <v>0</v>
      </c>
      <c r="R565" s="2" t="inlineStr"/>
    </row>
    <row r="566" ht="15" customHeight="1">
      <c r="A566" t="inlineStr">
        <is>
          <t>A 5992-2022</t>
        </is>
      </c>
      <c r="B566" s="1" t="n">
        <v>44599</v>
      </c>
      <c r="C566" s="1" t="n">
        <v>45907</v>
      </c>
      <c r="D566" t="inlineStr">
        <is>
          <t>SKÅNE LÄN</t>
        </is>
      </c>
      <c r="E566" t="inlineStr">
        <is>
          <t>HÄSSLEHOLM</t>
        </is>
      </c>
      <c r="G566" t="n">
        <v>1</v>
      </c>
      <c r="H566" t="n">
        <v>0</v>
      </c>
      <c r="I566" t="n">
        <v>0</v>
      </c>
      <c r="J566" t="n">
        <v>0</v>
      </c>
      <c r="K566" t="n">
        <v>0</v>
      </c>
      <c r="L566" t="n">
        <v>0</v>
      </c>
      <c r="M566" t="n">
        <v>0</v>
      </c>
      <c r="N566" t="n">
        <v>0</v>
      </c>
      <c r="O566" t="n">
        <v>0</v>
      </c>
      <c r="P566" t="n">
        <v>0</v>
      </c>
      <c r="Q566" t="n">
        <v>0</v>
      </c>
      <c r="R566" s="2" t="inlineStr"/>
    </row>
    <row r="567" ht="15" customHeight="1">
      <c r="A567" t="inlineStr">
        <is>
          <t>A 11412-2025</t>
        </is>
      </c>
      <c r="B567" s="1" t="n">
        <v>45726</v>
      </c>
      <c r="C567" s="1" t="n">
        <v>45907</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25324-2024</t>
        </is>
      </c>
      <c r="B568" s="1" t="n">
        <v>45462.804375</v>
      </c>
      <c r="C568" s="1" t="n">
        <v>45907</v>
      </c>
      <c r="D568" t="inlineStr">
        <is>
          <t>SKÅNE LÄN</t>
        </is>
      </c>
      <c r="E568" t="inlineStr">
        <is>
          <t>HÄSSLEHOLM</t>
        </is>
      </c>
      <c r="G568" t="n">
        <v>0.2</v>
      </c>
      <c r="H568" t="n">
        <v>0</v>
      </c>
      <c r="I568" t="n">
        <v>0</v>
      </c>
      <c r="J568" t="n">
        <v>0</v>
      </c>
      <c r="K568" t="n">
        <v>0</v>
      </c>
      <c r="L568" t="n">
        <v>0</v>
      </c>
      <c r="M568" t="n">
        <v>0</v>
      </c>
      <c r="N568" t="n">
        <v>0</v>
      </c>
      <c r="O568" t="n">
        <v>0</v>
      </c>
      <c r="P568" t="n">
        <v>0</v>
      </c>
      <c r="Q568" t="n">
        <v>0</v>
      </c>
      <c r="R568" s="2" t="inlineStr"/>
    </row>
    <row r="569" ht="15" customHeight="1">
      <c r="A569" t="inlineStr">
        <is>
          <t>A 8803-2023</t>
        </is>
      </c>
      <c r="B569" s="1" t="n">
        <v>44978.61712962963</v>
      </c>
      <c r="C569" s="1" t="n">
        <v>45907</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25430-2025</t>
        </is>
      </c>
      <c r="B570" s="1" t="n">
        <v>45800.78212962963</v>
      </c>
      <c r="C570" s="1" t="n">
        <v>45907</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9678-2025</t>
        </is>
      </c>
      <c r="B571" s="1" t="n">
        <v>45716.34403935185</v>
      </c>
      <c r="C571" s="1" t="n">
        <v>45907</v>
      </c>
      <c r="D571" t="inlineStr">
        <is>
          <t>SKÅNE LÄN</t>
        </is>
      </c>
      <c r="E571" t="inlineStr">
        <is>
          <t>HÄSSLEHOLM</t>
        </is>
      </c>
      <c r="G571" t="n">
        <v>2.1</v>
      </c>
      <c r="H571" t="n">
        <v>0</v>
      </c>
      <c r="I571" t="n">
        <v>0</v>
      </c>
      <c r="J571" t="n">
        <v>0</v>
      </c>
      <c r="K571" t="n">
        <v>0</v>
      </c>
      <c r="L571" t="n">
        <v>0</v>
      </c>
      <c r="M571" t="n">
        <v>0</v>
      </c>
      <c r="N571" t="n">
        <v>0</v>
      </c>
      <c r="O571" t="n">
        <v>0</v>
      </c>
      <c r="P571" t="n">
        <v>0</v>
      </c>
      <c r="Q571" t="n">
        <v>0</v>
      </c>
      <c r="R571" s="2" t="inlineStr"/>
    </row>
    <row r="572" ht="15" customHeight="1">
      <c r="A572" t="inlineStr">
        <is>
          <t>A 11466-2025</t>
        </is>
      </c>
      <c r="B572" s="1" t="n">
        <v>45726</v>
      </c>
      <c r="C572" s="1" t="n">
        <v>45907</v>
      </c>
      <c r="D572" t="inlineStr">
        <is>
          <t>SKÅNE LÄN</t>
        </is>
      </c>
      <c r="E572" t="inlineStr">
        <is>
          <t>HÄSSLEHOLM</t>
        </is>
      </c>
      <c r="G572" t="n">
        <v>3.2</v>
      </c>
      <c r="H572" t="n">
        <v>0</v>
      </c>
      <c r="I572" t="n">
        <v>0</v>
      </c>
      <c r="J572" t="n">
        <v>0</v>
      </c>
      <c r="K572" t="n">
        <v>0</v>
      </c>
      <c r="L572" t="n">
        <v>0</v>
      </c>
      <c r="M572" t="n">
        <v>0</v>
      </c>
      <c r="N572" t="n">
        <v>0</v>
      </c>
      <c r="O572" t="n">
        <v>0</v>
      </c>
      <c r="P572" t="n">
        <v>0</v>
      </c>
      <c r="Q572" t="n">
        <v>0</v>
      </c>
      <c r="R572" s="2" t="inlineStr"/>
    </row>
    <row r="573" ht="15" customHeight="1">
      <c r="A573" t="inlineStr">
        <is>
          <t>A 25431-2025</t>
        </is>
      </c>
      <c r="B573" s="1" t="n">
        <v>45800.78340277778</v>
      </c>
      <c r="C573" s="1" t="n">
        <v>45907</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25432-2025</t>
        </is>
      </c>
      <c r="B574" s="1" t="n">
        <v>45800.7847800926</v>
      </c>
      <c r="C574" s="1" t="n">
        <v>45907</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22384-2024</t>
        </is>
      </c>
      <c r="B575" s="1" t="n">
        <v>45446.65592592592</v>
      </c>
      <c r="C575" s="1" t="n">
        <v>45907</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11470-2025</t>
        </is>
      </c>
      <c r="B576" s="1" t="n">
        <v>45726</v>
      </c>
      <c r="C576" s="1" t="n">
        <v>45907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4809-2025</t>
        </is>
      </c>
      <c r="B577" s="1" t="n">
        <v>45688.60148148148</v>
      </c>
      <c r="C577" s="1" t="n">
        <v>45907</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12780-2024</t>
        </is>
      </c>
      <c r="B578" s="1" t="n">
        <v>45384.59726851852</v>
      </c>
      <c r="C578" s="1" t="n">
        <v>45907</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9375-2023</t>
        </is>
      </c>
      <c r="B579" s="1" t="n">
        <v>44981</v>
      </c>
      <c r="C579" s="1" t="n">
        <v>45907</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26857-2025</t>
        </is>
      </c>
      <c r="B580" s="1" t="n">
        <v>45810</v>
      </c>
      <c r="C580" s="1" t="n">
        <v>45907</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51571-2023</t>
        </is>
      </c>
      <c r="B581" s="1" t="n">
        <v>45222</v>
      </c>
      <c r="C581" s="1" t="n">
        <v>45907</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30006-2023</t>
        </is>
      </c>
      <c r="B582" s="1" t="n">
        <v>45109.79962962963</v>
      </c>
      <c r="C582" s="1" t="n">
        <v>45907</v>
      </c>
      <c r="D582" t="inlineStr">
        <is>
          <t>SKÅNE LÄN</t>
        </is>
      </c>
      <c r="E582" t="inlineStr">
        <is>
          <t>HÄSSLEHOLM</t>
        </is>
      </c>
      <c r="G582" t="n">
        <v>1.7</v>
      </c>
      <c r="H582" t="n">
        <v>0</v>
      </c>
      <c r="I582" t="n">
        <v>0</v>
      </c>
      <c r="J582" t="n">
        <v>0</v>
      </c>
      <c r="K582" t="n">
        <v>0</v>
      </c>
      <c r="L582" t="n">
        <v>0</v>
      </c>
      <c r="M582" t="n">
        <v>0</v>
      </c>
      <c r="N582" t="n">
        <v>0</v>
      </c>
      <c r="O582" t="n">
        <v>0</v>
      </c>
      <c r="P582" t="n">
        <v>0</v>
      </c>
      <c r="Q582" t="n">
        <v>0</v>
      </c>
      <c r="R582" s="2" t="inlineStr"/>
    </row>
    <row r="583" ht="15" customHeight="1">
      <c r="A583" t="inlineStr">
        <is>
          <t>A 49167-2022</t>
        </is>
      </c>
      <c r="B583" s="1" t="n">
        <v>44860</v>
      </c>
      <c r="C583" s="1" t="n">
        <v>45907</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45907</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57963-2023</t>
        </is>
      </c>
      <c r="B585" s="1" t="n">
        <v>45247.57732638889</v>
      </c>
      <c r="C585" s="1" t="n">
        <v>45907</v>
      </c>
      <c r="D585" t="inlineStr">
        <is>
          <t>SKÅNE LÄN</t>
        </is>
      </c>
      <c r="E585" t="inlineStr">
        <is>
          <t>HÄSSLEHOLM</t>
        </is>
      </c>
      <c r="G585" t="n">
        <v>4.6</v>
      </c>
      <c r="H585" t="n">
        <v>0</v>
      </c>
      <c r="I585" t="n">
        <v>0</v>
      </c>
      <c r="J585" t="n">
        <v>0</v>
      </c>
      <c r="K585" t="n">
        <v>0</v>
      </c>
      <c r="L585" t="n">
        <v>0</v>
      </c>
      <c r="M585" t="n">
        <v>0</v>
      </c>
      <c r="N585" t="n">
        <v>0</v>
      </c>
      <c r="O585" t="n">
        <v>0</v>
      </c>
      <c r="P585" t="n">
        <v>0</v>
      </c>
      <c r="Q585" t="n">
        <v>0</v>
      </c>
      <c r="R585" s="2" t="inlineStr"/>
    </row>
    <row r="586" ht="15" customHeight="1">
      <c r="A586" t="inlineStr">
        <is>
          <t>A 32794-2023</t>
        </is>
      </c>
      <c r="B586" s="1" t="n">
        <v>45124.40446759259</v>
      </c>
      <c r="C586" s="1" t="n">
        <v>45907</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61436-2024</t>
        </is>
      </c>
      <c r="B587" s="1" t="n">
        <v>45646.46329861111</v>
      </c>
      <c r="C587" s="1" t="n">
        <v>45907</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57033-2022</t>
        </is>
      </c>
      <c r="B588" s="1" t="n">
        <v>44895.31270833333</v>
      </c>
      <c r="C588" s="1" t="n">
        <v>45907</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35845-2022</t>
        </is>
      </c>
      <c r="B589" s="1" t="n">
        <v>44802</v>
      </c>
      <c r="C589" s="1" t="n">
        <v>45907</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37300-2023</t>
        </is>
      </c>
      <c r="B590" s="1" t="n">
        <v>45156</v>
      </c>
      <c r="C590" s="1" t="n">
        <v>45907</v>
      </c>
      <c r="D590" t="inlineStr">
        <is>
          <t>SKÅNE LÄN</t>
        </is>
      </c>
      <c r="E590" t="inlineStr">
        <is>
          <t>HÄSSLEHOLM</t>
        </is>
      </c>
      <c r="G590" t="n">
        <v>1.5</v>
      </c>
      <c r="H590" t="n">
        <v>0</v>
      </c>
      <c r="I590" t="n">
        <v>0</v>
      </c>
      <c r="J590" t="n">
        <v>0</v>
      </c>
      <c r="K590" t="n">
        <v>0</v>
      </c>
      <c r="L590" t="n">
        <v>0</v>
      </c>
      <c r="M590" t="n">
        <v>0</v>
      </c>
      <c r="N590" t="n">
        <v>0</v>
      </c>
      <c r="O590" t="n">
        <v>0</v>
      </c>
      <c r="P590" t="n">
        <v>0</v>
      </c>
      <c r="Q590" t="n">
        <v>0</v>
      </c>
      <c r="R590" s="2" t="inlineStr"/>
    </row>
    <row r="591" ht="15" customHeight="1">
      <c r="A591" t="inlineStr">
        <is>
          <t>A 35644-2023</t>
        </is>
      </c>
      <c r="B591" s="1" t="n">
        <v>45147</v>
      </c>
      <c r="C591" s="1" t="n">
        <v>45907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26232-2025</t>
        </is>
      </c>
      <c r="B592" s="1" t="n">
        <v>45805.56642361111</v>
      </c>
      <c r="C592" s="1" t="n">
        <v>45907</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22140-2023</t>
        </is>
      </c>
      <c r="B593" s="1" t="n">
        <v>45065</v>
      </c>
      <c r="C593" s="1" t="n">
        <v>45907</v>
      </c>
      <c r="D593" t="inlineStr">
        <is>
          <t>SKÅNE LÄN</t>
        </is>
      </c>
      <c r="E593" t="inlineStr">
        <is>
          <t>HÄSSLEHOLM</t>
        </is>
      </c>
      <c r="G593" t="n">
        <v>6.7</v>
      </c>
      <c r="H593" t="n">
        <v>0</v>
      </c>
      <c r="I593" t="n">
        <v>0</v>
      </c>
      <c r="J593" t="n">
        <v>0</v>
      </c>
      <c r="K593" t="n">
        <v>0</v>
      </c>
      <c r="L593" t="n">
        <v>0</v>
      </c>
      <c r="M593" t="n">
        <v>0</v>
      </c>
      <c r="N593" t="n">
        <v>0</v>
      </c>
      <c r="O593" t="n">
        <v>0</v>
      </c>
      <c r="P593" t="n">
        <v>0</v>
      </c>
      <c r="Q593" t="n">
        <v>0</v>
      </c>
      <c r="R593" s="2" t="inlineStr"/>
    </row>
    <row r="594" ht="15" customHeight="1">
      <c r="A594" t="inlineStr">
        <is>
          <t>A 7653-2024</t>
        </is>
      </c>
      <c r="B594" s="1" t="n">
        <v>45348.69043981482</v>
      </c>
      <c r="C594" s="1" t="n">
        <v>45907</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26244-2025</t>
        </is>
      </c>
      <c r="B595" s="1" t="n">
        <v>45805.57364583333</v>
      </c>
      <c r="C595" s="1" t="n">
        <v>45907</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24679-2023</t>
        </is>
      </c>
      <c r="B596" s="1" t="n">
        <v>45084</v>
      </c>
      <c r="C596" s="1" t="n">
        <v>45907</v>
      </c>
      <c r="D596" t="inlineStr">
        <is>
          <t>SKÅNE LÄN</t>
        </is>
      </c>
      <c r="E596" t="inlineStr">
        <is>
          <t>HÄSSLEHOLM</t>
        </is>
      </c>
      <c r="G596" t="n">
        <v>7.1</v>
      </c>
      <c r="H596" t="n">
        <v>0</v>
      </c>
      <c r="I596" t="n">
        <v>0</v>
      </c>
      <c r="J596" t="n">
        <v>0</v>
      </c>
      <c r="K596" t="n">
        <v>0</v>
      </c>
      <c r="L596" t="n">
        <v>0</v>
      </c>
      <c r="M596" t="n">
        <v>0</v>
      </c>
      <c r="N596" t="n">
        <v>0</v>
      </c>
      <c r="O596" t="n">
        <v>0</v>
      </c>
      <c r="P596" t="n">
        <v>0</v>
      </c>
      <c r="Q596" t="n">
        <v>0</v>
      </c>
      <c r="R596" s="2" t="inlineStr"/>
    </row>
    <row r="597" ht="15" customHeight="1">
      <c r="A597" t="inlineStr">
        <is>
          <t>A 3123-2023</t>
        </is>
      </c>
      <c r="B597" s="1" t="n">
        <v>44946.4925</v>
      </c>
      <c r="C597" s="1" t="n">
        <v>45907</v>
      </c>
      <c r="D597" t="inlineStr">
        <is>
          <t>SKÅNE LÄN</t>
        </is>
      </c>
      <c r="E597" t="inlineStr">
        <is>
          <t>HÄSSLEHOLM</t>
        </is>
      </c>
      <c r="G597" t="n">
        <v>3.5</v>
      </c>
      <c r="H597" t="n">
        <v>0</v>
      </c>
      <c r="I597" t="n">
        <v>0</v>
      </c>
      <c r="J597" t="n">
        <v>0</v>
      </c>
      <c r="K597" t="n">
        <v>0</v>
      </c>
      <c r="L597" t="n">
        <v>0</v>
      </c>
      <c r="M597" t="n">
        <v>0</v>
      </c>
      <c r="N597" t="n">
        <v>0</v>
      </c>
      <c r="O597" t="n">
        <v>0</v>
      </c>
      <c r="P597" t="n">
        <v>0</v>
      </c>
      <c r="Q597" t="n">
        <v>0</v>
      </c>
      <c r="R597" s="2" t="inlineStr"/>
    </row>
    <row r="598" ht="15" customHeight="1">
      <c r="A598" t="inlineStr">
        <is>
          <t>A 3126-2023</t>
        </is>
      </c>
      <c r="B598" s="1" t="n">
        <v>44946.49570601852</v>
      </c>
      <c r="C598" s="1" t="n">
        <v>45907</v>
      </c>
      <c r="D598" t="inlineStr">
        <is>
          <t>SKÅNE LÄN</t>
        </is>
      </c>
      <c r="E598" t="inlineStr">
        <is>
          <t>HÄSSLEHOLM</t>
        </is>
      </c>
      <c r="G598" t="n">
        <v>2.2</v>
      </c>
      <c r="H598" t="n">
        <v>0</v>
      </c>
      <c r="I598" t="n">
        <v>0</v>
      </c>
      <c r="J598" t="n">
        <v>0</v>
      </c>
      <c r="K598" t="n">
        <v>0</v>
      </c>
      <c r="L598" t="n">
        <v>0</v>
      </c>
      <c r="M598" t="n">
        <v>0</v>
      </c>
      <c r="N598" t="n">
        <v>0</v>
      </c>
      <c r="O598" t="n">
        <v>0</v>
      </c>
      <c r="P598" t="n">
        <v>0</v>
      </c>
      <c r="Q598" t="n">
        <v>0</v>
      </c>
      <c r="R598" s="2" t="inlineStr"/>
    </row>
    <row r="599" ht="15" customHeight="1">
      <c r="A599" t="inlineStr">
        <is>
          <t>A 37318-2024</t>
        </is>
      </c>
      <c r="B599" s="1" t="n">
        <v>45540</v>
      </c>
      <c r="C599" s="1" t="n">
        <v>45907</v>
      </c>
      <c r="D599" t="inlineStr">
        <is>
          <t>SKÅNE LÄN</t>
        </is>
      </c>
      <c r="E599" t="inlineStr">
        <is>
          <t>HÄSSLEHOLM</t>
        </is>
      </c>
      <c r="G599" t="n">
        <v>3.9</v>
      </c>
      <c r="H599" t="n">
        <v>0</v>
      </c>
      <c r="I599" t="n">
        <v>0</v>
      </c>
      <c r="J599" t="n">
        <v>0</v>
      </c>
      <c r="K599" t="n">
        <v>0</v>
      </c>
      <c r="L599" t="n">
        <v>0</v>
      </c>
      <c r="M599" t="n">
        <v>0</v>
      </c>
      <c r="N599" t="n">
        <v>0</v>
      </c>
      <c r="O599" t="n">
        <v>0</v>
      </c>
      <c r="P599" t="n">
        <v>0</v>
      </c>
      <c r="Q599" t="n">
        <v>0</v>
      </c>
      <c r="R599" s="2" t="inlineStr"/>
    </row>
    <row r="600" ht="15" customHeight="1">
      <c r="A600" t="inlineStr">
        <is>
          <t>A 37324-2024</t>
        </is>
      </c>
      <c r="B600" s="1" t="n">
        <v>45540.50104166667</v>
      </c>
      <c r="C600" s="1" t="n">
        <v>45907</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49219-2021</t>
        </is>
      </c>
      <c r="B601" s="1" t="n">
        <v>44454</v>
      </c>
      <c r="C601" s="1" t="n">
        <v>45907</v>
      </c>
      <c r="D601" t="inlineStr">
        <is>
          <t>SKÅNE LÄN</t>
        </is>
      </c>
      <c r="E601" t="inlineStr">
        <is>
          <t>HÄSSLEHOLM</t>
        </is>
      </c>
      <c r="G601" t="n">
        <v>7.8</v>
      </c>
      <c r="H601" t="n">
        <v>0</v>
      </c>
      <c r="I601" t="n">
        <v>0</v>
      </c>
      <c r="J601" t="n">
        <v>0</v>
      </c>
      <c r="K601" t="n">
        <v>0</v>
      </c>
      <c r="L601" t="n">
        <v>0</v>
      </c>
      <c r="M601" t="n">
        <v>0</v>
      </c>
      <c r="N601" t="n">
        <v>0</v>
      </c>
      <c r="O601" t="n">
        <v>0</v>
      </c>
      <c r="P601" t="n">
        <v>0</v>
      </c>
      <c r="Q601" t="n">
        <v>0</v>
      </c>
      <c r="R601" s="2" t="inlineStr"/>
    </row>
    <row r="602" ht="15" customHeight="1">
      <c r="A602" t="inlineStr">
        <is>
          <t>A 5890-2023</t>
        </is>
      </c>
      <c r="B602" s="1" t="n">
        <v>44963.64527777778</v>
      </c>
      <c r="C602" s="1" t="n">
        <v>45907</v>
      </c>
      <c r="D602" t="inlineStr">
        <is>
          <t>SKÅNE LÄN</t>
        </is>
      </c>
      <c r="E602" t="inlineStr">
        <is>
          <t>HÄSSLEHOLM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12936-2025</t>
        </is>
      </c>
      <c r="B603" s="1" t="n">
        <v>45734</v>
      </c>
      <c r="C603" s="1" t="n">
        <v>45907</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56062-2024</t>
        </is>
      </c>
      <c r="B604" s="1" t="n">
        <v>45624.37105324074</v>
      </c>
      <c r="C604" s="1" t="n">
        <v>45907</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41209-2023</t>
        </is>
      </c>
      <c r="B605" s="1" t="n">
        <v>45174.43481481481</v>
      </c>
      <c r="C605" s="1" t="n">
        <v>45907</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57656-2022</t>
        </is>
      </c>
      <c r="B606" s="1" t="n">
        <v>44897.4325925926</v>
      </c>
      <c r="C606" s="1" t="n">
        <v>45907</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32881-2024</t>
        </is>
      </c>
      <c r="B607" s="1" t="n">
        <v>45516</v>
      </c>
      <c r="C607" s="1" t="n">
        <v>45907</v>
      </c>
      <c r="D607" t="inlineStr">
        <is>
          <t>SKÅNE LÄN</t>
        </is>
      </c>
      <c r="E607" t="inlineStr">
        <is>
          <t>HÄSSLEHOLM</t>
        </is>
      </c>
      <c r="G607" t="n">
        <v>6.3</v>
      </c>
      <c r="H607" t="n">
        <v>0</v>
      </c>
      <c r="I607" t="n">
        <v>0</v>
      </c>
      <c r="J607" t="n">
        <v>0</v>
      </c>
      <c r="K607" t="n">
        <v>0</v>
      </c>
      <c r="L607" t="n">
        <v>0</v>
      </c>
      <c r="M607" t="n">
        <v>0</v>
      </c>
      <c r="N607" t="n">
        <v>0</v>
      </c>
      <c r="O607" t="n">
        <v>0</v>
      </c>
      <c r="P607" t="n">
        <v>0</v>
      </c>
      <c r="Q607" t="n">
        <v>0</v>
      </c>
      <c r="R607" s="2" t="inlineStr"/>
    </row>
    <row r="608" ht="15" customHeight="1">
      <c r="A608" t="inlineStr">
        <is>
          <t>A 57275-2023</t>
        </is>
      </c>
      <c r="B608" s="1" t="n">
        <v>45245.58886574074</v>
      </c>
      <c r="C608" s="1" t="n">
        <v>45907</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49824-2024</t>
        </is>
      </c>
      <c r="B609" s="1" t="n">
        <v>45597</v>
      </c>
      <c r="C609" s="1" t="n">
        <v>45907</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23860-2024</t>
        </is>
      </c>
      <c r="B610" s="1" t="n">
        <v>45455</v>
      </c>
      <c r="C610" s="1" t="n">
        <v>45907</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23864-2024</t>
        </is>
      </c>
      <c r="B611" s="1" t="n">
        <v>45455</v>
      </c>
      <c r="C611" s="1" t="n">
        <v>45907</v>
      </c>
      <c r="D611" t="inlineStr">
        <is>
          <t>SKÅNE LÄN</t>
        </is>
      </c>
      <c r="E611" t="inlineStr">
        <is>
          <t>HÄSSLEHOLM</t>
        </is>
      </c>
      <c r="G611" t="n">
        <v>6.2</v>
      </c>
      <c r="H611" t="n">
        <v>0</v>
      </c>
      <c r="I611" t="n">
        <v>0</v>
      </c>
      <c r="J611" t="n">
        <v>0</v>
      </c>
      <c r="K611" t="n">
        <v>0</v>
      </c>
      <c r="L611" t="n">
        <v>0</v>
      </c>
      <c r="M611" t="n">
        <v>0</v>
      </c>
      <c r="N611" t="n">
        <v>0</v>
      </c>
      <c r="O611" t="n">
        <v>0</v>
      </c>
      <c r="P611" t="n">
        <v>0</v>
      </c>
      <c r="Q611" t="n">
        <v>0</v>
      </c>
      <c r="R611" s="2" t="inlineStr"/>
    </row>
    <row r="612" ht="15" customHeight="1">
      <c r="A612" t="inlineStr">
        <is>
          <t>A 7192-2025</t>
        </is>
      </c>
      <c r="B612" s="1" t="n">
        <v>45702.44746527778</v>
      </c>
      <c r="C612" s="1" t="n">
        <v>45907</v>
      </c>
      <c r="D612" t="inlineStr">
        <is>
          <t>SKÅNE LÄN</t>
        </is>
      </c>
      <c r="E612" t="inlineStr">
        <is>
          <t>HÄSSLEHOLM</t>
        </is>
      </c>
      <c r="G612" t="n">
        <v>1.2</v>
      </c>
      <c r="H612" t="n">
        <v>0</v>
      </c>
      <c r="I612" t="n">
        <v>0</v>
      </c>
      <c r="J612" t="n">
        <v>0</v>
      </c>
      <c r="K612" t="n">
        <v>0</v>
      </c>
      <c r="L612" t="n">
        <v>0</v>
      </c>
      <c r="M612" t="n">
        <v>0</v>
      </c>
      <c r="N612" t="n">
        <v>0</v>
      </c>
      <c r="O612" t="n">
        <v>0</v>
      </c>
      <c r="P612" t="n">
        <v>0</v>
      </c>
      <c r="Q612" t="n">
        <v>0</v>
      </c>
      <c r="R612" s="2" t="inlineStr"/>
    </row>
    <row r="613" ht="15" customHeight="1">
      <c r="A613" t="inlineStr">
        <is>
          <t>A 53302-2022</t>
        </is>
      </c>
      <c r="B613" s="1" t="n">
        <v>44877</v>
      </c>
      <c r="C613" s="1" t="n">
        <v>45907</v>
      </c>
      <c r="D613" t="inlineStr">
        <is>
          <t>SKÅNE LÄN</t>
        </is>
      </c>
      <c r="E613" t="inlineStr">
        <is>
          <t>HÄSSLEHOLM</t>
        </is>
      </c>
      <c r="G613" t="n">
        <v>0.1</v>
      </c>
      <c r="H613" t="n">
        <v>0</v>
      </c>
      <c r="I613" t="n">
        <v>0</v>
      </c>
      <c r="J613" t="n">
        <v>0</v>
      </c>
      <c r="K613" t="n">
        <v>0</v>
      </c>
      <c r="L613" t="n">
        <v>0</v>
      </c>
      <c r="M613" t="n">
        <v>0</v>
      </c>
      <c r="N613" t="n">
        <v>0</v>
      </c>
      <c r="O613" t="n">
        <v>0</v>
      </c>
      <c r="P613" t="n">
        <v>0</v>
      </c>
      <c r="Q613" t="n">
        <v>0</v>
      </c>
      <c r="R613" s="2" t="inlineStr"/>
    </row>
    <row r="614" ht="15" customHeight="1">
      <c r="A614" t="inlineStr">
        <is>
          <t>A 27991-2024</t>
        </is>
      </c>
      <c r="B614" s="1" t="n">
        <v>45476</v>
      </c>
      <c r="C614" s="1" t="n">
        <v>45907</v>
      </c>
      <c r="D614" t="inlineStr">
        <is>
          <t>SKÅNE LÄN</t>
        </is>
      </c>
      <c r="E614" t="inlineStr">
        <is>
          <t>HÄSSLEHOLM</t>
        </is>
      </c>
      <c r="G614" t="n">
        <v>5.8</v>
      </c>
      <c r="H614" t="n">
        <v>0</v>
      </c>
      <c r="I614" t="n">
        <v>0</v>
      </c>
      <c r="J614" t="n">
        <v>0</v>
      </c>
      <c r="K614" t="n">
        <v>0</v>
      </c>
      <c r="L614" t="n">
        <v>0</v>
      </c>
      <c r="M614" t="n">
        <v>0</v>
      </c>
      <c r="N614" t="n">
        <v>0</v>
      </c>
      <c r="O614" t="n">
        <v>0</v>
      </c>
      <c r="P614" t="n">
        <v>0</v>
      </c>
      <c r="Q614" t="n">
        <v>0</v>
      </c>
      <c r="R614" s="2" t="inlineStr"/>
    </row>
    <row r="615" ht="15" customHeight="1">
      <c r="A615" t="inlineStr">
        <is>
          <t>A 31946-2023</t>
        </is>
      </c>
      <c r="B615" s="1" t="n">
        <v>45119.35158564815</v>
      </c>
      <c r="C615" s="1" t="n">
        <v>45907</v>
      </c>
      <c r="D615" t="inlineStr">
        <is>
          <t>SKÅNE LÄN</t>
        </is>
      </c>
      <c r="E615" t="inlineStr">
        <is>
          <t>HÄSSLEHOLM</t>
        </is>
      </c>
      <c r="G615" t="n">
        <v>0.3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44634.64900462963</v>
      </c>
      <c r="C616" s="1" t="n">
        <v>45907</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56881-2021</t>
        </is>
      </c>
      <c r="B617" s="1" t="n">
        <v>44481</v>
      </c>
      <c r="C617" s="1" t="n">
        <v>45907</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48798-2023</t>
        </is>
      </c>
      <c r="B618" s="1" t="n">
        <v>45209.25318287037</v>
      </c>
      <c r="C618" s="1" t="n">
        <v>45907</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48844-2023</t>
        </is>
      </c>
      <c r="B619" s="1" t="n">
        <v>45209</v>
      </c>
      <c r="C619" s="1" t="n">
        <v>45907</v>
      </c>
      <c r="D619" t="inlineStr">
        <is>
          <t>SKÅNE LÄN</t>
        </is>
      </c>
      <c r="E619" t="inlineStr">
        <is>
          <t>HÄSSLEHOLM</t>
        </is>
      </c>
      <c r="G619" t="n">
        <v>4</v>
      </c>
      <c r="H619" t="n">
        <v>0</v>
      </c>
      <c r="I619" t="n">
        <v>0</v>
      </c>
      <c r="J619" t="n">
        <v>0</v>
      </c>
      <c r="K619" t="n">
        <v>0</v>
      </c>
      <c r="L619" t="n">
        <v>0</v>
      </c>
      <c r="M619" t="n">
        <v>0</v>
      </c>
      <c r="N619" t="n">
        <v>0</v>
      </c>
      <c r="O619" t="n">
        <v>0</v>
      </c>
      <c r="P619" t="n">
        <v>0</v>
      </c>
      <c r="Q619" t="n">
        <v>0</v>
      </c>
      <c r="R619" s="2" t="inlineStr"/>
    </row>
    <row r="620" ht="15" customHeight="1">
      <c r="A620" t="inlineStr">
        <is>
          <t>A 48877-2024</t>
        </is>
      </c>
      <c r="B620" s="1" t="n">
        <v>45594.31729166667</v>
      </c>
      <c r="C620" s="1" t="n">
        <v>45907</v>
      </c>
      <c r="D620" t="inlineStr">
        <is>
          <t>SKÅNE LÄN</t>
        </is>
      </c>
      <c r="E620" t="inlineStr">
        <is>
          <t>HÄSSLEHOLM</t>
        </is>
      </c>
      <c r="G620" t="n">
        <v>1.8</v>
      </c>
      <c r="H620" t="n">
        <v>0</v>
      </c>
      <c r="I620" t="n">
        <v>0</v>
      </c>
      <c r="J620" t="n">
        <v>0</v>
      </c>
      <c r="K620" t="n">
        <v>0</v>
      </c>
      <c r="L620" t="n">
        <v>0</v>
      </c>
      <c r="M620" t="n">
        <v>0</v>
      </c>
      <c r="N620" t="n">
        <v>0</v>
      </c>
      <c r="O620" t="n">
        <v>0</v>
      </c>
      <c r="P620" t="n">
        <v>0</v>
      </c>
      <c r="Q620" t="n">
        <v>0</v>
      </c>
      <c r="R620" s="2" t="inlineStr"/>
    </row>
    <row r="621" ht="15" customHeight="1">
      <c r="A621" t="inlineStr">
        <is>
          <t>A 45984-2021</t>
        </is>
      </c>
      <c r="B621" s="1" t="n">
        <v>44441</v>
      </c>
      <c r="C621" s="1" t="n">
        <v>45907</v>
      </c>
      <c r="D621" t="inlineStr">
        <is>
          <t>SKÅNE LÄN</t>
        </is>
      </c>
      <c r="E621" t="inlineStr">
        <is>
          <t>HÄSSLEHOLM</t>
        </is>
      </c>
      <c r="G621" t="n">
        <v>2.1</v>
      </c>
      <c r="H621" t="n">
        <v>0</v>
      </c>
      <c r="I621" t="n">
        <v>0</v>
      </c>
      <c r="J621" t="n">
        <v>0</v>
      </c>
      <c r="K621" t="n">
        <v>0</v>
      </c>
      <c r="L621" t="n">
        <v>0</v>
      </c>
      <c r="M621" t="n">
        <v>0</v>
      </c>
      <c r="N621" t="n">
        <v>0</v>
      </c>
      <c r="O621" t="n">
        <v>0</v>
      </c>
      <c r="P621" t="n">
        <v>0</v>
      </c>
      <c r="Q621" t="n">
        <v>0</v>
      </c>
      <c r="R621" s="2" t="inlineStr"/>
    </row>
    <row r="622" ht="15" customHeight="1">
      <c r="A622" t="inlineStr">
        <is>
          <t>A 8378-2023</t>
        </is>
      </c>
      <c r="B622" s="1" t="n">
        <v>44971</v>
      </c>
      <c r="C622" s="1" t="n">
        <v>45907</v>
      </c>
      <c r="D622" t="inlineStr">
        <is>
          <t>SKÅNE LÄN</t>
        </is>
      </c>
      <c r="E622" t="inlineStr">
        <is>
          <t>HÄSSLEHOLM</t>
        </is>
      </c>
      <c r="G622" t="n">
        <v>1.2</v>
      </c>
      <c r="H622" t="n">
        <v>0</v>
      </c>
      <c r="I622" t="n">
        <v>0</v>
      </c>
      <c r="J622" t="n">
        <v>0</v>
      </c>
      <c r="K622" t="n">
        <v>0</v>
      </c>
      <c r="L622" t="n">
        <v>0</v>
      </c>
      <c r="M622" t="n">
        <v>0</v>
      </c>
      <c r="N622" t="n">
        <v>0</v>
      </c>
      <c r="O622" t="n">
        <v>0</v>
      </c>
      <c r="P622" t="n">
        <v>0</v>
      </c>
      <c r="Q622" t="n">
        <v>0</v>
      </c>
      <c r="R622" s="2" t="inlineStr"/>
    </row>
    <row r="623" ht="15" customHeight="1">
      <c r="A623" t="inlineStr">
        <is>
          <t>A 13673-2023</t>
        </is>
      </c>
      <c r="B623" s="1" t="n">
        <v>45006.87957175926</v>
      </c>
      <c r="C623" s="1" t="n">
        <v>45907</v>
      </c>
      <c r="D623" t="inlineStr">
        <is>
          <t>SKÅNE LÄN</t>
        </is>
      </c>
      <c r="E623" t="inlineStr">
        <is>
          <t>HÄSSLEHOLM</t>
        </is>
      </c>
      <c r="G623" t="n">
        <v>3.2</v>
      </c>
      <c r="H623" t="n">
        <v>0</v>
      </c>
      <c r="I623" t="n">
        <v>0</v>
      </c>
      <c r="J623" t="n">
        <v>0</v>
      </c>
      <c r="K623" t="n">
        <v>0</v>
      </c>
      <c r="L623" t="n">
        <v>0</v>
      </c>
      <c r="M623" t="n">
        <v>0</v>
      </c>
      <c r="N623" t="n">
        <v>0</v>
      </c>
      <c r="O623" t="n">
        <v>0</v>
      </c>
      <c r="P623" t="n">
        <v>0</v>
      </c>
      <c r="Q623" t="n">
        <v>0</v>
      </c>
      <c r="R623" s="2" t="inlineStr"/>
    </row>
    <row r="624" ht="15" customHeight="1">
      <c r="A624" t="inlineStr">
        <is>
          <t>A 38306-2022</t>
        </is>
      </c>
      <c r="B624" s="1" t="n">
        <v>44812.57515046297</v>
      </c>
      <c r="C624" s="1" t="n">
        <v>45907</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38358-2024</t>
        </is>
      </c>
      <c r="B625" s="1" t="n">
        <v>45545.79068287037</v>
      </c>
      <c r="C625" s="1" t="n">
        <v>45907</v>
      </c>
      <c r="D625" t="inlineStr">
        <is>
          <t>SKÅNE LÄN</t>
        </is>
      </c>
      <c r="E625" t="inlineStr">
        <is>
          <t>HÄSSLEHOLM</t>
        </is>
      </c>
      <c r="G625" t="n">
        <v>9</v>
      </c>
      <c r="H625" t="n">
        <v>0</v>
      </c>
      <c r="I625" t="n">
        <v>0</v>
      </c>
      <c r="J625" t="n">
        <v>0</v>
      </c>
      <c r="K625" t="n">
        <v>0</v>
      </c>
      <c r="L625" t="n">
        <v>0</v>
      </c>
      <c r="M625" t="n">
        <v>0</v>
      </c>
      <c r="N625" t="n">
        <v>0</v>
      </c>
      <c r="O625" t="n">
        <v>0</v>
      </c>
      <c r="P625" t="n">
        <v>0</v>
      </c>
      <c r="Q625" t="n">
        <v>0</v>
      </c>
      <c r="R625" s="2" t="inlineStr"/>
    </row>
    <row r="626" ht="15" customHeight="1">
      <c r="A626" t="inlineStr">
        <is>
          <t>A 38712-2024</t>
        </is>
      </c>
      <c r="B626" s="1" t="n">
        <v>45547</v>
      </c>
      <c r="C626" s="1" t="n">
        <v>45907</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13310-2025</t>
        </is>
      </c>
      <c r="B627" s="1" t="n">
        <v>45735.58814814815</v>
      </c>
      <c r="C627" s="1" t="n">
        <v>45907</v>
      </c>
      <c r="D627" t="inlineStr">
        <is>
          <t>SKÅNE LÄN</t>
        </is>
      </c>
      <c r="E627" t="inlineStr">
        <is>
          <t>HÄSSLEHOLM</t>
        </is>
      </c>
      <c r="G627" t="n">
        <v>2</v>
      </c>
      <c r="H627" t="n">
        <v>0</v>
      </c>
      <c r="I627" t="n">
        <v>0</v>
      </c>
      <c r="J627" t="n">
        <v>0</v>
      </c>
      <c r="K627" t="n">
        <v>0</v>
      </c>
      <c r="L627" t="n">
        <v>0</v>
      </c>
      <c r="M627" t="n">
        <v>0</v>
      </c>
      <c r="N627" t="n">
        <v>0</v>
      </c>
      <c r="O627" t="n">
        <v>0</v>
      </c>
      <c r="P627" t="n">
        <v>0</v>
      </c>
      <c r="Q627" t="n">
        <v>0</v>
      </c>
      <c r="R627" s="2" t="inlineStr"/>
    </row>
    <row r="628" ht="15" customHeight="1">
      <c r="A628" t="inlineStr">
        <is>
          <t>A 45398-2024</t>
        </is>
      </c>
      <c r="B628" s="1" t="n">
        <v>45576.56260416667</v>
      </c>
      <c r="C628" s="1" t="n">
        <v>45907</v>
      </c>
      <c r="D628" t="inlineStr">
        <is>
          <t>SKÅNE LÄN</t>
        </is>
      </c>
      <c r="E628" t="inlineStr">
        <is>
          <t>HÄSSLEHOLM</t>
        </is>
      </c>
      <c r="G628" t="n">
        <v>4.2</v>
      </c>
      <c r="H628" t="n">
        <v>0</v>
      </c>
      <c r="I628" t="n">
        <v>0</v>
      </c>
      <c r="J628" t="n">
        <v>0</v>
      </c>
      <c r="K628" t="n">
        <v>0</v>
      </c>
      <c r="L628" t="n">
        <v>0</v>
      </c>
      <c r="M628" t="n">
        <v>0</v>
      </c>
      <c r="N628" t="n">
        <v>0</v>
      </c>
      <c r="O628" t="n">
        <v>0</v>
      </c>
      <c r="P628" t="n">
        <v>0</v>
      </c>
      <c r="Q628" t="n">
        <v>0</v>
      </c>
      <c r="R628" s="2" t="inlineStr"/>
    </row>
    <row r="629" ht="15" customHeight="1">
      <c r="A629" t="inlineStr">
        <is>
          <t>A 4140-2023</t>
        </is>
      </c>
      <c r="B629" s="1" t="n">
        <v>44953</v>
      </c>
      <c r="C629" s="1" t="n">
        <v>45907</v>
      </c>
      <c r="D629" t="inlineStr">
        <is>
          <t>SKÅNE LÄN</t>
        </is>
      </c>
      <c r="E629" t="inlineStr">
        <is>
          <t>HÄSSLEHOLM</t>
        </is>
      </c>
      <c r="G629" t="n">
        <v>10.6</v>
      </c>
      <c r="H629" t="n">
        <v>0</v>
      </c>
      <c r="I629" t="n">
        <v>0</v>
      </c>
      <c r="J629" t="n">
        <v>0</v>
      </c>
      <c r="K629" t="n">
        <v>0</v>
      </c>
      <c r="L629" t="n">
        <v>0</v>
      </c>
      <c r="M629" t="n">
        <v>0</v>
      </c>
      <c r="N629" t="n">
        <v>0</v>
      </c>
      <c r="O629" t="n">
        <v>0</v>
      </c>
      <c r="P629" t="n">
        <v>0</v>
      </c>
      <c r="Q629" t="n">
        <v>0</v>
      </c>
      <c r="R629" s="2" t="inlineStr"/>
    </row>
    <row r="630" ht="15" customHeight="1">
      <c r="A630" t="inlineStr">
        <is>
          <t>A 19666-2025</t>
        </is>
      </c>
      <c r="B630" s="1" t="n">
        <v>45770.69326388889</v>
      </c>
      <c r="C630" s="1" t="n">
        <v>45907</v>
      </c>
      <c r="D630" t="inlineStr">
        <is>
          <t>SKÅNE LÄN</t>
        </is>
      </c>
      <c r="E630" t="inlineStr">
        <is>
          <t>HÄSSLEHOLM</t>
        </is>
      </c>
      <c r="G630" t="n">
        <v>2.4</v>
      </c>
      <c r="H630" t="n">
        <v>0</v>
      </c>
      <c r="I630" t="n">
        <v>0</v>
      </c>
      <c r="J630" t="n">
        <v>0</v>
      </c>
      <c r="K630" t="n">
        <v>0</v>
      </c>
      <c r="L630" t="n">
        <v>0</v>
      </c>
      <c r="M630" t="n">
        <v>0</v>
      </c>
      <c r="N630" t="n">
        <v>0</v>
      </c>
      <c r="O630" t="n">
        <v>0</v>
      </c>
      <c r="P630" t="n">
        <v>0</v>
      </c>
      <c r="Q630" t="n">
        <v>0</v>
      </c>
      <c r="R630" s="2" t="inlineStr"/>
    </row>
    <row r="631" ht="15" customHeight="1">
      <c r="A631" t="inlineStr">
        <is>
          <t>A 3746-2024</t>
        </is>
      </c>
      <c r="B631" s="1" t="n">
        <v>45321.50745370371</v>
      </c>
      <c r="C631" s="1" t="n">
        <v>45907</v>
      </c>
      <c r="D631" t="inlineStr">
        <is>
          <t>SKÅNE LÄN</t>
        </is>
      </c>
      <c r="E631" t="inlineStr">
        <is>
          <t>HÄSSLEHOLM</t>
        </is>
      </c>
      <c r="G631" t="n">
        <v>3.4</v>
      </c>
      <c r="H631" t="n">
        <v>0</v>
      </c>
      <c r="I631" t="n">
        <v>0</v>
      </c>
      <c r="J631" t="n">
        <v>0</v>
      </c>
      <c r="K631" t="n">
        <v>0</v>
      </c>
      <c r="L631" t="n">
        <v>0</v>
      </c>
      <c r="M631" t="n">
        <v>0</v>
      </c>
      <c r="N631" t="n">
        <v>0</v>
      </c>
      <c r="O631" t="n">
        <v>0</v>
      </c>
      <c r="P631" t="n">
        <v>0</v>
      </c>
      <c r="Q631" t="n">
        <v>0</v>
      </c>
      <c r="R631" s="2" t="inlineStr"/>
    </row>
    <row r="632" ht="15" customHeight="1">
      <c r="A632" t="inlineStr">
        <is>
          <t>A 50000-2023</t>
        </is>
      </c>
      <c r="B632" s="1" t="n">
        <v>45215.4434837963</v>
      </c>
      <c r="C632" s="1" t="n">
        <v>45907</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57649-2022</t>
        </is>
      </c>
      <c r="B633" s="1" t="n">
        <v>44897.42755787037</v>
      </c>
      <c r="C633" s="1" t="n">
        <v>45907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27393-2025</t>
        </is>
      </c>
      <c r="B634" s="1" t="n">
        <v>45812.68295138889</v>
      </c>
      <c r="C634" s="1" t="n">
        <v>45907</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57665-2022</t>
        </is>
      </c>
      <c r="B635" s="1" t="n">
        <v>44897.4494212963</v>
      </c>
      <c r="C635" s="1" t="n">
        <v>45907</v>
      </c>
      <c r="D635" t="inlineStr">
        <is>
          <t>SKÅNE LÄN</t>
        </is>
      </c>
      <c r="E635" t="inlineStr">
        <is>
          <t>HÄSSLEHOLM</t>
        </is>
      </c>
      <c r="G635" t="n">
        <v>0.6</v>
      </c>
      <c r="H635" t="n">
        <v>0</v>
      </c>
      <c r="I635" t="n">
        <v>0</v>
      </c>
      <c r="J635" t="n">
        <v>0</v>
      </c>
      <c r="K635" t="n">
        <v>0</v>
      </c>
      <c r="L635" t="n">
        <v>0</v>
      </c>
      <c r="M635" t="n">
        <v>0</v>
      </c>
      <c r="N635" t="n">
        <v>0</v>
      </c>
      <c r="O635" t="n">
        <v>0</v>
      </c>
      <c r="P635" t="n">
        <v>0</v>
      </c>
      <c r="Q635" t="n">
        <v>0</v>
      </c>
      <c r="R635" s="2" t="inlineStr"/>
    </row>
    <row r="636" ht="15" customHeight="1">
      <c r="A636" t="inlineStr">
        <is>
          <t>A 57676-2022</t>
        </is>
      </c>
      <c r="B636" s="1" t="n">
        <v>44897</v>
      </c>
      <c r="C636" s="1" t="n">
        <v>45907</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417-2022</t>
        </is>
      </c>
      <c r="B637" s="1" t="n">
        <v>44565.84615740741</v>
      </c>
      <c r="C637" s="1" t="n">
        <v>45907</v>
      </c>
      <c r="D637" t="inlineStr">
        <is>
          <t>SKÅNE LÄN</t>
        </is>
      </c>
      <c r="E637" t="inlineStr">
        <is>
          <t>HÄSSLEHOLM</t>
        </is>
      </c>
      <c r="G637" t="n">
        <v>0</v>
      </c>
      <c r="H637" t="n">
        <v>0</v>
      </c>
      <c r="I637" t="n">
        <v>0</v>
      </c>
      <c r="J637" t="n">
        <v>0</v>
      </c>
      <c r="K637" t="n">
        <v>0</v>
      </c>
      <c r="L637" t="n">
        <v>0</v>
      </c>
      <c r="M637" t="n">
        <v>0</v>
      </c>
      <c r="N637" t="n">
        <v>0</v>
      </c>
      <c r="O637" t="n">
        <v>0</v>
      </c>
      <c r="P637" t="n">
        <v>0</v>
      </c>
      <c r="Q637" t="n">
        <v>0</v>
      </c>
      <c r="R637" s="2" t="inlineStr"/>
    </row>
    <row r="638" ht="15" customHeight="1">
      <c r="A638" t="inlineStr">
        <is>
          <t>A 14145-2023</t>
        </is>
      </c>
      <c r="B638" s="1" t="n">
        <v>45009</v>
      </c>
      <c r="C638" s="1" t="n">
        <v>45907</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8244-2023</t>
        </is>
      </c>
      <c r="B639" s="1" t="n">
        <v>44974</v>
      </c>
      <c r="C639" s="1" t="n">
        <v>45907</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8246-2023</t>
        </is>
      </c>
      <c r="B640" s="1" t="n">
        <v>44974</v>
      </c>
      <c r="C640" s="1" t="n">
        <v>45907</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12584-2025</t>
        </is>
      </c>
      <c r="B641" s="1" t="n">
        <v>45732</v>
      </c>
      <c r="C641" s="1" t="n">
        <v>45907</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51040-2024</t>
        </is>
      </c>
      <c r="B642" s="1" t="n">
        <v>45603.43222222223</v>
      </c>
      <c r="C642" s="1" t="n">
        <v>45907</v>
      </c>
      <c r="D642" t="inlineStr">
        <is>
          <t>SKÅNE LÄN</t>
        </is>
      </c>
      <c r="E642" t="inlineStr">
        <is>
          <t>HÄSSLEHOLM</t>
        </is>
      </c>
      <c r="G642" t="n">
        <v>2.7</v>
      </c>
      <c r="H642" t="n">
        <v>0</v>
      </c>
      <c r="I642" t="n">
        <v>0</v>
      </c>
      <c r="J642" t="n">
        <v>0</v>
      </c>
      <c r="K642" t="n">
        <v>0</v>
      </c>
      <c r="L642" t="n">
        <v>0</v>
      </c>
      <c r="M642" t="n">
        <v>0</v>
      </c>
      <c r="N642" t="n">
        <v>0</v>
      </c>
      <c r="O642" t="n">
        <v>0</v>
      </c>
      <c r="P642" t="n">
        <v>0</v>
      </c>
      <c r="Q642" t="n">
        <v>0</v>
      </c>
      <c r="R642" s="2" t="inlineStr"/>
    </row>
    <row r="643" ht="15" customHeight="1">
      <c r="A643" t="inlineStr">
        <is>
          <t>A 25606-2024</t>
        </is>
      </c>
      <c r="B643" s="1" t="n">
        <v>45463.63179398148</v>
      </c>
      <c r="C643" s="1" t="n">
        <v>45907</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50249-2024</t>
        </is>
      </c>
      <c r="B644" s="1" t="n">
        <v>45600.56866898148</v>
      </c>
      <c r="C644" s="1" t="n">
        <v>45907</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16368-2025</t>
        </is>
      </c>
      <c r="B645" s="1" t="n">
        <v>45751</v>
      </c>
      <c r="C645" s="1" t="n">
        <v>45907</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14670-2025</t>
        </is>
      </c>
      <c r="B646" s="1" t="n">
        <v>45742.55079861111</v>
      </c>
      <c r="C646" s="1" t="n">
        <v>45907</v>
      </c>
      <c r="D646" t="inlineStr">
        <is>
          <t>SKÅNE LÄN</t>
        </is>
      </c>
      <c r="E646" t="inlineStr">
        <is>
          <t>HÄSSLEHOLM</t>
        </is>
      </c>
      <c r="G646" t="n">
        <v>1.1</v>
      </c>
      <c r="H646" t="n">
        <v>0</v>
      </c>
      <c r="I646" t="n">
        <v>0</v>
      </c>
      <c r="J646" t="n">
        <v>0</v>
      </c>
      <c r="K646" t="n">
        <v>0</v>
      </c>
      <c r="L646" t="n">
        <v>0</v>
      </c>
      <c r="M646" t="n">
        <v>0</v>
      </c>
      <c r="N646" t="n">
        <v>0</v>
      </c>
      <c r="O646" t="n">
        <v>0</v>
      </c>
      <c r="P646" t="n">
        <v>0</v>
      </c>
      <c r="Q646" t="n">
        <v>0</v>
      </c>
      <c r="R646" s="2" t="inlineStr"/>
    </row>
    <row r="647" ht="15" customHeight="1">
      <c r="A647" t="inlineStr">
        <is>
          <t>A 27349-2025</t>
        </is>
      </c>
      <c r="B647" s="1" t="n">
        <v>45812</v>
      </c>
      <c r="C647" s="1" t="n">
        <v>45907</v>
      </c>
      <c r="D647" t="inlineStr">
        <is>
          <t>SKÅNE LÄN</t>
        </is>
      </c>
      <c r="E647" t="inlineStr">
        <is>
          <t>HÄSSLEHOLM</t>
        </is>
      </c>
      <c r="G647" t="n">
        <v>0.8</v>
      </c>
      <c r="H647" t="n">
        <v>0</v>
      </c>
      <c r="I647" t="n">
        <v>0</v>
      </c>
      <c r="J647" t="n">
        <v>0</v>
      </c>
      <c r="K647" t="n">
        <v>0</v>
      </c>
      <c r="L647" t="n">
        <v>0</v>
      </c>
      <c r="M647" t="n">
        <v>0</v>
      </c>
      <c r="N647" t="n">
        <v>0</v>
      </c>
      <c r="O647" t="n">
        <v>0</v>
      </c>
      <c r="P647" t="n">
        <v>0</v>
      </c>
      <c r="Q647" t="n">
        <v>0</v>
      </c>
      <c r="R647" s="2" t="inlineStr"/>
    </row>
    <row r="648" ht="15" customHeight="1">
      <c r="A648" t="inlineStr">
        <is>
          <t>A 54326-2022</t>
        </is>
      </c>
      <c r="B648" s="1" t="n">
        <v>44882.42965277778</v>
      </c>
      <c r="C648" s="1" t="n">
        <v>45907</v>
      </c>
      <c r="D648" t="inlineStr">
        <is>
          <t>SKÅNE LÄN</t>
        </is>
      </c>
      <c r="E648" t="inlineStr">
        <is>
          <t>HÄSSLEHOLM</t>
        </is>
      </c>
      <c r="G648" t="n">
        <v>1.5</v>
      </c>
      <c r="H648" t="n">
        <v>0</v>
      </c>
      <c r="I648" t="n">
        <v>0</v>
      </c>
      <c r="J648" t="n">
        <v>0</v>
      </c>
      <c r="K648" t="n">
        <v>0</v>
      </c>
      <c r="L648" t="n">
        <v>0</v>
      </c>
      <c r="M648" t="n">
        <v>0</v>
      </c>
      <c r="N648" t="n">
        <v>0</v>
      </c>
      <c r="O648" t="n">
        <v>0</v>
      </c>
      <c r="P648" t="n">
        <v>0</v>
      </c>
      <c r="Q648" t="n">
        <v>0</v>
      </c>
      <c r="R648" s="2" t="inlineStr"/>
    </row>
    <row r="649" ht="15" customHeight="1">
      <c r="A649" t="inlineStr">
        <is>
          <t>A 54174-2022</t>
        </is>
      </c>
      <c r="B649" s="1" t="n">
        <v>44881</v>
      </c>
      <c r="C649" s="1" t="n">
        <v>45907</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38376-2022</t>
        </is>
      </c>
      <c r="B650" s="1" t="n">
        <v>44812</v>
      </c>
      <c r="C650" s="1" t="n">
        <v>45907</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54659-2023</t>
        </is>
      </c>
      <c r="B651" s="1" t="n">
        <v>45235</v>
      </c>
      <c r="C651" s="1" t="n">
        <v>45907</v>
      </c>
      <c r="D651" t="inlineStr">
        <is>
          <t>SKÅNE LÄN</t>
        </is>
      </c>
      <c r="E651" t="inlineStr">
        <is>
          <t>HÄSSLEHOLM</t>
        </is>
      </c>
      <c r="G651" t="n">
        <v>5</v>
      </c>
      <c r="H651" t="n">
        <v>0</v>
      </c>
      <c r="I651" t="n">
        <v>0</v>
      </c>
      <c r="J651" t="n">
        <v>0</v>
      </c>
      <c r="K651" t="n">
        <v>0</v>
      </c>
      <c r="L651" t="n">
        <v>0</v>
      </c>
      <c r="M651" t="n">
        <v>0</v>
      </c>
      <c r="N651" t="n">
        <v>0</v>
      </c>
      <c r="O651" t="n">
        <v>0</v>
      </c>
      <c r="P651" t="n">
        <v>0</v>
      </c>
      <c r="Q651" t="n">
        <v>0</v>
      </c>
      <c r="R651" s="2" t="inlineStr"/>
    </row>
    <row r="652" ht="15" customHeight="1">
      <c r="A652" t="inlineStr">
        <is>
          <t>A 15036-2024</t>
        </is>
      </c>
      <c r="B652" s="1" t="n">
        <v>45399.48100694444</v>
      </c>
      <c r="C652" s="1" t="n">
        <v>45907</v>
      </c>
      <c r="D652" t="inlineStr">
        <is>
          <t>SKÅNE LÄN</t>
        </is>
      </c>
      <c r="E652" t="inlineStr">
        <is>
          <t>HÄSSLEHOLM</t>
        </is>
      </c>
      <c r="G652" t="n">
        <v>1.6</v>
      </c>
      <c r="H652" t="n">
        <v>0</v>
      </c>
      <c r="I652" t="n">
        <v>0</v>
      </c>
      <c r="J652" t="n">
        <v>0</v>
      </c>
      <c r="K652" t="n">
        <v>0</v>
      </c>
      <c r="L652" t="n">
        <v>0</v>
      </c>
      <c r="M652" t="n">
        <v>0</v>
      </c>
      <c r="N652" t="n">
        <v>0</v>
      </c>
      <c r="O652" t="n">
        <v>0</v>
      </c>
      <c r="P652" t="n">
        <v>0</v>
      </c>
      <c r="Q652" t="n">
        <v>0</v>
      </c>
      <c r="R652" s="2" t="inlineStr"/>
    </row>
    <row r="653" ht="15" customHeight="1">
      <c r="A653" t="inlineStr">
        <is>
          <t>A 28240-2025</t>
        </is>
      </c>
      <c r="B653" s="1" t="n">
        <v>45817</v>
      </c>
      <c r="C653" s="1" t="n">
        <v>45907</v>
      </c>
      <c r="D653" t="inlineStr">
        <is>
          <t>SKÅNE LÄN</t>
        </is>
      </c>
      <c r="E653" t="inlineStr">
        <is>
          <t>HÄSSLEHOLM</t>
        </is>
      </c>
      <c r="G653" t="n">
        <v>7.7</v>
      </c>
      <c r="H653" t="n">
        <v>0</v>
      </c>
      <c r="I653" t="n">
        <v>0</v>
      </c>
      <c r="J653" t="n">
        <v>0</v>
      </c>
      <c r="K653" t="n">
        <v>0</v>
      </c>
      <c r="L653" t="n">
        <v>0</v>
      </c>
      <c r="M653" t="n">
        <v>0</v>
      </c>
      <c r="N653" t="n">
        <v>0</v>
      </c>
      <c r="O653" t="n">
        <v>0</v>
      </c>
      <c r="P653" t="n">
        <v>0</v>
      </c>
      <c r="Q653" t="n">
        <v>0</v>
      </c>
      <c r="R653" s="2" t="inlineStr"/>
    </row>
    <row r="654" ht="15" customHeight="1">
      <c r="A654" t="inlineStr">
        <is>
          <t>A 27940-2025</t>
        </is>
      </c>
      <c r="B654" s="1" t="n">
        <v>45817.50439814815</v>
      </c>
      <c r="C654" s="1" t="n">
        <v>45907</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9709-2023</t>
        </is>
      </c>
      <c r="B655" s="1" t="n">
        <v>44984.48376157408</v>
      </c>
      <c r="C655" s="1" t="n">
        <v>45907</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27934-2025</t>
        </is>
      </c>
      <c r="B656" s="1" t="n">
        <v>45817.49761574074</v>
      </c>
      <c r="C656" s="1" t="n">
        <v>45907</v>
      </c>
      <c r="D656" t="inlineStr">
        <is>
          <t>SKÅNE LÄN</t>
        </is>
      </c>
      <c r="E656" t="inlineStr">
        <is>
          <t>HÄSSLEHOLM</t>
        </is>
      </c>
      <c r="G656" t="n">
        <v>0.7</v>
      </c>
      <c r="H656" t="n">
        <v>0</v>
      </c>
      <c r="I656" t="n">
        <v>0</v>
      </c>
      <c r="J656" t="n">
        <v>0</v>
      </c>
      <c r="K656" t="n">
        <v>0</v>
      </c>
      <c r="L656" t="n">
        <v>0</v>
      </c>
      <c r="M656" t="n">
        <v>0</v>
      </c>
      <c r="N656" t="n">
        <v>0</v>
      </c>
      <c r="O656" t="n">
        <v>0</v>
      </c>
      <c r="P656" t="n">
        <v>0</v>
      </c>
      <c r="Q656" t="n">
        <v>0</v>
      </c>
      <c r="R656" s="2" t="inlineStr"/>
    </row>
    <row r="657" ht="15" customHeight="1">
      <c r="A657" t="inlineStr">
        <is>
          <t>A 9615-2025</t>
        </is>
      </c>
      <c r="B657" s="1" t="n">
        <v>45715</v>
      </c>
      <c r="C657" s="1" t="n">
        <v>45907</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28251-2025</t>
        </is>
      </c>
      <c r="B658" s="1" t="n">
        <v>45817</v>
      </c>
      <c r="C658" s="1" t="n">
        <v>45907</v>
      </c>
      <c r="D658" t="inlineStr">
        <is>
          <t>SKÅNE LÄN</t>
        </is>
      </c>
      <c r="E658" t="inlineStr">
        <is>
          <t>HÄSSLEHOLM</t>
        </is>
      </c>
      <c r="G658" t="n">
        <v>7.2</v>
      </c>
      <c r="H658" t="n">
        <v>0</v>
      </c>
      <c r="I658" t="n">
        <v>0</v>
      </c>
      <c r="J658" t="n">
        <v>0</v>
      </c>
      <c r="K658" t="n">
        <v>0</v>
      </c>
      <c r="L658" t="n">
        <v>0</v>
      </c>
      <c r="M658" t="n">
        <v>0</v>
      </c>
      <c r="N658" t="n">
        <v>0</v>
      </c>
      <c r="O658" t="n">
        <v>0</v>
      </c>
      <c r="P658" t="n">
        <v>0</v>
      </c>
      <c r="Q658" t="n">
        <v>0</v>
      </c>
      <c r="R658" s="2" t="inlineStr"/>
    </row>
    <row r="659" ht="15" customHeight="1">
      <c r="A659" t="inlineStr">
        <is>
          <t>A 8524-2024</t>
        </is>
      </c>
      <c r="B659" s="1" t="n">
        <v>45355.48570601852</v>
      </c>
      <c r="C659" s="1" t="n">
        <v>45907</v>
      </c>
      <c r="D659" t="inlineStr">
        <is>
          <t>SKÅNE LÄN</t>
        </is>
      </c>
      <c r="E659" t="inlineStr">
        <is>
          <t>HÄSSLEHOLM</t>
        </is>
      </c>
      <c r="G659" t="n">
        <v>4</v>
      </c>
      <c r="H659" t="n">
        <v>0</v>
      </c>
      <c r="I659" t="n">
        <v>0</v>
      </c>
      <c r="J659" t="n">
        <v>0</v>
      </c>
      <c r="K659" t="n">
        <v>0</v>
      </c>
      <c r="L659" t="n">
        <v>0</v>
      </c>
      <c r="M659" t="n">
        <v>0</v>
      </c>
      <c r="N659" t="n">
        <v>0</v>
      </c>
      <c r="O659" t="n">
        <v>0</v>
      </c>
      <c r="P659" t="n">
        <v>0</v>
      </c>
      <c r="Q659" t="n">
        <v>0</v>
      </c>
      <c r="R659" s="2" t="inlineStr"/>
    </row>
    <row r="660" ht="15" customHeight="1">
      <c r="A660" t="inlineStr">
        <is>
          <t>A 69500-2020</t>
        </is>
      </c>
      <c r="B660" s="1" t="n">
        <v>44194</v>
      </c>
      <c r="C660" s="1" t="n">
        <v>45907</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28122-2025</t>
        </is>
      </c>
      <c r="B661" s="1" t="n">
        <v>45817</v>
      </c>
      <c r="C661" s="1" t="n">
        <v>45907</v>
      </c>
      <c r="D661" t="inlineStr">
        <is>
          <t>SKÅNE LÄN</t>
        </is>
      </c>
      <c r="E661" t="inlineStr">
        <is>
          <t>HÄSSLEHOLM</t>
        </is>
      </c>
      <c r="G661" t="n">
        <v>2.4</v>
      </c>
      <c r="H661" t="n">
        <v>0</v>
      </c>
      <c r="I661" t="n">
        <v>0</v>
      </c>
      <c r="J661" t="n">
        <v>0</v>
      </c>
      <c r="K661" t="n">
        <v>0</v>
      </c>
      <c r="L661" t="n">
        <v>0</v>
      </c>
      <c r="M661" t="n">
        <v>0</v>
      </c>
      <c r="N661" t="n">
        <v>0</v>
      </c>
      <c r="O661" t="n">
        <v>0</v>
      </c>
      <c r="P661" t="n">
        <v>0</v>
      </c>
      <c r="Q661" t="n">
        <v>0</v>
      </c>
      <c r="R661" s="2" t="inlineStr"/>
    </row>
    <row r="662" ht="15" customHeight="1">
      <c r="A662" t="inlineStr">
        <is>
          <t>A 27887-2025</t>
        </is>
      </c>
      <c r="B662" s="1" t="n">
        <v>45817.45994212963</v>
      </c>
      <c r="C662" s="1" t="n">
        <v>45907</v>
      </c>
      <c r="D662" t="inlineStr">
        <is>
          <t>SKÅNE LÄN</t>
        </is>
      </c>
      <c r="E662" t="inlineStr">
        <is>
          <t>HÄSSLEHOLM</t>
        </is>
      </c>
      <c r="G662" t="n">
        <v>4.8</v>
      </c>
      <c r="H662" t="n">
        <v>0</v>
      </c>
      <c r="I662" t="n">
        <v>0</v>
      </c>
      <c r="J662" t="n">
        <v>0</v>
      </c>
      <c r="K662" t="n">
        <v>0</v>
      </c>
      <c r="L662" t="n">
        <v>0</v>
      </c>
      <c r="M662" t="n">
        <v>0</v>
      </c>
      <c r="N662" t="n">
        <v>0</v>
      </c>
      <c r="O662" t="n">
        <v>0</v>
      </c>
      <c r="P662" t="n">
        <v>0</v>
      </c>
      <c r="Q662" t="n">
        <v>0</v>
      </c>
      <c r="R662" s="2" t="inlineStr"/>
    </row>
    <row r="663" ht="15" customHeight="1">
      <c r="A663" t="inlineStr">
        <is>
          <t>A 14939-2023</t>
        </is>
      </c>
      <c r="B663" s="1" t="n">
        <v>45014</v>
      </c>
      <c r="C663" s="1" t="n">
        <v>45907</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13345-2025</t>
        </is>
      </c>
      <c r="B664" s="1" t="n">
        <v>45735.63017361111</v>
      </c>
      <c r="C664" s="1" t="n">
        <v>45907</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4945-2022</t>
        </is>
      </c>
      <c r="B665" s="1" t="n">
        <v>44593</v>
      </c>
      <c r="C665" s="1" t="n">
        <v>45907</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23987-2024</t>
        </is>
      </c>
      <c r="B666" s="1" t="n">
        <v>45456</v>
      </c>
      <c r="C666" s="1" t="n">
        <v>45907</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4042-2023</t>
        </is>
      </c>
      <c r="B667" s="1" t="n">
        <v>44952.59950231481</v>
      </c>
      <c r="C667" s="1" t="n">
        <v>45907</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28095-2025</t>
        </is>
      </c>
      <c r="B668" s="1" t="n">
        <v>45817</v>
      </c>
      <c r="C668" s="1" t="n">
        <v>45907</v>
      </c>
      <c r="D668" t="inlineStr">
        <is>
          <t>SKÅNE LÄN</t>
        </is>
      </c>
      <c r="E668" t="inlineStr">
        <is>
          <t>HÄSSLEHOLM</t>
        </is>
      </c>
      <c r="G668" t="n">
        <v>2.5</v>
      </c>
      <c r="H668" t="n">
        <v>0</v>
      </c>
      <c r="I668" t="n">
        <v>0</v>
      </c>
      <c r="J668" t="n">
        <v>0</v>
      </c>
      <c r="K668" t="n">
        <v>0</v>
      </c>
      <c r="L668" t="n">
        <v>0</v>
      </c>
      <c r="M668" t="n">
        <v>0</v>
      </c>
      <c r="N668" t="n">
        <v>0</v>
      </c>
      <c r="O668" t="n">
        <v>0</v>
      </c>
      <c r="P668" t="n">
        <v>0</v>
      </c>
      <c r="Q668" t="n">
        <v>0</v>
      </c>
      <c r="R668" s="2" t="inlineStr"/>
    </row>
    <row r="669" ht="15" customHeight="1">
      <c r="A669" t="inlineStr">
        <is>
          <t>A 49827-2022</t>
        </is>
      </c>
      <c r="B669" s="1" t="n">
        <v>44859</v>
      </c>
      <c r="C669" s="1" t="n">
        <v>45907</v>
      </c>
      <c r="D669" t="inlineStr">
        <is>
          <t>SKÅNE LÄN</t>
        </is>
      </c>
      <c r="E669" t="inlineStr">
        <is>
          <t>HÄSSLEHOLM</t>
        </is>
      </c>
      <c r="G669" t="n">
        <v>6.1</v>
      </c>
      <c r="H669" t="n">
        <v>0</v>
      </c>
      <c r="I669" t="n">
        <v>0</v>
      </c>
      <c r="J669" t="n">
        <v>0</v>
      </c>
      <c r="K669" t="n">
        <v>0</v>
      </c>
      <c r="L669" t="n">
        <v>0</v>
      </c>
      <c r="M669" t="n">
        <v>0</v>
      </c>
      <c r="N669" t="n">
        <v>0</v>
      </c>
      <c r="O669" t="n">
        <v>0</v>
      </c>
      <c r="P669" t="n">
        <v>0</v>
      </c>
      <c r="Q669" t="n">
        <v>0</v>
      </c>
      <c r="R669" s="2" t="inlineStr"/>
    </row>
    <row r="670" ht="15" customHeight="1">
      <c r="A670" t="inlineStr">
        <is>
          <t>A 31160-2024</t>
        </is>
      </c>
      <c r="B670" s="1" t="n">
        <v>45503</v>
      </c>
      <c r="C670" s="1" t="n">
        <v>45907</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5054-2022</t>
        </is>
      </c>
      <c r="B671" s="1" t="n">
        <v>44593.69065972222</v>
      </c>
      <c r="C671" s="1" t="n">
        <v>45907</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31391-2023</t>
        </is>
      </c>
      <c r="B672" s="1" t="n">
        <v>45114.56143518518</v>
      </c>
      <c r="C672" s="1" t="n">
        <v>45907</v>
      </c>
      <c r="D672" t="inlineStr">
        <is>
          <t>SKÅNE LÄN</t>
        </is>
      </c>
      <c r="E672" t="inlineStr">
        <is>
          <t>HÄSSLEHOLM</t>
        </is>
      </c>
      <c r="G672" t="n">
        <v>3.1</v>
      </c>
      <c r="H672" t="n">
        <v>0</v>
      </c>
      <c r="I672" t="n">
        <v>0</v>
      </c>
      <c r="J672" t="n">
        <v>0</v>
      </c>
      <c r="K672" t="n">
        <v>0</v>
      </c>
      <c r="L672" t="n">
        <v>0</v>
      </c>
      <c r="M672" t="n">
        <v>0</v>
      </c>
      <c r="N672" t="n">
        <v>0</v>
      </c>
      <c r="O672" t="n">
        <v>0</v>
      </c>
      <c r="P672" t="n">
        <v>0</v>
      </c>
      <c r="Q672" t="n">
        <v>0</v>
      </c>
      <c r="R672" s="2" t="inlineStr"/>
    </row>
    <row r="673" ht="15" customHeight="1">
      <c r="A673" t="inlineStr">
        <is>
          <t>A 12558-2023</t>
        </is>
      </c>
      <c r="B673" s="1" t="n">
        <v>45000.36103009259</v>
      </c>
      <c r="C673" s="1" t="n">
        <v>45907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23723-2023</t>
        </is>
      </c>
      <c r="B674" s="1" t="n">
        <v>45077</v>
      </c>
      <c r="C674" s="1" t="n">
        <v>45907</v>
      </c>
      <c r="D674" t="inlineStr">
        <is>
          <t>SKÅNE LÄN</t>
        </is>
      </c>
      <c r="E674" t="inlineStr">
        <is>
          <t>HÄSSLEHOLM</t>
        </is>
      </c>
      <c r="G674" t="n">
        <v>3.9</v>
      </c>
      <c r="H674" t="n">
        <v>0</v>
      </c>
      <c r="I674" t="n">
        <v>0</v>
      </c>
      <c r="J674" t="n">
        <v>0</v>
      </c>
      <c r="K674" t="n">
        <v>0</v>
      </c>
      <c r="L674" t="n">
        <v>0</v>
      </c>
      <c r="M674" t="n">
        <v>0</v>
      </c>
      <c r="N674" t="n">
        <v>0</v>
      </c>
      <c r="O674" t="n">
        <v>0</v>
      </c>
      <c r="P674" t="n">
        <v>0</v>
      </c>
      <c r="Q674" t="n">
        <v>0</v>
      </c>
      <c r="R674" s="2" t="inlineStr"/>
    </row>
    <row r="675" ht="15" customHeight="1">
      <c r="A675" t="inlineStr">
        <is>
          <t>A 29170-2025</t>
        </is>
      </c>
      <c r="B675" s="1" t="n">
        <v>45821.69766203704</v>
      </c>
      <c r="C675" s="1" t="n">
        <v>45907</v>
      </c>
      <c r="D675" t="inlineStr">
        <is>
          <t>SKÅNE LÄN</t>
        </is>
      </c>
      <c r="E675" t="inlineStr">
        <is>
          <t>HÄSSLEHOLM</t>
        </is>
      </c>
      <c r="G675" t="n">
        <v>3.1</v>
      </c>
      <c r="H675" t="n">
        <v>0</v>
      </c>
      <c r="I675" t="n">
        <v>0</v>
      </c>
      <c r="J675" t="n">
        <v>0</v>
      </c>
      <c r="K675" t="n">
        <v>0</v>
      </c>
      <c r="L675" t="n">
        <v>0</v>
      </c>
      <c r="M675" t="n">
        <v>0</v>
      </c>
      <c r="N675" t="n">
        <v>0</v>
      </c>
      <c r="O675" t="n">
        <v>0</v>
      </c>
      <c r="P675" t="n">
        <v>0</v>
      </c>
      <c r="Q675" t="n">
        <v>0</v>
      </c>
      <c r="R675" s="2" t="inlineStr"/>
    </row>
    <row r="676" ht="15" customHeight="1">
      <c r="A676" t="inlineStr">
        <is>
          <t>A 4119-2024</t>
        </is>
      </c>
      <c r="B676" s="1" t="n">
        <v>45323.67920138889</v>
      </c>
      <c r="C676" s="1" t="n">
        <v>45907</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6835-2023</t>
        </is>
      </c>
      <c r="B677" s="1" t="n">
        <v>44967</v>
      </c>
      <c r="C677" s="1" t="n">
        <v>45907</v>
      </c>
      <c r="D677" t="inlineStr">
        <is>
          <t>SKÅNE LÄN</t>
        </is>
      </c>
      <c r="E677" t="inlineStr">
        <is>
          <t>HÄSSLEHOLM</t>
        </is>
      </c>
      <c r="G677" t="n">
        <v>4.8</v>
      </c>
      <c r="H677" t="n">
        <v>0</v>
      </c>
      <c r="I677" t="n">
        <v>0</v>
      </c>
      <c r="J677" t="n">
        <v>0</v>
      </c>
      <c r="K677" t="n">
        <v>0</v>
      </c>
      <c r="L677" t="n">
        <v>0</v>
      </c>
      <c r="M677" t="n">
        <v>0</v>
      </c>
      <c r="N677" t="n">
        <v>0</v>
      </c>
      <c r="O677" t="n">
        <v>0</v>
      </c>
      <c r="P677" t="n">
        <v>0</v>
      </c>
      <c r="Q677" t="n">
        <v>0</v>
      </c>
      <c r="R677" s="2" t="inlineStr"/>
    </row>
    <row r="678" ht="15" customHeight="1">
      <c r="A678" t="inlineStr">
        <is>
          <t>A 47757-2024</t>
        </is>
      </c>
      <c r="B678" s="1" t="n">
        <v>45588.55075231481</v>
      </c>
      <c r="C678" s="1" t="n">
        <v>45907</v>
      </c>
      <c r="D678" t="inlineStr">
        <is>
          <t>SKÅNE LÄN</t>
        </is>
      </c>
      <c r="E678" t="inlineStr">
        <is>
          <t>HÄSSLEHOLM</t>
        </is>
      </c>
      <c r="G678" t="n">
        <v>5.5</v>
      </c>
      <c r="H678" t="n">
        <v>0</v>
      </c>
      <c r="I678" t="n">
        <v>0</v>
      </c>
      <c r="J678" t="n">
        <v>0</v>
      </c>
      <c r="K678" t="n">
        <v>0</v>
      </c>
      <c r="L678" t="n">
        <v>0</v>
      </c>
      <c r="M678" t="n">
        <v>0</v>
      </c>
      <c r="N678" t="n">
        <v>0</v>
      </c>
      <c r="O678" t="n">
        <v>0</v>
      </c>
      <c r="P678" t="n">
        <v>0</v>
      </c>
      <c r="Q678" t="n">
        <v>0</v>
      </c>
      <c r="R678" s="2" t="inlineStr"/>
    </row>
    <row r="679" ht="15" customHeight="1">
      <c r="A679" t="inlineStr">
        <is>
          <t>A 16550-2025</t>
        </is>
      </c>
      <c r="B679" s="1" t="n">
        <v>45751.69412037037</v>
      </c>
      <c r="C679" s="1" t="n">
        <v>45907</v>
      </c>
      <c r="D679" t="inlineStr">
        <is>
          <t>SKÅNE LÄN</t>
        </is>
      </c>
      <c r="E679" t="inlineStr">
        <is>
          <t>HÄSSLEHOLM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26536-2022</t>
        </is>
      </c>
      <c r="B680" s="1" t="n">
        <v>44739.45496527778</v>
      </c>
      <c r="C680" s="1" t="n">
        <v>45907</v>
      </c>
      <c r="D680" t="inlineStr">
        <is>
          <t>SKÅNE LÄN</t>
        </is>
      </c>
      <c r="E680" t="inlineStr">
        <is>
          <t>HÄSSLEHOLM</t>
        </is>
      </c>
      <c r="G680" t="n">
        <v>3.1</v>
      </c>
      <c r="H680" t="n">
        <v>0</v>
      </c>
      <c r="I680" t="n">
        <v>0</v>
      </c>
      <c r="J680" t="n">
        <v>0</v>
      </c>
      <c r="K680" t="n">
        <v>0</v>
      </c>
      <c r="L680" t="n">
        <v>0</v>
      </c>
      <c r="M680" t="n">
        <v>0</v>
      </c>
      <c r="N680" t="n">
        <v>0</v>
      </c>
      <c r="O680" t="n">
        <v>0</v>
      </c>
      <c r="P680" t="n">
        <v>0</v>
      </c>
      <c r="Q680" t="n">
        <v>0</v>
      </c>
      <c r="R680" s="2" t="inlineStr"/>
    </row>
    <row r="681" ht="15" customHeight="1">
      <c r="A681" t="inlineStr">
        <is>
          <t>A 31933-2024</t>
        </is>
      </c>
      <c r="B681" s="1" t="n">
        <v>45510.41123842593</v>
      </c>
      <c r="C681" s="1" t="n">
        <v>45907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31581-2023</t>
        </is>
      </c>
      <c r="B682" s="1" t="n">
        <v>45117.45165509259</v>
      </c>
      <c r="C682" s="1" t="n">
        <v>45907</v>
      </c>
      <c r="D682" t="inlineStr">
        <is>
          <t>SKÅNE LÄN</t>
        </is>
      </c>
      <c r="E682" t="inlineStr">
        <is>
          <t>HÄSSLEHOLM</t>
        </is>
      </c>
      <c r="G682" t="n">
        <v>1.7</v>
      </c>
      <c r="H682" t="n">
        <v>0</v>
      </c>
      <c r="I682" t="n">
        <v>0</v>
      </c>
      <c r="J682" t="n">
        <v>0</v>
      </c>
      <c r="K682" t="n">
        <v>0</v>
      </c>
      <c r="L682" t="n">
        <v>0</v>
      </c>
      <c r="M682" t="n">
        <v>0</v>
      </c>
      <c r="N682" t="n">
        <v>0</v>
      </c>
      <c r="O682" t="n">
        <v>0</v>
      </c>
      <c r="P682" t="n">
        <v>0</v>
      </c>
      <c r="Q682" t="n">
        <v>0</v>
      </c>
      <c r="R682" s="2" t="inlineStr"/>
    </row>
    <row r="683" ht="15" customHeight="1">
      <c r="A683" t="inlineStr">
        <is>
          <t>A 29171-2025</t>
        </is>
      </c>
      <c r="B683" s="1" t="n">
        <v>45821.69863425926</v>
      </c>
      <c r="C683" s="1" t="n">
        <v>45907</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29168-2025</t>
        </is>
      </c>
      <c r="B684" s="1" t="n">
        <v>45821.69547453704</v>
      </c>
      <c r="C684" s="1" t="n">
        <v>45907</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36085-2025</t>
        </is>
      </c>
      <c r="B685" s="1" t="n">
        <v>45866.46190972222</v>
      </c>
      <c r="C685" s="1" t="n">
        <v>45907</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55303-2024</t>
        </is>
      </c>
      <c r="B686" s="1" t="n">
        <v>45621.6434837963</v>
      </c>
      <c r="C686" s="1" t="n">
        <v>45907</v>
      </c>
      <c r="D686" t="inlineStr">
        <is>
          <t>SKÅNE LÄN</t>
        </is>
      </c>
      <c r="E686" t="inlineStr">
        <is>
          <t>HÄSSLEHOLM</t>
        </is>
      </c>
      <c r="G686" t="n">
        <v>3.3</v>
      </c>
      <c r="H686" t="n">
        <v>0</v>
      </c>
      <c r="I686" t="n">
        <v>0</v>
      </c>
      <c r="J686" t="n">
        <v>0</v>
      </c>
      <c r="K686" t="n">
        <v>0</v>
      </c>
      <c r="L686" t="n">
        <v>0</v>
      </c>
      <c r="M686" t="n">
        <v>0</v>
      </c>
      <c r="N686" t="n">
        <v>0</v>
      </c>
      <c r="O686" t="n">
        <v>0</v>
      </c>
      <c r="P686" t="n">
        <v>0</v>
      </c>
      <c r="Q686" t="n">
        <v>0</v>
      </c>
      <c r="R686" s="2" t="inlineStr"/>
    </row>
    <row r="687" ht="15" customHeight="1">
      <c r="A687" t="inlineStr">
        <is>
          <t>A 40202-2022</t>
        </is>
      </c>
      <c r="B687" s="1" t="n">
        <v>44820.60614583334</v>
      </c>
      <c r="C687" s="1" t="n">
        <v>45907</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36130-2025</t>
        </is>
      </c>
      <c r="B688" s="1" t="n">
        <v>45866.62273148148</v>
      </c>
      <c r="C688" s="1" t="n">
        <v>45907</v>
      </c>
      <c r="D688" t="inlineStr">
        <is>
          <t>SKÅNE LÄN</t>
        </is>
      </c>
      <c r="E688" t="inlineStr">
        <is>
          <t>HÄSSLEHOLM</t>
        </is>
      </c>
      <c r="G688" t="n">
        <v>4.7</v>
      </c>
      <c r="H688" t="n">
        <v>0</v>
      </c>
      <c r="I688" t="n">
        <v>0</v>
      </c>
      <c r="J688" t="n">
        <v>0</v>
      </c>
      <c r="K688" t="n">
        <v>0</v>
      </c>
      <c r="L688" t="n">
        <v>0</v>
      </c>
      <c r="M688" t="n">
        <v>0</v>
      </c>
      <c r="N688" t="n">
        <v>0</v>
      </c>
      <c r="O688" t="n">
        <v>0</v>
      </c>
      <c r="P688" t="n">
        <v>0</v>
      </c>
      <c r="Q688" t="n">
        <v>0</v>
      </c>
      <c r="R688" s="2" t="inlineStr"/>
    </row>
    <row r="689" ht="15" customHeight="1">
      <c r="A689" t="inlineStr">
        <is>
          <t>A 25057-2024</t>
        </is>
      </c>
      <c r="B689" s="1" t="n">
        <v>45462</v>
      </c>
      <c r="C689" s="1" t="n">
        <v>45907</v>
      </c>
      <c r="D689" t="inlineStr">
        <is>
          <t>SKÅNE LÄN</t>
        </is>
      </c>
      <c r="E689" t="inlineStr">
        <is>
          <t>HÄSSLEHOLM</t>
        </is>
      </c>
      <c r="G689" t="n">
        <v>4.3</v>
      </c>
      <c r="H689" t="n">
        <v>0</v>
      </c>
      <c r="I689" t="n">
        <v>0</v>
      </c>
      <c r="J689" t="n">
        <v>0</v>
      </c>
      <c r="K689" t="n">
        <v>0</v>
      </c>
      <c r="L689" t="n">
        <v>0</v>
      </c>
      <c r="M689" t="n">
        <v>0</v>
      </c>
      <c r="N689" t="n">
        <v>0</v>
      </c>
      <c r="O689" t="n">
        <v>0</v>
      </c>
      <c r="P689" t="n">
        <v>0</v>
      </c>
      <c r="Q689" t="n">
        <v>0</v>
      </c>
      <c r="R689" s="2" t="inlineStr"/>
    </row>
    <row r="690" ht="15" customHeight="1">
      <c r="A690" t="inlineStr">
        <is>
          <t>A 36259-2025</t>
        </is>
      </c>
      <c r="B690" s="1" t="n">
        <v>45867.59799768519</v>
      </c>
      <c r="C690" s="1" t="n">
        <v>45907</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30010-2025</t>
        </is>
      </c>
      <c r="B691" s="1" t="n">
        <v>45826</v>
      </c>
      <c r="C691" s="1" t="n">
        <v>45907</v>
      </c>
      <c r="D691" t="inlineStr">
        <is>
          <t>SKÅNE LÄN</t>
        </is>
      </c>
      <c r="E691" t="inlineStr">
        <is>
          <t>HÄSSLEHOLM</t>
        </is>
      </c>
      <c r="G691" t="n">
        <v>4.5</v>
      </c>
      <c r="H691" t="n">
        <v>0</v>
      </c>
      <c r="I691" t="n">
        <v>0</v>
      </c>
      <c r="J691" t="n">
        <v>0</v>
      </c>
      <c r="K691" t="n">
        <v>0</v>
      </c>
      <c r="L691" t="n">
        <v>0</v>
      </c>
      <c r="M691" t="n">
        <v>0</v>
      </c>
      <c r="N691" t="n">
        <v>0</v>
      </c>
      <c r="O691" t="n">
        <v>0</v>
      </c>
      <c r="P691" t="n">
        <v>0</v>
      </c>
      <c r="Q691" t="n">
        <v>0</v>
      </c>
      <c r="R691" s="2" t="inlineStr"/>
    </row>
    <row r="692" ht="15" customHeight="1">
      <c r="A692" t="inlineStr">
        <is>
          <t>A 36358-2025</t>
        </is>
      </c>
      <c r="B692" s="1" t="n">
        <v>45867</v>
      </c>
      <c r="C692" s="1" t="n">
        <v>45907</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36359-2025</t>
        </is>
      </c>
      <c r="B693" s="1" t="n">
        <v>45867</v>
      </c>
      <c r="C693" s="1" t="n">
        <v>45907</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36361-2025</t>
        </is>
      </c>
      <c r="B694" s="1" t="n">
        <v>45867</v>
      </c>
      <c r="C694" s="1" t="n">
        <v>45907</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4382-2023</t>
        </is>
      </c>
      <c r="B695" s="1" t="n">
        <v>44955.61152777778</v>
      </c>
      <c r="C695" s="1" t="n">
        <v>45907</v>
      </c>
      <c r="D695" t="inlineStr">
        <is>
          <t>SKÅNE LÄN</t>
        </is>
      </c>
      <c r="E695" t="inlineStr">
        <is>
          <t>HÄSSLEHOLM</t>
        </is>
      </c>
      <c r="G695" t="n">
        <v>0.3</v>
      </c>
      <c r="H695" t="n">
        <v>0</v>
      </c>
      <c r="I695" t="n">
        <v>0</v>
      </c>
      <c r="J695" t="n">
        <v>0</v>
      </c>
      <c r="K695" t="n">
        <v>0</v>
      </c>
      <c r="L695" t="n">
        <v>0</v>
      </c>
      <c r="M695" t="n">
        <v>0</v>
      </c>
      <c r="N695" t="n">
        <v>0</v>
      </c>
      <c r="O695" t="n">
        <v>0</v>
      </c>
      <c r="P695" t="n">
        <v>0</v>
      </c>
      <c r="Q695" t="n">
        <v>0</v>
      </c>
      <c r="R695" s="2" t="inlineStr"/>
    </row>
    <row r="696" ht="15" customHeight="1">
      <c r="A696" t="inlineStr">
        <is>
          <t>A 7494-2023</t>
        </is>
      </c>
      <c r="B696" s="1" t="n">
        <v>44971.70835648148</v>
      </c>
      <c r="C696" s="1" t="n">
        <v>45907</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10115-2024</t>
        </is>
      </c>
      <c r="B697" s="1" t="n">
        <v>45364.55339120371</v>
      </c>
      <c r="C697" s="1" t="n">
        <v>45907</v>
      </c>
      <c r="D697" t="inlineStr">
        <is>
          <t>SKÅNE LÄN</t>
        </is>
      </c>
      <c r="E697" t="inlineStr">
        <is>
          <t>HÄSSLEHOLM</t>
        </is>
      </c>
      <c r="G697" t="n">
        <v>7</v>
      </c>
      <c r="H697" t="n">
        <v>0</v>
      </c>
      <c r="I697" t="n">
        <v>0</v>
      </c>
      <c r="J697" t="n">
        <v>0</v>
      </c>
      <c r="K697" t="n">
        <v>0</v>
      </c>
      <c r="L697" t="n">
        <v>0</v>
      </c>
      <c r="M697" t="n">
        <v>0</v>
      </c>
      <c r="N697" t="n">
        <v>0</v>
      </c>
      <c r="O697" t="n">
        <v>0</v>
      </c>
      <c r="P697" t="n">
        <v>0</v>
      </c>
      <c r="Q697" t="n">
        <v>0</v>
      </c>
      <c r="R697" s="2" t="inlineStr"/>
    </row>
    <row r="698" ht="15" customHeight="1">
      <c r="A698" t="inlineStr">
        <is>
          <t>A 31159-2025</t>
        </is>
      </c>
      <c r="B698" s="1" t="n">
        <v>45832.65322916667</v>
      </c>
      <c r="C698" s="1" t="n">
        <v>45907</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36938-2025</t>
        </is>
      </c>
      <c r="B699" s="1" t="n">
        <v>45874.58476851852</v>
      </c>
      <c r="C699" s="1" t="n">
        <v>45907</v>
      </c>
      <c r="D699" t="inlineStr">
        <is>
          <t>SKÅNE LÄN</t>
        </is>
      </c>
      <c r="E699" t="inlineStr">
        <is>
          <t>HÄSSLEHOLM</t>
        </is>
      </c>
      <c r="G699" t="n">
        <v>3.7</v>
      </c>
      <c r="H699" t="n">
        <v>0</v>
      </c>
      <c r="I699" t="n">
        <v>0</v>
      </c>
      <c r="J699" t="n">
        <v>0</v>
      </c>
      <c r="K699" t="n">
        <v>0</v>
      </c>
      <c r="L699" t="n">
        <v>0</v>
      </c>
      <c r="M699" t="n">
        <v>0</v>
      </c>
      <c r="N699" t="n">
        <v>0</v>
      </c>
      <c r="O699" t="n">
        <v>0</v>
      </c>
      <c r="P699" t="n">
        <v>0</v>
      </c>
      <c r="Q699" t="n">
        <v>0</v>
      </c>
      <c r="R699" s="2" t="inlineStr"/>
    </row>
    <row r="700" ht="15" customHeight="1">
      <c r="A700" t="inlineStr">
        <is>
          <t>A 52608-2023</t>
        </is>
      </c>
      <c r="B700" s="1" t="n">
        <v>45219</v>
      </c>
      <c r="C700" s="1" t="n">
        <v>45907</v>
      </c>
      <c r="D700" t="inlineStr">
        <is>
          <t>SKÅNE LÄN</t>
        </is>
      </c>
      <c r="E700" t="inlineStr">
        <is>
          <t>HÄSSLEHOLM</t>
        </is>
      </c>
      <c r="F700" t="inlineStr">
        <is>
          <t>Övriga Aktiebolag</t>
        </is>
      </c>
      <c r="G700" t="n">
        <v>2.1</v>
      </c>
      <c r="H700" t="n">
        <v>0</v>
      </c>
      <c r="I700" t="n">
        <v>0</v>
      </c>
      <c r="J700" t="n">
        <v>0</v>
      </c>
      <c r="K700" t="n">
        <v>0</v>
      </c>
      <c r="L700" t="n">
        <v>0</v>
      </c>
      <c r="M700" t="n">
        <v>0</v>
      </c>
      <c r="N700" t="n">
        <v>0</v>
      </c>
      <c r="O700" t="n">
        <v>0</v>
      </c>
      <c r="P700" t="n">
        <v>0</v>
      </c>
      <c r="Q700" t="n">
        <v>0</v>
      </c>
      <c r="R700" s="2" t="inlineStr"/>
    </row>
    <row r="701" ht="15" customHeight="1">
      <c r="A701" t="inlineStr">
        <is>
          <t>A 37271-2025</t>
        </is>
      </c>
      <c r="B701" s="1" t="n">
        <v>45876.47828703704</v>
      </c>
      <c r="C701" s="1" t="n">
        <v>45907</v>
      </c>
      <c r="D701" t="inlineStr">
        <is>
          <t>SKÅNE LÄN</t>
        </is>
      </c>
      <c r="E701" t="inlineStr">
        <is>
          <t>HÄSSLEHOLM</t>
        </is>
      </c>
      <c r="G701" t="n">
        <v>4.1</v>
      </c>
      <c r="H701" t="n">
        <v>0</v>
      </c>
      <c r="I701" t="n">
        <v>0</v>
      </c>
      <c r="J701" t="n">
        <v>0</v>
      </c>
      <c r="K701" t="n">
        <v>0</v>
      </c>
      <c r="L701" t="n">
        <v>0</v>
      </c>
      <c r="M701" t="n">
        <v>0</v>
      </c>
      <c r="N701" t="n">
        <v>0</v>
      </c>
      <c r="O701" t="n">
        <v>0</v>
      </c>
      <c r="P701" t="n">
        <v>0</v>
      </c>
      <c r="Q701" t="n">
        <v>0</v>
      </c>
      <c r="R701" s="2" t="inlineStr"/>
    </row>
    <row r="702" ht="15" customHeight="1">
      <c r="A702" t="inlineStr">
        <is>
          <t>A 21328-2023</t>
        </is>
      </c>
      <c r="B702" s="1" t="n">
        <v>45062</v>
      </c>
      <c r="C702" s="1" t="n">
        <v>45907</v>
      </c>
      <c r="D702" t="inlineStr">
        <is>
          <t>SKÅNE LÄN</t>
        </is>
      </c>
      <c r="E702" t="inlineStr">
        <is>
          <t>HÄSSLEHOLM</t>
        </is>
      </c>
      <c r="G702" t="n">
        <v>2.1</v>
      </c>
      <c r="H702" t="n">
        <v>0</v>
      </c>
      <c r="I702" t="n">
        <v>0</v>
      </c>
      <c r="J702" t="n">
        <v>0</v>
      </c>
      <c r="K702" t="n">
        <v>0</v>
      </c>
      <c r="L702" t="n">
        <v>0</v>
      </c>
      <c r="M702" t="n">
        <v>0</v>
      </c>
      <c r="N702" t="n">
        <v>0</v>
      </c>
      <c r="O702" t="n">
        <v>0</v>
      </c>
      <c r="P702" t="n">
        <v>0</v>
      </c>
      <c r="Q702" t="n">
        <v>0</v>
      </c>
      <c r="R702" s="2" t="inlineStr"/>
    </row>
    <row r="703" ht="15" customHeight="1">
      <c r="A703" t="inlineStr">
        <is>
          <t>A 3925-2021</t>
        </is>
      </c>
      <c r="B703" s="1" t="n">
        <v>44222</v>
      </c>
      <c r="C703" s="1" t="n">
        <v>45907</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12570-2023</t>
        </is>
      </c>
      <c r="B704" s="1" t="n">
        <v>44999</v>
      </c>
      <c r="C704" s="1" t="n">
        <v>45907</v>
      </c>
      <c r="D704" t="inlineStr">
        <is>
          <t>SKÅNE LÄN</t>
        </is>
      </c>
      <c r="E704" t="inlineStr">
        <is>
          <t>HÄSSLEHOLM</t>
        </is>
      </c>
      <c r="G704" t="n">
        <v>3.4</v>
      </c>
      <c r="H704" t="n">
        <v>0</v>
      </c>
      <c r="I704" t="n">
        <v>0</v>
      </c>
      <c r="J704" t="n">
        <v>0</v>
      </c>
      <c r="K704" t="n">
        <v>0</v>
      </c>
      <c r="L704" t="n">
        <v>0</v>
      </c>
      <c r="M704" t="n">
        <v>0</v>
      </c>
      <c r="N704" t="n">
        <v>0</v>
      </c>
      <c r="O704" t="n">
        <v>0</v>
      </c>
      <c r="P704" t="n">
        <v>0</v>
      </c>
      <c r="Q704" t="n">
        <v>0</v>
      </c>
      <c r="R704" s="2" t="inlineStr"/>
    </row>
    <row r="705" ht="15" customHeight="1">
      <c r="A705" t="inlineStr">
        <is>
          <t>A 29649-2025</t>
        </is>
      </c>
      <c r="B705" s="1" t="n">
        <v>45825.47446759259</v>
      </c>
      <c r="C705" s="1" t="n">
        <v>45907</v>
      </c>
      <c r="D705" t="inlineStr">
        <is>
          <t>SKÅNE LÄN</t>
        </is>
      </c>
      <c r="E705" t="inlineStr">
        <is>
          <t>HÄSSLEHOLM</t>
        </is>
      </c>
      <c r="G705" t="n">
        <v>2.6</v>
      </c>
      <c r="H705" t="n">
        <v>0</v>
      </c>
      <c r="I705" t="n">
        <v>0</v>
      </c>
      <c r="J705" t="n">
        <v>0</v>
      </c>
      <c r="K705" t="n">
        <v>0</v>
      </c>
      <c r="L705" t="n">
        <v>0</v>
      </c>
      <c r="M705" t="n">
        <v>0</v>
      </c>
      <c r="N705" t="n">
        <v>0</v>
      </c>
      <c r="O705" t="n">
        <v>0</v>
      </c>
      <c r="P705" t="n">
        <v>0</v>
      </c>
      <c r="Q705" t="n">
        <v>0</v>
      </c>
      <c r="R705" s="2" t="inlineStr"/>
    </row>
    <row r="706" ht="15" customHeight="1">
      <c r="A706" t="inlineStr">
        <is>
          <t>A 27954-2022</t>
        </is>
      </c>
      <c r="B706" s="1" t="n">
        <v>44743</v>
      </c>
      <c r="C706" s="1" t="n">
        <v>45907</v>
      </c>
      <c r="D706" t="inlineStr">
        <is>
          <t>SKÅNE LÄN</t>
        </is>
      </c>
      <c r="E706" t="inlineStr">
        <is>
          <t>HÄSSLEHOLM</t>
        </is>
      </c>
      <c r="G706" t="n">
        <v>9.4</v>
      </c>
      <c r="H706" t="n">
        <v>0</v>
      </c>
      <c r="I706" t="n">
        <v>0</v>
      </c>
      <c r="J706" t="n">
        <v>0</v>
      </c>
      <c r="K706" t="n">
        <v>0</v>
      </c>
      <c r="L706" t="n">
        <v>0</v>
      </c>
      <c r="M706" t="n">
        <v>0</v>
      </c>
      <c r="N706" t="n">
        <v>0</v>
      </c>
      <c r="O706" t="n">
        <v>0</v>
      </c>
      <c r="P706" t="n">
        <v>0</v>
      </c>
      <c r="Q706" t="n">
        <v>0</v>
      </c>
      <c r="R706" s="2" t="inlineStr"/>
    </row>
    <row r="707" ht="15" customHeight="1">
      <c r="A707" t="inlineStr">
        <is>
          <t>A 20493-2024</t>
        </is>
      </c>
      <c r="B707" s="1" t="n">
        <v>45435</v>
      </c>
      <c r="C707" s="1" t="n">
        <v>45907</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32585-2025</t>
        </is>
      </c>
      <c r="B708" s="1" t="n">
        <v>45838.60021990741</v>
      </c>
      <c r="C708" s="1" t="n">
        <v>45907</v>
      </c>
      <c r="D708" t="inlineStr">
        <is>
          <t>SKÅNE LÄN</t>
        </is>
      </c>
      <c r="E708" t="inlineStr">
        <is>
          <t>HÄSSLEHOLM</t>
        </is>
      </c>
      <c r="G708" t="n">
        <v>2.1</v>
      </c>
      <c r="H708" t="n">
        <v>0</v>
      </c>
      <c r="I708" t="n">
        <v>0</v>
      </c>
      <c r="J708" t="n">
        <v>0</v>
      </c>
      <c r="K708" t="n">
        <v>0</v>
      </c>
      <c r="L708" t="n">
        <v>0</v>
      </c>
      <c r="M708" t="n">
        <v>0</v>
      </c>
      <c r="N708" t="n">
        <v>0</v>
      </c>
      <c r="O708" t="n">
        <v>0</v>
      </c>
      <c r="P708" t="n">
        <v>0</v>
      </c>
      <c r="Q708" t="n">
        <v>0</v>
      </c>
      <c r="R708" s="2" t="inlineStr"/>
    </row>
    <row r="709" ht="15" customHeight="1">
      <c r="A709" t="inlineStr">
        <is>
          <t>A 32592-2025</t>
        </is>
      </c>
      <c r="B709" s="1" t="n">
        <v>45838.61020833333</v>
      </c>
      <c r="C709" s="1" t="n">
        <v>45907</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20435-2021</t>
        </is>
      </c>
      <c r="B710" s="1" t="n">
        <v>44315.5793287037</v>
      </c>
      <c r="C710" s="1" t="n">
        <v>45907</v>
      </c>
      <c r="D710" t="inlineStr">
        <is>
          <t>SKÅNE LÄN</t>
        </is>
      </c>
      <c r="E710" t="inlineStr">
        <is>
          <t>HÄSSLEHOLM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25219-2023</t>
        </is>
      </c>
      <c r="B711" s="1" t="n">
        <v>45086.60541666667</v>
      </c>
      <c r="C711" s="1" t="n">
        <v>45907</v>
      </c>
      <c r="D711" t="inlineStr">
        <is>
          <t>SKÅNE LÄN</t>
        </is>
      </c>
      <c r="E711" t="inlineStr">
        <is>
          <t>HÄSSLEHOLM</t>
        </is>
      </c>
      <c r="G711" t="n">
        <v>6.9</v>
      </c>
      <c r="H711" t="n">
        <v>0</v>
      </c>
      <c r="I711" t="n">
        <v>0</v>
      </c>
      <c r="J711" t="n">
        <v>0</v>
      </c>
      <c r="K711" t="n">
        <v>0</v>
      </c>
      <c r="L711" t="n">
        <v>0</v>
      </c>
      <c r="M711" t="n">
        <v>0</v>
      </c>
      <c r="N711" t="n">
        <v>0</v>
      </c>
      <c r="O711" t="n">
        <v>0</v>
      </c>
      <c r="P711" t="n">
        <v>0</v>
      </c>
      <c r="Q711" t="n">
        <v>0</v>
      </c>
      <c r="R711" s="2" t="inlineStr"/>
    </row>
    <row r="712" ht="15" customHeight="1">
      <c r="A712" t="inlineStr">
        <is>
          <t>A 33562-2025</t>
        </is>
      </c>
      <c r="B712" s="1" t="n">
        <v>45841.57803240741</v>
      </c>
      <c r="C712" s="1" t="n">
        <v>45907</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32981-2025</t>
        </is>
      </c>
      <c r="B713" s="1" t="n">
        <v>45839.86820601852</v>
      </c>
      <c r="C713" s="1" t="n">
        <v>45907</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16121-2025</t>
        </is>
      </c>
      <c r="B714" s="1" t="n">
        <v>45750.40384259259</v>
      </c>
      <c r="C714" s="1" t="n">
        <v>45907</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7306-2025</t>
        </is>
      </c>
      <c r="B715" s="1" t="n">
        <v>45702</v>
      </c>
      <c r="C715" s="1" t="n">
        <v>45907</v>
      </c>
      <c r="D715" t="inlineStr">
        <is>
          <t>SKÅNE LÄN</t>
        </is>
      </c>
      <c r="E715" t="inlineStr">
        <is>
          <t>HÄSSLEHOLM</t>
        </is>
      </c>
      <c r="F715" t="inlineStr">
        <is>
          <t>Övriga Aktiebolag</t>
        </is>
      </c>
      <c r="G715" t="n">
        <v>3.3</v>
      </c>
      <c r="H715" t="n">
        <v>0</v>
      </c>
      <c r="I715" t="n">
        <v>0</v>
      </c>
      <c r="J715" t="n">
        <v>0</v>
      </c>
      <c r="K715" t="n">
        <v>0</v>
      </c>
      <c r="L715" t="n">
        <v>0</v>
      </c>
      <c r="M715" t="n">
        <v>0</v>
      </c>
      <c r="N715" t="n">
        <v>0</v>
      </c>
      <c r="O715" t="n">
        <v>0</v>
      </c>
      <c r="P715" t="n">
        <v>0</v>
      </c>
      <c r="Q715" t="n">
        <v>0</v>
      </c>
      <c r="R715" s="2" t="inlineStr"/>
    </row>
    <row r="716" ht="15" customHeight="1">
      <c r="A716" t="inlineStr">
        <is>
          <t>A 7308-2025</t>
        </is>
      </c>
      <c r="B716" s="1" t="n">
        <v>45702</v>
      </c>
      <c r="C716" s="1" t="n">
        <v>45907</v>
      </c>
      <c r="D716" t="inlineStr">
        <is>
          <t>SKÅNE LÄN</t>
        </is>
      </c>
      <c r="E716" t="inlineStr">
        <is>
          <t>HÄSSLEHOLM</t>
        </is>
      </c>
      <c r="F716" t="inlineStr">
        <is>
          <t>Övriga Aktiebolag</t>
        </is>
      </c>
      <c r="G716" t="n">
        <v>4.8</v>
      </c>
      <c r="H716" t="n">
        <v>0</v>
      </c>
      <c r="I716" t="n">
        <v>0</v>
      </c>
      <c r="J716" t="n">
        <v>0</v>
      </c>
      <c r="K716" t="n">
        <v>0</v>
      </c>
      <c r="L716" t="n">
        <v>0</v>
      </c>
      <c r="M716" t="n">
        <v>0</v>
      </c>
      <c r="N716" t="n">
        <v>0</v>
      </c>
      <c r="O716" t="n">
        <v>0</v>
      </c>
      <c r="P716" t="n">
        <v>0</v>
      </c>
      <c r="Q716" t="n">
        <v>0</v>
      </c>
      <c r="R716" s="2" t="inlineStr"/>
    </row>
    <row r="717" ht="15" customHeight="1">
      <c r="A717" t="inlineStr">
        <is>
          <t>A 58250-2024</t>
        </is>
      </c>
      <c r="B717" s="1" t="n">
        <v>45632.55643518519</v>
      </c>
      <c r="C717" s="1" t="n">
        <v>45907</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41873-2023</t>
        </is>
      </c>
      <c r="B718" s="1" t="n">
        <v>45176</v>
      </c>
      <c r="C718" s="1" t="n">
        <v>45907</v>
      </c>
      <c r="D718" t="inlineStr">
        <is>
          <t>SKÅNE LÄN</t>
        </is>
      </c>
      <c r="E718" t="inlineStr">
        <is>
          <t>HÄSSLEHOLM</t>
        </is>
      </c>
      <c r="G718" t="n">
        <v>2.8</v>
      </c>
      <c r="H718" t="n">
        <v>0</v>
      </c>
      <c r="I718" t="n">
        <v>0</v>
      </c>
      <c r="J718" t="n">
        <v>0</v>
      </c>
      <c r="K718" t="n">
        <v>0</v>
      </c>
      <c r="L718" t="n">
        <v>0</v>
      </c>
      <c r="M718" t="n">
        <v>0</v>
      </c>
      <c r="N718" t="n">
        <v>0</v>
      </c>
      <c r="O718" t="n">
        <v>0</v>
      </c>
      <c r="P718" t="n">
        <v>0</v>
      </c>
      <c r="Q718" t="n">
        <v>0</v>
      </c>
      <c r="R718" s="2" t="inlineStr"/>
    </row>
    <row r="719" ht="15" customHeight="1">
      <c r="A719" t="inlineStr">
        <is>
          <t>A 41998-2021</t>
        </is>
      </c>
      <c r="B719" s="1" t="n">
        <v>44425</v>
      </c>
      <c r="C719" s="1" t="n">
        <v>45907</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33875-2025</t>
        </is>
      </c>
      <c r="B720" s="1" t="n">
        <v>45842.55300925926</v>
      </c>
      <c r="C720" s="1" t="n">
        <v>45907</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33877-2025</t>
        </is>
      </c>
      <c r="B721" s="1" t="n">
        <v>45842.55564814815</v>
      </c>
      <c r="C721" s="1" t="n">
        <v>45907</v>
      </c>
      <c r="D721" t="inlineStr">
        <is>
          <t>SKÅNE LÄN</t>
        </is>
      </c>
      <c r="E721" t="inlineStr">
        <is>
          <t>HÄSSLEHOLM</t>
        </is>
      </c>
      <c r="G721" t="n">
        <v>3.9</v>
      </c>
      <c r="H721" t="n">
        <v>0</v>
      </c>
      <c r="I721" t="n">
        <v>0</v>
      </c>
      <c r="J721" t="n">
        <v>0</v>
      </c>
      <c r="K721" t="n">
        <v>0</v>
      </c>
      <c r="L721" t="n">
        <v>0</v>
      </c>
      <c r="M721" t="n">
        <v>0</v>
      </c>
      <c r="N721" t="n">
        <v>0</v>
      </c>
      <c r="O721" t="n">
        <v>0</v>
      </c>
      <c r="P721" t="n">
        <v>0</v>
      </c>
      <c r="Q721" t="n">
        <v>0</v>
      </c>
      <c r="R721" s="2" t="inlineStr"/>
    </row>
    <row r="722" ht="15" customHeight="1">
      <c r="A722" t="inlineStr">
        <is>
          <t>A 33879-2025</t>
        </is>
      </c>
      <c r="B722" s="1" t="n">
        <v>45842.55766203703</v>
      </c>
      <c r="C722" s="1" t="n">
        <v>45907</v>
      </c>
      <c r="D722" t="inlineStr">
        <is>
          <t>SKÅNE LÄN</t>
        </is>
      </c>
      <c r="E722" t="inlineStr">
        <is>
          <t>HÄSSLEHOLM</t>
        </is>
      </c>
      <c r="G722" t="n">
        <v>6.1</v>
      </c>
      <c r="H722" t="n">
        <v>0</v>
      </c>
      <c r="I722" t="n">
        <v>0</v>
      </c>
      <c r="J722" t="n">
        <v>0</v>
      </c>
      <c r="K722" t="n">
        <v>0</v>
      </c>
      <c r="L722" t="n">
        <v>0</v>
      </c>
      <c r="M722" t="n">
        <v>0</v>
      </c>
      <c r="N722" t="n">
        <v>0</v>
      </c>
      <c r="O722" t="n">
        <v>0</v>
      </c>
      <c r="P722" t="n">
        <v>0</v>
      </c>
      <c r="Q722" t="n">
        <v>0</v>
      </c>
      <c r="R722" s="2" t="inlineStr"/>
    </row>
    <row r="723" ht="15" customHeight="1">
      <c r="A723" t="inlineStr">
        <is>
          <t>A 35712-2024</t>
        </is>
      </c>
      <c r="B723" s="1" t="n">
        <v>45532</v>
      </c>
      <c r="C723" s="1" t="n">
        <v>45907</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61691-2021</t>
        </is>
      </c>
      <c r="B724" s="1" t="n">
        <v>44501</v>
      </c>
      <c r="C724" s="1" t="n">
        <v>45907</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33948-2025</t>
        </is>
      </c>
      <c r="B725" s="1" t="n">
        <v>45842.65945601852</v>
      </c>
      <c r="C725" s="1" t="n">
        <v>45907</v>
      </c>
      <c r="D725" t="inlineStr">
        <is>
          <t>SKÅNE LÄN</t>
        </is>
      </c>
      <c r="E725" t="inlineStr">
        <is>
          <t>HÄSSLEHOLM</t>
        </is>
      </c>
      <c r="G725" t="n">
        <v>8.5</v>
      </c>
      <c r="H725" t="n">
        <v>0</v>
      </c>
      <c r="I725" t="n">
        <v>0</v>
      </c>
      <c r="J725" t="n">
        <v>0</v>
      </c>
      <c r="K725" t="n">
        <v>0</v>
      </c>
      <c r="L725" t="n">
        <v>0</v>
      </c>
      <c r="M725" t="n">
        <v>0</v>
      </c>
      <c r="N725" t="n">
        <v>0</v>
      </c>
      <c r="O725" t="n">
        <v>0</v>
      </c>
      <c r="P725" t="n">
        <v>0</v>
      </c>
      <c r="Q725" t="n">
        <v>0</v>
      </c>
      <c r="R725" s="2" t="inlineStr"/>
    </row>
    <row r="726" ht="15" customHeight="1">
      <c r="A726" t="inlineStr">
        <is>
          <t>A 54671-2022</t>
        </is>
      </c>
      <c r="B726" s="1" t="n">
        <v>44883</v>
      </c>
      <c r="C726" s="1" t="n">
        <v>45907</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22678-2025</t>
        </is>
      </c>
      <c r="B727" s="1" t="n">
        <v>45789.49725694444</v>
      </c>
      <c r="C727" s="1" t="n">
        <v>45907</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32958-2023</t>
        </is>
      </c>
      <c r="B728" s="1" t="n">
        <v>45125.52142361111</v>
      </c>
      <c r="C728" s="1" t="n">
        <v>45907</v>
      </c>
      <c r="D728" t="inlineStr">
        <is>
          <t>SKÅNE LÄN</t>
        </is>
      </c>
      <c r="E728" t="inlineStr">
        <is>
          <t>HÄSSLEHOLM</t>
        </is>
      </c>
      <c r="G728" t="n">
        <v>7.9</v>
      </c>
      <c r="H728" t="n">
        <v>0</v>
      </c>
      <c r="I728" t="n">
        <v>0</v>
      </c>
      <c r="J728" t="n">
        <v>0</v>
      </c>
      <c r="K728" t="n">
        <v>0</v>
      </c>
      <c r="L728" t="n">
        <v>0</v>
      </c>
      <c r="M728" t="n">
        <v>0</v>
      </c>
      <c r="N728" t="n">
        <v>0</v>
      </c>
      <c r="O728" t="n">
        <v>0</v>
      </c>
      <c r="P728" t="n">
        <v>0</v>
      </c>
      <c r="Q728" t="n">
        <v>0</v>
      </c>
      <c r="R728" s="2" t="inlineStr"/>
    </row>
    <row r="729" ht="15" customHeight="1">
      <c r="A729" t="inlineStr">
        <is>
          <t>A 34174-2025</t>
        </is>
      </c>
      <c r="B729" s="1" t="n">
        <v>45844</v>
      </c>
      <c r="C729" s="1" t="n">
        <v>45907</v>
      </c>
      <c r="D729" t="inlineStr">
        <is>
          <t>SKÅNE LÄN</t>
        </is>
      </c>
      <c r="E729" t="inlineStr">
        <is>
          <t>HÄSSLEHOLM</t>
        </is>
      </c>
      <c r="G729" t="n">
        <v>4.7</v>
      </c>
      <c r="H729" t="n">
        <v>0</v>
      </c>
      <c r="I729" t="n">
        <v>0</v>
      </c>
      <c r="J729" t="n">
        <v>0</v>
      </c>
      <c r="K729" t="n">
        <v>0</v>
      </c>
      <c r="L729" t="n">
        <v>0</v>
      </c>
      <c r="M729" t="n">
        <v>0</v>
      </c>
      <c r="N729" t="n">
        <v>0</v>
      </c>
      <c r="O729" t="n">
        <v>0</v>
      </c>
      <c r="P729" t="n">
        <v>0</v>
      </c>
      <c r="Q729" t="n">
        <v>0</v>
      </c>
      <c r="R729" s="2" t="inlineStr"/>
    </row>
    <row r="730" ht="15" customHeight="1">
      <c r="A730" t="inlineStr">
        <is>
          <t>A 40739-2024</t>
        </is>
      </c>
      <c r="B730" s="1" t="n">
        <v>45558</v>
      </c>
      <c r="C730" s="1" t="n">
        <v>45907</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34177-2025</t>
        </is>
      </c>
      <c r="B731" s="1" t="n">
        <v>45844</v>
      </c>
      <c r="C731" s="1" t="n">
        <v>45907</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33950-2025</t>
        </is>
      </c>
      <c r="B732" s="1" t="n">
        <v>45842</v>
      </c>
      <c r="C732" s="1" t="n">
        <v>45907</v>
      </c>
      <c r="D732" t="inlineStr">
        <is>
          <t>SKÅNE LÄN</t>
        </is>
      </c>
      <c r="E732" t="inlineStr">
        <is>
          <t>HÄSSLEHOLM</t>
        </is>
      </c>
      <c r="G732" t="n">
        <v>5.7</v>
      </c>
      <c r="H732" t="n">
        <v>0</v>
      </c>
      <c r="I732" t="n">
        <v>0</v>
      </c>
      <c r="J732" t="n">
        <v>0</v>
      </c>
      <c r="K732" t="n">
        <v>0</v>
      </c>
      <c r="L732" t="n">
        <v>0</v>
      </c>
      <c r="M732" t="n">
        <v>0</v>
      </c>
      <c r="N732" t="n">
        <v>0</v>
      </c>
      <c r="O732" t="n">
        <v>0</v>
      </c>
      <c r="P732" t="n">
        <v>0</v>
      </c>
      <c r="Q732" t="n">
        <v>0</v>
      </c>
      <c r="R732" s="2" t="inlineStr"/>
    </row>
    <row r="733" ht="15" customHeight="1">
      <c r="A733" t="inlineStr">
        <is>
          <t>A 57647-2024</t>
        </is>
      </c>
      <c r="B733" s="1" t="n">
        <v>45630</v>
      </c>
      <c r="C733" s="1" t="n">
        <v>45907</v>
      </c>
      <c r="D733" t="inlineStr">
        <is>
          <t>SKÅNE LÄN</t>
        </is>
      </c>
      <c r="E733" t="inlineStr">
        <is>
          <t>HÄSSLEHOLM</t>
        </is>
      </c>
      <c r="G733" t="n">
        <v>2.9</v>
      </c>
      <c r="H733" t="n">
        <v>0</v>
      </c>
      <c r="I733" t="n">
        <v>0</v>
      </c>
      <c r="J733" t="n">
        <v>0</v>
      </c>
      <c r="K733" t="n">
        <v>0</v>
      </c>
      <c r="L733" t="n">
        <v>0</v>
      </c>
      <c r="M733" t="n">
        <v>0</v>
      </c>
      <c r="N733" t="n">
        <v>0</v>
      </c>
      <c r="O733" t="n">
        <v>0</v>
      </c>
      <c r="P733" t="n">
        <v>0</v>
      </c>
      <c r="Q733" t="n">
        <v>0</v>
      </c>
      <c r="R733" s="2" t="inlineStr"/>
    </row>
    <row r="734" ht="15" customHeight="1">
      <c r="A734" t="inlineStr">
        <is>
          <t>A 20564-2023</t>
        </is>
      </c>
      <c r="B734" s="1" t="n">
        <v>45057</v>
      </c>
      <c r="C734" s="1" t="n">
        <v>45907</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39366-2025</t>
        </is>
      </c>
      <c r="B735" s="1" t="n">
        <v>45889</v>
      </c>
      <c r="C735" s="1" t="n">
        <v>45907</v>
      </c>
      <c r="D735" t="inlineStr">
        <is>
          <t>SKÅNE LÄN</t>
        </is>
      </c>
      <c r="E735" t="inlineStr">
        <is>
          <t>HÄSSLEHOLM</t>
        </is>
      </c>
      <c r="G735" t="n">
        <v>1</v>
      </c>
      <c r="H735" t="n">
        <v>0</v>
      </c>
      <c r="I735" t="n">
        <v>0</v>
      </c>
      <c r="J735" t="n">
        <v>0</v>
      </c>
      <c r="K735" t="n">
        <v>0</v>
      </c>
      <c r="L735" t="n">
        <v>0</v>
      </c>
      <c r="M735" t="n">
        <v>0</v>
      </c>
      <c r="N735" t="n">
        <v>0</v>
      </c>
      <c r="O735" t="n">
        <v>0</v>
      </c>
      <c r="P735" t="n">
        <v>0</v>
      </c>
      <c r="Q735" t="n">
        <v>0</v>
      </c>
      <c r="R735" s="2" t="inlineStr"/>
    </row>
    <row r="736" ht="15" customHeight="1">
      <c r="A736" t="inlineStr">
        <is>
          <t>A 46641-2023</t>
        </is>
      </c>
      <c r="B736" s="1" t="n">
        <v>45198.44523148148</v>
      </c>
      <c r="C736" s="1" t="n">
        <v>45907</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8239-2025</t>
        </is>
      </c>
      <c r="B737" s="1" t="n">
        <v>45708.47984953703</v>
      </c>
      <c r="C737" s="1" t="n">
        <v>45907</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46645-2023</t>
        </is>
      </c>
      <c r="B738" s="1" t="n">
        <v>45198.44686342592</v>
      </c>
      <c r="C738" s="1" t="n">
        <v>45907</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39453-2025</t>
        </is>
      </c>
      <c r="B739" s="1" t="n">
        <v>45889</v>
      </c>
      <c r="C739" s="1" t="n">
        <v>45907</v>
      </c>
      <c r="D739" t="inlineStr">
        <is>
          <t>SKÅNE LÄN</t>
        </is>
      </c>
      <c r="E739" t="inlineStr">
        <is>
          <t>HÄSSLEHOLM</t>
        </is>
      </c>
      <c r="G739" t="n">
        <v>2.5</v>
      </c>
      <c r="H739" t="n">
        <v>0</v>
      </c>
      <c r="I739" t="n">
        <v>0</v>
      </c>
      <c r="J739" t="n">
        <v>0</v>
      </c>
      <c r="K739" t="n">
        <v>0</v>
      </c>
      <c r="L739" t="n">
        <v>0</v>
      </c>
      <c r="M739" t="n">
        <v>0</v>
      </c>
      <c r="N739" t="n">
        <v>0</v>
      </c>
      <c r="O739" t="n">
        <v>0</v>
      </c>
      <c r="P739" t="n">
        <v>0</v>
      </c>
      <c r="Q739" t="n">
        <v>0</v>
      </c>
      <c r="R739" s="2" t="inlineStr"/>
    </row>
    <row r="740" ht="15" customHeight="1">
      <c r="A740" t="inlineStr">
        <is>
          <t>A 13932-2023</t>
        </is>
      </c>
      <c r="B740" s="1" t="n">
        <v>45008.43935185186</v>
      </c>
      <c r="C740" s="1" t="n">
        <v>45907</v>
      </c>
      <c r="D740" t="inlineStr">
        <is>
          <t>SKÅNE LÄN</t>
        </is>
      </c>
      <c r="E740" t="inlineStr">
        <is>
          <t>HÄSSLEHOLM</t>
        </is>
      </c>
      <c r="G740" t="n">
        <v>3.3</v>
      </c>
      <c r="H740" t="n">
        <v>0</v>
      </c>
      <c r="I740" t="n">
        <v>0</v>
      </c>
      <c r="J740" t="n">
        <v>0</v>
      </c>
      <c r="K740" t="n">
        <v>0</v>
      </c>
      <c r="L740" t="n">
        <v>0</v>
      </c>
      <c r="M740" t="n">
        <v>0</v>
      </c>
      <c r="N740" t="n">
        <v>0</v>
      </c>
      <c r="O740" t="n">
        <v>0</v>
      </c>
      <c r="P740" t="n">
        <v>0</v>
      </c>
      <c r="Q740" t="n">
        <v>0</v>
      </c>
      <c r="R740" s="2" t="inlineStr"/>
    </row>
    <row r="741" ht="15" customHeight="1">
      <c r="A741" t="inlineStr">
        <is>
          <t>A 31986-2023</t>
        </is>
      </c>
      <c r="B741" s="1" t="n">
        <v>45119</v>
      </c>
      <c r="C741" s="1" t="n">
        <v>45907</v>
      </c>
      <c r="D741" t="inlineStr">
        <is>
          <t>SKÅNE LÄN</t>
        </is>
      </c>
      <c r="E741" t="inlineStr">
        <is>
          <t>HÄSSLEHOLM</t>
        </is>
      </c>
      <c r="G741" t="n">
        <v>1.7</v>
      </c>
      <c r="H741" t="n">
        <v>0</v>
      </c>
      <c r="I741" t="n">
        <v>0</v>
      </c>
      <c r="J741" t="n">
        <v>0</v>
      </c>
      <c r="K741" t="n">
        <v>0</v>
      </c>
      <c r="L741" t="n">
        <v>0</v>
      </c>
      <c r="M741" t="n">
        <v>0</v>
      </c>
      <c r="N741" t="n">
        <v>0</v>
      </c>
      <c r="O741" t="n">
        <v>0</v>
      </c>
      <c r="P741" t="n">
        <v>0</v>
      </c>
      <c r="Q741" t="n">
        <v>0</v>
      </c>
      <c r="R741" s="2" t="inlineStr"/>
    </row>
    <row r="742" ht="15" customHeight="1">
      <c r="A742" t="inlineStr">
        <is>
          <t>A 62044-2022</t>
        </is>
      </c>
      <c r="B742" s="1" t="n">
        <v>44918.55976851852</v>
      </c>
      <c r="C742" s="1" t="n">
        <v>45907</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35889-2023</t>
        </is>
      </c>
      <c r="B743" s="1" t="n">
        <v>45148</v>
      </c>
      <c r="C743" s="1" t="n">
        <v>45907</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35894-2023</t>
        </is>
      </c>
      <c r="B744" s="1" t="n">
        <v>45148</v>
      </c>
      <c r="C744" s="1" t="n">
        <v>45907</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6619-2024</t>
        </is>
      </c>
      <c r="B745" s="1" t="n">
        <v>45341.6021412037</v>
      </c>
      <c r="C745" s="1" t="n">
        <v>45907</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45299-2024</t>
        </is>
      </c>
      <c r="B746" s="1" t="n">
        <v>45576.40599537037</v>
      </c>
      <c r="C746" s="1" t="n">
        <v>45907</v>
      </c>
      <c r="D746" t="inlineStr">
        <is>
          <t>SKÅNE LÄN</t>
        </is>
      </c>
      <c r="E746" t="inlineStr">
        <is>
          <t>HÄSSLEHOLM</t>
        </is>
      </c>
      <c r="G746" t="n">
        <v>1.3</v>
      </c>
      <c r="H746" t="n">
        <v>0</v>
      </c>
      <c r="I746" t="n">
        <v>0</v>
      </c>
      <c r="J746" t="n">
        <v>0</v>
      </c>
      <c r="K746" t="n">
        <v>0</v>
      </c>
      <c r="L746" t="n">
        <v>0</v>
      </c>
      <c r="M746" t="n">
        <v>0</v>
      </c>
      <c r="N746" t="n">
        <v>0</v>
      </c>
      <c r="O746" t="n">
        <v>0</v>
      </c>
      <c r="P746" t="n">
        <v>0</v>
      </c>
      <c r="Q746" t="n">
        <v>0</v>
      </c>
      <c r="R746" s="2" t="inlineStr"/>
    </row>
    <row r="747" ht="15" customHeight="1">
      <c r="A747" t="inlineStr">
        <is>
          <t>A 25176-2024</t>
        </is>
      </c>
      <c r="B747" s="1" t="n">
        <v>45462.54582175926</v>
      </c>
      <c r="C747" s="1" t="n">
        <v>45907</v>
      </c>
      <c r="D747" t="inlineStr">
        <is>
          <t>SKÅNE LÄN</t>
        </is>
      </c>
      <c r="E747" t="inlineStr">
        <is>
          <t>HÄSSLEHOLM</t>
        </is>
      </c>
      <c r="G747" t="n">
        <v>3.8</v>
      </c>
      <c r="H747" t="n">
        <v>0</v>
      </c>
      <c r="I747" t="n">
        <v>0</v>
      </c>
      <c r="J747" t="n">
        <v>0</v>
      </c>
      <c r="K747" t="n">
        <v>0</v>
      </c>
      <c r="L747" t="n">
        <v>0</v>
      </c>
      <c r="M747" t="n">
        <v>0</v>
      </c>
      <c r="N747" t="n">
        <v>0</v>
      </c>
      <c r="O747" t="n">
        <v>0</v>
      </c>
      <c r="P747" t="n">
        <v>0</v>
      </c>
      <c r="Q747" t="n">
        <v>0</v>
      </c>
      <c r="R747" s="2" t="inlineStr"/>
    </row>
    <row r="748" ht="15" customHeight="1">
      <c r="A748" t="inlineStr">
        <is>
          <t>A 39934-2025</t>
        </is>
      </c>
      <c r="B748" s="1" t="n">
        <v>45891.71465277778</v>
      </c>
      <c r="C748" s="1" t="n">
        <v>45907</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39937-2025</t>
        </is>
      </c>
      <c r="B749" s="1" t="n">
        <v>45891.73162037037</v>
      </c>
      <c r="C749" s="1" t="n">
        <v>45907</v>
      </c>
      <c r="D749" t="inlineStr">
        <is>
          <t>SKÅNE LÄN</t>
        </is>
      </c>
      <c r="E749" t="inlineStr">
        <is>
          <t>HÄSSLEHOLM</t>
        </is>
      </c>
      <c r="G749" t="n">
        <v>4.5</v>
      </c>
      <c r="H749" t="n">
        <v>0</v>
      </c>
      <c r="I749" t="n">
        <v>0</v>
      </c>
      <c r="J749" t="n">
        <v>0</v>
      </c>
      <c r="K749" t="n">
        <v>0</v>
      </c>
      <c r="L749" t="n">
        <v>0</v>
      </c>
      <c r="M749" t="n">
        <v>0</v>
      </c>
      <c r="N749" t="n">
        <v>0</v>
      </c>
      <c r="O749" t="n">
        <v>0</v>
      </c>
      <c r="P749" t="n">
        <v>0</v>
      </c>
      <c r="Q749" t="n">
        <v>0</v>
      </c>
      <c r="R749" s="2" t="inlineStr"/>
    </row>
    <row r="750" ht="15" customHeight="1">
      <c r="A750" t="inlineStr">
        <is>
          <t>A 34869-2025</t>
        </is>
      </c>
      <c r="B750" s="1" t="n">
        <v>45849</v>
      </c>
      <c r="C750" s="1" t="n">
        <v>45907</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7771-2021</t>
        </is>
      </c>
      <c r="B751" s="1" t="n">
        <v>44242</v>
      </c>
      <c r="C751" s="1" t="n">
        <v>45907</v>
      </c>
      <c r="D751" t="inlineStr">
        <is>
          <t>SKÅNE LÄN</t>
        </is>
      </c>
      <c r="E751" t="inlineStr">
        <is>
          <t>HÄSSLEHOLM</t>
        </is>
      </c>
      <c r="G751" t="n">
        <v>4.2</v>
      </c>
      <c r="H751" t="n">
        <v>0</v>
      </c>
      <c r="I751" t="n">
        <v>0</v>
      </c>
      <c r="J751" t="n">
        <v>0</v>
      </c>
      <c r="K751" t="n">
        <v>0</v>
      </c>
      <c r="L751" t="n">
        <v>0</v>
      </c>
      <c r="M751" t="n">
        <v>0</v>
      </c>
      <c r="N751" t="n">
        <v>0</v>
      </c>
      <c r="O751" t="n">
        <v>0</v>
      </c>
      <c r="P751" t="n">
        <v>0</v>
      </c>
      <c r="Q751" t="n">
        <v>0</v>
      </c>
      <c r="R751" s="2" t="inlineStr"/>
    </row>
    <row r="752" ht="15" customHeight="1">
      <c r="A752" t="inlineStr">
        <is>
          <t>A 44741-2023</t>
        </is>
      </c>
      <c r="B752" s="1" t="n">
        <v>45190.38804398148</v>
      </c>
      <c r="C752" s="1" t="n">
        <v>45907</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7476-2025</t>
        </is>
      </c>
      <c r="B753" s="1" t="n">
        <v>45702</v>
      </c>
      <c r="C753" s="1" t="n">
        <v>45907</v>
      </c>
      <c r="D753" t="inlineStr">
        <is>
          <t>SKÅNE LÄN</t>
        </is>
      </c>
      <c r="E753" t="inlineStr">
        <is>
          <t>HÄSSLEHOLM</t>
        </is>
      </c>
      <c r="F753" t="inlineStr">
        <is>
          <t>Övriga Aktiebolag</t>
        </is>
      </c>
      <c r="G753" t="n">
        <v>2.1</v>
      </c>
      <c r="H753" t="n">
        <v>0</v>
      </c>
      <c r="I753" t="n">
        <v>0</v>
      </c>
      <c r="J753" t="n">
        <v>0</v>
      </c>
      <c r="K753" t="n">
        <v>0</v>
      </c>
      <c r="L753" t="n">
        <v>0</v>
      </c>
      <c r="M753" t="n">
        <v>0</v>
      </c>
      <c r="N753" t="n">
        <v>0</v>
      </c>
      <c r="O753" t="n">
        <v>0</v>
      </c>
      <c r="P753" t="n">
        <v>0</v>
      </c>
      <c r="Q753" t="n">
        <v>0</v>
      </c>
      <c r="R753" s="2" t="inlineStr"/>
    </row>
    <row r="754" ht="15" customHeight="1">
      <c r="A754" t="inlineStr">
        <is>
          <t>A 7513-2025</t>
        </is>
      </c>
      <c r="B754" s="1" t="n">
        <v>45702</v>
      </c>
      <c r="C754" s="1" t="n">
        <v>45907</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39457-2025</t>
        </is>
      </c>
      <c r="B755" s="1" t="n">
        <v>45889.76887731482</v>
      </c>
      <c r="C755" s="1" t="n">
        <v>45907</v>
      </c>
      <c r="D755" t="inlineStr">
        <is>
          <t>SKÅNE LÄN</t>
        </is>
      </c>
      <c r="E755" t="inlineStr">
        <is>
          <t>HÄSSLEHOLM</t>
        </is>
      </c>
      <c r="G755" t="n">
        <v>6.6</v>
      </c>
      <c r="H755" t="n">
        <v>0</v>
      </c>
      <c r="I755" t="n">
        <v>0</v>
      </c>
      <c r="J755" t="n">
        <v>0</v>
      </c>
      <c r="K755" t="n">
        <v>0</v>
      </c>
      <c r="L755" t="n">
        <v>0</v>
      </c>
      <c r="M755" t="n">
        <v>0</v>
      </c>
      <c r="N755" t="n">
        <v>0</v>
      </c>
      <c r="O755" t="n">
        <v>0</v>
      </c>
      <c r="P755" t="n">
        <v>0</v>
      </c>
      <c r="Q755" t="n">
        <v>0</v>
      </c>
      <c r="R755" s="2" t="inlineStr"/>
    </row>
    <row r="756" ht="15" customHeight="1">
      <c r="A756" t="inlineStr">
        <is>
          <t>A 31161-2024</t>
        </is>
      </c>
      <c r="B756" s="1" t="n">
        <v>45503</v>
      </c>
      <c r="C756" s="1" t="n">
        <v>45907</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40241-2025</t>
        </is>
      </c>
      <c r="B757" s="1" t="n">
        <v>45894.87251157407</v>
      </c>
      <c r="C757" s="1" t="n">
        <v>45907</v>
      </c>
      <c r="D757" t="inlineStr">
        <is>
          <t>SKÅNE LÄN</t>
        </is>
      </c>
      <c r="E757" t="inlineStr">
        <is>
          <t>HÄSSLEHOLM</t>
        </is>
      </c>
      <c r="G757" t="n">
        <v>3.8</v>
      </c>
      <c r="H757" t="n">
        <v>0</v>
      </c>
      <c r="I757" t="n">
        <v>0</v>
      </c>
      <c r="J757" t="n">
        <v>0</v>
      </c>
      <c r="K757" t="n">
        <v>0</v>
      </c>
      <c r="L757" t="n">
        <v>0</v>
      </c>
      <c r="M757" t="n">
        <v>0</v>
      </c>
      <c r="N757" t="n">
        <v>0</v>
      </c>
      <c r="O757" t="n">
        <v>0</v>
      </c>
      <c r="P757" t="n">
        <v>0</v>
      </c>
      <c r="Q757" t="n">
        <v>0</v>
      </c>
      <c r="R757" s="2" t="inlineStr"/>
    </row>
    <row r="758" ht="15" customHeight="1">
      <c r="A758" t="inlineStr">
        <is>
          <t>A 22157-2024</t>
        </is>
      </c>
      <c r="B758" s="1" t="n">
        <v>45445.85290509259</v>
      </c>
      <c r="C758" s="1" t="n">
        <v>45907</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13316-2023</t>
        </is>
      </c>
      <c r="B759" s="1" t="n">
        <v>45005.39013888889</v>
      </c>
      <c r="C759" s="1" t="n">
        <v>45907</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13358-2023</t>
        </is>
      </c>
      <c r="B760" s="1" t="n">
        <v>45005</v>
      </c>
      <c r="C760" s="1" t="n">
        <v>45907</v>
      </c>
      <c r="D760" t="inlineStr">
        <is>
          <t>SKÅNE LÄN</t>
        </is>
      </c>
      <c r="E760" t="inlineStr">
        <is>
          <t>HÄSSLEHOLM</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52341-2023</t>
        </is>
      </c>
      <c r="B761" s="1" t="n">
        <v>45224.67006944444</v>
      </c>
      <c r="C761" s="1" t="n">
        <v>45907</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49389-2020</t>
        </is>
      </c>
      <c r="B762" s="1" t="n">
        <v>44105</v>
      </c>
      <c r="C762" s="1" t="n">
        <v>45907</v>
      </c>
      <c r="D762" t="inlineStr">
        <is>
          <t>SKÅNE LÄN</t>
        </is>
      </c>
      <c r="E762" t="inlineStr">
        <is>
          <t>HÄSSLEHOLM</t>
        </is>
      </c>
      <c r="G762" t="n">
        <v>1.9</v>
      </c>
      <c r="H762" t="n">
        <v>0</v>
      </c>
      <c r="I762" t="n">
        <v>0</v>
      </c>
      <c r="J762" t="n">
        <v>0</v>
      </c>
      <c r="K762" t="n">
        <v>0</v>
      </c>
      <c r="L762" t="n">
        <v>0</v>
      </c>
      <c r="M762" t="n">
        <v>0</v>
      </c>
      <c r="N762" t="n">
        <v>0</v>
      </c>
      <c r="O762" t="n">
        <v>0</v>
      </c>
      <c r="P762" t="n">
        <v>0</v>
      </c>
      <c r="Q762" t="n">
        <v>0</v>
      </c>
      <c r="R762" s="2" t="inlineStr"/>
    </row>
    <row r="763" ht="15" customHeight="1">
      <c r="A763" t="inlineStr">
        <is>
          <t>A 3245-2022</t>
        </is>
      </c>
      <c r="B763" s="1" t="n">
        <v>44583.39136574074</v>
      </c>
      <c r="C763" s="1" t="n">
        <v>45907</v>
      </c>
      <c r="D763" t="inlineStr">
        <is>
          <t>SKÅNE LÄN</t>
        </is>
      </c>
      <c r="E763" t="inlineStr">
        <is>
          <t>HÄSSLEHOLM</t>
        </is>
      </c>
      <c r="G763" t="n">
        <v>0.9</v>
      </c>
      <c r="H763" t="n">
        <v>0</v>
      </c>
      <c r="I763" t="n">
        <v>0</v>
      </c>
      <c r="J763" t="n">
        <v>0</v>
      </c>
      <c r="K763" t="n">
        <v>0</v>
      </c>
      <c r="L763" t="n">
        <v>0</v>
      </c>
      <c r="M763" t="n">
        <v>0</v>
      </c>
      <c r="N763" t="n">
        <v>0</v>
      </c>
      <c r="O763" t="n">
        <v>0</v>
      </c>
      <c r="P763" t="n">
        <v>0</v>
      </c>
      <c r="Q763" t="n">
        <v>0</v>
      </c>
      <c r="R763" s="2" t="inlineStr"/>
    </row>
    <row r="764" ht="15" customHeight="1">
      <c r="A764" t="inlineStr">
        <is>
          <t>A 20970-2025</t>
        </is>
      </c>
      <c r="B764" s="1" t="n">
        <v>45777.45417824074</v>
      </c>
      <c r="C764" s="1" t="n">
        <v>45907</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35259-2025</t>
        </is>
      </c>
      <c r="B765" s="1" t="n">
        <v>45853.76912037037</v>
      </c>
      <c r="C765" s="1" t="n">
        <v>45907</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17413-2025</t>
        </is>
      </c>
      <c r="B766" s="1" t="n">
        <v>45757.37480324074</v>
      </c>
      <c r="C766" s="1" t="n">
        <v>45907</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25726-2025</t>
        </is>
      </c>
      <c r="B767" s="1" t="n">
        <v>45803</v>
      </c>
      <c r="C767" s="1" t="n">
        <v>45907</v>
      </c>
      <c r="D767" t="inlineStr">
        <is>
          <t>SKÅNE LÄN</t>
        </is>
      </c>
      <c r="E767" t="inlineStr">
        <is>
          <t>HÄSSLEHOLM</t>
        </is>
      </c>
      <c r="G767" t="n">
        <v>5.5</v>
      </c>
      <c r="H767" t="n">
        <v>0</v>
      </c>
      <c r="I767" t="n">
        <v>0</v>
      </c>
      <c r="J767" t="n">
        <v>0</v>
      </c>
      <c r="K767" t="n">
        <v>0</v>
      </c>
      <c r="L767" t="n">
        <v>0</v>
      </c>
      <c r="M767" t="n">
        <v>0</v>
      </c>
      <c r="N767" t="n">
        <v>0</v>
      </c>
      <c r="O767" t="n">
        <v>0</v>
      </c>
      <c r="P767" t="n">
        <v>0</v>
      </c>
      <c r="Q767" t="n">
        <v>0</v>
      </c>
      <c r="R767" s="2" t="inlineStr"/>
    </row>
    <row r="768" ht="15" customHeight="1">
      <c r="A768" t="inlineStr">
        <is>
          <t>A 38228-2021</t>
        </is>
      </c>
      <c r="B768" s="1" t="n">
        <v>44405</v>
      </c>
      <c r="C768" s="1" t="n">
        <v>45907</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41680-2024</t>
        </is>
      </c>
      <c r="B769" s="1" t="n">
        <v>45560</v>
      </c>
      <c r="C769" s="1" t="n">
        <v>45907</v>
      </c>
      <c r="D769" t="inlineStr">
        <is>
          <t>SKÅNE LÄN</t>
        </is>
      </c>
      <c r="E769" t="inlineStr">
        <is>
          <t>HÄSSLEHOLM</t>
        </is>
      </c>
      <c r="G769" t="n">
        <v>0.2</v>
      </c>
      <c r="H769" t="n">
        <v>0</v>
      </c>
      <c r="I769" t="n">
        <v>0</v>
      </c>
      <c r="J769" t="n">
        <v>0</v>
      </c>
      <c r="K769" t="n">
        <v>0</v>
      </c>
      <c r="L769" t="n">
        <v>0</v>
      </c>
      <c r="M769" t="n">
        <v>0</v>
      </c>
      <c r="N769" t="n">
        <v>0</v>
      </c>
      <c r="O769" t="n">
        <v>0</v>
      </c>
      <c r="P769" t="n">
        <v>0</v>
      </c>
      <c r="Q769" t="n">
        <v>0</v>
      </c>
      <c r="R769" s="2" t="inlineStr"/>
    </row>
    <row r="770" ht="15" customHeight="1">
      <c r="A770" t="inlineStr">
        <is>
          <t>A 37286-2025</t>
        </is>
      </c>
      <c r="B770" s="1" t="n">
        <v>45876.50116898148</v>
      </c>
      <c r="C770" s="1" t="n">
        <v>45907</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41400-2025</t>
        </is>
      </c>
      <c r="B771" s="1" t="n">
        <v>45901</v>
      </c>
      <c r="C771" s="1" t="n">
        <v>45907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41401-2025</t>
        </is>
      </c>
      <c r="B772" s="1" t="n">
        <v>45901</v>
      </c>
      <c r="C772" s="1" t="n">
        <v>45907</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11121-2023</t>
        </is>
      </c>
      <c r="B773" s="1" t="n">
        <v>44986</v>
      </c>
      <c r="C773" s="1" t="n">
        <v>45907</v>
      </c>
      <c r="D773" t="inlineStr">
        <is>
          <t>SKÅNE LÄN</t>
        </is>
      </c>
      <c r="E773" t="inlineStr">
        <is>
          <t>HÄSSLEHOLM</t>
        </is>
      </c>
      <c r="F773" t="inlineStr">
        <is>
          <t>Kommuner</t>
        </is>
      </c>
      <c r="G773" t="n">
        <v>5.8</v>
      </c>
      <c r="H773" t="n">
        <v>0</v>
      </c>
      <c r="I773" t="n">
        <v>0</v>
      </c>
      <c r="J773" t="n">
        <v>0</v>
      </c>
      <c r="K773" t="n">
        <v>0</v>
      </c>
      <c r="L773" t="n">
        <v>0</v>
      </c>
      <c r="M773" t="n">
        <v>0</v>
      </c>
      <c r="N773" t="n">
        <v>0</v>
      </c>
      <c r="O773" t="n">
        <v>0</v>
      </c>
      <c r="P773" t="n">
        <v>0</v>
      </c>
      <c r="Q773" t="n">
        <v>0</v>
      </c>
      <c r="R773" s="2" t="inlineStr"/>
    </row>
    <row r="774" ht="15" customHeight="1">
      <c r="A774" t="inlineStr">
        <is>
          <t>A 11116-2023</t>
        </is>
      </c>
      <c r="B774" s="1" t="n">
        <v>44986</v>
      </c>
      <c r="C774" s="1" t="n">
        <v>45907</v>
      </c>
      <c r="D774" t="inlineStr">
        <is>
          <t>SKÅNE LÄN</t>
        </is>
      </c>
      <c r="E774" t="inlineStr">
        <is>
          <t>HÄSSLEHOLM</t>
        </is>
      </c>
      <c r="F774" t="inlineStr">
        <is>
          <t>Kommuner</t>
        </is>
      </c>
      <c r="G774" t="n">
        <v>15.1</v>
      </c>
      <c r="H774" t="n">
        <v>0</v>
      </c>
      <c r="I774" t="n">
        <v>0</v>
      </c>
      <c r="J774" t="n">
        <v>0</v>
      </c>
      <c r="K774" t="n">
        <v>0</v>
      </c>
      <c r="L774" t="n">
        <v>0</v>
      </c>
      <c r="M774" t="n">
        <v>0</v>
      </c>
      <c r="N774" t="n">
        <v>0</v>
      </c>
      <c r="O774" t="n">
        <v>0</v>
      </c>
      <c r="P774" t="n">
        <v>0</v>
      </c>
      <c r="Q774" t="n">
        <v>0</v>
      </c>
      <c r="R774" s="2" t="inlineStr"/>
    </row>
    <row r="775" ht="15" customHeight="1">
      <c r="A775" t="inlineStr">
        <is>
          <t>A 27464-2022</t>
        </is>
      </c>
      <c r="B775" s="1" t="n">
        <v>44742.58704861111</v>
      </c>
      <c r="C775" s="1" t="n">
        <v>45907</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3248-2022</t>
        </is>
      </c>
      <c r="B776" s="1" t="n">
        <v>44583</v>
      </c>
      <c r="C776" s="1" t="n">
        <v>45907</v>
      </c>
      <c r="D776" t="inlineStr">
        <is>
          <t>SKÅNE LÄN</t>
        </is>
      </c>
      <c r="E776" t="inlineStr">
        <is>
          <t>HÄSSLEHOLM</t>
        </is>
      </c>
      <c r="G776" t="n">
        <v>3</v>
      </c>
      <c r="H776" t="n">
        <v>0</v>
      </c>
      <c r="I776" t="n">
        <v>0</v>
      </c>
      <c r="J776" t="n">
        <v>0</v>
      </c>
      <c r="K776" t="n">
        <v>0</v>
      </c>
      <c r="L776" t="n">
        <v>0</v>
      </c>
      <c r="M776" t="n">
        <v>0</v>
      </c>
      <c r="N776" t="n">
        <v>0</v>
      </c>
      <c r="O776" t="n">
        <v>0</v>
      </c>
      <c r="P776" t="n">
        <v>0</v>
      </c>
      <c r="Q776" t="n">
        <v>0</v>
      </c>
      <c r="R776" s="2" t="inlineStr"/>
    </row>
    <row r="777" ht="15" customHeight="1">
      <c r="A777" t="inlineStr">
        <is>
          <t>A 25538-2024</t>
        </is>
      </c>
      <c r="B777" s="1" t="n">
        <v>45463</v>
      </c>
      <c r="C777" s="1" t="n">
        <v>45907</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6798-2025</t>
        </is>
      </c>
      <c r="B778" s="1" t="n">
        <v>45700.668125</v>
      </c>
      <c r="C778" s="1" t="n">
        <v>45907</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10752-2025</t>
        </is>
      </c>
      <c r="B779" s="1" t="n">
        <v>45722</v>
      </c>
      <c r="C779" s="1" t="n">
        <v>45907</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36733-2023</t>
        </is>
      </c>
      <c r="B780" s="1" t="n">
        <v>45153.69989583334</v>
      </c>
      <c r="C780" s="1" t="n">
        <v>45907</v>
      </c>
      <c r="D780" t="inlineStr">
        <is>
          <t>SKÅNE LÄN</t>
        </is>
      </c>
      <c r="E780" t="inlineStr">
        <is>
          <t>HÄSSLEHOLM</t>
        </is>
      </c>
      <c r="G780" t="n">
        <v>4.8</v>
      </c>
      <c r="H780" t="n">
        <v>0</v>
      </c>
      <c r="I780" t="n">
        <v>0</v>
      </c>
      <c r="J780" t="n">
        <v>0</v>
      </c>
      <c r="K780" t="n">
        <v>0</v>
      </c>
      <c r="L780" t="n">
        <v>0</v>
      </c>
      <c r="M780" t="n">
        <v>0</v>
      </c>
      <c r="N780" t="n">
        <v>0</v>
      </c>
      <c r="O780" t="n">
        <v>0</v>
      </c>
      <c r="P780" t="n">
        <v>0</v>
      </c>
      <c r="Q780" t="n">
        <v>0</v>
      </c>
      <c r="R780" s="2" t="inlineStr"/>
    </row>
    <row r="781" ht="15" customHeight="1">
      <c r="A781" t="inlineStr">
        <is>
          <t>A 60509-2023</t>
        </is>
      </c>
      <c r="B781" s="1" t="n">
        <v>45259</v>
      </c>
      <c r="C781" s="1" t="n">
        <v>45907</v>
      </c>
      <c r="D781" t="inlineStr">
        <is>
          <t>SKÅNE LÄN</t>
        </is>
      </c>
      <c r="E781" t="inlineStr">
        <is>
          <t>HÄSSLEHOLM</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1562-2023</t>
        </is>
      </c>
      <c r="B782" s="1" t="n">
        <v>44937.60450231482</v>
      </c>
      <c r="C782" s="1" t="n">
        <v>45907</v>
      </c>
      <c r="D782" t="inlineStr">
        <is>
          <t>SKÅNE LÄN</t>
        </is>
      </c>
      <c r="E782" t="inlineStr">
        <is>
          <t>HÄSSLEHOLM</t>
        </is>
      </c>
      <c r="G782" t="n">
        <v>2.7</v>
      </c>
      <c r="H782" t="n">
        <v>0</v>
      </c>
      <c r="I782" t="n">
        <v>0</v>
      </c>
      <c r="J782" t="n">
        <v>0</v>
      </c>
      <c r="K782" t="n">
        <v>0</v>
      </c>
      <c r="L782" t="n">
        <v>0</v>
      </c>
      <c r="M782" t="n">
        <v>0</v>
      </c>
      <c r="N782" t="n">
        <v>0</v>
      </c>
      <c r="O782" t="n">
        <v>0</v>
      </c>
      <c r="P782" t="n">
        <v>0</v>
      </c>
      <c r="Q782" t="n">
        <v>0</v>
      </c>
      <c r="R782" s="2" t="inlineStr"/>
    </row>
    <row r="783" ht="15" customHeight="1">
      <c r="A783" t="inlineStr">
        <is>
          <t>A 45220-2023</t>
        </is>
      </c>
      <c r="B783" s="1" t="n">
        <v>45191</v>
      </c>
      <c r="C783" s="1" t="n">
        <v>45907</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32967-2023</t>
        </is>
      </c>
      <c r="B784" s="1" t="n">
        <v>45125</v>
      </c>
      <c r="C784" s="1" t="n">
        <v>45907</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32968-2023</t>
        </is>
      </c>
      <c r="B785" s="1" t="n">
        <v>45125</v>
      </c>
      <c r="C785" s="1" t="n">
        <v>45907</v>
      </c>
      <c r="D785" t="inlineStr">
        <is>
          <t>SKÅNE LÄN</t>
        </is>
      </c>
      <c r="E785" t="inlineStr">
        <is>
          <t>HÄSSLEHOLM</t>
        </is>
      </c>
      <c r="G785" t="n">
        <v>1.7</v>
      </c>
      <c r="H785" t="n">
        <v>0</v>
      </c>
      <c r="I785" t="n">
        <v>0</v>
      </c>
      <c r="J785" t="n">
        <v>0</v>
      </c>
      <c r="K785" t="n">
        <v>0</v>
      </c>
      <c r="L785" t="n">
        <v>0</v>
      </c>
      <c r="M785" t="n">
        <v>0</v>
      </c>
      <c r="N785" t="n">
        <v>0</v>
      </c>
      <c r="O785" t="n">
        <v>0</v>
      </c>
      <c r="P785" t="n">
        <v>0</v>
      </c>
      <c r="Q785" t="n">
        <v>0</v>
      </c>
      <c r="R785" s="2" t="inlineStr"/>
    </row>
    <row r="786" ht="15" customHeight="1">
      <c r="A786" t="inlineStr">
        <is>
          <t>A 10277-2023</t>
        </is>
      </c>
      <c r="B786" s="1" t="n">
        <v>44986</v>
      </c>
      <c r="C786" s="1" t="n">
        <v>45907</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10290-2023</t>
        </is>
      </c>
      <c r="B787" s="1" t="n">
        <v>44986</v>
      </c>
      <c r="C787" s="1" t="n">
        <v>45907</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14008-2023</t>
        </is>
      </c>
      <c r="B788" s="1" t="n">
        <v>45008.56725694444</v>
      </c>
      <c r="C788" s="1" t="n">
        <v>45907</v>
      </c>
      <c r="D788" t="inlineStr">
        <is>
          <t>SKÅNE LÄN</t>
        </is>
      </c>
      <c r="E788" t="inlineStr">
        <is>
          <t>HÄSSLEHOLM</t>
        </is>
      </c>
      <c r="G788" t="n">
        <v>3.3</v>
      </c>
      <c r="H788" t="n">
        <v>0</v>
      </c>
      <c r="I788" t="n">
        <v>0</v>
      </c>
      <c r="J788" t="n">
        <v>0</v>
      </c>
      <c r="K788" t="n">
        <v>0</v>
      </c>
      <c r="L788" t="n">
        <v>0</v>
      </c>
      <c r="M788" t="n">
        <v>0</v>
      </c>
      <c r="N788" t="n">
        <v>0</v>
      </c>
      <c r="O788" t="n">
        <v>0</v>
      </c>
      <c r="P788" t="n">
        <v>0</v>
      </c>
      <c r="Q788" t="n">
        <v>0</v>
      </c>
      <c r="R788" s="2" t="inlineStr"/>
    </row>
    <row r="789" ht="15" customHeight="1">
      <c r="A789" t="inlineStr">
        <is>
          <t>A 315-2022</t>
        </is>
      </c>
      <c r="B789" s="1" t="n">
        <v>44565.55630787037</v>
      </c>
      <c r="C789" s="1" t="n">
        <v>45907</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42372-2024</t>
        </is>
      </c>
      <c r="B790" s="1" t="n">
        <v>45564.5127199074</v>
      </c>
      <c r="C790" s="1" t="n">
        <v>45907</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35237-2023</t>
        </is>
      </c>
      <c r="B791" s="1" t="n">
        <v>45145.74532407407</v>
      </c>
      <c r="C791" s="1" t="n">
        <v>45907</v>
      </c>
      <c r="D791" t="inlineStr">
        <is>
          <t>SKÅNE LÄN</t>
        </is>
      </c>
      <c r="E791" t="inlineStr">
        <is>
          <t>HÄSSLEHOLM</t>
        </is>
      </c>
      <c r="G791" t="n">
        <v>1.3</v>
      </c>
      <c r="H791" t="n">
        <v>0</v>
      </c>
      <c r="I791" t="n">
        <v>0</v>
      </c>
      <c r="J791" t="n">
        <v>0</v>
      </c>
      <c r="K791" t="n">
        <v>0</v>
      </c>
      <c r="L791" t="n">
        <v>0</v>
      </c>
      <c r="M791" t="n">
        <v>0</v>
      </c>
      <c r="N791" t="n">
        <v>0</v>
      </c>
      <c r="O791" t="n">
        <v>0</v>
      </c>
      <c r="P791" t="n">
        <v>0</v>
      </c>
      <c r="Q791" t="n">
        <v>0</v>
      </c>
      <c r="R791" s="2" t="inlineStr"/>
    </row>
    <row r="792" ht="15" customHeight="1">
      <c r="A792" t="inlineStr">
        <is>
          <t>A 6180-2021</t>
        </is>
      </c>
      <c r="B792" s="1" t="n">
        <v>44232</v>
      </c>
      <c r="C792" s="1" t="n">
        <v>45907</v>
      </c>
      <c r="D792" t="inlineStr">
        <is>
          <t>SKÅNE LÄN</t>
        </is>
      </c>
      <c r="E792" t="inlineStr">
        <is>
          <t>HÄSSLEHOLM</t>
        </is>
      </c>
      <c r="F792" t="inlineStr">
        <is>
          <t>Kyrkan</t>
        </is>
      </c>
      <c r="G792" t="n">
        <v>1.1</v>
      </c>
      <c r="H792" t="n">
        <v>0</v>
      </c>
      <c r="I792" t="n">
        <v>0</v>
      </c>
      <c r="J792" t="n">
        <v>0</v>
      </c>
      <c r="K792" t="n">
        <v>0</v>
      </c>
      <c r="L792" t="n">
        <v>0</v>
      </c>
      <c r="M792" t="n">
        <v>0</v>
      </c>
      <c r="N792" t="n">
        <v>0</v>
      </c>
      <c r="O792" t="n">
        <v>0</v>
      </c>
      <c r="P792" t="n">
        <v>0</v>
      </c>
      <c r="Q792" t="n">
        <v>0</v>
      </c>
      <c r="R792" s="2" t="inlineStr"/>
    </row>
    <row r="793" ht="15" customHeight="1">
      <c r="A793" t="inlineStr">
        <is>
          <t>A 17138-2025</t>
        </is>
      </c>
      <c r="B793" s="1" t="n">
        <v>45755.80378472222</v>
      </c>
      <c r="C793" s="1" t="n">
        <v>45907</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42520-2025</t>
        </is>
      </c>
      <c r="B794" s="1" t="n">
        <v>45905.54846064815</v>
      </c>
      <c r="C794" s="1" t="n">
        <v>45907</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57695-2023</t>
        </is>
      </c>
      <c r="B795" s="1" t="n">
        <v>45246</v>
      </c>
      <c r="C795" s="1" t="n">
        <v>45907</v>
      </c>
      <c r="D795" t="inlineStr">
        <is>
          <t>SKÅNE LÄN</t>
        </is>
      </c>
      <c r="E795" t="inlineStr">
        <is>
          <t>HÄSSLEHOLM</t>
        </is>
      </c>
      <c r="G795" t="n">
        <v>1.4</v>
      </c>
      <c r="H795" t="n">
        <v>0</v>
      </c>
      <c r="I795" t="n">
        <v>0</v>
      </c>
      <c r="J795" t="n">
        <v>0</v>
      </c>
      <c r="K795" t="n">
        <v>0</v>
      </c>
      <c r="L795" t="n">
        <v>0</v>
      </c>
      <c r="M795" t="n">
        <v>0</v>
      </c>
      <c r="N795" t="n">
        <v>0</v>
      </c>
      <c r="O795" t="n">
        <v>0</v>
      </c>
      <c r="P795" t="n">
        <v>0</v>
      </c>
      <c r="Q795" t="n">
        <v>0</v>
      </c>
      <c r="R795" s="2" t="inlineStr"/>
    </row>
    <row r="796" ht="15" customHeight="1">
      <c r="A796" t="inlineStr">
        <is>
          <t>A 12162-2023</t>
        </is>
      </c>
      <c r="B796" s="1" t="n">
        <v>44998.49619212963</v>
      </c>
      <c r="C796" s="1" t="n">
        <v>45907</v>
      </c>
      <c r="D796" t="inlineStr">
        <is>
          <t>SKÅNE LÄN</t>
        </is>
      </c>
      <c r="E796" t="inlineStr">
        <is>
          <t>HÄSSLEHOLM</t>
        </is>
      </c>
      <c r="G796" t="n">
        <v>0.9</v>
      </c>
      <c r="H796" t="n">
        <v>0</v>
      </c>
      <c r="I796" t="n">
        <v>0</v>
      </c>
      <c r="J796" t="n">
        <v>0</v>
      </c>
      <c r="K796" t="n">
        <v>0</v>
      </c>
      <c r="L796" t="n">
        <v>0</v>
      </c>
      <c r="M796" t="n">
        <v>0</v>
      </c>
      <c r="N796" t="n">
        <v>0</v>
      </c>
      <c r="O796" t="n">
        <v>0</v>
      </c>
      <c r="P796" t="n">
        <v>0</v>
      </c>
      <c r="Q796" t="n">
        <v>0</v>
      </c>
      <c r="R796" s="2" t="inlineStr"/>
    </row>
    <row r="797" ht="15" customHeight="1">
      <c r="A797" t="inlineStr">
        <is>
          <t>A 1616-2025</t>
        </is>
      </c>
      <c r="B797" s="1" t="n">
        <v>45670</v>
      </c>
      <c r="C797" s="1" t="n">
        <v>45907</v>
      </c>
      <c r="D797" t="inlineStr">
        <is>
          <t>SKÅNE LÄN</t>
        </is>
      </c>
      <c r="E797" t="inlineStr">
        <is>
          <t>HÄSSLEHOLM</t>
        </is>
      </c>
      <c r="G797" t="n">
        <v>3.6</v>
      </c>
      <c r="H797" t="n">
        <v>0</v>
      </c>
      <c r="I797" t="n">
        <v>0</v>
      </c>
      <c r="J797" t="n">
        <v>0</v>
      </c>
      <c r="K797" t="n">
        <v>0</v>
      </c>
      <c r="L797" t="n">
        <v>0</v>
      </c>
      <c r="M797" t="n">
        <v>0</v>
      </c>
      <c r="N797" t="n">
        <v>0</v>
      </c>
      <c r="O797" t="n">
        <v>0</v>
      </c>
      <c r="P797" t="n">
        <v>0</v>
      </c>
      <c r="Q797" t="n">
        <v>0</v>
      </c>
      <c r="R797" s="2" t="inlineStr"/>
    </row>
    <row r="798" ht="15" customHeight="1">
      <c r="A798" t="inlineStr">
        <is>
          <t>A 32008-2024</t>
        </is>
      </c>
      <c r="B798" s="1" t="n">
        <v>45510</v>
      </c>
      <c r="C798" s="1" t="n">
        <v>45907</v>
      </c>
      <c r="D798" t="inlineStr">
        <is>
          <t>SKÅNE LÄN</t>
        </is>
      </c>
      <c r="E798" t="inlineStr">
        <is>
          <t>HÄSSLEHOLM</t>
        </is>
      </c>
      <c r="G798" t="n">
        <v>5.1</v>
      </c>
      <c r="H798" t="n">
        <v>0</v>
      </c>
      <c r="I798" t="n">
        <v>0</v>
      </c>
      <c r="J798" t="n">
        <v>0</v>
      </c>
      <c r="K798" t="n">
        <v>0</v>
      </c>
      <c r="L798" t="n">
        <v>0</v>
      </c>
      <c r="M798" t="n">
        <v>0</v>
      </c>
      <c r="N798" t="n">
        <v>0</v>
      </c>
      <c r="O798" t="n">
        <v>0</v>
      </c>
      <c r="P798" t="n">
        <v>0</v>
      </c>
      <c r="Q798" t="n">
        <v>0</v>
      </c>
      <c r="R798" s="2" t="inlineStr"/>
    </row>
    <row r="799" ht="15" customHeight="1">
      <c r="A799" t="inlineStr">
        <is>
          <t>A 13347-2025</t>
        </is>
      </c>
      <c r="B799" s="1" t="n">
        <v>45735.63175925926</v>
      </c>
      <c r="C799" s="1" t="n">
        <v>45907</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4916-2024</t>
        </is>
      </c>
      <c r="B800" s="1" t="n">
        <v>45329</v>
      </c>
      <c r="C800" s="1" t="n">
        <v>45907</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27175-2024</t>
        </is>
      </c>
      <c r="B801" s="1" t="n">
        <v>45471.57111111111</v>
      </c>
      <c r="C801" s="1" t="n">
        <v>45907</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57967-2023</t>
        </is>
      </c>
      <c r="B802" s="1" t="n">
        <v>45247.57984953704</v>
      </c>
      <c r="C802" s="1" t="n">
        <v>45907</v>
      </c>
      <c r="D802" t="inlineStr">
        <is>
          <t>SKÅNE LÄN</t>
        </is>
      </c>
      <c r="E802" t="inlineStr">
        <is>
          <t>HÄSSLEHOLM</t>
        </is>
      </c>
      <c r="G802" t="n">
        <v>8.6</v>
      </c>
      <c r="H802" t="n">
        <v>0</v>
      </c>
      <c r="I802" t="n">
        <v>0</v>
      </c>
      <c r="J802" t="n">
        <v>0</v>
      </c>
      <c r="K802" t="n">
        <v>0</v>
      </c>
      <c r="L802" t="n">
        <v>0</v>
      </c>
      <c r="M802" t="n">
        <v>0</v>
      </c>
      <c r="N802" t="n">
        <v>0</v>
      </c>
      <c r="O802" t="n">
        <v>0</v>
      </c>
      <c r="P802" t="n">
        <v>0</v>
      </c>
      <c r="Q802" t="n">
        <v>0</v>
      </c>
      <c r="R802" s="2" t="inlineStr"/>
    </row>
    <row r="803" ht="15" customHeight="1">
      <c r="A803" t="inlineStr">
        <is>
          <t>A 54658-2023</t>
        </is>
      </c>
      <c r="B803" s="1" t="n">
        <v>45235</v>
      </c>
      <c r="C803" s="1" t="n">
        <v>45907</v>
      </c>
      <c r="D803" t="inlineStr">
        <is>
          <t>SKÅNE LÄN</t>
        </is>
      </c>
      <c r="E803" t="inlineStr">
        <is>
          <t>HÄSSLEHOLM</t>
        </is>
      </c>
      <c r="G803" t="n">
        <v>0.7</v>
      </c>
      <c r="H803" t="n">
        <v>0</v>
      </c>
      <c r="I803" t="n">
        <v>0</v>
      </c>
      <c r="J803" t="n">
        <v>0</v>
      </c>
      <c r="K803" t="n">
        <v>0</v>
      </c>
      <c r="L803" t="n">
        <v>0</v>
      </c>
      <c r="M803" t="n">
        <v>0</v>
      </c>
      <c r="N803" t="n">
        <v>0</v>
      </c>
      <c r="O803" t="n">
        <v>0</v>
      </c>
      <c r="P803" t="n">
        <v>0</v>
      </c>
      <c r="Q803" t="n">
        <v>0</v>
      </c>
      <c r="R803" s="2" t="inlineStr"/>
    </row>
    <row r="804" ht="15" customHeight="1">
      <c r="A804" t="inlineStr">
        <is>
          <t>A 53055-2021</t>
        </is>
      </c>
      <c r="B804" s="1" t="n">
        <v>44467</v>
      </c>
      <c r="C804" s="1" t="n">
        <v>45907</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23666-2023</t>
        </is>
      </c>
      <c r="B805" s="1" t="n">
        <v>45077</v>
      </c>
      <c r="C805" s="1" t="n">
        <v>45907</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62041-2022</t>
        </is>
      </c>
      <c r="B806" s="1" t="n">
        <v>44918.55743055556</v>
      </c>
      <c r="C806" s="1" t="n">
        <v>45907</v>
      </c>
      <c r="D806" t="inlineStr">
        <is>
          <t>SKÅNE LÄN</t>
        </is>
      </c>
      <c r="E806" t="inlineStr">
        <is>
          <t>HÄSSLEHOLM</t>
        </is>
      </c>
      <c r="G806" t="n">
        <v>2.8</v>
      </c>
      <c r="H806" t="n">
        <v>0</v>
      </c>
      <c r="I806" t="n">
        <v>0</v>
      </c>
      <c r="J806" t="n">
        <v>0</v>
      </c>
      <c r="K806" t="n">
        <v>0</v>
      </c>
      <c r="L806" t="n">
        <v>0</v>
      </c>
      <c r="M806" t="n">
        <v>0</v>
      </c>
      <c r="N806" t="n">
        <v>0</v>
      </c>
      <c r="O806" t="n">
        <v>0</v>
      </c>
      <c r="P806" t="n">
        <v>0</v>
      </c>
      <c r="Q806" t="n">
        <v>0</v>
      </c>
      <c r="R806" s="2" t="inlineStr"/>
    </row>
    <row r="807" ht="15" customHeight="1">
      <c r="A807" t="inlineStr">
        <is>
          <t>A 12468-2024</t>
        </is>
      </c>
      <c r="B807" s="1" t="n">
        <v>45379</v>
      </c>
      <c r="C807" s="1" t="n">
        <v>45907</v>
      </c>
      <c r="D807" t="inlineStr">
        <is>
          <t>SKÅNE LÄN</t>
        </is>
      </c>
      <c r="E807" t="inlineStr">
        <is>
          <t>HÄSSLEHOLM</t>
        </is>
      </c>
      <c r="G807" t="n">
        <v>15.5</v>
      </c>
      <c r="H807" t="n">
        <v>0</v>
      </c>
      <c r="I807" t="n">
        <v>0</v>
      </c>
      <c r="J807" t="n">
        <v>0</v>
      </c>
      <c r="K807" t="n">
        <v>0</v>
      </c>
      <c r="L807" t="n">
        <v>0</v>
      </c>
      <c r="M807" t="n">
        <v>0</v>
      </c>
      <c r="N807" t="n">
        <v>0</v>
      </c>
      <c r="O807" t="n">
        <v>0</v>
      </c>
      <c r="P807" t="n">
        <v>0</v>
      </c>
      <c r="Q807" t="n">
        <v>0</v>
      </c>
      <c r="R807" s="2" t="inlineStr"/>
    </row>
    <row r="808" ht="15" customHeight="1">
      <c r="A808" t="inlineStr">
        <is>
          <t>A 3726-2024</t>
        </is>
      </c>
      <c r="B808" s="1" t="n">
        <v>45321</v>
      </c>
      <c r="C808" s="1" t="n">
        <v>45907</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53085-2022</t>
        </is>
      </c>
      <c r="B809" s="1" t="n">
        <v>44873</v>
      </c>
      <c r="C809" s="1" t="n">
        <v>45907</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28211-2022</t>
        </is>
      </c>
      <c r="B810" s="1" t="n">
        <v>44746</v>
      </c>
      <c r="C810" s="1" t="n">
        <v>45907</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32154-2024</t>
        </is>
      </c>
      <c r="B811" s="1" t="n">
        <v>45511</v>
      </c>
      <c r="C811" s="1" t="n">
        <v>45907</v>
      </c>
      <c r="D811" t="inlineStr">
        <is>
          <t>SKÅNE LÄN</t>
        </is>
      </c>
      <c r="E811" t="inlineStr">
        <is>
          <t>HÄSSLEHOLM</t>
        </is>
      </c>
      <c r="G811" t="n">
        <v>6.4</v>
      </c>
      <c r="H811" t="n">
        <v>0</v>
      </c>
      <c r="I811" t="n">
        <v>0</v>
      </c>
      <c r="J811" t="n">
        <v>0</v>
      </c>
      <c r="K811" t="n">
        <v>0</v>
      </c>
      <c r="L811" t="n">
        <v>0</v>
      </c>
      <c r="M811" t="n">
        <v>0</v>
      </c>
      <c r="N811" t="n">
        <v>0</v>
      </c>
      <c r="O811" t="n">
        <v>0</v>
      </c>
      <c r="P811" t="n">
        <v>0</v>
      </c>
      <c r="Q811" t="n">
        <v>0</v>
      </c>
      <c r="R811" s="2" t="inlineStr"/>
    </row>
    <row r="812" ht="15" customHeight="1">
      <c r="A812" t="inlineStr">
        <is>
          <t>A 15990-2023</t>
        </is>
      </c>
      <c r="B812" s="1" t="n">
        <v>45023.39584490741</v>
      </c>
      <c r="C812" s="1" t="n">
        <v>45907</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26207-2021</t>
        </is>
      </c>
      <c r="B813" s="1" t="n">
        <v>44347</v>
      </c>
      <c r="C813" s="1" t="n">
        <v>45907</v>
      </c>
      <c r="D813" t="inlineStr">
        <is>
          <t>SKÅNE LÄN</t>
        </is>
      </c>
      <c r="E813" t="inlineStr">
        <is>
          <t>HÄSSLEHOLM</t>
        </is>
      </c>
      <c r="G813" t="n">
        <v>0.5</v>
      </c>
      <c r="H813" t="n">
        <v>0</v>
      </c>
      <c r="I813" t="n">
        <v>0</v>
      </c>
      <c r="J813" t="n">
        <v>0</v>
      </c>
      <c r="K813" t="n">
        <v>0</v>
      </c>
      <c r="L813" t="n">
        <v>0</v>
      </c>
      <c r="M813" t="n">
        <v>0</v>
      </c>
      <c r="N813" t="n">
        <v>0</v>
      </c>
      <c r="O813" t="n">
        <v>0</v>
      </c>
      <c r="P813" t="n">
        <v>0</v>
      </c>
      <c r="Q813" t="n">
        <v>0</v>
      </c>
      <c r="R813" s="2" t="inlineStr"/>
    </row>
    <row r="814" ht="15" customHeight="1">
      <c r="A814" t="inlineStr">
        <is>
          <t>A 1553-2023</t>
        </is>
      </c>
      <c r="B814" s="1" t="n">
        <v>44937</v>
      </c>
      <c r="C814" s="1" t="n">
        <v>45907</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58883-2024</t>
        </is>
      </c>
      <c r="B815" s="1" t="n">
        <v>45636.44962962963</v>
      </c>
      <c r="C815" s="1" t="n">
        <v>45907</v>
      </c>
      <c r="D815" t="inlineStr">
        <is>
          <t>SKÅNE LÄN</t>
        </is>
      </c>
      <c r="E815" t="inlineStr">
        <is>
          <t>HÄSSLEHOLM</t>
        </is>
      </c>
      <c r="G815" t="n">
        <v>1.6</v>
      </c>
      <c r="H815" t="n">
        <v>0</v>
      </c>
      <c r="I815" t="n">
        <v>0</v>
      </c>
      <c r="J815" t="n">
        <v>0</v>
      </c>
      <c r="K815" t="n">
        <v>0</v>
      </c>
      <c r="L815" t="n">
        <v>0</v>
      </c>
      <c r="M815" t="n">
        <v>0</v>
      </c>
      <c r="N815" t="n">
        <v>0</v>
      </c>
      <c r="O815" t="n">
        <v>0</v>
      </c>
      <c r="P815" t="n">
        <v>0</v>
      </c>
      <c r="Q815" t="n">
        <v>0</v>
      </c>
      <c r="R815" s="2" t="inlineStr"/>
    </row>
    <row r="816" ht="15" customHeight="1">
      <c r="A816" t="inlineStr">
        <is>
          <t>A 22690-2022</t>
        </is>
      </c>
      <c r="B816" s="1" t="n">
        <v>44714.5421875</v>
      </c>
      <c r="C816" s="1" t="n">
        <v>45907</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62199-2022</t>
        </is>
      </c>
      <c r="B817" s="1" t="n">
        <v>44915</v>
      </c>
      <c r="C817" s="1" t="n">
        <v>45907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53897-2023</t>
        </is>
      </c>
      <c r="B818" s="1" t="n">
        <v>45231.53934027778</v>
      </c>
      <c r="C818" s="1" t="n">
        <v>45907</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1170-2025</t>
        </is>
      </c>
      <c r="B819" s="1" t="n">
        <v>45667.29226851852</v>
      </c>
      <c r="C819" s="1" t="n">
        <v>45907</v>
      </c>
      <c r="D819" t="inlineStr">
        <is>
          <t>SKÅNE LÄN</t>
        </is>
      </c>
      <c r="E819" t="inlineStr">
        <is>
          <t>HÄSSLEHOLM</t>
        </is>
      </c>
      <c r="G819" t="n">
        <v>4.3</v>
      </c>
      <c r="H819" t="n">
        <v>0</v>
      </c>
      <c r="I819" t="n">
        <v>0</v>
      </c>
      <c r="J819" t="n">
        <v>0</v>
      </c>
      <c r="K819" t="n">
        <v>0</v>
      </c>
      <c r="L819" t="n">
        <v>0</v>
      </c>
      <c r="M819" t="n">
        <v>0</v>
      </c>
      <c r="N819" t="n">
        <v>0</v>
      </c>
      <c r="O819" t="n">
        <v>0</v>
      </c>
      <c r="P819" t="n">
        <v>0</v>
      </c>
      <c r="Q819" t="n">
        <v>0</v>
      </c>
      <c r="R819" s="2" t="inlineStr"/>
    </row>
    <row r="820" ht="15" customHeight="1">
      <c r="A820" t="inlineStr">
        <is>
          <t>A 9098-2022</t>
        </is>
      </c>
      <c r="B820" s="1" t="n">
        <v>44615</v>
      </c>
      <c r="C820" s="1" t="n">
        <v>45907</v>
      </c>
      <c r="D820" t="inlineStr">
        <is>
          <t>SKÅNE LÄN</t>
        </is>
      </c>
      <c r="E820" t="inlineStr">
        <is>
          <t>HÄSSLEHOLM</t>
        </is>
      </c>
      <c r="G820" t="n">
        <v>2.1</v>
      </c>
      <c r="H820" t="n">
        <v>0</v>
      </c>
      <c r="I820" t="n">
        <v>0</v>
      </c>
      <c r="J820" t="n">
        <v>0</v>
      </c>
      <c r="K820" t="n">
        <v>0</v>
      </c>
      <c r="L820" t="n">
        <v>0</v>
      </c>
      <c r="M820" t="n">
        <v>0</v>
      </c>
      <c r="N820" t="n">
        <v>0</v>
      </c>
      <c r="O820" t="n">
        <v>0</v>
      </c>
      <c r="P820" t="n">
        <v>0</v>
      </c>
      <c r="Q820" t="n">
        <v>0</v>
      </c>
      <c r="R820" s="2" t="inlineStr"/>
    </row>
    <row r="821" ht="15" customHeight="1">
      <c r="A821" t="inlineStr">
        <is>
          <t>A 19151-2023</t>
        </is>
      </c>
      <c r="B821" s="1" t="n">
        <v>45044</v>
      </c>
      <c r="C821" s="1" t="n">
        <v>45907</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22132-2024</t>
        </is>
      </c>
      <c r="B822" s="1" t="n">
        <v>45444.37234953704</v>
      </c>
      <c r="C822" s="1" t="n">
        <v>45907</v>
      </c>
      <c r="D822" t="inlineStr">
        <is>
          <t>SKÅNE LÄN</t>
        </is>
      </c>
      <c r="E822" t="inlineStr">
        <is>
          <t>HÄSSLEHOLM</t>
        </is>
      </c>
      <c r="G822" t="n">
        <v>3.1</v>
      </c>
      <c r="H822" t="n">
        <v>0</v>
      </c>
      <c r="I822" t="n">
        <v>0</v>
      </c>
      <c r="J822" t="n">
        <v>0</v>
      </c>
      <c r="K822" t="n">
        <v>0</v>
      </c>
      <c r="L822" t="n">
        <v>0</v>
      </c>
      <c r="M822" t="n">
        <v>0</v>
      </c>
      <c r="N822" t="n">
        <v>0</v>
      </c>
      <c r="O822" t="n">
        <v>0</v>
      </c>
      <c r="P822" t="n">
        <v>0</v>
      </c>
      <c r="Q822" t="n">
        <v>0</v>
      </c>
      <c r="R822" s="2" t="inlineStr"/>
    </row>
    <row r="823" ht="15" customHeight="1">
      <c r="A823" t="inlineStr">
        <is>
          <t>A 2688-2024</t>
        </is>
      </c>
      <c r="B823" s="1" t="n">
        <v>45314</v>
      </c>
      <c r="C823" s="1" t="n">
        <v>45907</v>
      </c>
      <c r="D823" t="inlineStr">
        <is>
          <t>SKÅNE LÄN</t>
        </is>
      </c>
      <c r="E823" t="inlineStr">
        <is>
          <t>HÄSSLEHOLM</t>
        </is>
      </c>
      <c r="F823" t="inlineStr">
        <is>
          <t>Övriga Aktiebolag</t>
        </is>
      </c>
      <c r="G823" t="n">
        <v>2.8</v>
      </c>
      <c r="H823" t="n">
        <v>0</v>
      </c>
      <c r="I823" t="n">
        <v>0</v>
      </c>
      <c r="J823" t="n">
        <v>0</v>
      </c>
      <c r="K823" t="n">
        <v>0</v>
      </c>
      <c r="L823" t="n">
        <v>0</v>
      </c>
      <c r="M823" t="n">
        <v>0</v>
      </c>
      <c r="N823" t="n">
        <v>0</v>
      </c>
      <c r="O823" t="n">
        <v>0</v>
      </c>
      <c r="P823" t="n">
        <v>0</v>
      </c>
      <c r="Q823" t="n">
        <v>0</v>
      </c>
      <c r="R823" s="2" t="inlineStr"/>
    </row>
    <row r="824" ht="15" customHeight="1">
      <c r="A824" t="inlineStr">
        <is>
          <t>A 29850-2024</t>
        </is>
      </c>
      <c r="B824" s="1" t="n">
        <v>45485.64620370371</v>
      </c>
      <c r="C824" s="1" t="n">
        <v>45907</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32210-2024</t>
        </is>
      </c>
      <c r="B825" s="1" t="n">
        <v>45511.67777777778</v>
      </c>
      <c r="C825" s="1" t="n">
        <v>45907</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67974-2020</t>
        </is>
      </c>
      <c r="B826" s="1" t="n">
        <v>44182</v>
      </c>
      <c r="C826" s="1" t="n">
        <v>45907</v>
      </c>
      <c r="D826" t="inlineStr">
        <is>
          <t>SKÅNE LÄN</t>
        </is>
      </c>
      <c r="E826" t="inlineStr">
        <is>
          <t>HÄSSLEHOLM</t>
        </is>
      </c>
      <c r="G826" t="n">
        <v>9</v>
      </c>
      <c r="H826" t="n">
        <v>0</v>
      </c>
      <c r="I826" t="n">
        <v>0</v>
      </c>
      <c r="J826" t="n">
        <v>0</v>
      </c>
      <c r="K826" t="n">
        <v>0</v>
      </c>
      <c r="L826" t="n">
        <v>0</v>
      </c>
      <c r="M826" t="n">
        <v>0</v>
      </c>
      <c r="N826" t="n">
        <v>0</v>
      </c>
      <c r="O826" t="n">
        <v>0</v>
      </c>
      <c r="P826" t="n">
        <v>0</v>
      </c>
      <c r="Q826" t="n">
        <v>0</v>
      </c>
      <c r="R826" s="2" t="inlineStr"/>
    </row>
    <row r="827" ht="15" customHeight="1">
      <c r="A827" t="inlineStr">
        <is>
          <t>A 30007-2023</t>
        </is>
      </c>
      <c r="B827" s="1" t="n">
        <v>45109.80349537037</v>
      </c>
      <c r="C827" s="1" t="n">
        <v>45907</v>
      </c>
      <c r="D827" t="inlineStr">
        <is>
          <t>SKÅNE LÄN</t>
        </is>
      </c>
      <c r="E827" t="inlineStr">
        <is>
          <t>HÄSSLEHOLM</t>
        </is>
      </c>
      <c r="G827" t="n">
        <v>2.2</v>
      </c>
      <c r="H827" t="n">
        <v>0</v>
      </c>
      <c r="I827" t="n">
        <v>0</v>
      </c>
      <c r="J827" t="n">
        <v>0</v>
      </c>
      <c r="K827" t="n">
        <v>0</v>
      </c>
      <c r="L827" t="n">
        <v>0</v>
      </c>
      <c r="M827" t="n">
        <v>0</v>
      </c>
      <c r="N827" t="n">
        <v>0</v>
      </c>
      <c r="O827" t="n">
        <v>0</v>
      </c>
      <c r="P827" t="n">
        <v>0</v>
      </c>
      <c r="Q827" t="n">
        <v>0</v>
      </c>
      <c r="R827" s="2" t="inlineStr"/>
    </row>
    <row r="828" ht="15" customHeight="1">
      <c r="A828" t="inlineStr">
        <is>
          <t>A 4187-2023</t>
        </is>
      </c>
      <c r="B828" s="1" t="n">
        <v>44953</v>
      </c>
      <c r="C828" s="1" t="n">
        <v>45907</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42231-2022</t>
        </is>
      </c>
      <c r="B829" s="1" t="n">
        <v>44830.77003472222</v>
      </c>
      <c r="C829" s="1" t="n">
        <v>45907</v>
      </c>
      <c r="D829" t="inlineStr">
        <is>
          <t>SKÅNE LÄN</t>
        </is>
      </c>
      <c r="E829" t="inlineStr">
        <is>
          <t>HÄSSLEHOLM</t>
        </is>
      </c>
      <c r="G829" t="n">
        <v>2.7</v>
      </c>
      <c r="H829" t="n">
        <v>0</v>
      </c>
      <c r="I829" t="n">
        <v>0</v>
      </c>
      <c r="J829" t="n">
        <v>0</v>
      </c>
      <c r="K829" t="n">
        <v>0</v>
      </c>
      <c r="L829" t="n">
        <v>0</v>
      </c>
      <c r="M829" t="n">
        <v>0</v>
      </c>
      <c r="N829" t="n">
        <v>0</v>
      </c>
      <c r="O829" t="n">
        <v>0</v>
      </c>
      <c r="P829" t="n">
        <v>0</v>
      </c>
      <c r="Q829" t="n">
        <v>0</v>
      </c>
      <c r="R829" s="2" t="inlineStr"/>
    </row>
    <row r="830" ht="15" customHeight="1">
      <c r="A830" t="inlineStr">
        <is>
          <t>A 2743-2023</t>
        </is>
      </c>
      <c r="B830" s="1" t="n">
        <v>44944</v>
      </c>
      <c r="C830" s="1" t="n">
        <v>45907</v>
      </c>
      <c r="D830" t="inlineStr">
        <is>
          <t>SKÅNE LÄN</t>
        </is>
      </c>
      <c r="E830" t="inlineStr">
        <is>
          <t>HÄSSLEHOLM</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8749-2024</t>
        </is>
      </c>
      <c r="B831" s="1" t="n">
        <v>45356.50387731481</v>
      </c>
      <c r="C831" s="1" t="n">
        <v>45907</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8752-2024</t>
        </is>
      </c>
      <c r="B832" s="1" t="n">
        <v>45356</v>
      </c>
      <c r="C832" s="1" t="n">
        <v>45907</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8759-2024</t>
        </is>
      </c>
      <c r="B833" s="1" t="n">
        <v>45356.52271990741</v>
      </c>
      <c r="C833" s="1" t="n">
        <v>45907</v>
      </c>
      <c r="D833" t="inlineStr">
        <is>
          <t>SKÅNE LÄN</t>
        </is>
      </c>
      <c r="E833" t="inlineStr">
        <is>
          <t>HÄSSLEHOLM</t>
        </is>
      </c>
      <c r="G833" t="n">
        <v>5.7</v>
      </c>
      <c r="H833" t="n">
        <v>0</v>
      </c>
      <c r="I833" t="n">
        <v>0</v>
      </c>
      <c r="J833" t="n">
        <v>0</v>
      </c>
      <c r="K833" t="n">
        <v>0</v>
      </c>
      <c r="L833" t="n">
        <v>0</v>
      </c>
      <c r="M833" t="n">
        <v>0</v>
      </c>
      <c r="N833" t="n">
        <v>0</v>
      </c>
      <c r="O833" t="n">
        <v>0</v>
      </c>
      <c r="P833" t="n">
        <v>0</v>
      </c>
      <c r="Q833" t="n">
        <v>0</v>
      </c>
      <c r="R833" s="2" t="inlineStr"/>
    </row>
    <row r="834" ht="15" customHeight="1">
      <c r="A834" t="inlineStr">
        <is>
          <t>A 48624-2021</t>
        </is>
      </c>
      <c r="B834" s="1" t="n">
        <v>44452</v>
      </c>
      <c r="C834" s="1" t="n">
        <v>45907</v>
      </c>
      <c r="D834" t="inlineStr">
        <is>
          <t>SKÅNE LÄN</t>
        </is>
      </c>
      <c r="E834" t="inlineStr">
        <is>
          <t>HÄSSLEHOLM</t>
        </is>
      </c>
      <c r="G834" t="n">
        <v>2.2</v>
      </c>
      <c r="H834" t="n">
        <v>0</v>
      </c>
      <c r="I834" t="n">
        <v>0</v>
      </c>
      <c r="J834" t="n">
        <v>0</v>
      </c>
      <c r="K834" t="n">
        <v>0</v>
      </c>
      <c r="L834" t="n">
        <v>0</v>
      </c>
      <c r="M834" t="n">
        <v>0</v>
      </c>
      <c r="N834" t="n">
        <v>0</v>
      </c>
      <c r="O834" t="n">
        <v>0</v>
      </c>
      <c r="P834" t="n">
        <v>0</v>
      </c>
      <c r="Q834" t="n">
        <v>0</v>
      </c>
      <c r="R834" s="2" t="inlineStr"/>
    </row>
    <row r="835" ht="15" customHeight="1">
      <c r="A835" t="inlineStr">
        <is>
          <t>A 59390-2021</t>
        </is>
      </c>
      <c r="B835" s="1" t="n">
        <v>44490</v>
      </c>
      <c r="C835" s="1" t="n">
        <v>45907</v>
      </c>
      <c r="D835" t="inlineStr">
        <is>
          <t>SKÅNE LÄN</t>
        </is>
      </c>
      <c r="E835" t="inlineStr">
        <is>
          <t>HÄSSLEHOLM</t>
        </is>
      </c>
      <c r="G835" t="n">
        <v>7.1</v>
      </c>
      <c r="H835" t="n">
        <v>0</v>
      </c>
      <c r="I835" t="n">
        <v>0</v>
      </c>
      <c r="J835" t="n">
        <v>0</v>
      </c>
      <c r="K835" t="n">
        <v>0</v>
      </c>
      <c r="L835" t="n">
        <v>0</v>
      </c>
      <c r="M835" t="n">
        <v>0</v>
      </c>
      <c r="N835" t="n">
        <v>0</v>
      </c>
      <c r="O835" t="n">
        <v>0</v>
      </c>
      <c r="P835" t="n">
        <v>0</v>
      </c>
      <c r="Q835" t="n">
        <v>0</v>
      </c>
      <c r="R835" s="2" t="inlineStr"/>
    </row>
    <row r="836" ht="15" customHeight="1">
      <c r="A836" t="inlineStr">
        <is>
          <t>A 59434-2023</t>
        </is>
      </c>
      <c r="B836" s="1" t="n">
        <v>45254.30440972222</v>
      </c>
      <c r="C836" s="1" t="n">
        <v>45907</v>
      </c>
      <c r="D836" t="inlineStr">
        <is>
          <t>SKÅNE LÄN</t>
        </is>
      </c>
      <c r="E836" t="inlineStr">
        <is>
          <t>HÄSSLEHOLM</t>
        </is>
      </c>
      <c r="G836" t="n">
        <v>3.6</v>
      </c>
      <c r="H836" t="n">
        <v>0</v>
      </c>
      <c r="I836" t="n">
        <v>0</v>
      </c>
      <c r="J836" t="n">
        <v>0</v>
      </c>
      <c r="K836" t="n">
        <v>0</v>
      </c>
      <c r="L836" t="n">
        <v>0</v>
      </c>
      <c r="M836" t="n">
        <v>0</v>
      </c>
      <c r="N836" t="n">
        <v>0</v>
      </c>
      <c r="O836" t="n">
        <v>0</v>
      </c>
      <c r="P836" t="n">
        <v>0</v>
      </c>
      <c r="Q836" t="n">
        <v>0</v>
      </c>
      <c r="R836" s="2" t="inlineStr"/>
    </row>
    <row r="837" ht="15" customHeight="1">
      <c r="A837" t="inlineStr">
        <is>
          <t>A 2290-2024</t>
        </is>
      </c>
      <c r="B837" s="1" t="n">
        <v>45310</v>
      </c>
      <c r="C837" s="1" t="n">
        <v>45907</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33067-2024</t>
        </is>
      </c>
      <c r="B838" s="1" t="n">
        <v>45517.6520949074</v>
      </c>
      <c r="C838" s="1" t="n">
        <v>45907</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3452-2023</t>
        </is>
      </c>
      <c r="B839" s="1" t="n">
        <v>44949</v>
      </c>
      <c r="C839" s="1" t="n">
        <v>45907</v>
      </c>
      <c r="D839" t="inlineStr">
        <is>
          <t>SKÅNE LÄN</t>
        </is>
      </c>
      <c r="E839" t="inlineStr">
        <is>
          <t>HÄSSLEHOLM</t>
        </is>
      </c>
      <c r="G839" t="n">
        <v>1.3</v>
      </c>
      <c r="H839" t="n">
        <v>0</v>
      </c>
      <c r="I839" t="n">
        <v>0</v>
      </c>
      <c r="J839" t="n">
        <v>0</v>
      </c>
      <c r="K839" t="n">
        <v>0</v>
      </c>
      <c r="L839" t="n">
        <v>0</v>
      </c>
      <c r="M839" t="n">
        <v>0</v>
      </c>
      <c r="N839" t="n">
        <v>0</v>
      </c>
      <c r="O839" t="n">
        <v>0</v>
      </c>
      <c r="P839" t="n">
        <v>0</v>
      </c>
      <c r="Q839" t="n">
        <v>0</v>
      </c>
      <c r="R839" s="2" t="inlineStr"/>
    </row>
    <row r="840" ht="15" customHeight="1">
      <c r="A840" t="inlineStr">
        <is>
          <t>A 50525-2024</t>
        </is>
      </c>
      <c r="B840" s="1" t="n">
        <v>45601</v>
      </c>
      <c r="C840" s="1" t="n">
        <v>45907</v>
      </c>
      <c r="D840" t="inlineStr">
        <is>
          <t>SKÅNE LÄN</t>
        </is>
      </c>
      <c r="E840" t="inlineStr">
        <is>
          <t>HÄSSLEHOLM</t>
        </is>
      </c>
      <c r="G840" t="n">
        <v>2.6</v>
      </c>
      <c r="H840" t="n">
        <v>0</v>
      </c>
      <c r="I840" t="n">
        <v>0</v>
      </c>
      <c r="J840" t="n">
        <v>0</v>
      </c>
      <c r="K840" t="n">
        <v>0</v>
      </c>
      <c r="L840" t="n">
        <v>0</v>
      </c>
      <c r="M840" t="n">
        <v>0</v>
      </c>
      <c r="N840" t="n">
        <v>0</v>
      </c>
      <c r="O840" t="n">
        <v>0</v>
      </c>
      <c r="P840" t="n">
        <v>0</v>
      </c>
      <c r="Q840" t="n">
        <v>0</v>
      </c>
      <c r="R840" s="2" t="inlineStr"/>
    </row>
    <row r="841" ht="15" customHeight="1">
      <c r="A841" t="inlineStr">
        <is>
          <t>A 260-2024</t>
        </is>
      </c>
      <c r="B841" s="1" t="n">
        <v>45294</v>
      </c>
      <c r="C841" s="1" t="n">
        <v>45907</v>
      </c>
      <c r="D841" t="inlineStr">
        <is>
          <t>SKÅNE LÄN</t>
        </is>
      </c>
      <c r="E841" t="inlineStr">
        <is>
          <t>HÄSSLEHOLM</t>
        </is>
      </c>
      <c r="G841" t="n">
        <v>0.2</v>
      </c>
      <c r="H841" t="n">
        <v>0</v>
      </c>
      <c r="I841" t="n">
        <v>0</v>
      </c>
      <c r="J841" t="n">
        <v>0</v>
      </c>
      <c r="K841" t="n">
        <v>0</v>
      </c>
      <c r="L841" t="n">
        <v>0</v>
      </c>
      <c r="M841" t="n">
        <v>0</v>
      </c>
      <c r="N841" t="n">
        <v>0</v>
      </c>
      <c r="O841" t="n">
        <v>0</v>
      </c>
      <c r="P841" t="n">
        <v>0</v>
      </c>
      <c r="Q841" t="n">
        <v>0</v>
      </c>
      <c r="R841" s="2" t="inlineStr"/>
    </row>
    <row r="842" ht="15" customHeight="1">
      <c r="A842" t="inlineStr">
        <is>
          <t>A 5016-2024</t>
        </is>
      </c>
      <c r="B842" s="1" t="n">
        <v>45329</v>
      </c>
      <c r="C842" s="1" t="n">
        <v>45907</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11603-2025</t>
        </is>
      </c>
      <c r="B843" s="1" t="n">
        <v>45727</v>
      </c>
      <c r="C843" s="1" t="n">
        <v>45907</v>
      </c>
      <c r="D843" t="inlineStr">
        <is>
          <t>SKÅNE LÄN</t>
        </is>
      </c>
      <c r="E843" t="inlineStr">
        <is>
          <t>HÄSSLEHOLM</t>
        </is>
      </c>
      <c r="G843" t="n">
        <v>5.6</v>
      </c>
      <c r="H843" t="n">
        <v>0</v>
      </c>
      <c r="I843" t="n">
        <v>0</v>
      </c>
      <c r="J843" t="n">
        <v>0</v>
      </c>
      <c r="K843" t="n">
        <v>0</v>
      </c>
      <c r="L843" t="n">
        <v>0</v>
      </c>
      <c r="M843" t="n">
        <v>0</v>
      </c>
      <c r="N843" t="n">
        <v>0</v>
      </c>
      <c r="O843" t="n">
        <v>0</v>
      </c>
      <c r="P843" t="n">
        <v>0</v>
      </c>
      <c r="Q843" t="n">
        <v>0</v>
      </c>
      <c r="R843" s="2" t="inlineStr"/>
    </row>
    <row r="844" ht="15" customHeight="1">
      <c r="A844" t="inlineStr">
        <is>
          <t>A 28236-2022</t>
        </is>
      </c>
      <c r="B844" s="1" t="n">
        <v>44746</v>
      </c>
      <c r="C844" s="1" t="n">
        <v>45907</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61625-2022</t>
        </is>
      </c>
      <c r="B845" s="1" t="n">
        <v>44916</v>
      </c>
      <c r="C845" s="1" t="n">
        <v>45907</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38829-2024</t>
        </is>
      </c>
      <c r="B846" s="1" t="n">
        <v>45547.57247685185</v>
      </c>
      <c r="C846" s="1" t="n">
        <v>45907</v>
      </c>
      <c r="D846" t="inlineStr">
        <is>
          <t>SKÅNE LÄN</t>
        </is>
      </c>
      <c r="E846" t="inlineStr">
        <is>
          <t>HÄSSLEHOLM</t>
        </is>
      </c>
      <c r="G846" t="n">
        <v>1.8</v>
      </c>
      <c r="H846" t="n">
        <v>0</v>
      </c>
      <c r="I846" t="n">
        <v>0</v>
      </c>
      <c r="J846" t="n">
        <v>0</v>
      </c>
      <c r="K846" t="n">
        <v>0</v>
      </c>
      <c r="L846" t="n">
        <v>0</v>
      </c>
      <c r="M846" t="n">
        <v>0</v>
      </c>
      <c r="N846" t="n">
        <v>0</v>
      </c>
      <c r="O846" t="n">
        <v>0</v>
      </c>
      <c r="P846" t="n">
        <v>0</v>
      </c>
      <c r="Q846" t="n">
        <v>0</v>
      </c>
      <c r="R846" s="2" t="inlineStr"/>
    </row>
    <row r="847" ht="15" customHeight="1">
      <c r="A847" t="inlineStr">
        <is>
          <t>A 25206-2023</t>
        </is>
      </c>
      <c r="B847" s="1" t="n">
        <v>45086.59318287037</v>
      </c>
      <c r="C847" s="1" t="n">
        <v>45907</v>
      </c>
      <c r="D847" t="inlineStr">
        <is>
          <t>SKÅNE LÄN</t>
        </is>
      </c>
      <c r="E847" t="inlineStr">
        <is>
          <t>HÄSSLEHOLM</t>
        </is>
      </c>
      <c r="G847" t="n">
        <v>2.9</v>
      </c>
      <c r="H847" t="n">
        <v>0</v>
      </c>
      <c r="I847" t="n">
        <v>0</v>
      </c>
      <c r="J847" t="n">
        <v>0</v>
      </c>
      <c r="K847" t="n">
        <v>0</v>
      </c>
      <c r="L847" t="n">
        <v>0</v>
      </c>
      <c r="M847" t="n">
        <v>0</v>
      </c>
      <c r="N847" t="n">
        <v>0</v>
      </c>
      <c r="O847" t="n">
        <v>0</v>
      </c>
      <c r="P847" t="n">
        <v>0</v>
      </c>
      <c r="Q847" t="n">
        <v>0</v>
      </c>
      <c r="R847" s="2" t="inlineStr"/>
    </row>
    <row r="848" ht="15" customHeight="1">
      <c r="A848" t="inlineStr">
        <is>
          <t>A 25221-2023</t>
        </is>
      </c>
      <c r="B848" s="1" t="n">
        <v>45086.60842592592</v>
      </c>
      <c r="C848" s="1" t="n">
        <v>45907</v>
      </c>
      <c r="D848" t="inlineStr">
        <is>
          <t>SKÅNE LÄN</t>
        </is>
      </c>
      <c r="E848" t="inlineStr">
        <is>
          <t>HÄSSLEHOLM</t>
        </is>
      </c>
      <c r="G848" t="n">
        <v>2.5</v>
      </c>
      <c r="H848" t="n">
        <v>0</v>
      </c>
      <c r="I848" t="n">
        <v>0</v>
      </c>
      <c r="J848" t="n">
        <v>0</v>
      </c>
      <c r="K848" t="n">
        <v>0</v>
      </c>
      <c r="L848" t="n">
        <v>0</v>
      </c>
      <c r="M848" t="n">
        <v>0</v>
      </c>
      <c r="N848" t="n">
        <v>0</v>
      </c>
      <c r="O848" t="n">
        <v>0</v>
      </c>
      <c r="P848" t="n">
        <v>0</v>
      </c>
      <c r="Q848" t="n">
        <v>0</v>
      </c>
      <c r="R848" s="2" t="inlineStr"/>
    </row>
    <row r="849" ht="15" customHeight="1">
      <c r="A849" t="inlineStr">
        <is>
          <t>A 57272-2023</t>
        </is>
      </c>
      <c r="B849" s="1" t="n">
        <v>45245</v>
      </c>
      <c r="C849" s="1" t="n">
        <v>45907</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13856-2025</t>
        </is>
      </c>
      <c r="B850" s="1" t="n">
        <v>45737.57289351852</v>
      </c>
      <c r="C850" s="1" t="n">
        <v>45907</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13890-2024</t>
        </is>
      </c>
      <c r="B851" s="1" t="n">
        <v>45391</v>
      </c>
      <c r="C851" s="1" t="n">
        <v>45907</v>
      </c>
      <c r="D851" t="inlineStr">
        <is>
          <t>SKÅNE LÄN</t>
        </is>
      </c>
      <c r="E851" t="inlineStr">
        <is>
          <t>HÄSSLEHOLM</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9239-2025</t>
        </is>
      </c>
      <c r="B852" s="1" t="n">
        <v>45714</v>
      </c>
      <c r="C852" s="1" t="n">
        <v>45907</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55218-2023</t>
        </is>
      </c>
      <c r="B853" s="1" t="n">
        <v>45237</v>
      </c>
      <c r="C853" s="1" t="n">
        <v>45907</v>
      </c>
      <c r="D853" t="inlineStr">
        <is>
          <t>SKÅNE LÄN</t>
        </is>
      </c>
      <c r="E853" t="inlineStr">
        <is>
          <t>HÄSSLEHOLM</t>
        </is>
      </c>
      <c r="G853" t="n">
        <v>2</v>
      </c>
      <c r="H853" t="n">
        <v>0</v>
      </c>
      <c r="I853" t="n">
        <v>0</v>
      </c>
      <c r="J853" t="n">
        <v>0</v>
      </c>
      <c r="K853" t="n">
        <v>0</v>
      </c>
      <c r="L853" t="n">
        <v>0</v>
      </c>
      <c r="M853" t="n">
        <v>0</v>
      </c>
      <c r="N853" t="n">
        <v>0</v>
      </c>
      <c r="O853" t="n">
        <v>0</v>
      </c>
      <c r="P853" t="n">
        <v>0</v>
      </c>
      <c r="Q853" t="n">
        <v>0</v>
      </c>
      <c r="R853" s="2" t="inlineStr"/>
    </row>
    <row r="854" ht="15" customHeight="1">
      <c r="A854" t="inlineStr">
        <is>
          <t>A 46288-2023</t>
        </is>
      </c>
      <c r="B854" s="1" t="n">
        <v>45197.30221064815</v>
      </c>
      <c r="C854" s="1" t="n">
        <v>45907</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49106-2023</t>
        </is>
      </c>
      <c r="B855" s="1" t="n">
        <v>45210</v>
      </c>
      <c r="C855" s="1" t="n">
        <v>45907</v>
      </c>
      <c r="D855" t="inlineStr">
        <is>
          <t>SKÅNE LÄN</t>
        </is>
      </c>
      <c r="E855" t="inlineStr">
        <is>
          <t>HÄSSLEHOLM</t>
        </is>
      </c>
      <c r="G855" t="n">
        <v>0.3</v>
      </c>
      <c r="H855" t="n">
        <v>0</v>
      </c>
      <c r="I855" t="n">
        <v>0</v>
      </c>
      <c r="J855" t="n">
        <v>0</v>
      </c>
      <c r="K855" t="n">
        <v>0</v>
      </c>
      <c r="L855" t="n">
        <v>0</v>
      </c>
      <c r="M855" t="n">
        <v>0</v>
      </c>
      <c r="N855" t="n">
        <v>0</v>
      </c>
      <c r="O855" t="n">
        <v>0</v>
      </c>
      <c r="P855" t="n">
        <v>0</v>
      </c>
      <c r="Q855" t="n">
        <v>0</v>
      </c>
      <c r="R855" s="2" t="inlineStr"/>
    </row>
    <row r="856" ht="15" customHeight="1">
      <c r="A856" t="inlineStr">
        <is>
          <t>A 10409-2024</t>
        </is>
      </c>
      <c r="B856" s="1" t="n">
        <v>45365.6978125</v>
      </c>
      <c r="C856" s="1" t="n">
        <v>45907</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47248-2023</t>
        </is>
      </c>
      <c r="B857" s="1" t="n">
        <v>45202</v>
      </c>
      <c r="C857" s="1" t="n">
        <v>45907</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54359-2020</t>
        </is>
      </c>
      <c r="B858" s="1" t="n">
        <v>44126</v>
      </c>
      <c r="C858" s="1" t="n">
        <v>45907</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20990-2023</t>
        </is>
      </c>
      <c r="B859" s="1" t="n">
        <v>45061.46186342592</v>
      </c>
      <c r="C859" s="1" t="n">
        <v>45907</v>
      </c>
      <c r="D859" t="inlineStr">
        <is>
          <t>SKÅNE LÄN</t>
        </is>
      </c>
      <c r="E859" t="inlineStr">
        <is>
          <t>HÄSSLEHOLM</t>
        </is>
      </c>
      <c r="G859" t="n">
        <v>2.8</v>
      </c>
      <c r="H859" t="n">
        <v>0</v>
      </c>
      <c r="I859" t="n">
        <v>0</v>
      </c>
      <c r="J859" t="n">
        <v>0</v>
      </c>
      <c r="K859" t="n">
        <v>0</v>
      </c>
      <c r="L859" t="n">
        <v>0</v>
      </c>
      <c r="M859" t="n">
        <v>0</v>
      </c>
      <c r="N859" t="n">
        <v>0</v>
      </c>
      <c r="O859" t="n">
        <v>0</v>
      </c>
      <c r="P859" t="n">
        <v>0</v>
      </c>
      <c r="Q859" t="n">
        <v>0</v>
      </c>
      <c r="R859" s="2" t="inlineStr"/>
    </row>
    <row r="860" ht="15" customHeight="1">
      <c r="A860" t="inlineStr">
        <is>
          <t>A 9541-2025</t>
        </is>
      </c>
      <c r="B860" s="1" t="n">
        <v>45714</v>
      </c>
      <c r="C860" s="1" t="n">
        <v>45907</v>
      </c>
      <c r="D860" t="inlineStr">
        <is>
          <t>SKÅNE LÄN</t>
        </is>
      </c>
      <c r="E860" t="inlineStr">
        <is>
          <t>HÄSSLEHOLM</t>
        </is>
      </c>
      <c r="G860" t="n">
        <v>1.6</v>
      </c>
      <c r="H860" t="n">
        <v>0</v>
      </c>
      <c r="I860" t="n">
        <v>0</v>
      </c>
      <c r="J860" t="n">
        <v>0</v>
      </c>
      <c r="K860" t="n">
        <v>0</v>
      </c>
      <c r="L860" t="n">
        <v>0</v>
      </c>
      <c r="M860" t="n">
        <v>0</v>
      </c>
      <c r="N860" t="n">
        <v>0</v>
      </c>
      <c r="O860" t="n">
        <v>0</v>
      </c>
      <c r="P860" t="n">
        <v>0</v>
      </c>
      <c r="Q860" t="n">
        <v>0</v>
      </c>
      <c r="R860" s="2" t="inlineStr"/>
    </row>
    <row r="861" ht="15" customHeight="1">
      <c r="A861" t="inlineStr">
        <is>
          <t>A 48889-2024</t>
        </is>
      </c>
      <c r="B861" s="1" t="n">
        <v>45594.33754629629</v>
      </c>
      <c r="C861" s="1" t="n">
        <v>45907</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8209-2025</t>
        </is>
      </c>
      <c r="B862" s="1" t="n">
        <v>45708.44244212963</v>
      </c>
      <c r="C862" s="1" t="n">
        <v>45907</v>
      </c>
      <c r="D862" t="inlineStr">
        <is>
          <t>SKÅNE LÄN</t>
        </is>
      </c>
      <c r="E862" t="inlineStr">
        <is>
          <t>HÄSSLEHOLM</t>
        </is>
      </c>
      <c r="G862" t="n">
        <v>1.5</v>
      </c>
      <c r="H862" t="n">
        <v>0</v>
      </c>
      <c r="I862" t="n">
        <v>0</v>
      </c>
      <c r="J862" t="n">
        <v>0</v>
      </c>
      <c r="K862" t="n">
        <v>0</v>
      </c>
      <c r="L862" t="n">
        <v>0</v>
      </c>
      <c r="M862" t="n">
        <v>0</v>
      </c>
      <c r="N862" t="n">
        <v>0</v>
      </c>
      <c r="O862" t="n">
        <v>0</v>
      </c>
      <c r="P862" t="n">
        <v>0</v>
      </c>
      <c r="Q862" t="n">
        <v>0</v>
      </c>
      <c r="R862" s="2" t="inlineStr"/>
    </row>
    <row r="863" ht="15" customHeight="1">
      <c r="A863" t="inlineStr">
        <is>
          <t>A 8263-2025</t>
        </is>
      </c>
      <c r="B863" s="1" t="n">
        <v>45708.50398148148</v>
      </c>
      <c r="C863" s="1" t="n">
        <v>45907</v>
      </c>
      <c r="D863" t="inlineStr">
        <is>
          <t>SKÅNE LÄN</t>
        </is>
      </c>
      <c r="E863" t="inlineStr">
        <is>
          <t>HÄSSLEHOLM</t>
        </is>
      </c>
      <c r="G863" t="n">
        <v>2.9</v>
      </c>
      <c r="H863" t="n">
        <v>0</v>
      </c>
      <c r="I863" t="n">
        <v>0</v>
      </c>
      <c r="J863" t="n">
        <v>0</v>
      </c>
      <c r="K863" t="n">
        <v>0</v>
      </c>
      <c r="L863" t="n">
        <v>0</v>
      </c>
      <c r="M863" t="n">
        <v>0</v>
      </c>
      <c r="N863" t="n">
        <v>0</v>
      </c>
      <c r="O863" t="n">
        <v>0</v>
      </c>
      <c r="P863" t="n">
        <v>0</v>
      </c>
      <c r="Q863" t="n">
        <v>0</v>
      </c>
      <c r="R863" s="2" t="inlineStr"/>
    </row>
    <row r="864" ht="15" customHeight="1">
      <c r="A864" t="inlineStr">
        <is>
          <t>A 54171-2022</t>
        </is>
      </c>
      <c r="B864" s="1" t="n">
        <v>44881</v>
      </c>
      <c r="C864" s="1" t="n">
        <v>45907</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57277-2023</t>
        </is>
      </c>
      <c r="B865" s="1" t="n">
        <v>45245.59104166667</v>
      </c>
      <c r="C865" s="1" t="n">
        <v>45907</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29275-2023</t>
        </is>
      </c>
      <c r="B866" s="1" t="n">
        <v>45105</v>
      </c>
      <c r="C866" s="1" t="n">
        <v>45907</v>
      </c>
      <c r="D866" t="inlineStr">
        <is>
          <t>SKÅNE LÄN</t>
        </is>
      </c>
      <c r="E866" t="inlineStr">
        <is>
          <t>HÄSSLEHOLM</t>
        </is>
      </c>
      <c r="G866" t="n">
        <v>2.1</v>
      </c>
      <c r="H866" t="n">
        <v>0</v>
      </c>
      <c r="I866" t="n">
        <v>0</v>
      </c>
      <c r="J866" t="n">
        <v>0</v>
      </c>
      <c r="K866" t="n">
        <v>0</v>
      </c>
      <c r="L866" t="n">
        <v>0</v>
      </c>
      <c r="M866" t="n">
        <v>0</v>
      </c>
      <c r="N866" t="n">
        <v>0</v>
      </c>
      <c r="O866" t="n">
        <v>0</v>
      </c>
      <c r="P866" t="n">
        <v>0</v>
      </c>
      <c r="Q866" t="n">
        <v>0</v>
      </c>
      <c r="R866" s="2" t="inlineStr"/>
    </row>
    <row r="867" ht="15" customHeight="1">
      <c r="A867" t="inlineStr">
        <is>
          <t>A 35150-2023</t>
        </is>
      </c>
      <c r="B867" s="1" t="n">
        <v>45145</v>
      </c>
      <c r="C867" s="1" t="n">
        <v>45907</v>
      </c>
      <c r="D867" t="inlineStr">
        <is>
          <t>SKÅNE LÄN</t>
        </is>
      </c>
      <c r="E867" t="inlineStr">
        <is>
          <t>HÄSSLEHOLM</t>
        </is>
      </c>
      <c r="G867" t="n">
        <v>4.9</v>
      </c>
      <c r="H867" t="n">
        <v>0</v>
      </c>
      <c r="I867" t="n">
        <v>0</v>
      </c>
      <c r="J867" t="n">
        <v>0</v>
      </c>
      <c r="K867" t="n">
        <v>0</v>
      </c>
      <c r="L867" t="n">
        <v>0</v>
      </c>
      <c r="M867" t="n">
        <v>0</v>
      </c>
      <c r="N867" t="n">
        <v>0</v>
      </c>
      <c r="O867" t="n">
        <v>0</v>
      </c>
      <c r="P867" t="n">
        <v>0</v>
      </c>
      <c r="Q867" t="n">
        <v>0</v>
      </c>
      <c r="R867" s="2" t="inlineStr"/>
    </row>
    <row r="868" ht="15" customHeight="1">
      <c r="A868" t="inlineStr">
        <is>
          <t>A 18041-2023</t>
        </is>
      </c>
      <c r="B868" s="1" t="n">
        <v>45040</v>
      </c>
      <c r="C868" s="1" t="n">
        <v>45907</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49250-2022</t>
        </is>
      </c>
      <c r="B869" s="1" t="n">
        <v>44858</v>
      </c>
      <c r="C869" s="1" t="n">
        <v>45907</v>
      </c>
      <c r="D869" t="inlineStr">
        <is>
          <t>SKÅNE LÄN</t>
        </is>
      </c>
      <c r="E869" t="inlineStr">
        <is>
          <t>HÄSSLEHOLM</t>
        </is>
      </c>
      <c r="F869" t="inlineStr">
        <is>
          <t>Kyrkan</t>
        </is>
      </c>
      <c r="G869" t="n">
        <v>1.5</v>
      </c>
      <c r="H869" t="n">
        <v>0</v>
      </c>
      <c r="I869" t="n">
        <v>0</v>
      </c>
      <c r="J869" t="n">
        <v>0</v>
      </c>
      <c r="K869" t="n">
        <v>0</v>
      </c>
      <c r="L869" t="n">
        <v>0</v>
      </c>
      <c r="M869" t="n">
        <v>0</v>
      </c>
      <c r="N869" t="n">
        <v>0</v>
      </c>
      <c r="O869" t="n">
        <v>0</v>
      </c>
      <c r="P869" t="n">
        <v>0</v>
      </c>
      <c r="Q869" t="n">
        <v>0</v>
      </c>
      <c r="R869" s="2" t="inlineStr"/>
    </row>
    <row r="870" ht="15" customHeight="1">
      <c r="A870" t="inlineStr">
        <is>
          <t>A 13018-2024</t>
        </is>
      </c>
      <c r="B870" s="1" t="n">
        <v>45385.58274305556</v>
      </c>
      <c r="C870" s="1" t="n">
        <v>45907</v>
      </c>
      <c r="D870" t="inlineStr">
        <is>
          <t>SKÅNE LÄN</t>
        </is>
      </c>
      <c r="E870" t="inlineStr">
        <is>
          <t>HÄSSLEHOLM</t>
        </is>
      </c>
      <c r="G870" t="n">
        <v>4.8</v>
      </c>
      <c r="H870" t="n">
        <v>0</v>
      </c>
      <c r="I870" t="n">
        <v>0</v>
      </c>
      <c r="J870" t="n">
        <v>0</v>
      </c>
      <c r="K870" t="n">
        <v>0</v>
      </c>
      <c r="L870" t="n">
        <v>0</v>
      </c>
      <c r="M870" t="n">
        <v>0</v>
      </c>
      <c r="N870" t="n">
        <v>0</v>
      </c>
      <c r="O870" t="n">
        <v>0</v>
      </c>
      <c r="P870" t="n">
        <v>0</v>
      </c>
      <c r="Q870" t="n">
        <v>0</v>
      </c>
      <c r="R870" s="2" t="inlineStr"/>
    </row>
    <row r="871" ht="15" customHeight="1">
      <c r="A871" t="inlineStr">
        <is>
          <t>A 27197-2021</t>
        </is>
      </c>
      <c r="B871" s="1" t="n">
        <v>44350</v>
      </c>
      <c r="C871" s="1" t="n">
        <v>45907</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45222-2023</t>
        </is>
      </c>
      <c r="B872" s="1" t="n">
        <v>45191</v>
      </c>
      <c r="C872" s="1" t="n">
        <v>45907</v>
      </c>
      <c r="D872" t="inlineStr">
        <is>
          <t>SKÅNE LÄN</t>
        </is>
      </c>
      <c r="E872" t="inlineStr">
        <is>
          <t>HÄSSLEHOLM</t>
        </is>
      </c>
      <c r="G872" t="n">
        <v>1.5</v>
      </c>
      <c r="H872" t="n">
        <v>0</v>
      </c>
      <c r="I872" t="n">
        <v>0</v>
      </c>
      <c r="J872" t="n">
        <v>0</v>
      </c>
      <c r="K872" t="n">
        <v>0</v>
      </c>
      <c r="L872" t="n">
        <v>0</v>
      </c>
      <c r="M872" t="n">
        <v>0</v>
      </c>
      <c r="N872" t="n">
        <v>0</v>
      </c>
      <c r="O872" t="n">
        <v>0</v>
      </c>
      <c r="P872" t="n">
        <v>0</v>
      </c>
      <c r="Q872" t="n">
        <v>0</v>
      </c>
      <c r="R872" s="2" t="inlineStr"/>
    </row>
    <row r="873" ht="15" customHeight="1">
      <c r="A873" t="inlineStr">
        <is>
          <t>A 35890-2023</t>
        </is>
      </c>
      <c r="B873" s="1" t="n">
        <v>45148</v>
      </c>
      <c r="C873" s="1" t="n">
        <v>45907</v>
      </c>
      <c r="D873" t="inlineStr">
        <is>
          <t>SKÅNE LÄN</t>
        </is>
      </c>
      <c r="E873" t="inlineStr">
        <is>
          <t>HÄSSLEHOLM</t>
        </is>
      </c>
      <c r="G873" t="n">
        <v>2</v>
      </c>
      <c r="H873" t="n">
        <v>0</v>
      </c>
      <c r="I873" t="n">
        <v>0</v>
      </c>
      <c r="J873" t="n">
        <v>0</v>
      </c>
      <c r="K873" t="n">
        <v>0</v>
      </c>
      <c r="L873" t="n">
        <v>0</v>
      </c>
      <c r="M873" t="n">
        <v>0</v>
      </c>
      <c r="N873" t="n">
        <v>0</v>
      </c>
      <c r="O873" t="n">
        <v>0</v>
      </c>
      <c r="P873" t="n">
        <v>0</v>
      </c>
      <c r="Q873" t="n">
        <v>0</v>
      </c>
      <c r="R873" s="2" t="inlineStr"/>
    </row>
    <row r="874" ht="15" customHeight="1">
      <c r="A874" t="inlineStr">
        <is>
          <t>A 35895-2023</t>
        </is>
      </c>
      <c r="B874" s="1" t="n">
        <v>45148</v>
      </c>
      <c r="C874" s="1" t="n">
        <v>45907</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61569-2023</t>
        </is>
      </c>
      <c r="B875" s="1" t="n">
        <v>45265</v>
      </c>
      <c r="C875" s="1" t="n">
        <v>45907</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22595-2024</t>
        </is>
      </c>
      <c r="B876" s="1" t="n">
        <v>45447.61053240741</v>
      </c>
      <c r="C876" s="1" t="n">
        <v>45907</v>
      </c>
      <c r="D876" t="inlineStr">
        <is>
          <t>SKÅNE LÄN</t>
        </is>
      </c>
      <c r="E876" t="inlineStr">
        <is>
          <t>HÄSSLEHOLM</t>
        </is>
      </c>
      <c r="G876" t="n">
        <v>0.9</v>
      </c>
      <c r="H876" t="n">
        <v>0</v>
      </c>
      <c r="I876" t="n">
        <v>0</v>
      </c>
      <c r="J876" t="n">
        <v>0</v>
      </c>
      <c r="K876" t="n">
        <v>0</v>
      </c>
      <c r="L876" t="n">
        <v>0</v>
      </c>
      <c r="M876" t="n">
        <v>0</v>
      </c>
      <c r="N876" t="n">
        <v>0</v>
      </c>
      <c r="O876" t="n">
        <v>0</v>
      </c>
      <c r="P876" t="n">
        <v>0</v>
      </c>
      <c r="Q876" t="n">
        <v>0</v>
      </c>
      <c r="R876" s="2" t="inlineStr"/>
    </row>
    <row r="877" ht="15" customHeight="1">
      <c r="A877" t="inlineStr">
        <is>
          <t>A 52235-2021</t>
        </is>
      </c>
      <c r="B877" s="1" t="n">
        <v>44463.60085648148</v>
      </c>
      <c r="C877" s="1" t="n">
        <v>45907</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60704-2023</t>
        </is>
      </c>
      <c r="B878" s="1" t="n">
        <v>45260.51340277777</v>
      </c>
      <c r="C878" s="1" t="n">
        <v>45907</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20279-2025</t>
        </is>
      </c>
      <c r="B879" s="1" t="n">
        <v>45774.38643518519</v>
      </c>
      <c r="C879" s="1" t="n">
        <v>45907</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59431-2023</t>
        </is>
      </c>
      <c r="B880" s="1" t="n">
        <v>45254.29207175926</v>
      </c>
      <c r="C880" s="1" t="n">
        <v>45907</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59433-2023</t>
        </is>
      </c>
      <c r="B881" s="1" t="n">
        <v>45254.29768518519</v>
      </c>
      <c r="C881" s="1" t="n">
        <v>45907</v>
      </c>
      <c r="D881" t="inlineStr">
        <is>
          <t>SKÅNE LÄN</t>
        </is>
      </c>
      <c r="E881" t="inlineStr">
        <is>
          <t>HÄSSLEHOLM</t>
        </is>
      </c>
      <c r="G881" t="n">
        <v>3.1</v>
      </c>
      <c r="H881" t="n">
        <v>0</v>
      </c>
      <c r="I881" t="n">
        <v>0</v>
      </c>
      <c r="J881" t="n">
        <v>0</v>
      </c>
      <c r="K881" t="n">
        <v>0</v>
      </c>
      <c r="L881" t="n">
        <v>0</v>
      </c>
      <c r="M881" t="n">
        <v>0</v>
      </c>
      <c r="N881" t="n">
        <v>0</v>
      </c>
      <c r="O881" t="n">
        <v>0</v>
      </c>
      <c r="P881" t="n">
        <v>0</v>
      </c>
      <c r="Q881" t="n">
        <v>0</v>
      </c>
      <c r="R881" s="2" t="inlineStr"/>
    </row>
    <row r="882" ht="15" customHeight="1">
      <c r="A882" t="inlineStr">
        <is>
          <t>A 54471-2023</t>
        </is>
      </c>
      <c r="B882" s="1" t="n">
        <v>45233.4640162037</v>
      </c>
      <c r="C882" s="1" t="n">
        <v>45907</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55416-2021</t>
        </is>
      </c>
      <c r="B883" s="1" t="n">
        <v>44475</v>
      </c>
      <c r="C883" s="1" t="n">
        <v>45907</v>
      </c>
      <c r="D883" t="inlineStr">
        <is>
          <t>SKÅNE LÄN</t>
        </is>
      </c>
      <c r="E883" t="inlineStr">
        <is>
          <t>HÄSSLEHOLM</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4579-2025</t>
        </is>
      </c>
      <c r="B884" s="1" t="n">
        <v>45687.5009375</v>
      </c>
      <c r="C884" s="1" t="n">
        <v>45907</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21141-2024</t>
        </is>
      </c>
      <c r="B885" s="1" t="n">
        <v>45440.39012731481</v>
      </c>
      <c r="C885" s="1" t="n">
        <v>45907</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49379-2021</t>
        </is>
      </c>
      <c r="B886" s="1" t="n">
        <v>44454</v>
      </c>
      <c r="C886" s="1" t="n">
        <v>45907</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36240-2023</t>
        </is>
      </c>
      <c r="B887" s="1" t="n">
        <v>45150.89295138889</v>
      </c>
      <c r="C887" s="1" t="n">
        <v>45907</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50607-2023</t>
        </is>
      </c>
      <c r="B888" s="1" t="n">
        <v>45210</v>
      </c>
      <c r="C888" s="1" t="n">
        <v>45907</v>
      </c>
      <c r="D888" t="inlineStr">
        <is>
          <t>SKÅNE LÄN</t>
        </is>
      </c>
      <c r="E888" t="inlineStr">
        <is>
          <t>HÄSSLEHOLM</t>
        </is>
      </c>
      <c r="G888" t="n">
        <v>1.8</v>
      </c>
      <c r="H888" t="n">
        <v>0</v>
      </c>
      <c r="I888" t="n">
        <v>0</v>
      </c>
      <c r="J888" t="n">
        <v>0</v>
      </c>
      <c r="K888" t="n">
        <v>0</v>
      </c>
      <c r="L888" t="n">
        <v>0</v>
      </c>
      <c r="M888" t="n">
        <v>0</v>
      </c>
      <c r="N888" t="n">
        <v>0</v>
      </c>
      <c r="O888" t="n">
        <v>0</v>
      </c>
      <c r="P888" t="n">
        <v>0</v>
      </c>
      <c r="Q888" t="n">
        <v>0</v>
      </c>
      <c r="R888" s="2" t="inlineStr"/>
    </row>
    <row r="889" ht="15" customHeight="1">
      <c r="A889" t="inlineStr">
        <is>
          <t>A 13851-2025</t>
        </is>
      </c>
      <c r="B889" s="1" t="n">
        <v>45737.56777777777</v>
      </c>
      <c r="C889" s="1" t="n">
        <v>45907</v>
      </c>
      <c r="D889" t="inlineStr">
        <is>
          <t>SKÅNE LÄN</t>
        </is>
      </c>
      <c r="E889" t="inlineStr">
        <is>
          <t>HÄSSLEHOLM</t>
        </is>
      </c>
      <c r="G889" t="n">
        <v>3</v>
      </c>
      <c r="H889" t="n">
        <v>0</v>
      </c>
      <c r="I889" t="n">
        <v>0</v>
      </c>
      <c r="J889" t="n">
        <v>0</v>
      </c>
      <c r="K889" t="n">
        <v>0</v>
      </c>
      <c r="L889" t="n">
        <v>0</v>
      </c>
      <c r="M889" t="n">
        <v>0</v>
      </c>
      <c r="N889" t="n">
        <v>0</v>
      </c>
      <c r="O889" t="n">
        <v>0</v>
      </c>
      <c r="P889" t="n">
        <v>0</v>
      </c>
      <c r="Q889" t="n">
        <v>0</v>
      </c>
      <c r="R889" s="2" t="inlineStr"/>
    </row>
    <row r="890" ht="15" customHeight="1">
      <c r="A890" t="inlineStr">
        <is>
          <t>A 38148-2022</t>
        </is>
      </c>
      <c r="B890" s="1" t="n">
        <v>44811</v>
      </c>
      <c r="C890" s="1" t="n">
        <v>45907</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31944-2023</t>
        </is>
      </c>
      <c r="B891" s="1" t="n">
        <v>45119.34895833334</v>
      </c>
      <c r="C891" s="1" t="n">
        <v>45907</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12469-2023</t>
        </is>
      </c>
      <c r="B892" s="1" t="n">
        <v>44999.62109953703</v>
      </c>
      <c r="C892" s="1" t="n">
        <v>45907</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1706-2025</t>
        </is>
      </c>
      <c r="B893" s="1" t="n">
        <v>45670</v>
      </c>
      <c r="C893" s="1" t="n">
        <v>45907</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45400-2022</t>
        </is>
      </c>
      <c r="B894" s="1" t="n">
        <v>44844.713125</v>
      </c>
      <c r="C894" s="1" t="n">
        <v>45907</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55056-2021</t>
        </is>
      </c>
      <c r="B895" s="1" t="n">
        <v>44474.62072916667</v>
      </c>
      <c r="C895" s="1" t="n">
        <v>45907</v>
      </c>
      <c r="D895" t="inlineStr">
        <is>
          <t>SKÅNE LÄN</t>
        </is>
      </c>
      <c r="E895" t="inlineStr">
        <is>
          <t>HÄSSLEHOLM</t>
        </is>
      </c>
      <c r="G895" t="n">
        <v>2.5</v>
      </c>
      <c r="H895" t="n">
        <v>0</v>
      </c>
      <c r="I895" t="n">
        <v>0</v>
      </c>
      <c r="J895" t="n">
        <v>0</v>
      </c>
      <c r="K895" t="n">
        <v>0</v>
      </c>
      <c r="L895" t="n">
        <v>0</v>
      </c>
      <c r="M895" t="n">
        <v>0</v>
      </c>
      <c r="N895" t="n">
        <v>0</v>
      </c>
      <c r="O895" t="n">
        <v>0</v>
      </c>
      <c r="P895" t="n">
        <v>0</v>
      </c>
      <c r="Q895" t="n">
        <v>0</v>
      </c>
      <c r="R895" s="2" t="inlineStr"/>
    </row>
    <row r="896" ht="15" customHeight="1">
      <c r="A896" t="inlineStr">
        <is>
          <t>A 13544-2025</t>
        </is>
      </c>
      <c r="B896" s="1" t="n">
        <v>45736</v>
      </c>
      <c r="C896" s="1" t="n">
        <v>45907</v>
      </c>
      <c r="D896" t="inlineStr">
        <is>
          <t>SKÅNE LÄN</t>
        </is>
      </c>
      <c r="E896" t="inlineStr">
        <is>
          <t>HÄSSLEHOLM</t>
        </is>
      </c>
      <c r="G896" t="n">
        <v>2.5</v>
      </c>
      <c r="H896" t="n">
        <v>0</v>
      </c>
      <c r="I896" t="n">
        <v>0</v>
      </c>
      <c r="J896" t="n">
        <v>0</v>
      </c>
      <c r="K896" t="n">
        <v>0</v>
      </c>
      <c r="L896" t="n">
        <v>0</v>
      </c>
      <c r="M896" t="n">
        <v>0</v>
      </c>
      <c r="N896" t="n">
        <v>0</v>
      </c>
      <c r="O896" t="n">
        <v>0</v>
      </c>
      <c r="P896" t="n">
        <v>0</v>
      </c>
      <c r="Q896" t="n">
        <v>0</v>
      </c>
      <c r="R896" s="2" t="inlineStr"/>
    </row>
    <row r="897" ht="15" customHeight="1">
      <c r="A897" t="inlineStr">
        <is>
          <t>A 8755-2024</t>
        </is>
      </c>
      <c r="B897" s="1" t="n">
        <v>45356</v>
      </c>
      <c r="C897" s="1" t="n">
        <v>45907</v>
      </c>
      <c r="D897" t="inlineStr">
        <is>
          <t>SKÅNE LÄN</t>
        </is>
      </c>
      <c r="E897" t="inlineStr">
        <is>
          <t>HÄSSLEHOLM</t>
        </is>
      </c>
      <c r="G897" t="n">
        <v>1.4</v>
      </c>
      <c r="H897" t="n">
        <v>0</v>
      </c>
      <c r="I897" t="n">
        <v>0</v>
      </c>
      <c r="J897" t="n">
        <v>0</v>
      </c>
      <c r="K897" t="n">
        <v>0</v>
      </c>
      <c r="L897" t="n">
        <v>0</v>
      </c>
      <c r="M897" t="n">
        <v>0</v>
      </c>
      <c r="N897" t="n">
        <v>0</v>
      </c>
      <c r="O897" t="n">
        <v>0</v>
      </c>
      <c r="P897" t="n">
        <v>0</v>
      </c>
      <c r="Q897" t="n">
        <v>0</v>
      </c>
      <c r="R897" s="2" t="inlineStr"/>
    </row>
    <row r="898" ht="15" customHeight="1">
      <c r="A898" t="inlineStr">
        <is>
          <t>A 8760-2024</t>
        </is>
      </c>
      <c r="B898" s="1" t="n">
        <v>45356.53420138889</v>
      </c>
      <c r="C898" s="1" t="n">
        <v>45907</v>
      </c>
      <c r="D898" t="inlineStr">
        <is>
          <t>SKÅNE LÄN</t>
        </is>
      </c>
      <c r="E898" t="inlineStr">
        <is>
          <t>HÄSSLEHOLM</t>
        </is>
      </c>
      <c r="G898" t="n">
        <v>6.1</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45907</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7581-2023</t>
        </is>
      </c>
      <c r="B900" s="1" t="n">
        <v>44972.39556712963</v>
      </c>
      <c r="C900" s="1" t="n">
        <v>45907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48191-2021</t>
        </is>
      </c>
      <c r="B901" s="1" t="n">
        <v>44449</v>
      </c>
      <c r="C901" s="1" t="n">
        <v>45907</v>
      </c>
      <c r="D901" t="inlineStr">
        <is>
          <t>SKÅNE LÄN</t>
        </is>
      </c>
      <c r="E901" t="inlineStr">
        <is>
          <t>HÄSSLEHOLM</t>
        </is>
      </c>
      <c r="G901" t="n">
        <v>6</v>
      </c>
      <c r="H901" t="n">
        <v>0</v>
      </c>
      <c r="I901" t="n">
        <v>0</v>
      </c>
      <c r="J901" t="n">
        <v>0</v>
      </c>
      <c r="K901" t="n">
        <v>0</v>
      </c>
      <c r="L901" t="n">
        <v>0</v>
      </c>
      <c r="M901" t="n">
        <v>0</v>
      </c>
      <c r="N901" t="n">
        <v>0</v>
      </c>
      <c r="O901" t="n">
        <v>0</v>
      </c>
      <c r="P901" t="n">
        <v>0</v>
      </c>
      <c r="Q901" t="n">
        <v>0</v>
      </c>
      <c r="R901" s="2" t="inlineStr"/>
    </row>
    <row r="902" ht="15" customHeight="1">
      <c r="A902" t="inlineStr">
        <is>
          <t>A 33257-2024</t>
        </is>
      </c>
      <c r="B902" s="1" t="n">
        <v>45518</v>
      </c>
      <c r="C902" s="1" t="n">
        <v>45907</v>
      </c>
      <c r="D902" t="inlineStr">
        <is>
          <t>SKÅNE LÄN</t>
        </is>
      </c>
      <c r="E902" t="inlineStr">
        <is>
          <t>HÄSSLEHOLM</t>
        </is>
      </c>
      <c r="G902" t="n">
        <v>0.4</v>
      </c>
      <c r="H902" t="n">
        <v>0</v>
      </c>
      <c r="I902" t="n">
        <v>0</v>
      </c>
      <c r="J902" t="n">
        <v>0</v>
      </c>
      <c r="K902" t="n">
        <v>0</v>
      </c>
      <c r="L902" t="n">
        <v>0</v>
      </c>
      <c r="M902" t="n">
        <v>0</v>
      </c>
      <c r="N902" t="n">
        <v>0</v>
      </c>
      <c r="O902" t="n">
        <v>0</v>
      </c>
      <c r="P902" t="n">
        <v>0</v>
      </c>
      <c r="Q902" t="n">
        <v>0</v>
      </c>
      <c r="R902" s="2" t="inlineStr"/>
    </row>
    <row r="903" ht="15" customHeight="1">
      <c r="A903" t="inlineStr">
        <is>
          <t>A 5282-2023</t>
        </is>
      </c>
      <c r="B903" s="1" t="n">
        <v>44959.50471064815</v>
      </c>
      <c r="C903" s="1" t="n">
        <v>45907</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52548-2023</t>
        </is>
      </c>
      <c r="B904" s="1" t="n">
        <v>45218</v>
      </c>
      <c r="C904" s="1" t="n">
        <v>45907</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12503-2022</t>
        </is>
      </c>
      <c r="B905" s="1" t="n">
        <v>44638</v>
      </c>
      <c r="C905" s="1" t="n">
        <v>45907</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9485-2023</t>
        </is>
      </c>
      <c r="B906" s="1" t="n">
        <v>44981.60901620371</v>
      </c>
      <c r="C906" s="1" t="n">
        <v>45907</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54777-2022</t>
        </is>
      </c>
      <c r="B907" s="1" t="n">
        <v>44883</v>
      </c>
      <c r="C907" s="1" t="n">
        <v>45907</v>
      </c>
      <c r="D907" t="inlineStr">
        <is>
          <t>SKÅNE LÄN</t>
        </is>
      </c>
      <c r="E907" t="inlineStr">
        <is>
          <t>HÄSSLEHOLM</t>
        </is>
      </c>
      <c r="G907" t="n">
        <v>1.7</v>
      </c>
      <c r="H907" t="n">
        <v>0</v>
      </c>
      <c r="I907" t="n">
        <v>0</v>
      </c>
      <c r="J907" t="n">
        <v>0</v>
      </c>
      <c r="K907" t="n">
        <v>0</v>
      </c>
      <c r="L907" t="n">
        <v>0</v>
      </c>
      <c r="M907" t="n">
        <v>0</v>
      </c>
      <c r="N907" t="n">
        <v>0</v>
      </c>
      <c r="O907" t="n">
        <v>0</v>
      </c>
      <c r="P907" t="n">
        <v>0</v>
      </c>
      <c r="Q907" t="n">
        <v>0</v>
      </c>
      <c r="R907" s="2" t="inlineStr"/>
    </row>
    <row r="908" ht="15" customHeight="1">
      <c r="A908" t="inlineStr">
        <is>
          <t>A 61929-2023</t>
        </is>
      </c>
      <c r="B908" s="1" t="n">
        <v>45266</v>
      </c>
      <c r="C908" s="1" t="n">
        <v>45907</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13555-2025</t>
        </is>
      </c>
      <c r="B909" s="1" t="n">
        <v>45736</v>
      </c>
      <c r="C909" s="1" t="n">
        <v>45907</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4734-2025</t>
        </is>
      </c>
      <c r="B910" s="1" t="n">
        <v>45688.44030092593</v>
      </c>
      <c r="C910" s="1" t="n">
        <v>45907</v>
      </c>
      <c r="D910" t="inlineStr">
        <is>
          <t>SKÅNE LÄN</t>
        </is>
      </c>
      <c r="E910" t="inlineStr">
        <is>
          <t>HÄSSLEHOLM</t>
        </is>
      </c>
      <c r="G910" t="n">
        <v>19.6</v>
      </c>
      <c r="H910" t="n">
        <v>0</v>
      </c>
      <c r="I910" t="n">
        <v>0</v>
      </c>
      <c r="J910" t="n">
        <v>0</v>
      </c>
      <c r="K910" t="n">
        <v>0</v>
      </c>
      <c r="L910" t="n">
        <v>0</v>
      </c>
      <c r="M910" t="n">
        <v>0</v>
      </c>
      <c r="N910" t="n">
        <v>0</v>
      </c>
      <c r="O910" t="n">
        <v>0</v>
      </c>
      <c r="P910" t="n">
        <v>0</v>
      </c>
      <c r="Q910" t="n">
        <v>0</v>
      </c>
      <c r="R910" s="2" t="inlineStr"/>
    </row>
    <row r="911" ht="15" customHeight="1">
      <c r="A911" t="inlineStr">
        <is>
          <t>A 44940-2023</t>
        </is>
      </c>
      <c r="B911" s="1" t="n">
        <v>45190.68653935185</v>
      </c>
      <c r="C911" s="1" t="n">
        <v>45907</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25533-2024</t>
        </is>
      </c>
      <c r="B912" s="1" t="n">
        <v>45463</v>
      </c>
      <c r="C912" s="1" t="n">
        <v>45907</v>
      </c>
      <c r="D912" t="inlineStr">
        <is>
          <t>SKÅNE LÄN</t>
        </is>
      </c>
      <c r="E912" t="inlineStr">
        <is>
          <t>HÄSSLEHOLM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24865-2024</t>
        </is>
      </c>
      <c r="B913" s="1" t="n">
        <v>45461.48974537037</v>
      </c>
      <c r="C913" s="1" t="n">
        <v>45907</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28599-2024</t>
        </is>
      </c>
      <c r="B914" s="1" t="n">
        <v>45478.4247800926</v>
      </c>
      <c r="C914" s="1" t="n">
        <v>45907</v>
      </c>
      <c r="D914" t="inlineStr">
        <is>
          <t>SKÅNE LÄN</t>
        </is>
      </c>
      <c r="E914" t="inlineStr">
        <is>
          <t>HÄSSLEHOLM</t>
        </is>
      </c>
      <c r="G914" t="n">
        <v>8.6</v>
      </c>
      <c r="H914" t="n">
        <v>0</v>
      </c>
      <c r="I914" t="n">
        <v>0</v>
      </c>
      <c r="J914" t="n">
        <v>0</v>
      </c>
      <c r="K914" t="n">
        <v>0</v>
      </c>
      <c r="L914" t="n">
        <v>0</v>
      </c>
      <c r="M914" t="n">
        <v>0</v>
      </c>
      <c r="N914" t="n">
        <v>0</v>
      </c>
      <c r="O914" t="n">
        <v>0</v>
      </c>
      <c r="P914" t="n">
        <v>0</v>
      </c>
      <c r="Q914" t="n">
        <v>0</v>
      </c>
      <c r="R914" s="2" t="inlineStr"/>
    </row>
    <row r="915" ht="15" customHeight="1">
      <c r="A915" t="inlineStr">
        <is>
          <t>A 61498-2022</t>
        </is>
      </c>
      <c r="B915" s="1" t="n">
        <v>44910</v>
      </c>
      <c r="C915" s="1" t="n">
        <v>45907</v>
      </c>
      <c r="D915" t="inlineStr">
        <is>
          <t>SKÅNE LÄN</t>
        </is>
      </c>
      <c r="E915" t="inlineStr">
        <is>
          <t>HÄSSLEHOLM</t>
        </is>
      </c>
      <c r="F915" t="inlineStr">
        <is>
          <t>Kyrkan</t>
        </is>
      </c>
      <c r="G915" t="n">
        <v>3.2</v>
      </c>
      <c r="H915" t="n">
        <v>0</v>
      </c>
      <c r="I915" t="n">
        <v>0</v>
      </c>
      <c r="J915" t="n">
        <v>0</v>
      </c>
      <c r="K915" t="n">
        <v>0</v>
      </c>
      <c r="L915" t="n">
        <v>0</v>
      </c>
      <c r="M915" t="n">
        <v>0</v>
      </c>
      <c r="N915" t="n">
        <v>0</v>
      </c>
      <c r="O915" t="n">
        <v>0</v>
      </c>
      <c r="P915" t="n">
        <v>0</v>
      </c>
      <c r="Q915" t="n">
        <v>0</v>
      </c>
      <c r="R915" s="2" t="inlineStr"/>
    </row>
    <row r="916" ht="15" customHeight="1">
      <c r="A916" t="inlineStr">
        <is>
          <t>A 22696-2023</t>
        </is>
      </c>
      <c r="B916" s="1" t="n">
        <v>45071.69464120371</v>
      </c>
      <c r="C916" s="1" t="n">
        <v>45907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52337-2023</t>
        </is>
      </c>
      <c r="B917" s="1" t="n">
        <v>45224.66359953704</v>
      </c>
      <c r="C917" s="1" t="n">
        <v>45907</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58272-2024</t>
        </is>
      </c>
      <c r="B918" s="1" t="n">
        <v>45632.57025462963</v>
      </c>
      <c r="C918" s="1" t="n">
        <v>45907</v>
      </c>
      <c r="D918" t="inlineStr">
        <is>
          <t>SKÅNE LÄN</t>
        </is>
      </c>
      <c r="E918" t="inlineStr">
        <is>
          <t>HÄSSLEHOLM</t>
        </is>
      </c>
      <c r="G918" t="n">
        <v>2.3</v>
      </c>
      <c r="H918" t="n">
        <v>0</v>
      </c>
      <c r="I918" t="n">
        <v>0</v>
      </c>
      <c r="J918" t="n">
        <v>0</v>
      </c>
      <c r="K918" t="n">
        <v>0</v>
      </c>
      <c r="L918" t="n">
        <v>0</v>
      </c>
      <c r="M918" t="n">
        <v>0</v>
      </c>
      <c r="N918" t="n">
        <v>0</v>
      </c>
      <c r="O918" t="n">
        <v>0</v>
      </c>
      <c r="P918" t="n">
        <v>0</v>
      </c>
      <c r="Q918" t="n">
        <v>0</v>
      </c>
      <c r="R918" s="2" t="inlineStr"/>
    </row>
    <row r="919" ht="15" customHeight="1">
      <c r="A919" t="inlineStr">
        <is>
          <t>A 23955-2023</t>
        </is>
      </c>
      <c r="B919" s="1" t="n">
        <v>45078.62217592593</v>
      </c>
      <c r="C919" s="1" t="n">
        <v>45907</v>
      </c>
      <c r="D919" t="inlineStr">
        <is>
          <t>SKÅNE LÄN</t>
        </is>
      </c>
      <c r="E919" t="inlineStr">
        <is>
          <t>HÄSSLEHOLM</t>
        </is>
      </c>
      <c r="G919" t="n">
        <v>1.4</v>
      </c>
      <c r="H919" t="n">
        <v>0</v>
      </c>
      <c r="I919" t="n">
        <v>0</v>
      </c>
      <c r="J919" t="n">
        <v>0</v>
      </c>
      <c r="K919" t="n">
        <v>0</v>
      </c>
      <c r="L919" t="n">
        <v>0</v>
      </c>
      <c r="M919" t="n">
        <v>0</v>
      </c>
      <c r="N919" t="n">
        <v>0</v>
      </c>
      <c r="O919" t="n">
        <v>0</v>
      </c>
      <c r="P919" t="n">
        <v>0</v>
      </c>
      <c r="Q919" t="n">
        <v>0</v>
      </c>
      <c r="R919" s="2" t="inlineStr"/>
    </row>
    <row r="920" ht="15" customHeight="1">
      <c r="A920" t="inlineStr">
        <is>
          <t>A 18580-2023</t>
        </is>
      </c>
      <c r="B920" s="1" t="n">
        <v>45043.37037037037</v>
      </c>
      <c r="C920" s="1" t="n">
        <v>45907</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10897-2023</t>
        </is>
      </c>
      <c r="B921" s="1" t="n">
        <v>44985</v>
      </c>
      <c r="C921" s="1" t="n">
        <v>45907</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50571-2023</t>
        </is>
      </c>
      <c r="B922" s="1" t="n">
        <v>45217.38359953704</v>
      </c>
      <c r="C922" s="1" t="n">
        <v>45907</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9555-2025</t>
        </is>
      </c>
      <c r="B923" s="1" t="n">
        <v>45714</v>
      </c>
      <c r="C923" s="1" t="n">
        <v>45907</v>
      </c>
      <c r="D923" t="inlineStr">
        <is>
          <t>SKÅNE LÄN</t>
        </is>
      </c>
      <c r="E923" t="inlineStr">
        <is>
          <t>HÄSSLEHOLM</t>
        </is>
      </c>
      <c r="G923" t="n">
        <v>5.4</v>
      </c>
      <c r="H923" t="n">
        <v>0</v>
      </c>
      <c r="I923" t="n">
        <v>0</v>
      </c>
      <c r="J923" t="n">
        <v>0</v>
      </c>
      <c r="K923" t="n">
        <v>0</v>
      </c>
      <c r="L923" t="n">
        <v>0</v>
      </c>
      <c r="M923" t="n">
        <v>0</v>
      </c>
      <c r="N923" t="n">
        <v>0</v>
      </c>
      <c r="O923" t="n">
        <v>0</v>
      </c>
      <c r="P923" t="n">
        <v>0</v>
      </c>
      <c r="Q923" t="n">
        <v>0</v>
      </c>
      <c r="R923" s="2" t="inlineStr"/>
    </row>
    <row r="924" ht="15" customHeight="1">
      <c r="A924" t="inlineStr">
        <is>
          <t>A 18908-2023</t>
        </is>
      </c>
      <c r="B924" s="1" t="n">
        <v>45044</v>
      </c>
      <c r="C924" s="1" t="n">
        <v>45907</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9611-2025</t>
        </is>
      </c>
      <c r="B925" s="1" t="n">
        <v>45715</v>
      </c>
      <c r="C925" s="1" t="n">
        <v>45907</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10028-2024</t>
        </is>
      </c>
      <c r="B926" s="1" t="n">
        <v>45363.97292824074</v>
      </c>
      <c r="C926" s="1" t="n">
        <v>45907</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13084-2025</t>
        </is>
      </c>
      <c r="B927" s="1" t="n">
        <v>45734</v>
      </c>
      <c r="C927" s="1" t="n">
        <v>45907</v>
      </c>
      <c r="D927" t="inlineStr">
        <is>
          <t>SKÅNE LÄN</t>
        </is>
      </c>
      <c r="E927" t="inlineStr">
        <is>
          <t>HÄSSLEHOLM</t>
        </is>
      </c>
      <c r="G927" t="n">
        <v>2.3</v>
      </c>
      <c r="H927" t="n">
        <v>0</v>
      </c>
      <c r="I927" t="n">
        <v>0</v>
      </c>
      <c r="J927" t="n">
        <v>0</v>
      </c>
      <c r="K927" t="n">
        <v>0</v>
      </c>
      <c r="L927" t="n">
        <v>0</v>
      </c>
      <c r="M927" t="n">
        <v>0</v>
      </c>
      <c r="N927" t="n">
        <v>0</v>
      </c>
      <c r="O927" t="n">
        <v>0</v>
      </c>
      <c r="P927" t="n">
        <v>0</v>
      </c>
      <c r="Q927" t="n">
        <v>0</v>
      </c>
      <c r="R927" s="2" t="inlineStr"/>
    </row>
    <row r="928" ht="15" customHeight="1">
      <c r="A928" t="inlineStr">
        <is>
          <t>A 24906-2022</t>
        </is>
      </c>
      <c r="B928" s="1" t="n">
        <v>44728</v>
      </c>
      <c r="C928" s="1" t="n">
        <v>45907</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16285-2025</t>
        </is>
      </c>
      <c r="B929" s="1" t="n">
        <v>45751.30045138889</v>
      </c>
      <c r="C929" s="1" t="n">
        <v>45907</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3890-2024</t>
        </is>
      </c>
      <c r="B930" s="1" t="n">
        <v>45322.45366898148</v>
      </c>
      <c r="C930" s="1" t="n">
        <v>45907</v>
      </c>
      <c r="D930" t="inlineStr">
        <is>
          <t>SKÅNE LÄN</t>
        </is>
      </c>
      <c r="E930" t="inlineStr">
        <is>
          <t>HÄSSLEHOLM</t>
        </is>
      </c>
      <c r="G930" t="n">
        <v>3</v>
      </c>
      <c r="H930" t="n">
        <v>0</v>
      </c>
      <c r="I930" t="n">
        <v>0</v>
      </c>
      <c r="J930" t="n">
        <v>0</v>
      </c>
      <c r="K930" t="n">
        <v>0</v>
      </c>
      <c r="L930" t="n">
        <v>0</v>
      </c>
      <c r="M930" t="n">
        <v>0</v>
      </c>
      <c r="N930" t="n">
        <v>0</v>
      </c>
      <c r="O930" t="n">
        <v>0</v>
      </c>
      <c r="P930" t="n">
        <v>0</v>
      </c>
      <c r="Q930" t="n">
        <v>0</v>
      </c>
      <c r="R930" s="2" t="inlineStr"/>
    </row>
    <row r="931" ht="15" customHeight="1">
      <c r="A931" t="inlineStr">
        <is>
          <t>A 15800-2025</t>
        </is>
      </c>
      <c r="B931" s="1" t="n">
        <v>45748.64831018518</v>
      </c>
      <c r="C931" s="1" t="n">
        <v>45907</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46000-2021</t>
        </is>
      </c>
      <c r="B932" s="1" t="n">
        <v>44441</v>
      </c>
      <c r="C932" s="1" t="n">
        <v>45907</v>
      </c>
      <c r="D932" t="inlineStr">
        <is>
          <t>SKÅNE LÄN</t>
        </is>
      </c>
      <c r="E932" t="inlineStr">
        <is>
          <t>HÄSSLEHOLM</t>
        </is>
      </c>
      <c r="G932" t="n">
        <v>1.6</v>
      </c>
      <c r="H932" t="n">
        <v>0</v>
      </c>
      <c r="I932" t="n">
        <v>0</v>
      </c>
      <c r="J932" t="n">
        <v>0</v>
      </c>
      <c r="K932" t="n">
        <v>0</v>
      </c>
      <c r="L932" t="n">
        <v>0</v>
      </c>
      <c r="M932" t="n">
        <v>0</v>
      </c>
      <c r="N932" t="n">
        <v>0</v>
      </c>
      <c r="O932" t="n">
        <v>0</v>
      </c>
      <c r="P932" t="n">
        <v>0</v>
      </c>
      <c r="Q932" t="n">
        <v>0</v>
      </c>
      <c r="R932" s="2" t="inlineStr"/>
    </row>
    <row r="933" ht="15" customHeight="1">
      <c r="A933" t="inlineStr">
        <is>
          <t>A 4009-2024</t>
        </is>
      </c>
      <c r="B933" s="1" t="n">
        <v>45323</v>
      </c>
      <c r="C933" s="1" t="n">
        <v>45907</v>
      </c>
      <c r="D933" t="inlineStr">
        <is>
          <t>SKÅNE LÄN</t>
        </is>
      </c>
      <c r="E933" t="inlineStr">
        <is>
          <t>HÄSSLEHOLM</t>
        </is>
      </c>
      <c r="G933" t="n">
        <v>2.4</v>
      </c>
      <c r="H933" t="n">
        <v>0</v>
      </c>
      <c r="I933" t="n">
        <v>0</v>
      </c>
      <c r="J933" t="n">
        <v>0</v>
      </c>
      <c r="K933" t="n">
        <v>0</v>
      </c>
      <c r="L933" t="n">
        <v>0</v>
      </c>
      <c r="M933" t="n">
        <v>0</v>
      </c>
      <c r="N933" t="n">
        <v>0</v>
      </c>
      <c r="O933" t="n">
        <v>0</v>
      </c>
      <c r="P933" t="n">
        <v>0</v>
      </c>
      <c r="Q933" t="n">
        <v>0</v>
      </c>
      <c r="R933" s="2" t="inlineStr"/>
    </row>
    <row r="934" ht="15" customHeight="1">
      <c r="A934" t="inlineStr">
        <is>
          <t>A 10928-2024</t>
        </is>
      </c>
      <c r="B934" s="1" t="n">
        <v>45370</v>
      </c>
      <c r="C934" s="1" t="n">
        <v>45907</v>
      </c>
      <c r="D934" t="inlineStr">
        <is>
          <t>SKÅNE LÄN</t>
        </is>
      </c>
      <c r="E934" t="inlineStr">
        <is>
          <t>HÄSSLEHOLM</t>
        </is>
      </c>
      <c r="F934" t="inlineStr">
        <is>
          <t>Övriga Aktiebolag</t>
        </is>
      </c>
      <c r="G934" t="n">
        <v>0.5</v>
      </c>
      <c r="H934" t="n">
        <v>0</v>
      </c>
      <c r="I934" t="n">
        <v>0</v>
      </c>
      <c r="J934" t="n">
        <v>0</v>
      </c>
      <c r="K934" t="n">
        <v>0</v>
      </c>
      <c r="L934" t="n">
        <v>0</v>
      </c>
      <c r="M934" t="n">
        <v>0</v>
      </c>
      <c r="N934" t="n">
        <v>0</v>
      </c>
      <c r="O934" t="n">
        <v>0</v>
      </c>
      <c r="P934" t="n">
        <v>0</v>
      </c>
      <c r="Q934" t="n">
        <v>0</v>
      </c>
      <c r="R934" s="2" t="inlineStr"/>
    </row>
    <row r="935" ht="15" customHeight="1">
      <c r="A935" t="inlineStr">
        <is>
          <t>A 10944-2024</t>
        </is>
      </c>
      <c r="B935" s="1" t="n">
        <v>45370</v>
      </c>
      <c r="C935" s="1" t="n">
        <v>45907</v>
      </c>
      <c r="D935" t="inlineStr">
        <is>
          <t>SKÅNE LÄN</t>
        </is>
      </c>
      <c r="E935" t="inlineStr">
        <is>
          <t>HÄSSLEHOLM</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6087-2025</t>
        </is>
      </c>
      <c r="B936" s="1" t="n">
        <v>45697.69782407407</v>
      </c>
      <c r="C936" s="1" t="n">
        <v>45907</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13897-2024</t>
        </is>
      </c>
      <c r="B937" s="1" t="n">
        <v>45391</v>
      </c>
      <c r="C937" s="1" t="n">
        <v>45907</v>
      </c>
      <c r="D937" t="inlineStr">
        <is>
          <t>SKÅNE LÄN</t>
        </is>
      </c>
      <c r="E937" t="inlineStr">
        <is>
          <t>HÄSSLEHOLM</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33466-2024</t>
        </is>
      </c>
      <c r="B938" s="1" t="n">
        <v>45519</v>
      </c>
      <c r="C938" s="1" t="n">
        <v>45907</v>
      </c>
      <c r="D938" t="inlineStr">
        <is>
          <t>SKÅNE LÄN</t>
        </is>
      </c>
      <c r="E938" t="inlineStr">
        <is>
          <t>HÄSSLEHOLM</t>
        </is>
      </c>
      <c r="G938" t="n">
        <v>0.4</v>
      </c>
      <c r="H938" t="n">
        <v>0</v>
      </c>
      <c r="I938" t="n">
        <v>0</v>
      </c>
      <c r="J938" t="n">
        <v>0</v>
      </c>
      <c r="K938" t="n">
        <v>0</v>
      </c>
      <c r="L938" t="n">
        <v>0</v>
      </c>
      <c r="M938" t="n">
        <v>0</v>
      </c>
      <c r="N938" t="n">
        <v>0</v>
      </c>
      <c r="O938" t="n">
        <v>0</v>
      </c>
      <c r="P938" t="n">
        <v>0</v>
      </c>
      <c r="Q938" t="n">
        <v>0</v>
      </c>
      <c r="R938" s="2" t="inlineStr"/>
    </row>
    <row r="939" ht="15" customHeight="1">
      <c r="A939" t="inlineStr">
        <is>
          <t>A 56355-2023</t>
        </is>
      </c>
      <c r="B939" s="1" t="n">
        <v>45243.3702662037</v>
      </c>
      <c r="C939" s="1" t="n">
        <v>45907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6612-2024</t>
        </is>
      </c>
      <c r="B940" s="1" t="n">
        <v>45341.58859953703</v>
      </c>
      <c r="C940" s="1" t="n">
        <v>45907</v>
      </c>
      <c r="D940" t="inlineStr">
        <is>
          <t>SKÅNE LÄN</t>
        </is>
      </c>
      <c r="E940" t="inlineStr">
        <is>
          <t>HÄSSLEHOLM</t>
        </is>
      </c>
      <c r="G940" t="n">
        <v>0.5</v>
      </c>
      <c r="H940" t="n">
        <v>0</v>
      </c>
      <c r="I940" t="n">
        <v>0</v>
      </c>
      <c r="J940" t="n">
        <v>0</v>
      </c>
      <c r="K940" t="n">
        <v>0</v>
      </c>
      <c r="L940" t="n">
        <v>0</v>
      </c>
      <c r="M940" t="n">
        <v>0</v>
      </c>
      <c r="N940" t="n">
        <v>0</v>
      </c>
      <c r="O940" t="n">
        <v>0</v>
      </c>
      <c r="P940" t="n">
        <v>0</v>
      </c>
      <c r="Q940" t="n">
        <v>0</v>
      </c>
      <c r="R940" s="2" t="inlineStr"/>
    </row>
    <row r="941" ht="15" customHeight="1">
      <c r="A941" t="inlineStr">
        <is>
          <t>A 1886-2025</t>
        </is>
      </c>
      <c r="B941" s="1" t="n">
        <v>45671</v>
      </c>
      <c r="C941" s="1" t="n">
        <v>45907</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26879-2024</t>
        </is>
      </c>
      <c r="B942" s="1" t="n">
        <v>45470</v>
      </c>
      <c r="C942" s="1" t="n">
        <v>45907</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59246-2024</t>
        </is>
      </c>
      <c r="B943" s="1" t="n">
        <v>45636</v>
      </c>
      <c r="C943" s="1" t="n">
        <v>45907</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20800-2023</t>
        </is>
      </c>
      <c r="B944" s="1" t="n">
        <v>45058.61640046296</v>
      </c>
      <c r="C944" s="1" t="n">
        <v>45907</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54473-2023</t>
        </is>
      </c>
      <c r="B945" s="1" t="n">
        <v>45233</v>
      </c>
      <c r="C945" s="1" t="n">
        <v>45907</v>
      </c>
      <c r="D945" t="inlineStr">
        <is>
          <t>SKÅNE LÄN</t>
        </is>
      </c>
      <c r="E945" t="inlineStr">
        <is>
          <t>HÄSSLEHOLM</t>
        </is>
      </c>
      <c r="G945" t="n">
        <v>24.5</v>
      </c>
      <c r="H945" t="n">
        <v>0</v>
      </c>
      <c r="I945" t="n">
        <v>0</v>
      </c>
      <c r="J945" t="n">
        <v>0</v>
      </c>
      <c r="K945" t="n">
        <v>0</v>
      </c>
      <c r="L945" t="n">
        <v>0</v>
      </c>
      <c r="M945" t="n">
        <v>0</v>
      </c>
      <c r="N945" t="n">
        <v>0</v>
      </c>
      <c r="O945" t="n">
        <v>0</v>
      </c>
      <c r="P945" t="n">
        <v>0</v>
      </c>
      <c r="Q945" t="n">
        <v>0</v>
      </c>
      <c r="R945" s="2" t="inlineStr"/>
    </row>
    <row r="946" ht="15" customHeight="1">
      <c r="A946" t="inlineStr">
        <is>
          <t>A 11240-2023</t>
        </is>
      </c>
      <c r="B946" s="1" t="n">
        <v>44992</v>
      </c>
      <c r="C946" s="1" t="n">
        <v>45907</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11019-2025</t>
        </is>
      </c>
      <c r="B947" s="1" t="n">
        <v>45723</v>
      </c>
      <c r="C947" s="1" t="n">
        <v>45907</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16108-2025</t>
        </is>
      </c>
      <c r="B948" s="1" t="n">
        <v>45750.34667824074</v>
      </c>
      <c r="C948" s="1" t="n">
        <v>45907</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48326-2023</t>
        </is>
      </c>
      <c r="B949" s="1" t="n">
        <v>45205</v>
      </c>
      <c r="C949" s="1" t="n">
        <v>45907</v>
      </c>
      <c r="D949" t="inlineStr">
        <is>
          <t>SKÅNE LÄN</t>
        </is>
      </c>
      <c r="E949" t="inlineStr">
        <is>
          <t>HÄSSLEHOLM</t>
        </is>
      </c>
      <c r="G949" t="n">
        <v>12.7</v>
      </c>
      <c r="H949" t="n">
        <v>0</v>
      </c>
      <c r="I949" t="n">
        <v>0</v>
      </c>
      <c r="J949" t="n">
        <v>0</v>
      </c>
      <c r="K949" t="n">
        <v>0</v>
      </c>
      <c r="L949" t="n">
        <v>0</v>
      </c>
      <c r="M949" t="n">
        <v>0</v>
      </c>
      <c r="N949" t="n">
        <v>0</v>
      </c>
      <c r="O949" t="n">
        <v>0</v>
      </c>
      <c r="P949" t="n">
        <v>0</v>
      </c>
      <c r="Q949" t="n">
        <v>0</v>
      </c>
      <c r="R949" s="2" t="inlineStr"/>
    </row>
    <row r="950" ht="15" customHeight="1">
      <c r="A950" t="inlineStr">
        <is>
          <t>A 11681-2023</t>
        </is>
      </c>
      <c r="B950" s="1" t="n">
        <v>44992</v>
      </c>
      <c r="C950" s="1" t="n">
        <v>45907</v>
      </c>
      <c r="D950" t="inlineStr">
        <is>
          <t>SKÅNE LÄN</t>
        </is>
      </c>
      <c r="E950" t="inlineStr">
        <is>
          <t>HÄSSLEHOLM</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33927-2021</t>
        </is>
      </c>
      <c r="B951" s="1" t="n">
        <v>44378</v>
      </c>
      <c r="C951" s="1" t="n">
        <v>45907</v>
      </c>
      <c r="D951" t="inlineStr">
        <is>
          <t>SKÅNE LÄN</t>
        </is>
      </c>
      <c r="E951" t="inlineStr">
        <is>
          <t>HÄSSLEHOLM</t>
        </is>
      </c>
      <c r="G951" t="n">
        <v>16.7</v>
      </c>
      <c r="H951" t="n">
        <v>0</v>
      </c>
      <c r="I951" t="n">
        <v>0</v>
      </c>
      <c r="J951" t="n">
        <v>0</v>
      </c>
      <c r="K951" t="n">
        <v>0</v>
      </c>
      <c r="L951" t="n">
        <v>0</v>
      </c>
      <c r="M951" t="n">
        <v>0</v>
      </c>
      <c r="N951" t="n">
        <v>0</v>
      </c>
      <c r="O951" t="n">
        <v>0</v>
      </c>
      <c r="P951" t="n">
        <v>0</v>
      </c>
      <c r="Q951" t="n">
        <v>0</v>
      </c>
      <c r="R951" s="2" t="inlineStr"/>
    </row>
    <row r="952" ht="15" customHeight="1">
      <c r="A952" t="inlineStr">
        <is>
          <t>A 7305-2025</t>
        </is>
      </c>
      <c r="B952" s="1" t="n">
        <v>45702</v>
      </c>
      <c r="C952" s="1" t="n">
        <v>45907</v>
      </c>
      <c r="D952" t="inlineStr">
        <is>
          <t>SKÅNE LÄN</t>
        </is>
      </c>
      <c r="E952" t="inlineStr">
        <is>
          <t>HÄSSLEHOLM</t>
        </is>
      </c>
      <c r="F952" t="inlineStr">
        <is>
          <t>Övriga Aktiebolag</t>
        </is>
      </c>
      <c r="G952" t="n">
        <v>2.2</v>
      </c>
      <c r="H952" t="n">
        <v>0</v>
      </c>
      <c r="I952" t="n">
        <v>0</v>
      </c>
      <c r="J952" t="n">
        <v>0</v>
      </c>
      <c r="K952" t="n">
        <v>0</v>
      </c>
      <c r="L952" t="n">
        <v>0</v>
      </c>
      <c r="M952" t="n">
        <v>0</v>
      </c>
      <c r="N952" t="n">
        <v>0</v>
      </c>
      <c r="O952" t="n">
        <v>0</v>
      </c>
      <c r="P952" t="n">
        <v>0</v>
      </c>
      <c r="Q952" t="n">
        <v>0</v>
      </c>
      <c r="R952" s="2" t="inlineStr"/>
    </row>
    <row r="953" ht="15" customHeight="1">
      <c r="A953" t="inlineStr">
        <is>
          <t>A 5116-2023</t>
        </is>
      </c>
      <c r="B953" s="1" t="n">
        <v>44958.67546296296</v>
      </c>
      <c r="C953" s="1" t="n">
        <v>45907</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54518-2022</t>
        </is>
      </c>
      <c r="B954" s="1" t="n">
        <v>44882</v>
      </c>
      <c r="C954" s="1" t="n">
        <v>45907</v>
      </c>
      <c r="D954" t="inlineStr">
        <is>
          <t>SKÅNE LÄN</t>
        </is>
      </c>
      <c r="E954" t="inlineStr">
        <is>
          <t>HÄSSLEHOLM</t>
        </is>
      </c>
      <c r="F954" t="inlineStr">
        <is>
          <t>Övriga Aktiebolag</t>
        </is>
      </c>
      <c r="G954" t="n">
        <v>6.8</v>
      </c>
      <c r="H954" t="n">
        <v>0</v>
      </c>
      <c r="I954" t="n">
        <v>0</v>
      </c>
      <c r="J954" t="n">
        <v>0</v>
      </c>
      <c r="K954" t="n">
        <v>0</v>
      </c>
      <c r="L954" t="n">
        <v>0</v>
      </c>
      <c r="M954" t="n">
        <v>0</v>
      </c>
      <c r="N954" t="n">
        <v>0</v>
      </c>
      <c r="O954" t="n">
        <v>0</v>
      </c>
      <c r="P954" t="n">
        <v>0</v>
      </c>
      <c r="Q954" t="n">
        <v>0</v>
      </c>
      <c r="R954" s="2" t="inlineStr"/>
    </row>
    <row r="955" ht="15" customHeight="1">
      <c r="A955" t="inlineStr">
        <is>
          <t>A 57491-2024</t>
        </is>
      </c>
      <c r="B955" s="1" t="n">
        <v>45629</v>
      </c>
      <c r="C955" s="1" t="n">
        <v>45907</v>
      </c>
      <c r="D955" t="inlineStr">
        <is>
          <t>SKÅNE LÄN</t>
        </is>
      </c>
      <c r="E955" t="inlineStr">
        <is>
          <t>HÄSSLEHOLM</t>
        </is>
      </c>
      <c r="G955" t="n">
        <v>3.2</v>
      </c>
      <c r="H955" t="n">
        <v>0</v>
      </c>
      <c r="I955" t="n">
        <v>0</v>
      </c>
      <c r="J955" t="n">
        <v>0</v>
      </c>
      <c r="K955" t="n">
        <v>0</v>
      </c>
      <c r="L955" t="n">
        <v>0</v>
      </c>
      <c r="M955" t="n">
        <v>0</v>
      </c>
      <c r="N955" t="n">
        <v>0</v>
      </c>
      <c r="O955" t="n">
        <v>0</v>
      </c>
      <c r="P955" t="n">
        <v>0</v>
      </c>
      <c r="Q955" t="n">
        <v>0</v>
      </c>
      <c r="R955" s="2" t="inlineStr"/>
    </row>
    <row r="956" ht="15" customHeight="1">
      <c r="A956" t="inlineStr">
        <is>
          <t>A 52912-2022</t>
        </is>
      </c>
      <c r="B956" s="1" t="n">
        <v>44872</v>
      </c>
      <c r="C956" s="1" t="n">
        <v>45907</v>
      </c>
      <c r="D956" t="inlineStr">
        <is>
          <t>SKÅNE LÄN</t>
        </is>
      </c>
      <c r="E956" t="inlineStr">
        <is>
          <t>HÄSSLEHOLM</t>
        </is>
      </c>
      <c r="G956" t="n">
        <v>4.7</v>
      </c>
      <c r="H956" t="n">
        <v>0</v>
      </c>
      <c r="I956" t="n">
        <v>0</v>
      </c>
      <c r="J956" t="n">
        <v>0</v>
      </c>
      <c r="K956" t="n">
        <v>0</v>
      </c>
      <c r="L956" t="n">
        <v>0</v>
      </c>
      <c r="M956" t="n">
        <v>0</v>
      </c>
      <c r="N956" t="n">
        <v>0</v>
      </c>
      <c r="O956" t="n">
        <v>0</v>
      </c>
      <c r="P956" t="n">
        <v>0</v>
      </c>
      <c r="Q956" t="n">
        <v>0</v>
      </c>
      <c r="R956" s="2" t="inlineStr"/>
    </row>
    <row r="957" ht="15" customHeight="1">
      <c r="A957" t="inlineStr">
        <is>
          <t>A 42364-2023</t>
        </is>
      </c>
      <c r="B957" s="1" t="n">
        <v>45180.54754629629</v>
      </c>
      <c r="C957" s="1" t="n">
        <v>45907</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16950-2025</t>
        </is>
      </c>
      <c r="B958" s="1" t="n">
        <v>45755</v>
      </c>
      <c r="C958" s="1" t="n">
        <v>45907</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27502-2023</t>
        </is>
      </c>
      <c r="B959" s="1" t="n">
        <v>45092</v>
      </c>
      <c r="C959" s="1" t="n">
        <v>45907</v>
      </c>
      <c r="D959" t="inlineStr">
        <is>
          <t>SKÅNE LÄN</t>
        </is>
      </c>
      <c r="E959" t="inlineStr">
        <is>
          <t>HÄSSLEHOLM</t>
        </is>
      </c>
      <c r="G959" t="n">
        <v>0.7</v>
      </c>
      <c r="H959" t="n">
        <v>0</v>
      </c>
      <c r="I959" t="n">
        <v>0</v>
      </c>
      <c r="J959" t="n">
        <v>0</v>
      </c>
      <c r="K959" t="n">
        <v>0</v>
      </c>
      <c r="L959" t="n">
        <v>0</v>
      </c>
      <c r="M959" t="n">
        <v>0</v>
      </c>
      <c r="N959" t="n">
        <v>0</v>
      </c>
      <c r="O959" t="n">
        <v>0</v>
      </c>
      <c r="P959" t="n">
        <v>0</v>
      </c>
      <c r="Q959" t="n">
        <v>0</v>
      </c>
      <c r="R959" s="2" t="inlineStr"/>
    </row>
    <row r="960" ht="15" customHeight="1">
      <c r="A960" t="inlineStr">
        <is>
          <t>A 54408-2024</t>
        </is>
      </c>
      <c r="B960" s="1" t="n">
        <v>45617.47263888889</v>
      </c>
      <c r="C960" s="1" t="n">
        <v>45907</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56158-2020</t>
        </is>
      </c>
      <c r="B961" s="1" t="n">
        <v>44133</v>
      </c>
      <c r="C961" s="1" t="n">
        <v>45907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6836-2023</t>
        </is>
      </c>
      <c r="B962" s="1" t="n">
        <v>44967</v>
      </c>
      <c r="C962" s="1" t="n">
        <v>45907</v>
      </c>
      <c r="D962" t="inlineStr">
        <is>
          <t>SKÅNE LÄN</t>
        </is>
      </c>
      <c r="E962" t="inlineStr">
        <is>
          <t>HÄSSLEHOLM</t>
        </is>
      </c>
      <c r="G962" t="n">
        <v>3.5</v>
      </c>
      <c r="H962" t="n">
        <v>0</v>
      </c>
      <c r="I962" t="n">
        <v>0</v>
      </c>
      <c r="J962" t="n">
        <v>0</v>
      </c>
      <c r="K962" t="n">
        <v>0</v>
      </c>
      <c r="L962" t="n">
        <v>0</v>
      </c>
      <c r="M962" t="n">
        <v>0</v>
      </c>
      <c r="N962" t="n">
        <v>0</v>
      </c>
      <c r="O962" t="n">
        <v>0</v>
      </c>
      <c r="P962" t="n">
        <v>0</v>
      </c>
      <c r="Q962" t="n">
        <v>0</v>
      </c>
      <c r="R962" s="2" t="inlineStr"/>
    </row>
    <row r="963" ht="15" customHeight="1">
      <c r="A963" t="inlineStr">
        <is>
          <t>A 6845-2023</t>
        </is>
      </c>
      <c r="B963" s="1" t="n">
        <v>44967</v>
      </c>
      <c r="C963" s="1" t="n">
        <v>45907</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5780-2024</t>
        </is>
      </c>
      <c r="B964" s="1" t="n">
        <v>45335.41983796296</v>
      </c>
      <c r="C964" s="1" t="n">
        <v>45907</v>
      </c>
      <c r="D964" t="inlineStr">
        <is>
          <t>SKÅNE LÄN</t>
        </is>
      </c>
      <c r="E964" t="inlineStr">
        <is>
          <t>HÄSSLEHOLM</t>
        </is>
      </c>
      <c r="G964" t="n">
        <v>2.5</v>
      </c>
      <c r="H964" t="n">
        <v>0</v>
      </c>
      <c r="I964" t="n">
        <v>0</v>
      </c>
      <c r="J964" t="n">
        <v>0</v>
      </c>
      <c r="K964" t="n">
        <v>0</v>
      </c>
      <c r="L964" t="n">
        <v>0</v>
      </c>
      <c r="M964" t="n">
        <v>0</v>
      </c>
      <c r="N964" t="n">
        <v>0</v>
      </c>
      <c r="O964" t="n">
        <v>0</v>
      </c>
      <c r="P964" t="n">
        <v>0</v>
      </c>
      <c r="Q964" t="n">
        <v>0</v>
      </c>
      <c r="R964" s="2" t="inlineStr"/>
    </row>
    <row r="965" ht="15" customHeight="1">
      <c r="A965" t="inlineStr">
        <is>
          <t>A 53887-2023</t>
        </is>
      </c>
      <c r="B965" s="1" t="n">
        <v>45231.52675925926</v>
      </c>
      <c r="C965" s="1" t="n">
        <v>45907</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7481-2023</t>
        </is>
      </c>
      <c r="B966" s="1" t="n">
        <v>44971</v>
      </c>
      <c r="C966" s="1" t="n">
        <v>45907</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21329-2023</t>
        </is>
      </c>
      <c r="B967" s="1" t="n">
        <v>45062</v>
      </c>
      <c r="C967" s="1" t="n">
        <v>45907</v>
      </c>
      <c r="D967" t="inlineStr">
        <is>
          <t>SKÅNE LÄN</t>
        </is>
      </c>
      <c r="E967" t="inlineStr">
        <is>
          <t>HÄSSLEHOLM</t>
        </is>
      </c>
      <c r="G967" t="n">
        <v>1.1</v>
      </c>
      <c r="H967" t="n">
        <v>0</v>
      </c>
      <c r="I967" t="n">
        <v>0</v>
      </c>
      <c r="J967" t="n">
        <v>0</v>
      </c>
      <c r="K967" t="n">
        <v>0</v>
      </c>
      <c r="L967" t="n">
        <v>0</v>
      </c>
      <c r="M967" t="n">
        <v>0</v>
      </c>
      <c r="N967" t="n">
        <v>0</v>
      </c>
      <c r="O967" t="n">
        <v>0</v>
      </c>
      <c r="P967" t="n">
        <v>0</v>
      </c>
      <c r="Q967" t="n">
        <v>0</v>
      </c>
      <c r="R967" s="2" t="inlineStr"/>
    </row>
    <row r="968" ht="15" customHeight="1">
      <c r="A968" t="inlineStr">
        <is>
          <t>A 59728-2022</t>
        </is>
      </c>
      <c r="B968" s="1" t="n">
        <v>44900</v>
      </c>
      <c r="C968" s="1" t="n">
        <v>45907</v>
      </c>
      <c r="D968" t="inlineStr">
        <is>
          <t>SKÅNE LÄN</t>
        </is>
      </c>
      <c r="E968" t="inlineStr">
        <is>
          <t>HÄSSLEHOLM</t>
        </is>
      </c>
      <c r="G968" t="n">
        <v>0.3</v>
      </c>
      <c r="H968" t="n">
        <v>0</v>
      </c>
      <c r="I968" t="n">
        <v>0</v>
      </c>
      <c r="J968" t="n">
        <v>0</v>
      </c>
      <c r="K968" t="n">
        <v>0</v>
      </c>
      <c r="L968" t="n">
        <v>0</v>
      </c>
      <c r="M968" t="n">
        <v>0</v>
      </c>
      <c r="N968" t="n">
        <v>0</v>
      </c>
      <c r="O968" t="n">
        <v>0</v>
      </c>
      <c r="P968" t="n">
        <v>0</v>
      </c>
      <c r="Q968" t="n">
        <v>0</v>
      </c>
      <c r="R968" s="2" t="inlineStr"/>
    </row>
    <row r="969" ht="15" customHeight="1">
      <c r="A969" t="inlineStr">
        <is>
          <t>A 6791-2021</t>
        </is>
      </c>
      <c r="B969" s="1" t="n">
        <v>44236</v>
      </c>
      <c r="C969" s="1" t="n">
        <v>45907</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1543-2024</t>
        </is>
      </c>
      <c r="B970" s="1" t="n">
        <v>45306</v>
      </c>
      <c r="C970" s="1" t="n">
        <v>45907</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18800-2023</t>
        </is>
      </c>
      <c r="B971" s="1" t="n">
        <v>45044</v>
      </c>
      <c r="C971" s="1" t="n">
        <v>45907</v>
      </c>
      <c r="D971" t="inlineStr">
        <is>
          <t>SKÅNE LÄN</t>
        </is>
      </c>
      <c r="E971" t="inlineStr">
        <is>
          <t>HÄSSLEHOLM</t>
        </is>
      </c>
      <c r="G971" t="n">
        <v>1.1</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45907</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2663-2023</t>
        </is>
      </c>
      <c r="B973" s="1" t="n">
        <v>44942</v>
      </c>
      <c r="C973" s="1" t="n">
        <v>45907</v>
      </c>
      <c r="D973" t="inlineStr">
        <is>
          <t>SKÅNE LÄN</t>
        </is>
      </c>
      <c r="E973" t="inlineStr">
        <is>
          <t>HÄSSLEHOLM</t>
        </is>
      </c>
      <c r="F973" t="inlineStr">
        <is>
          <t>Kyrkan</t>
        </is>
      </c>
      <c r="G973" t="n">
        <v>0.8</v>
      </c>
      <c r="H973" t="n">
        <v>0</v>
      </c>
      <c r="I973" t="n">
        <v>0</v>
      </c>
      <c r="J973" t="n">
        <v>0</v>
      </c>
      <c r="K973" t="n">
        <v>0</v>
      </c>
      <c r="L973" t="n">
        <v>0</v>
      </c>
      <c r="M973" t="n">
        <v>0</v>
      </c>
      <c r="N973" t="n">
        <v>0</v>
      </c>
      <c r="O973" t="n">
        <v>0</v>
      </c>
      <c r="P973" t="n">
        <v>0</v>
      </c>
      <c r="Q973" t="n">
        <v>0</v>
      </c>
      <c r="R973" s="2" t="inlineStr"/>
    </row>
    <row r="974" ht="15" customHeight="1">
      <c r="A974" t="inlineStr">
        <is>
          <t>A 23172-2022</t>
        </is>
      </c>
      <c r="B974" s="1" t="n">
        <v>44719</v>
      </c>
      <c r="C974" s="1" t="n">
        <v>45907</v>
      </c>
      <c r="D974" t="inlineStr">
        <is>
          <t>SKÅNE LÄN</t>
        </is>
      </c>
      <c r="E974" t="inlineStr">
        <is>
          <t>HÄSSLEHOLM</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23173-2022</t>
        </is>
      </c>
      <c r="B975" s="1" t="n">
        <v>44719.72155092593</v>
      </c>
      <c r="C975" s="1" t="n">
        <v>45907</v>
      </c>
      <c r="D975" t="inlineStr">
        <is>
          <t>SKÅNE LÄN</t>
        </is>
      </c>
      <c r="E975" t="inlineStr">
        <is>
          <t>HÄSSLEHOLM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17492-2025</t>
        </is>
      </c>
      <c r="B976" s="1" t="n">
        <v>45747</v>
      </c>
      <c r="C976" s="1" t="n">
        <v>45907</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25077-2024</t>
        </is>
      </c>
      <c r="B977" s="1" t="n">
        <v>45462</v>
      </c>
      <c r="C977" s="1" t="n">
        <v>45907</v>
      </c>
      <c r="D977" t="inlineStr">
        <is>
          <t>SKÅNE LÄN</t>
        </is>
      </c>
      <c r="E977" t="inlineStr">
        <is>
          <t>HÄSSLEHOLM</t>
        </is>
      </c>
      <c r="G977" t="n">
        <v>1.6</v>
      </c>
      <c r="H977" t="n">
        <v>0</v>
      </c>
      <c r="I977" t="n">
        <v>0</v>
      </c>
      <c r="J977" t="n">
        <v>0</v>
      </c>
      <c r="K977" t="n">
        <v>0</v>
      </c>
      <c r="L977" t="n">
        <v>0</v>
      </c>
      <c r="M977" t="n">
        <v>0</v>
      </c>
      <c r="N977" t="n">
        <v>0</v>
      </c>
      <c r="O977" t="n">
        <v>0</v>
      </c>
      <c r="P977" t="n">
        <v>0</v>
      </c>
      <c r="Q977" t="n">
        <v>0</v>
      </c>
      <c r="R977" s="2" t="inlineStr"/>
    </row>
    <row r="978" ht="15" customHeight="1">
      <c r="A978" t="inlineStr">
        <is>
          <t>A 22535-2024</t>
        </is>
      </c>
      <c r="B978" s="1" t="n">
        <v>45447</v>
      </c>
      <c r="C978" s="1" t="n">
        <v>45907</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15060-2023</t>
        </is>
      </c>
      <c r="B979" s="1" t="n">
        <v>45015.69832175926</v>
      </c>
      <c r="C979" s="1" t="n">
        <v>45907</v>
      </c>
      <c r="D979" t="inlineStr">
        <is>
          <t>SKÅNE LÄN</t>
        </is>
      </c>
      <c r="E979" t="inlineStr">
        <is>
          <t>HÄSSLEHOLM</t>
        </is>
      </c>
      <c r="G979" t="n">
        <v>1.7</v>
      </c>
      <c r="H979" t="n">
        <v>0</v>
      </c>
      <c r="I979" t="n">
        <v>0</v>
      </c>
      <c r="J979" t="n">
        <v>0</v>
      </c>
      <c r="K979" t="n">
        <v>0</v>
      </c>
      <c r="L979" t="n">
        <v>0</v>
      </c>
      <c r="M979" t="n">
        <v>0</v>
      </c>
      <c r="N979" t="n">
        <v>0</v>
      </c>
      <c r="O979" t="n">
        <v>0</v>
      </c>
      <c r="P979" t="n">
        <v>0</v>
      </c>
      <c r="Q979" t="n">
        <v>0</v>
      </c>
      <c r="R979" s="2" t="inlineStr"/>
    </row>
    <row r="980" ht="15" customHeight="1">
      <c r="A980" t="inlineStr">
        <is>
          <t>A 4787-2023</t>
        </is>
      </c>
      <c r="B980" s="1" t="n">
        <v>44957.60079861111</v>
      </c>
      <c r="C980" s="1" t="n">
        <v>45907</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4788-2023</t>
        </is>
      </c>
      <c r="B981" s="1" t="n">
        <v>44957.60130787037</v>
      </c>
      <c r="C981" s="1" t="n">
        <v>45907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34348-2022</t>
        </is>
      </c>
      <c r="B982" s="1" t="n">
        <v>44792</v>
      </c>
      <c r="C982" s="1" t="n">
        <v>45907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45399-2022</t>
        </is>
      </c>
      <c r="B983" s="1" t="n">
        <v>44844.70513888889</v>
      </c>
      <c r="C983" s="1" t="n">
        <v>45907</v>
      </c>
      <c r="D983" t="inlineStr">
        <is>
          <t>SKÅNE LÄN</t>
        </is>
      </c>
      <c r="E983" t="inlineStr">
        <is>
          <t>HÄSSLEHOLM</t>
        </is>
      </c>
      <c r="G983" t="n">
        <v>0</v>
      </c>
      <c r="H983" t="n">
        <v>0</v>
      </c>
      <c r="I983" t="n">
        <v>0</v>
      </c>
      <c r="J983" t="n">
        <v>0</v>
      </c>
      <c r="K983" t="n">
        <v>0</v>
      </c>
      <c r="L983" t="n">
        <v>0</v>
      </c>
      <c r="M983" t="n">
        <v>0</v>
      </c>
      <c r="N983" t="n">
        <v>0</v>
      </c>
      <c r="O983" t="n">
        <v>0</v>
      </c>
      <c r="P983" t="n">
        <v>0</v>
      </c>
      <c r="Q983" t="n">
        <v>0</v>
      </c>
      <c r="R983" s="2" t="inlineStr"/>
    </row>
    <row r="984" ht="15" customHeight="1">
      <c r="A984" t="inlineStr">
        <is>
          <t>A 35640-2023</t>
        </is>
      </c>
      <c r="B984" s="1" t="n">
        <v>45147</v>
      </c>
      <c r="C984" s="1" t="n">
        <v>45907</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2681-2024</t>
        </is>
      </c>
      <c r="B985" s="1" t="n">
        <v>45314</v>
      </c>
      <c r="C985" s="1" t="n">
        <v>45907</v>
      </c>
      <c r="D985" t="inlineStr">
        <is>
          <t>SKÅNE LÄN</t>
        </is>
      </c>
      <c r="E985" t="inlineStr">
        <is>
          <t>HÄSSLEHOLM</t>
        </is>
      </c>
      <c r="F985" t="inlineStr">
        <is>
          <t>Övriga Aktiebolag</t>
        </is>
      </c>
      <c r="G985" t="n">
        <v>1.4</v>
      </c>
      <c r="H985" t="n">
        <v>0</v>
      </c>
      <c r="I985" t="n">
        <v>0</v>
      </c>
      <c r="J985" t="n">
        <v>0</v>
      </c>
      <c r="K985" t="n">
        <v>0</v>
      </c>
      <c r="L985" t="n">
        <v>0</v>
      </c>
      <c r="M985" t="n">
        <v>0</v>
      </c>
      <c r="N985" t="n">
        <v>0</v>
      </c>
      <c r="O985" t="n">
        <v>0</v>
      </c>
      <c r="P985" t="n">
        <v>0</v>
      </c>
      <c r="Q985" t="n">
        <v>0</v>
      </c>
      <c r="R985" s="2" t="inlineStr"/>
    </row>
    <row r="986" ht="15" customHeight="1">
      <c r="A986" t="inlineStr">
        <is>
          <t>A 27177-2024</t>
        </is>
      </c>
      <c r="B986" s="1" t="n">
        <v>45471.57201388889</v>
      </c>
      <c r="C986" s="1" t="n">
        <v>45907</v>
      </c>
      <c r="D986" t="inlineStr">
        <is>
          <t>SKÅNE LÄN</t>
        </is>
      </c>
      <c r="E986" t="inlineStr">
        <is>
          <t>HÄSSLEHOLM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49219-2024</t>
        </is>
      </c>
      <c r="B987" s="1" t="n">
        <v>45595.40923611111</v>
      </c>
      <c r="C987" s="1" t="n">
        <v>45907</v>
      </c>
      <c r="D987" t="inlineStr">
        <is>
          <t>SKÅNE LÄN</t>
        </is>
      </c>
      <c r="E987" t="inlineStr">
        <is>
          <t>HÄSSLEHOLM</t>
        </is>
      </c>
      <c r="G987" t="n">
        <v>1.8</v>
      </c>
      <c r="H987" t="n">
        <v>0</v>
      </c>
      <c r="I987" t="n">
        <v>0</v>
      </c>
      <c r="J987" t="n">
        <v>0</v>
      </c>
      <c r="K987" t="n">
        <v>0</v>
      </c>
      <c r="L987" t="n">
        <v>0</v>
      </c>
      <c r="M987" t="n">
        <v>0</v>
      </c>
      <c r="N987" t="n">
        <v>0</v>
      </c>
      <c r="O987" t="n">
        <v>0</v>
      </c>
      <c r="P987" t="n">
        <v>0</v>
      </c>
      <c r="Q987" t="n">
        <v>0</v>
      </c>
      <c r="R987" s="2" t="inlineStr"/>
    </row>
    <row r="988" ht="15" customHeight="1">
      <c r="A988" t="inlineStr">
        <is>
          <t>A 13646-2024</t>
        </is>
      </c>
      <c r="B988" s="1" t="n">
        <v>45387</v>
      </c>
      <c r="C988" s="1" t="n">
        <v>45907</v>
      </c>
      <c r="D988" t="inlineStr">
        <is>
          <t>SKÅNE LÄN</t>
        </is>
      </c>
      <c r="E988" t="inlineStr">
        <is>
          <t>HÄSSLEHOLM</t>
        </is>
      </c>
      <c r="G988" t="n">
        <v>1.1</v>
      </c>
      <c r="H988" t="n">
        <v>0</v>
      </c>
      <c r="I988" t="n">
        <v>0</v>
      </c>
      <c r="J988" t="n">
        <v>0</v>
      </c>
      <c r="K988" t="n">
        <v>0</v>
      </c>
      <c r="L988" t="n">
        <v>0</v>
      </c>
      <c r="M988" t="n">
        <v>0</v>
      </c>
      <c r="N988" t="n">
        <v>0</v>
      </c>
      <c r="O988" t="n">
        <v>0</v>
      </c>
      <c r="P988" t="n">
        <v>0</v>
      </c>
      <c r="Q988" t="n">
        <v>0</v>
      </c>
      <c r="R988" s="2" t="inlineStr"/>
    </row>
    <row r="989" ht="15" customHeight="1">
      <c r="A989" t="inlineStr">
        <is>
          <t>A 4750-2024</t>
        </is>
      </c>
      <c r="B989" s="1" t="n">
        <v>45328</v>
      </c>
      <c r="C989" s="1" t="n">
        <v>45907</v>
      </c>
      <c r="D989" t="inlineStr">
        <is>
          <t>SKÅNE LÄN</t>
        </is>
      </c>
      <c r="E989" t="inlineStr">
        <is>
          <t>HÄSSLEHOLM</t>
        </is>
      </c>
      <c r="G989" t="n">
        <v>0.3</v>
      </c>
      <c r="H989" t="n">
        <v>0</v>
      </c>
      <c r="I989" t="n">
        <v>0</v>
      </c>
      <c r="J989" t="n">
        <v>0</v>
      </c>
      <c r="K989" t="n">
        <v>0</v>
      </c>
      <c r="L989" t="n">
        <v>0</v>
      </c>
      <c r="M989" t="n">
        <v>0</v>
      </c>
      <c r="N989" t="n">
        <v>0</v>
      </c>
      <c r="O989" t="n">
        <v>0</v>
      </c>
      <c r="P989" t="n">
        <v>0</v>
      </c>
      <c r="Q989" t="n">
        <v>0</v>
      </c>
      <c r="R989" s="2" t="inlineStr"/>
    </row>
    <row r="990" ht="15" customHeight="1">
      <c r="A990" t="inlineStr">
        <is>
          <t>A 58891-2022</t>
        </is>
      </c>
      <c r="B990" s="1" t="n">
        <v>44896</v>
      </c>
      <c r="C990" s="1" t="n">
        <v>45907</v>
      </c>
      <c r="D990" t="inlineStr">
        <is>
          <t>SKÅNE LÄN</t>
        </is>
      </c>
      <c r="E990" t="inlineStr">
        <is>
          <t>HÄSSLEHOLM</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50664-2023</t>
        </is>
      </c>
      <c r="B991" s="1" t="n">
        <v>45217</v>
      </c>
      <c r="C991" s="1" t="n">
        <v>45907</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42428-2022</t>
        </is>
      </c>
      <c r="B992" s="1" t="n">
        <v>44831</v>
      </c>
      <c r="C992" s="1" t="n">
        <v>45907</v>
      </c>
      <c r="D992" t="inlineStr">
        <is>
          <t>SKÅNE LÄN</t>
        </is>
      </c>
      <c r="E992" t="inlineStr">
        <is>
          <t>HÄSSLEHOLM</t>
        </is>
      </c>
      <c r="G992" t="n">
        <v>2.8</v>
      </c>
      <c r="H992" t="n">
        <v>0</v>
      </c>
      <c r="I992" t="n">
        <v>0</v>
      </c>
      <c r="J992" t="n">
        <v>0</v>
      </c>
      <c r="K992" t="n">
        <v>0</v>
      </c>
      <c r="L992" t="n">
        <v>0</v>
      </c>
      <c r="M992" t="n">
        <v>0</v>
      </c>
      <c r="N992" t="n">
        <v>0</v>
      </c>
      <c r="O992" t="n">
        <v>0</v>
      </c>
      <c r="P992" t="n">
        <v>0</v>
      </c>
      <c r="Q992" t="n">
        <v>0</v>
      </c>
      <c r="R992" s="2" t="inlineStr"/>
    </row>
    <row r="993" ht="15" customHeight="1">
      <c r="A993" t="inlineStr">
        <is>
          <t>A 62171-2022</t>
        </is>
      </c>
      <c r="B993" s="1" t="n">
        <v>44915</v>
      </c>
      <c r="C993" s="1" t="n">
        <v>45907</v>
      </c>
      <c r="D993" t="inlineStr">
        <is>
          <t>SKÅNE LÄN</t>
        </is>
      </c>
      <c r="E993" t="inlineStr">
        <is>
          <t>HÄSSLEHOLM</t>
        </is>
      </c>
      <c r="F993" t="inlineStr">
        <is>
          <t>Kyrkan</t>
        </is>
      </c>
      <c r="G993" t="n">
        <v>9</v>
      </c>
      <c r="H993" t="n">
        <v>0</v>
      </c>
      <c r="I993" t="n">
        <v>0</v>
      </c>
      <c r="J993" t="n">
        <v>0</v>
      </c>
      <c r="K993" t="n">
        <v>0</v>
      </c>
      <c r="L993" t="n">
        <v>0</v>
      </c>
      <c r="M993" t="n">
        <v>0</v>
      </c>
      <c r="N993" t="n">
        <v>0</v>
      </c>
      <c r="O993" t="n">
        <v>0</v>
      </c>
      <c r="P993" t="n">
        <v>0</v>
      </c>
      <c r="Q993" t="n">
        <v>0</v>
      </c>
      <c r="R993" s="2" t="inlineStr"/>
    </row>
    <row r="994" ht="15" customHeight="1">
      <c r="A994" t="inlineStr">
        <is>
          <t>A 36568-2024</t>
        </is>
      </c>
      <c r="B994" s="1" t="n">
        <v>45537</v>
      </c>
      <c r="C994" s="1" t="n">
        <v>45907</v>
      </c>
      <c r="D994" t="inlineStr">
        <is>
          <t>SKÅNE LÄN</t>
        </is>
      </c>
      <c r="E994" t="inlineStr">
        <is>
          <t>HÄSSLEHOLM</t>
        </is>
      </c>
      <c r="G994" t="n">
        <v>4.3</v>
      </c>
      <c r="H994" t="n">
        <v>0</v>
      </c>
      <c r="I994" t="n">
        <v>0</v>
      </c>
      <c r="J994" t="n">
        <v>0</v>
      </c>
      <c r="K994" t="n">
        <v>0</v>
      </c>
      <c r="L994" t="n">
        <v>0</v>
      </c>
      <c r="M994" t="n">
        <v>0</v>
      </c>
      <c r="N994" t="n">
        <v>0</v>
      </c>
      <c r="O994" t="n">
        <v>0</v>
      </c>
      <c r="P994" t="n">
        <v>0</v>
      </c>
      <c r="Q994" t="n">
        <v>0</v>
      </c>
      <c r="R994" s="2" t="inlineStr"/>
    </row>
    <row r="995" ht="15" customHeight="1">
      <c r="A995" t="inlineStr">
        <is>
          <t>A 9323-2025</t>
        </is>
      </c>
      <c r="B995" s="1" t="n">
        <v>45714.73532407408</v>
      </c>
      <c r="C995" s="1" t="n">
        <v>45907</v>
      </c>
      <c r="D995" t="inlineStr">
        <is>
          <t>SKÅNE LÄN</t>
        </is>
      </c>
      <c r="E995" t="inlineStr">
        <is>
          <t>HÄSSLEHOLM</t>
        </is>
      </c>
      <c r="G995" t="n">
        <v>5.2</v>
      </c>
      <c r="H995" t="n">
        <v>0</v>
      </c>
      <c r="I995" t="n">
        <v>0</v>
      </c>
      <c r="J995" t="n">
        <v>0</v>
      </c>
      <c r="K995" t="n">
        <v>0</v>
      </c>
      <c r="L995" t="n">
        <v>0</v>
      </c>
      <c r="M995" t="n">
        <v>0</v>
      </c>
      <c r="N995" t="n">
        <v>0</v>
      </c>
      <c r="O995" t="n">
        <v>0</v>
      </c>
      <c r="P995" t="n">
        <v>0</v>
      </c>
      <c r="Q995" t="n">
        <v>0</v>
      </c>
      <c r="R995" s="2" t="inlineStr"/>
    </row>
    <row r="996" ht="15" customHeight="1">
      <c r="A996" t="inlineStr">
        <is>
          <t>A 19593-2023</t>
        </is>
      </c>
      <c r="B996" s="1" t="n">
        <v>45050.75895833333</v>
      </c>
      <c r="C996" s="1" t="n">
        <v>45907</v>
      </c>
      <c r="D996" t="inlineStr">
        <is>
          <t>SKÅNE LÄN</t>
        </is>
      </c>
      <c r="E996" t="inlineStr">
        <is>
          <t>HÄSSLEHOLM</t>
        </is>
      </c>
      <c r="G996" t="n">
        <v>11</v>
      </c>
      <c r="H996" t="n">
        <v>0</v>
      </c>
      <c r="I996" t="n">
        <v>0</v>
      </c>
      <c r="J996" t="n">
        <v>0</v>
      </c>
      <c r="K996" t="n">
        <v>0</v>
      </c>
      <c r="L996" t="n">
        <v>0</v>
      </c>
      <c r="M996" t="n">
        <v>0</v>
      </c>
      <c r="N996" t="n">
        <v>0</v>
      </c>
      <c r="O996" t="n">
        <v>0</v>
      </c>
      <c r="P996" t="n">
        <v>0</v>
      </c>
      <c r="Q996" t="n">
        <v>0</v>
      </c>
      <c r="R996" s="2" t="inlineStr"/>
    </row>
    <row r="997" ht="15" customHeight="1">
      <c r="A997" t="inlineStr">
        <is>
          <t>A 18109-2025</t>
        </is>
      </c>
      <c r="B997" s="1" t="n">
        <v>45761</v>
      </c>
      <c r="C997" s="1" t="n">
        <v>45907</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56956-2024</t>
        </is>
      </c>
      <c r="B998" s="1" t="n">
        <v>45626</v>
      </c>
      <c r="C998" s="1" t="n">
        <v>45907</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16017-2023</t>
        </is>
      </c>
      <c r="B999" s="1" t="n">
        <v>45026</v>
      </c>
      <c r="C999" s="1" t="n">
        <v>45907</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9885-2021</t>
        </is>
      </c>
      <c r="B1000" s="1" t="n">
        <v>44253</v>
      </c>
      <c r="C1000" s="1" t="n">
        <v>45907</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35711-2024</t>
        </is>
      </c>
      <c r="B1001" s="1" t="n">
        <v>45532</v>
      </c>
      <c r="C1001" s="1" t="n">
        <v>45907</v>
      </c>
      <c r="D1001" t="inlineStr">
        <is>
          <t>SKÅNE LÄN</t>
        </is>
      </c>
      <c r="E1001" t="inlineStr">
        <is>
          <t>HÄSSLEHOLM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56490-2021</t>
        </is>
      </c>
      <c r="B1002" s="1" t="n">
        <v>44480</v>
      </c>
      <c r="C1002" s="1" t="n">
        <v>45907</v>
      </c>
      <c r="D1002" t="inlineStr">
        <is>
          <t>SKÅNE LÄN</t>
        </is>
      </c>
      <c r="E1002" t="inlineStr">
        <is>
          <t>HÄSSLEHOLM</t>
        </is>
      </c>
      <c r="F1002" t="inlineStr">
        <is>
          <t>Kyrkan</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524-2024</t>
        </is>
      </c>
      <c r="B1003" s="1" t="n">
        <v>45299</v>
      </c>
      <c r="C1003" s="1" t="n">
        <v>45907</v>
      </c>
      <c r="D1003" t="inlineStr">
        <is>
          <t>SKÅNE LÄN</t>
        </is>
      </c>
      <c r="E1003" t="inlineStr">
        <is>
          <t>HÄSSLEHOLM</t>
        </is>
      </c>
      <c r="G1003" t="n">
        <v>29.4</v>
      </c>
      <c r="H1003" t="n">
        <v>0</v>
      </c>
      <c r="I1003" t="n">
        <v>0</v>
      </c>
      <c r="J1003" t="n">
        <v>0</v>
      </c>
      <c r="K1003" t="n">
        <v>0</v>
      </c>
      <c r="L1003" t="n">
        <v>0</v>
      </c>
      <c r="M1003" t="n">
        <v>0</v>
      </c>
      <c r="N1003" t="n">
        <v>0</v>
      </c>
      <c r="O1003" t="n">
        <v>0</v>
      </c>
      <c r="P1003" t="n">
        <v>0</v>
      </c>
      <c r="Q1003" t="n">
        <v>0</v>
      </c>
      <c r="R1003" s="2" t="inlineStr"/>
    </row>
    <row r="1004" ht="15" customHeight="1">
      <c r="A1004" t="inlineStr">
        <is>
          <t>A 61680-2022</t>
        </is>
      </c>
      <c r="B1004" s="1" t="n">
        <v>44917.36372685185</v>
      </c>
      <c r="C1004" s="1" t="n">
        <v>45907</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61489-2024</t>
        </is>
      </c>
      <c r="B1005" s="1" t="n">
        <v>45646.54875</v>
      </c>
      <c r="C1005" s="1" t="n">
        <v>45907</v>
      </c>
      <c r="D1005" t="inlineStr">
        <is>
          <t>SKÅNE LÄN</t>
        </is>
      </c>
      <c r="E1005" t="inlineStr">
        <is>
          <t>HÄSSLEHOLM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9394-2025</t>
        </is>
      </c>
      <c r="B1006" s="1" t="n">
        <v>45715.36387731481</v>
      </c>
      <c r="C1006" s="1" t="n">
        <v>45907</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24904-2025</t>
        </is>
      </c>
      <c r="B1007" s="1" t="n">
        <v>45799</v>
      </c>
      <c r="C1007" s="1" t="n">
        <v>45907</v>
      </c>
      <c r="D1007" t="inlineStr">
        <is>
          <t>SKÅNE LÄN</t>
        </is>
      </c>
      <c r="E1007" t="inlineStr">
        <is>
          <t>HÄSSLEHOLM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39223-2024</t>
        </is>
      </c>
      <c r="B1008" s="1" t="n">
        <v>45550</v>
      </c>
      <c r="C1008" s="1" t="n">
        <v>45907</v>
      </c>
      <c r="D1008" t="inlineStr">
        <is>
          <t>SKÅNE LÄN</t>
        </is>
      </c>
      <c r="E1008" t="inlineStr">
        <is>
          <t>HÄSSLEHOLM</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45907</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17699-2024</t>
        </is>
      </c>
      <c r="B1010" s="1" t="n">
        <v>45418.46094907408</v>
      </c>
      <c r="C1010" s="1" t="n">
        <v>45907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17702-2024</t>
        </is>
      </c>
      <c r="B1011" s="1" t="n">
        <v>45418.46534722222</v>
      </c>
      <c r="C1011" s="1" t="n">
        <v>45907</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6101-2022</t>
        </is>
      </c>
      <c r="B1012" s="1" t="n">
        <v>44599.63016203704</v>
      </c>
      <c r="C1012" s="1" t="n">
        <v>45907</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45096.65199074074</v>
      </c>
      <c r="C1013" s="1" t="n">
        <v>45907</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22693-2022</t>
        </is>
      </c>
      <c r="B1014" s="1" t="n">
        <v>44714.54729166667</v>
      </c>
      <c r="C1014" s="1" t="n">
        <v>45907</v>
      </c>
      <c r="D1014" t="inlineStr">
        <is>
          <t>SKÅNE LÄN</t>
        </is>
      </c>
      <c r="E1014" t="inlineStr">
        <is>
          <t>HÄSSLEHOLM</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11446-2025</t>
        </is>
      </c>
      <c r="B1015" s="1" t="n">
        <v>45726</v>
      </c>
      <c r="C1015" s="1" t="n">
        <v>45907</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16951-2025</t>
        </is>
      </c>
      <c r="B1016" s="1" t="n">
        <v>45755</v>
      </c>
      <c r="C1016" s="1" t="n">
        <v>45907</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16614-2025</t>
        </is>
      </c>
      <c r="B1017" s="1" t="n">
        <v>45754.283125</v>
      </c>
      <c r="C1017" s="1" t="n">
        <v>45907</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3888-2024</t>
        </is>
      </c>
      <c r="B1018" s="1" t="n">
        <v>45322.45089120371</v>
      </c>
      <c r="C1018" s="1" t="n">
        <v>45907</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3889-2024</t>
        </is>
      </c>
      <c r="B1019" s="1" t="n">
        <v>45322.45234953704</v>
      </c>
      <c r="C1019" s="1" t="n">
        <v>45907</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3294-2025</t>
        </is>
      </c>
      <c r="B1020" s="1" t="n">
        <v>45679.64125</v>
      </c>
      <c r="C1020" s="1" t="n">
        <v>45907</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9669-2025</t>
        </is>
      </c>
      <c r="B1021" s="1" t="n">
        <v>45716.32921296296</v>
      </c>
      <c r="C1021" s="1" t="n">
        <v>45907</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45907</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31998-2023</t>
        </is>
      </c>
      <c r="B1023" s="1" t="n">
        <v>45119</v>
      </c>
      <c r="C1023" s="1" t="n">
        <v>45907</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5478-2021</t>
        </is>
      </c>
      <c r="B1024" s="1" t="n">
        <v>44230</v>
      </c>
      <c r="C1024" s="1" t="n">
        <v>45907</v>
      </c>
      <c r="D1024" t="inlineStr">
        <is>
          <t>SKÅNE LÄN</t>
        </is>
      </c>
      <c r="E1024" t="inlineStr">
        <is>
          <t>HÄSSLEHOLM</t>
        </is>
      </c>
      <c r="G1024" t="n">
        <v>0.1</v>
      </c>
      <c r="H1024" t="n">
        <v>0</v>
      </c>
      <c r="I1024" t="n">
        <v>0</v>
      </c>
      <c r="J1024" t="n">
        <v>0</v>
      </c>
      <c r="K1024" t="n">
        <v>0</v>
      </c>
      <c r="L1024" t="n">
        <v>0</v>
      </c>
      <c r="M1024" t="n">
        <v>0</v>
      </c>
      <c r="N1024" t="n">
        <v>0</v>
      </c>
      <c r="O1024" t="n">
        <v>0</v>
      </c>
      <c r="P1024" t="n">
        <v>0</v>
      </c>
      <c r="Q1024" t="n">
        <v>0</v>
      </c>
      <c r="R1024" s="2" t="inlineStr"/>
    </row>
    <row r="1025" ht="15" customHeight="1">
      <c r="A1025" t="inlineStr">
        <is>
          <t>A 7150-2025</t>
        </is>
      </c>
      <c r="B1025" s="1" t="n">
        <v>45702.38239583333</v>
      </c>
      <c r="C1025" s="1" t="n">
        <v>45907</v>
      </c>
      <c r="D1025" t="inlineStr">
        <is>
          <t>SKÅNE LÄN</t>
        </is>
      </c>
      <c r="E1025" t="inlineStr">
        <is>
          <t>HÄSSLEHOLM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15104-2023</t>
        </is>
      </c>
      <c r="B1026" s="1" t="n">
        <v>45016.40576388889</v>
      </c>
      <c r="C1026" s="1" t="n">
        <v>45907</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20185-2023</t>
        </is>
      </c>
      <c r="B1027" s="1" t="n">
        <v>45055.56795138889</v>
      </c>
      <c r="C1027" s="1" t="n">
        <v>45907</v>
      </c>
      <c r="D1027" t="inlineStr">
        <is>
          <t>SKÅNE LÄN</t>
        </is>
      </c>
      <c r="E1027" t="inlineStr">
        <is>
          <t>HÄSSLEHOLM</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61170-2022</t>
        </is>
      </c>
      <c r="B1028" s="1" t="n">
        <v>44915.48543981482</v>
      </c>
      <c r="C1028" s="1" t="n">
        <v>45907</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12507-2022</t>
        </is>
      </c>
      <c r="B1029" s="1" t="n">
        <v>44638</v>
      </c>
      <c r="C1029" s="1" t="n">
        <v>45907</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2597-2024</t>
        </is>
      </c>
      <c r="B1030" s="1" t="n">
        <v>45313</v>
      </c>
      <c r="C1030" s="1" t="n">
        <v>45907</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43629-2023</t>
        </is>
      </c>
      <c r="B1031" s="1" t="n">
        <v>45184</v>
      </c>
      <c r="C1031" s="1" t="n">
        <v>45907</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3531-2023</t>
        </is>
      </c>
      <c r="B1032" s="1" t="n">
        <v>44950</v>
      </c>
      <c r="C1032" s="1" t="n">
        <v>45907</v>
      </c>
      <c r="D1032" t="inlineStr">
        <is>
          <t>SKÅNE LÄN</t>
        </is>
      </c>
      <c r="E1032" t="inlineStr">
        <is>
          <t>HÄSSLEHOLM</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15417-2022</t>
        </is>
      </c>
      <c r="B1033" s="1" t="n">
        <v>44659</v>
      </c>
      <c r="C1033" s="1" t="n">
        <v>45907</v>
      </c>
      <c r="D1033" t="inlineStr">
        <is>
          <t>SKÅNE LÄN</t>
        </is>
      </c>
      <c r="E1033" t="inlineStr">
        <is>
          <t>HÄSSLEHOLM</t>
        </is>
      </c>
      <c r="F1033" t="inlineStr">
        <is>
          <t>Kyrkan</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44262-2021</t>
        </is>
      </c>
      <c r="B1034" s="1" t="n">
        <v>44434</v>
      </c>
      <c r="C1034" s="1" t="n">
        <v>45907</v>
      </c>
      <c r="D1034" t="inlineStr">
        <is>
          <t>SKÅNE LÄN</t>
        </is>
      </c>
      <c r="E1034" t="inlineStr">
        <is>
          <t>HÄSSLEHOLM</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50659-2023</t>
        </is>
      </c>
      <c r="B1035" s="1" t="n">
        <v>45217</v>
      </c>
      <c r="C1035" s="1" t="n">
        <v>45907</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13990-2022</t>
        </is>
      </c>
      <c r="B1036" s="1" t="n">
        <v>44650</v>
      </c>
      <c r="C1036" s="1" t="n">
        <v>45907</v>
      </c>
      <c r="D1036" t="inlineStr">
        <is>
          <t>SKÅNE LÄN</t>
        </is>
      </c>
      <c r="E1036" t="inlineStr">
        <is>
          <t>HÄSSLEHOLM</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13808-2021</t>
        </is>
      </c>
      <c r="B1037" s="1" t="n">
        <v>44276</v>
      </c>
      <c r="C1037" s="1" t="n">
        <v>45907</v>
      </c>
      <c r="D1037" t="inlineStr">
        <is>
          <t>SKÅNE LÄN</t>
        </is>
      </c>
      <c r="E1037" t="inlineStr">
        <is>
          <t>HÄSSLEHOLM</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67801-2021</t>
        </is>
      </c>
      <c r="B1038" s="1" t="n">
        <v>44525</v>
      </c>
      <c r="C1038" s="1" t="n">
        <v>45907</v>
      </c>
      <c r="D1038" t="inlineStr">
        <is>
          <t>SKÅNE LÄN</t>
        </is>
      </c>
      <c r="E1038" t="inlineStr">
        <is>
          <t>HÄSSLEHOLM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2144-2023</t>
        </is>
      </c>
      <c r="B1039" s="1" t="n">
        <v>44940.79054398148</v>
      </c>
      <c r="C1039" s="1" t="n">
        <v>45907</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50564-2023</t>
        </is>
      </c>
      <c r="B1040" s="1" t="n">
        <v>45217.37957175926</v>
      </c>
      <c r="C1040" s="1" t="n">
        <v>45907</v>
      </c>
      <c r="D1040" t="inlineStr">
        <is>
          <t>SKÅNE LÄN</t>
        </is>
      </c>
      <c r="E1040" t="inlineStr">
        <is>
          <t>HÄSSLEHOLM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43061-2024</t>
        </is>
      </c>
      <c r="B1041" s="1" t="n">
        <v>45567</v>
      </c>
      <c r="C1041" s="1" t="n">
        <v>45907</v>
      </c>
      <c r="D1041" t="inlineStr">
        <is>
          <t>SKÅNE LÄN</t>
        </is>
      </c>
      <c r="E1041" t="inlineStr">
        <is>
          <t>HÄSSLEHOLM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37141-2021</t>
        </is>
      </c>
      <c r="B1042" s="1" t="n">
        <v>44396</v>
      </c>
      <c r="C1042" s="1" t="n">
        <v>45907</v>
      </c>
      <c r="D1042" t="inlineStr">
        <is>
          <t>SKÅNE LÄN</t>
        </is>
      </c>
      <c r="E1042" t="inlineStr">
        <is>
          <t>HÄSSLEHOLM</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7202-2022</t>
        </is>
      </c>
      <c r="B1043" s="1" t="n">
        <v>44606</v>
      </c>
      <c r="C1043" s="1" t="n">
        <v>45907</v>
      </c>
      <c r="D1043" t="inlineStr">
        <is>
          <t>SKÅNE LÄN</t>
        </is>
      </c>
      <c r="E1043" t="inlineStr">
        <is>
          <t>HÄSSLEHOLM</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54171-2021</t>
        </is>
      </c>
      <c r="B1044" s="1" t="n">
        <v>44470</v>
      </c>
      <c r="C1044" s="1" t="n">
        <v>45907</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24640-2023</t>
        </is>
      </c>
      <c r="B1045" s="1" t="n">
        <v>45084.43181712963</v>
      </c>
      <c r="C1045" s="1" t="n">
        <v>45907</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51618-2024</t>
        </is>
      </c>
      <c r="B1046" s="1" t="n">
        <v>45604.82615740741</v>
      </c>
      <c r="C1046" s="1" t="n">
        <v>45907</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21494-2023</t>
        </is>
      </c>
      <c r="B1047" s="1" t="n">
        <v>45063</v>
      </c>
      <c r="C1047" s="1" t="n">
        <v>45907</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21495-2023</t>
        </is>
      </c>
      <c r="B1048" s="1" t="n">
        <v>45063</v>
      </c>
      <c r="C1048" s="1" t="n">
        <v>45907</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62167-2022</t>
        </is>
      </c>
      <c r="B1049" s="1" t="n">
        <v>44915</v>
      </c>
      <c r="C1049" s="1" t="n">
        <v>45907</v>
      </c>
      <c r="D1049" t="inlineStr">
        <is>
          <t>SKÅNE LÄN</t>
        </is>
      </c>
      <c r="E1049" t="inlineStr">
        <is>
          <t>HÄSSLEHOLM</t>
        </is>
      </c>
      <c r="F1049" t="inlineStr">
        <is>
          <t>Kyrkan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62234-2022</t>
        </is>
      </c>
      <c r="B1050" s="1" t="n">
        <v>44922</v>
      </c>
      <c r="C1050" s="1" t="n">
        <v>45907</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34299-2024</t>
        </is>
      </c>
      <c r="B1051" s="1" t="n">
        <v>45524</v>
      </c>
      <c r="C1051" s="1" t="n">
        <v>45907</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8249-2023</t>
        </is>
      </c>
      <c r="B1052" s="1" t="n">
        <v>44974</v>
      </c>
      <c r="C1052" s="1" t="n">
        <v>45907</v>
      </c>
      <c r="D1052" t="inlineStr">
        <is>
          <t>SKÅNE LÄN</t>
        </is>
      </c>
      <c r="E1052" t="inlineStr">
        <is>
          <t>HÄSSLEHOLM</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11609-2025</t>
        </is>
      </c>
      <c r="B1053" s="1" t="n">
        <v>45727.44237268518</v>
      </c>
      <c r="C1053" s="1" t="n">
        <v>45907</v>
      </c>
      <c r="D1053" t="inlineStr">
        <is>
          <t>SKÅNE LÄN</t>
        </is>
      </c>
      <c r="E1053" t="inlineStr">
        <is>
          <t>HÄSSLEHOLM</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9697-2023</t>
        </is>
      </c>
      <c r="B1054" s="1" t="n">
        <v>44984</v>
      </c>
      <c r="C1054" s="1" t="n">
        <v>45907</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54374-2020</t>
        </is>
      </c>
      <c r="B1055" s="1" t="n">
        <v>44126</v>
      </c>
      <c r="C1055" s="1" t="n">
        <v>45907</v>
      </c>
      <c r="D1055" t="inlineStr">
        <is>
          <t>SKÅNE LÄN</t>
        </is>
      </c>
      <c r="E1055" t="inlineStr">
        <is>
          <t>HÄSSLEHOLM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47840-2023</t>
        </is>
      </c>
      <c r="B1056" s="1" t="n">
        <v>45204</v>
      </c>
      <c r="C1056" s="1" t="n">
        <v>45907</v>
      </c>
      <c r="D1056" t="inlineStr">
        <is>
          <t>SKÅNE LÄN</t>
        </is>
      </c>
      <c r="E1056" t="inlineStr">
        <is>
          <t>HÄSSLEHOLM</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62277-2023</t>
        </is>
      </c>
      <c r="B1057" s="1" t="n">
        <v>45266</v>
      </c>
      <c r="C1057" s="1" t="n">
        <v>45907</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42232-2022</t>
        </is>
      </c>
      <c r="B1058" s="1" t="n">
        <v>44830.77591435185</v>
      </c>
      <c r="C1058" s="1" t="n">
        <v>45907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34369-2023</t>
        </is>
      </c>
      <c r="B1059" s="1" t="n">
        <v>45139.47817129629</v>
      </c>
      <c r="C1059" s="1" t="n">
        <v>45907</v>
      </c>
      <c r="D1059" t="inlineStr">
        <is>
          <t>SKÅNE LÄN</t>
        </is>
      </c>
      <c r="E1059" t="inlineStr">
        <is>
          <t>HÄSSLEHOLM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34834-2023</t>
        </is>
      </c>
      <c r="B1060" s="1" t="n">
        <v>45141.7199537037</v>
      </c>
      <c r="C1060" s="1" t="n">
        <v>45907</v>
      </c>
      <c r="D1060" t="inlineStr">
        <is>
          <t>SKÅNE LÄN</t>
        </is>
      </c>
      <c r="E1060" t="inlineStr">
        <is>
          <t>HÄSSLEHOLM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48627-2023</t>
        </is>
      </c>
      <c r="B1061" s="1" t="n">
        <v>45208.57371527778</v>
      </c>
      <c r="C1061" s="1" t="n">
        <v>45907</v>
      </c>
      <c r="D1061" t="inlineStr">
        <is>
          <t>SKÅNE LÄN</t>
        </is>
      </c>
      <c r="E1061" t="inlineStr">
        <is>
          <t>HÄSSLEHOLM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37038-2022</t>
        </is>
      </c>
      <c r="B1062" s="1" t="n">
        <v>44806.44232638889</v>
      </c>
      <c r="C1062" s="1" t="n">
        <v>45907</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11607-2025</t>
        </is>
      </c>
      <c r="B1063" s="1" t="n">
        <v>45727</v>
      </c>
      <c r="C1063" s="1" t="n">
        <v>45907</v>
      </c>
      <c r="D1063" t="inlineStr">
        <is>
          <t>SKÅNE LÄN</t>
        </is>
      </c>
      <c r="E1063" t="inlineStr">
        <is>
          <t>HÄSSLEHOLM</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5894-2023</t>
        </is>
      </c>
      <c r="B1064" s="1" t="n">
        <v>44963.65148148148</v>
      </c>
      <c r="C1064" s="1" t="n">
        <v>45907</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720-2025</t>
        </is>
      </c>
      <c r="B1065" s="1" t="n">
        <v>45665.3744212963</v>
      </c>
      <c r="C1065" s="1" t="n">
        <v>45907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9502-2023</t>
        </is>
      </c>
      <c r="B1066" s="1" t="n">
        <v>44981.63278935185</v>
      </c>
      <c r="C1066" s="1" t="n">
        <v>45907</v>
      </c>
      <c r="D1066" t="inlineStr">
        <is>
          <t>SKÅNE LÄN</t>
        </is>
      </c>
      <c r="E1066" t="inlineStr">
        <is>
          <t>HÄSSLEHOLM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48046-2023</t>
        </is>
      </c>
      <c r="B1067" s="1" t="n">
        <v>45204.85201388889</v>
      </c>
      <c r="C1067" s="1" t="n">
        <v>45907</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57749-2023</t>
        </is>
      </c>
      <c r="B1068" s="1" t="n">
        <v>45246</v>
      </c>
      <c r="C1068" s="1" t="n">
        <v>45907</v>
      </c>
      <c r="D1068" t="inlineStr">
        <is>
          <t>SKÅNE LÄN</t>
        </is>
      </c>
      <c r="E1068" t="inlineStr">
        <is>
          <t>HÄSSLEHOLM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12182-2025</t>
        </is>
      </c>
      <c r="B1069" s="1" t="n">
        <v>45729</v>
      </c>
      <c r="C1069" s="1" t="n">
        <v>45907</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1538-2024</t>
        </is>
      </c>
      <c r="B1070" s="1" t="n">
        <v>45306</v>
      </c>
      <c r="C1070" s="1" t="n">
        <v>45907</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3135-2023</t>
        </is>
      </c>
      <c r="B1071" s="1" t="n">
        <v>44946.51672453704</v>
      </c>
      <c r="C1071" s="1" t="n">
        <v>45907</v>
      </c>
      <c r="D1071" t="inlineStr">
        <is>
          <t>SKÅNE LÄN</t>
        </is>
      </c>
      <c r="E1071" t="inlineStr">
        <is>
          <t>HÄSSLEHOLM</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34342-2021</t>
        </is>
      </c>
      <c r="B1072" s="1" t="n">
        <v>44379</v>
      </c>
      <c r="C1072" s="1" t="n">
        <v>45907</v>
      </c>
      <c r="D1072" t="inlineStr">
        <is>
          <t>SKÅNE LÄN</t>
        </is>
      </c>
      <c r="E1072" t="inlineStr">
        <is>
          <t>HÄSSLEHOLM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60848-2022</t>
        </is>
      </c>
      <c r="B1073" s="1" t="n">
        <v>44914</v>
      </c>
      <c r="C1073" s="1" t="n">
        <v>45907</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3507-2024</t>
        </is>
      </c>
      <c r="B1074" s="1" t="n">
        <v>45320.4906712963</v>
      </c>
      <c r="C1074" s="1" t="n">
        <v>45907</v>
      </c>
      <c r="D1074" t="inlineStr">
        <is>
          <t>SKÅNE LÄN</t>
        </is>
      </c>
      <c r="E1074" t="inlineStr">
        <is>
          <t>HÄSSLEHOLM</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49111-2023</t>
        </is>
      </c>
      <c r="B1075" s="1" t="n">
        <v>45210.44464120371</v>
      </c>
      <c r="C1075" s="1" t="n">
        <v>45907</v>
      </c>
      <c r="D1075" t="inlineStr">
        <is>
          <t>SKÅNE LÄN</t>
        </is>
      </c>
      <c r="E1075" t="inlineStr">
        <is>
          <t>HÄSSLEHOLM</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61178-2022</t>
        </is>
      </c>
      <c r="B1076" s="1" t="n">
        <v>44915</v>
      </c>
      <c r="C1076" s="1" t="n">
        <v>45907</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61185-2022</t>
        </is>
      </c>
      <c r="B1077" s="1" t="n">
        <v>44915</v>
      </c>
      <c r="C1077" s="1" t="n">
        <v>45907</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58915-2023</t>
        </is>
      </c>
      <c r="B1078" s="1" t="n">
        <v>45250</v>
      </c>
      <c r="C1078" s="1" t="n">
        <v>45907</v>
      </c>
      <c r="D1078" t="inlineStr">
        <is>
          <t>SKÅNE LÄN</t>
        </is>
      </c>
      <c r="E1078" t="inlineStr">
        <is>
          <t>HÄSSLEHOLM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6164-2023</t>
        </is>
      </c>
      <c r="B1079" s="1" t="n">
        <v>44964.66871527778</v>
      </c>
      <c r="C1079" s="1" t="n">
        <v>45907</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15508-2023</t>
        </is>
      </c>
      <c r="B1080" s="1" t="n">
        <v>45020.50045138889</v>
      </c>
      <c r="C1080" s="1" t="n">
        <v>45907</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5476-2021</t>
        </is>
      </c>
      <c r="B1081" s="1" t="n">
        <v>44230</v>
      </c>
      <c r="C1081" s="1" t="n">
        <v>45907</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45392-2024</t>
        </is>
      </c>
      <c r="B1082" s="1" t="n">
        <v>45576.55008101852</v>
      </c>
      <c r="C1082" s="1" t="n">
        <v>45907</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6122-2021</t>
        </is>
      </c>
      <c r="B1083" s="1" t="n">
        <v>44232.55091435185</v>
      </c>
      <c r="C1083" s="1" t="n">
        <v>45907</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16454-2023</t>
        </is>
      </c>
      <c r="B1084" s="1" t="n">
        <v>45029.48425925926</v>
      </c>
      <c r="C1084" s="1" t="n">
        <v>45907</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17335-2024</t>
        </is>
      </c>
      <c r="B1085" s="1" t="n">
        <v>45414.5687962963</v>
      </c>
      <c r="C1085" s="1" t="n">
        <v>45907</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61934-2023</t>
        </is>
      </c>
      <c r="B1086" s="1" t="n">
        <v>45266.54125</v>
      </c>
      <c r="C1086" s="1" t="n">
        <v>45907</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24246-2023</t>
        </is>
      </c>
      <c r="B1087" s="1" t="n">
        <v>45079</v>
      </c>
      <c r="C1087" s="1" t="n">
        <v>45907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24249-2023</t>
        </is>
      </c>
      <c r="B1088" s="1" t="n">
        <v>45079.62466435185</v>
      </c>
      <c r="C1088" s="1" t="n">
        <v>45907</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11715-2023</t>
        </is>
      </c>
      <c r="B1089" s="1" t="n">
        <v>44992</v>
      </c>
      <c r="C1089" s="1" t="n">
        <v>45907</v>
      </c>
      <c r="D1089" t="inlineStr">
        <is>
          <t>SKÅNE LÄN</t>
        </is>
      </c>
      <c r="E1089" t="inlineStr">
        <is>
          <t>HÄSSLEHOLM</t>
        </is>
      </c>
      <c r="F1089" t="inlineStr">
        <is>
          <t>Övriga Aktiebolag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38888-2023</t>
        </is>
      </c>
      <c r="B1090" s="1" t="n">
        <v>45161</v>
      </c>
      <c r="C1090" s="1" t="n">
        <v>45907</v>
      </c>
      <c r="D1090" t="inlineStr">
        <is>
          <t>SKÅNE LÄN</t>
        </is>
      </c>
      <c r="E1090" t="inlineStr">
        <is>
          <t>HÄSSLEHOLM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31989-2024</t>
        </is>
      </c>
      <c r="B1091" s="1" t="n">
        <v>45510.58085648148</v>
      </c>
      <c r="C1091" s="1" t="n">
        <v>45907</v>
      </c>
      <c r="D1091" t="inlineStr">
        <is>
          <t>SKÅNE LÄN</t>
        </is>
      </c>
      <c r="E1091" t="inlineStr">
        <is>
          <t>HÄSSLEHOLM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1120-2024</t>
        </is>
      </c>
      <c r="B1092" s="1" t="n">
        <v>45302.4452662037</v>
      </c>
      <c r="C1092" s="1" t="n">
        <v>45907</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60973-2024</t>
        </is>
      </c>
      <c r="B1093" s="1" t="n">
        <v>45644</v>
      </c>
      <c r="C1093" s="1" t="n">
        <v>45907</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27478-2023</t>
        </is>
      </c>
      <c r="B1094" s="1" t="n">
        <v>45092</v>
      </c>
      <c r="C1094" s="1" t="n">
        <v>45907</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37898-2021</t>
        </is>
      </c>
      <c r="B1095" s="1" t="n">
        <v>44403</v>
      </c>
      <c r="C1095" s="1" t="n">
        <v>45907</v>
      </c>
      <c r="D1095" t="inlineStr">
        <is>
          <t>SKÅNE LÄN</t>
        </is>
      </c>
      <c r="E1095" t="inlineStr">
        <is>
          <t>HÄSSLEHOLM</t>
        </is>
      </c>
      <c r="F1095" t="inlineStr">
        <is>
          <t>Kommuner</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45907</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45907</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26641-2023</t>
        </is>
      </c>
      <c r="B1098" s="1" t="n">
        <v>45092.89619212963</v>
      </c>
      <c r="C1098" s="1" t="n">
        <v>45907</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6327-2021</t>
        </is>
      </c>
      <c r="B1099" s="1" t="n">
        <v>44235</v>
      </c>
      <c r="C1099" s="1" t="n">
        <v>45907</v>
      </c>
      <c r="D1099" t="inlineStr">
        <is>
          <t>SKÅNE LÄN</t>
        </is>
      </c>
      <c r="E1099" t="inlineStr">
        <is>
          <t>HÄSSLEHOLM</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16397-2022</t>
        </is>
      </c>
      <c r="B1100" s="1" t="n">
        <v>44671</v>
      </c>
      <c r="C1100" s="1" t="n">
        <v>45907</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16398-2022</t>
        </is>
      </c>
      <c r="B1101" s="1" t="n">
        <v>44671</v>
      </c>
      <c r="C1101" s="1" t="n">
        <v>45907</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4512-2024</t>
        </is>
      </c>
      <c r="B1102" s="1" t="n">
        <v>45327.6312962963</v>
      </c>
      <c r="C1102" s="1" t="n">
        <v>45907</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15512-2025</t>
        </is>
      </c>
      <c r="B1103" s="1" t="n">
        <v>45747</v>
      </c>
      <c r="C1103" s="1" t="n">
        <v>45907</v>
      </c>
      <c r="D1103" t="inlineStr">
        <is>
          <t>SKÅNE LÄN</t>
        </is>
      </c>
      <c r="E1103" t="inlineStr">
        <is>
          <t>HÄSSLEHOLM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39044-2024</t>
        </is>
      </c>
      <c r="B1104" s="1" t="n">
        <v>45548.47707175926</v>
      </c>
      <c r="C1104" s="1" t="n">
        <v>45907</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19020-2024</t>
        </is>
      </c>
      <c r="B1105" s="1" t="n">
        <v>45427.66167824074</v>
      </c>
      <c r="C1105" s="1" t="n">
        <v>45907</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40734-2024</t>
        </is>
      </c>
      <c r="B1106" s="1" t="n">
        <v>45558</v>
      </c>
      <c r="C1106" s="1" t="n">
        <v>45907</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40738-2024</t>
        </is>
      </c>
      <c r="B1107" s="1" t="n">
        <v>45558</v>
      </c>
      <c r="C1107" s="1" t="n">
        <v>45907</v>
      </c>
      <c r="D1107" t="inlineStr">
        <is>
          <t>SKÅNE LÄN</t>
        </is>
      </c>
      <c r="E1107" t="inlineStr">
        <is>
          <t>HÄSSLEHOLM</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49199-2024</t>
        </is>
      </c>
      <c r="B1108" s="1" t="n">
        <v>45595</v>
      </c>
      <c r="C1108" s="1" t="n">
        <v>45907</v>
      </c>
      <c r="D1108" t="inlineStr">
        <is>
          <t>SKÅNE LÄN</t>
        </is>
      </c>
      <c r="E1108" t="inlineStr">
        <is>
          <t>HÄSSLEHOLM</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6638-2021</t>
        </is>
      </c>
      <c r="B1109" s="1" t="n">
        <v>44235</v>
      </c>
      <c r="C1109" s="1" t="n">
        <v>45907</v>
      </c>
      <c r="D1109" t="inlineStr">
        <is>
          <t>SKÅNE LÄN</t>
        </is>
      </c>
      <c r="E1109" t="inlineStr">
        <is>
          <t>HÄSSLEHOLM</t>
        </is>
      </c>
      <c r="G1109" t="n">
        <v>112.4</v>
      </c>
      <c r="H1109" t="n">
        <v>0</v>
      </c>
      <c r="I1109" t="n">
        <v>0</v>
      </c>
      <c r="J1109" t="n">
        <v>0</v>
      </c>
      <c r="K1109" t="n">
        <v>0</v>
      </c>
      <c r="L1109" t="n">
        <v>0</v>
      </c>
      <c r="M1109" t="n">
        <v>0</v>
      </c>
      <c r="N1109" t="n">
        <v>0</v>
      </c>
      <c r="O1109" t="n">
        <v>0</v>
      </c>
      <c r="P1109" t="n">
        <v>0</v>
      </c>
      <c r="Q1109" t="n">
        <v>0</v>
      </c>
      <c r="R1109" s="2" t="inlineStr"/>
    </row>
    <row r="1110" ht="15" customHeight="1">
      <c r="A1110" t="inlineStr">
        <is>
          <t>A 2712-2024</t>
        </is>
      </c>
      <c r="B1110" s="1" t="n">
        <v>45314</v>
      </c>
      <c r="C1110" s="1" t="n">
        <v>45907</v>
      </c>
      <c r="D1110" t="inlineStr">
        <is>
          <t>SKÅNE LÄN</t>
        </is>
      </c>
      <c r="E1110" t="inlineStr">
        <is>
          <t>HÄSSLEHOLM</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56986-2024</t>
        </is>
      </c>
      <c r="B1111" s="1" t="n">
        <v>45626</v>
      </c>
      <c r="C1111" s="1" t="n">
        <v>45907</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46222-2022</t>
        </is>
      </c>
      <c r="B1112" s="1" t="n">
        <v>44847.58725694445</v>
      </c>
      <c r="C1112" s="1" t="n">
        <v>45907</v>
      </c>
      <c r="D1112" t="inlineStr">
        <is>
          <t>SKÅNE LÄN</t>
        </is>
      </c>
      <c r="E1112" t="inlineStr">
        <is>
          <t>HÄSSLEHOLM</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2567-2024</t>
        </is>
      </c>
      <c r="B1113" s="1" t="n">
        <v>45313.62460648148</v>
      </c>
      <c r="C1113" s="1" t="n">
        <v>45907</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28632-2024</t>
        </is>
      </c>
      <c r="B1114" s="1" t="n">
        <v>45478</v>
      </c>
      <c r="C1114" s="1" t="n">
        <v>45907</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11708-2025</t>
        </is>
      </c>
      <c r="B1115" s="1" t="n">
        <v>45727.58626157408</v>
      </c>
      <c r="C1115" s="1" t="n">
        <v>45907</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21028-2021</t>
        </is>
      </c>
      <c r="B1116" s="1" t="n">
        <v>44319</v>
      </c>
      <c r="C1116" s="1" t="n">
        <v>45907</v>
      </c>
      <c r="D1116" t="inlineStr">
        <is>
          <t>SKÅNE LÄN</t>
        </is>
      </c>
      <c r="E1116" t="inlineStr">
        <is>
          <t>HÄSSLEHOLM</t>
        </is>
      </c>
      <c r="G1116" t="n">
        <v>3.1</v>
      </c>
      <c r="H1116" t="n">
        <v>0</v>
      </c>
      <c r="I1116" t="n">
        <v>0</v>
      </c>
      <c r="J1116" t="n">
        <v>0</v>
      </c>
      <c r="K1116" t="n">
        <v>0</v>
      </c>
      <c r="L1116" t="n">
        <v>0</v>
      </c>
      <c r="M1116" t="n">
        <v>0</v>
      </c>
      <c r="N1116" t="n">
        <v>0</v>
      </c>
      <c r="O1116" t="n">
        <v>0</v>
      </c>
      <c r="P1116" t="n">
        <v>0</v>
      </c>
      <c r="Q1116" t="n">
        <v>0</v>
      </c>
      <c r="R1116" s="2" t="inlineStr"/>
    </row>
    <row r="1117">
      <c r="A1117" t="inlineStr">
        <is>
          <t>A 69357-2021</t>
        </is>
      </c>
      <c r="B1117" s="1" t="n">
        <v>44531</v>
      </c>
      <c r="C1117" s="1" t="n">
        <v>45907</v>
      </c>
      <c r="D1117" t="inlineStr">
        <is>
          <t>SKÅNE LÄN</t>
        </is>
      </c>
      <c r="E1117" t="inlineStr">
        <is>
          <t>HÄSSLEHOLM</t>
        </is>
      </c>
      <c r="G1117" t="n">
        <v>1.6</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2025-09-07T09:03:20Z</dcterms:created>
  <dcterms:modified xmlns:dcterms="http://purl.org/dc/terms/" xmlns:xsi="http://www.w3.org/2001/XMLSchema-instance" xsi:type="dcterms:W3CDTF">2025-09-07T09:03:21Z</dcterms:modified>
</cp:coreProperties>
</file>