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45930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45930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45930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45930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45930</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45930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45930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45930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45930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45930</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45930</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45930</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45930</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4595-2025</t>
        </is>
      </c>
      <c r="B15" s="1" t="n">
        <v>45687</v>
      </c>
      <c r="C15" s="1" t="n">
        <v>45930</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2194-2025</t>
        </is>
      </c>
      <c r="B16" s="1" t="n">
        <v>45673.380625</v>
      </c>
      <c r="C16" s="1" t="n">
        <v>45930</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45930</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45930</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45930</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45930</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45930</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43874-2022</t>
        </is>
      </c>
      <c r="B22" s="1" t="n">
        <v>44838.44738425926</v>
      </c>
      <c r="C22" s="1" t="n">
        <v>45930</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49572-2022</t>
        </is>
      </c>
      <c r="B23" s="1" t="n">
        <v>44862.335</v>
      </c>
      <c r="C23" s="1" t="n">
        <v>45930</v>
      </c>
      <c r="D23" t="inlineStr">
        <is>
          <t>SKÅNE LÄN</t>
        </is>
      </c>
      <c r="E23" t="inlineStr">
        <is>
          <t>HÄSSLEHOLM</t>
        </is>
      </c>
      <c r="G23" t="n">
        <v>1.4</v>
      </c>
      <c r="H23" t="n">
        <v>0</v>
      </c>
      <c r="I23" t="n">
        <v>1</v>
      </c>
      <c r="J23" t="n">
        <v>0</v>
      </c>
      <c r="K23" t="n">
        <v>0</v>
      </c>
      <c r="L23" t="n">
        <v>0</v>
      </c>
      <c r="M23" t="n">
        <v>0</v>
      </c>
      <c r="N23" t="n">
        <v>0</v>
      </c>
      <c r="O23" t="n">
        <v>0</v>
      </c>
      <c r="P23" t="n">
        <v>0</v>
      </c>
      <c r="Q23" t="n">
        <v>1</v>
      </c>
      <c r="R23" s="2" t="inlineStr">
        <is>
          <t>Blåmossa</t>
        </is>
      </c>
      <c r="S23">
        <f>HYPERLINK("https://klasma.github.io/Logging_1293/artfynd/A 49572-2022 artfynd.xlsx", "A 49572-2022")</f>
        <v/>
      </c>
      <c r="T23">
        <f>HYPERLINK("https://klasma.github.io/Logging_1293/kartor/A 49572-2022 karta.png", "A 49572-2022")</f>
        <v/>
      </c>
      <c r="V23">
        <f>HYPERLINK("https://klasma.github.io/Logging_1293/klagomål/A 49572-2022 FSC-klagomål.docx", "A 49572-2022")</f>
        <v/>
      </c>
      <c r="W23">
        <f>HYPERLINK("https://klasma.github.io/Logging_1293/klagomålsmail/A 49572-2022 FSC-klagomål mail.docx", "A 49572-2022")</f>
        <v/>
      </c>
      <c r="X23">
        <f>HYPERLINK("https://klasma.github.io/Logging_1293/tillsyn/A 49572-2022 tillsynsbegäran.docx", "A 49572-2022")</f>
        <v/>
      </c>
      <c r="Y23">
        <f>HYPERLINK("https://klasma.github.io/Logging_1293/tillsynsmail/A 49572-2022 tillsynsbegäran mail.docx", "A 49572-2022")</f>
        <v/>
      </c>
    </row>
    <row r="24" ht="15" customHeight="1">
      <c r="A24" t="inlineStr">
        <is>
          <t>A 40613-2025</t>
        </is>
      </c>
      <c r="B24" s="1" t="n">
        <v>45896</v>
      </c>
      <c r="C24" s="1" t="n">
        <v>45930</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9289-2025</t>
        </is>
      </c>
      <c r="B25" s="1" t="n">
        <v>45714</v>
      </c>
      <c r="C25" s="1" t="n">
        <v>45930</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29272-2023</t>
        </is>
      </c>
      <c r="B26" s="1" t="n">
        <v>45105</v>
      </c>
      <c r="C26" s="1" t="n">
        <v>45930</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36690-2025</t>
        </is>
      </c>
      <c r="B27" s="1" t="n">
        <v>45873.42915509259</v>
      </c>
      <c r="C27" s="1" t="n">
        <v>45930</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14933-2023</t>
        </is>
      </c>
      <c r="B28" s="1" t="n">
        <v>45014</v>
      </c>
      <c r="C28" s="1" t="n">
        <v>45930</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8223-2025</t>
        </is>
      </c>
      <c r="B29" s="1" t="n">
        <v>45708.46127314815</v>
      </c>
      <c r="C29" s="1" t="n">
        <v>45930</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4619-2025</t>
        </is>
      </c>
      <c r="B30" s="1" t="n">
        <v>45687</v>
      </c>
      <c r="C30" s="1" t="n">
        <v>45930</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7862-2024</t>
        </is>
      </c>
      <c r="B31" s="1" t="n">
        <v>45348</v>
      </c>
      <c r="C31" s="1" t="n">
        <v>45930</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20280-2025</t>
        </is>
      </c>
      <c r="B32" s="1" t="n">
        <v>45774.38790509259</v>
      </c>
      <c r="C32" s="1" t="n">
        <v>45930</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61707-2024</t>
        </is>
      </c>
      <c r="B33" s="1" t="n">
        <v>45648.61747685185</v>
      </c>
      <c r="C33" s="1" t="n">
        <v>45930</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45930</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45930</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45930</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45930</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16107-2025</t>
        </is>
      </c>
      <c r="B38" s="1" t="n">
        <v>45750.34537037037</v>
      </c>
      <c r="C38" s="1" t="n">
        <v>45930</v>
      </c>
      <c r="D38" t="inlineStr">
        <is>
          <t>SKÅNE LÄN</t>
        </is>
      </c>
      <c r="E38" t="inlineStr">
        <is>
          <t>HÄSSLEHOLM</t>
        </is>
      </c>
      <c r="G38" t="n">
        <v>1.4</v>
      </c>
      <c r="H38" t="n">
        <v>1</v>
      </c>
      <c r="I38" t="n">
        <v>0</v>
      </c>
      <c r="J38" t="n">
        <v>1</v>
      </c>
      <c r="K38" t="n">
        <v>0</v>
      </c>
      <c r="L38" t="n">
        <v>0</v>
      </c>
      <c r="M38" t="n">
        <v>0</v>
      </c>
      <c r="N38" t="n">
        <v>0</v>
      </c>
      <c r="O38" t="n">
        <v>1</v>
      </c>
      <c r="P38" t="n">
        <v>0</v>
      </c>
      <c r="Q38" t="n">
        <v>1</v>
      </c>
      <c r="R38" s="2" t="inlineStr">
        <is>
          <t>Spillkråka</t>
        </is>
      </c>
      <c r="S38">
        <f>HYPERLINK("https://klasma.github.io/Logging_1293/artfynd/A 16107-2025 artfynd.xlsx", "A 16107-2025")</f>
        <v/>
      </c>
      <c r="T38">
        <f>HYPERLINK("https://klasma.github.io/Logging_1293/kartor/A 16107-2025 karta.png", "A 16107-2025")</f>
        <v/>
      </c>
      <c r="V38">
        <f>HYPERLINK("https://klasma.github.io/Logging_1293/klagomål/A 16107-2025 FSC-klagomål.docx", "A 16107-2025")</f>
        <v/>
      </c>
      <c r="W38">
        <f>HYPERLINK("https://klasma.github.io/Logging_1293/klagomålsmail/A 16107-2025 FSC-klagomål mail.docx", "A 16107-2025")</f>
        <v/>
      </c>
      <c r="X38">
        <f>HYPERLINK("https://klasma.github.io/Logging_1293/tillsyn/A 16107-2025 tillsynsbegäran.docx", "A 16107-2025")</f>
        <v/>
      </c>
      <c r="Y38">
        <f>HYPERLINK("https://klasma.github.io/Logging_1293/tillsynsmail/A 16107-2025 tillsynsbegäran mail.docx", "A 16107-2025")</f>
        <v/>
      </c>
      <c r="Z38">
        <f>HYPERLINK("https://klasma.github.io/Logging_1293/fåglar/A 16107-2025 prioriterade fågelarter.docx", "A 16107-2025")</f>
        <v/>
      </c>
    </row>
    <row r="39" ht="15" customHeight="1">
      <c r="A39" t="inlineStr">
        <is>
          <t>A 37457-2022</t>
        </is>
      </c>
      <c r="B39" s="1" t="n">
        <v>44809</v>
      </c>
      <c r="C39" s="1" t="n">
        <v>45930</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45930</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45930</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45930</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45930</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45930</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45930</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45930</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45930</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45930</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45930</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45930</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45930</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45930</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45930</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45930</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45930</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45930</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45930</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45930</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45930</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45930</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45930</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45930</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220-2022</t>
        </is>
      </c>
      <c r="B63" s="1" t="n">
        <v>44564</v>
      </c>
      <c r="C63" s="1" t="n">
        <v>45930</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45930</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45930</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45930</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45930</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45930</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45930</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45930</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45930</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24496-2021</t>
        </is>
      </c>
      <c r="B72" s="1" t="n">
        <v>44337</v>
      </c>
      <c r="C72" s="1" t="n">
        <v>45930</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45930</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45930</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45930</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45930</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45930</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45930</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45930</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45930</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45930</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45930</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45930</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45930</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45930</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45930</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45930</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45930</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45930</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45930</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45930</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45930</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45930</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48486-2020</t>
        </is>
      </c>
      <c r="B94" s="1" t="n">
        <v>44103.30351851852</v>
      </c>
      <c r="C94" s="1" t="n">
        <v>45930</v>
      </c>
      <c r="D94" t="inlineStr">
        <is>
          <t>SKÅNE LÄN</t>
        </is>
      </c>
      <c r="E94" t="inlineStr">
        <is>
          <t>HÄSSLEHOLM</t>
        </is>
      </c>
      <c r="G94" t="n">
        <v>1.5</v>
      </c>
      <c r="H94" t="n">
        <v>0</v>
      </c>
      <c r="I94" t="n">
        <v>0</v>
      </c>
      <c r="J94" t="n">
        <v>0</v>
      </c>
      <c r="K94" t="n">
        <v>0</v>
      </c>
      <c r="L94" t="n">
        <v>0</v>
      </c>
      <c r="M94" t="n">
        <v>0</v>
      </c>
      <c r="N94" t="n">
        <v>0</v>
      </c>
      <c r="O94" t="n">
        <v>0</v>
      </c>
      <c r="P94" t="n">
        <v>0</v>
      </c>
      <c r="Q94" t="n">
        <v>0</v>
      </c>
      <c r="R94" s="2" t="inlineStr"/>
    </row>
    <row r="95" ht="15" customHeight="1">
      <c r="A95" t="inlineStr">
        <is>
          <t>A 30992-2021</t>
        </is>
      </c>
      <c r="B95" s="1" t="n">
        <v>44366.36262731482</v>
      </c>
      <c r="C95" s="1" t="n">
        <v>45930</v>
      </c>
      <c r="D95" t="inlineStr">
        <is>
          <t>SKÅNE LÄN</t>
        </is>
      </c>
      <c r="E95" t="inlineStr">
        <is>
          <t>HÄSSLEHOLM</t>
        </is>
      </c>
      <c r="G95" t="n">
        <v>3.1</v>
      </c>
      <c r="H95" t="n">
        <v>0</v>
      </c>
      <c r="I95" t="n">
        <v>0</v>
      </c>
      <c r="J95" t="n">
        <v>0</v>
      </c>
      <c r="K95" t="n">
        <v>0</v>
      </c>
      <c r="L95" t="n">
        <v>0</v>
      </c>
      <c r="M95" t="n">
        <v>0</v>
      </c>
      <c r="N95" t="n">
        <v>0</v>
      </c>
      <c r="O95" t="n">
        <v>0</v>
      </c>
      <c r="P95" t="n">
        <v>0</v>
      </c>
      <c r="Q95" t="n">
        <v>0</v>
      </c>
      <c r="R95" s="2" t="inlineStr"/>
    </row>
    <row r="96" ht="15" customHeight="1">
      <c r="A96" t="inlineStr">
        <is>
          <t>A 38160-2021</t>
        </is>
      </c>
      <c r="B96" s="1" t="n">
        <v>44405.42719907407</v>
      </c>
      <c r="C96" s="1" t="n">
        <v>45930</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45930</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44755-2021</t>
        </is>
      </c>
      <c r="B98" s="1" t="n">
        <v>44438</v>
      </c>
      <c r="C98" s="1" t="n">
        <v>45930</v>
      </c>
      <c r="D98" t="inlineStr">
        <is>
          <t>SKÅNE LÄN</t>
        </is>
      </c>
      <c r="E98" t="inlineStr">
        <is>
          <t>HÄSSLEHOLM</t>
        </is>
      </c>
      <c r="G98" t="n">
        <v>0.3</v>
      </c>
      <c r="H98" t="n">
        <v>0</v>
      </c>
      <c r="I98" t="n">
        <v>0</v>
      </c>
      <c r="J98" t="n">
        <v>0</v>
      </c>
      <c r="K98" t="n">
        <v>0</v>
      </c>
      <c r="L98" t="n">
        <v>0</v>
      </c>
      <c r="M98" t="n">
        <v>0</v>
      </c>
      <c r="N98" t="n">
        <v>0</v>
      </c>
      <c r="O98" t="n">
        <v>0</v>
      </c>
      <c r="P98" t="n">
        <v>0</v>
      </c>
      <c r="Q98" t="n">
        <v>0</v>
      </c>
      <c r="R98" s="2" t="inlineStr"/>
    </row>
    <row r="99" ht="15" customHeight="1">
      <c r="A99" t="inlineStr">
        <is>
          <t>A 44770-2021</t>
        </is>
      </c>
      <c r="B99" s="1" t="n">
        <v>44438</v>
      </c>
      <c r="C99" s="1" t="n">
        <v>45930</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61073-2021</t>
        </is>
      </c>
      <c r="B100" s="1" t="n">
        <v>44497.83447916667</v>
      </c>
      <c r="C100" s="1" t="n">
        <v>45930</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2765-2022</t>
        </is>
      </c>
      <c r="B101" s="1" t="n">
        <v>44580</v>
      </c>
      <c r="C101" s="1" t="n">
        <v>45930</v>
      </c>
      <c r="D101" t="inlineStr">
        <is>
          <t>SKÅNE LÄN</t>
        </is>
      </c>
      <c r="E101" t="inlineStr">
        <is>
          <t>HÄSSLEHOLM</t>
        </is>
      </c>
      <c r="G101" t="n">
        <v>0.6</v>
      </c>
      <c r="H101" t="n">
        <v>0</v>
      </c>
      <c r="I101" t="n">
        <v>0</v>
      </c>
      <c r="J101" t="n">
        <v>0</v>
      </c>
      <c r="K101" t="n">
        <v>0</v>
      </c>
      <c r="L101" t="n">
        <v>0</v>
      </c>
      <c r="M101" t="n">
        <v>0</v>
      </c>
      <c r="N101" t="n">
        <v>0</v>
      </c>
      <c r="O101" t="n">
        <v>0</v>
      </c>
      <c r="P101" t="n">
        <v>0</v>
      </c>
      <c r="Q101" t="n">
        <v>0</v>
      </c>
      <c r="R101" s="2" t="inlineStr"/>
    </row>
    <row r="102" ht="15" customHeight="1">
      <c r="A102" t="inlineStr">
        <is>
          <t>A 37181-2022</t>
        </is>
      </c>
      <c r="B102" s="1" t="n">
        <v>44806</v>
      </c>
      <c r="C102" s="1" t="n">
        <v>45930</v>
      </c>
      <c r="D102" t="inlineStr">
        <is>
          <t>SKÅNE LÄN</t>
        </is>
      </c>
      <c r="E102" t="inlineStr">
        <is>
          <t>HÄSSLEHOLM</t>
        </is>
      </c>
      <c r="F102" t="inlineStr">
        <is>
          <t>Kyrkan</t>
        </is>
      </c>
      <c r="G102" t="n">
        <v>3.5</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45930</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45930</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7857-2022</t>
        </is>
      </c>
      <c r="B105" s="1" t="n">
        <v>44607</v>
      </c>
      <c r="C105" s="1" t="n">
        <v>45930</v>
      </c>
      <c r="D105" t="inlineStr">
        <is>
          <t>SKÅNE LÄN</t>
        </is>
      </c>
      <c r="E105" t="inlineStr">
        <is>
          <t>HÄSSLEHOLM</t>
        </is>
      </c>
      <c r="F105" t="inlineStr">
        <is>
          <t>Kyrkan</t>
        </is>
      </c>
      <c r="G105" t="n">
        <v>12.2</v>
      </c>
      <c r="H105" t="n">
        <v>0</v>
      </c>
      <c r="I105" t="n">
        <v>0</v>
      </c>
      <c r="J105" t="n">
        <v>0</v>
      </c>
      <c r="K105" t="n">
        <v>0</v>
      </c>
      <c r="L105" t="n">
        <v>0</v>
      </c>
      <c r="M105" t="n">
        <v>0</v>
      </c>
      <c r="N105" t="n">
        <v>0</v>
      </c>
      <c r="O105" t="n">
        <v>0</v>
      </c>
      <c r="P105" t="n">
        <v>0</v>
      </c>
      <c r="Q105" t="n">
        <v>0</v>
      </c>
      <c r="R105" s="2" t="inlineStr"/>
    </row>
    <row r="106" ht="15" customHeight="1">
      <c r="A106" t="inlineStr">
        <is>
          <t>A 61072-2021</t>
        </is>
      </c>
      <c r="B106" s="1" t="n">
        <v>44497.83344907407</v>
      </c>
      <c r="C106" s="1" t="n">
        <v>45930</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34982-2022</t>
        </is>
      </c>
      <c r="B107" s="1" t="n">
        <v>44796.69055555556</v>
      </c>
      <c r="C107" s="1" t="n">
        <v>45930</v>
      </c>
      <c r="D107" t="inlineStr">
        <is>
          <t>SKÅNE LÄN</t>
        </is>
      </c>
      <c r="E107" t="inlineStr">
        <is>
          <t>HÄSSLEHOLM</t>
        </is>
      </c>
      <c r="F107" t="inlineStr">
        <is>
          <t>Kyrkan</t>
        </is>
      </c>
      <c r="G107" t="n">
        <v>3.4</v>
      </c>
      <c r="H107" t="n">
        <v>0</v>
      </c>
      <c r="I107" t="n">
        <v>0</v>
      </c>
      <c r="J107" t="n">
        <v>0</v>
      </c>
      <c r="K107" t="n">
        <v>0</v>
      </c>
      <c r="L107" t="n">
        <v>0</v>
      </c>
      <c r="M107" t="n">
        <v>0</v>
      </c>
      <c r="N107" t="n">
        <v>0</v>
      </c>
      <c r="O107" t="n">
        <v>0</v>
      </c>
      <c r="P107" t="n">
        <v>0</v>
      </c>
      <c r="Q107" t="n">
        <v>0</v>
      </c>
      <c r="R107" s="2" t="inlineStr"/>
    </row>
    <row r="108" ht="15" customHeight="1">
      <c r="A108" t="inlineStr">
        <is>
          <t>A 37170-2022</t>
        </is>
      </c>
      <c r="B108" s="1" t="n">
        <v>44806.61038194445</v>
      </c>
      <c r="C108" s="1" t="n">
        <v>45930</v>
      </c>
      <c r="D108" t="inlineStr">
        <is>
          <t>SKÅNE LÄN</t>
        </is>
      </c>
      <c r="E108" t="inlineStr">
        <is>
          <t>HÄSSLEHOLM</t>
        </is>
      </c>
      <c r="F108" t="inlineStr">
        <is>
          <t>Kyrkan</t>
        </is>
      </c>
      <c r="G108" t="n">
        <v>4.5</v>
      </c>
      <c r="H108" t="n">
        <v>0</v>
      </c>
      <c r="I108" t="n">
        <v>0</v>
      </c>
      <c r="J108" t="n">
        <v>0</v>
      </c>
      <c r="K108" t="n">
        <v>0</v>
      </c>
      <c r="L108" t="n">
        <v>0</v>
      </c>
      <c r="M108" t="n">
        <v>0</v>
      </c>
      <c r="N108" t="n">
        <v>0</v>
      </c>
      <c r="O108" t="n">
        <v>0</v>
      </c>
      <c r="P108" t="n">
        <v>0</v>
      </c>
      <c r="Q108" t="n">
        <v>0</v>
      </c>
      <c r="R108" s="2" t="inlineStr"/>
    </row>
    <row r="109" ht="15" customHeight="1">
      <c r="A109" t="inlineStr">
        <is>
          <t>A 55425-2022</t>
        </is>
      </c>
      <c r="B109" s="1" t="n">
        <v>44887.60577546297</v>
      </c>
      <c r="C109" s="1" t="n">
        <v>45930</v>
      </c>
      <c r="D109" t="inlineStr">
        <is>
          <t>SKÅNE LÄN</t>
        </is>
      </c>
      <c r="E109" t="inlineStr">
        <is>
          <t>HÄSSLEHOLM</t>
        </is>
      </c>
      <c r="G109" t="n">
        <v>0.5</v>
      </c>
      <c r="H109" t="n">
        <v>0</v>
      </c>
      <c r="I109" t="n">
        <v>0</v>
      </c>
      <c r="J109" t="n">
        <v>0</v>
      </c>
      <c r="K109" t="n">
        <v>0</v>
      </c>
      <c r="L109" t="n">
        <v>0</v>
      </c>
      <c r="M109" t="n">
        <v>0</v>
      </c>
      <c r="N109" t="n">
        <v>0</v>
      </c>
      <c r="O109" t="n">
        <v>0</v>
      </c>
      <c r="P109" t="n">
        <v>0</v>
      </c>
      <c r="Q109" t="n">
        <v>0</v>
      </c>
      <c r="R109" s="2" t="inlineStr"/>
    </row>
    <row r="110" ht="15" customHeight="1">
      <c r="A110" t="inlineStr">
        <is>
          <t>A 54493-2020</t>
        </is>
      </c>
      <c r="B110" s="1" t="n">
        <v>44126</v>
      </c>
      <c r="C110" s="1" t="n">
        <v>45930</v>
      </c>
      <c r="D110" t="inlineStr">
        <is>
          <t>SKÅNE LÄN</t>
        </is>
      </c>
      <c r="E110" t="inlineStr">
        <is>
          <t>HÄSSLEHOLM</t>
        </is>
      </c>
      <c r="F110" t="inlineStr">
        <is>
          <t>Kyrkan</t>
        </is>
      </c>
      <c r="G110" t="n">
        <v>4.4</v>
      </c>
      <c r="H110" t="n">
        <v>0</v>
      </c>
      <c r="I110" t="n">
        <v>0</v>
      </c>
      <c r="J110" t="n">
        <v>0</v>
      </c>
      <c r="K110" t="n">
        <v>0</v>
      </c>
      <c r="L110" t="n">
        <v>0</v>
      </c>
      <c r="M110" t="n">
        <v>0</v>
      </c>
      <c r="N110" t="n">
        <v>0</v>
      </c>
      <c r="O110" t="n">
        <v>0</v>
      </c>
      <c r="P110" t="n">
        <v>0</v>
      </c>
      <c r="Q110" t="n">
        <v>0</v>
      </c>
      <c r="R110" s="2" t="inlineStr"/>
    </row>
    <row r="111" ht="15" customHeight="1">
      <c r="A111" t="inlineStr">
        <is>
          <t>A 59295-2020</t>
        </is>
      </c>
      <c r="B111" s="1" t="n">
        <v>44147</v>
      </c>
      <c r="C111" s="1" t="n">
        <v>45930</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3447-2021</t>
        </is>
      </c>
      <c r="B112" s="1" t="n">
        <v>44218</v>
      </c>
      <c r="C112" s="1" t="n">
        <v>45930</v>
      </c>
      <c r="D112" t="inlineStr">
        <is>
          <t>SKÅNE LÄN</t>
        </is>
      </c>
      <c r="E112" t="inlineStr">
        <is>
          <t>HÄSSLEHOLM</t>
        </is>
      </c>
      <c r="G112" t="n">
        <v>3.9</v>
      </c>
      <c r="H112" t="n">
        <v>0</v>
      </c>
      <c r="I112" t="n">
        <v>0</v>
      </c>
      <c r="J112" t="n">
        <v>0</v>
      </c>
      <c r="K112" t="n">
        <v>0</v>
      </c>
      <c r="L112" t="n">
        <v>0</v>
      </c>
      <c r="M112" t="n">
        <v>0</v>
      </c>
      <c r="N112" t="n">
        <v>0</v>
      </c>
      <c r="O112" t="n">
        <v>0</v>
      </c>
      <c r="P112" t="n">
        <v>0</v>
      </c>
      <c r="Q112" t="n">
        <v>0</v>
      </c>
      <c r="R112" s="2" t="inlineStr"/>
    </row>
    <row r="113" ht="15" customHeight="1">
      <c r="A113" t="inlineStr">
        <is>
          <t>A 69103-2020</t>
        </is>
      </c>
      <c r="B113" s="1" t="n">
        <v>44188</v>
      </c>
      <c r="C113" s="1" t="n">
        <v>45930</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45930</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68200-2020</t>
        </is>
      </c>
      <c r="B115" s="1" t="n">
        <v>44183</v>
      </c>
      <c r="C115" s="1" t="n">
        <v>45930</v>
      </c>
      <c r="D115" t="inlineStr">
        <is>
          <t>SKÅNE LÄN</t>
        </is>
      </c>
      <c r="E115" t="inlineStr">
        <is>
          <t>HÄSSLEHOLM</t>
        </is>
      </c>
      <c r="F115" t="inlineStr">
        <is>
          <t>Kyrkan</t>
        </is>
      </c>
      <c r="G115" t="n">
        <v>0.7</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45930</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45930</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3277-2022</t>
        </is>
      </c>
      <c r="B118" s="1" t="n">
        <v>44584.41274305555</v>
      </c>
      <c r="C118" s="1" t="n">
        <v>45930</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7522-2021</t>
        </is>
      </c>
      <c r="B119" s="1" t="n">
        <v>44238</v>
      </c>
      <c r="C119" s="1" t="n">
        <v>45930</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69201-2020</t>
        </is>
      </c>
      <c r="B120" s="1" t="n">
        <v>44191</v>
      </c>
      <c r="C120" s="1" t="n">
        <v>45930</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45930</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45930</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9257-2021</t>
        </is>
      </c>
      <c r="B123" s="1" t="n">
        <v>44250</v>
      </c>
      <c r="C123" s="1" t="n">
        <v>45930</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4156-2022</t>
        </is>
      </c>
      <c r="B124" s="1" t="n">
        <v>44588</v>
      </c>
      <c r="C124" s="1" t="n">
        <v>45930</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19449-2021</t>
        </is>
      </c>
      <c r="B125" s="1" t="n">
        <v>44310.88846064815</v>
      </c>
      <c r="C125" s="1" t="n">
        <v>45930</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41581-2021</t>
        </is>
      </c>
      <c r="B126" s="1" t="n">
        <v>44425.40167824074</v>
      </c>
      <c r="C126" s="1" t="n">
        <v>45930</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34684-2021</t>
        </is>
      </c>
      <c r="B127" s="1" t="n">
        <v>44382</v>
      </c>
      <c r="C127" s="1" t="n">
        <v>45930</v>
      </c>
      <c r="D127" t="inlineStr">
        <is>
          <t>SKÅNE LÄN</t>
        </is>
      </c>
      <c r="E127" t="inlineStr">
        <is>
          <t>HÄSSLEHOLM</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45930</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46217-2022</t>
        </is>
      </c>
      <c r="B129" s="1" t="n">
        <v>44846</v>
      </c>
      <c r="C129" s="1" t="n">
        <v>45930</v>
      </c>
      <c r="D129" t="inlineStr">
        <is>
          <t>SKÅNE LÄN</t>
        </is>
      </c>
      <c r="E129" t="inlineStr">
        <is>
          <t>HÄSSLEHOLM</t>
        </is>
      </c>
      <c r="G129" t="n">
        <v>3.1</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45930</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45349-2022</t>
        </is>
      </c>
      <c r="B131" s="1" t="n">
        <v>44844.6118287037</v>
      </c>
      <c r="C131" s="1" t="n">
        <v>45930</v>
      </c>
      <c r="D131" t="inlineStr">
        <is>
          <t>SKÅNE LÄN</t>
        </is>
      </c>
      <c r="E131" t="inlineStr">
        <is>
          <t>HÄSSLEHOLM</t>
        </is>
      </c>
      <c r="G131" t="n">
        <v>6.2</v>
      </c>
      <c r="H131" t="n">
        <v>0</v>
      </c>
      <c r="I131" t="n">
        <v>0</v>
      </c>
      <c r="J131" t="n">
        <v>0</v>
      </c>
      <c r="K131" t="n">
        <v>0</v>
      </c>
      <c r="L131" t="n">
        <v>0</v>
      </c>
      <c r="M131" t="n">
        <v>0</v>
      </c>
      <c r="N131" t="n">
        <v>0</v>
      </c>
      <c r="O131" t="n">
        <v>0</v>
      </c>
      <c r="P131" t="n">
        <v>0</v>
      </c>
      <c r="Q131" t="n">
        <v>0</v>
      </c>
      <c r="R131" s="2" t="inlineStr"/>
    </row>
    <row r="132" ht="15" customHeight="1">
      <c r="A132" t="inlineStr">
        <is>
          <t>A 15118-2022</t>
        </is>
      </c>
      <c r="B132" s="1" t="n">
        <v>44659</v>
      </c>
      <c r="C132" s="1" t="n">
        <v>45930</v>
      </c>
      <c r="D132" t="inlineStr">
        <is>
          <t>SKÅNE LÄN</t>
        </is>
      </c>
      <c r="E132" t="inlineStr">
        <is>
          <t>HÄSSLEHOLM</t>
        </is>
      </c>
      <c r="F132" t="inlineStr">
        <is>
          <t>Kyrkan</t>
        </is>
      </c>
      <c r="G132" t="n">
        <v>0.7</v>
      </c>
      <c r="H132" t="n">
        <v>0</v>
      </c>
      <c r="I132" t="n">
        <v>0</v>
      </c>
      <c r="J132" t="n">
        <v>0</v>
      </c>
      <c r="K132" t="n">
        <v>0</v>
      </c>
      <c r="L132" t="n">
        <v>0</v>
      </c>
      <c r="M132" t="n">
        <v>0</v>
      </c>
      <c r="N132" t="n">
        <v>0</v>
      </c>
      <c r="O132" t="n">
        <v>0</v>
      </c>
      <c r="P132" t="n">
        <v>0</v>
      </c>
      <c r="Q132" t="n">
        <v>0</v>
      </c>
      <c r="R132" s="2" t="inlineStr"/>
    </row>
    <row r="133" ht="15" customHeight="1">
      <c r="A133" t="inlineStr">
        <is>
          <t>A 43639-2021</t>
        </is>
      </c>
      <c r="B133" s="1" t="n">
        <v>44433</v>
      </c>
      <c r="C133" s="1" t="n">
        <v>45930</v>
      </c>
      <c r="D133" t="inlineStr">
        <is>
          <t>SKÅNE LÄN</t>
        </is>
      </c>
      <c r="E133" t="inlineStr">
        <is>
          <t>HÄSSLEHOLM</t>
        </is>
      </c>
      <c r="G133" t="n">
        <v>0.4</v>
      </c>
      <c r="H133" t="n">
        <v>0</v>
      </c>
      <c r="I133" t="n">
        <v>0</v>
      </c>
      <c r="J133" t="n">
        <v>0</v>
      </c>
      <c r="K133" t="n">
        <v>0</v>
      </c>
      <c r="L133" t="n">
        <v>0</v>
      </c>
      <c r="M133" t="n">
        <v>0</v>
      </c>
      <c r="N133" t="n">
        <v>0</v>
      </c>
      <c r="O133" t="n">
        <v>0</v>
      </c>
      <c r="P133" t="n">
        <v>0</v>
      </c>
      <c r="Q133" t="n">
        <v>0</v>
      </c>
      <c r="R133" s="2" t="inlineStr"/>
    </row>
    <row r="134" ht="15" customHeight="1">
      <c r="A134" t="inlineStr">
        <is>
          <t>A 7701-2021</t>
        </is>
      </c>
      <c r="B134" s="1" t="n">
        <v>44242</v>
      </c>
      <c r="C134" s="1" t="n">
        <v>45930</v>
      </c>
      <c r="D134" t="inlineStr">
        <is>
          <t>SKÅNE LÄN</t>
        </is>
      </c>
      <c r="E134" t="inlineStr">
        <is>
          <t>HÄSSLEHOLM</t>
        </is>
      </c>
      <c r="G134" t="n">
        <v>0.9</v>
      </c>
      <c r="H134" t="n">
        <v>0</v>
      </c>
      <c r="I134" t="n">
        <v>0</v>
      </c>
      <c r="J134" t="n">
        <v>0</v>
      </c>
      <c r="K134" t="n">
        <v>0</v>
      </c>
      <c r="L134" t="n">
        <v>0</v>
      </c>
      <c r="M134" t="n">
        <v>0</v>
      </c>
      <c r="N134" t="n">
        <v>0</v>
      </c>
      <c r="O134" t="n">
        <v>0</v>
      </c>
      <c r="P134" t="n">
        <v>0</v>
      </c>
      <c r="Q134" t="n">
        <v>0</v>
      </c>
      <c r="R134" s="2" t="inlineStr"/>
    </row>
    <row r="135" ht="15" customHeight="1">
      <c r="A135" t="inlineStr">
        <is>
          <t>A 3276-2022</t>
        </is>
      </c>
      <c r="B135" s="1" t="n">
        <v>44584.40916666666</v>
      </c>
      <c r="C135" s="1" t="n">
        <v>45930</v>
      </c>
      <c r="D135" t="inlineStr">
        <is>
          <t>SKÅNE LÄN</t>
        </is>
      </c>
      <c r="E135" t="inlineStr">
        <is>
          <t>HÄSSLEHOLM</t>
        </is>
      </c>
      <c r="G135" t="n">
        <v>0.2</v>
      </c>
      <c r="H135" t="n">
        <v>0</v>
      </c>
      <c r="I135" t="n">
        <v>0</v>
      </c>
      <c r="J135" t="n">
        <v>0</v>
      </c>
      <c r="K135" t="n">
        <v>0</v>
      </c>
      <c r="L135" t="n">
        <v>0</v>
      </c>
      <c r="M135" t="n">
        <v>0</v>
      </c>
      <c r="N135" t="n">
        <v>0</v>
      </c>
      <c r="O135" t="n">
        <v>0</v>
      </c>
      <c r="P135" t="n">
        <v>0</v>
      </c>
      <c r="Q135" t="n">
        <v>0</v>
      </c>
      <c r="R135" s="2" t="inlineStr"/>
    </row>
    <row r="136" ht="15" customHeight="1">
      <c r="A136" t="inlineStr">
        <is>
          <t>A 52461-2021</t>
        </is>
      </c>
      <c r="B136" s="1" t="n">
        <v>44466</v>
      </c>
      <c r="C136" s="1" t="n">
        <v>45930</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44509.89649305555</v>
      </c>
      <c r="C137" s="1" t="n">
        <v>45930</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48212-2020</t>
        </is>
      </c>
      <c r="B138" s="1" t="n">
        <v>44102</v>
      </c>
      <c r="C138" s="1" t="n">
        <v>45930</v>
      </c>
      <c r="D138" t="inlineStr">
        <is>
          <t>SKÅNE LÄN</t>
        </is>
      </c>
      <c r="E138" t="inlineStr">
        <is>
          <t>HÄSSLEHOLM</t>
        </is>
      </c>
      <c r="G138" t="n">
        <v>4.2</v>
      </c>
      <c r="H138" t="n">
        <v>0</v>
      </c>
      <c r="I138" t="n">
        <v>0</v>
      </c>
      <c r="J138" t="n">
        <v>0</v>
      </c>
      <c r="K138" t="n">
        <v>0</v>
      </c>
      <c r="L138" t="n">
        <v>0</v>
      </c>
      <c r="M138" t="n">
        <v>0</v>
      </c>
      <c r="N138" t="n">
        <v>0</v>
      </c>
      <c r="O138" t="n">
        <v>0</v>
      </c>
      <c r="P138" t="n">
        <v>0</v>
      </c>
      <c r="Q138" t="n">
        <v>0</v>
      </c>
      <c r="R138" s="2" t="inlineStr"/>
    </row>
    <row r="139" ht="15" customHeight="1">
      <c r="A139" t="inlineStr">
        <is>
          <t>A 49786-2020</t>
        </is>
      </c>
      <c r="B139" s="1" t="n">
        <v>44103</v>
      </c>
      <c r="C139" s="1" t="n">
        <v>45930</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2952-2021</t>
        </is>
      </c>
      <c r="B140" s="1" t="n">
        <v>44216</v>
      </c>
      <c r="C140" s="1" t="n">
        <v>45930</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52852-2020</t>
        </is>
      </c>
      <c r="B141" s="1" t="n">
        <v>44119</v>
      </c>
      <c r="C141" s="1" t="n">
        <v>45930</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5564-2022</t>
        </is>
      </c>
      <c r="B142" s="1" t="n">
        <v>44595</v>
      </c>
      <c r="C142" s="1" t="n">
        <v>45930</v>
      </c>
      <c r="D142" t="inlineStr">
        <is>
          <t>SKÅNE LÄN</t>
        </is>
      </c>
      <c r="E142" t="inlineStr">
        <is>
          <t>HÄSSLEHOLM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37334-2021</t>
        </is>
      </c>
      <c r="B143" s="1" t="n">
        <v>44397.57800925926</v>
      </c>
      <c r="C143" s="1" t="n">
        <v>45930</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20659-2021</t>
        </is>
      </c>
      <c r="B144" s="1" t="n">
        <v>44316</v>
      </c>
      <c r="C144" s="1" t="n">
        <v>45930</v>
      </c>
      <c r="D144" t="inlineStr">
        <is>
          <t>SKÅNE LÄN</t>
        </is>
      </c>
      <c r="E144" t="inlineStr">
        <is>
          <t>HÄSSLEHOLM</t>
        </is>
      </c>
      <c r="G144" t="n">
        <v>2.8</v>
      </c>
      <c r="H144" t="n">
        <v>0</v>
      </c>
      <c r="I144" t="n">
        <v>0</v>
      </c>
      <c r="J144" t="n">
        <v>0</v>
      </c>
      <c r="K144" t="n">
        <v>0</v>
      </c>
      <c r="L144" t="n">
        <v>0</v>
      </c>
      <c r="M144" t="n">
        <v>0</v>
      </c>
      <c r="N144" t="n">
        <v>0</v>
      </c>
      <c r="O144" t="n">
        <v>0</v>
      </c>
      <c r="P144" t="n">
        <v>0</v>
      </c>
      <c r="Q144" t="n">
        <v>0</v>
      </c>
      <c r="R144" s="2" t="inlineStr"/>
    </row>
    <row r="145" ht="15" customHeight="1">
      <c r="A145" t="inlineStr">
        <is>
          <t>A 21535-2021</t>
        </is>
      </c>
      <c r="B145" s="1" t="n">
        <v>44321</v>
      </c>
      <c r="C145" s="1" t="n">
        <v>45930</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34027-2021</t>
        </is>
      </c>
      <c r="B146" s="1" t="n">
        <v>44379</v>
      </c>
      <c r="C146" s="1" t="n">
        <v>45930</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32792-2021</t>
        </is>
      </c>
      <c r="B147" s="1" t="n">
        <v>44375</v>
      </c>
      <c r="C147" s="1" t="n">
        <v>45930</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3167-2022</t>
        </is>
      </c>
      <c r="B148" s="1" t="n">
        <v>44582</v>
      </c>
      <c r="C148" s="1" t="n">
        <v>45930</v>
      </c>
      <c r="D148" t="inlineStr">
        <is>
          <t>SKÅNE LÄN</t>
        </is>
      </c>
      <c r="E148" t="inlineStr">
        <is>
          <t>HÄSSLEHOLM</t>
        </is>
      </c>
      <c r="F148" t="inlineStr">
        <is>
          <t>Kommuner</t>
        </is>
      </c>
      <c r="G148" t="n">
        <v>1.5</v>
      </c>
      <c r="H148" t="n">
        <v>0</v>
      </c>
      <c r="I148" t="n">
        <v>0</v>
      </c>
      <c r="J148" t="n">
        <v>0</v>
      </c>
      <c r="K148" t="n">
        <v>0</v>
      </c>
      <c r="L148" t="n">
        <v>0</v>
      </c>
      <c r="M148" t="n">
        <v>0</v>
      </c>
      <c r="N148" t="n">
        <v>0</v>
      </c>
      <c r="O148" t="n">
        <v>0</v>
      </c>
      <c r="P148" t="n">
        <v>0</v>
      </c>
      <c r="Q148" t="n">
        <v>0</v>
      </c>
      <c r="R148" s="2" t="inlineStr"/>
    </row>
    <row r="149" ht="15" customHeight="1">
      <c r="A149" t="inlineStr">
        <is>
          <t>A 33736-2021</t>
        </is>
      </c>
      <c r="B149" s="1" t="n">
        <v>44378</v>
      </c>
      <c r="C149" s="1" t="n">
        <v>45930</v>
      </c>
      <c r="D149" t="inlineStr">
        <is>
          <t>SKÅNE LÄN</t>
        </is>
      </c>
      <c r="E149" t="inlineStr">
        <is>
          <t>HÄSSLEHOLM</t>
        </is>
      </c>
      <c r="G149" t="n">
        <v>7.6</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45930</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64211-2020</t>
        </is>
      </c>
      <c r="B151" s="1" t="n">
        <v>44168</v>
      </c>
      <c r="C151" s="1" t="n">
        <v>45930</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4161-2022</t>
        </is>
      </c>
      <c r="B152" s="1" t="n">
        <v>44588</v>
      </c>
      <c r="C152" s="1" t="n">
        <v>45930</v>
      </c>
      <c r="D152" t="inlineStr">
        <is>
          <t>SKÅNE LÄN</t>
        </is>
      </c>
      <c r="E152" t="inlineStr">
        <is>
          <t>HÄSSLEHOLM</t>
        </is>
      </c>
      <c r="G152" t="n">
        <v>0.5</v>
      </c>
      <c r="H152" t="n">
        <v>0</v>
      </c>
      <c r="I152" t="n">
        <v>0</v>
      </c>
      <c r="J152" t="n">
        <v>0</v>
      </c>
      <c r="K152" t="n">
        <v>0</v>
      </c>
      <c r="L152" t="n">
        <v>0</v>
      </c>
      <c r="M152" t="n">
        <v>0</v>
      </c>
      <c r="N152" t="n">
        <v>0</v>
      </c>
      <c r="O152" t="n">
        <v>0</v>
      </c>
      <c r="P152" t="n">
        <v>0</v>
      </c>
      <c r="Q152" t="n">
        <v>0</v>
      </c>
      <c r="R152" s="2" t="inlineStr"/>
    </row>
    <row r="153" ht="15" customHeight="1">
      <c r="A153" t="inlineStr">
        <is>
          <t>A 40702-2021</t>
        </is>
      </c>
      <c r="B153" s="1" t="n">
        <v>44420.61719907408</v>
      </c>
      <c r="C153" s="1" t="n">
        <v>45930</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1535-2022</t>
        </is>
      </c>
      <c r="B154" s="1" t="n">
        <v>44573</v>
      </c>
      <c r="C154" s="1" t="n">
        <v>45930</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21029-2021</t>
        </is>
      </c>
      <c r="B155" s="1" t="n">
        <v>44319.63366898148</v>
      </c>
      <c r="C155" s="1" t="n">
        <v>45930</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13982-2021</t>
        </is>
      </c>
      <c r="B156" s="1" t="n">
        <v>44277.57800925926</v>
      </c>
      <c r="C156" s="1" t="n">
        <v>45930</v>
      </c>
      <c r="D156" t="inlineStr">
        <is>
          <t>SKÅNE LÄN</t>
        </is>
      </c>
      <c r="E156" t="inlineStr">
        <is>
          <t>HÄSSLEHOLM</t>
        </is>
      </c>
      <c r="G156" t="n">
        <v>0.7</v>
      </c>
      <c r="H156" t="n">
        <v>0</v>
      </c>
      <c r="I156" t="n">
        <v>0</v>
      </c>
      <c r="J156" t="n">
        <v>0</v>
      </c>
      <c r="K156" t="n">
        <v>0</v>
      </c>
      <c r="L156" t="n">
        <v>0</v>
      </c>
      <c r="M156" t="n">
        <v>0</v>
      </c>
      <c r="N156" t="n">
        <v>0</v>
      </c>
      <c r="O156" t="n">
        <v>0</v>
      </c>
      <c r="P156" t="n">
        <v>0</v>
      </c>
      <c r="Q156" t="n">
        <v>0</v>
      </c>
      <c r="R156" s="2" t="inlineStr"/>
    </row>
    <row r="157" ht="15" customHeight="1">
      <c r="A157" t="inlineStr">
        <is>
          <t>A 64607-2021</t>
        </is>
      </c>
      <c r="B157" s="1" t="n">
        <v>44511</v>
      </c>
      <c r="C157" s="1" t="n">
        <v>45930</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18515-2021</t>
        </is>
      </c>
      <c r="B158" s="1" t="n">
        <v>44305</v>
      </c>
      <c r="C158" s="1" t="n">
        <v>45930</v>
      </c>
      <c r="D158" t="inlineStr">
        <is>
          <t>SKÅNE LÄN</t>
        </is>
      </c>
      <c r="E158" t="inlineStr">
        <is>
          <t>HÄSSLEHOLM</t>
        </is>
      </c>
      <c r="F158" t="inlineStr">
        <is>
          <t>Övriga Aktiebolag</t>
        </is>
      </c>
      <c r="G158" t="n">
        <v>0.5</v>
      </c>
      <c r="H158" t="n">
        <v>0</v>
      </c>
      <c r="I158" t="n">
        <v>0</v>
      </c>
      <c r="J158" t="n">
        <v>0</v>
      </c>
      <c r="K158" t="n">
        <v>0</v>
      </c>
      <c r="L158" t="n">
        <v>0</v>
      </c>
      <c r="M158" t="n">
        <v>0</v>
      </c>
      <c r="N158" t="n">
        <v>0</v>
      </c>
      <c r="O158" t="n">
        <v>0</v>
      </c>
      <c r="P158" t="n">
        <v>0</v>
      </c>
      <c r="Q158" t="n">
        <v>0</v>
      </c>
      <c r="R158" s="2" t="inlineStr"/>
    </row>
    <row r="159" ht="15" customHeight="1">
      <c r="A159" t="inlineStr">
        <is>
          <t>A 18523-2021</t>
        </is>
      </c>
      <c r="B159" s="1" t="n">
        <v>44305</v>
      </c>
      <c r="C159" s="1" t="n">
        <v>45930</v>
      </c>
      <c r="D159" t="inlineStr">
        <is>
          <t>SKÅNE LÄN</t>
        </is>
      </c>
      <c r="E159" t="inlineStr">
        <is>
          <t>HÄSSLEHOLM</t>
        </is>
      </c>
      <c r="F159" t="inlineStr">
        <is>
          <t>Övriga Aktiebolag</t>
        </is>
      </c>
      <c r="G159" t="n">
        <v>1.2</v>
      </c>
      <c r="H159" t="n">
        <v>0</v>
      </c>
      <c r="I159" t="n">
        <v>0</v>
      </c>
      <c r="J159" t="n">
        <v>0</v>
      </c>
      <c r="K159" t="n">
        <v>0</v>
      </c>
      <c r="L159" t="n">
        <v>0</v>
      </c>
      <c r="M159" t="n">
        <v>0</v>
      </c>
      <c r="N159" t="n">
        <v>0</v>
      </c>
      <c r="O159" t="n">
        <v>0</v>
      </c>
      <c r="P159" t="n">
        <v>0</v>
      </c>
      <c r="Q159" t="n">
        <v>0</v>
      </c>
      <c r="R159" s="2" t="inlineStr"/>
    </row>
    <row r="160" ht="15" customHeight="1">
      <c r="A160" t="inlineStr">
        <is>
          <t>A 12617-2021</t>
        </is>
      </c>
      <c r="B160" s="1" t="n">
        <v>44270.45030092593</v>
      </c>
      <c r="C160" s="1" t="n">
        <v>45930</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2631-2022</t>
        </is>
      </c>
      <c r="B161" s="1" t="n">
        <v>44580</v>
      </c>
      <c r="C161" s="1" t="n">
        <v>45930</v>
      </c>
      <c r="D161" t="inlineStr">
        <is>
          <t>SKÅNE LÄN</t>
        </is>
      </c>
      <c r="E161" t="inlineStr">
        <is>
          <t>HÄSSLEHOLM</t>
        </is>
      </c>
      <c r="G161" t="n">
        <v>0.9</v>
      </c>
      <c r="H161" t="n">
        <v>0</v>
      </c>
      <c r="I161" t="n">
        <v>0</v>
      </c>
      <c r="J161" t="n">
        <v>0</v>
      </c>
      <c r="K161" t="n">
        <v>0</v>
      </c>
      <c r="L161" t="n">
        <v>0</v>
      </c>
      <c r="M161" t="n">
        <v>0</v>
      </c>
      <c r="N161" t="n">
        <v>0</v>
      </c>
      <c r="O161" t="n">
        <v>0</v>
      </c>
      <c r="P161" t="n">
        <v>0</v>
      </c>
      <c r="Q161" t="n">
        <v>0</v>
      </c>
      <c r="R161" s="2" t="inlineStr"/>
    </row>
    <row r="162" ht="15" customHeight="1">
      <c r="A162" t="inlineStr">
        <is>
          <t>A 15423-2022</t>
        </is>
      </c>
      <c r="B162" s="1" t="n">
        <v>44659</v>
      </c>
      <c r="C162" s="1" t="n">
        <v>45930</v>
      </c>
      <c r="D162" t="inlineStr">
        <is>
          <t>SKÅNE LÄN</t>
        </is>
      </c>
      <c r="E162" t="inlineStr">
        <is>
          <t>HÄSSLEHOLM</t>
        </is>
      </c>
      <c r="F162" t="inlineStr">
        <is>
          <t>Kyrkan</t>
        </is>
      </c>
      <c r="G162" t="n">
        <v>0.9</v>
      </c>
      <c r="H162" t="n">
        <v>0</v>
      </c>
      <c r="I162" t="n">
        <v>0</v>
      </c>
      <c r="J162" t="n">
        <v>0</v>
      </c>
      <c r="K162" t="n">
        <v>0</v>
      </c>
      <c r="L162" t="n">
        <v>0</v>
      </c>
      <c r="M162" t="n">
        <v>0</v>
      </c>
      <c r="N162" t="n">
        <v>0</v>
      </c>
      <c r="O162" t="n">
        <v>0</v>
      </c>
      <c r="P162" t="n">
        <v>0</v>
      </c>
      <c r="Q162" t="n">
        <v>0</v>
      </c>
      <c r="R162" s="2" t="inlineStr"/>
    </row>
    <row r="163" ht="15" customHeight="1">
      <c r="A163" t="inlineStr">
        <is>
          <t>A 66474-2020</t>
        </is>
      </c>
      <c r="B163" s="1" t="n">
        <v>44177</v>
      </c>
      <c r="C163" s="1" t="n">
        <v>45930</v>
      </c>
      <c r="D163" t="inlineStr">
        <is>
          <t>SKÅNE LÄN</t>
        </is>
      </c>
      <c r="E163" t="inlineStr">
        <is>
          <t>HÄSSLEHOLM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50371-2020</t>
        </is>
      </c>
      <c r="B164" s="1" t="n">
        <v>44110.44322916667</v>
      </c>
      <c r="C164" s="1" t="n">
        <v>45930</v>
      </c>
      <c r="D164" t="inlineStr">
        <is>
          <t>SKÅNE LÄN</t>
        </is>
      </c>
      <c r="E164" t="inlineStr">
        <is>
          <t>HÄSSLEHOLM</t>
        </is>
      </c>
      <c r="G164" t="n">
        <v>3.8</v>
      </c>
      <c r="H164" t="n">
        <v>0</v>
      </c>
      <c r="I164" t="n">
        <v>0</v>
      </c>
      <c r="J164" t="n">
        <v>0</v>
      </c>
      <c r="K164" t="n">
        <v>0</v>
      </c>
      <c r="L164" t="n">
        <v>0</v>
      </c>
      <c r="M164" t="n">
        <v>0</v>
      </c>
      <c r="N164" t="n">
        <v>0</v>
      </c>
      <c r="O164" t="n">
        <v>0</v>
      </c>
      <c r="P164" t="n">
        <v>0</v>
      </c>
      <c r="Q164" t="n">
        <v>0</v>
      </c>
      <c r="R164" s="2" t="inlineStr"/>
    </row>
    <row r="165" ht="15" customHeight="1">
      <c r="A165" t="inlineStr">
        <is>
          <t>A 56989-2021</t>
        </is>
      </c>
      <c r="B165" s="1" t="n">
        <v>44482</v>
      </c>
      <c r="C165" s="1" t="n">
        <v>45930</v>
      </c>
      <c r="D165" t="inlineStr">
        <is>
          <t>SKÅNE LÄN</t>
        </is>
      </c>
      <c r="E165" t="inlineStr">
        <is>
          <t>HÄSSLEHOLM</t>
        </is>
      </c>
      <c r="G165" t="n">
        <v>1.1</v>
      </c>
      <c r="H165" t="n">
        <v>0</v>
      </c>
      <c r="I165" t="n">
        <v>0</v>
      </c>
      <c r="J165" t="n">
        <v>0</v>
      </c>
      <c r="K165" t="n">
        <v>0</v>
      </c>
      <c r="L165" t="n">
        <v>0</v>
      </c>
      <c r="M165" t="n">
        <v>0</v>
      </c>
      <c r="N165" t="n">
        <v>0</v>
      </c>
      <c r="O165" t="n">
        <v>0</v>
      </c>
      <c r="P165" t="n">
        <v>0</v>
      </c>
      <c r="Q165" t="n">
        <v>0</v>
      </c>
      <c r="R165" s="2" t="inlineStr"/>
    </row>
    <row r="166" ht="15" customHeight="1">
      <c r="A166" t="inlineStr">
        <is>
          <t>A 51159-2021</t>
        </is>
      </c>
      <c r="B166" s="1" t="n">
        <v>44461</v>
      </c>
      <c r="C166" s="1" t="n">
        <v>45930</v>
      </c>
      <c r="D166" t="inlineStr">
        <is>
          <t>SKÅNE LÄN</t>
        </is>
      </c>
      <c r="E166" t="inlineStr">
        <is>
          <t>HÄSSLEHOLM</t>
        </is>
      </c>
      <c r="F166" t="inlineStr">
        <is>
          <t>Kommuner</t>
        </is>
      </c>
      <c r="G166" t="n">
        <v>0.8</v>
      </c>
      <c r="H166" t="n">
        <v>0</v>
      </c>
      <c r="I166" t="n">
        <v>0</v>
      </c>
      <c r="J166" t="n">
        <v>0</v>
      </c>
      <c r="K166" t="n">
        <v>0</v>
      </c>
      <c r="L166" t="n">
        <v>0</v>
      </c>
      <c r="M166" t="n">
        <v>0</v>
      </c>
      <c r="N166" t="n">
        <v>0</v>
      </c>
      <c r="O166" t="n">
        <v>0</v>
      </c>
      <c r="P166" t="n">
        <v>0</v>
      </c>
      <c r="Q166" t="n">
        <v>0</v>
      </c>
      <c r="R166" s="2" t="inlineStr"/>
    </row>
    <row r="167" ht="15" customHeight="1">
      <c r="A167" t="inlineStr">
        <is>
          <t>A 25383-2021</t>
        </is>
      </c>
      <c r="B167" s="1" t="n">
        <v>44342</v>
      </c>
      <c r="C167" s="1" t="n">
        <v>45930</v>
      </c>
      <c r="D167" t="inlineStr">
        <is>
          <t>SKÅNE LÄN</t>
        </is>
      </c>
      <c r="E167" t="inlineStr">
        <is>
          <t>HÄSSLEHOLM</t>
        </is>
      </c>
      <c r="G167" t="n">
        <v>0.7</v>
      </c>
      <c r="H167" t="n">
        <v>0</v>
      </c>
      <c r="I167" t="n">
        <v>0</v>
      </c>
      <c r="J167" t="n">
        <v>0</v>
      </c>
      <c r="K167" t="n">
        <v>0</v>
      </c>
      <c r="L167" t="n">
        <v>0</v>
      </c>
      <c r="M167" t="n">
        <v>0</v>
      </c>
      <c r="N167" t="n">
        <v>0</v>
      </c>
      <c r="O167" t="n">
        <v>0</v>
      </c>
      <c r="P167" t="n">
        <v>0</v>
      </c>
      <c r="Q167" t="n">
        <v>0</v>
      </c>
      <c r="R167" s="2" t="inlineStr"/>
    </row>
    <row r="168" ht="15" customHeight="1">
      <c r="A168" t="inlineStr">
        <is>
          <t>A 27330-2021</t>
        </is>
      </c>
      <c r="B168" s="1" t="n">
        <v>44351</v>
      </c>
      <c r="C168" s="1" t="n">
        <v>45930</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59302-2020</t>
        </is>
      </c>
      <c r="B169" s="1" t="n">
        <v>44147</v>
      </c>
      <c r="C169" s="1" t="n">
        <v>45930</v>
      </c>
      <c r="D169" t="inlineStr">
        <is>
          <t>SKÅNE LÄN</t>
        </is>
      </c>
      <c r="E169" t="inlineStr">
        <is>
          <t>HÄSSLEHOLM</t>
        </is>
      </c>
      <c r="G169" t="n">
        <v>11.2</v>
      </c>
      <c r="H169" t="n">
        <v>0</v>
      </c>
      <c r="I169" t="n">
        <v>0</v>
      </c>
      <c r="J169" t="n">
        <v>0</v>
      </c>
      <c r="K169" t="n">
        <v>0</v>
      </c>
      <c r="L169" t="n">
        <v>0</v>
      </c>
      <c r="M169" t="n">
        <v>0</v>
      </c>
      <c r="N169" t="n">
        <v>0</v>
      </c>
      <c r="O169" t="n">
        <v>0</v>
      </c>
      <c r="P169" t="n">
        <v>0</v>
      </c>
      <c r="Q169" t="n">
        <v>0</v>
      </c>
      <c r="R169" s="2" t="inlineStr"/>
    </row>
    <row r="170" ht="15" customHeight="1">
      <c r="A170" t="inlineStr">
        <is>
          <t>A 44669-2022</t>
        </is>
      </c>
      <c r="B170" s="1" t="n">
        <v>44840</v>
      </c>
      <c r="C170" s="1" t="n">
        <v>45930</v>
      </c>
      <c r="D170" t="inlineStr">
        <is>
          <t>SKÅNE LÄN</t>
        </is>
      </c>
      <c r="E170" t="inlineStr">
        <is>
          <t>HÄSSLEHOLM</t>
        </is>
      </c>
      <c r="G170" t="n">
        <v>1.2</v>
      </c>
      <c r="H170" t="n">
        <v>0</v>
      </c>
      <c r="I170" t="n">
        <v>0</v>
      </c>
      <c r="J170" t="n">
        <v>0</v>
      </c>
      <c r="K170" t="n">
        <v>0</v>
      </c>
      <c r="L170" t="n">
        <v>0</v>
      </c>
      <c r="M170" t="n">
        <v>0</v>
      </c>
      <c r="N170" t="n">
        <v>0</v>
      </c>
      <c r="O170" t="n">
        <v>0</v>
      </c>
      <c r="P170" t="n">
        <v>0</v>
      </c>
      <c r="Q170" t="n">
        <v>0</v>
      </c>
      <c r="R170" s="2" t="inlineStr"/>
    </row>
    <row r="171" ht="15" customHeight="1">
      <c r="A171" t="inlineStr">
        <is>
          <t>A 26386-2022</t>
        </is>
      </c>
      <c r="B171" s="1" t="n">
        <v>44735.6803125</v>
      </c>
      <c r="C171" s="1" t="n">
        <v>45930</v>
      </c>
      <c r="D171" t="inlineStr">
        <is>
          <t>SKÅNE LÄN</t>
        </is>
      </c>
      <c r="E171" t="inlineStr">
        <is>
          <t>HÄSSLEHOLM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354-2022</t>
        </is>
      </c>
      <c r="B172" s="1" t="n">
        <v>44565.62510416667</v>
      </c>
      <c r="C172" s="1" t="n">
        <v>45930</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8695-2021</t>
        </is>
      </c>
      <c r="B173" s="1" t="n">
        <v>44246</v>
      </c>
      <c r="C173" s="1" t="n">
        <v>45930</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25469-2022</t>
        </is>
      </c>
      <c r="B174" s="1" t="n">
        <v>44732</v>
      </c>
      <c r="C174" s="1" t="n">
        <v>45930</v>
      </c>
      <c r="D174" t="inlineStr">
        <is>
          <t>SKÅNE LÄN</t>
        </is>
      </c>
      <c r="E174" t="inlineStr">
        <is>
          <t>HÄSSLEHOLM</t>
        </is>
      </c>
      <c r="G174" t="n">
        <v>4.2</v>
      </c>
      <c r="H174" t="n">
        <v>0</v>
      </c>
      <c r="I174" t="n">
        <v>0</v>
      </c>
      <c r="J174" t="n">
        <v>0</v>
      </c>
      <c r="K174" t="n">
        <v>0</v>
      </c>
      <c r="L174" t="n">
        <v>0</v>
      </c>
      <c r="M174" t="n">
        <v>0</v>
      </c>
      <c r="N174" t="n">
        <v>0</v>
      </c>
      <c r="O174" t="n">
        <v>0</v>
      </c>
      <c r="P174" t="n">
        <v>0</v>
      </c>
      <c r="Q174" t="n">
        <v>0</v>
      </c>
      <c r="R174" s="2" t="inlineStr"/>
    </row>
    <row r="175" ht="15" customHeight="1">
      <c r="A175" t="inlineStr">
        <is>
          <t>A 32892-2021</t>
        </is>
      </c>
      <c r="B175" s="1" t="n">
        <v>44375</v>
      </c>
      <c r="C175" s="1" t="n">
        <v>45930</v>
      </c>
      <c r="D175" t="inlineStr">
        <is>
          <t>SKÅNE LÄN</t>
        </is>
      </c>
      <c r="E175" t="inlineStr">
        <is>
          <t>HÄSSLEHOLM</t>
        </is>
      </c>
      <c r="G175" t="n">
        <v>2.9</v>
      </c>
      <c r="H175" t="n">
        <v>0</v>
      </c>
      <c r="I175" t="n">
        <v>0</v>
      </c>
      <c r="J175" t="n">
        <v>0</v>
      </c>
      <c r="K175" t="n">
        <v>0</v>
      </c>
      <c r="L175" t="n">
        <v>0</v>
      </c>
      <c r="M175" t="n">
        <v>0</v>
      </c>
      <c r="N175" t="n">
        <v>0</v>
      </c>
      <c r="O175" t="n">
        <v>0</v>
      </c>
      <c r="P175" t="n">
        <v>0</v>
      </c>
      <c r="Q175" t="n">
        <v>0</v>
      </c>
      <c r="R175" s="2" t="inlineStr"/>
    </row>
    <row r="176" ht="15" customHeight="1">
      <c r="A176" t="inlineStr">
        <is>
          <t>A 73513-2021</t>
        </is>
      </c>
      <c r="B176" s="1" t="n">
        <v>44551.69012731482</v>
      </c>
      <c r="C176" s="1" t="n">
        <v>45930</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20510-2021</t>
        </is>
      </c>
      <c r="B177" s="1" t="n">
        <v>44315</v>
      </c>
      <c r="C177" s="1" t="n">
        <v>45930</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54362-2020</t>
        </is>
      </c>
      <c r="B178" s="1" t="n">
        <v>44126</v>
      </c>
      <c r="C178" s="1" t="n">
        <v>45930</v>
      </c>
      <c r="D178" t="inlineStr">
        <is>
          <t>SKÅNE LÄN</t>
        </is>
      </c>
      <c r="E178" t="inlineStr">
        <is>
          <t>HÄSSLEHOLM</t>
        </is>
      </c>
      <c r="G178" t="n">
        <v>4.5</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45930</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50372-2020</t>
        </is>
      </c>
      <c r="B180" s="1" t="n">
        <v>44110</v>
      </c>
      <c r="C180" s="1" t="n">
        <v>45930</v>
      </c>
      <c r="D180" t="inlineStr">
        <is>
          <t>SKÅNE LÄN</t>
        </is>
      </c>
      <c r="E180" t="inlineStr">
        <is>
          <t>HÄSSLEHOLM</t>
        </is>
      </c>
      <c r="G180" t="n">
        <v>1.5</v>
      </c>
      <c r="H180" t="n">
        <v>0</v>
      </c>
      <c r="I180" t="n">
        <v>0</v>
      </c>
      <c r="J180" t="n">
        <v>0</v>
      </c>
      <c r="K180" t="n">
        <v>0</v>
      </c>
      <c r="L180" t="n">
        <v>0</v>
      </c>
      <c r="M180" t="n">
        <v>0</v>
      </c>
      <c r="N180" t="n">
        <v>0</v>
      </c>
      <c r="O180" t="n">
        <v>0</v>
      </c>
      <c r="P180" t="n">
        <v>0</v>
      </c>
      <c r="Q180" t="n">
        <v>0</v>
      </c>
      <c r="R180" s="2" t="inlineStr"/>
    </row>
    <row r="181" ht="15" customHeight="1">
      <c r="A181" t="inlineStr">
        <is>
          <t>A 1461-2021</t>
        </is>
      </c>
      <c r="B181" s="1" t="n">
        <v>44208</v>
      </c>
      <c r="C181" s="1" t="n">
        <v>45930</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69198-2020</t>
        </is>
      </c>
      <c r="B182" s="1" t="n">
        <v>44191</v>
      </c>
      <c r="C182" s="1" t="n">
        <v>45930</v>
      </c>
      <c r="D182" t="inlineStr">
        <is>
          <t>SKÅNE LÄN</t>
        </is>
      </c>
      <c r="E182" t="inlineStr">
        <is>
          <t>HÄSSLEHOLM</t>
        </is>
      </c>
      <c r="G182" t="n">
        <v>6.6</v>
      </c>
      <c r="H182" t="n">
        <v>0</v>
      </c>
      <c r="I182" t="n">
        <v>0</v>
      </c>
      <c r="J182" t="n">
        <v>0</v>
      </c>
      <c r="K182" t="n">
        <v>0</v>
      </c>
      <c r="L182" t="n">
        <v>0</v>
      </c>
      <c r="M182" t="n">
        <v>0</v>
      </c>
      <c r="N182" t="n">
        <v>0</v>
      </c>
      <c r="O182" t="n">
        <v>0</v>
      </c>
      <c r="P182" t="n">
        <v>0</v>
      </c>
      <c r="Q182" t="n">
        <v>0</v>
      </c>
      <c r="R182" s="2" t="inlineStr"/>
    </row>
    <row r="183" ht="15" customHeight="1">
      <c r="A183" t="inlineStr">
        <is>
          <t>A 13811-2021</t>
        </is>
      </c>
      <c r="B183" s="1" t="n">
        <v>44276</v>
      </c>
      <c r="C183" s="1" t="n">
        <v>45930</v>
      </c>
      <c r="D183" t="inlineStr">
        <is>
          <t>SKÅNE LÄN</t>
        </is>
      </c>
      <c r="E183" t="inlineStr">
        <is>
          <t>HÄSSLEHOLM</t>
        </is>
      </c>
      <c r="G183" t="n">
        <v>8</v>
      </c>
      <c r="H183" t="n">
        <v>0</v>
      </c>
      <c r="I183" t="n">
        <v>0</v>
      </c>
      <c r="J183" t="n">
        <v>0</v>
      </c>
      <c r="K183" t="n">
        <v>0</v>
      </c>
      <c r="L183" t="n">
        <v>0</v>
      </c>
      <c r="M183" t="n">
        <v>0</v>
      </c>
      <c r="N183" t="n">
        <v>0</v>
      </c>
      <c r="O183" t="n">
        <v>0</v>
      </c>
      <c r="P183" t="n">
        <v>0</v>
      </c>
      <c r="Q183" t="n">
        <v>0</v>
      </c>
      <c r="R183" s="2" t="inlineStr"/>
    </row>
    <row r="184" ht="15" customHeight="1">
      <c r="A184" t="inlineStr">
        <is>
          <t>A 39102-2022</t>
        </is>
      </c>
      <c r="B184" s="1" t="n">
        <v>44817.43260416666</v>
      </c>
      <c r="C184" s="1" t="n">
        <v>45930</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23967-2022</t>
        </is>
      </c>
      <c r="B185" s="1" t="n">
        <v>44722.74079861111</v>
      </c>
      <c r="C185" s="1" t="n">
        <v>45930</v>
      </c>
      <c r="D185" t="inlineStr">
        <is>
          <t>SKÅNE LÄN</t>
        </is>
      </c>
      <c r="E185" t="inlineStr">
        <is>
          <t>HÄSSLEHOLM</t>
        </is>
      </c>
      <c r="F185" t="inlineStr">
        <is>
          <t>Kyrkan</t>
        </is>
      </c>
      <c r="G185" t="n">
        <v>12.4</v>
      </c>
      <c r="H185" t="n">
        <v>0</v>
      </c>
      <c r="I185" t="n">
        <v>0</v>
      </c>
      <c r="J185" t="n">
        <v>0</v>
      </c>
      <c r="K185" t="n">
        <v>0</v>
      </c>
      <c r="L185" t="n">
        <v>0</v>
      </c>
      <c r="M185" t="n">
        <v>0</v>
      </c>
      <c r="N185" t="n">
        <v>0</v>
      </c>
      <c r="O185" t="n">
        <v>0</v>
      </c>
      <c r="P185" t="n">
        <v>0</v>
      </c>
      <c r="Q185" t="n">
        <v>0</v>
      </c>
      <c r="R185" s="2" t="inlineStr"/>
    </row>
    <row r="186" ht="15" customHeight="1">
      <c r="A186" t="inlineStr">
        <is>
          <t>A 60597-2020</t>
        </is>
      </c>
      <c r="B186" s="1" t="n">
        <v>44152</v>
      </c>
      <c r="C186" s="1" t="n">
        <v>45930</v>
      </c>
      <c r="D186" t="inlineStr">
        <is>
          <t>SKÅNE LÄN</t>
        </is>
      </c>
      <c r="E186" t="inlineStr">
        <is>
          <t>HÄSSLEHOLM</t>
        </is>
      </c>
      <c r="G186" t="n">
        <v>3.4</v>
      </c>
      <c r="H186" t="n">
        <v>0</v>
      </c>
      <c r="I186" t="n">
        <v>0</v>
      </c>
      <c r="J186" t="n">
        <v>0</v>
      </c>
      <c r="K186" t="n">
        <v>0</v>
      </c>
      <c r="L186" t="n">
        <v>0</v>
      </c>
      <c r="M186" t="n">
        <v>0</v>
      </c>
      <c r="N186" t="n">
        <v>0</v>
      </c>
      <c r="O186" t="n">
        <v>0</v>
      </c>
      <c r="P186" t="n">
        <v>0</v>
      </c>
      <c r="Q186" t="n">
        <v>0</v>
      </c>
      <c r="R186" s="2" t="inlineStr"/>
    </row>
    <row r="187" ht="15" customHeight="1">
      <c r="A187" t="inlineStr">
        <is>
          <t>A 69504-2020</t>
        </is>
      </c>
      <c r="B187" s="1" t="n">
        <v>44194</v>
      </c>
      <c r="C187" s="1" t="n">
        <v>45930</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47112-2021</t>
        </is>
      </c>
      <c r="B188" s="1" t="n">
        <v>44446</v>
      </c>
      <c r="C188" s="1" t="n">
        <v>45930</v>
      </c>
      <c r="D188" t="inlineStr">
        <is>
          <t>SKÅNE LÄN</t>
        </is>
      </c>
      <c r="E188" t="inlineStr">
        <is>
          <t>HÄSSLEHOLM</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48792-2020</t>
        </is>
      </c>
      <c r="B189" s="1" t="n">
        <v>44103</v>
      </c>
      <c r="C189" s="1" t="n">
        <v>45930</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2858-2022</t>
        </is>
      </c>
      <c r="B190" s="1" t="n">
        <v>44581</v>
      </c>
      <c r="C190" s="1" t="n">
        <v>45930</v>
      </c>
      <c r="D190" t="inlineStr">
        <is>
          <t>SKÅNE LÄN</t>
        </is>
      </c>
      <c r="E190" t="inlineStr">
        <is>
          <t>HÄSSLEHOLM</t>
        </is>
      </c>
      <c r="F190" t="inlineStr">
        <is>
          <t>Övriga Aktiebolag</t>
        </is>
      </c>
      <c r="G190" t="n">
        <v>1.3</v>
      </c>
      <c r="H190" t="n">
        <v>0</v>
      </c>
      <c r="I190" t="n">
        <v>0</v>
      </c>
      <c r="J190" t="n">
        <v>0</v>
      </c>
      <c r="K190" t="n">
        <v>0</v>
      </c>
      <c r="L190" t="n">
        <v>0</v>
      </c>
      <c r="M190" t="n">
        <v>0</v>
      </c>
      <c r="N190" t="n">
        <v>0</v>
      </c>
      <c r="O190" t="n">
        <v>0</v>
      </c>
      <c r="P190" t="n">
        <v>0</v>
      </c>
      <c r="Q190" t="n">
        <v>0</v>
      </c>
      <c r="R190" s="2" t="inlineStr"/>
    </row>
    <row r="191" ht="15" customHeight="1">
      <c r="A191" t="inlineStr">
        <is>
          <t>A 27959-2022</t>
        </is>
      </c>
      <c r="B191" s="1" t="n">
        <v>44744</v>
      </c>
      <c r="C191" s="1" t="n">
        <v>45930</v>
      </c>
      <c r="D191" t="inlineStr">
        <is>
          <t>SKÅNE LÄN</t>
        </is>
      </c>
      <c r="E191" t="inlineStr">
        <is>
          <t>HÄSSLEHOLM</t>
        </is>
      </c>
      <c r="G191" t="n">
        <v>3</v>
      </c>
      <c r="H191" t="n">
        <v>0</v>
      </c>
      <c r="I191" t="n">
        <v>0</v>
      </c>
      <c r="J191" t="n">
        <v>0</v>
      </c>
      <c r="K191" t="n">
        <v>0</v>
      </c>
      <c r="L191" t="n">
        <v>0</v>
      </c>
      <c r="M191" t="n">
        <v>0</v>
      </c>
      <c r="N191" t="n">
        <v>0</v>
      </c>
      <c r="O191" t="n">
        <v>0</v>
      </c>
      <c r="P191" t="n">
        <v>0</v>
      </c>
      <c r="Q191" t="n">
        <v>0</v>
      </c>
      <c r="R191" s="2" t="inlineStr"/>
    </row>
    <row r="192" ht="15" customHeight="1">
      <c r="A192" t="inlineStr">
        <is>
          <t>A 8177-2022</t>
        </is>
      </c>
      <c r="B192" s="1" t="n">
        <v>44607</v>
      </c>
      <c r="C192" s="1" t="n">
        <v>45930</v>
      </c>
      <c r="D192" t="inlineStr">
        <is>
          <t>SKÅNE LÄN</t>
        </is>
      </c>
      <c r="E192" t="inlineStr">
        <is>
          <t>HÄSSLEHOLM</t>
        </is>
      </c>
      <c r="F192" t="inlineStr">
        <is>
          <t>Kyrkan</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25464-2022</t>
        </is>
      </c>
      <c r="B193" s="1" t="n">
        <v>44729</v>
      </c>
      <c r="C193" s="1" t="n">
        <v>45930</v>
      </c>
      <c r="D193" t="inlineStr">
        <is>
          <t>SKÅNE LÄN</t>
        </is>
      </c>
      <c r="E193" t="inlineStr">
        <is>
          <t>HÄSSLEHOLM</t>
        </is>
      </c>
      <c r="G193" t="n">
        <v>21</v>
      </c>
      <c r="H193" t="n">
        <v>0</v>
      </c>
      <c r="I193" t="n">
        <v>0</v>
      </c>
      <c r="J193" t="n">
        <v>0</v>
      </c>
      <c r="K193" t="n">
        <v>0</v>
      </c>
      <c r="L193" t="n">
        <v>0</v>
      </c>
      <c r="M193" t="n">
        <v>0</v>
      </c>
      <c r="N193" t="n">
        <v>0</v>
      </c>
      <c r="O193" t="n">
        <v>0</v>
      </c>
      <c r="P193" t="n">
        <v>0</v>
      </c>
      <c r="Q193" t="n">
        <v>0</v>
      </c>
      <c r="R193" s="2" t="inlineStr"/>
    </row>
    <row r="194" ht="15" customHeight="1">
      <c r="A194" t="inlineStr">
        <is>
          <t>A 6414-2022</t>
        </is>
      </c>
      <c r="B194" s="1" t="n">
        <v>44600</v>
      </c>
      <c r="C194" s="1" t="n">
        <v>45930</v>
      </c>
      <c r="D194" t="inlineStr">
        <is>
          <t>SKÅNE LÄN</t>
        </is>
      </c>
      <c r="E194" t="inlineStr">
        <is>
          <t>HÄSSLEHOLM</t>
        </is>
      </c>
      <c r="G194" t="n">
        <v>2.9</v>
      </c>
      <c r="H194" t="n">
        <v>0</v>
      </c>
      <c r="I194" t="n">
        <v>0</v>
      </c>
      <c r="J194" t="n">
        <v>0</v>
      </c>
      <c r="K194" t="n">
        <v>0</v>
      </c>
      <c r="L194" t="n">
        <v>0</v>
      </c>
      <c r="M194" t="n">
        <v>0</v>
      </c>
      <c r="N194" t="n">
        <v>0</v>
      </c>
      <c r="O194" t="n">
        <v>0</v>
      </c>
      <c r="P194" t="n">
        <v>0</v>
      </c>
      <c r="Q194" t="n">
        <v>0</v>
      </c>
      <c r="R194" s="2" t="inlineStr"/>
    </row>
    <row r="195" ht="15" customHeight="1">
      <c r="A195" t="inlineStr">
        <is>
          <t>A 54079-2020</t>
        </is>
      </c>
      <c r="B195" s="1" t="n">
        <v>44125.61570601852</v>
      </c>
      <c r="C195" s="1" t="n">
        <v>45930</v>
      </c>
      <c r="D195" t="inlineStr">
        <is>
          <t>SKÅNE LÄN</t>
        </is>
      </c>
      <c r="E195" t="inlineStr">
        <is>
          <t>HÄSSLEHOLM</t>
        </is>
      </c>
      <c r="G195" t="n">
        <v>0.3</v>
      </c>
      <c r="H195" t="n">
        <v>0</v>
      </c>
      <c r="I195" t="n">
        <v>0</v>
      </c>
      <c r="J195" t="n">
        <v>0</v>
      </c>
      <c r="K195" t="n">
        <v>0</v>
      </c>
      <c r="L195" t="n">
        <v>0</v>
      </c>
      <c r="M195" t="n">
        <v>0</v>
      </c>
      <c r="N195" t="n">
        <v>0</v>
      </c>
      <c r="O195" t="n">
        <v>0</v>
      </c>
      <c r="P195" t="n">
        <v>0</v>
      </c>
      <c r="Q195" t="n">
        <v>0</v>
      </c>
      <c r="R195" s="2" t="inlineStr"/>
    </row>
    <row r="196" ht="15" customHeight="1">
      <c r="A196" t="inlineStr">
        <is>
          <t>A 57807-2020</t>
        </is>
      </c>
      <c r="B196" s="1" t="n">
        <v>44141</v>
      </c>
      <c r="C196" s="1" t="n">
        <v>45930</v>
      </c>
      <c r="D196" t="inlineStr">
        <is>
          <t>SKÅNE LÄN</t>
        </is>
      </c>
      <c r="E196" t="inlineStr">
        <is>
          <t>HÄSSLEHOLM</t>
        </is>
      </c>
      <c r="G196" t="n">
        <v>1.9</v>
      </c>
      <c r="H196" t="n">
        <v>0</v>
      </c>
      <c r="I196" t="n">
        <v>0</v>
      </c>
      <c r="J196" t="n">
        <v>0</v>
      </c>
      <c r="K196" t="n">
        <v>0</v>
      </c>
      <c r="L196" t="n">
        <v>0</v>
      </c>
      <c r="M196" t="n">
        <v>0</v>
      </c>
      <c r="N196" t="n">
        <v>0</v>
      </c>
      <c r="O196" t="n">
        <v>0</v>
      </c>
      <c r="P196" t="n">
        <v>0</v>
      </c>
      <c r="Q196" t="n">
        <v>0</v>
      </c>
      <c r="R196" s="2" t="inlineStr"/>
    </row>
    <row r="197" ht="15" customHeight="1">
      <c r="A197" t="inlineStr">
        <is>
          <t>A 6965-2021</t>
        </is>
      </c>
      <c r="B197" s="1" t="n">
        <v>44237</v>
      </c>
      <c r="C197" s="1" t="n">
        <v>45930</v>
      </c>
      <c r="D197" t="inlineStr">
        <is>
          <t>SKÅNE LÄN</t>
        </is>
      </c>
      <c r="E197" t="inlineStr">
        <is>
          <t>HÄSSLEHOLM</t>
        </is>
      </c>
      <c r="G197" t="n">
        <v>0.3</v>
      </c>
      <c r="H197" t="n">
        <v>0</v>
      </c>
      <c r="I197" t="n">
        <v>0</v>
      </c>
      <c r="J197" t="n">
        <v>0</v>
      </c>
      <c r="K197" t="n">
        <v>0</v>
      </c>
      <c r="L197" t="n">
        <v>0</v>
      </c>
      <c r="M197" t="n">
        <v>0</v>
      </c>
      <c r="N197" t="n">
        <v>0</v>
      </c>
      <c r="O197" t="n">
        <v>0</v>
      </c>
      <c r="P197" t="n">
        <v>0</v>
      </c>
      <c r="Q197" t="n">
        <v>0</v>
      </c>
      <c r="R197" s="2" t="inlineStr"/>
    </row>
    <row r="198" ht="15" customHeight="1">
      <c r="A198" t="inlineStr">
        <is>
          <t>A 56431-2021</t>
        </is>
      </c>
      <c r="B198" s="1" t="n">
        <v>44480</v>
      </c>
      <c r="C198" s="1" t="n">
        <v>45930</v>
      </c>
      <c r="D198" t="inlineStr">
        <is>
          <t>SKÅNE LÄN</t>
        </is>
      </c>
      <c r="E198" t="inlineStr">
        <is>
          <t>HÄSSLEHOLM</t>
        </is>
      </c>
      <c r="F198" t="inlineStr">
        <is>
          <t>Kyrkan</t>
        </is>
      </c>
      <c r="G198" t="n">
        <v>0.9</v>
      </c>
      <c r="H198" t="n">
        <v>0</v>
      </c>
      <c r="I198" t="n">
        <v>0</v>
      </c>
      <c r="J198" t="n">
        <v>0</v>
      </c>
      <c r="K198" t="n">
        <v>0</v>
      </c>
      <c r="L198" t="n">
        <v>0</v>
      </c>
      <c r="M198" t="n">
        <v>0</v>
      </c>
      <c r="N198" t="n">
        <v>0</v>
      </c>
      <c r="O198" t="n">
        <v>0</v>
      </c>
      <c r="P198" t="n">
        <v>0</v>
      </c>
      <c r="Q198" t="n">
        <v>0</v>
      </c>
      <c r="R198" s="2" t="inlineStr"/>
    </row>
    <row r="199" ht="15" customHeight="1">
      <c r="A199" t="inlineStr">
        <is>
          <t>A 30344-2022</t>
        </is>
      </c>
      <c r="B199" s="1" t="n">
        <v>44760.50783564815</v>
      </c>
      <c r="C199" s="1" t="n">
        <v>45930</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25788-2021</t>
        </is>
      </c>
      <c r="B200" s="1" t="n">
        <v>44343</v>
      </c>
      <c r="C200" s="1" t="n">
        <v>45930</v>
      </c>
      <c r="D200" t="inlineStr">
        <is>
          <t>SKÅNE LÄN</t>
        </is>
      </c>
      <c r="E200" t="inlineStr">
        <is>
          <t>HÄSSLEHOLM</t>
        </is>
      </c>
      <c r="G200" t="n">
        <v>4.8</v>
      </c>
      <c r="H200" t="n">
        <v>0</v>
      </c>
      <c r="I200" t="n">
        <v>0</v>
      </c>
      <c r="J200" t="n">
        <v>0</v>
      </c>
      <c r="K200" t="n">
        <v>0</v>
      </c>
      <c r="L200" t="n">
        <v>0</v>
      </c>
      <c r="M200" t="n">
        <v>0</v>
      </c>
      <c r="N200" t="n">
        <v>0</v>
      </c>
      <c r="O200" t="n">
        <v>0</v>
      </c>
      <c r="P200" t="n">
        <v>0</v>
      </c>
      <c r="Q200" t="n">
        <v>0</v>
      </c>
      <c r="R200" s="2" t="inlineStr"/>
    </row>
    <row r="201" ht="15" customHeight="1">
      <c r="A201" t="inlineStr">
        <is>
          <t>A 69505-2020</t>
        </is>
      </c>
      <c r="B201" s="1" t="n">
        <v>44194</v>
      </c>
      <c r="C201" s="1" t="n">
        <v>45930</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56527-2021</t>
        </is>
      </c>
      <c r="B202" s="1" t="n">
        <v>44480</v>
      </c>
      <c r="C202" s="1" t="n">
        <v>45930</v>
      </c>
      <c r="D202" t="inlineStr">
        <is>
          <t>SKÅNE LÄN</t>
        </is>
      </c>
      <c r="E202" t="inlineStr">
        <is>
          <t>HÄSSLEHOLM</t>
        </is>
      </c>
      <c r="F202" t="inlineStr">
        <is>
          <t>Kyrkan</t>
        </is>
      </c>
      <c r="G202" t="n">
        <v>2.7</v>
      </c>
      <c r="H202" t="n">
        <v>0</v>
      </c>
      <c r="I202" t="n">
        <v>0</v>
      </c>
      <c r="J202" t="n">
        <v>0</v>
      </c>
      <c r="K202" t="n">
        <v>0</v>
      </c>
      <c r="L202" t="n">
        <v>0</v>
      </c>
      <c r="M202" t="n">
        <v>0</v>
      </c>
      <c r="N202" t="n">
        <v>0</v>
      </c>
      <c r="O202" t="n">
        <v>0</v>
      </c>
      <c r="P202" t="n">
        <v>0</v>
      </c>
      <c r="Q202" t="n">
        <v>0</v>
      </c>
      <c r="R202" s="2" t="inlineStr"/>
    </row>
    <row r="203" ht="15" customHeight="1">
      <c r="A203" t="inlineStr">
        <is>
          <t>A 62802-2020</t>
        </is>
      </c>
      <c r="B203" s="1" t="n">
        <v>44161</v>
      </c>
      <c r="C203" s="1" t="n">
        <v>45930</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52567-2021</t>
        </is>
      </c>
      <c r="B204" s="1" t="n">
        <v>44466</v>
      </c>
      <c r="C204" s="1" t="n">
        <v>45930</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3992-2022</t>
        </is>
      </c>
      <c r="B205" s="1" t="n">
        <v>44587</v>
      </c>
      <c r="C205" s="1" t="n">
        <v>45930</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62782-2020</t>
        </is>
      </c>
      <c r="B206" s="1" t="n">
        <v>44161</v>
      </c>
      <c r="C206" s="1" t="n">
        <v>45930</v>
      </c>
      <c r="D206" t="inlineStr">
        <is>
          <t>SKÅNE LÄN</t>
        </is>
      </c>
      <c r="E206" t="inlineStr">
        <is>
          <t>HÄSSLEHOLM</t>
        </is>
      </c>
      <c r="F206" t="inlineStr">
        <is>
          <t>Kyrkan</t>
        </is>
      </c>
      <c r="G206" t="n">
        <v>1.6</v>
      </c>
      <c r="H206" t="n">
        <v>0</v>
      </c>
      <c r="I206" t="n">
        <v>0</v>
      </c>
      <c r="J206" t="n">
        <v>0</v>
      </c>
      <c r="K206" t="n">
        <v>0</v>
      </c>
      <c r="L206" t="n">
        <v>0</v>
      </c>
      <c r="M206" t="n">
        <v>0</v>
      </c>
      <c r="N206" t="n">
        <v>0</v>
      </c>
      <c r="O206" t="n">
        <v>0</v>
      </c>
      <c r="P206" t="n">
        <v>0</v>
      </c>
      <c r="Q206" t="n">
        <v>0</v>
      </c>
      <c r="R206" s="2" t="inlineStr"/>
    </row>
    <row r="207" ht="15" customHeight="1">
      <c r="A207" t="inlineStr">
        <is>
          <t>A 25955-2022</t>
        </is>
      </c>
      <c r="B207" s="1" t="n">
        <v>44734</v>
      </c>
      <c r="C207" s="1" t="n">
        <v>45930</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61216-2020</t>
        </is>
      </c>
      <c r="B208" s="1" t="n">
        <v>44155</v>
      </c>
      <c r="C208" s="1" t="n">
        <v>45930</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74297-2021</t>
        </is>
      </c>
      <c r="B209" s="1" t="n">
        <v>44558</v>
      </c>
      <c r="C209" s="1" t="n">
        <v>45930</v>
      </c>
      <c r="D209" t="inlineStr">
        <is>
          <t>SKÅNE LÄN</t>
        </is>
      </c>
      <c r="E209" t="inlineStr">
        <is>
          <t>HÄSSLEHOLM</t>
        </is>
      </c>
      <c r="F209" t="inlineStr">
        <is>
          <t>Kyrkan</t>
        </is>
      </c>
      <c r="G209" t="n">
        <v>3.8</v>
      </c>
      <c r="H209" t="n">
        <v>0</v>
      </c>
      <c r="I209" t="n">
        <v>0</v>
      </c>
      <c r="J209" t="n">
        <v>0</v>
      </c>
      <c r="K209" t="n">
        <v>0</v>
      </c>
      <c r="L209" t="n">
        <v>0</v>
      </c>
      <c r="M209" t="n">
        <v>0</v>
      </c>
      <c r="N209" t="n">
        <v>0</v>
      </c>
      <c r="O209" t="n">
        <v>0</v>
      </c>
      <c r="P209" t="n">
        <v>0</v>
      </c>
      <c r="Q209" t="n">
        <v>0</v>
      </c>
      <c r="R209" s="2" t="inlineStr"/>
    </row>
    <row r="210" ht="15" customHeight="1">
      <c r="A210" t="inlineStr">
        <is>
          <t>A 2514-2021</t>
        </is>
      </c>
      <c r="B210" s="1" t="n">
        <v>44214</v>
      </c>
      <c r="C210" s="1" t="n">
        <v>45930</v>
      </c>
      <c r="D210" t="inlineStr">
        <is>
          <t>SKÅNE LÄN</t>
        </is>
      </c>
      <c r="E210" t="inlineStr">
        <is>
          <t>HÄSSLEHOLM</t>
        </is>
      </c>
      <c r="G210" t="n">
        <v>2.3</v>
      </c>
      <c r="H210" t="n">
        <v>0</v>
      </c>
      <c r="I210" t="n">
        <v>0</v>
      </c>
      <c r="J210" t="n">
        <v>0</v>
      </c>
      <c r="K210" t="n">
        <v>0</v>
      </c>
      <c r="L210" t="n">
        <v>0</v>
      </c>
      <c r="M210" t="n">
        <v>0</v>
      </c>
      <c r="N210" t="n">
        <v>0</v>
      </c>
      <c r="O210" t="n">
        <v>0</v>
      </c>
      <c r="P210" t="n">
        <v>0</v>
      </c>
      <c r="Q210" t="n">
        <v>0</v>
      </c>
      <c r="R210" s="2" t="inlineStr"/>
    </row>
    <row r="211" ht="15" customHeight="1">
      <c r="A211" t="inlineStr">
        <is>
          <t>A 7904-2022</t>
        </is>
      </c>
      <c r="B211" s="1" t="n">
        <v>44607</v>
      </c>
      <c r="C211" s="1" t="n">
        <v>45930</v>
      </c>
      <c r="D211" t="inlineStr">
        <is>
          <t>SKÅNE LÄN</t>
        </is>
      </c>
      <c r="E211" t="inlineStr">
        <is>
          <t>HÄSSLEHOLM</t>
        </is>
      </c>
      <c r="F211" t="inlineStr">
        <is>
          <t>Kyrkan</t>
        </is>
      </c>
      <c r="G211" t="n">
        <v>3.9</v>
      </c>
      <c r="H211" t="n">
        <v>0</v>
      </c>
      <c r="I211" t="n">
        <v>0</v>
      </c>
      <c r="J211" t="n">
        <v>0</v>
      </c>
      <c r="K211" t="n">
        <v>0</v>
      </c>
      <c r="L211" t="n">
        <v>0</v>
      </c>
      <c r="M211" t="n">
        <v>0</v>
      </c>
      <c r="N211" t="n">
        <v>0</v>
      </c>
      <c r="O211" t="n">
        <v>0</v>
      </c>
      <c r="P211" t="n">
        <v>0</v>
      </c>
      <c r="Q211" t="n">
        <v>0</v>
      </c>
      <c r="R211" s="2" t="inlineStr"/>
    </row>
    <row r="212" ht="15" customHeight="1">
      <c r="A212" t="inlineStr">
        <is>
          <t>A 9453-2021</t>
        </is>
      </c>
      <c r="B212" s="1" t="n">
        <v>44251</v>
      </c>
      <c r="C212" s="1" t="n">
        <v>45930</v>
      </c>
      <c r="D212" t="inlineStr">
        <is>
          <t>SKÅNE LÄN</t>
        </is>
      </c>
      <c r="E212" t="inlineStr">
        <is>
          <t>HÄSSLEHOLM</t>
        </is>
      </c>
      <c r="G212" t="n">
        <v>1.4</v>
      </c>
      <c r="H212" t="n">
        <v>0</v>
      </c>
      <c r="I212" t="n">
        <v>0</v>
      </c>
      <c r="J212" t="n">
        <v>0</v>
      </c>
      <c r="K212" t="n">
        <v>0</v>
      </c>
      <c r="L212" t="n">
        <v>0</v>
      </c>
      <c r="M212" t="n">
        <v>0</v>
      </c>
      <c r="N212" t="n">
        <v>0</v>
      </c>
      <c r="O212" t="n">
        <v>0</v>
      </c>
      <c r="P212" t="n">
        <v>0</v>
      </c>
      <c r="Q212" t="n">
        <v>0</v>
      </c>
      <c r="R212" s="2" t="inlineStr"/>
    </row>
    <row r="213" ht="15" customHeight="1">
      <c r="A213" t="inlineStr">
        <is>
          <t>A 20657-2022</t>
        </is>
      </c>
      <c r="B213" s="1" t="n">
        <v>44700</v>
      </c>
      <c r="C213" s="1" t="n">
        <v>45930</v>
      </c>
      <c r="D213" t="inlineStr">
        <is>
          <t>SKÅNE LÄN</t>
        </is>
      </c>
      <c r="E213" t="inlineStr">
        <is>
          <t>HÄSSLEHOLM</t>
        </is>
      </c>
      <c r="G213" t="n">
        <v>3.8</v>
      </c>
      <c r="H213" t="n">
        <v>0</v>
      </c>
      <c r="I213" t="n">
        <v>0</v>
      </c>
      <c r="J213" t="n">
        <v>0</v>
      </c>
      <c r="K213" t="n">
        <v>0</v>
      </c>
      <c r="L213" t="n">
        <v>0</v>
      </c>
      <c r="M213" t="n">
        <v>0</v>
      </c>
      <c r="N213" t="n">
        <v>0</v>
      </c>
      <c r="O213" t="n">
        <v>0</v>
      </c>
      <c r="P213" t="n">
        <v>0</v>
      </c>
      <c r="Q213" t="n">
        <v>0</v>
      </c>
      <c r="R213" s="2" t="inlineStr"/>
    </row>
    <row r="214" ht="15" customHeight="1">
      <c r="A214" t="inlineStr">
        <is>
          <t>A 6967-2021</t>
        </is>
      </c>
      <c r="B214" s="1" t="n">
        <v>44237</v>
      </c>
      <c r="C214" s="1" t="n">
        <v>45930</v>
      </c>
      <c r="D214" t="inlineStr">
        <is>
          <t>SKÅNE LÄN</t>
        </is>
      </c>
      <c r="E214" t="inlineStr">
        <is>
          <t>HÄSSLEHOLM</t>
        </is>
      </c>
      <c r="G214" t="n">
        <v>0.7</v>
      </c>
      <c r="H214" t="n">
        <v>0</v>
      </c>
      <c r="I214" t="n">
        <v>0</v>
      </c>
      <c r="J214" t="n">
        <v>0</v>
      </c>
      <c r="K214" t="n">
        <v>0</v>
      </c>
      <c r="L214" t="n">
        <v>0</v>
      </c>
      <c r="M214" t="n">
        <v>0</v>
      </c>
      <c r="N214" t="n">
        <v>0</v>
      </c>
      <c r="O214" t="n">
        <v>0</v>
      </c>
      <c r="P214" t="n">
        <v>0</v>
      </c>
      <c r="Q214" t="n">
        <v>0</v>
      </c>
      <c r="R214" s="2" t="inlineStr"/>
    </row>
    <row r="215" ht="15" customHeight="1">
      <c r="A215" t="inlineStr">
        <is>
          <t>A 7250-2022</t>
        </is>
      </c>
      <c r="B215" s="1" t="n">
        <v>44606</v>
      </c>
      <c r="C215" s="1" t="n">
        <v>45930</v>
      </c>
      <c r="D215" t="inlineStr">
        <is>
          <t>SKÅNE LÄN</t>
        </is>
      </c>
      <c r="E215" t="inlineStr">
        <is>
          <t>HÄSSLEHOLM</t>
        </is>
      </c>
      <c r="F215" t="inlineStr">
        <is>
          <t>Övriga Aktiebolag</t>
        </is>
      </c>
      <c r="G215" t="n">
        <v>2.6</v>
      </c>
      <c r="H215" t="n">
        <v>0</v>
      </c>
      <c r="I215" t="n">
        <v>0</v>
      </c>
      <c r="J215" t="n">
        <v>0</v>
      </c>
      <c r="K215" t="n">
        <v>0</v>
      </c>
      <c r="L215" t="n">
        <v>0</v>
      </c>
      <c r="M215" t="n">
        <v>0</v>
      </c>
      <c r="N215" t="n">
        <v>0</v>
      </c>
      <c r="O215" t="n">
        <v>0</v>
      </c>
      <c r="P215" t="n">
        <v>0</v>
      </c>
      <c r="Q215" t="n">
        <v>0</v>
      </c>
      <c r="R215" s="2" t="inlineStr"/>
    </row>
    <row r="216" ht="15" customHeight="1">
      <c r="A216" t="inlineStr">
        <is>
          <t>A 51895-2021</t>
        </is>
      </c>
      <c r="B216" s="1" t="n">
        <v>44462</v>
      </c>
      <c r="C216" s="1" t="n">
        <v>45930</v>
      </c>
      <c r="D216" t="inlineStr">
        <is>
          <t>SKÅNE LÄN</t>
        </is>
      </c>
      <c r="E216" t="inlineStr">
        <is>
          <t>HÄSSLEHOLM</t>
        </is>
      </c>
      <c r="G216" t="n">
        <v>5.7</v>
      </c>
      <c r="H216" t="n">
        <v>0</v>
      </c>
      <c r="I216" t="n">
        <v>0</v>
      </c>
      <c r="J216" t="n">
        <v>0</v>
      </c>
      <c r="K216" t="n">
        <v>0</v>
      </c>
      <c r="L216" t="n">
        <v>0</v>
      </c>
      <c r="M216" t="n">
        <v>0</v>
      </c>
      <c r="N216" t="n">
        <v>0</v>
      </c>
      <c r="O216" t="n">
        <v>0</v>
      </c>
      <c r="P216" t="n">
        <v>0</v>
      </c>
      <c r="Q216" t="n">
        <v>0</v>
      </c>
      <c r="R216" s="2" t="inlineStr"/>
    </row>
    <row r="217" ht="15" customHeight="1">
      <c r="A217" t="inlineStr">
        <is>
          <t>A 3930-2021</t>
        </is>
      </c>
      <c r="B217" s="1" t="n">
        <v>44222</v>
      </c>
      <c r="C217" s="1" t="n">
        <v>45930</v>
      </c>
      <c r="D217" t="inlineStr">
        <is>
          <t>SKÅNE LÄN</t>
        </is>
      </c>
      <c r="E217" t="inlineStr">
        <is>
          <t>HÄSSLEHOLM</t>
        </is>
      </c>
      <c r="G217" t="n">
        <v>3.4</v>
      </c>
      <c r="H217" t="n">
        <v>0</v>
      </c>
      <c r="I217" t="n">
        <v>0</v>
      </c>
      <c r="J217" t="n">
        <v>0</v>
      </c>
      <c r="K217" t="n">
        <v>0</v>
      </c>
      <c r="L217" t="n">
        <v>0</v>
      </c>
      <c r="M217" t="n">
        <v>0</v>
      </c>
      <c r="N217" t="n">
        <v>0</v>
      </c>
      <c r="O217" t="n">
        <v>0</v>
      </c>
      <c r="P217" t="n">
        <v>0</v>
      </c>
      <c r="Q217" t="n">
        <v>0</v>
      </c>
      <c r="R217" s="2" t="inlineStr"/>
    </row>
    <row r="218" ht="15" customHeight="1">
      <c r="A218" t="inlineStr">
        <is>
          <t>A 52295-2021</t>
        </is>
      </c>
      <c r="B218" s="1" t="n">
        <v>44463</v>
      </c>
      <c r="C218" s="1" t="n">
        <v>45930</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6973-2021</t>
        </is>
      </c>
      <c r="B219" s="1" t="n">
        <v>44237</v>
      </c>
      <c r="C219" s="1" t="n">
        <v>45930</v>
      </c>
      <c r="D219" t="inlineStr">
        <is>
          <t>SKÅNE LÄN</t>
        </is>
      </c>
      <c r="E219" t="inlineStr">
        <is>
          <t>HÄSSLEHOLM</t>
        </is>
      </c>
      <c r="G219" t="n">
        <v>0.4</v>
      </c>
      <c r="H219" t="n">
        <v>0</v>
      </c>
      <c r="I219" t="n">
        <v>0</v>
      </c>
      <c r="J219" t="n">
        <v>0</v>
      </c>
      <c r="K219" t="n">
        <v>0</v>
      </c>
      <c r="L219" t="n">
        <v>0</v>
      </c>
      <c r="M219" t="n">
        <v>0</v>
      </c>
      <c r="N219" t="n">
        <v>0</v>
      </c>
      <c r="O219" t="n">
        <v>0</v>
      </c>
      <c r="P219" t="n">
        <v>0</v>
      </c>
      <c r="Q219" t="n">
        <v>0</v>
      </c>
      <c r="R219" s="2" t="inlineStr"/>
    </row>
    <row r="220" ht="15" customHeight="1">
      <c r="A220" t="inlineStr">
        <is>
          <t>A 68909-2021</t>
        </is>
      </c>
      <c r="B220" s="1" t="n">
        <v>44530.46730324074</v>
      </c>
      <c r="C220" s="1" t="n">
        <v>45930</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219-2022</t>
        </is>
      </c>
      <c r="B221" s="1" t="n">
        <v>44564</v>
      </c>
      <c r="C221" s="1" t="n">
        <v>45930</v>
      </c>
      <c r="D221" t="inlineStr">
        <is>
          <t>SKÅNE LÄN</t>
        </is>
      </c>
      <c r="E221" t="inlineStr">
        <is>
          <t>HÄSSLEHOLM</t>
        </is>
      </c>
      <c r="G221" t="n">
        <v>0.8</v>
      </c>
      <c r="H221" t="n">
        <v>0</v>
      </c>
      <c r="I221" t="n">
        <v>0</v>
      </c>
      <c r="J221" t="n">
        <v>0</v>
      </c>
      <c r="K221" t="n">
        <v>0</v>
      </c>
      <c r="L221" t="n">
        <v>0</v>
      </c>
      <c r="M221" t="n">
        <v>0</v>
      </c>
      <c r="N221" t="n">
        <v>0</v>
      </c>
      <c r="O221" t="n">
        <v>0</v>
      </c>
      <c r="P221" t="n">
        <v>0</v>
      </c>
      <c r="Q221" t="n">
        <v>0</v>
      </c>
      <c r="R221" s="2" t="inlineStr"/>
    </row>
    <row r="222" ht="15" customHeight="1">
      <c r="A222" t="inlineStr">
        <is>
          <t>A 7306-2025</t>
        </is>
      </c>
      <c r="B222" s="1" t="n">
        <v>45702</v>
      </c>
      <c r="C222" s="1" t="n">
        <v>45930</v>
      </c>
      <c r="D222" t="inlineStr">
        <is>
          <t>SKÅNE LÄN</t>
        </is>
      </c>
      <c r="E222" t="inlineStr">
        <is>
          <t>HÄSSLEHOLM</t>
        </is>
      </c>
      <c r="F222" t="inlineStr">
        <is>
          <t>Övriga Aktiebolag</t>
        </is>
      </c>
      <c r="G222" t="n">
        <v>3.3</v>
      </c>
      <c r="H222" t="n">
        <v>0</v>
      </c>
      <c r="I222" t="n">
        <v>0</v>
      </c>
      <c r="J222" t="n">
        <v>0</v>
      </c>
      <c r="K222" t="n">
        <v>0</v>
      </c>
      <c r="L222" t="n">
        <v>0</v>
      </c>
      <c r="M222" t="n">
        <v>0</v>
      </c>
      <c r="N222" t="n">
        <v>0</v>
      </c>
      <c r="O222" t="n">
        <v>0</v>
      </c>
      <c r="P222" t="n">
        <v>0</v>
      </c>
      <c r="Q222" t="n">
        <v>0</v>
      </c>
      <c r="R222" s="2" t="inlineStr"/>
    </row>
    <row r="223" ht="15" customHeight="1">
      <c r="A223" t="inlineStr">
        <is>
          <t>A 7308-2025</t>
        </is>
      </c>
      <c r="B223" s="1" t="n">
        <v>45702</v>
      </c>
      <c r="C223" s="1" t="n">
        <v>45930</v>
      </c>
      <c r="D223" t="inlineStr">
        <is>
          <t>SKÅNE LÄN</t>
        </is>
      </c>
      <c r="E223" t="inlineStr">
        <is>
          <t>HÄSSLEHOLM</t>
        </is>
      </c>
      <c r="F223" t="inlineStr">
        <is>
          <t>Övriga Aktiebolag</t>
        </is>
      </c>
      <c r="G223" t="n">
        <v>4.8</v>
      </c>
      <c r="H223" t="n">
        <v>0</v>
      </c>
      <c r="I223" t="n">
        <v>0</v>
      </c>
      <c r="J223" t="n">
        <v>0</v>
      </c>
      <c r="K223" t="n">
        <v>0</v>
      </c>
      <c r="L223" t="n">
        <v>0</v>
      </c>
      <c r="M223" t="n">
        <v>0</v>
      </c>
      <c r="N223" t="n">
        <v>0</v>
      </c>
      <c r="O223" t="n">
        <v>0</v>
      </c>
      <c r="P223" t="n">
        <v>0</v>
      </c>
      <c r="Q223" t="n">
        <v>0</v>
      </c>
      <c r="R223" s="2" t="inlineStr"/>
    </row>
    <row r="224" ht="15" customHeight="1">
      <c r="A224" t="inlineStr">
        <is>
          <t>A 26642-2023</t>
        </is>
      </c>
      <c r="B224" s="1" t="n">
        <v>45092.8975</v>
      </c>
      <c r="C224" s="1" t="n">
        <v>45930</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418-2022</t>
        </is>
      </c>
      <c r="B225" s="1" t="n">
        <v>44565.84958333334</v>
      </c>
      <c r="C225" s="1" t="n">
        <v>45930</v>
      </c>
      <c r="D225" t="inlineStr">
        <is>
          <t>SKÅNE LÄN</t>
        </is>
      </c>
      <c r="E225" t="inlineStr">
        <is>
          <t>HÄSSLEHOLM</t>
        </is>
      </c>
      <c r="G225" t="n">
        <v>0</v>
      </c>
      <c r="H225" t="n">
        <v>0</v>
      </c>
      <c r="I225" t="n">
        <v>0</v>
      </c>
      <c r="J225" t="n">
        <v>0</v>
      </c>
      <c r="K225" t="n">
        <v>0</v>
      </c>
      <c r="L225" t="n">
        <v>0</v>
      </c>
      <c r="M225" t="n">
        <v>0</v>
      </c>
      <c r="N225" t="n">
        <v>0</v>
      </c>
      <c r="O225" t="n">
        <v>0</v>
      </c>
      <c r="P225" t="n">
        <v>0</v>
      </c>
      <c r="Q225" t="n">
        <v>0</v>
      </c>
      <c r="R225" s="2" t="inlineStr"/>
    </row>
    <row r="226" ht="15" customHeight="1">
      <c r="A226" t="inlineStr">
        <is>
          <t>A 5016-2024</t>
        </is>
      </c>
      <c r="B226" s="1" t="n">
        <v>45329</v>
      </c>
      <c r="C226" s="1" t="n">
        <v>45930</v>
      </c>
      <c r="D226" t="inlineStr">
        <is>
          <t>SKÅNE LÄN</t>
        </is>
      </c>
      <c r="E226" t="inlineStr">
        <is>
          <t>HÄSSLEHOLM</t>
        </is>
      </c>
      <c r="G226" t="n">
        <v>3.2</v>
      </c>
      <c r="H226" t="n">
        <v>0</v>
      </c>
      <c r="I226" t="n">
        <v>0</v>
      </c>
      <c r="J226" t="n">
        <v>0</v>
      </c>
      <c r="K226" t="n">
        <v>0</v>
      </c>
      <c r="L226" t="n">
        <v>0</v>
      </c>
      <c r="M226" t="n">
        <v>0</v>
      </c>
      <c r="N226" t="n">
        <v>0</v>
      </c>
      <c r="O226" t="n">
        <v>0</v>
      </c>
      <c r="P226" t="n">
        <v>0</v>
      </c>
      <c r="Q226" t="n">
        <v>0</v>
      </c>
      <c r="R226" s="2" t="inlineStr"/>
    </row>
    <row r="227" ht="15" customHeight="1">
      <c r="A227" t="inlineStr">
        <is>
          <t>A 6048-2022</t>
        </is>
      </c>
      <c r="B227" s="1" t="n">
        <v>44599.5174537037</v>
      </c>
      <c r="C227" s="1" t="n">
        <v>45930</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4512-2024</t>
        </is>
      </c>
      <c r="B228" s="1" t="n">
        <v>45327.6312962963</v>
      </c>
      <c r="C228" s="1" t="n">
        <v>45930</v>
      </c>
      <c r="D228" t="inlineStr">
        <is>
          <t>SKÅNE LÄN</t>
        </is>
      </c>
      <c r="E228" t="inlineStr">
        <is>
          <t>HÄSSLEHOLM</t>
        </is>
      </c>
      <c r="G228" t="n">
        <v>2</v>
      </c>
      <c r="H228" t="n">
        <v>0</v>
      </c>
      <c r="I228" t="n">
        <v>0</v>
      </c>
      <c r="J228" t="n">
        <v>0</v>
      </c>
      <c r="K228" t="n">
        <v>0</v>
      </c>
      <c r="L228" t="n">
        <v>0</v>
      </c>
      <c r="M228" t="n">
        <v>0</v>
      </c>
      <c r="N228" t="n">
        <v>0</v>
      </c>
      <c r="O228" t="n">
        <v>0</v>
      </c>
      <c r="P228" t="n">
        <v>0</v>
      </c>
      <c r="Q228" t="n">
        <v>0</v>
      </c>
      <c r="R228" s="2" t="inlineStr"/>
    </row>
    <row r="229" ht="15" customHeight="1">
      <c r="A229" t="inlineStr">
        <is>
          <t>A 4916-2024</t>
        </is>
      </c>
      <c r="B229" s="1" t="n">
        <v>45329</v>
      </c>
      <c r="C229" s="1" t="n">
        <v>45930</v>
      </c>
      <c r="D229" t="inlineStr">
        <is>
          <t>SKÅNE LÄN</t>
        </is>
      </c>
      <c r="E229" t="inlineStr">
        <is>
          <t>HÄSSLEHOLM</t>
        </is>
      </c>
      <c r="G229" t="n">
        <v>1.3</v>
      </c>
      <c r="H229" t="n">
        <v>0</v>
      </c>
      <c r="I229" t="n">
        <v>0</v>
      </c>
      <c r="J229" t="n">
        <v>0</v>
      </c>
      <c r="K229" t="n">
        <v>0</v>
      </c>
      <c r="L229" t="n">
        <v>0</v>
      </c>
      <c r="M229" t="n">
        <v>0</v>
      </c>
      <c r="N229" t="n">
        <v>0</v>
      </c>
      <c r="O229" t="n">
        <v>0</v>
      </c>
      <c r="P229" t="n">
        <v>0</v>
      </c>
      <c r="Q229" t="n">
        <v>0</v>
      </c>
      <c r="R229" s="2" t="inlineStr"/>
    </row>
    <row r="230" ht="15" customHeight="1">
      <c r="A230" t="inlineStr">
        <is>
          <t>A 55412-2022</t>
        </is>
      </c>
      <c r="B230" s="1" t="n">
        <v>44882</v>
      </c>
      <c r="C230" s="1" t="n">
        <v>45930</v>
      </c>
      <c r="D230" t="inlineStr">
        <is>
          <t>SKÅNE LÄN</t>
        </is>
      </c>
      <c r="E230" t="inlineStr">
        <is>
          <t>HÄSSLEHOLM</t>
        </is>
      </c>
      <c r="F230" t="inlineStr">
        <is>
          <t>Övriga Aktiebolag</t>
        </is>
      </c>
      <c r="G230" t="n">
        <v>4</v>
      </c>
      <c r="H230" t="n">
        <v>0</v>
      </c>
      <c r="I230" t="n">
        <v>0</v>
      </c>
      <c r="J230" t="n">
        <v>0</v>
      </c>
      <c r="K230" t="n">
        <v>0</v>
      </c>
      <c r="L230" t="n">
        <v>0</v>
      </c>
      <c r="M230" t="n">
        <v>0</v>
      </c>
      <c r="N230" t="n">
        <v>0</v>
      </c>
      <c r="O230" t="n">
        <v>0</v>
      </c>
      <c r="P230" t="n">
        <v>0</v>
      </c>
      <c r="Q230" t="n">
        <v>0</v>
      </c>
      <c r="R230" s="2" t="inlineStr"/>
    </row>
    <row r="231" ht="15" customHeight="1">
      <c r="A231" t="inlineStr">
        <is>
          <t>A 28236-2022</t>
        </is>
      </c>
      <c r="B231" s="1" t="n">
        <v>44746</v>
      </c>
      <c r="C231" s="1" t="n">
        <v>45930</v>
      </c>
      <c r="D231" t="inlineStr">
        <is>
          <t>SKÅNE LÄN</t>
        </is>
      </c>
      <c r="E231" t="inlineStr">
        <is>
          <t>HÄSSLEHOLM</t>
        </is>
      </c>
      <c r="G231" t="n">
        <v>3.5</v>
      </c>
      <c r="H231" t="n">
        <v>0</v>
      </c>
      <c r="I231" t="n">
        <v>0</v>
      </c>
      <c r="J231" t="n">
        <v>0</v>
      </c>
      <c r="K231" t="n">
        <v>0</v>
      </c>
      <c r="L231" t="n">
        <v>0</v>
      </c>
      <c r="M231" t="n">
        <v>0</v>
      </c>
      <c r="N231" t="n">
        <v>0</v>
      </c>
      <c r="O231" t="n">
        <v>0</v>
      </c>
      <c r="P231" t="n">
        <v>0</v>
      </c>
      <c r="Q231" t="n">
        <v>0</v>
      </c>
      <c r="R231" s="2" t="inlineStr"/>
    </row>
    <row r="232" ht="15" customHeight="1">
      <c r="A232" t="inlineStr">
        <is>
          <t>A 53576-2022</t>
        </is>
      </c>
      <c r="B232" s="1" t="n">
        <v>44875</v>
      </c>
      <c r="C232" s="1" t="n">
        <v>45930</v>
      </c>
      <c r="D232" t="inlineStr">
        <is>
          <t>SKÅNE LÄN</t>
        </is>
      </c>
      <c r="E232" t="inlineStr">
        <is>
          <t>HÄSSLEHOLM</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6253-2022</t>
        </is>
      </c>
      <c r="B233" s="1" t="n">
        <v>44600</v>
      </c>
      <c r="C233" s="1" t="n">
        <v>45930</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58509-2020</t>
        </is>
      </c>
      <c r="B234" s="1" t="n">
        <v>44144</v>
      </c>
      <c r="C234" s="1" t="n">
        <v>45930</v>
      </c>
      <c r="D234" t="inlineStr">
        <is>
          <t>SKÅNE LÄN</t>
        </is>
      </c>
      <c r="E234" t="inlineStr">
        <is>
          <t>HÄSSLEHOLM</t>
        </is>
      </c>
      <c r="G234" t="n">
        <v>8.5</v>
      </c>
      <c r="H234" t="n">
        <v>0</v>
      </c>
      <c r="I234" t="n">
        <v>0</v>
      </c>
      <c r="J234" t="n">
        <v>0</v>
      </c>
      <c r="K234" t="n">
        <v>0</v>
      </c>
      <c r="L234" t="n">
        <v>0</v>
      </c>
      <c r="M234" t="n">
        <v>0</v>
      </c>
      <c r="N234" t="n">
        <v>0</v>
      </c>
      <c r="O234" t="n">
        <v>0</v>
      </c>
      <c r="P234" t="n">
        <v>0</v>
      </c>
      <c r="Q234" t="n">
        <v>0</v>
      </c>
      <c r="R234" s="2" t="inlineStr"/>
    </row>
    <row r="235" ht="15" customHeight="1">
      <c r="A235" t="inlineStr">
        <is>
          <t>A 20279-2025</t>
        </is>
      </c>
      <c r="B235" s="1" t="n">
        <v>45774.38643518519</v>
      </c>
      <c r="C235" s="1" t="n">
        <v>45930</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62199-2022</t>
        </is>
      </c>
      <c r="B236" s="1" t="n">
        <v>44915</v>
      </c>
      <c r="C236" s="1" t="n">
        <v>45930</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14157-2021</t>
        </is>
      </c>
      <c r="B237" s="1" t="n">
        <v>44278.43246527778</v>
      </c>
      <c r="C237" s="1" t="n">
        <v>45930</v>
      </c>
      <c r="D237" t="inlineStr">
        <is>
          <t>SKÅNE LÄN</t>
        </is>
      </c>
      <c r="E237" t="inlineStr">
        <is>
          <t>HÄSSLEHOLM</t>
        </is>
      </c>
      <c r="G237" t="n">
        <v>10.5</v>
      </c>
      <c r="H237" t="n">
        <v>0</v>
      </c>
      <c r="I237" t="n">
        <v>0</v>
      </c>
      <c r="J237" t="n">
        <v>0</v>
      </c>
      <c r="K237" t="n">
        <v>0</v>
      </c>
      <c r="L237" t="n">
        <v>0</v>
      </c>
      <c r="M237" t="n">
        <v>0</v>
      </c>
      <c r="N237" t="n">
        <v>0</v>
      </c>
      <c r="O237" t="n">
        <v>0</v>
      </c>
      <c r="P237" t="n">
        <v>0</v>
      </c>
      <c r="Q237" t="n">
        <v>0</v>
      </c>
      <c r="R237" s="2" t="inlineStr"/>
    </row>
    <row r="238" ht="15" customHeight="1">
      <c r="A238" t="inlineStr">
        <is>
          <t>A 677-2024</t>
        </is>
      </c>
      <c r="B238" s="1" t="n">
        <v>45300</v>
      </c>
      <c r="C238" s="1" t="n">
        <v>45930</v>
      </c>
      <c r="D238" t="inlineStr">
        <is>
          <t>SKÅNE LÄN</t>
        </is>
      </c>
      <c r="E238" t="inlineStr">
        <is>
          <t>HÄSSLEHOLM</t>
        </is>
      </c>
      <c r="G238" t="n">
        <v>6.8</v>
      </c>
      <c r="H238" t="n">
        <v>0</v>
      </c>
      <c r="I238" t="n">
        <v>0</v>
      </c>
      <c r="J238" t="n">
        <v>0</v>
      </c>
      <c r="K238" t="n">
        <v>0</v>
      </c>
      <c r="L238" t="n">
        <v>0</v>
      </c>
      <c r="M238" t="n">
        <v>0</v>
      </c>
      <c r="N238" t="n">
        <v>0</v>
      </c>
      <c r="O238" t="n">
        <v>0</v>
      </c>
      <c r="P238" t="n">
        <v>0</v>
      </c>
      <c r="Q238" t="n">
        <v>0</v>
      </c>
      <c r="R238" s="2" t="inlineStr"/>
    </row>
    <row r="239" ht="15" customHeight="1">
      <c r="A239" t="inlineStr">
        <is>
          <t>A 15562-2024</t>
        </is>
      </c>
      <c r="B239" s="1" t="n">
        <v>45401.64975694445</v>
      </c>
      <c r="C239" s="1" t="n">
        <v>45930</v>
      </c>
      <c r="D239" t="inlineStr">
        <is>
          <t>SKÅNE LÄN</t>
        </is>
      </c>
      <c r="E239" t="inlineStr">
        <is>
          <t>HÄSSLEHOLM</t>
        </is>
      </c>
      <c r="G239" t="n">
        <v>0.8</v>
      </c>
      <c r="H239" t="n">
        <v>0</v>
      </c>
      <c r="I239" t="n">
        <v>0</v>
      </c>
      <c r="J239" t="n">
        <v>0</v>
      </c>
      <c r="K239" t="n">
        <v>0</v>
      </c>
      <c r="L239" t="n">
        <v>0</v>
      </c>
      <c r="M239" t="n">
        <v>0</v>
      </c>
      <c r="N239" t="n">
        <v>0</v>
      </c>
      <c r="O239" t="n">
        <v>0</v>
      </c>
      <c r="P239" t="n">
        <v>0</v>
      </c>
      <c r="Q239" t="n">
        <v>0</v>
      </c>
      <c r="R239" s="2" t="inlineStr"/>
    </row>
    <row r="240" ht="15" customHeight="1">
      <c r="A240" t="inlineStr">
        <is>
          <t>A 9747-2024</t>
        </is>
      </c>
      <c r="B240" s="1" t="n">
        <v>45362</v>
      </c>
      <c r="C240" s="1" t="n">
        <v>45930</v>
      </c>
      <c r="D240" t="inlineStr">
        <is>
          <t>SKÅNE LÄN</t>
        </is>
      </c>
      <c r="E240" t="inlineStr">
        <is>
          <t>HÄSSLEHOLM</t>
        </is>
      </c>
      <c r="G240" t="n">
        <v>1.8</v>
      </c>
      <c r="H240" t="n">
        <v>0</v>
      </c>
      <c r="I240" t="n">
        <v>0</v>
      </c>
      <c r="J240" t="n">
        <v>0</v>
      </c>
      <c r="K240" t="n">
        <v>0</v>
      </c>
      <c r="L240" t="n">
        <v>0</v>
      </c>
      <c r="M240" t="n">
        <v>0</v>
      </c>
      <c r="N240" t="n">
        <v>0</v>
      </c>
      <c r="O240" t="n">
        <v>0</v>
      </c>
      <c r="P240" t="n">
        <v>0</v>
      </c>
      <c r="Q240" t="n">
        <v>0</v>
      </c>
      <c r="R240" s="2" t="inlineStr"/>
    </row>
    <row r="241" ht="15" customHeight="1">
      <c r="A241" t="inlineStr">
        <is>
          <t>A 18580-2023</t>
        </is>
      </c>
      <c r="B241" s="1" t="n">
        <v>45043.37037037037</v>
      </c>
      <c r="C241" s="1" t="n">
        <v>45930</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17335-2024</t>
        </is>
      </c>
      <c r="B242" s="1" t="n">
        <v>45414.5687962963</v>
      </c>
      <c r="C242" s="1" t="n">
        <v>45930</v>
      </c>
      <c r="D242" t="inlineStr">
        <is>
          <t>SKÅNE LÄN</t>
        </is>
      </c>
      <c r="E242" t="inlineStr">
        <is>
          <t>HÄSSLEHOLM</t>
        </is>
      </c>
      <c r="G242" t="n">
        <v>1.5</v>
      </c>
      <c r="H242" t="n">
        <v>0</v>
      </c>
      <c r="I242" t="n">
        <v>0</v>
      </c>
      <c r="J242" t="n">
        <v>0</v>
      </c>
      <c r="K242" t="n">
        <v>0</v>
      </c>
      <c r="L242" t="n">
        <v>0</v>
      </c>
      <c r="M242" t="n">
        <v>0</v>
      </c>
      <c r="N242" t="n">
        <v>0</v>
      </c>
      <c r="O242" t="n">
        <v>0</v>
      </c>
      <c r="P242" t="n">
        <v>0</v>
      </c>
      <c r="Q242" t="n">
        <v>0</v>
      </c>
      <c r="R242" s="2" t="inlineStr"/>
    </row>
    <row r="243" ht="15" customHeight="1">
      <c r="A243" t="inlineStr">
        <is>
          <t>A 50000-2023</t>
        </is>
      </c>
      <c r="B243" s="1" t="n">
        <v>45215.4434837963</v>
      </c>
      <c r="C243" s="1" t="n">
        <v>45930</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50607-2023</t>
        </is>
      </c>
      <c r="B244" s="1" t="n">
        <v>45210</v>
      </c>
      <c r="C244" s="1" t="n">
        <v>45930</v>
      </c>
      <c r="D244" t="inlineStr">
        <is>
          <t>SKÅNE LÄN</t>
        </is>
      </c>
      <c r="E244" t="inlineStr">
        <is>
          <t>HÄSSLEHOLM</t>
        </is>
      </c>
      <c r="G244" t="n">
        <v>1.8</v>
      </c>
      <c r="H244" t="n">
        <v>0</v>
      </c>
      <c r="I244" t="n">
        <v>0</v>
      </c>
      <c r="J244" t="n">
        <v>0</v>
      </c>
      <c r="K244" t="n">
        <v>0</v>
      </c>
      <c r="L244" t="n">
        <v>0</v>
      </c>
      <c r="M244" t="n">
        <v>0</v>
      </c>
      <c r="N244" t="n">
        <v>0</v>
      </c>
      <c r="O244" t="n">
        <v>0</v>
      </c>
      <c r="P244" t="n">
        <v>0</v>
      </c>
      <c r="Q244" t="n">
        <v>0</v>
      </c>
      <c r="R244" s="2" t="inlineStr"/>
    </row>
    <row r="245" ht="15" customHeight="1">
      <c r="A245" t="inlineStr">
        <is>
          <t>A 50616-2023</t>
        </is>
      </c>
      <c r="B245" s="1" t="n">
        <v>45210</v>
      </c>
      <c r="C245" s="1" t="n">
        <v>45930</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9323-2025</t>
        </is>
      </c>
      <c r="B246" s="1" t="n">
        <v>45714.73532407408</v>
      </c>
      <c r="C246" s="1" t="n">
        <v>45930</v>
      </c>
      <c r="D246" t="inlineStr">
        <is>
          <t>SKÅNE LÄN</t>
        </is>
      </c>
      <c r="E246" t="inlineStr">
        <is>
          <t>HÄSSLEHOLM</t>
        </is>
      </c>
      <c r="G246" t="n">
        <v>5.2</v>
      </c>
      <c r="H246" t="n">
        <v>0</v>
      </c>
      <c r="I246" t="n">
        <v>0</v>
      </c>
      <c r="J246" t="n">
        <v>0</v>
      </c>
      <c r="K246" t="n">
        <v>0</v>
      </c>
      <c r="L246" t="n">
        <v>0</v>
      </c>
      <c r="M246" t="n">
        <v>0</v>
      </c>
      <c r="N246" t="n">
        <v>0</v>
      </c>
      <c r="O246" t="n">
        <v>0</v>
      </c>
      <c r="P246" t="n">
        <v>0</v>
      </c>
      <c r="Q246" t="n">
        <v>0</v>
      </c>
      <c r="R246" s="2" t="inlineStr"/>
    </row>
    <row r="247" ht="15" customHeight="1">
      <c r="A247" t="inlineStr">
        <is>
          <t>A 23946-2023</t>
        </is>
      </c>
      <c r="B247" s="1" t="n">
        <v>45078.61601851852</v>
      </c>
      <c r="C247" s="1" t="n">
        <v>45930</v>
      </c>
      <c r="D247" t="inlineStr">
        <is>
          <t>SKÅNE LÄN</t>
        </is>
      </c>
      <c r="E247" t="inlineStr">
        <is>
          <t>HÄSSLEHOLM</t>
        </is>
      </c>
      <c r="G247" t="n">
        <v>0.2</v>
      </c>
      <c r="H247" t="n">
        <v>0</v>
      </c>
      <c r="I247" t="n">
        <v>0</v>
      </c>
      <c r="J247" t="n">
        <v>0</v>
      </c>
      <c r="K247" t="n">
        <v>0</v>
      </c>
      <c r="L247" t="n">
        <v>0</v>
      </c>
      <c r="M247" t="n">
        <v>0</v>
      </c>
      <c r="N247" t="n">
        <v>0</v>
      </c>
      <c r="O247" t="n">
        <v>0</v>
      </c>
      <c r="P247" t="n">
        <v>0</v>
      </c>
      <c r="Q247" t="n">
        <v>0</v>
      </c>
      <c r="R247" s="2" t="inlineStr"/>
    </row>
    <row r="248" ht="15" customHeight="1">
      <c r="A248" t="inlineStr">
        <is>
          <t>A 49250-2022</t>
        </is>
      </c>
      <c r="B248" s="1" t="n">
        <v>44858</v>
      </c>
      <c r="C248" s="1" t="n">
        <v>45930</v>
      </c>
      <c r="D248" t="inlineStr">
        <is>
          <t>SKÅNE LÄN</t>
        </is>
      </c>
      <c r="E248" t="inlineStr">
        <is>
          <t>HÄSSLEHOLM</t>
        </is>
      </c>
      <c r="F248" t="inlineStr">
        <is>
          <t>Kyrkan</t>
        </is>
      </c>
      <c r="G248" t="n">
        <v>1.5</v>
      </c>
      <c r="H248" t="n">
        <v>0</v>
      </c>
      <c r="I248" t="n">
        <v>0</v>
      </c>
      <c r="J248" t="n">
        <v>0</v>
      </c>
      <c r="K248" t="n">
        <v>0</v>
      </c>
      <c r="L248" t="n">
        <v>0</v>
      </c>
      <c r="M248" t="n">
        <v>0</v>
      </c>
      <c r="N248" t="n">
        <v>0</v>
      </c>
      <c r="O248" t="n">
        <v>0</v>
      </c>
      <c r="P248" t="n">
        <v>0</v>
      </c>
      <c r="Q248" t="n">
        <v>0</v>
      </c>
      <c r="R248" s="2" t="inlineStr"/>
    </row>
    <row r="249" ht="15" customHeight="1">
      <c r="A249" t="inlineStr">
        <is>
          <t>A 8759-2024</t>
        </is>
      </c>
      <c r="B249" s="1" t="n">
        <v>45356.52271990741</v>
      </c>
      <c r="C249" s="1" t="n">
        <v>45930</v>
      </c>
      <c r="D249" t="inlineStr">
        <is>
          <t>SKÅNE LÄN</t>
        </is>
      </c>
      <c r="E249" t="inlineStr">
        <is>
          <t>HÄSSLEHOLM</t>
        </is>
      </c>
      <c r="G249" t="n">
        <v>5.7</v>
      </c>
      <c r="H249" t="n">
        <v>0</v>
      </c>
      <c r="I249" t="n">
        <v>0</v>
      </c>
      <c r="J249" t="n">
        <v>0</v>
      </c>
      <c r="K249" t="n">
        <v>0</v>
      </c>
      <c r="L249" t="n">
        <v>0</v>
      </c>
      <c r="M249" t="n">
        <v>0</v>
      </c>
      <c r="N249" t="n">
        <v>0</v>
      </c>
      <c r="O249" t="n">
        <v>0</v>
      </c>
      <c r="P249" t="n">
        <v>0</v>
      </c>
      <c r="Q249" t="n">
        <v>0</v>
      </c>
      <c r="R249" s="2" t="inlineStr"/>
    </row>
    <row r="250" ht="15" customHeight="1">
      <c r="A250" t="inlineStr">
        <is>
          <t>A 62347-2020</t>
        </is>
      </c>
      <c r="B250" s="1" t="n">
        <v>44159</v>
      </c>
      <c r="C250" s="1" t="n">
        <v>45930</v>
      </c>
      <c r="D250" t="inlineStr">
        <is>
          <t>SKÅNE LÄN</t>
        </is>
      </c>
      <c r="E250" t="inlineStr">
        <is>
          <t>HÄSSLEHOLM</t>
        </is>
      </c>
      <c r="G250" t="n">
        <v>4</v>
      </c>
      <c r="H250" t="n">
        <v>0</v>
      </c>
      <c r="I250" t="n">
        <v>0</v>
      </c>
      <c r="J250" t="n">
        <v>0</v>
      </c>
      <c r="K250" t="n">
        <v>0</v>
      </c>
      <c r="L250" t="n">
        <v>0</v>
      </c>
      <c r="M250" t="n">
        <v>0</v>
      </c>
      <c r="N250" t="n">
        <v>0</v>
      </c>
      <c r="O250" t="n">
        <v>0</v>
      </c>
      <c r="P250" t="n">
        <v>0</v>
      </c>
      <c r="Q250" t="n">
        <v>0</v>
      </c>
      <c r="R250" s="2" t="inlineStr"/>
    </row>
    <row r="251" ht="15" customHeight="1">
      <c r="A251" t="inlineStr">
        <is>
          <t>A 10020-2024</t>
        </is>
      </c>
      <c r="B251" s="1" t="n">
        <v>45363.96944444445</v>
      </c>
      <c r="C251" s="1" t="n">
        <v>45930</v>
      </c>
      <c r="D251" t="inlineStr">
        <is>
          <t>SKÅNE LÄN</t>
        </is>
      </c>
      <c r="E251" t="inlineStr">
        <is>
          <t>HÄSSLEHOLM</t>
        </is>
      </c>
      <c r="G251" t="n">
        <v>5.3</v>
      </c>
      <c r="H251" t="n">
        <v>0</v>
      </c>
      <c r="I251" t="n">
        <v>0</v>
      </c>
      <c r="J251" t="n">
        <v>0</v>
      </c>
      <c r="K251" t="n">
        <v>0</v>
      </c>
      <c r="L251" t="n">
        <v>0</v>
      </c>
      <c r="M251" t="n">
        <v>0</v>
      </c>
      <c r="N251" t="n">
        <v>0</v>
      </c>
      <c r="O251" t="n">
        <v>0</v>
      </c>
      <c r="P251" t="n">
        <v>0</v>
      </c>
      <c r="Q251" t="n">
        <v>0</v>
      </c>
      <c r="R251" s="2" t="inlineStr"/>
    </row>
    <row r="252" ht="15" customHeight="1">
      <c r="A252" t="inlineStr">
        <is>
          <t>A 12936-2025</t>
        </is>
      </c>
      <c r="B252" s="1" t="n">
        <v>45734</v>
      </c>
      <c r="C252" s="1" t="n">
        <v>45930</v>
      </c>
      <c r="D252" t="inlineStr">
        <is>
          <t>SKÅNE LÄN</t>
        </is>
      </c>
      <c r="E252" t="inlineStr">
        <is>
          <t>HÄSSLEHOLM</t>
        </is>
      </c>
      <c r="G252" t="n">
        <v>1.7</v>
      </c>
      <c r="H252" t="n">
        <v>0</v>
      </c>
      <c r="I252" t="n">
        <v>0</v>
      </c>
      <c r="J252" t="n">
        <v>0</v>
      </c>
      <c r="K252" t="n">
        <v>0</v>
      </c>
      <c r="L252" t="n">
        <v>0</v>
      </c>
      <c r="M252" t="n">
        <v>0</v>
      </c>
      <c r="N252" t="n">
        <v>0</v>
      </c>
      <c r="O252" t="n">
        <v>0</v>
      </c>
      <c r="P252" t="n">
        <v>0</v>
      </c>
      <c r="Q252" t="n">
        <v>0</v>
      </c>
      <c r="R252" s="2" t="inlineStr"/>
    </row>
    <row r="253" ht="15" customHeight="1">
      <c r="A253" t="inlineStr">
        <is>
          <t>A 57811-2020</t>
        </is>
      </c>
      <c r="B253" s="1" t="n">
        <v>44141</v>
      </c>
      <c r="C253" s="1" t="n">
        <v>45930</v>
      </c>
      <c r="D253" t="inlineStr">
        <is>
          <t>SKÅNE LÄN</t>
        </is>
      </c>
      <c r="E253" t="inlineStr">
        <is>
          <t>HÄSSLEHOLM</t>
        </is>
      </c>
      <c r="G253" t="n">
        <v>2</v>
      </c>
      <c r="H253" t="n">
        <v>0</v>
      </c>
      <c r="I253" t="n">
        <v>0</v>
      </c>
      <c r="J253" t="n">
        <v>0</v>
      </c>
      <c r="K253" t="n">
        <v>0</v>
      </c>
      <c r="L253" t="n">
        <v>0</v>
      </c>
      <c r="M253" t="n">
        <v>0</v>
      </c>
      <c r="N253" t="n">
        <v>0</v>
      </c>
      <c r="O253" t="n">
        <v>0</v>
      </c>
      <c r="P253" t="n">
        <v>0</v>
      </c>
      <c r="Q253" t="n">
        <v>0</v>
      </c>
      <c r="R253" s="2" t="inlineStr"/>
    </row>
    <row r="254" ht="15" customHeight="1">
      <c r="A254" t="inlineStr">
        <is>
          <t>A 23003-2021</t>
        </is>
      </c>
      <c r="B254" s="1" t="n">
        <v>44328</v>
      </c>
      <c r="C254" s="1" t="n">
        <v>45930</v>
      </c>
      <c r="D254" t="inlineStr">
        <is>
          <t>SKÅNE LÄN</t>
        </is>
      </c>
      <c r="E254" t="inlineStr">
        <is>
          <t>HÄSSLEHOLM</t>
        </is>
      </c>
      <c r="G254" t="n">
        <v>4.4</v>
      </c>
      <c r="H254" t="n">
        <v>0</v>
      </c>
      <c r="I254" t="n">
        <v>0</v>
      </c>
      <c r="J254" t="n">
        <v>0</v>
      </c>
      <c r="K254" t="n">
        <v>0</v>
      </c>
      <c r="L254" t="n">
        <v>0</v>
      </c>
      <c r="M254" t="n">
        <v>0</v>
      </c>
      <c r="N254" t="n">
        <v>0</v>
      </c>
      <c r="O254" t="n">
        <v>0</v>
      </c>
      <c r="P254" t="n">
        <v>0</v>
      </c>
      <c r="Q254" t="n">
        <v>0</v>
      </c>
      <c r="R254" s="2" t="inlineStr"/>
    </row>
    <row r="255" ht="15" customHeight="1">
      <c r="A255" t="inlineStr">
        <is>
          <t>A 7262-2022</t>
        </is>
      </c>
      <c r="B255" s="1" t="n">
        <v>44606</v>
      </c>
      <c r="C255" s="1" t="n">
        <v>45930</v>
      </c>
      <c r="D255" t="inlineStr">
        <is>
          <t>SKÅNE LÄN</t>
        </is>
      </c>
      <c r="E255" t="inlineStr">
        <is>
          <t>HÄSSLEHOLM</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5091-2022</t>
        </is>
      </c>
      <c r="B256" s="1" t="n">
        <v>44593.85114583333</v>
      </c>
      <c r="C256" s="1" t="n">
        <v>45930</v>
      </c>
      <c r="D256" t="inlineStr">
        <is>
          <t>SKÅNE LÄN</t>
        </is>
      </c>
      <c r="E256" t="inlineStr">
        <is>
          <t>HÄSSLEHOLM</t>
        </is>
      </c>
      <c r="G256" t="n">
        <v>2.5</v>
      </c>
      <c r="H256" t="n">
        <v>0</v>
      </c>
      <c r="I256" t="n">
        <v>0</v>
      </c>
      <c r="J256" t="n">
        <v>0</v>
      </c>
      <c r="K256" t="n">
        <v>0</v>
      </c>
      <c r="L256" t="n">
        <v>0</v>
      </c>
      <c r="M256" t="n">
        <v>0</v>
      </c>
      <c r="N256" t="n">
        <v>0</v>
      </c>
      <c r="O256" t="n">
        <v>0</v>
      </c>
      <c r="P256" t="n">
        <v>0</v>
      </c>
      <c r="Q256" t="n">
        <v>0</v>
      </c>
      <c r="R256" s="2" t="inlineStr"/>
    </row>
    <row r="257" ht="15" customHeight="1">
      <c r="A257" t="inlineStr">
        <is>
          <t>A 59542-2020</t>
        </is>
      </c>
      <c r="B257" s="1" t="n">
        <v>44148</v>
      </c>
      <c r="C257" s="1" t="n">
        <v>45930</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23830-2021</t>
        </is>
      </c>
      <c r="B258" s="1" t="n">
        <v>44335</v>
      </c>
      <c r="C258" s="1" t="n">
        <v>45930</v>
      </c>
      <c r="D258" t="inlineStr">
        <is>
          <t>SKÅNE LÄN</t>
        </is>
      </c>
      <c r="E258" t="inlineStr">
        <is>
          <t>HÄSSLEHOLM</t>
        </is>
      </c>
      <c r="G258" t="n">
        <v>18.7</v>
      </c>
      <c r="H258" t="n">
        <v>0</v>
      </c>
      <c r="I258" t="n">
        <v>0</v>
      </c>
      <c r="J258" t="n">
        <v>0</v>
      </c>
      <c r="K258" t="n">
        <v>0</v>
      </c>
      <c r="L258" t="n">
        <v>0</v>
      </c>
      <c r="M258" t="n">
        <v>0</v>
      </c>
      <c r="N258" t="n">
        <v>0</v>
      </c>
      <c r="O258" t="n">
        <v>0</v>
      </c>
      <c r="P258" t="n">
        <v>0</v>
      </c>
      <c r="Q258" t="n">
        <v>0</v>
      </c>
      <c r="R258" s="2" t="inlineStr"/>
    </row>
    <row r="259" ht="15" customHeight="1">
      <c r="A259" t="inlineStr">
        <is>
          <t>A 7729-2021</t>
        </is>
      </c>
      <c r="B259" s="1" t="n">
        <v>44242</v>
      </c>
      <c r="C259" s="1" t="n">
        <v>45930</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8749-2024</t>
        </is>
      </c>
      <c r="B260" s="1" t="n">
        <v>45356.50387731481</v>
      </c>
      <c r="C260" s="1" t="n">
        <v>45930</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8752-2024</t>
        </is>
      </c>
      <c r="B261" s="1" t="n">
        <v>45356</v>
      </c>
      <c r="C261" s="1" t="n">
        <v>45930</v>
      </c>
      <c r="D261" t="inlineStr">
        <is>
          <t>SKÅNE LÄN</t>
        </is>
      </c>
      <c r="E261" t="inlineStr">
        <is>
          <t>HÄSSLEHOLM</t>
        </is>
      </c>
      <c r="G261" t="n">
        <v>3.4</v>
      </c>
      <c r="H261" t="n">
        <v>0</v>
      </c>
      <c r="I261" t="n">
        <v>0</v>
      </c>
      <c r="J261" t="n">
        <v>0</v>
      </c>
      <c r="K261" t="n">
        <v>0</v>
      </c>
      <c r="L261" t="n">
        <v>0</v>
      </c>
      <c r="M261" t="n">
        <v>0</v>
      </c>
      <c r="N261" t="n">
        <v>0</v>
      </c>
      <c r="O261" t="n">
        <v>0</v>
      </c>
      <c r="P261" t="n">
        <v>0</v>
      </c>
      <c r="Q261" t="n">
        <v>0</v>
      </c>
      <c r="R261" s="2" t="inlineStr"/>
    </row>
    <row r="262" ht="15" customHeight="1">
      <c r="A262" t="inlineStr">
        <is>
          <t>A 42906-2022</t>
        </is>
      </c>
      <c r="B262" s="1" t="n">
        <v>44833</v>
      </c>
      <c r="C262" s="1" t="n">
        <v>45930</v>
      </c>
      <c r="D262" t="inlineStr">
        <is>
          <t>SKÅNE LÄN</t>
        </is>
      </c>
      <c r="E262" t="inlineStr">
        <is>
          <t>HÄSSLEHOLM</t>
        </is>
      </c>
      <c r="G262" t="n">
        <v>1.1</v>
      </c>
      <c r="H262" t="n">
        <v>0</v>
      </c>
      <c r="I262" t="n">
        <v>0</v>
      </c>
      <c r="J262" t="n">
        <v>0</v>
      </c>
      <c r="K262" t="n">
        <v>0</v>
      </c>
      <c r="L262" t="n">
        <v>0</v>
      </c>
      <c r="M262" t="n">
        <v>0</v>
      </c>
      <c r="N262" t="n">
        <v>0</v>
      </c>
      <c r="O262" t="n">
        <v>0</v>
      </c>
      <c r="P262" t="n">
        <v>0</v>
      </c>
      <c r="Q262" t="n">
        <v>0</v>
      </c>
      <c r="R262" s="2" t="inlineStr"/>
    </row>
    <row r="263" ht="15" customHeight="1">
      <c r="A263" t="inlineStr">
        <is>
          <t>A 197-2021</t>
        </is>
      </c>
      <c r="B263" s="1" t="n">
        <v>44200</v>
      </c>
      <c r="C263" s="1" t="n">
        <v>45930</v>
      </c>
      <c r="D263" t="inlineStr">
        <is>
          <t>SKÅNE LÄN</t>
        </is>
      </c>
      <c r="E263" t="inlineStr">
        <is>
          <t>HÄSSLEHOLM</t>
        </is>
      </c>
      <c r="G263" t="n">
        <v>12.9</v>
      </c>
      <c r="H263" t="n">
        <v>0</v>
      </c>
      <c r="I263" t="n">
        <v>0</v>
      </c>
      <c r="J263" t="n">
        <v>0</v>
      </c>
      <c r="K263" t="n">
        <v>0</v>
      </c>
      <c r="L263" t="n">
        <v>0</v>
      </c>
      <c r="M263" t="n">
        <v>0</v>
      </c>
      <c r="N263" t="n">
        <v>0</v>
      </c>
      <c r="O263" t="n">
        <v>0</v>
      </c>
      <c r="P263" t="n">
        <v>0</v>
      </c>
      <c r="Q263" t="n">
        <v>0</v>
      </c>
      <c r="R263" s="2" t="inlineStr"/>
    </row>
    <row r="264" ht="15" customHeight="1">
      <c r="A264" t="inlineStr">
        <is>
          <t>A 15036-2024</t>
        </is>
      </c>
      <c r="B264" s="1" t="n">
        <v>45399.48100694444</v>
      </c>
      <c r="C264" s="1" t="n">
        <v>45930</v>
      </c>
      <c r="D264" t="inlineStr">
        <is>
          <t>SKÅNE LÄN</t>
        </is>
      </c>
      <c r="E264" t="inlineStr">
        <is>
          <t>HÄSSLEHOLM</t>
        </is>
      </c>
      <c r="G264" t="n">
        <v>1.6</v>
      </c>
      <c r="H264" t="n">
        <v>0</v>
      </c>
      <c r="I264" t="n">
        <v>0</v>
      </c>
      <c r="J264" t="n">
        <v>0</v>
      </c>
      <c r="K264" t="n">
        <v>0</v>
      </c>
      <c r="L264" t="n">
        <v>0</v>
      </c>
      <c r="M264" t="n">
        <v>0</v>
      </c>
      <c r="N264" t="n">
        <v>0</v>
      </c>
      <c r="O264" t="n">
        <v>0</v>
      </c>
      <c r="P264" t="n">
        <v>0</v>
      </c>
      <c r="Q264" t="n">
        <v>0</v>
      </c>
      <c r="R264" s="2" t="inlineStr"/>
    </row>
    <row r="265" ht="15" customHeight="1">
      <c r="A265" t="inlineStr">
        <is>
          <t>A 60260-2021</t>
        </is>
      </c>
      <c r="B265" s="1" t="n">
        <v>44495</v>
      </c>
      <c r="C265" s="1" t="n">
        <v>45930</v>
      </c>
      <c r="D265" t="inlineStr">
        <is>
          <t>SKÅNE LÄN</t>
        </is>
      </c>
      <c r="E265" t="inlineStr">
        <is>
          <t>HÄSSLEHOLM</t>
        </is>
      </c>
      <c r="G265" t="n">
        <v>2.1</v>
      </c>
      <c r="H265" t="n">
        <v>0</v>
      </c>
      <c r="I265" t="n">
        <v>0</v>
      </c>
      <c r="J265" t="n">
        <v>0</v>
      </c>
      <c r="K265" t="n">
        <v>0</v>
      </c>
      <c r="L265" t="n">
        <v>0</v>
      </c>
      <c r="M265" t="n">
        <v>0</v>
      </c>
      <c r="N265" t="n">
        <v>0</v>
      </c>
      <c r="O265" t="n">
        <v>0</v>
      </c>
      <c r="P265" t="n">
        <v>0</v>
      </c>
      <c r="Q265" t="n">
        <v>0</v>
      </c>
      <c r="R265" s="2" t="inlineStr"/>
    </row>
    <row r="266" ht="15" customHeight="1">
      <c r="A266" t="inlineStr">
        <is>
          <t>A 15986-2022</t>
        </is>
      </c>
      <c r="B266" s="1" t="n">
        <v>44664</v>
      </c>
      <c r="C266" s="1" t="n">
        <v>45930</v>
      </c>
      <c r="D266" t="inlineStr">
        <is>
          <t>SKÅNE LÄN</t>
        </is>
      </c>
      <c r="E266" t="inlineStr">
        <is>
          <t>HÄSSLEHOLM</t>
        </is>
      </c>
      <c r="F266" t="inlineStr">
        <is>
          <t>Kyrkan</t>
        </is>
      </c>
      <c r="G266" t="n">
        <v>6</v>
      </c>
      <c r="H266" t="n">
        <v>0</v>
      </c>
      <c r="I266" t="n">
        <v>0</v>
      </c>
      <c r="J266" t="n">
        <v>0</v>
      </c>
      <c r="K266" t="n">
        <v>0</v>
      </c>
      <c r="L266" t="n">
        <v>0</v>
      </c>
      <c r="M266" t="n">
        <v>0</v>
      </c>
      <c r="N266" t="n">
        <v>0</v>
      </c>
      <c r="O266" t="n">
        <v>0</v>
      </c>
      <c r="P266" t="n">
        <v>0</v>
      </c>
      <c r="Q266" t="n">
        <v>0</v>
      </c>
      <c r="R266" s="2" t="inlineStr"/>
    </row>
    <row r="267" ht="15" customHeight="1">
      <c r="A267" t="inlineStr">
        <is>
          <t>A 11616-2021</t>
        </is>
      </c>
      <c r="B267" s="1" t="n">
        <v>44264.63064814815</v>
      </c>
      <c r="C267" s="1" t="n">
        <v>45930</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51893-2021</t>
        </is>
      </c>
      <c r="B268" s="1" t="n">
        <v>44462</v>
      </c>
      <c r="C268" s="1" t="n">
        <v>45930</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12507-2022</t>
        </is>
      </c>
      <c r="B269" s="1" t="n">
        <v>44638</v>
      </c>
      <c r="C269" s="1" t="n">
        <v>45930</v>
      </c>
      <c r="D269" t="inlineStr">
        <is>
          <t>SKÅNE LÄN</t>
        </is>
      </c>
      <c r="E269" t="inlineStr">
        <is>
          <t>HÄSSLEHOLM</t>
        </is>
      </c>
      <c r="G269" t="n">
        <v>2.7</v>
      </c>
      <c r="H269" t="n">
        <v>0</v>
      </c>
      <c r="I269" t="n">
        <v>0</v>
      </c>
      <c r="J269" t="n">
        <v>0</v>
      </c>
      <c r="K269" t="n">
        <v>0</v>
      </c>
      <c r="L269" t="n">
        <v>0</v>
      </c>
      <c r="M269" t="n">
        <v>0</v>
      </c>
      <c r="N269" t="n">
        <v>0</v>
      </c>
      <c r="O269" t="n">
        <v>0</v>
      </c>
      <c r="P269" t="n">
        <v>0</v>
      </c>
      <c r="Q269" t="n">
        <v>0</v>
      </c>
      <c r="R269" s="2" t="inlineStr"/>
    </row>
    <row r="270" ht="15" customHeight="1">
      <c r="A270" t="inlineStr">
        <is>
          <t>A 51888-2021</t>
        </is>
      </c>
      <c r="B270" s="1" t="n">
        <v>44462</v>
      </c>
      <c r="C270" s="1" t="n">
        <v>45930</v>
      </c>
      <c r="D270" t="inlineStr">
        <is>
          <t>SKÅNE LÄN</t>
        </is>
      </c>
      <c r="E270" t="inlineStr">
        <is>
          <t>HÄSSLEHOLM</t>
        </is>
      </c>
      <c r="G270" t="n">
        <v>5.6</v>
      </c>
      <c r="H270" t="n">
        <v>0</v>
      </c>
      <c r="I270" t="n">
        <v>0</v>
      </c>
      <c r="J270" t="n">
        <v>0</v>
      </c>
      <c r="K270" t="n">
        <v>0</v>
      </c>
      <c r="L270" t="n">
        <v>0</v>
      </c>
      <c r="M270" t="n">
        <v>0</v>
      </c>
      <c r="N270" t="n">
        <v>0</v>
      </c>
      <c r="O270" t="n">
        <v>0</v>
      </c>
      <c r="P270" t="n">
        <v>0</v>
      </c>
      <c r="Q270" t="n">
        <v>0</v>
      </c>
      <c r="R270" s="2" t="inlineStr"/>
    </row>
    <row r="271" ht="15" customHeight="1">
      <c r="A271" t="inlineStr">
        <is>
          <t>A 52786-2021</t>
        </is>
      </c>
      <c r="B271" s="1" t="n">
        <v>44467.36061342592</v>
      </c>
      <c r="C271" s="1" t="n">
        <v>45930</v>
      </c>
      <c r="D271" t="inlineStr">
        <is>
          <t>SKÅNE LÄN</t>
        </is>
      </c>
      <c r="E271" t="inlineStr">
        <is>
          <t>HÄSSLEHOLM</t>
        </is>
      </c>
      <c r="G271" t="n">
        <v>0.9</v>
      </c>
      <c r="H271" t="n">
        <v>0</v>
      </c>
      <c r="I271" t="n">
        <v>0</v>
      </c>
      <c r="J271" t="n">
        <v>0</v>
      </c>
      <c r="K271" t="n">
        <v>0</v>
      </c>
      <c r="L271" t="n">
        <v>0</v>
      </c>
      <c r="M271" t="n">
        <v>0</v>
      </c>
      <c r="N271" t="n">
        <v>0</v>
      </c>
      <c r="O271" t="n">
        <v>0</v>
      </c>
      <c r="P271" t="n">
        <v>0</v>
      </c>
      <c r="Q271" t="n">
        <v>0</v>
      </c>
      <c r="R271" s="2" t="inlineStr"/>
    </row>
    <row r="272" ht="15" customHeight="1">
      <c r="A272" t="inlineStr">
        <is>
          <t>A 55394-2022</t>
        </is>
      </c>
      <c r="B272" s="1" t="n">
        <v>44887.57112268519</v>
      </c>
      <c r="C272" s="1" t="n">
        <v>45930</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29143-2021</t>
        </is>
      </c>
      <c r="B273" s="1" t="n">
        <v>44358.6319212963</v>
      </c>
      <c r="C273" s="1" t="n">
        <v>45930</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58915-2023</t>
        </is>
      </c>
      <c r="B274" s="1" t="n">
        <v>45250</v>
      </c>
      <c r="C274" s="1" t="n">
        <v>45930</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18648-2021</t>
        </is>
      </c>
      <c r="B275" s="1" t="n">
        <v>44306.70583333333</v>
      </c>
      <c r="C275" s="1" t="n">
        <v>45930</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20494-2024</t>
        </is>
      </c>
      <c r="B276" s="1" t="n">
        <v>45435</v>
      </c>
      <c r="C276" s="1" t="n">
        <v>45930</v>
      </c>
      <c r="D276" t="inlineStr">
        <is>
          <t>SKÅNE LÄN</t>
        </is>
      </c>
      <c r="E276" t="inlineStr">
        <is>
          <t>HÄSSLEHOLM</t>
        </is>
      </c>
      <c r="G276" t="n">
        <v>1.4</v>
      </c>
      <c r="H276" t="n">
        <v>0</v>
      </c>
      <c r="I276" t="n">
        <v>0</v>
      </c>
      <c r="J276" t="n">
        <v>0</v>
      </c>
      <c r="K276" t="n">
        <v>0</v>
      </c>
      <c r="L276" t="n">
        <v>0</v>
      </c>
      <c r="M276" t="n">
        <v>0</v>
      </c>
      <c r="N276" t="n">
        <v>0</v>
      </c>
      <c r="O276" t="n">
        <v>0</v>
      </c>
      <c r="P276" t="n">
        <v>0</v>
      </c>
      <c r="Q276" t="n">
        <v>0</v>
      </c>
      <c r="R276" s="2" t="inlineStr"/>
    </row>
    <row r="277" ht="15" customHeight="1">
      <c r="A277" t="inlineStr">
        <is>
          <t>A 57033-2022</t>
        </is>
      </c>
      <c r="B277" s="1" t="n">
        <v>44895.31270833333</v>
      </c>
      <c r="C277" s="1" t="n">
        <v>45930</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66520-2020</t>
        </is>
      </c>
      <c r="B278" s="1" t="n">
        <v>44179</v>
      </c>
      <c r="C278" s="1" t="n">
        <v>45930</v>
      </c>
      <c r="D278" t="inlineStr">
        <is>
          <t>SKÅNE LÄN</t>
        </is>
      </c>
      <c r="E278" t="inlineStr">
        <is>
          <t>HÄSSLEHOLM</t>
        </is>
      </c>
      <c r="G278" t="n">
        <v>0.4</v>
      </c>
      <c r="H278" t="n">
        <v>0</v>
      </c>
      <c r="I278" t="n">
        <v>0</v>
      </c>
      <c r="J278" t="n">
        <v>0</v>
      </c>
      <c r="K278" t="n">
        <v>0</v>
      </c>
      <c r="L278" t="n">
        <v>0</v>
      </c>
      <c r="M278" t="n">
        <v>0</v>
      </c>
      <c r="N278" t="n">
        <v>0</v>
      </c>
      <c r="O278" t="n">
        <v>0</v>
      </c>
      <c r="P278" t="n">
        <v>0</v>
      </c>
      <c r="Q278" t="n">
        <v>0</v>
      </c>
      <c r="R278" s="2" t="inlineStr"/>
    </row>
    <row r="279" ht="15" customHeight="1">
      <c r="A279" t="inlineStr">
        <is>
          <t>A 45357-2022</t>
        </is>
      </c>
      <c r="B279" s="1" t="n">
        <v>44844.61952546296</v>
      </c>
      <c r="C279" s="1" t="n">
        <v>45930</v>
      </c>
      <c r="D279" t="inlineStr">
        <is>
          <t>SKÅNE LÄN</t>
        </is>
      </c>
      <c r="E279" t="inlineStr">
        <is>
          <t>HÄSSLEHOLM</t>
        </is>
      </c>
      <c r="G279" t="n">
        <v>5.8</v>
      </c>
      <c r="H279" t="n">
        <v>0</v>
      </c>
      <c r="I279" t="n">
        <v>0</v>
      </c>
      <c r="J279" t="n">
        <v>0</v>
      </c>
      <c r="K279" t="n">
        <v>0</v>
      </c>
      <c r="L279" t="n">
        <v>0</v>
      </c>
      <c r="M279" t="n">
        <v>0</v>
      </c>
      <c r="N279" t="n">
        <v>0</v>
      </c>
      <c r="O279" t="n">
        <v>0</v>
      </c>
      <c r="P279" t="n">
        <v>0</v>
      </c>
      <c r="Q279" t="n">
        <v>0</v>
      </c>
      <c r="R279" s="2" t="inlineStr"/>
    </row>
    <row r="280" ht="15" customHeight="1">
      <c r="A280" t="inlineStr">
        <is>
          <t>A 44697-2021</t>
        </is>
      </c>
      <c r="B280" s="1" t="n">
        <v>44438</v>
      </c>
      <c r="C280" s="1" t="n">
        <v>45930</v>
      </c>
      <c r="D280" t="inlineStr">
        <is>
          <t>SKÅNE LÄN</t>
        </is>
      </c>
      <c r="E280" t="inlineStr">
        <is>
          <t>HÄSSLEHOLM</t>
        </is>
      </c>
      <c r="G280" t="n">
        <v>4.8</v>
      </c>
      <c r="H280" t="n">
        <v>0</v>
      </c>
      <c r="I280" t="n">
        <v>0</v>
      </c>
      <c r="J280" t="n">
        <v>0</v>
      </c>
      <c r="K280" t="n">
        <v>0</v>
      </c>
      <c r="L280" t="n">
        <v>0</v>
      </c>
      <c r="M280" t="n">
        <v>0</v>
      </c>
      <c r="N280" t="n">
        <v>0</v>
      </c>
      <c r="O280" t="n">
        <v>0</v>
      </c>
      <c r="P280" t="n">
        <v>0</v>
      </c>
      <c r="Q280" t="n">
        <v>0</v>
      </c>
      <c r="R280" s="2" t="inlineStr"/>
    </row>
    <row r="281" ht="15" customHeight="1">
      <c r="A281" t="inlineStr">
        <is>
          <t>A 53067-2022</t>
        </is>
      </c>
      <c r="B281" s="1" t="n">
        <v>44873</v>
      </c>
      <c r="C281" s="1" t="n">
        <v>45930</v>
      </c>
      <c r="D281" t="inlineStr">
        <is>
          <t>SKÅNE LÄN</t>
        </is>
      </c>
      <c r="E281" t="inlineStr">
        <is>
          <t>HÄSSLEHOLM</t>
        </is>
      </c>
      <c r="G281" t="n">
        <v>1.2</v>
      </c>
      <c r="H281" t="n">
        <v>0</v>
      </c>
      <c r="I281" t="n">
        <v>0</v>
      </c>
      <c r="J281" t="n">
        <v>0</v>
      </c>
      <c r="K281" t="n">
        <v>0</v>
      </c>
      <c r="L281" t="n">
        <v>0</v>
      </c>
      <c r="M281" t="n">
        <v>0</v>
      </c>
      <c r="N281" t="n">
        <v>0</v>
      </c>
      <c r="O281" t="n">
        <v>0</v>
      </c>
      <c r="P281" t="n">
        <v>0</v>
      </c>
      <c r="Q281" t="n">
        <v>0</v>
      </c>
      <c r="R281" s="2" t="inlineStr"/>
    </row>
    <row r="282" ht="15" customHeight="1">
      <c r="A282" t="inlineStr">
        <is>
          <t>A 61929-2023</t>
        </is>
      </c>
      <c r="B282" s="1" t="n">
        <v>45266</v>
      </c>
      <c r="C282" s="1" t="n">
        <v>45930</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54518-2022</t>
        </is>
      </c>
      <c r="B283" s="1" t="n">
        <v>44882</v>
      </c>
      <c r="C283" s="1" t="n">
        <v>45930</v>
      </c>
      <c r="D283" t="inlineStr">
        <is>
          <t>SKÅNE LÄN</t>
        </is>
      </c>
      <c r="E283" t="inlineStr">
        <is>
          <t>HÄSSLEHOLM</t>
        </is>
      </c>
      <c r="F283" t="inlineStr">
        <is>
          <t>Övriga Aktiebolag</t>
        </is>
      </c>
      <c r="G283" t="n">
        <v>6.8</v>
      </c>
      <c r="H283" t="n">
        <v>0</v>
      </c>
      <c r="I283" t="n">
        <v>0</v>
      </c>
      <c r="J283" t="n">
        <v>0</v>
      </c>
      <c r="K283" t="n">
        <v>0</v>
      </c>
      <c r="L283" t="n">
        <v>0</v>
      </c>
      <c r="M283" t="n">
        <v>0</v>
      </c>
      <c r="N283" t="n">
        <v>0</v>
      </c>
      <c r="O283" t="n">
        <v>0</v>
      </c>
      <c r="P283" t="n">
        <v>0</v>
      </c>
      <c r="Q283" t="n">
        <v>0</v>
      </c>
      <c r="R283" s="2" t="inlineStr"/>
    </row>
    <row r="284" ht="15" customHeight="1">
      <c r="A284" t="inlineStr">
        <is>
          <t>A 7094-2023</t>
        </is>
      </c>
      <c r="B284" s="1" t="n">
        <v>44970.36958333333</v>
      </c>
      <c r="C284" s="1" t="n">
        <v>45930</v>
      </c>
      <c r="D284" t="inlineStr">
        <is>
          <t>SKÅNE LÄN</t>
        </is>
      </c>
      <c r="E284" t="inlineStr">
        <is>
          <t>HÄSSLEHOLM</t>
        </is>
      </c>
      <c r="G284" t="n">
        <v>3.6</v>
      </c>
      <c r="H284" t="n">
        <v>0</v>
      </c>
      <c r="I284" t="n">
        <v>0</v>
      </c>
      <c r="J284" t="n">
        <v>0</v>
      </c>
      <c r="K284" t="n">
        <v>0</v>
      </c>
      <c r="L284" t="n">
        <v>0</v>
      </c>
      <c r="M284" t="n">
        <v>0</v>
      </c>
      <c r="N284" t="n">
        <v>0</v>
      </c>
      <c r="O284" t="n">
        <v>0</v>
      </c>
      <c r="P284" t="n">
        <v>0</v>
      </c>
      <c r="Q284" t="n">
        <v>0</v>
      </c>
      <c r="R284" s="2" t="inlineStr"/>
    </row>
    <row r="285" ht="15" customHeight="1">
      <c r="A285" t="inlineStr">
        <is>
          <t>A 1120-2024</t>
        </is>
      </c>
      <c r="B285" s="1" t="n">
        <v>45302.4452662037</v>
      </c>
      <c r="C285" s="1" t="n">
        <v>45930</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45989-2021</t>
        </is>
      </c>
      <c r="B286" s="1" t="n">
        <v>44441.74627314815</v>
      </c>
      <c r="C286" s="1" t="n">
        <v>45930</v>
      </c>
      <c r="D286" t="inlineStr">
        <is>
          <t>SKÅNE LÄN</t>
        </is>
      </c>
      <c r="E286" t="inlineStr">
        <is>
          <t>HÄSSLEHOLM</t>
        </is>
      </c>
      <c r="G286" t="n">
        <v>1</v>
      </c>
      <c r="H286" t="n">
        <v>0</v>
      </c>
      <c r="I286" t="n">
        <v>0</v>
      </c>
      <c r="J286" t="n">
        <v>0</v>
      </c>
      <c r="K286" t="n">
        <v>0</v>
      </c>
      <c r="L286" t="n">
        <v>0</v>
      </c>
      <c r="M286" t="n">
        <v>0</v>
      </c>
      <c r="N286" t="n">
        <v>0</v>
      </c>
      <c r="O286" t="n">
        <v>0</v>
      </c>
      <c r="P286" t="n">
        <v>0</v>
      </c>
      <c r="Q286" t="n">
        <v>0</v>
      </c>
      <c r="R286" s="2" t="inlineStr"/>
    </row>
    <row r="287" ht="15" customHeight="1">
      <c r="A287" t="inlineStr">
        <is>
          <t>A 3500-2024</t>
        </is>
      </c>
      <c r="B287" s="1" t="n">
        <v>45320</v>
      </c>
      <c r="C287" s="1" t="n">
        <v>45930</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7248-2021</t>
        </is>
      </c>
      <c r="B288" s="1" t="n">
        <v>44236</v>
      </c>
      <c r="C288" s="1" t="n">
        <v>45930</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27177-2024</t>
        </is>
      </c>
      <c r="B289" s="1" t="n">
        <v>45471.57201388889</v>
      </c>
      <c r="C289" s="1" t="n">
        <v>45930</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42428-2022</t>
        </is>
      </c>
      <c r="B290" s="1" t="n">
        <v>44831</v>
      </c>
      <c r="C290" s="1" t="n">
        <v>45930</v>
      </c>
      <c r="D290" t="inlineStr">
        <is>
          <t>SKÅNE LÄN</t>
        </is>
      </c>
      <c r="E290" t="inlineStr">
        <is>
          <t>HÄSSLEHOLM</t>
        </is>
      </c>
      <c r="G290" t="n">
        <v>2.8</v>
      </c>
      <c r="H290" t="n">
        <v>0</v>
      </c>
      <c r="I290" t="n">
        <v>0</v>
      </c>
      <c r="J290" t="n">
        <v>0</v>
      </c>
      <c r="K290" t="n">
        <v>0</v>
      </c>
      <c r="L290" t="n">
        <v>0</v>
      </c>
      <c r="M290" t="n">
        <v>0</v>
      </c>
      <c r="N290" t="n">
        <v>0</v>
      </c>
      <c r="O290" t="n">
        <v>0</v>
      </c>
      <c r="P290" t="n">
        <v>0</v>
      </c>
      <c r="Q290" t="n">
        <v>0</v>
      </c>
      <c r="R290" s="2" t="inlineStr"/>
    </row>
    <row r="291" ht="15" customHeight="1">
      <c r="A291" t="inlineStr">
        <is>
          <t>A 22595-2024</t>
        </is>
      </c>
      <c r="B291" s="1" t="n">
        <v>45447.61053240741</v>
      </c>
      <c r="C291" s="1" t="n">
        <v>45930</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11266-2025</t>
        </is>
      </c>
      <c r="B292" s="1" t="n">
        <v>45726</v>
      </c>
      <c r="C292" s="1" t="n">
        <v>45930</v>
      </c>
      <c r="D292" t="inlineStr">
        <is>
          <t>SKÅNE LÄN</t>
        </is>
      </c>
      <c r="E292" t="inlineStr">
        <is>
          <t>HÄSSLEHOLM</t>
        </is>
      </c>
      <c r="G292" t="n">
        <v>0.3</v>
      </c>
      <c r="H292" t="n">
        <v>0</v>
      </c>
      <c r="I292" t="n">
        <v>0</v>
      </c>
      <c r="J292" t="n">
        <v>0</v>
      </c>
      <c r="K292" t="n">
        <v>0</v>
      </c>
      <c r="L292" t="n">
        <v>0</v>
      </c>
      <c r="M292" t="n">
        <v>0</v>
      </c>
      <c r="N292" t="n">
        <v>0</v>
      </c>
      <c r="O292" t="n">
        <v>0</v>
      </c>
      <c r="P292" t="n">
        <v>0</v>
      </c>
      <c r="Q292" t="n">
        <v>0</v>
      </c>
      <c r="R292" s="2" t="inlineStr"/>
    </row>
    <row r="293" ht="15" customHeight="1">
      <c r="A293" t="inlineStr">
        <is>
          <t>A 10594-2025</t>
        </is>
      </c>
      <c r="B293" s="1" t="n">
        <v>45721</v>
      </c>
      <c r="C293" s="1" t="n">
        <v>45930</v>
      </c>
      <c r="D293" t="inlineStr">
        <is>
          <t>SKÅNE LÄN</t>
        </is>
      </c>
      <c r="E293" t="inlineStr">
        <is>
          <t>HÄSSLEHOLM</t>
        </is>
      </c>
      <c r="G293" t="n">
        <v>5.3</v>
      </c>
      <c r="H293" t="n">
        <v>0</v>
      </c>
      <c r="I293" t="n">
        <v>0</v>
      </c>
      <c r="J293" t="n">
        <v>0</v>
      </c>
      <c r="K293" t="n">
        <v>0</v>
      </c>
      <c r="L293" t="n">
        <v>0</v>
      </c>
      <c r="M293" t="n">
        <v>0</v>
      </c>
      <c r="N293" t="n">
        <v>0</v>
      </c>
      <c r="O293" t="n">
        <v>0</v>
      </c>
      <c r="P293" t="n">
        <v>0</v>
      </c>
      <c r="Q293" t="n">
        <v>0</v>
      </c>
      <c r="R293" s="2" t="inlineStr"/>
    </row>
    <row r="294" ht="15" customHeight="1">
      <c r="A294" t="inlineStr">
        <is>
          <t>A 38148-2022</t>
        </is>
      </c>
      <c r="B294" s="1" t="n">
        <v>44811</v>
      </c>
      <c r="C294" s="1" t="n">
        <v>45930</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39934-2025</t>
        </is>
      </c>
      <c r="B295" s="1" t="n">
        <v>45891.71465277778</v>
      </c>
      <c r="C295" s="1" t="n">
        <v>45930</v>
      </c>
      <c r="D295" t="inlineStr">
        <is>
          <t>SKÅNE LÄN</t>
        </is>
      </c>
      <c r="E295" t="inlineStr">
        <is>
          <t>HÄSSLEHOLM</t>
        </is>
      </c>
      <c r="G295" t="n">
        <v>0.7</v>
      </c>
      <c r="H295" t="n">
        <v>0</v>
      </c>
      <c r="I295" t="n">
        <v>0</v>
      </c>
      <c r="J295" t="n">
        <v>0</v>
      </c>
      <c r="K295" t="n">
        <v>0</v>
      </c>
      <c r="L295" t="n">
        <v>0</v>
      </c>
      <c r="M295" t="n">
        <v>0</v>
      </c>
      <c r="N295" t="n">
        <v>0</v>
      </c>
      <c r="O295" t="n">
        <v>0</v>
      </c>
      <c r="P295" t="n">
        <v>0</v>
      </c>
      <c r="Q295" t="n">
        <v>0</v>
      </c>
      <c r="R295" s="2" t="inlineStr"/>
    </row>
    <row r="296" ht="15" customHeight="1">
      <c r="A296" t="inlineStr">
        <is>
          <t>A 61186-2022</t>
        </is>
      </c>
      <c r="B296" s="1" t="n">
        <v>44915.50745370371</v>
      </c>
      <c r="C296" s="1" t="n">
        <v>45930</v>
      </c>
      <c r="D296" t="inlineStr">
        <is>
          <t>SKÅNE LÄN</t>
        </is>
      </c>
      <c r="E296" t="inlineStr">
        <is>
          <t>HÄSSLEHOLM</t>
        </is>
      </c>
      <c r="G296" t="n">
        <v>2.9</v>
      </c>
      <c r="H296" t="n">
        <v>0</v>
      </c>
      <c r="I296" t="n">
        <v>0</v>
      </c>
      <c r="J296" t="n">
        <v>0</v>
      </c>
      <c r="K296" t="n">
        <v>0</v>
      </c>
      <c r="L296" t="n">
        <v>0</v>
      </c>
      <c r="M296" t="n">
        <v>0</v>
      </c>
      <c r="N296" t="n">
        <v>0</v>
      </c>
      <c r="O296" t="n">
        <v>0</v>
      </c>
      <c r="P296" t="n">
        <v>0</v>
      </c>
      <c r="Q296" t="n">
        <v>0</v>
      </c>
      <c r="R296" s="2" t="inlineStr"/>
    </row>
    <row r="297" ht="15" customHeight="1">
      <c r="A297" t="inlineStr">
        <is>
          <t>A 13018-2024</t>
        </is>
      </c>
      <c r="B297" s="1" t="n">
        <v>45385.58274305556</v>
      </c>
      <c r="C297" s="1" t="n">
        <v>45930</v>
      </c>
      <c r="D297" t="inlineStr">
        <is>
          <t>SKÅNE LÄN</t>
        </is>
      </c>
      <c r="E297" t="inlineStr">
        <is>
          <t>HÄSSLEHOLM</t>
        </is>
      </c>
      <c r="G297" t="n">
        <v>4.8</v>
      </c>
      <c r="H297" t="n">
        <v>0</v>
      </c>
      <c r="I297" t="n">
        <v>0</v>
      </c>
      <c r="J297" t="n">
        <v>0</v>
      </c>
      <c r="K297" t="n">
        <v>0</v>
      </c>
      <c r="L297" t="n">
        <v>0</v>
      </c>
      <c r="M297" t="n">
        <v>0</v>
      </c>
      <c r="N297" t="n">
        <v>0</v>
      </c>
      <c r="O297" t="n">
        <v>0</v>
      </c>
      <c r="P297" t="n">
        <v>0</v>
      </c>
      <c r="Q297" t="n">
        <v>0</v>
      </c>
      <c r="R297" s="2" t="inlineStr"/>
    </row>
    <row r="298" ht="15" customHeight="1">
      <c r="A298" t="inlineStr">
        <is>
          <t>A 49950-2023</t>
        </is>
      </c>
      <c r="B298" s="1" t="n">
        <v>45215</v>
      </c>
      <c r="C298" s="1" t="n">
        <v>45930</v>
      </c>
      <c r="D298" t="inlineStr">
        <is>
          <t>SKÅNE LÄN</t>
        </is>
      </c>
      <c r="E298" t="inlineStr">
        <is>
          <t>HÄSSLEHOLM</t>
        </is>
      </c>
      <c r="G298" t="n">
        <v>1</v>
      </c>
      <c r="H298" t="n">
        <v>0</v>
      </c>
      <c r="I298" t="n">
        <v>0</v>
      </c>
      <c r="J298" t="n">
        <v>0</v>
      </c>
      <c r="K298" t="n">
        <v>0</v>
      </c>
      <c r="L298" t="n">
        <v>0</v>
      </c>
      <c r="M298" t="n">
        <v>0</v>
      </c>
      <c r="N298" t="n">
        <v>0</v>
      </c>
      <c r="O298" t="n">
        <v>0</v>
      </c>
      <c r="P298" t="n">
        <v>0</v>
      </c>
      <c r="Q298" t="n">
        <v>0</v>
      </c>
      <c r="R298" s="2" t="inlineStr"/>
    </row>
    <row r="299" ht="15" customHeight="1">
      <c r="A299" t="inlineStr">
        <is>
          <t>A 34342-2021</t>
        </is>
      </c>
      <c r="B299" s="1" t="n">
        <v>44379</v>
      </c>
      <c r="C299" s="1" t="n">
        <v>45930</v>
      </c>
      <c r="D299" t="inlineStr">
        <is>
          <t>SKÅNE LÄN</t>
        </is>
      </c>
      <c r="E299" t="inlineStr">
        <is>
          <t>HÄSSLEHOLM</t>
        </is>
      </c>
      <c r="G299" t="n">
        <v>7</v>
      </c>
      <c r="H299" t="n">
        <v>0</v>
      </c>
      <c r="I299" t="n">
        <v>0</v>
      </c>
      <c r="J299" t="n">
        <v>0</v>
      </c>
      <c r="K299" t="n">
        <v>0</v>
      </c>
      <c r="L299" t="n">
        <v>0</v>
      </c>
      <c r="M299" t="n">
        <v>0</v>
      </c>
      <c r="N299" t="n">
        <v>0</v>
      </c>
      <c r="O299" t="n">
        <v>0</v>
      </c>
      <c r="P299" t="n">
        <v>0</v>
      </c>
      <c r="Q299" t="n">
        <v>0</v>
      </c>
      <c r="R299" s="2" t="inlineStr"/>
    </row>
    <row r="300" ht="15" customHeight="1">
      <c r="A300" t="inlineStr">
        <is>
          <t>A 40241-2025</t>
        </is>
      </c>
      <c r="B300" s="1" t="n">
        <v>45894.87251157407</v>
      </c>
      <c r="C300" s="1" t="n">
        <v>45930</v>
      </c>
      <c r="D300" t="inlineStr">
        <is>
          <t>SKÅNE LÄN</t>
        </is>
      </c>
      <c r="E300" t="inlineStr">
        <is>
          <t>HÄSSLEHOLM</t>
        </is>
      </c>
      <c r="G300" t="n">
        <v>3.8</v>
      </c>
      <c r="H300" t="n">
        <v>0</v>
      </c>
      <c r="I300" t="n">
        <v>0</v>
      </c>
      <c r="J300" t="n">
        <v>0</v>
      </c>
      <c r="K300" t="n">
        <v>0</v>
      </c>
      <c r="L300" t="n">
        <v>0</v>
      </c>
      <c r="M300" t="n">
        <v>0</v>
      </c>
      <c r="N300" t="n">
        <v>0</v>
      </c>
      <c r="O300" t="n">
        <v>0</v>
      </c>
      <c r="P300" t="n">
        <v>0</v>
      </c>
      <c r="Q300" t="n">
        <v>0</v>
      </c>
      <c r="R300" s="2" t="inlineStr"/>
    </row>
    <row r="301" ht="15" customHeight="1">
      <c r="A301" t="inlineStr">
        <is>
          <t>A 26857-2025</t>
        </is>
      </c>
      <c r="B301" s="1" t="n">
        <v>45810</v>
      </c>
      <c r="C301" s="1" t="n">
        <v>45930</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22690-2022</t>
        </is>
      </c>
      <c r="B302" s="1" t="n">
        <v>44714.5421875</v>
      </c>
      <c r="C302" s="1" t="n">
        <v>45930</v>
      </c>
      <c r="D302" t="inlineStr">
        <is>
          <t>SKÅNE LÄN</t>
        </is>
      </c>
      <c r="E302" t="inlineStr">
        <is>
          <t>HÄSSLEHOLM</t>
        </is>
      </c>
      <c r="G302" t="n">
        <v>1.7</v>
      </c>
      <c r="H302" t="n">
        <v>0</v>
      </c>
      <c r="I302" t="n">
        <v>0</v>
      </c>
      <c r="J302" t="n">
        <v>0</v>
      </c>
      <c r="K302" t="n">
        <v>0</v>
      </c>
      <c r="L302" t="n">
        <v>0</v>
      </c>
      <c r="M302" t="n">
        <v>0</v>
      </c>
      <c r="N302" t="n">
        <v>0</v>
      </c>
      <c r="O302" t="n">
        <v>0</v>
      </c>
      <c r="P302" t="n">
        <v>0</v>
      </c>
      <c r="Q302" t="n">
        <v>0</v>
      </c>
      <c r="R302" s="2" t="inlineStr"/>
    </row>
    <row r="303" ht="15" customHeight="1">
      <c r="A303" t="inlineStr">
        <is>
          <t>A 29853-2024</t>
        </is>
      </c>
      <c r="B303" s="1" t="n">
        <v>45485.65844907407</v>
      </c>
      <c r="C303" s="1" t="n">
        <v>45930</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16860-2025</t>
        </is>
      </c>
      <c r="B304" s="1" t="n">
        <v>45751</v>
      </c>
      <c r="C304" s="1" t="n">
        <v>45930</v>
      </c>
      <c r="D304" t="inlineStr">
        <is>
          <t>SKÅNE LÄN</t>
        </is>
      </c>
      <c r="E304" t="inlineStr">
        <is>
          <t>HÄSSLEHOLM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57079-2022</t>
        </is>
      </c>
      <c r="B305" s="1" t="n">
        <v>44895</v>
      </c>
      <c r="C305" s="1" t="n">
        <v>45930</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57695-2023</t>
        </is>
      </c>
      <c r="B306" s="1" t="n">
        <v>45246</v>
      </c>
      <c r="C306" s="1" t="n">
        <v>45930</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42776-2021</t>
        </is>
      </c>
      <c r="B307" s="1" t="n">
        <v>44428</v>
      </c>
      <c r="C307" s="1" t="n">
        <v>45930</v>
      </c>
      <c r="D307" t="inlineStr">
        <is>
          <t>SKÅNE LÄN</t>
        </is>
      </c>
      <c r="E307" t="inlineStr">
        <is>
          <t>HÄSSLEHOLM</t>
        </is>
      </c>
      <c r="G307" t="n">
        <v>3.2</v>
      </c>
      <c r="H307" t="n">
        <v>0</v>
      </c>
      <c r="I307" t="n">
        <v>0</v>
      </c>
      <c r="J307" t="n">
        <v>0</v>
      </c>
      <c r="K307" t="n">
        <v>0</v>
      </c>
      <c r="L307" t="n">
        <v>0</v>
      </c>
      <c r="M307" t="n">
        <v>0</v>
      </c>
      <c r="N307" t="n">
        <v>0</v>
      </c>
      <c r="O307" t="n">
        <v>0</v>
      </c>
      <c r="P307" t="n">
        <v>0</v>
      </c>
      <c r="Q307" t="n">
        <v>0</v>
      </c>
      <c r="R307" s="2" t="inlineStr"/>
    </row>
    <row r="308" ht="15" customHeight="1">
      <c r="A308" t="inlineStr">
        <is>
          <t>A 35259-2025</t>
        </is>
      </c>
      <c r="B308" s="1" t="n">
        <v>45853.76912037037</v>
      </c>
      <c r="C308" s="1" t="n">
        <v>45930</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9615-2025</t>
        </is>
      </c>
      <c r="B309" s="1" t="n">
        <v>45715</v>
      </c>
      <c r="C309" s="1" t="n">
        <v>45930</v>
      </c>
      <c r="D309" t="inlineStr">
        <is>
          <t>SKÅNE LÄN</t>
        </is>
      </c>
      <c r="E309" t="inlineStr">
        <is>
          <t>HÄSSLEHOLM</t>
        </is>
      </c>
      <c r="G309" t="n">
        <v>1.8</v>
      </c>
      <c r="H309" t="n">
        <v>0</v>
      </c>
      <c r="I309" t="n">
        <v>0</v>
      </c>
      <c r="J309" t="n">
        <v>0</v>
      </c>
      <c r="K309" t="n">
        <v>0</v>
      </c>
      <c r="L309" t="n">
        <v>0</v>
      </c>
      <c r="M309" t="n">
        <v>0</v>
      </c>
      <c r="N309" t="n">
        <v>0</v>
      </c>
      <c r="O309" t="n">
        <v>0</v>
      </c>
      <c r="P309" t="n">
        <v>0</v>
      </c>
      <c r="Q309" t="n">
        <v>0</v>
      </c>
      <c r="R309" s="2" t="inlineStr"/>
    </row>
    <row r="310" ht="15" customHeight="1">
      <c r="A310" t="inlineStr">
        <is>
          <t>A 20970-2025</t>
        </is>
      </c>
      <c r="B310" s="1" t="n">
        <v>45777.45417824074</v>
      </c>
      <c r="C310" s="1" t="n">
        <v>45930</v>
      </c>
      <c r="D310" t="inlineStr">
        <is>
          <t>SKÅNE LÄN</t>
        </is>
      </c>
      <c r="E310" t="inlineStr">
        <is>
          <t>HÄSSLEHOLM</t>
        </is>
      </c>
      <c r="G310" t="n">
        <v>2.2</v>
      </c>
      <c r="H310" t="n">
        <v>0</v>
      </c>
      <c r="I310" t="n">
        <v>0</v>
      </c>
      <c r="J310" t="n">
        <v>0</v>
      </c>
      <c r="K310" t="n">
        <v>0</v>
      </c>
      <c r="L310" t="n">
        <v>0</v>
      </c>
      <c r="M310" t="n">
        <v>0</v>
      </c>
      <c r="N310" t="n">
        <v>0</v>
      </c>
      <c r="O310" t="n">
        <v>0</v>
      </c>
      <c r="P310" t="n">
        <v>0</v>
      </c>
      <c r="Q310" t="n">
        <v>0</v>
      </c>
      <c r="R310" s="2" t="inlineStr"/>
    </row>
    <row r="311" ht="15" customHeight="1">
      <c r="A311" t="inlineStr">
        <is>
          <t>A 61498-2022</t>
        </is>
      </c>
      <c r="B311" s="1" t="n">
        <v>44910</v>
      </c>
      <c r="C311" s="1" t="n">
        <v>45930</v>
      </c>
      <c r="D311" t="inlineStr">
        <is>
          <t>SKÅNE LÄN</t>
        </is>
      </c>
      <c r="E311" t="inlineStr">
        <is>
          <t>HÄSSLEHOLM</t>
        </is>
      </c>
      <c r="F311" t="inlineStr">
        <is>
          <t>Kyrkan</t>
        </is>
      </c>
      <c r="G311" t="n">
        <v>3.2</v>
      </c>
      <c r="H311" t="n">
        <v>0</v>
      </c>
      <c r="I311" t="n">
        <v>0</v>
      </c>
      <c r="J311" t="n">
        <v>0</v>
      </c>
      <c r="K311" t="n">
        <v>0</v>
      </c>
      <c r="L311" t="n">
        <v>0</v>
      </c>
      <c r="M311" t="n">
        <v>0</v>
      </c>
      <c r="N311" t="n">
        <v>0</v>
      </c>
      <c r="O311" t="n">
        <v>0</v>
      </c>
      <c r="P311" t="n">
        <v>0</v>
      </c>
      <c r="Q311" t="n">
        <v>0</v>
      </c>
      <c r="R311" s="2" t="inlineStr"/>
    </row>
    <row r="312" ht="15" customHeight="1">
      <c r="A312" t="inlineStr">
        <is>
          <t>A 15417-2022</t>
        </is>
      </c>
      <c r="B312" s="1" t="n">
        <v>44659</v>
      </c>
      <c r="C312" s="1" t="n">
        <v>45930</v>
      </c>
      <c r="D312" t="inlineStr">
        <is>
          <t>SKÅNE LÄN</t>
        </is>
      </c>
      <c r="E312" t="inlineStr">
        <is>
          <t>HÄSSLEHOLM</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42232-2022</t>
        </is>
      </c>
      <c r="B313" s="1" t="n">
        <v>44830.77591435185</v>
      </c>
      <c r="C313" s="1" t="n">
        <v>45930</v>
      </c>
      <c r="D313" t="inlineStr">
        <is>
          <t>SKÅNE LÄN</t>
        </is>
      </c>
      <c r="E313" t="inlineStr">
        <is>
          <t>HÄSSLEHOLM</t>
        </is>
      </c>
      <c r="G313" t="n">
        <v>1.3</v>
      </c>
      <c r="H313" t="n">
        <v>0</v>
      </c>
      <c r="I313" t="n">
        <v>0</v>
      </c>
      <c r="J313" t="n">
        <v>0</v>
      </c>
      <c r="K313" t="n">
        <v>0</v>
      </c>
      <c r="L313" t="n">
        <v>0</v>
      </c>
      <c r="M313" t="n">
        <v>0</v>
      </c>
      <c r="N313" t="n">
        <v>0</v>
      </c>
      <c r="O313" t="n">
        <v>0</v>
      </c>
      <c r="P313" t="n">
        <v>0</v>
      </c>
      <c r="Q313" t="n">
        <v>0</v>
      </c>
      <c r="R313" s="2" t="inlineStr"/>
    </row>
    <row r="314" ht="15" customHeight="1">
      <c r="A314" t="inlineStr">
        <is>
          <t>A 36240-2023</t>
        </is>
      </c>
      <c r="B314" s="1" t="n">
        <v>45150.89295138889</v>
      </c>
      <c r="C314" s="1" t="n">
        <v>45930</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38829-2024</t>
        </is>
      </c>
      <c r="B315" s="1" t="n">
        <v>45547.57247685185</v>
      </c>
      <c r="C315" s="1" t="n">
        <v>45930</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12780-2024</t>
        </is>
      </c>
      <c r="B316" s="1" t="n">
        <v>45384.59726851852</v>
      </c>
      <c r="C316" s="1" t="n">
        <v>45930</v>
      </c>
      <c r="D316" t="inlineStr">
        <is>
          <t>SKÅNE LÄN</t>
        </is>
      </c>
      <c r="E316" t="inlineStr">
        <is>
          <t>HÄSSLEHOLM</t>
        </is>
      </c>
      <c r="G316" t="n">
        <v>0.7</v>
      </c>
      <c r="H316" t="n">
        <v>0</v>
      </c>
      <c r="I316" t="n">
        <v>0</v>
      </c>
      <c r="J316" t="n">
        <v>0</v>
      </c>
      <c r="K316" t="n">
        <v>0</v>
      </c>
      <c r="L316" t="n">
        <v>0</v>
      </c>
      <c r="M316" t="n">
        <v>0</v>
      </c>
      <c r="N316" t="n">
        <v>0</v>
      </c>
      <c r="O316" t="n">
        <v>0</v>
      </c>
      <c r="P316" t="n">
        <v>0</v>
      </c>
      <c r="Q316" t="n">
        <v>0</v>
      </c>
      <c r="R316" s="2" t="inlineStr"/>
    </row>
    <row r="317" ht="15" customHeight="1">
      <c r="A317" t="inlineStr">
        <is>
          <t>A 20564-2023</t>
        </is>
      </c>
      <c r="B317" s="1" t="n">
        <v>45057</v>
      </c>
      <c r="C317" s="1" t="n">
        <v>45930</v>
      </c>
      <c r="D317" t="inlineStr">
        <is>
          <t>SKÅNE LÄN</t>
        </is>
      </c>
      <c r="E317" t="inlineStr">
        <is>
          <t>HÄSSLEHOLM</t>
        </is>
      </c>
      <c r="G317" t="n">
        <v>2.6</v>
      </c>
      <c r="H317" t="n">
        <v>0</v>
      </c>
      <c r="I317" t="n">
        <v>0</v>
      </c>
      <c r="J317" t="n">
        <v>0</v>
      </c>
      <c r="K317" t="n">
        <v>0</v>
      </c>
      <c r="L317" t="n">
        <v>0</v>
      </c>
      <c r="M317" t="n">
        <v>0</v>
      </c>
      <c r="N317" t="n">
        <v>0</v>
      </c>
      <c r="O317" t="n">
        <v>0</v>
      </c>
      <c r="P317" t="n">
        <v>0</v>
      </c>
      <c r="Q317" t="n">
        <v>0</v>
      </c>
      <c r="R317" s="2" t="inlineStr"/>
    </row>
    <row r="318" ht="15" customHeight="1">
      <c r="A318" t="inlineStr">
        <is>
          <t>A 17413-2025</t>
        </is>
      </c>
      <c r="B318" s="1" t="n">
        <v>45757.37480324074</v>
      </c>
      <c r="C318" s="1" t="n">
        <v>45930</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41694-2024</t>
        </is>
      </c>
      <c r="B319" s="1" t="n">
        <v>45560.68341435185</v>
      </c>
      <c r="C319" s="1" t="n">
        <v>45930</v>
      </c>
      <c r="D319" t="inlineStr">
        <is>
          <t>SKÅNE LÄN</t>
        </is>
      </c>
      <c r="E319" t="inlineStr">
        <is>
          <t>HÄSSLEHOLM</t>
        </is>
      </c>
      <c r="G319" t="n">
        <v>0.4</v>
      </c>
      <c r="H319" t="n">
        <v>0</v>
      </c>
      <c r="I319" t="n">
        <v>0</v>
      </c>
      <c r="J319" t="n">
        <v>0</v>
      </c>
      <c r="K319" t="n">
        <v>0</v>
      </c>
      <c r="L319" t="n">
        <v>0</v>
      </c>
      <c r="M319" t="n">
        <v>0</v>
      </c>
      <c r="N319" t="n">
        <v>0</v>
      </c>
      <c r="O319" t="n">
        <v>0</v>
      </c>
      <c r="P319" t="n">
        <v>0</v>
      </c>
      <c r="Q319" t="n">
        <v>0</v>
      </c>
      <c r="R319" s="2" t="inlineStr"/>
    </row>
    <row r="320" ht="15" customHeight="1">
      <c r="A320" t="inlineStr">
        <is>
          <t>A 28457-2024</t>
        </is>
      </c>
      <c r="B320" s="1" t="n">
        <v>45477.68884259259</v>
      </c>
      <c r="C320" s="1" t="n">
        <v>45930</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25542-2024</t>
        </is>
      </c>
      <c r="B321" s="1" t="n">
        <v>45463</v>
      </c>
      <c r="C321" s="1" t="n">
        <v>45930</v>
      </c>
      <c r="D321" t="inlineStr">
        <is>
          <t>SKÅNE LÄN</t>
        </is>
      </c>
      <c r="E321" t="inlineStr">
        <is>
          <t>HÄSSLEHOLM</t>
        </is>
      </c>
      <c r="G321" t="n">
        <v>6.9</v>
      </c>
      <c r="H321" t="n">
        <v>0</v>
      </c>
      <c r="I321" t="n">
        <v>0</v>
      </c>
      <c r="J321" t="n">
        <v>0</v>
      </c>
      <c r="K321" t="n">
        <v>0</v>
      </c>
      <c r="L321" t="n">
        <v>0</v>
      </c>
      <c r="M321" t="n">
        <v>0</v>
      </c>
      <c r="N321" t="n">
        <v>0</v>
      </c>
      <c r="O321" t="n">
        <v>0</v>
      </c>
      <c r="P321" t="n">
        <v>0</v>
      </c>
      <c r="Q321" t="n">
        <v>0</v>
      </c>
      <c r="R321" s="2" t="inlineStr"/>
    </row>
    <row r="322" ht="15" customHeight="1">
      <c r="A322" t="inlineStr">
        <is>
          <t>A 14670-2025</t>
        </is>
      </c>
      <c r="B322" s="1" t="n">
        <v>45742.55079861111</v>
      </c>
      <c r="C322" s="1" t="n">
        <v>45930</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55454-2021</t>
        </is>
      </c>
      <c r="B323" s="1" t="n">
        <v>44475</v>
      </c>
      <c r="C323" s="1" t="n">
        <v>45930</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47757-2024</t>
        </is>
      </c>
      <c r="B324" s="1" t="n">
        <v>45588.55075231481</v>
      </c>
      <c r="C324" s="1" t="n">
        <v>45930</v>
      </c>
      <c r="D324" t="inlineStr">
        <is>
          <t>SKÅNE LÄN</t>
        </is>
      </c>
      <c r="E324" t="inlineStr">
        <is>
          <t>HÄSSLEHOLM</t>
        </is>
      </c>
      <c r="G324" t="n">
        <v>5.5</v>
      </c>
      <c r="H324" t="n">
        <v>0</v>
      </c>
      <c r="I324" t="n">
        <v>0</v>
      </c>
      <c r="J324" t="n">
        <v>0</v>
      </c>
      <c r="K324" t="n">
        <v>0</v>
      </c>
      <c r="L324" t="n">
        <v>0</v>
      </c>
      <c r="M324" t="n">
        <v>0</v>
      </c>
      <c r="N324" t="n">
        <v>0</v>
      </c>
      <c r="O324" t="n">
        <v>0</v>
      </c>
      <c r="P324" t="n">
        <v>0</v>
      </c>
      <c r="Q324" t="n">
        <v>0</v>
      </c>
      <c r="R324" s="2" t="inlineStr"/>
    </row>
    <row r="325" ht="15" customHeight="1">
      <c r="A325" t="inlineStr">
        <is>
          <t>A 2663-2023</t>
        </is>
      </c>
      <c r="B325" s="1" t="n">
        <v>44942</v>
      </c>
      <c r="C325" s="1" t="n">
        <v>45930</v>
      </c>
      <c r="D325" t="inlineStr">
        <is>
          <t>SKÅNE LÄN</t>
        </is>
      </c>
      <c r="E325" t="inlineStr">
        <is>
          <t>HÄSSLEHOLM</t>
        </is>
      </c>
      <c r="F325" t="inlineStr">
        <is>
          <t>Kyrkan</t>
        </is>
      </c>
      <c r="G325" t="n">
        <v>0.8</v>
      </c>
      <c r="H325" t="n">
        <v>0</v>
      </c>
      <c r="I325" t="n">
        <v>0</v>
      </c>
      <c r="J325" t="n">
        <v>0</v>
      </c>
      <c r="K325" t="n">
        <v>0</v>
      </c>
      <c r="L325" t="n">
        <v>0</v>
      </c>
      <c r="M325" t="n">
        <v>0</v>
      </c>
      <c r="N325" t="n">
        <v>0</v>
      </c>
      <c r="O325" t="n">
        <v>0</v>
      </c>
      <c r="P325" t="n">
        <v>0</v>
      </c>
      <c r="Q325" t="n">
        <v>0</v>
      </c>
      <c r="R325" s="2" t="inlineStr"/>
    </row>
    <row r="326" ht="15" customHeight="1">
      <c r="A326" t="inlineStr">
        <is>
          <t>A 61489-2024</t>
        </is>
      </c>
      <c r="B326" s="1" t="n">
        <v>45646.54875</v>
      </c>
      <c r="C326" s="1" t="n">
        <v>45930</v>
      </c>
      <c r="D326" t="inlineStr">
        <is>
          <t>SKÅNE LÄN</t>
        </is>
      </c>
      <c r="E326" t="inlineStr">
        <is>
          <t>HÄSSLEHOLM</t>
        </is>
      </c>
      <c r="G326" t="n">
        <v>1.9</v>
      </c>
      <c r="H326" t="n">
        <v>0</v>
      </c>
      <c r="I326" t="n">
        <v>0</v>
      </c>
      <c r="J326" t="n">
        <v>0</v>
      </c>
      <c r="K326" t="n">
        <v>0</v>
      </c>
      <c r="L326" t="n">
        <v>0</v>
      </c>
      <c r="M326" t="n">
        <v>0</v>
      </c>
      <c r="N326" t="n">
        <v>0</v>
      </c>
      <c r="O326" t="n">
        <v>0</v>
      </c>
      <c r="P326" t="n">
        <v>0</v>
      </c>
      <c r="Q326" t="n">
        <v>0</v>
      </c>
      <c r="R326" s="2" t="inlineStr"/>
    </row>
    <row r="327" ht="15" customHeight="1">
      <c r="A327" t="inlineStr">
        <is>
          <t>A 22594-2024</t>
        </is>
      </c>
      <c r="B327" s="1" t="n">
        <v>45447.60892361111</v>
      </c>
      <c r="C327" s="1" t="n">
        <v>45930</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3925-2021</t>
        </is>
      </c>
      <c r="B328" s="1" t="n">
        <v>44222</v>
      </c>
      <c r="C328" s="1" t="n">
        <v>45930</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55056-2021</t>
        </is>
      </c>
      <c r="B329" s="1" t="n">
        <v>44474.62072916667</v>
      </c>
      <c r="C329" s="1" t="n">
        <v>45930</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7192-2025</t>
        </is>
      </c>
      <c r="B330" s="1" t="n">
        <v>45702.44746527778</v>
      </c>
      <c r="C330" s="1" t="n">
        <v>45930</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26879-2024</t>
        </is>
      </c>
      <c r="B331" s="1" t="n">
        <v>45470</v>
      </c>
      <c r="C331" s="1" t="n">
        <v>45930</v>
      </c>
      <c r="D331" t="inlineStr">
        <is>
          <t>SKÅNE LÄN</t>
        </is>
      </c>
      <c r="E331" t="inlineStr">
        <is>
          <t>HÄSSLEHOLM</t>
        </is>
      </c>
      <c r="G331" t="n">
        <v>0.9</v>
      </c>
      <c r="H331" t="n">
        <v>0</v>
      </c>
      <c r="I331" t="n">
        <v>0</v>
      </c>
      <c r="J331" t="n">
        <v>0</v>
      </c>
      <c r="K331" t="n">
        <v>0</v>
      </c>
      <c r="L331" t="n">
        <v>0</v>
      </c>
      <c r="M331" t="n">
        <v>0</v>
      </c>
      <c r="N331" t="n">
        <v>0</v>
      </c>
      <c r="O331" t="n">
        <v>0</v>
      </c>
      <c r="P331" t="n">
        <v>0</v>
      </c>
      <c r="Q331" t="n">
        <v>0</v>
      </c>
      <c r="R331" s="2" t="inlineStr"/>
    </row>
    <row r="332" ht="15" customHeight="1">
      <c r="A332" t="inlineStr">
        <is>
          <t>A 4042-2023</t>
        </is>
      </c>
      <c r="B332" s="1" t="n">
        <v>44952.59950231481</v>
      </c>
      <c r="C332" s="1" t="n">
        <v>45930</v>
      </c>
      <c r="D332" t="inlineStr">
        <is>
          <t>SKÅNE LÄN</t>
        </is>
      </c>
      <c r="E332" t="inlineStr">
        <is>
          <t>HÄSSLEHOLM</t>
        </is>
      </c>
      <c r="G332" t="n">
        <v>2.7</v>
      </c>
      <c r="H332" t="n">
        <v>0</v>
      </c>
      <c r="I332" t="n">
        <v>0</v>
      </c>
      <c r="J332" t="n">
        <v>0</v>
      </c>
      <c r="K332" t="n">
        <v>0</v>
      </c>
      <c r="L332" t="n">
        <v>0</v>
      </c>
      <c r="M332" t="n">
        <v>0</v>
      </c>
      <c r="N332" t="n">
        <v>0</v>
      </c>
      <c r="O332" t="n">
        <v>0</v>
      </c>
      <c r="P332" t="n">
        <v>0</v>
      </c>
      <c r="Q332" t="n">
        <v>0</v>
      </c>
      <c r="R332" s="2" t="inlineStr"/>
    </row>
    <row r="333" ht="15" customHeight="1">
      <c r="A333" t="inlineStr">
        <is>
          <t>A 27954-2022</t>
        </is>
      </c>
      <c r="B333" s="1" t="n">
        <v>44743</v>
      </c>
      <c r="C333" s="1" t="n">
        <v>45930</v>
      </c>
      <c r="D333" t="inlineStr">
        <is>
          <t>SKÅNE LÄN</t>
        </is>
      </c>
      <c r="E333" t="inlineStr">
        <is>
          <t>HÄSSLEHOLM</t>
        </is>
      </c>
      <c r="G333" t="n">
        <v>9.4</v>
      </c>
      <c r="H333" t="n">
        <v>0</v>
      </c>
      <c r="I333" t="n">
        <v>0</v>
      </c>
      <c r="J333" t="n">
        <v>0</v>
      </c>
      <c r="K333" t="n">
        <v>0</v>
      </c>
      <c r="L333" t="n">
        <v>0</v>
      </c>
      <c r="M333" t="n">
        <v>0</v>
      </c>
      <c r="N333" t="n">
        <v>0</v>
      </c>
      <c r="O333" t="n">
        <v>0</v>
      </c>
      <c r="P333" t="n">
        <v>0</v>
      </c>
      <c r="Q333" t="n">
        <v>0</v>
      </c>
      <c r="R333" s="2" t="inlineStr"/>
    </row>
    <row r="334" ht="15" customHeight="1">
      <c r="A334" t="inlineStr">
        <is>
          <t>A 3123-2023</t>
        </is>
      </c>
      <c r="B334" s="1" t="n">
        <v>44946.4925</v>
      </c>
      <c r="C334" s="1" t="n">
        <v>45930</v>
      </c>
      <c r="D334" t="inlineStr">
        <is>
          <t>SKÅNE LÄN</t>
        </is>
      </c>
      <c r="E334" t="inlineStr">
        <is>
          <t>HÄSSLEHOLM</t>
        </is>
      </c>
      <c r="G334" t="n">
        <v>3.5</v>
      </c>
      <c r="H334" t="n">
        <v>0</v>
      </c>
      <c r="I334" t="n">
        <v>0</v>
      </c>
      <c r="J334" t="n">
        <v>0</v>
      </c>
      <c r="K334" t="n">
        <v>0</v>
      </c>
      <c r="L334" t="n">
        <v>0</v>
      </c>
      <c r="M334" t="n">
        <v>0</v>
      </c>
      <c r="N334" t="n">
        <v>0</v>
      </c>
      <c r="O334" t="n">
        <v>0</v>
      </c>
      <c r="P334" t="n">
        <v>0</v>
      </c>
      <c r="Q334" t="n">
        <v>0</v>
      </c>
      <c r="R334" s="2" t="inlineStr"/>
    </row>
    <row r="335" ht="15" customHeight="1">
      <c r="A335" t="inlineStr">
        <is>
          <t>A 3126-2023</t>
        </is>
      </c>
      <c r="B335" s="1" t="n">
        <v>44946.49570601852</v>
      </c>
      <c r="C335" s="1" t="n">
        <v>45930</v>
      </c>
      <c r="D335" t="inlineStr">
        <is>
          <t>SKÅNE LÄN</t>
        </is>
      </c>
      <c r="E335" t="inlineStr">
        <is>
          <t>HÄSSLEHOLM</t>
        </is>
      </c>
      <c r="G335" t="n">
        <v>2.2</v>
      </c>
      <c r="H335" t="n">
        <v>0</v>
      </c>
      <c r="I335" t="n">
        <v>0</v>
      </c>
      <c r="J335" t="n">
        <v>0</v>
      </c>
      <c r="K335" t="n">
        <v>0</v>
      </c>
      <c r="L335" t="n">
        <v>0</v>
      </c>
      <c r="M335" t="n">
        <v>0</v>
      </c>
      <c r="N335" t="n">
        <v>0</v>
      </c>
      <c r="O335" t="n">
        <v>0</v>
      </c>
      <c r="P335" t="n">
        <v>0</v>
      </c>
      <c r="Q335" t="n">
        <v>0</v>
      </c>
      <c r="R335" s="2" t="inlineStr"/>
    </row>
    <row r="336" ht="15" customHeight="1">
      <c r="A336" t="inlineStr">
        <is>
          <t>A 59728-2022</t>
        </is>
      </c>
      <c r="B336" s="1" t="n">
        <v>44900</v>
      </c>
      <c r="C336" s="1" t="n">
        <v>45930</v>
      </c>
      <c r="D336" t="inlineStr">
        <is>
          <t>SKÅNE LÄN</t>
        </is>
      </c>
      <c r="E336" t="inlineStr">
        <is>
          <t>HÄSSLEHOLM</t>
        </is>
      </c>
      <c r="G336" t="n">
        <v>0.3</v>
      </c>
      <c r="H336" t="n">
        <v>0</v>
      </c>
      <c r="I336" t="n">
        <v>0</v>
      </c>
      <c r="J336" t="n">
        <v>0</v>
      </c>
      <c r="K336" t="n">
        <v>0</v>
      </c>
      <c r="L336" t="n">
        <v>0</v>
      </c>
      <c r="M336" t="n">
        <v>0</v>
      </c>
      <c r="N336" t="n">
        <v>0</v>
      </c>
      <c r="O336" t="n">
        <v>0</v>
      </c>
      <c r="P336" t="n">
        <v>0</v>
      </c>
      <c r="Q336" t="n">
        <v>0</v>
      </c>
      <c r="R336" s="2" t="inlineStr"/>
    </row>
    <row r="337" ht="15" customHeight="1">
      <c r="A337" t="inlineStr">
        <is>
          <t>A 25213-2023</t>
        </is>
      </c>
      <c r="B337" s="1" t="n">
        <v>45086.60010416667</v>
      </c>
      <c r="C337" s="1" t="n">
        <v>45930</v>
      </c>
      <c r="D337" t="inlineStr">
        <is>
          <t>SKÅNE LÄN</t>
        </is>
      </c>
      <c r="E337" t="inlineStr">
        <is>
          <t>HÄSSLEHOLM</t>
        </is>
      </c>
      <c r="G337" t="n">
        <v>7.2</v>
      </c>
      <c r="H337" t="n">
        <v>0</v>
      </c>
      <c r="I337" t="n">
        <v>0</v>
      </c>
      <c r="J337" t="n">
        <v>0</v>
      </c>
      <c r="K337" t="n">
        <v>0</v>
      </c>
      <c r="L337" t="n">
        <v>0</v>
      </c>
      <c r="M337" t="n">
        <v>0</v>
      </c>
      <c r="N337" t="n">
        <v>0</v>
      </c>
      <c r="O337" t="n">
        <v>0</v>
      </c>
      <c r="P337" t="n">
        <v>0</v>
      </c>
      <c r="Q337" t="n">
        <v>0</v>
      </c>
      <c r="R337" s="2" t="inlineStr"/>
    </row>
    <row r="338" ht="15" customHeight="1">
      <c r="A338" t="inlineStr">
        <is>
          <t>A 51287-2022</t>
        </is>
      </c>
      <c r="B338" s="1" t="n">
        <v>44868.83146990741</v>
      </c>
      <c r="C338" s="1" t="n">
        <v>45930</v>
      </c>
      <c r="D338" t="inlineStr">
        <is>
          <t>SKÅNE LÄN</t>
        </is>
      </c>
      <c r="E338" t="inlineStr">
        <is>
          <t>HÄSSLEHOLM</t>
        </is>
      </c>
      <c r="G338" t="n">
        <v>2.2</v>
      </c>
      <c r="H338" t="n">
        <v>0</v>
      </c>
      <c r="I338" t="n">
        <v>0</v>
      </c>
      <c r="J338" t="n">
        <v>0</v>
      </c>
      <c r="K338" t="n">
        <v>0</v>
      </c>
      <c r="L338" t="n">
        <v>0</v>
      </c>
      <c r="M338" t="n">
        <v>0</v>
      </c>
      <c r="N338" t="n">
        <v>0</v>
      </c>
      <c r="O338" t="n">
        <v>0</v>
      </c>
      <c r="P338" t="n">
        <v>0</v>
      </c>
      <c r="Q338" t="n">
        <v>0</v>
      </c>
      <c r="R338" s="2" t="inlineStr"/>
    </row>
    <row r="339" ht="15" customHeight="1">
      <c r="A339" t="inlineStr">
        <is>
          <t>A 24865-2024</t>
        </is>
      </c>
      <c r="B339" s="1" t="n">
        <v>45461.48974537037</v>
      </c>
      <c r="C339" s="1" t="n">
        <v>45930</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11116-2023</t>
        </is>
      </c>
      <c r="B340" s="1" t="n">
        <v>44986</v>
      </c>
      <c r="C340" s="1" t="n">
        <v>45930</v>
      </c>
      <c r="D340" t="inlineStr">
        <is>
          <t>SKÅNE LÄN</t>
        </is>
      </c>
      <c r="E340" t="inlineStr">
        <is>
          <t>HÄSSLEHOLM</t>
        </is>
      </c>
      <c r="F340" t="inlineStr">
        <is>
          <t>Kommuner</t>
        </is>
      </c>
      <c r="G340" t="n">
        <v>15.1</v>
      </c>
      <c r="H340" t="n">
        <v>0</v>
      </c>
      <c r="I340" t="n">
        <v>0</v>
      </c>
      <c r="J340" t="n">
        <v>0</v>
      </c>
      <c r="K340" t="n">
        <v>0</v>
      </c>
      <c r="L340" t="n">
        <v>0</v>
      </c>
      <c r="M340" t="n">
        <v>0</v>
      </c>
      <c r="N340" t="n">
        <v>0</v>
      </c>
      <c r="O340" t="n">
        <v>0</v>
      </c>
      <c r="P340" t="n">
        <v>0</v>
      </c>
      <c r="Q340" t="n">
        <v>0</v>
      </c>
      <c r="R340" s="2" t="inlineStr"/>
    </row>
    <row r="341" ht="15" customHeight="1">
      <c r="A341" t="inlineStr">
        <is>
          <t>A 11121-2023</t>
        </is>
      </c>
      <c r="B341" s="1" t="n">
        <v>44986</v>
      </c>
      <c r="C341" s="1" t="n">
        <v>45930</v>
      </c>
      <c r="D341" t="inlineStr">
        <is>
          <t>SKÅNE LÄN</t>
        </is>
      </c>
      <c r="E341" t="inlineStr">
        <is>
          <t>HÄSSLEHOLM</t>
        </is>
      </c>
      <c r="F341" t="inlineStr">
        <is>
          <t>Kommuner</t>
        </is>
      </c>
      <c r="G341" t="n">
        <v>5.8</v>
      </c>
      <c r="H341" t="n">
        <v>0</v>
      </c>
      <c r="I341" t="n">
        <v>0</v>
      </c>
      <c r="J341" t="n">
        <v>0</v>
      </c>
      <c r="K341" t="n">
        <v>0</v>
      </c>
      <c r="L341" t="n">
        <v>0</v>
      </c>
      <c r="M341" t="n">
        <v>0</v>
      </c>
      <c r="N341" t="n">
        <v>0</v>
      </c>
      <c r="O341" t="n">
        <v>0</v>
      </c>
      <c r="P341" t="n">
        <v>0</v>
      </c>
      <c r="Q341" t="n">
        <v>0</v>
      </c>
      <c r="R341" s="2" t="inlineStr"/>
    </row>
    <row r="342" ht="15" customHeight="1">
      <c r="A342" t="inlineStr">
        <is>
          <t>A 3294-2025</t>
        </is>
      </c>
      <c r="B342" s="1" t="n">
        <v>45679.64125</v>
      </c>
      <c r="C342" s="1" t="n">
        <v>45930</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33927-2021</t>
        </is>
      </c>
      <c r="B343" s="1" t="n">
        <v>44378</v>
      </c>
      <c r="C343" s="1" t="n">
        <v>45930</v>
      </c>
      <c r="D343" t="inlineStr">
        <is>
          <t>SKÅNE LÄN</t>
        </is>
      </c>
      <c r="E343" t="inlineStr">
        <is>
          <t>HÄSSLEHOLM</t>
        </is>
      </c>
      <c r="G343" t="n">
        <v>16.7</v>
      </c>
      <c r="H343" t="n">
        <v>0</v>
      </c>
      <c r="I343" t="n">
        <v>0</v>
      </c>
      <c r="J343" t="n">
        <v>0</v>
      </c>
      <c r="K343" t="n">
        <v>0</v>
      </c>
      <c r="L343" t="n">
        <v>0</v>
      </c>
      <c r="M343" t="n">
        <v>0</v>
      </c>
      <c r="N343" t="n">
        <v>0</v>
      </c>
      <c r="O343" t="n">
        <v>0</v>
      </c>
      <c r="P343" t="n">
        <v>0</v>
      </c>
      <c r="Q343" t="n">
        <v>0</v>
      </c>
      <c r="R343" s="2" t="inlineStr"/>
    </row>
    <row r="344" ht="15" customHeight="1">
      <c r="A344" t="inlineStr">
        <is>
          <t>A 56158-2020</t>
        </is>
      </c>
      <c r="B344" s="1" t="n">
        <v>44133</v>
      </c>
      <c r="C344" s="1" t="n">
        <v>45930</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45984-2021</t>
        </is>
      </c>
      <c r="B345" s="1" t="n">
        <v>44441</v>
      </c>
      <c r="C345" s="1" t="n">
        <v>45930</v>
      </c>
      <c r="D345" t="inlineStr">
        <is>
          <t>SKÅNE LÄN</t>
        </is>
      </c>
      <c r="E345" t="inlineStr">
        <is>
          <t>HÄSSLEHOLM</t>
        </is>
      </c>
      <c r="G345" t="n">
        <v>2.1</v>
      </c>
      <c r="H345" t="n">
        <v>0</v>
      </c>
      <c r="I345" t="n">
        <v>0</v>
      </c>
      <c r="J345" t="n">
        <v>0</v>
      </c>
      <c r="K345" t="n">
        <v>0</v>
      </c>
      <c r="L345" t="n">
        <v>0</v>
      </c>
      <c r="M345" t="n">
        <v>0</v>
      </c>
      <c r="N345" t="n">
        <v>0</v>
      </c>
      <c r="O345" t="n">
        <v>0</v>
      </c>
      <c r="P345" t="n">
        <v>0</v>
      </c>
      <c r="Q345" t="n">
        <v>0</v>
      </c>
      <c r="R345" s="2" t="inlineStr"/>
    </row>
    <row r="346" ht="15" customHeight="1">
      <c r="A346" t="inlineStr">
        <is>
          <t>A 46813-2024</t>
        </is>
      </c>
      <c r="B346" s="1" t="n">
        <v>45583</v>
      </c>
      <c r="C346" s="1" t="n">
        <v>45930</v>
      </c>
      <c r="D346" t="inlineStr">
        <is>
          <t>SKÅNE LÄN</t>
        </is>
      </c>
      <c r="E346" t="inlineStr">
        <is>
          <t>HÄSSLEHOLM</t>
        </is>
      </c>
      <c r="G346" t="n">
        <v>14.9</v>
      </c>
      <c r="H346" t="n">
        <v>0</v>
      </c>
      <c r="I346" t="n">
        <v>0</v>
      </c>
      <c r="J346" t="n">
        <v>0</v>
      </c>
      <c r="K346" t="n">
        <v>0</v>
      </c>
      <c r="L346" t="n">
        <v>0</v>
      </c>
      <c r="M346" t="n">
        <v>0</v>
      </c>
      <c r="N346" t="n">
        <v>0</v>
      </c>
      <c r="O346" t="n">
        <v>0</v>
      </c>
      <c r="P346" t="n">
        <v>0</v>
      </c>
      <c r="Q346" t="n">
        <v>0</v>
      </c>
      <c r="R346" s="2" t="inlineStr"/>
    </row>
    <row r="347" ht="15" customHeight="1">
      <c r="A347" t="inlineStr">
        <is>
          <t>A 25057-2024</t>
        </is>
      </c>
      <c r="B347" s="1" t="n">
        <v>45462</v>
      </c>
      <c r="C347" s="1" t="n">
        <v>45930</v>
      </c>
      <c r="D347" t="inlineStr">
        <is>
          <t>SKÅNE LÄN</t>
        </is>
      </c>
      <c r="E347" t="inlineStr">
        <is>
          <t>HÄSSLEHOLM</t>
        </is>
      </c>
      <c r="G347" t="n">
        <v>4.3</v>
      </c>
      <c r="H347" t="n">
        <v>0</v>
      </c>
      <c r="I347" t="n">
        <v>0</v>
      </c>
      <c r="J347" t="n">
        <v>0</v>
      </c>
      <c r="K347" t="n">
        <v>0</v>
      </c>
      <c r="L347" t="n">
        <v>0</v>
      </c>
      <c r="M347" t="n">
        <v>0</v>
      </c>
      <c r="N347" t="n">
        <v>0</v>
      </c>
      <c r="O347" t="n">
        <v>0</v>
      </c>
      <c r="P347" t="n">
        <v>0</v>
      </c>
      <c r="Q347" t="n">
        <v>0</v>
      </c>
      <c r="R347" s="2" t="inlineStr"/>
    </row>
    <row r="348" ht="15" customHeight="1">
      <c r="A348" t="inlineStr">
        <is>
          <t>A 13897-2024</t>
        </is>
      </c>
      <c r="B348" s="1" t="n">
        <v>45391</v>
      </c>
      <c r="C348" s="1" t="n">
        <v>45930</v>
      </c>
      <c r="D348" t="inlineStr">
        <is>
          <t>SKÅNE LÄN</t>
        </is>
      </c>
      <c r="E348" t="inlineStr">
        <is>
          <t>HÄSSLEHOLM</t>
        </is>
      </c>
      <c r="F348" t="inlineStr">
        <is>
          <t>Kommuner</t>
        </is>
      </c>
      <c r="G348" t="n">
        <v>4</v>
      </c>
      <c r="H348" t="n">
        <v>0</v>
      </c>
      <c r="I348" t="n">
        <v>0</v>
      </c>
      <c r="J348" t="n">
        <v>0</v>
      </c>
      <c r="K348" t="n">
        <v>0</v>
      </c>
      <c r="L348" t="n">
        <v>0</v>
      </c>
      <c r="M348" t="n">
        <v>0</v>
      </c>
      <c r="N348" t="n">
        <v>0</v>
      </c>
      <c r="O348" t="n">
        <v>0</v>
      </c>
      <c r="P348" t="n">
        <v>0</v>
      </c>
      <c r="Q348" t="n">
        <v>0</v>
      </c>
      <c r="R348" s="2" t="inlineStr"/>
    </row>
    <row r="349" ht="15" customHeight="1">
      <c r="A349" t="inlineStr">
        <is>
          <t>A 61170-2022</t>
        </is>
      </c>
      <c r="B349" s="1" t="n">
        <v>44915.48543981482</v>
      </c>
      <c r="C349" s="1" t="n">
        <v>45930</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69500-2020</t>
        </is>
      </c>
      <c r="B350" s="1" t="n">
        <v>44194</v>
      </c>
      <c r="C350" s="1" t="n">
        <v>45930</v>
      </c>
      <c r="D350" t="inlineStr">
        <is>
          <t>SKÅNE LÄN</t>
        </is>
      </c>
      <c r="E350" t="inlineStr">
        <is>
          <t>HÄSSLEHOLM</t>
        </is>
      </c>
      <c r="G350" t="n">
        <v>1.5</v>
      </c>
      <c r="H350" t="n">
        <v>0</v>
      </c>
      <c r="I350" t="n">
        <v>0</v>
      </c>
      <c r="J350" t="n">
        <v>0</v>
      </c>
      <c r="K350" t="n">
        <v>0</v>
      </c>
      <c r="L350" t="n">
        <v>0</v>
      </c>
      <c r="M350" t="n">
        <v>0</v>
      </c>
      <c r="N350" t="n">
        <v>0</v>
      </c>
      <c r="O350" t="n">
        <v>0</v>
      </c>
      <c r="P350" t="n">
        <v>0</v>
      </c>
      <c r="Q350" t="n">
        <v>0</v>
      </c>
      <c r="R350" s="2" t="inlineStr"/>
    </row>
    <row r="351" ht="15" customHeight="1">
      <c r="A351" t="inlineStr">
        <is>
          <t>A 7604-2024</t>
        </is>
      </c>
      <c r="B351" s="1" t="n">
        <v>45348</v>
      </c>
      <c r="C351" s="1" t="n">
        <v>45930</v>
      </c>
      <c r="D351" t="inlineStr">
        <is>
          <t>SKÅNE LÄN</t>
        </is>
      </c>
      <c r="E351" t="inlineStr">
        <is>
          <t>HÄSSLEHOLM</t>
        </is>
      </c>
      <c r="G351" t="n">
        <v>11.1</v>
      </c>
      <c r="H351" t="n">
        <v>0</v>
      </c>
      <c r="I351" t="n">
        <v>0</v>
      </c>
      <c r="J351" t="n">
        <v>0</v>
      </c>
      <c r="K351" t="n">
        <v>0</v>
      </c>
      <c r="L351" t="n">
        <v>0</v>
      </c>
      <c r="M351" t="n">
        <v>0</v>
      </c>
      <c r="N351" t="n">
        <v>0</v>
      </c>
      <c r="O351" t="n">
        <v>0</v>
      </c>
      <c r="P351" t="n">
        <v>0</v>
      </c>
      <c r="Q351" t="n">
        <v>0</v>
      </c>
      <c r="R351" s="2" t="inlineStr"/>
    </row>
    <row r="352" ht="15" customHeight="1">
      <c r="A352" t="inlineStr">
        <is>
          <t>A 10028-2024</t>
        </is>
      </c>
      <c r="B352" s="1" t="n">
        <v>45363.97292824074</v>
      </c>
      <c r="C352" s="1" t="n">
        <v>45930</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6835-2023</t>
        </is>
      </c>
      <c r="B353" s="1" t="n">
        <v>44967</v>
      </c>
      <c r="C353" s="1" t="n">
        <v>45930</v>
      </c>
      <c r="D353" t="inlineStr">
        <is>
          <t>SKÅNE LÄN</t>
        </is>
      </c>
      <c r="E353" t="inlineStr">
        <is>
          <t>HÄSSLEHOLM</t>
        </is>
      </c>
      <c r="G353" t="n">
        <v>4.8</v>
      </c>
      <c r="H353" t="n">
        <v>0</v>
      </c>
      <c r="I353" t="n">
        <v>0</v>
      </c>
      <c r="J353" t="n">
        <v>0</v>
      </c>
      <c r="K353" t="n">
        <v>0</v>
      </c>
      <c r="L353" t="n">
        <v>0</v>
      </c>
      <c r="M353" t="n">
        <v>0</v>
      </c>
      <c r="N353" t="n">
        <v>0</v>
      </c>
      <c r="O353" t="n">
        <v>0</v>
      </c>
      <c r="P353" t="n">
        <v>0</v>
      </c>
      <c r="Q353" t="n">
        <v>0</v>
      </c>
      <c r="R353" s="2" t="inlineStr"/>
    </row>
    <row r="354" ht="15" customHeight="1">
      <c r="A354" t="inlineStr">
        <is>
          <t>A 32154-2024</t>
        </is>
      </c>
      <c r="B354" s="1" t="n">
        <v>45511</v>
      </c>
      <c r="C354" s="1" t="n">
        <v>45930</v>
      </c>
      <c r="D354" t="inlineStr">
        <is>
          <t>SKÅNE LÄN</t>
        </is>
      </c>
      <c r="E354" t="inlineStr">
        <is>
          <t>HÄSSLEHOLM</t>
        </is>
      </c>
      <c r="G354" t="n">
        <v>6.4</v>
      </c>
      <c r="H354" t="n">
        <v>0</v>
      </c>
      <c r="I354" t="n">
        <v>0</v>
      </c>
      <c r="J354" t="n">
        <v>0</v>
      </c>
      <c r="K354" t="n">
        <v>0</v>
      </c>
      <c r="L354" t="n">
        <v>0</v>
      </c>
      <c r="M354" t="n">
        <v>0</v>
      </c>
      <c r="N354" t="n">
        <v>0</v>
      </c>
      <c r="O354" t="n">
        <v>0</v>
      </c>
      <c r="P354" t="n">
        <v>0</v>
      </c>
      <c r="Q354" t="n">
        <v>0</v>
      </c>
      <c r="R354" s="2" t="inlineStr"/>
    </row>
    <row r="355" ht="15" customHeight="1">
      <c r="A355" t="inlineStr">
        <is>
          <t>A 53055-2021</t>
        </is>
      </c>
      <c r="B355" s="1" t="n">
        <v>44467</v>
      </c>
      <c r="C355" s="1" t="n">
        <v>45930</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9885-2021</t>
        </is>
      </c>
      <c r="B356" s="1" t="n">
        <v>44253</v>
      </c>
      <c r="C356" s="1" t="n">
        <v>45930</v>
      </c>
      <c r="D356" t="inlineStr">
        <is>
          <t>SKÅNE LÄN</t>
        </is>
      </c>
      <c r="E356" t="inlineStr">
        <is>
          <t>HÄSSLEHOLM</t>
        </is>
      </c>
      <c r="G356" t="n">
        <v>2.4</v>
      </c>
      <c r="H356" t="n">
        <v>0</v>
      </c>
      <c r="I356" t="n">
        <v>0</v>
      </c>
      <c r="J356" t="n">
        <v>0</v>
      </c>
      <c r="K356" t="n">
        <v>0</v>
      </c>
      <c r="L356" t="n">
        <v>0</v>
      </c>
      <c r="M356" t="n">
        <v>0</v>
      </c>
      <c r="N356" t="n">
        <v>0</v>
      </c>
      <c r="O356" t="n">
        <v>0</v>
      </c>
      <c r="P356" t="n">
        <v>0</v>
      </c>
      <c r="Q356" t="n">
        <v>0</v>
      </c>
      <c r="R356" s="2" t="inlineStr"/>
    </row>
    <row r="357" ht="15" customHeight="1">
      <c r="A357" t="inlineStr">
        <is>
          <t>A 61158-2022</t>
        </is>
      </c>
      <c r="B357" s="1" t="n">
        <v>44915.47112268519</v>
      </c>
      <c r="C357" s="1" t="n">
        <v>45930</v>
      </c>
      <c r="D357" t="inlineStr">
        <is>
          <t>SKÅNE LÄN</t>
        </is>
      </c>
      <c r="E357" t="inlineStr">
        <is>
          <t>HÄSSLEHOLM</t>
        </is>
      </c>
      <c r="G357" t="n">
        <v>8.4</v>
      </c>
      <c r="H357" t="n">
        <v>0</v>
      </c>
      <c r="I357" t="n">
        <v>0</v>
      </c>
      <c r="J357" t="n">
        <v>0</v>
      </c>
      <c r="K357" t="n">
        <v>0</v>
      </c>
      <c r="L357" t="n">
        <v>0</v>
      </c>
      <c r="M357" t="n">
        <v>0</v>
      </c>
      <c r="N357" t="n">
        <v>0</v>
      </c>
      <c r="O357" t="n">
        <v>0</v>
      </c>
      <c r="P357" t="n">
        <v>0</v>
      </c>
      <c r="Q357" t="n">
        <v>0</v>
      </c>
      <c r="R357" s="2" t="inlineStr"/>
    </row>
    <row r="358" ht="15" customHeight="1">
      <c r="A358" t="inlineStr">
        <is>
          <t>A 12468-2024</t>
        </is>
      </c>
      <c r="B358" s="1" t="n">
        <v>45379</v>
      </c>
      <c r="C358" s="1" t="n">
        <v>45930</v>
      </c>
      <c r="D358" t="inlineStr">
        <is>
          <t>SKÅNE LÄN</t>
        </is>
      </c>
      <c r="E358" t="inlineStr">
        <is>
          <t>HÄSSLEHOLM</t>
        </is>
      </c>
      <c r="G358" t="n">
        <v>15.5</v>
      </c>
      <c r="H358" t="n">
        <v>0</v>
      </c>
      <c r="I358" t="n">
        <v>0</v>
      </c>
      <c r="J358" t="n">
        <v>0</v>
      </c>
      <c r="K358" t="n">
        <v>0</v>
      </c>
      <c r="L358" t="n">
        <v>0</v>
      </c>
      <c r="M358" t="n">
        <v>0</v>
      </c>
      <c r="N358" t="n">
        <v>0</v>
      </c>
      <c r="O358" t="n">
        <v>0</v>
      </c>
      <c r="P358" t="n">
        <v>0</v>
      </c>
      <c r="Q358" t="n">
        <v>0</v>
      </c>
      <c r="R358" s="2" t="inlineStr"/>
    </row>
    <row r="359" ht="15" customHeight="1">
      <c r="A359" t="inlineStr">
        <is>
          <t>A 31933-2024</t>
        </is>
      </c>
      <c r="B359" s="1" t="n">
        <v>45510.41123842593</v>
      </c>
      <c r="C359" s="1" t="n">
        <v>45930</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9098-2022</t>
        </is>
      </c>
      <c r="B360" s="1" t="n">
        <v>44615</v>
      </c>
      <c r="C360" s="1" t="n">
        <v>45930</v>
      </c>
      <c r="D360" t="inlineStr">
        <is>
          <t>SKÅNE LÄN</t>
        </is>
      </c>
      <c r="E360" t="inlineStr">
        <is>
          <t>HÄSSLEHOLM</t>
        </is>
      </c>
      <c r="G360" t="n">
        <v>2.1</v>
      </c>
      <c r="H360" t="n">
        <v>0</v>
      </c>
      <c r="I360" t="n">
        <v>0</v>
      </c>
      <c r="J360" t="n">
        <v>0</v>
      </c>
      <c r="K360" t="n">
        <v>0</v>
      </c>
      <c r="L360" t="n">
        <v>0</v>
      </c>
      <c r="M360" t="n">
        <v>0</v>
      </c>
      <c r="N360" t="n">
        <v>0</v>
      </c>
      <c r="O360" t="n">
        <v>0</v>
      </c>
      <c r="P360" t="n">
        <v>0</v>
      </c>
      <c r="Q360" t="n">
        <v>0</v>
      </c>
      <c r="R360" s="2" t="inlineStr"/>
    </row>
    <row r="361" ht="15" customHeight="1">
      <c r="A361" t="inlineStr">
        <is>
          <t>A 12338-2024</t>
        </is>
      </c>
      <c r="B361" s="1" t="n">
        <v>45378.72869212963</v>
      </c>
      <c r="C361" s="1" t="n">
        <v>45930</v>
      </c>
      <c r="D361" t="inlineStr">
        <is>
          <t>SKÅNE LÄN</t>
        </is>
      </c>
      <c r="E361" t="inlineStr">
        <is>
          <t>HÄSSLEHOLM</t>
        </is>
      </c>
      <c r="G361" t="n">
        <v>1.8</v>
      </c>
      <c r="H361" t="n">
        <v>0</v>
      </c>
      <c r="I361" t="n">
        <v>0</v>
      </c>
      <c r="J361" t="n">
        <v>0</v>
      </c>
      <c r="K361" t="n">
        <v>0</v>
      </c>
      <c r="L361" t="n">
        <v>0</v>
      </c>
      <c r="M361" t="n">
        <v>0</v>
      </c>
      <c r="N361" t="n">
        <v>0</v>
      </c>
      <c r="O361" t="n">
        <v>0</v>
      </c>
      <c r="P361" t="n">
        <v>0</v>
      </c>
      <c r="Q361" t="n">
        <v>0</v>
      </c>
      <c r="R361" s="2" t="inlineStr"/>
    </row>
    <row r="362" ht="15" customHeight="1">
      <c r="A362" t="inlineStr">
        <is>
          <t>A 41680-2024</t>
        </is>
      </c>
      <c r="B362" s="1" t="n">
        <v>45560</v>
      </c>
      <c r="C362" s="1" t="n">
        <v>45930</v>
      </c>
      <c r="D362" t="inlineStr">
        <is>
          <t>SKÅNE LÄN</t>
        </is>
      </c>
      <c r="E362" t="inlineStr">
        <is>
          <t>HÄSSLEHOLM</t>
        </is>
      </c>
      <c r="G362" t="n">
        <v>0.2</v>
      </c>
      <c r="H362" t="n">
        <v>0</v>
      </c>
      <c r="I362" t="n">
        <v>0</v>
      </c>
      <c r="J362" t="n">
        <v>0</v>
      </c>
      <c r="K362" t="n">
        <v>0</v>
      </c>
      <c r="L362" t="n">
        <v>0</v>
      </c>
      <c r="M362" t="n">
        <v>0</v>
      </c>
      <c r="N362" t="n">
        <v>0</v>
      </c>
      <c r="O362" t="n">
        <v>0</v>
      </c>
      <c r="P362" t="n">
        <v>0</v>
      </c>
      <c r="Q362" t="n">
        <v>0</v>
      </c>
      <c r="R362" s="2" t="inlineStr"/>
    </row>
    <row r="363" ht="15" customHeight="1">
      <c r="A363" t="inlineStr">
        <is>
          <t>A 34883-2023</t>
        </is>
      </c>
      <c r="B363" s="1" t="n">
        <v>45142.37902777778</v>
      </c>
      <c r="C363" s="1" t="n">
        <v>45930</v>
      </c>
      <c r="D363" t="inlineStr">
        <is>
          <t>SKÅNE LÄN</t>
        </is>
      </c>
      <c r="E363" t="inlineStr">
        <is>
          <t>HÄSSLEHOLM</t>
        </is>
      </c>
      <c r="G363" t="n">
        <v>2.5</v>
      </c>
      <c r="H363" t="n">
        <v>0</v>
      </c>
      <c r="I363" t="n">
        <v>0</v>
      </c>
      <c r="J363" t="n">
        <v>0</v>
      </c>
      <c r="K363" t="n">
        <v>0</v>
      </c>
      <c r="L363" t="n">
        <v>0</v>
      </c>
      <c r="M363" t="n">
        <v>0</v>
      </c>
      <c r="N363" t="n">
        <v>0</v>
      </c>
      <c r="O363" t="n">
        <v>0</v>
      </c>
      <c r="P363" t="n">
        <v>0</v>
      </c>
      <c r="Q363" t="n">
        <v>0</v>
      </c>
      <c r="R363" s="2" t="inlineStr"/>
    </row>
    <row r="364" ht="15" customHeight="1">
      <c r="A364" t="inlineStr">
        <is>
          <t>A 34886-2023</t>
        </is>
      </c>
      <c r="B364" s="1" t="n">
        <v>45142.38450231482</v>
      </c>
      <c r="C364" s="1" t="n">
        <v>45930</v>
      </c>
      <c r="D364" t="inlineStr">
        <is>
          <t>SKÅNE LÄN</t>
        </is>
      </c>
      <c r="E364" t="inlineStr">
        <is>
          <t>HÄSSLEHOLM</t>
        </is>
      </c>
      <c r="G364" t="n">
        <v>1.3</v>
      </c>
      <c r="H364" t="n">
        <v>0</v>
      </c>
      <c r="I364" t="n">
        <v>0</v>
      </c>
      <c r="J364" t="n">
        <v>0</v>
      </c>
      <c r="K364" t="n">
        <v>0</v>
      </c>
      <c r="L364" t="n">
        <v>0</v>
      </c>
      <c r="M364" t="n">
        <v>0</v>
      </c>
      <c r="N364" t="n">
        <v>0</v>
      </c>
      <c r="O364" t="n">
        <v>0</v>
      </c>
      <c r="P364" t="n">
        <v>0</v>
      </c>
      <c r="Q364" t="n">
        <v>0</v>
      </c>
      <c r="R364" s="2" t="inlineStr"/>
    </row>
    <row r="365" ht="15" customHeight="1">
      <c r="A365" t="inlineStr">
        <is>
          <t>A 7476-2025</t>
        </is>
      </c>
      <c r="B365" s="1" t="n">
        <v>45702</v>
      </c>
      <c r="C365" s="1" t="n">
        <v>45930</v>
      </c>
      <c r="D365" t="inlineStr">
        <is>
          <t>SKÅNE LÄN</t>
        </is>
      </c>
      <c r="E365" t="inlineStr">
        <is>
          <t>HÄSSLEHOLM</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41400-2025</t>
        </is>
      </c>
      <c r="B366" s="1" t="n">
        <v>45901</v>
      </c>
      <c r="C366" s="1" t="n">
        <v>45930</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41401-2025</t>
        </is>
      </c>
      <c r="B367" s="1" t="n">
        <v>45901</v>
      </c>
      <c r="C367" s="1" t="n">
        <v>45930</v>
      </c>
      <c r="D367" t="inlineStr">
        <is>
          <t>SKÅNE LÄN</t>
        </is>
      </c>
      <c r="E367" t="inlineStr">
        <is>
          <t>HÄSSLEHOLM</t>
        </is>
      </c>
      <c r="G367" t="n">
        <v>0.4</v>
      </c>
      <c r="H367" t="n">
        <v>0</v>
      </c>
      <c r="I367" t="n">
        <v>0</v>
      </c>
      <c r="J367" t="n">
        <v>0</v>
      </c>
      <c r="K367" t="n">
        <v>0</v>
      </c>
      <c r="L367" t="n">
        <v>0</v>
      </c>
      <c r="M367" t="n">
        <v>0</v>
      </c>
      <c r="N367" t="n">
        <v>0</v>
      </c>
      <c r="O367" t="n">
        <v>0</v>
      </c>
      <c r="P367" t="n">
        <v>0</v>
      </c>
      <c r="Q367" t="n">
        <v>0</v>
      </c>
      <c r="R367" s="2" t="inlineStr"/>
    </row>
    <row r="368" ht="15" customHeight="1">
      <c r="A368" t="inlineStr">
        <is>
          <t>A 4009-2024</t>
        </is>
      </c>
      <c r="B368" s="1" t="n">
        <v>45323</v>
      </c>
      <c r="C368" s="1" t="n">
        <v>45930</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54659-2023</t>
        </is>
      </c>
      <c r="B369" s="1" t="n">
        <v>45235</v>
      </c>
      <c r="C369" s="1" t="n">
        <v>45930</v>
      </c>
      <c r="D369" t="inlineStr">
        <is>
          <t>SKÅNE LÄN</t>
        </is>
      </c>
      <c r="E369" t="inlineStr">
        <is>
          <t>HÄSSLEHOLM</t>
        </is>
      </c>
      <c r="G369" t="n">
        <v>5</v>
      </c>
      <c r="H369" t="n">
        <v>0</v>
      </c>
      <c r="I369" t="n">
        <v>0</v>
      </c>
      <c r="J369" t="n">
        <v>0</v>
      </c>
      <c r="K369" t="n">
        <v>0</v>
      </c>
      <c r="L369" t="n">
        <v>0</v>
      </c>
      <c r="M369" t="n">
        <v>0</v>
      </c>
      <c r="N369" t="n">
        <v>0</v>
      </c>
      <c r="O369" t="n">
        <v>0</v>
      </c>
      <c r="P369" t="n">
        <v>0</v>
      </c>
      <c r="Q369" t="n">
        <v>0</v>
      </c>
      <c r="R369" s="2" t="inlineStr"/>
    </row>
    <row r="370" ht="15" customHeight="1">
      <c r="A370" t="inlineStr">
        <is>
          <t>A 60848-2022</t>
        </is>
      </c>
      <c r="B370" s="1" t="n">
        <v>44914</v>
      </c>
      <c r="C370" s="1" t="n">
        <v>45930</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36706-2022</t>
        </is>
      </c>
      <c r="B371" s="1" t="n">
        <v>44805.32891203704</v>
      </c>
      <c r="C371" s="1" t="n">
        <v>45930</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441-2022</t>
        </is>
      </c>
      <c r="B372" s="1" t="n">
        <v>44565.97125</v>
      </c>
      <c r="C372" s="1" t="n">
        <v>45930</v>
      </c>
      <c r="D372" t="inlineStr">
        <is>
          <t>SKÅNE LÄN</t>
        </is>
      </c>
      <c r="E372" t="inlineStr">
        <is>
          <t>HÄSSLEHOLM</t>
        </is>
      </c>
      <c r="G372" t="n">
        <v>2.1</v>
      </c>
      <c r="H372" t="n">
        <v>0</v>
      </c>
      <c r="I372" t="n">
        <v>0</v>
      </c>
      <c r="J372" t="n">
        <v>0</v>
      </c>
      <c r="K372" t="n">
        <v>0</v>
      </c>
      <c r="L372" t="n">
        <v>0</v>
      </c>
      <c r="M372" t="n">
        <v>0</v>
      </c>
      <c r="N372" t="n">
        <v>0</v>
      </c>
      <c r="O372" t="n">
        <v>0</v>
      </c>
      <c r="P372" t="n">
        <v>0</v>
      </c>
      <c r="Q372" t="n">
        <v>0</v>
      </c>
      <c r="R372" s="2" t="inlineStr"/>
    </row>
    <row r="373" ht="15" customHeight="1">
      <c r="A373" t="inlineStr">
        <is>
          <t>A 12558-2023</t>
        </is>
      </c>
      <c r="B373" s="1" t="n">
        <v>45000.36103009259</v>
      </c>
      <c r="C373" s="1" t="n">
        <v>45930</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13673-2023</t>
        </is>
      </c>
      <c r="B374" s="1" t="n">
        <v>45006.87957175926</v>
      </c>
      <c r="C374" s="1" t="n">
        <v>45930</v>
      </c>
      <c r="D374" t="inlineStr">
        <is>
          <t>SKÅNE LÄN</t>
        </is>
      </c>
      <c r="E374" t="inlineStr">
        <is>
          <t>HÄSSLEHOLM</t>
        </is>
      </c>
      <c r="G374" t="n">
        <v>3.2</v>
      </c>
      <c r="H374" t="n">
        <v>0</v>
      </c>
      <c r="I374" t="n">
        <v>0</v>
      </c>
      <c r="J374" t="n">
        <v>0</v>
      </c>
      <c r="K374" t="n">
        <v>0</v>
      </c>
      <c r="L374" t="n">
        <v>0</v>
      </c>
      <c r="M374" t="n">
        <v>0</v>
      </c>
      <c r="N374" t="n">
        <v>0</v>
      </c>
      <c r="O374" t="n">
        <v>0</v>
      </c>
      <c r="P374" t="n">
        <v>0</v>
      </c>
      <c r="Q374" t="n">
        <v>0</v>
      </c>
      <c r="R374" s="2" t="inlineStr"/>
    </row>
    <row r="375" ht="15" customHeight="1">
      <c r="A375" t="inlineStr">
        <is>
          <t>A 57649-2022</t>
        </is>
      </c>
      <c r="B375" s="1" t="n">
        <v>44897.42755787037</v>
      </c>
      <c r="C375" s="1" t="n">
        <v>45930</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48844-2023</t>
        </is>
      </c>
      <c r="B376" s="1" t="n">
        <v>45209</v>
      </c>
      <c r="C376" s="1" t="n">
        <v>45930</v>
      </c>
      <c r="D376" t="inlineStr">
        <is>
          <t>SKÅNE LÄN</t>
        </is>
      </c>
      <c r="E376" t="inlineStr">
        <is>
          <t>HÄSSLEHOLM</t>
        </is>
      </c>
      <c r="G376" t="n">
        <v>4</v>
      </c>
      <c r="H376" t="n">
        <v>0</v>
      </c>
      <c r="I376" t="n">
        <v>0</v>
      </c>
      <c r="J376" t="n">
        <v>0</v>
      </c>
      <c r="K376" t="n">
        <v>0</v>
      </c>
      <c r="L376" t="n">
        <v>0</v>
      </c>
      <c r="M376" t="n">
        <v>0</v>
      </c>
      <c r="N376" t="n">
        <v>0</v>
      </c>
      <c r="O376" t="n">
        <v>0</v>
      </c>
      <c r="P376" t="n">
        <v>0</v>
      </c>
      <c r="Q376" t="n">
        <v>0</v>
      </c>
      <c r="R376" s="2" t="inlineStr"/>
    </row>
    <row r="377" ht="15" customHeight="1">
      <c r="A377" t="inlineStr">
        <is>
          <t>A 57665-2022</t>
        </is>
      </c>
      <c r="B377" s="1" t="n">
        <v>44897.4494212963</v>
      </c>
      <c r="C377" s="1" t="n">
        <v>45930</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57676-2022</t>
        </is>
      </c>
      <c r="B378" s="1" t="n">
        <v>44897</v>
      </c>
      <c r="C378" s="1" t="n">
        <v>45930</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3364-2023</t>
        </is>
      </c>
      <c r="B379" s="1" t="n">
        <v>44949</v>
      </c>
      <c r="C379" s="1" t="n">
        <v>45930</v>
      </c>
      <c r="D379" t="inlineStr">
        <is>
          <t>SKÅNE LÄN</t>
        </is>
      </c>
      <c r="E379" t="inlineStr">
        <is>
          <t>HÄSSLEHOLM</t>
        </is>
      </c>
      <c r="G379" t="n">
        <v>5.1</v>
      </c>
      <c r="H379" t="n">
        <v>0</v>
      </c>
      <c r="I379" t="n">
        <v>0</v>
      </c>
      <c r="J379" t="n">
        <v>0</v>
      </c>
      <c r="K379" t="n">
        <v>0</v>
      </c>
      <c r="L379" t="n">
        <v>0</v>
      </c>
      <c r="M379" t="n">
        <v>0</v>
      </c>
      <c r="N379" t="n">
        <v>0</v>
      </c>
      <c r="O379" t="n">
        <v>0</v>
      </c>
      <c r="P379" t="n">
        <v>0</v>
      </c>
      <c r="Q379" t="n">
        <v>0</v>
      </c>
      <c r="R379" s="2" t="inlineStr"/>
    </row>
    <row r="380" ht="15" customHeight="1">
      <c r="A380" t="inlineStr">
        <is>
          <t>A 2813-2021</t>
        </is>
      </c>
      <c r="B380" s="1" t="n">
        <v>44215</v>
      </c>
      <c r="C380" s="1" t="n">
        <v>45930</v>
      </c>
      <c r="D380" t="inlineStr">
        <is>
          <t>SKÅNE LÄN</t>
        </is>
      </c>
      <c r="E380" t="inlineStr">
        <is>
          <t>HÄSSLEHOLM</t>
        </is>
      </c>
      <c r="G380" t="n">
        <v>7.1</v>
      </c>
      <c r="H380" t="n">
        <v>0</v>
      </c>
      <c r="I380" t="n">
        <v>0</v>
      </c>
      <c r="J380" t="n">
        <v>0</v>
      </c>
      <c r="K380" t="n">
        <v>0</v>
      </c>
      <c r="L380" t="n">
        <v>0</v>
      </c>
      <c r="M380" t="n">
        <v>0</v>
      </c>
      <c r="N380" t="n">
        <v>0</v>
      </c>
      <c r="O380" t="n">
        <v>0</v>
      </c>
      <c r="P380" t="n">
        <v>0</v>
      </c>
      <c r="Q380" t="n">
        <v>0</v>
      </c>
      <c r="R380" s="2" t="inlineStr"/>
    </row>
    <row r="381" ht="15" customHeight="1">
      <c r="A381" t="inlineStr">
        <is>
          <t>A 54671-2022</t>
        </is>
      </c>
      <c r="B381" s="1" t="n">
        <v>44883</v>
      </c>
      <c r="C381" s="1" t="n">
        <v>45930</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53887-2023</t>
        </is>
      </c>
      <c r="B382" s="1" t="n">
        <v>45231.52675925926</v>
      </c>
      <c r="C382" s="1" t="n">
        <v>45930</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43629-2023</t>
        </is>
      </c>
      <c r="B383" s="1" t="n">
        <v>45184</v>
      </c>
      <c r="C383" s="1" t="n">
        <v>45930</v>
      </c>
      <c r="D383" t="inlineStr">
        <is>
          <t>SKÅNE LÄN</t>
        </is>
      </c>
      <c r="E383" t="inlineStr">
        <is>
          <t>HÄSSLEHOLM</t>
        </is>
      </c>
      <c r="G383" t="n">
        <v>0.5</v>
      </c>
      <c r="H383" t="n">
        <v>0</v>
      </c>
      <c r="I383" t="n">
        <v>0</v>
      </c>
      <c r="J383" t="n">
        <v>0</v>
      </c>
      <c r="K383" t="n">
        <v>0</v>
      </c>
      <c r="L383" t="n">
        <v>0</v>
      </c>
      <c r="M383" t="n">
        <v>0</v>
      </c>
      <c r="N383" t="n">
        <v>0</v>
      </c>
      <c r="O383" t="n">
        <v>0</v>
      </c>
      <c r="P383" t="n">
        <v>0</v>
      </c>
      <c r="Q383" t="n">
        <v>0</v>
      </c>
      <c r="R383" s="2" t="inlineStr"/>
    </row>
    <row r="384" ht="15" customHeight="1">
      <c r="A384" t="inlineStr">
        <is>
          <t>A 49167-2022</t>
        </is>
      </c>
      <c r="B384" s="1" t="n">
        <v>44860</v>
      </c>
      <c r="C384" s="1" t="n">
        <v>45930</v>
      </c>
      <c r="D384" t="inlineStr">
        <is>
          <t>SKÅNE LÄN</t>
        </is>
      </c>
      <c r="E384" t="inlineStr">
        <is>
          <t>HÄSSLEHOLM</t>
        </is>
      </c>
      <c r="G384" t="n">
        <v>1.3</v>
      </c>
      <c r="H384" t="n">
        <v>0</v>
      </c>
      <c r="I384" t="n">
        <v>0</v>
      </c>
      <c r="J384" t="n">
        <v>0</v>
      </c>
      <c r="K384" t="n">
        <v>0</v>
      </c>
      <c r="L384" t="n">
        <v>0</v>
      </c>
      <c r="M384" t="n">
        <v>0</v>
      </c>
      <c r="N384" t="n">
        <v>0</v>
      </c>
      <c r="O384" t="n">
        <v>0</v>
      </c>
      <c r="P384" t="n">
        <v>0</v>
      </c>
      <c r="Q384" t="n">
        <v>0</v>
      </c>
      <c r="R384" s="2" t="inlineStr"/>
    </row>
    <row r="385" ht="15" customHeight="1">
      <c r="A385" t="inlineStr">
        <is>
          <t>A 28071-2023</t>
        </is>
      </c>
      <c r="B385" s="1" t="n">
        <v>45099.37755787037</v>
      </c>
      <c r="C385" s="1" t="n">
        <v>45930</v>
      </c>
      <c r="D385" t="inlineStr">
        <is>
          <t>SKÅNE LÄN</t>
        </is>
      </c>
      <c r="E385" t="inlineStr">
        <is>
          <t>HÄSSLEHOLM</t>
        </is>
      </c>
      <c r="G385" t="n">
        <v>0.8</v>
      </c>
      <c r="H385" t="n">
        <v>0</v>
      </c>
      <c r="I385" t="n">
        <v>0</v>
      </c>
      <c r="J385" t="n">
        <v>0</v>
      </c>
      <c r="K385" t="n">
        <v>0</v>
      </c>
      <c r="L385" t="n">
        <v>0</v>
      </c>
      <c r="M385" t="n">
        <v>0</v>
      </c>
      <c r="N385" t="n">
        <v>0</v>
      </c>
      <c r="O385" t="n">
        <v>0</v>
      </c>
      <c r="P385" t="n">
        <v>0</v>
      </c>
      <c r="Q385" t="n">
        <v>0</v>
      </c>
      <c r="R385" s="2" t="inlineStr"/>
    </row>
    <row r="386" ht="15" customHeight="1">
      <c r="A386" t="inlineStr">
        <is>
          <t>A 57656-2022</t>
        </is>
      </c>
      <c r="B386" s="1" t="n">
        <v>44897.4325925926</v>
      </c>
      <c r="C386" s="1" t="n">
        <v>45930</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21329-2023</t>
        </is>
      </c>
      <c r="B387" s="1" t="n">
        <v>45062</v>
      </c>
      <c r="C387" s="1" t="n">
        <v>45930</v>
      </c>
      <c r="D387" t="inlineStr">
        <is>
          <t>SKÅNE LÄN</t>
        </is>
      </c>
      <c r="E387" t="inlineStr">
        <is>
          <t>HÄSSLEHOLM</t>
        </is>
      </c>
      <c r="G387" t="n">
        <v>1.1</v>
      </c>
      <c r="H387" t="n">
        <v>0</v>
      </c>
      <c r="I387" t="n">
        <v>0</v>
      </c>
      <c r="J387" t="n">
        <v>0</v>
      </c>
      <c r="K387" t="n">
        <v>0</v>
      </c>
      <c r="L387" t="n">
        <v>0</v>
      </c>
      <c r="M387" t="n">
        <v>0</v>
      </c>
      <c r="N387" t="n">
        <v>0</v>
      </c>
      <c r="O387" t="n">
        <v>0</v>
      </c>
      <c r="P387" t="n">
        <v>0</v>
      </c>
      <c r="Q387" t="n">
        <v>0</v>
      </c>
      <c r="R387" s="2" t="inlineStr"/>
    </row>
    <row r="388" ht="15" customHeight="1">
      <c r="A388" t="inlineStr">
        <is>
          <t>A 3507-2024</t>
        </is>
      </c>
      <c r="B388" s="1" t="n">
        <v>45320.4906712963</v>
      </c>
      <c r="C388" s="1" t="n">
        <v>45930</v>
      </c>
      <c r="D388" t="inlineStr">
        <is>
          <t>SKÅNE LÄN</t>
        </is>
      </c>
      <c r="E388" t="inlineStr">
        <is>
          <t>HÄSSLEHOLM</t>
        </is>
      </c>
      <c r="G388" t="n">
        <v>6.4</v>
      </c>
      <c r="H388" t="n">
        <v>0</v>
      </c>
      <c r="I388" t="n">
        <v>0</v>
      </c>
      <c r="J388" t="n">
        <v>0</v>
      </c>
      <c r="K388" t="n">
        <v>0</v>
      </c>
      <c r="L388" t="n">
        <v>0</v>
      </c>
      <c r="M388" t="n">
        <v>0</v>
      </c>
      <c r="N388" t="n">
        <v>0</v>
      </c>
      <c r="O388" t="n">
        <v>0</v>
      </c>
      <c r="P388" t="n">
        <v>0</v>
      </c>
      <c r="Q388" t="n">
        <v>0</v>
      </c>
      <c r="R388" s="2" t="inlineStr"/>
    </row>
    <row r="389" ht="15" customHeight="1">
      <c r="A389" t="inlineStr">
        <is>
          <t>A 4119-2024</t>
        </is>
      </c>
      <c r="B389" s="1" t="n">
        <v>45323.67920138889</v>
      </c>
      <c r="C389" s="1" t="n">
        <v>45930</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8250-2023</t>
        </is>
      </c>
      <c r="B390" s="1" t="n">
        <v>44974</v>
      </c>
      <c r="C390" s="1" t="n">
        <v>45930</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48877-2024</t>
        </is>
      </c>
      <c r="B391" s="1" t="n">
        <v>45594.31729166667</v>
      </c>
      <c r="C391" s="1" t="n">
        <v>45930</v>
      </c>
      <c r="D391" t="inlineStr">
        <is>
          <t>SKÅNE LÄN</t>
        </is>
      </c>
      <c r="E391" t="inlineStr">
        <is>
          <t>HÄSSLEHOLM</t>
        </is>
      </c>
      <c r="G391" t="n">
        <v>1.8</v>
      </c>
      <c r="H391" t="n">
        <v>0</v>
      </c>
      <c r="I391" t="n">
        <v>0</v>
      </c>
      <c r="J391" t="n">
        <v>0</v>
      </c>
      <c r="K391" t="n">
        <v>0</v>
      </c>
      <c r="L391" t="n">
        <v>0</v>
      </c>
      <c r="M391" t="n">
        <v>0</v>
      </c>
      <c r="N391" t="n">
        <v>0</v>
      </c>
      <c r="O391" t="n">
        <v>0</v>
      </c>
      <c r="P391" t="n">
        <v>0</v>
      </c>
      <c r="Q391" t="n">
        <v>0</v>
      </c>
      <c r="R391" s="2" t="inlineStr"/>
    </row>
    <row r="392" ht="15" customHeight="1">
      <c r="A392" t="inlineStr">
        <is>
          <t>A 47647-2024</t>
        </is>
      </c>
      <c r="B392" s="1" t="n">
        <v>45588</v>
      </c>
      <c r="C392" s="1" t="n">
        <v>45930</v>
      </c>
      <c r="D392" t="inlineStr">
        <is>
          <t>SKÅNE LÄN</t>
        </is>
      </c>
      <c r="E392" t="inlineStr">
        <is>
          <t>HÄSSLEHOLM</t>
        </is>
      </c>
      <c r="G392" t="n">
        <v>6.5</v>
      </c>
      <c r="H392" t="n">
        <v>0</v>
      </c>
      <c r="I392" t="n">
        <v>0</v>
      </c>
      <c r="J392" t="n">
        <v>0</v>
      </c>
      <c r="K392" t="n">
        <v>0</v>
      </c>
      <c r="L392" t="n">
        <v>0</v>
      </c>
      <c r="M392" t="n">
        <v>0</v>
      </c>
      <c r="N392" t="n">
        <v>0</v>
      </c>
      <c r="O392" t="n">
        <v>0</v>
      </c>
      <c r="P392" t="n">
        <v>0</v>
      </c>
      <c r="Q392" t="n">
        <v>0</v>
      </c>
      <c r="R392" s="2" t="inlineStr"/>
    </row>
    <row r="393" ht="15" customHeight="1">
      <c r="A393" t="inlineStr">
        <is>
          <t>A 6101-2022</t>
        </is>
      </c>
      <c r="B393" s="1" t="n">
        <v>44599.63016203704</v>
      </c>
      <c r="C393" s="1" t="n">
        <v>45930</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1619-2022</t>
        </is>
      </c>
      <c r="B394" s="1" t="n">
        <v>44573</v>
      </c>
      <c r="C394" s="1" t="n">
        <v>45930</v>
      </c>
      <c r="D394" t="inlineStr">
        <is>
          <t>SKÅNE LÄN</t>
        </is>
      </c>
      <c r="E394" t="inlineStr">
        <is>
          <t>HÄSSLEHOLM</t>
        </is>
      </c>
      <c r="G394" t="n">
        <v>1.8</v>
      </c>
      <c r="H394" t="n">
        <v>0</v>
      </c>
      <c r="I394" t="n">
        <v>0</v>
      </c>
      <c r="J394" t="n">
        <v>0</v>
      </c>
      <c r="K394" t="n">
        <v>0</v>
      </c>
      <c r="L394" t="n">
        <v>0</v>
      </c>
      <c r="M394" t="n">
        <v>0</v>
      </c>
      <c r="N394" t="n">
        <v>0</v>
      </c>
      <c r="O394" t="n">
        <v>0</v>
      </c>
      <c r="P394" t="n">
        <v>0</v>
      </c>
      <c r="Q394" t="n">
        <v>0</v>
      </c>
      <c r="R394" s="2" t="inlineStr"/>
    </row>
    <row r="395" ht="15" customHeight="1">
      <c r="A395" t="inlineStr">
        <is>
          <t>A 36085-2025</t>
        </is>
      </c>
      <c r="B395" s="1" t="n">
        <v>45866.46190972222</v>
      </c>
      <c r="C395" s="1" t="n">
        <v>45930</v>
      </c>
      <c r="D395" t="inlineStr">
        <is>
          <t>SKÅNE LÄN</t>
        </is>
      </c>
      <c r="E395" t="inlineStr">
        <is>
          <t>HÄSSLEHOLM</t>
        </is>
      </c>
      <c r="G395" t="n">
        <v>0.9</v>
      </c>
      <c r="H395" t="n">
        <v>0</v>
      </c>
      <c r="I395" t="n">
        <v>0</v>
      </c>
      <c r="J395" t="n">
        <v>0</v>
      </c>
      <c r="K395" t="n">
        <v>0</v>
      </c>
      <c r="L395" t="n">
        <v>0</v>
      </c>
      <c r="M395" t="n">
        <v>0</v>
      </c>
      <c r="N395" t="n">
        <v>0</v>
      </c>
      <c r="O395" t="n">
        <v>0</v>
      </c>
      <c r="P395" t="n">
        <v>0</v>
      </c>
      <c r="Q395" t="n">
        <v>0</v>
      </c>
      <c r="R395" s="2" t="inlineStr"/>
    </row>
    <row r="396" ht="15" customHeight="1">
      <c r="A396" t="inlineStr">
        <is>
          <t>A 45222-2023</t>
        </is>
      </c>
      <c r="B396" s="1" t="n">
        <v>45191</v>
      </c>
      <c r="C396" s="1" t="n">
        <v>45930</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13310-2025</t>
        </is>
      </c>
      <c r="B397" s="1" t="n">
        <v>45735.58814814815</v>
      </c>
      <c r="C397" s="1" t="n">
        <v>45930</v>
      </c>
      <c r="D397" t="inlineStr">
        <is>
          <t>SKÅNE LÄN</t>
        </is>
      </c>
      <c r="E397" t="inlineStr">
        <is>
          <t>HÄSSLEHOLM</t>
        </is>
      </c>
      <c r="G397" t="n">
        <v>2</v>
      </c>
      <c r="H397" t="n">
        <v>0</v>
      </c>
      <c r="I397" t="n">
        <v>0</v>
      </c>
      <c r="J397" t="n">
        <v>0</v>
      </c>
      <c r="K397" t="n">
        <v>0</v>
      </c>
      <c r="L397" t="n">
        <v>0</v>
      </c>
      <c r="M397" t="n">
        <v>0</v>
      </c>
      <c r="N397" t="n">
        <v>0</v>
      </c>
      <c r="O397" t="n">
        <v>0</v>
      </c>
      <c r="P397" t="n">
        <v>0</v>
      </c>
      <c r="Q397" t="n">
        <v>0</v>
      </c>
      <c r="R397" s="2" t="inlineStr"/>
    </row>
    <row r="398" ht="15" customHeight="1">
      <c r="A398" t="inlineStr">
        <is>
          <t>A 6842-2023</t>
        </is>
      </c>
      <c r="B398" s="1" t="n">
        <v>44967</v>
      </c>
      <c r="C398" s="1" t="n">
        <v>45930</v>
      </c>
      <c r="D398" t="inlineStr">
        <is>
          <t>SKÅNE LÄN</t>
        </is>
      </c>
      <c r="E398" t="inlineStr">
        <is>
          <t>HÄSSLEHOLM</t>
        </is>
      </c>
      <c r="G398" t="n">
        <v>1.9</v>
      </c>
      <c r="H398" t="n">
        <v>0</v>
      </c>
      <c r="I398" t="n">
        <v>0</v>
      </c>
      <c r="J398" t="n">
        <v>0</v>
      </c>
      <c r="K398" t="n">
        <v>0</v>
      </c>
      <c r="L398" t="n">
        <v>0</v>
      </c>
      <c r="M398" t="n">
        <v>0</v>
      </c>
      <c r="N398" t="n">
        <v>0</v>
      </c>
      <c r="O398" t="n">
        <v>0</v>
      </c>
      <c r="P398" t="n">
        <v>0</v>
      </c>
      <c r="Q398" t="n">
        <v>0</v>
      </c>
      <c r="R398" s="2" t="inlineStr"/>
    </row>
    <row r="399" ht="15" customHeight="1">
      <c r="A399" t="inlineStr">
        <is>
          <t>A 7202-2022</t>
        </is>
      </c>
      <c r="B399" s="1" t="n">
        <v>44606</v>
      </c>
      <c r="C399" s="1" t="n">
        <v>45930</v>
      </c>
      <c r="D399" t="inlineStr">
        <is>
          <t>SKÅNE LÄN</t>
        </is>
      </c>
      <c r="E399" t="inlineStr">
        <is>
          <t>HÄSSLEHOLM</t>
        </is>
      </c>
      <c r="G399" t="n">
        <v>4.7</v>
      </c>
      <c r="H399" t="n">
        <v>0</v>
      </c>
      <c r="I399" t="n">
        <v>0</v>
      </c>
      <c r="J399" t="n">
        <v>0</v>
      </c>
      <c r="K399" t="n">
        <v>0</v>
      </c>
      <c r="L399" t="n">
        <v>0</v>
      </c>
      <c r="M399" t="n">
        <v>0</v>
      </c>
      <c r="N399" t="n">
        <v>0</v>
      </c>
      <c r="O399" t="n">
        <v>0</v>
      </c>
      <c r="P399" t="n">
        <v>0</v>
      </c>
      <c r="Q399" t="n">
        <v>0</v>
      </c>
      <c r="R399" s="2" t="inlineStr"/>
    </row>
    <row r="400" ht="15" customHeight="1">
      <c r="A400" t="inlineStr">
        <is>
          <t>A 22132-2024</t>
        </is>
      </c>
      <c r="B400" s="1" t="n">
        <v>45444.37234953704</v>
      </c>
      <c r="C400" s="1" t="n">
        <v>45930</v>
      </c>
      <c r="D400" t="inlineStr">
        <is>
          <t>SKÅNE LÄN</t>
        </is>
      </c>
      <c r="E400" t="inlineStr">
        <is>
          <t>HÄSSLEHOLM</t>
        </is>
      </c>
      <c r="G400" t="n">
        <v>3.1</v>
      </c>
      <c r="H400" t="n">
        <v>0</v>
      </c>
      <c r="I400" t="n">
        <v>0</v>
      </c>
      <c r="J400" t="n">
        <v>0</v>
      </c>
      <c r="K400" t="n">
        <v>0</v>
      </c>
      <c r="L400" t="n">
        <v>0</v>
      </c>
      <c r="M400" t="n">
        <v>0</v>
      </c>
      <c r="N400" t="n">
        <v>0</v>
      </c>
      <c r="O400" t="n">
        <v>0</v>
      </c>
      <c r="P400" t="n">
        <v>0</v>
      </c>
      <c r="Q400" t="n">
        <v>0</v>
      </c>
      <c r="R400" s="2" t="inlineStr"/>
    </row>
    <row r="401" ht="15" customHeight="1">
      <c r="A401" t="inlineStr">
        <is>
          <t>A 54171-2022</t>
        </is>
      </c>
      <c r="B401" s="1" t="n">
        <v>44881</v>
      </c>
      <c r="C401" s="1" t="n">
        <v>45930</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25538-2024</t>
        </is>
      </c>
      <c r="B402" s="1" t="n">
        <v>45463</v>
      </c>
      <c r="C402" s="1" t="n">
        <v>45930</v>
      </c>
      <c r="D402" t="inlineStr">
        <is>
          <t>SKÅNE LÄN</t>
        </is>
      </c>
      <c r="E402" t="inlineStr">
        <is>
          <t>HÄSSLEHOLM</t>
        </is>
      </c>
      <c r="G402" t="n">
        <v>1.6</v>
      </c>
      <c r="H402" t="n">
        <v>0</v>
      </c>
      <c r="I402" t="n">
        <v>0</v>
      </c>
      <c r="J402" t="n">
        <v>0</v>
      </c>
      <c r="K402" t="n">
        <v>0</v>
      </c>
      <c r="L402" t="n">
        <v>0</v>
      </c>
      <c r="M402" t="n">
        <v>0</v>
      </c>
      <c r="N402" t="n">
        <v>0</v>
      </c>
      <c r="O402" t="n">
        <v>0</v>
      </c>
      <c r="P402" t="n">
        <v>0</v>
      </c>
      <c r="Q402" t="n">
        <v>0</v>
      </c>
      <c r="R402" s="2" t="inlineStr"/>
    </row>
    <row r="403" ht="15" customHeight="1">
      <c r="A403" t="inlineStr">
        <is>
          <t>A 42520-2025</t>
        </is>
      </c>
      <c r="B403" s="1" t="n">
        <v>45905.54846064815</v>
      </c>
      <c r="C403" s="1" t="n">
        <v>45930</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3245-2022</t>
        </is>
      </c>
      <c r="B404" s="1" t="n">
        <v>44583.39136574074</v>
      </c>
      <c r="C404" s="1" t="n">
        <v>45930</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36130-2025</t>
        </is>
      </c>
      <c r="B405" s="1" t="n">
        <v>45866.62273148148</v>
      </c>
      <c r="C405" s="1" t="n">
        <v>45930</v>
      </c>
      <c r="D405" t="inlineStr">
        <is>
          <t>SKÅNE LÄN</t>
        </is>
      </c>
      <c r="E405" t="inlineStr">
        <is>
          <t>HÄSSLEHOLM</t>
        </is>
      </c>
      <c r="G405" t="n">
        <v>4.7</v>
      </c>
      <c r="H405" t="n">
        <v>0</v>
      </c>
      <c r="I405" t="n">
        <v>0</v>
      </c>
      <c r="J405" t="n">
        <v>0</v>
      </c>
      <c r="K405" t="n">
        <v>0</v>
      </c>
      <c r="L405" t="n">
        <v>0</v>
      </c>
      <c r="M405" t="n">
        <v>0</v>
      </c>
      <c r="N405" t="n">
        <v>0</v>
      </c>
      <c r="O405" t="n">
        <v>0</v>
      </c>
      <c r="P405" t="n">
        <v>0</v>
      </c>
      <c r="Q405" t="n">
        <v>0</v>
      </c>
      <c r="R405" s="2" t="inlineStr"/>
    </row>
    <row r="406" ht="15" customHeight="1">
      <c r="A406" t="inlineStr">
        <is>
          <t>A 15055-2023</t>
        </is>
      </c>
      <c r="B406" s="1" t="n">
        <v>45015</v>
      </c>
      <c r="C406" s="1" t="n">
        <v>45930</v>
      </c>
      <c r="D406" t="inlineStr">
        <is>
          <t>SKÅNE LÄN</t>
        </is>
      </c>
      <c r="E406" t="inlineStr">
        <is>
          <t>HÄSSLEHOLM</t>
        </is>
      </c>
      <c r="G406" t="n">
        <v>1.9</v>
      </c>
      <c r="H406" t="n">
        <v>0</v>
      </c>
      <c r="I406" t="n">
        <v>0</v>
      </c>
      <c r="J406" t="n">
        <v>0</v>
      </c>
      <c r="K406" t="n">
        <v>0</v>
      </c>
      <c r="L406" t="n">
        <v>0</v>
      </c>
      <c r="M406" t="n">
        <v>0</v>
      </c>
      <c r="N406" t="n">
        <v>0</v>
      </c>
      <c r="O406" t="n">
        <v>0</v>
      </c>
      <c r="P406" t="n">
        <v>0</v>
      </c>
      <c r="Q406" t="n">
        <v>0</v>
      </c>
      <c r="R406" s="2" t="inlineStr"/>
    </row>
    <row r="407" ht="15" customHeight="1">
      <c r="A407" t="inlineStr">
        <is>
          <t>A 5054-2022</t>
        </is>
      </c>
      <c r="B407" s="1" t="n">
        <v>44593.69065972222</v>
      </c>
      <c r="C407" s="1" t="n">
        <v>45930</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19666-2025</t>
        </is>
      </c>
      <c r="B408" s="1" t="n">
        <v>45770.69326388889</v>
      </c>
      <c r="C408" s="1" t="n">
        <v>45930</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49181-2024</t>
        </is>
      </c>
      <c r="B409" s="1" t="n">
        <v>45595</v>
      </c>
      <c r="C409" s="1" t="n">
        <v>45930</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43332-2025</t>
        </is>
      </c>
      <c r="B410" s="1" t="n">
        <v>45910.70217592592</v>
      </c>
      <c r="C410" s="1" t="n">
        <v>45930</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3349-2023</t>
        </is>
      </c>
      <c r="B411" s="1" t="n">
        <v>44949</v>
      </c>
      <c r="C411" s="1" t="n">
        <v>45930</v>
      </c>
      <c r="D411" t="inlineStr">
        <is>
          <t>SKÅNE LÄN</t>
        </is>
      </c>
      <c r="E411" t="inlineStr">
        <is>
          <t>HÄSSLEHOLM</t>
        </is>
      </c>
      <c r="G411" t="n">
        <v>2.3</v>
      </c>
      <c r="H411" t="n">
        <v>0</v>
      </c>
      <c r="I411" t="n">
        <v>0</v>
      </c>
      <c r="J411" t="n">
        <v>0</v>
      </c>
      <c r="K411" t="n">
        <v>0</v>
      </c>
      <c r="L411" t="n">
        <v>0</v>
      </c>
      <c r="M411" t="n">
        <v>0</v>
      </c>
      <c r="N411" t="n">
        <v>0</v>
      </c>
      <c r="O411" t="n">
        <v>0</v>
      </c>
      <c r="P411" t="n">
        <v>0</v>
      </c>
      <c r="Q411" t="n">
        <v>0</v>
      </c>
      <c r="R411" s="2" t="inlineStr"/>
    </row>
    <row r="412" ht="15" customHeight="1">
      <c r="A412" t="inlineStr">
        <is>
          <t>A 25324-2024</t>
        </is>
      </c>
      <c r="B412" s="1" t="n">
        <v>45462.804375</v>
      </c>
      <c r="C412" s="1" t="n">
        <v>45930</v>
      </c>
      <c r="D412" t="inlineStr">
        <is>
          <t>SKÅNE LÄN</t>
        </is>
      </c>
      <c r="E412" t="inlineStr">
        <is>
          <t>HÄSSLEHOLM</t>
        </is>
      </c>
      <c r="G412" t="n">
        <v>0.2</v>
      </c>
      <c r="H412" t="n">
        <v>0</v>
      </c>
      <c r="I412" t="n">
        <v>0</v>
      </c>
      <c r="J412" t="n">
        <v>0</v>
      </c>
      <c r="K412" t="n">
        <v>0</v>
      </c>
      <c r="L412" t="n">
        <v>0</v>
      </c>
      <c r="M412" t="n">
        <v>0</v>
      </c>
      <c r="N412" t="n">
        <v>0</v>
      </c>
      <c r="O412" t="n">
        <v>0</v>
      </c>
      <c r="P412" t="n">
        <v>0</v>
      </c>
      <c r="Q412" t="n">
        <v>0</v>
      </c>
      <c r="R412" s="2" t="inlineStr"/>
    </row>
    <row r="413" ht="15" customHeight="1">
      <c r="A413" t="inlineStr">
        <is>
          <t>A 31255-2024</t>
        </is>
      </c>
      <c r="B413" s="1" t="n">
        <v>45503.69114583333</v>
      </c>
      <c r="C413" s="1" t="n">
        <v>45930</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36361-2025</t>
        </is>
      </c>
      <c r="B414" s="1" t="n">
        <v>45867</v>
      </c>
      <c r="C414" s="1" t="n">
        <v>45930</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6327-2021</t>
        </is>
      </c>
      <c r="B415" s="1" t="n">
        <v>44235</v>
      </c>
      <c r="C415" s="1" t="n">
        <v>45930</v>
      </c>
      <c r="D415" t="inlineStr">
        <is>
          <t>SKÅNE LÄN</t>
        </is>
      </c>
      <c r="E415" t="inlineStr">
        <is>
          <t>HÄSSLEHOLM</t>
        </is>
      </c>
      <c r="G415" t="n">
        <v>1.6</v>
      </c>
      <c r="H415" t="n">
        <v>0</v>
      </c>
      <c r="I415" t="n">
        <v>0</v>
      </c>
      <c r="J415" t="n">
        <v>0</v>
      </c>
      <c r="K415" t="n">
        <v>0</v>
      </c>
      <c r="L415" t="n">
        <v>0</v>
      </c>
      <c r="M415" t="n">
        <v>0</v>
      </c>
      <c r="N415" t="n">
        <v>0</v>
      </c>
      <c r="O415" t="n">
        <v>0</v>
      </c>
      <c r="P415" t="n">
        <v>0</v>
      </c>
      <c r="Q415" t="n">
        <v>0</v>
      </c>
      <c r="R415" s="2" t="inlineStr"/>
    </row>
    <row r="416" ht="15" customHeight="1">
      <c r="A416" t="inlineStr">
        <is>
          <t>A 4787-2023</t>
        </is>
      </c>
      <c r="B416" s="1" t="n">
        <v>44957.60079861111</v>
      </c>
      <c r="C416" s="1" t="n">
        <v>45930</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36358-2025</t>
        </is>
      </c>
      <c r="B417" s="1" t="n">
        <v>45867</v>
      </c>
      <c r="C417" s="1" t="n">
        <v>45930</v>
      </c>
      <c r="D417" t="inlineStr">
        <is>
          <t>SKÅNE LÄN</t>
        </is>
      </c>
      <c r="E417" t="inlineStr">
        <is>
          <t>HÄSSLEHOLM</t>
        </is>
      </c>
      <c r="G417" t="n">
        <v>2.8</v>
      </c>
      <c r="H417" t="n">
        <v>0</v>
      </c>
      <c r="I417" t="n">
        <v>0</v>
      </c>
      <c r="J417" t="n">
        <v>0</v>
      </c>
      <c r="K417" t="n">
        <v>0</v>
      </c>
      <c r="L417" t="n">
        <v>0</v>
      </c>
      <c r="M417" t="n">
        <v>0</v>
      </c>
      <c r="N417" t="n">
        <v>0</v>
      </c>
      <c r="O417" t="n">
        <v>0</v>
      </c>
      <c r="P417" t="n">
        <v>0</v>
      </c>
      <c r="Q417" t="n">
        <v>0</v>
      </c>
      <c r="R417" s="2" t="inlineStr"/>
    </row>
    <row r="418" ht="15" customHeight="1">
      <c r="A418" t="inlineStr">
        <is>
          <t>A 4788-2023</t>
        </is>
      </c>
      <c r="B418" s="1" t="n">
        <v>44957.60130787037</v>
      </c>
      <c r="C418" s="1" t="n">
        <v>45930</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36359-2025</t>
        </is>
      </c>
      <c r="B419" s="1" t="n">
        <v>45867</v>
      </c>
      <c r="C419" s="1" t="n">
        <v>45930</v>
      </c>
      <c r="D419" t="inlineStr">
        <is>
          <t>SKÅNE LÄN</t>
        </is>
      </c>
      <c r="E419" t="inlineStr">
        <is>
          <t>HÄSSLEHOLM</t>
        </is>
      </c>
      <c r="G419" t="n">
        <v>2.2</v>
      </c>
      <c r="H419" t="n">
        <v>0</v>
      </c>
      <c r="I419" t="n">
        <v>0</v>
      </c>
      <c r="J419" t="n">
        <v>0</v>
      </c>
      <c r="K419" t="n">
        <v>0</v>
      </c>
      <c r="L419" t="n">
        <v>0</v>
      </c>
      <c r="M419" t="n">
        <v>0</v>
      </c>
      <c r="N419" t="n">
        <v>0</v>
      </c>
      <c r="O419" t="n">
        <v>0</v>
      </c>
      <c r="P419" t="n">
        <v>0</v>
      </c>
      <c r="Q419" t="n">
        <v>0</v>
      </c>
      <c r="R419" s="2" t="inlineStr"/>
    </row>
    <row r="420" ht="15" customHeight="1">
      <c r="A420" t="inlineStr">
        <is>
          <t>A 49384-2021</t>
        </is>
      </c>
      <c r="B420" s="1" t="n">
        <v>44454</v>
      </c>
      <c r="C420" s="1" t="n">
        <v>45930</v>
      </c>
      <c r="D420" t="inlineStr">
        <is>
          <t>SKÅNE LÄN</t>
        </is>
      </c>
      <c r="E420" t="inlineStr">
        <is>
          <t>HÄSSLEHOLM</t>
        </is>
      </c>
      <c r="G420" t="n">
        <v>2.6</v>
      </c>
      <c r="H420" t="n">
        <v>0</v>
      </c>
      <c r="I420" t="n">
        <v>0</v>
      </c>
      <c r="J420" t="n">
        <v>0</v>
      </c>
      <c r="K420" t="n">
        <v>0</v>
      </c>
      <c r="L420" t="n">
        <v>0</v>
      </c>
      <c r="M420" t="n">
        <v>0</v>
      </c>
      <c r="N420" t="n">
        <v>0</v>
      </c>
      <c r="O420" t="n">
        <v>0</v>
      </c>
      <c r="P420" t="n">
        <v>0</v>
      </c>
      <c r="Q420" t="n">
        <v>0</v>
      </c>
      <c r="R420" s="2" t="inlineStr"/>
    </row>
    <row r="421" ht="15" customHeight="1">
      <c r="A421" t="inlineStr">
        <is>
          <t>A 36259-2025</t>
        </is>
      </c>
      <c r="B421" s="1" t="n">
        <v>45867.59799768519</v>
      </c>
      <c r="C421" s="1" t="n">
        <v>45930</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43869-2025</t>
        </is>
      </c>
      <c r="B422" s="1" t="n">
        <v>45912.66452546296</v>
      </c>
      <c r="C422" s="1" t="n">
        <v>45930</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32210-2024</t>
        </is>
      </c>
      <c r="B423" s="1" t="n">
        <v>45511.67777777778</v>
      </c>
      <c r="C423" s="1" t="n">
        <v>45930</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60959-2022</t>
        </is>
      </c>
      <c r="B424" s="1" t="n">
        <v>44914.64777777778</v>
      </c>
      <c r="C424" s="1" t="n">
        <v>45930</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59431-2023</t>
        </is>
      </c>
      <c r="B425" s="1" t="n">
        <v>45254.29207175926</v>
      </c>
      <c r="C425" s="1" t="n">
        <v>45930</v>
      </c>
      <c r="D425" t="inlineStr">
        <is>
          <t>SKÅNE LÄN</t>
        </is>
      </c>
      <c r="E425" t="inlineStr">
        <is>
          <t>HÄSSLEHOLM</t>
        </is>
      </c>
      <c r="G425" t="n">
        <v>1.7</v>
      </c>
      <c r="H425" t="n">
        <v>0</v>
      </c>
      <c r="I425" t="n">
        <v>0</v>
      </c>
      <c r="J425" t="n">
        <v>0</v>
      </c>
      <c r="K425" t="n">
        <v>0</v>
      </c>
      <c r="L425" t="n">
        <v>0</v>
      </c>
      <c r="M425" t="n">
        <v>0</v>
      </c>
      <c r="N425" t="n">
        <v>0</v>
      </c>
      <c r="O425" t="n">
        <v>0</v>
      </c>
      <c r="P425" t="n">
        <v>0</v>
      </c>
      <c r="Q425" t="n">
        <v>0</v>
      </c>
      <c r="R425" s="2" t="inlineStr"/>
    </row>
    <row r="426" ht="15" customHeight="1">
      <c r="A426" t="inlineStr">
        <is>
          <t>A 59433-2023</t>
        </is>
      </c>
      <c r="B426" s="1" t="n">
        <v>45254.29768518519</v>
      </c>
      <c r="C426" s="1" t="n">
        <v>45930</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23864-2024</t>
        </is>
      </c>
      <c r="B427" s="1" t="n">
        <v>45455</v>
      </c>
      <c r="C427" s="1" t="n">
        <v>45930</v>
      </c>
      <c r="D427" t="inlineStr">
        <is>
          <t>SKÅNE LÄN</t>
        </is>
      </c>
      <c r="E427" t="inlineStr">
        <is>
          <t>HÄSSLEHOLM</t>
        </is>
      </c>
      <c r="G427" t="n">
        <v>6.2</v>
      </c>
      <c r="H427" t="n">
        <v>0</v>
      </c>
      <c r="I427" t="n">
        <v>0</v>
      </c>
      <c r="J427" t="n">
        <v>0</v>
      </c>
      <c r="K427" t="n">
        <v>0</v>
      </c>
      <c r="L427" t="n">
        <v>0</v>
      </c>
      <c r="M427" t="n">
        <v>0</v>
      </c>
      <c r="N427" t="n">
        <v>0</v>
      </c>
      <c r="O427" t="n">
        <v>0</v>
      </c>
      <c r="P427" t="n">
        <v>0</v>
      </c>
      <c r="Q427" t="n">
        <v>0</v>
      </c>
      <c r="R427" s="2" t="inlineStr"/>
    </row>
    <row r="428" ht="15" customHeight="1">
      <c r="A428" t="inlineStr">
        <is>
          <t>A 3746-2024</t>
        </is>
      </c>
      <c r="B428" s="1" t="n">
        <v>45321.50745370371</v>
      </c>
      <c r="C428" s="1" t="n">
        <v>45930</v>
      </c>
      <c r="D428" t="inlineStr">
        <is>
          <t>SKÅNE LÄN</t>
        </is>
      </c>
      <c r="E428" t="inlineStr">
        <is>
          <t>HÄSSLEHOLM</t>
        </is>
      </c>
      <c r="G428" t="n">
        <v>3.4</v>
      </c>
      <c r="H428" t="n">
        <v>0</v>
      </c>
      <c r="I428" t="n">
        <v>0</v>
      </c>
      <c r="J428" t="n">
        <v>0</v>
      </c>
      <c r="K428" t="n">
        <v>0</v>
      </c>
      <c r="L428" t="n">
        <v>0</v>
      </c>
      <c r="M428" t="n">
        <v>0</v>
      </c>
      <c r="N428" t="n">
        <v>0</v>
      </c>
      <c r="O428" t="n">
        <v>0</v>
      </c>
      <c r="P428" t="n">
        <v>0</v>
      </c>
      <c r="Q428" t="n">
        <v>0</v>
      </c>
      <c r="R428" s="2" t="inlineStr"/>
    </row>
    <row r="429" ht="15" customHeight="1">
      <c r="A429" t="inlineStr">
        <is>
          <t>A 6638-2021</t>
        </is>
      </c>
      <c r="B429" s="1" t="n">
        <v>44235</v>
      </c>
      <c r="C429" s="1" t="n">
        <v>45930</v>
      </c>
      <c r="D429" t="inlineStr">
        <is>
          <t>SKÅNE LÄN</t>
        </is>
      </c>
      <c r="E429" t="inlineStr">
        <is>
          <t>HÄSSLEHOLM</t>
        </is>
      </c>
      <c r="G429" t="n">
        <v>112.4</v>
      </c>
      <c r="H429" t="n">
        <v>0</v>
      </c>
      <c r="I429" t="n">
        <v>0</v>
      </c>
      <c r="J429" t="n">
        <v>0</v>
      </c>
      <c r="K429" t="n">
        <v>0</v>
      </c>
      <c r="L429" t="n">
        <v>0</v>
      </c>
      <c r="M429" t="n">
        <v>0</v>
      </c>
      <c r="N429" t="n">
        <v>0</v>
      </c>
      <c r="O429" t="n">
        <v>0</v>
      </c>
      <c r="P429" t="n">
        <v>0</v>
      </c>
      <c r="Q429" t="n">
        <v>0</v>
      </c>
      <c r="R429" s="2" t="inlineStr"/>
    </row>
    <row r="430" ht="15" customHeight="1">
      <c r="A430" t="inlineStr">
        <is>
          <t>A 5478-2021</t>
        </is>
      </c>
      <c r="B430" s="1" t="n">
        <v>44230</v>
      </c>
      <c r="C430" s="1" t="n">
        <v>45930</v>
      </c>
      <c r="D430" t="inlineStr">
        <is>
          <t>SKÅNE LÄN</t>
        </is>
      </c>
      <c r="E430" t="inlineStr">
        <is>
          <t>HÄSSLEHOLM</t>
        </is>
      </c>
      <c r="G430" t="n">
        <v>0.1</v>
      </c>
      <c r="H430" t="n">
        <v>0</v>
      </c>
      <c r="I430" t="n">
        <v>0</v>
      </c>
      <c r="J430" t="n">
        <v>0</v>
      </c>
      <c r="K430" t="n">
        <v>0</v>
      </c>
      <c r="L430" t="n">
        <v>0</v>
      </c>
      <c r="M430" t="n">
        <v>0</v>
      </c>
      <c r="N430" t="n">
        <v>0</v>
      </c>
      <c r="O430" t="n">
        <v>0</v>
      </c>
      <c r="P430" t="n">
        <v>0</v>
      </c>
      <c r="Q430" t="n">
        <v>0</v>
      </c>
      <c r="R430" s="2" t="inlineStr"/>
    </row>
    <row r="431" ht="15" customHeight="1">
      <c r="A431" t="inlineStr">
        <is>
          <t>A 2290-2024</t>
        </is>
      </c>
      <c r="B431" s="1" t="n">
        <v>45310</v>
      </c>
      <c r="C431" s="1" t="n">
        <v>45930</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44262-2021</t>
        </is>
      </c>
      <c r="B432" s="1" t="n">
        <v>44434</v>
      </c>
      <c r="C432" s="1" t="n">
        <v>45930</v>
      </c>
      <c r="D432" t="inlineStr">
        <is>
          <t>SKÅNE LÄN</t>
        </is>
      </c>
      <c r="E432" t="inlineStr">
        <is>
          <t>HÄSSLEHOLM</t>
        </is>
      </c>
      <c r="G432" t="n">
        <v>4.7</v>
      </c>
      <c r="H432" t="n">
        <v>0</v>
      </c>
      <c r="I432" t="n">
        <v>0</v>
      </c>
      <c r="J432" t="n">
        <v>0</v>
      </c>
      <c r="K432" t="n">
        <v>0</v>
      </c>
      <c r="L432" t="n">
        <v>0</v>
      </c>
      <c r="M432" t="n">
        <v>0</v>
      </c>
      <c r="N432" t="n">
        <v>0</v>
      </c>
      <c r="O432" t="n">
        <v>0</v>
      </c>
      <c r="P432" t="n">
        <v>0</v>
      </c>
      <c r="Q432" t="n">
        <v>0</v>
      </c>
      <c r="R432" s="2" t="inlineStr"/>
    </row>
    <row r="433" ht="15" customHeight="1">
      <c r="A433" t="inlineStr">
        <is>
          <t>A 43741-2025</t>
        </is>
      </c>
      <c r="B433" s="1" t="n">
        <v>45912.45541666666</v>
      </c>
      <c r="C433" s="1" t="n">
        <v>45930</v>
      </c>
      <c r="D433" t="inlineStr">
        <is>
          <t>SKÅNE LÄN</t>
        </is>
      </c>
      <c r="E433" t="inlineStr">
        <is>
          <t>HÄSSLEHOLM</t>
        </is>
      </c>
      <c r="G433" t="n">
        <v>4.3</v>
      </c>
      <c r="H433" t="n">
        <v>0</v>
      </c>
      <c r="I433" t="n">
        <v>0</v>
      </c>
      <c r="J433" t="n">
        <v>0</v>
      </c>
      <c r="K433" t="n">
        <v>0</v>
      </c>
      <c r="L433" t="n">
        <v>0</v>
      </c>
      <c r="M433" t="n">
        <v>0</v>
      </c>
      <c r="N433" t="n">
        <v>0</v>
      </c>
      <c r="O433" t="n">
        <v>0</v>
      </c>
      <c r="P433" t="n">
        <v>0</v>
      </c>
      <c r="Q433" t="n">
        <v>0</v>
      </c>
      <c r="R433" s="2" t="inlineStr"/>
    </row>
    <row r="434" ht="15" customHeight="1">
      <c r="A434" t="inlineStr">
        <is>
          <t>A 43516-2025</t>
        </is>
      </c>
      <c r="B434" s="1" t="n">
        <v>45911</v>
      </c>
      <c r="C434" s="1" t="n">
        <v>45930</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1553-2023</t>
        </is>
      </c>
      <c r="B435" s="1" t="n">
        <v>44937</v>
      </c>
      <c r="C435" s="1" t="n">
        <v>45930</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1562-2023</t>
        </is>
      </c>
      <c r="B436" s="1" t="n">
        <v>44937.60450231482</v>
      </c>
      <c r="C436" s="1" t="n">
        <v>45930</v>
      </c>
      <c r="D436" t="inlineStr">
        <is>
          <t>SKÅNE LÄN</t>
        </is>
      </c>
      <c r="E436" t="inlineStr">
        <is>
          <t>HÄSSLEHOLM</t>
        </is>
      </c>
      <c r="G436" t="n">
        <v>2.7</v>
      </c>
      <c r="H436" t="n">
        <v>0</v>
      </c>
      <c r="I436" t="n">
        <v>0</v>
      </c>
      <c r="J436" t="n">
        <v>0</v>
      </c>
      <c r="K436" t="n">
        <v>0</v>
      </c>
      <c r="L436" t="n">
        <v>0</v>
      </c>
      <c r="M436" t="n">
        <v>0</v>
      </c>
      <c r="N436" t="n">
        <v>0</v>
      </c>
      <c r="O436" t="n">
        <v>0</v>
      </c>
      <c r="P436" t="n">
        <v>0</v>
      </c>
      <c r="Q436" t="n">
        <v>0</v>
      </c>
      <c r="R436" s="2" t="inlineStr"/>
    </row>
    <row r="437" ht="15" customHeight="1">
      <c r="A437" t="inlineStr">
        <is>
          <t>A 13316-2023</t>
        </is>
      </c>
      <c r="B437" s="1" t="n">
        <v>45005.39013888889</v>
      </c>
      <c r="C437" s="1" t="n">
        <v>45930</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54174-2022</t>
        </is>
      </c>
      <c r="B438" s="1" t="n">
        <v>44881</v>
      </c>
      <c r="C438" s="1" t="n">
        <v>45930</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52235-2021</t>
        </is>
      </c>
      <c r="B439" s="1" t="n">
        <v>44463.60085648148</v>
      </c>
      <c r="C439" s="1" t="n">
        <v>45930</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3452-2023</t>
        </is>
      </c>
      <c r="B440" s="1" t="n">
        <v>44949</v>
      </c>
      <c r="C440" s="1" t="n">
        <v>45930</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43333-2025</t>
        </is>
      </c>
      <c r="B441" s="1" t="n">
        <v>45910</v>
      </c>
      <c r="C441" s="1" t="n">
        <v>45930</v>
      </c>
      <c r="D441" t="inlineStr">
        <is>
          <t>SKÅNE LÄN</t>
        </is>
      </c>
      <c r="E441" t="inlineStr">
        <is>
          <t>HÄSSLEHOLM</t>
        </is>
      </c>
      <c r="G441" t="n">
        <v>10.1</v>
      </c>
      <c r="H441" t="n">
        <v>0</v>
      </c>
      <c r="I441" t="n">
        <v>0</v>
      </c>
      <c r="J441" t="n">
        <v>0</v>
      </c>
      <c r="K441" t="n">
        <v>0</v>
      </c>
      <c r="L441" t="n">
        <v>0</v>
      </c>
      <c r="M441" t="n">
        <v>0</v>
      </c>
      <c r="N441" t="n">
        <v>0</v>
      </c>
      <c r="O441" t="n">
        <v>0</v>
      </c>
      <c r="P441" t="n">
        <v>0</v>
      </c>
      <c r="Q441" t="n">
        <v>0</v>
      </c>
      <c r="R441" s="2" t="inlineStr"/>
    </row>
    <row r="442" ht="15" customHeight="1">
      <c r="A442" t="inlineStr">
        <is>
          <t>A 65235-2021</t>
        </is>
      </c>
      <c r="B442" s="1" t="n">
        <v>44515</v>
      </c>
      <c r="C442" s="1" t="n">
        <v>45930</v>
      </c>
      <c r="D442" t="inlineStr">
        <is>
          <t>SKÅNE LÄN</t>
        </is>
      </c>
      <c r="E442" t="inlineStr">
        <is>
          <t>HÄSSLEHOLM</t>
        </is>
      </c>
      <c r="G442" t="n">
        <v>2.5</v>
      </c>
      <c r="H442" t="n">
        <v>0</v>
      </c>
      <c r="I442" t="n">
        <v>0</v>
      </c>
      <c r="J442" t="n">
        <v>0</v>
      </c>
      <c r="K442" t="n">
        <v>0</v>
      </c>
      <c r="L442" t="n">
        <v>0</v>
      </c>
      <c r="M442" t="n">
        <v>0</v>
      </c>
      <c r="N442" t="n">
        <v>0</v>
      </c>
      <c r="O442" t="n">
        <v>0</v>
      </c>
      <c r="P442" t="n">
        <v>0</v>
      </c>
      <c r="Q442" t="n">
        <v>0</v>
      </c>
      <c r="R442" s="2" t="inlineStr"/>
    </row>
    <row r="443" ht="15" customHeight="1">
      <c r="A443" t="inlineStr">
        <is>
          <t>A 13358-2023</t>
        </is>
      </c>
      <c r="B443" s="1" t="n">
        <v>45005</v>
      </c>
      <c r="C443" s="1" t="n">
        <v>45930</v>
      </c>
      <c r="D443" t="inlineStr">
        <is>
          <t>SKÅNE LÄN</t>
        </is>
      </c>
      <c r="E443" t="inlineStr">
        <is>
          <t>HÄSSLEHOLM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5316-2023</t>
        </is>
      </c>
      <c r="B444" s="1" t="n">
        <v>44959</v>
      </c>
      <c r="C444" s="1" t="n">
        <v>45930</v>
      </c>
      <c r="D444" t="inlineStr">
        <is>
          <t>SKÅNE LÄN</t>
        </is>
      </c>
      <c r="E444" t="inlineStr">
        <is>
          <t>HÄSSLEHOLM</t>
        </is>
      </c>
      <c r="G444" t="n">
        <v>2.1</v>
      </c>
      <c r="H444" t="n">
        <v>0</v>
      </c>
      <c r="I444" t="n">
        <v>0</v>
      </c>
      <c r="J444" t="n">
        <v>0</v>
      </c>
      <c r="K444" t="n">
        <v>0</v>
      </c>
      <c r="L444" t="n">
        <v>0</v>
      </c>
      <c r="M444" t="n">
        <v>0</v>
      </c>
      <c r="N444" t="n">
        <v>0</v>
      </c>
      <c r="O444" t="n">
        <v>0</v>
      </c>
      <c r="P444" t="n">
        <v>0</v>
      </c>
      <c r="Q444" t="n">
        <v>0</v>
      </c>
      <c r="R444" s="2" t="inlineStr"/>
    </row>
    <row r="445" ht="15" customHeight="1">
      <c r="A445" t="inlineStr">
        <is>
          <t>A 32794-2023</t>
        </is>
      </c>
      <c r="B445" s="1" t="n">
        <v>45124.40446759259</v>
      </c>
      <c r="C445" s="1" t="n">
        <v>45930</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25726-2025</t>
        </is>
      </c>
      <c r="B446" s="1" t="n">
        <v>45803</v>
      </c>
      <c r="C446" s="1" t="n">
        <v>45930</v>
      </c>
      <c r="D446" t="inlineStr">
        <is>
          <t>SKÅNE LÄN</t>
        </is>
      </c>
      <c r="E446" t="inlineStr">
        <is>
          <t>HÄSSLEHOLM</t>
        </is>
      </c>
      <c r="G446" t="n">
        <v>5.5</v>
      </c>
      <c r="H446" t="n">
        <v>0</v>
      </c>
      <c r="I446" t="n">
        <v>0</v>
      </c>
      <c r="J446" t="n">
        <v>0</v>
      </c>
      <c r="K446" t="n">
        <v>0</v>
      </c>
      <c r="L446" t="n">
        <v>0</v>
      </c>
      <c r="M446" t="n">
        <v>0</v>
      </c>
      <c r="N446" t="n">
        <v>0</v>
      </c>
      <c r="O446" t="n">
        <v>0</v>
      </c>
      <c r="P446" t="n">
        <v>0</v>
      </c>
      <c r="Q446" t="n">
        <v>0</v>
      </c>
      <c r="R446" s="2" t="inlineStr"/>
    </row>
    <row r="447" ht="15" customHeight="1">
      <c r="A447" t="inlineStr">
        <is>
          <t>A 43738-2025</t>
        </is>
      </c>
      <c r="B447" s="1" t="n">
        <v>45912.45037037037</v>
      </c>
      <c r="C447" s="1" t="n">
        <v>45930</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53302-2022</t>
        </is>
      </c>
      <c r="B448" s="1" t="n">
        <v>44877</v>
      </c>
      <c r="C448" s="1" t="n">
        <v>45930</v>
      </c>
      <c r="D448" t="inlineStr">
        <is>
          <t>SKÅNE LÄN</t>
        </is>
      </c>
      <c r="E448" t="inlineStr">
        <is>
          <t>HÄSSLEHOLM</t>
        </is>
      </c>
      <c r="G448" t="n">
        <v>0.1</v>
      </c>
      <c r="H448" t="n">
        <v>0</v>
      </c>
      <c r="I448" t="n">
        <v>0</v>
      </c>
      <c r="J448" t="n">
        <v>0</v>
      </c>
      <c r="K448" t="n">
        <v>0</v>
      </c>
      <c r="L448" t="n">
        <v>0</v>
      </c>
      <c r="M448" t="n">
        <v>0</v>
      </c>
      <c r="N448" t="n">
        <v>0</v>
      </c>
      <c r="O448" t="n">
        <v>0</v>
      </c>
      <c r="P448" t="n">
        <v>0</v>
      </c>
      <c r="Q448" t="n">
        <v>0</v>
      </c>
      <c r="R448" s="2" t="inlineStr"/>
    </row>
    <row r="449" ht="15" customHeight="1">
      <c r="A449" t="inlineStr">
        <is>
          <t>A 28211-2022</t>
        </is>
      </c>
      <c r="B449" s="1" t="n">
        <v>44746</v>
      </c>
      <c r="C449" s="1" t="n">
        <v>45930</v>
      </c>
      <c r="D449" t="inlineStr">
        <is>
          <t>SKÅNE LÄN</t>
        </is>
      </c>
      <c r="E449" t="inlineStr">
        <is>
          <t>HÄSSLEHOLM</t>
        </is>
      </c>
      <c r="G449" t="n">
        <v>2.8</v>
      </c>
      <c r="H449" t="n">
        <v>0</v>
      </c>
      <c r="I449" t="n">
        <v>0</v>
      </c>
      <c r="J449" t="n">
        <v>0</v>
      </c>
      <c r="K449" t="n">
        <v>0</v>
      </c>
      <c r="L449" t="n">
        <v>0</v>
      </c>
      <c r="M449" t="n">
        <v>0</v>
      </c>
      <c r="N449" t="n">
        <v>0</v>
      </c>
      <c r="O449" t="n">
        <v>0</v>
      </c>
      <c r="P449" t="n">
        <v>0</v>
      </c>
      <c r="Q449" t="n">
        <v>0</v>
      </c>
      <c r="R449" s="2" t="inlineStr"/>
    </row>
    <row r="450" ht="15" customHeight="1">
      <c r="A450" t="inlineStr">
        <is>
          <t>A 2596-2024</t>
        </is>
      </c>
      <c r="B450" s="1" t="n">
        <v>45313.69969907407</v>
      </c>
      <c r="C450" s="1" t="n">
        <v>45930</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2681-2024</t>
        </is>
      </c>
      <c r="B451" s="1" t="n">
        <v>45314</v>
      </c>
      <c r="C451" s="1" t="n">
        <v>45930</v>
      </c>
      <c r="D451" t="inlineStr">
        <is>
          <t>SKÅNE LÄN</t>
        </is>
      </c>
      <c r="E451" t="inlineStr">
        <is>
          <t>HÄSSLEHOLM</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52642-2021</t>
        </is>
      </c>
      <c r="B452" s="1" t="n">
        <v>44466.64298611111</v>
      </c>
      <c r="C452" s="1" t="n">
        <v>45930</v>
      </c>
      <c r="D452" t="inlineStr">
        <is>
          <t>SKÅNE LÄN</t>
        </is>
      </c>
      <c r="E452" t="inlineStr">
        <is>
          <t>HÄSSLEHOLM</t>
        </is>
      </c>
      <c r="G452" t="n">
        <v>3.7</v>
      </c>
      <c r="H452" t="n">
        <v>0</v>
      </c>
      <c r="I452" t="n">
        <v>0</v>
      </c>
      <c r="J452" t="n">
        <v>0</v>
      </c>
      <c r="K452" t="n">
        <v>0</v>
      </c>
      <c r="L452" t="n">
        <v>0</v>
      </c>
      <c r="M452" t="n">
        <v>0</v>
      </c>
      <c r="N452" t="n">
        <v>0</v>
      </c>
      <c r="O452" t="n">
        <v>0</v>
      </c>
      <c r="P452" t="n">
        <v>0</v>
      </c>
      <c r="Q452" t="n">
        <v>0</v>
      </c>
      <c r="R452" s="2" t="inlineStr"/>
    </row>
    <row r="453" ht="15" customHeight="1">
      <c r="A453" t="inlineStr">
        <is>
          <t>A 29850-2024</t>
        </is>
      </c>
      <c r="B453" s="1" t="n">
        <v>45485.64620370371</v>
      </c>
      <c r="C453" s="1" t="n">
        <v>45930</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35711-2024</t>
        </is>
      </c>
      <c r="B454" s="1" t="n">
        <v>45532</v>
      </c>
      <c r="C454" s="1" t="n">
        <v>45930</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62041-2022</t>
        </is>
      </c>
      <c r="B455" s="1" t="n">
        <v>44918.55743055556</v>
      </c>
      <c r="C455" s="1" t="n">
        <v>45930</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12162-2023</t>
        </is>
      </c>
      <c r="B456" s="1" t="n">
        <v>44998.49619212963</v>
      </c>
      <c r="C456" s="1" t="n">
        <v>45930</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40734-2024</t>
        </is>
      </c>
      <c r="B457" s="1" t="n">
        <v>45558</v>
      </c>
      <c r="C457" s="1" t="n">
        <v>45930</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40738-2024</t>
        </is>
      </c>
      <c r="B458" s="1" t="n">
        <v>45558</v>
      </c>
      <c r="C458" s="1" t="n">
        <v>45930</v>
      </c>
      <c r="D458" t="inlineStr">
        <is>
          <t>SKÅNE LÄN</t>
        </is>
      </c>
      <c r="E458" t="inlineStr">
        <is>
          <t>HÄSSLEHOLM</t>
        </is>
      </c>
      <c r="G458" t="n">
        <v>2.6</v>
      </c>
      <c r="H458" t="n">
        <v>0</v>
      </c>
      <c r="I458" t="n">
        <v>0</v>
      </c>
      <c r="J458" t="n">
        <v>0</v>
      </c>
      <c r="K458" t="n">
        <v>0</v>
      </c>
      <c r="L458" t="n">
        <v>0</v>
      </c>
      <c r="M458" t="n">
        <v>0</v>
      </c>
      <c r="N458" t="n">
        <v>0</v>
      </c>
      <c r="O458" t="n">
        <v>0</v>
      </c>
      <c r="P458" t="n">
        <v>0</v>
      </c>
      <c r="Q458" t="n">
        <v>0</v>
      </c>
      <c r="R458" s="2" t="inlineStr"/>
    </row>
    <row r="459" ht="15" customHeight="1">
      <c r="A459" t="inlineStr">
        <is>
          <t>A 4187-2023</t>
        </is>
      </c>
      <c r="B459" s="1" t="n">
        <v>44953</v>
      </c>
      <c r="C459" s="1" t="n">
        <v>45930</v>
      </c>
      <c r="D459" t="inlineStr">
        <is>
          <t>SKÅNE LÄN</t>
        </is>
      </c>
      <c r="E459" t="inlineStr">
        <is>
          <t>HÄSSLEHOLM</t>
        </is>
      </c>
      <c r="G459" t="n">
        <v>3.2</v>
      </c>
      <c r="H459" t="n">
        <v>0</v>
      </c>
      <c r="I459" t="n">
        <v>0</v>
      </c>
      <c r="J459" t="n">
        <v>0</v>
      </c>
      <c r="K459" t="n">
        <v>0</v>
      </c>
      <c r="L459" t="n">
        <v>0</v>
      </c>
      <c r="M459" t="n">
        <v>0</v>
      </c>
      <c r="N459" t="n">
        <v>0</v>
      </c>
      <c r="O459" t="n">
        <v>0</v>
      </c>
      <c r="P459" t="n">
        <v>0</v>
      </c>
      <c r="Q459" t="n">
        <v>0</v>
      </c>
      <c r="R459" s="2" t="inlineStr"/>
    </row>
    <row r="460" ht="15" customHeight="1">
      <c r="A460" t="inlineStr">
        <is>
          <t>A 4382-2023</t>
        </is>
      </c>
      <c r="B460" s="1" t="n">
        <v>44955.61152777778</v>
      </c>
      <c r="C460" s="1" t="n">
        <v>45930</v>
      </c>
      <c r="D460" t="inlineStr">
        <is>
          <t>SKÅNE LÄN</t>
        </is>
      </c>
      <c r="E460" t="inlineStr">
        <is>
          <t>HÄSSLEHOLM</t>
        </is>
      </c>
      <c r="G460" t="n">
        <v>0.3</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45930</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45399-2022</t>
        </is>
      </c>
      <c r="B462" s="1" t="n">
        <v>44844.70513888889</v>
      </c>
      <c r="C462" s="1" t="n">
        <v>45930</v>
      </c>
      <c r="D462" t="inlineStr">
        <is>
          <t>SKÅNE LÄN</t>
        </is>
      </c>
      <c r="E462" t="inlineStr">
        <is>
          <t>HÄSSLEHOLM</t>
        </is>
      </c>
      <c r="G462" t="n">
        <v>0</v>
      </c>
      <c r="H462" t="n">
        <v>0</v>
      </c>
      <c r="I462" t="n">
        <v>0</v>
      </c>
      <c r="J462" t="n">
        <v>0</v>
      </c>
      <c r="K462" t="n">
        <v>0</v>
      </c>
      <c r="L462" t="n">
        <v>0</v>
      </c>
      <c r="M462" t="n">
        <v>0</v>
      </c>
      <c r="N462" t="n">
        <v>0</v>
      </c>
      <c r="O462" t="n">
        <v>0</v>
      </c>
      <c r="P462" t="n">
        <v>0</v>
      </c>
      <c r="Q462" t="n">
        <v>0</v>
      </c>
      <c r="R462" s="2" t="inlineStr"/>
    </row>
    <row r="463" ht="15" customHeight="1">
      <c r="A463" t="inlineStr">
        <is>
          <t>A 49379-2021</t>
        </is>
      </c>
      <c r="B463" s="1" t="n">
        <v>44454</v>
      </c>
      <c r="C463" s="1" t="n">
        <v>45930</v>
      </c>
      <c r="D463" t="inlineStr">
        <is>
          <t>SKÅNE LÄN</t>
        </is>
      </c>
      <c r="E463" t="inlineStr">
        <is>
          <t>HÄSSLEHOLM</t>
        </is>
      </c>
      <c r="G463" t="n">
        <v>1.4</v>
      </c>
      <c r="H463" t="n">
        <v>0</v>
      </c>
      <c r="I463" t="n">
        <v>0</v>
      </c>
      <c r="J463" t="n">
        <v>0</v>
      </c>
      <c r="K463" t="n">
        <v>0</v>
      </c>
      <c r="L463" t="n">
        <v>0</v>
      </c>
      <c r="M463" t="n">
        <v>0</v>
      </c>
      <c r="N463" t="n">
        <v>0</v>
      </c>
      <c r="O463" t="n">
        <v>0</v>
      </c>
      <c r="P463" t="n">
        <v>0</v>
      </c>
      <c r="Q463" t="n">
        <v>0</v>
      </c>
      <c r="R463" s="2" t="inlineStr"/>
    </row>
    <row r="464" ht="15" customHeight="1">
      <c r="A464" t="inlineStr">
        <is>
          <t>A 32881-2024</t>
        </is>
      </c>
      <c r="B464" s="1" t="n">
        <v>45516</v>
      </c>
      <c r="C464" s="1" t="n">
        <v>45930</v>
      </c>
      <c r="D464" t="inlineStr">
        <is>
          <t>SKÅNE LÄN</t>
        </is>
      </c>
      <c r="E464" t="inlineStr">
        <is>
          <t>HÄSSLEHOLM</t>
        </is>
      </c>
      <c r="G464" t="n">
        <v>6.3</v>
      </c>
      <c r="H464" t="n">
        <v>0</v>
      </c>
      <c r="I464" t="n">
        <v>0</v>
      </c>
      <c r="J464" t="n">
        <v>0</v>
      </c>
      <c r="K464" t="n">
        <v>0</v>
      </c>
      <c r="L464" t="n">
        <v>0</v>
      </c>
      <c r="M464" t="n">
        <v>0</v>
      </c>
      <c r="N464" t="n">
        <v>0</v>
      </c>
      <c r="O464" t="n">
        <v>0</v>
      </c>
      <c r="P464" t="n">
        <v>0</v>
      </c>
      <c r="Q464" t="n">
        <v>0</v>
      </c>
      <c r="R464" s="2" t="inlineStr"/>
    </row>
    <row r="465" ht="15" customHeight="1">
      <c r="A465" t="inlineStr">
        <is>
          <t>A 2743-2023</t>
        </is>
      </c>
      <c r="B465" s="1" t="n">
        <v>44944</v>
      </c>
      <c r="C465" s="1" t="n">
        <v>45930</v>
      </c>
      <c r="D465" t="inlineStr">
        <is>
          <t>SKÅNE LÄN</t>
        </is>
      </c>
      <c r="E465" t="inlineStr">
        <is>
          <t>HÄSSLEHOLM</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14702-2025</t>
        </is>
      </c>
      <c r="B466" s="1" t="n">
        <v>45742.60403935185</v>
      </c>
      <c r="C466" s="1" t="n">
        <v>45930</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9669-2025</t>
        </is>
      </c>
      <c r="B467" s="1" t="n">
        <v>45716.32921296296</v>
      </c>
      <c r="C467" s="1" t="n">
        <v>45930</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59109-2023</t>
        </is>
      </c>
      <c r="B468" s="1" t="n">
        <v>45253.30819444444</v>
      </c>
      <c r="C468" s="1" t="n">
        <v>45930</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49107-2023</t>
        </is>
      </c>
      <c r="B469" s="1" t="n">
        <v>45210.44337962963</v>
      </c>
      <c r="C469" s="1" t="n">
        <v>45930</v>
      </c>
      <c r="D469" t="inlineStr">
        <is>
          <t>SKÅNE LÄN</t>
        </is>
      </c>
      <c r="E469" t="inlineStr">
        <is>
          <t>HÄSSLEHOLM</t>
        </is>
      </c>
      <c r="G469" t="n">
        <v>0.3</v>
      </c>
      <c r="H469" t="n">
        <v>0</v>
      </c>
      <c r="I469" t="n">
        <v>0</v>
      </c>
      <c r="J469" t="n">
        <v>0</v>
      </c>
      <c r="K469" t="n">
        <v>0</v>
      </c>
      <c r="L469" t="n">
        <v>0</v>
      </c>
      <c r="M469" t="n">
        <v>0</v>
      </c>
      <c r="N469" t="n">
        <v>0</v>
      </c>
      <c r="O469" t="n">
        <v>0</v>
      </c>
      <c r="P469" t="n">
        <v>0</v>
      </c>
      <c r="Q469" t="n">
        <v>0</v>
      </c>
      <c r="R469" s="2" t="inlineStr"/>
    </row>
    <row r="470" ht="15" customHeight="1">
      <c r="A470" t="inlineStr">
        <is>
          <t>A 5282-2023</t>
        </is>
      </c>
      <c r="B470" s="1" t="n">
        <v>44959.50471064815</v>
      </c>
      <c r="C470" s="1" t="n">
        <v>45930</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6180-2021</t>
        </is>
      </c>
      <c r="B471" s="1" t="n">
        <v>44232</v>
      </c>
      <c r="C471" s="1" t="n">
        <v>45930</v>
      </c>
      <c r="D471" t="inlineStr">
        <is>
          <t>SKÅNE LÄN</t>
        </is>
      </c>
      <c r="E471" t="inlineStr">
        <is>
          <t>HÄSSLEHOLM</t>
        </is>
      </c>
      <c r="F471" t="inlineStr">
        <is>
          <t>Kyrkan</t>
        </is>
      </c>
      <c r="G471" t="n">
        <v>1.1</v>
      </c>
      <c r="H471" t="n">
        <v>0</v>
      </c>
      <c r="I471" t="n">
        <v>0</v>
      </c>
      <c r="J471" t="n">
        <v>0</v>
      </c>
      <c r="K471" t="n">
        <v>0</v>
      </c>
      <c r="L471" t="n">
        <v>0</v>
      </c>
      <c r="M471" t="n">
        <v>0</v>
      </c>
      <c r="N471" t="n">
        <v>0</v>
      </c>
      <c r="O471" t="n">
        <v>0</v>
      </c>
      <c r="P471" t="n">
        <v>0</v>
      </c>
      <c r="Q471" t="n">
        <v>0</v>
      </c>
      <c r="R471" s="2" t="inlineStr"/>
    </row>
    <row r="472" ht="15" customHeight="1">
      <c r="A472" t="inlineStr">
        <is>
          <t>A 62044-2022</t>
        </is>
      </c>
      <c r="B472" s="1" t="n">
        <v>44918.55976851852</v>
      </c>
      <c r="C472" s="1" t="n">
        <v>45930</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53897-2023</t>
        </is>
      </c>
      <c r="B473" s="1" t="n">
        <v>45231.53934027778</v>
      </c>
      <c r="C473" s="1" t="n">
        <v>45930</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6164-2023</t>
        </is>
      </c>
      <c r="B474" s="1" t="n">
        <v>44964.66871527778</v>
      </c>
      <c r="C474" s="1" t="n">
        <v>45930</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8209-2025</t>
        </is>
      </c>
      <c r="B475" s="1" t="n">
        <v>45708.44244212963</v>
      </c>
      <c r="C475" s="1" t="n">
        <v>45930</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36938-2025</t>
        </is>
      </c>
      <c r="B476" s="1" t="n">
        <v>45874.58476851852</v>
      </c>
      <c r="C476" s="1" t="n">
        <v>45930</v>
      </c>
      <c r="D476" t="inlineStr">
        <is>
          <t>SKÅNE LÄN</t>
        </is>
      </c>
      <c r="E476" t="inlineStr">
        <is>
          <t>HÄSSLEHOLM</t>
        </is>
      </c>
      <c r="G476" t="n">
        <v>3.7</v>
      </c>
      <c r="H476" t="n">
        <v>0</v>
      </c>
      <c r="I476" t="n">
        <v>0</v>
      </c>
      <c r="J476" t="n">
        <v>0</v>
      </c>
      <c r="K476" t="n">
        <v>0</v>
      </c>
      <c r="L476" t="n">
        <v>0</v>
      </c>
      <c r="M476" t="n">
        <v>0</v>
      </c>
      <c r="N476" t="n">
        <v>0</v>
      </c>
      <c r="O476" t="n">
        <v>0</v>
      </c>
      <c r="P476" t="n">
        <v>0</v>
      </c>
      <c r="Q476" t="n">
        <v>0</v>
      </c>
      <c r="R476" s="2" t="inlineStr"/>
    </row>
    <row r="477" ht="15" customHeight="1">
      <c r="A477" t="inlineStr">
        <is>
          <t>A 58888-2024</t>
        </is>
      </c>
      <c r="B477" s="1" t="n">
        <v>45636.45962962963</v>
      </c>
      <c r="C477" s="1" t="n">
        <v>45930</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20990-2023</t>
        </is>
      </c>
      <c r="B478" s="1" t="n">
        <v>45061.46186342592</v>
      </c>
      <c r="C478" s="1" t="n">
        <v>45930</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37318-2024</t>
        </is>
      </c>
      <c r="B479" s="1" t="n">
        <v>45540</v>
      </c>
      <c r="C479" s="1" t="n">
        <v>45930</v>
      </c>
      <c r="D479" t="inlineStr">
        <is>
          <t>SKÅNE LÄN</t>
        </is>
      </c>
      <c r="E479" t="inlineStr">
        <is>
          <t>HÄSSLEHOLM</t>
        </is>
      </c>
      <c r="G479" t="n">
        <v>3.9</v>
      </c>
      <c r="H479" t="n">
        <v>0</v>
      </c>
      <c r="I479" t="n">
        <v>0</v>
      </c>
      <c r="J479" t="n">
        <v>0</v>
      </c>
      <c r="K479" t="n">
        <v>0</v>
      </c>
      <c r="L479" t="n">
        <v>0</v>
      </c>
      <c r="M479" t="n">
        <v>0</v>
      </c>
      <c r="N479" t="n">
        <v>0</v>
      </c>
      <c r="O479" t="n">
        <v>0</v>
      </c>
      <c r="P479" t="n">
        <v>0</v>
      </c>
      <c r="Q479" t="n">
        <v>0</v>
      </c>
      <c r="R479" s="2" t="inlineStr"/>
    </row>
    <row r="480" ht="15" customHeight="1">
      <c r="A480" t="inlineStr">
        <is>
          <t>A 58891-2022</t>
        </is>
      </c>
      <c r="B480" s="1" t="n">
        <v>44896</v>
      </c>
      <c r="C480" s="1" t="n">
        <v>45930</v>
      </c>
      <c r="D480" t="inlineStr">
        <is>
          <t>SKÅNE LÄN</t>
        </is>
      </c>
      <c r="E480" t="inlineStr">
        <is>
          <t>HÄSSLEHOLM</t>
        </is>
      </c>
      <c r="F480" t="inlineStr">
        <is>
          <t>Kyrkan</t>
        </is>
      </c>
      <c r="G480" t="n">
        <v>1.6</v>
      </c>
      <c r="H480" t="n">
        <v>0</v>
      </c>
      <c r="I480" t="n">
        <v>0</v>
      </c>
      <c r="J480" t="n">
        <v>0</v>
      </c>
      <c r="K480" t="n">
        <v>0</v>
      </c>
      <c r="L480" t="n">
        <v>0</v>
      </c>
      <c r="M480" t="n">
        <v>0</v>
      </c>
      <c r="N480" t="n">
        <v>0</v>
      </c>
      <c r="O480" t="n">
        <v>0</v>
      </c>
      <c r="P480" t="n">
        <v>0</v>
      </c>
      <c r="Q480" t="n">
        <v>0</v>
      </c>
      <c r="R480" s="2" t="inlineStr"/>
    </row>
    <row r="481" ht="15" customHeight="1">
      <c r="A481" t="inlineStr">
        <is>
          <t>A 37324-2024</t>
        </is>
      </c>
      <c r="B481" s="1" t="n">
        <v>45540.50104166667</v>
      </c>
      <c r="C481" s="1" t="n">
        <v>45930</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25176-2024</t>
        </is>
      </c>
      <c r="B482" s="1" t="n">
        <v>45462.54582175926</v>
      </c>
      <c r="C482" s="1" t="n">
        <v>45930</v>
      </c>
      <c r="D482" t="inlineStr">
        <is>
          <t>SKÅNE LÄN</t>
        </is>
      </c>
      <c r="E482" t="inlineStr">
        <is>
          <t>HÄSSLEHOLM</t>
        </is>
      </c>
      <c r="G482" t="n">
        <v>3.8</v>
      </c>
      <c r="H482" t="n">
        <v>0</v>
      </c>
      <c r="I482" t="n">
        <v>0</v>
      </c>
      <c r="J482" t="n">
        <v>0</v>
      </c>
      <c r="K482" t="n">
        <v>0</v>
      </c>
      <c r="L482" t="n">
        <v>0</v>
      </c>
      <c r="M482" t="n">
        <v>0</v>
      </c>
      <c r="N482" t="n">
        <v>0</v>
      </c>
      <c r="O482" t="n">
        <v>0</v>
      </c>
      <c r="P482" t="n">
        <v>0</v>
      </c>
      <c r="Q482" t="n">
        <v>0</v>
      </c>
      <c r="R482" s="2" t="inlineStr"/>
    </row>
    <row r="483" ht="15" customHeight="1">
      <c r="A483" t="inlineStr">
        <is>
          <t>A 44330-2025</t>
        </is>
      </c>
      <c r="B483" s="1" t="n">
        <v>45916.42120370371</v>
      </c>
      <c r="C483" s="1" t="n">
        <v>45930</v>
      </c>
      <c r="D483" t="inlineStr">
        <is>
          <t>SKÅNE LÄN</t>
        </is>
      </c>
      <c r="E483" t="inlineStr">
        <is>
          <t>HÄSSLEHOLM</t>
        </is>
      </c>
      <c r="G483" t="n">
        <v>2.7</v>
      </c>
      <c r="H483" t="n">
        <v>0</v>
      </c>
      <c r="I483" t="n">
        <v>0</v>
      </c>
      <c r="J483" t="n">
        <v>0</v>
      </c>
      <c r="K483" t="n">
        <v>0</v>
      </c>
      <c r="L483" t="n">
        <v>0</v>
      </c>
      <c r="M483" t="n">
        <v>0</v>
      </c>
      <c r="N483" t="n">
        <v>0</v>
      </c>
      <c r="O483" t="n">
        <v>0</v>
      </c>
      <c r="P483" t="n">
        <v>0</v>
      </c>
      <c r="Q483" t="n">
        <v>0</v>
      </c>
      <c r="R483" s="2" t="inlineStr"/>
    </row>
    <row r="484" ht="15" customHeight="1">
      <c r="A484" t="inlineStr">
        <is>
          <t>A 22696-2023</t>
        </is>
      </c>
      <c r="B484" s="1" t="n">
        <v>45071.69464120371</v>
      </c>
      <c r="C484" s="1" t="n">
        <v>45930</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33873-2021</t>
        </is>
      </c>
      <c r="B485" s="1" t="n">
        <v>44378</v>
      </c>
      <c r="C485" s="1" t="n">
        <v>45930</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34348-2022</t>
        </is>
      </c>
      <c r="B486" s="1" t="n">
        <v>44792</v>
      </c>
      <c r="C486" s="1" t="n">
        <v>45930</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6836-2023</t>
        </is>
      </c>
      <c r="B487" s="1" t="n">
        <v>44967</v>
      </c>
      <c r="C487" s="1" t="n">
        <v>45930</v>
      </c>
      <c r="D487" t="inlineStr">
        <is>
          <t>SKÅNE LÄN</t>
        </is>
      </c>
      <c r="E487" t="inlineStr">
        <is>
          <t>HÄSSLEHOLM</t>
        </is>
      </c>
      <c r="G487" t="n">
        <v>3.5</v>
      </c>
      <c r="H487" t="n">
        <v>0</v>
      </c>
      <c r="I487" t="n">
        <v>0</v>
      </c>
      <c r="J487" t="n">
        <v>0</v>
      </c>
      <c r="K487" t="n">
        <v>0</v>
      </c>
      <c r="L487" t="n">
        <v>0</v>
      </c>
      <c r="M487" t="n">
        <v>0</v>
      </c>
      <c r="N487" t="n">
        <v>0</v>
      </c>
      <c r="O487" t="n">
        <v>0</v>
      </c>
      <c r="P487" t="n">
        <v>0</v>
      </c>
      <c r="Q487" t="n">
        <v>0</v>
      </c>
      <c r="R487" s="2" t="inlineStr"/>
    </row>
    <row r="488" ht="15" customHeight="1">
      <c r="A488" t="inlineStr">
        <is>
          <t>A 31931-2024</t>
        </is>
      </c>
      <c r="B488" s="1" t="n">
        <v>45510.40878472223</v>
      </c>
      <c r="C488" s="1" t="n">
        <v>45930</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8803-2023</t>
        </is>
      </c>
      <c r="B489" s="1" t="n">
        <v>44978.61712962963</v>
      </c>
      <c r="C489" s="1" t="n">
        <v>45930</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11446-2025</t>
        </is>
      </c>
      <c r="B490" s="1" t="n">
        <v>45726</v>
      </c>
      <c r="C490" s="1" t="n">
        <v>45930</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11681-2023</t>
        </is>
      </c>
      <c r="B491" s="1" t="n">
        <v>44992</v>
      </c>
      <c r="C491" s="1" t="n">
        <v>45930</v>
      </c>
      <c r="D491" t="inlineStr">
        <is>
          <t>SKÅNE LÄN</t>
        </is>
      </c>
      <c r="E491" t="inlineStr">
        <is>
          <t>HÄSSLEHOLM</t>
        </is>
      </c>
      <c r="F491" t="inlineStr">
        <is>
          <t>Övriga Aktiebolag</t>
        </is>
      </c>
      <c r="G491" t="n">
        <v>1.6</v>
      </c>
      <c r="H491" t="n">
        <v>0</v>
      </c>
      <c r="I491" t="n">
        <v>0</v>
      </c>
      <c r="J491" t="n">
        <v>0</v>
      </c>
      <c r="K491" t="n">
        <v>0</v>
      </c>
      <c r="L491" t="n">
        <v>0</v>
      </c>
      <c r="M491" t="n">
        <v>0</v>
      </c>
      <c r="N491" t="n">
        <v>0</v>
      </c>
      <c r="O491" t="n">
        <v>0</v>
      </c>
      <c r="P491" t="n">
        <v>0</v>
      </c>
      <c r="Q491" t="n">
        <v>0</v>
      </c>
      <c r="R491" s="2" t="inlineStr"/>
    </row>
    <row r="492" ht="15" customHeight="1">
      <c r="A492" t="inlineStr">
        <is>
          <t>A 21028-2021</t>
        </is>
      </c>
      <c r="B492" s="1" t="n">
        <v>44319</v>
      </c>
      <c r="C492" s="1" t="n">
        <v>45930</v>
      </c>
      <c r="D492" t="inlineStr">
        <is>
          <t>SKÅNE LÄN</t>
        </is>
      </c>
      <c r="E492" t="inlineStr">
        <is>
          <t>HÄSSLEHOLM</t>
        </is>
      </c>
      <c r="G492" t="n">
        <v>3.1</v>
      </c>
      <c r="H492" t="n">
        <v>0</v>
      </c>
      <c r="I492" t="n">
        <v>0</v>
      </c>
      <c r="J492" t="n">
        <v>0</v>
      </c>
      <c r="K492" t="n">
        <v>0</v>
      </c>
      <c r="L492" t="n">
        <v>0</v>
      </c>
      <c r="M492" t="n">
        <v>0</v>
      </c>
      <c r="N492" t="n">
        <v>0</v>
      </c>
      <c r="O492" t="n">
        <v>0</v>
      </c>
      <c r="P492" t="n">
        <v>0</v>
      </c>
      <c r="Q492" t="n">
        <v>0</v>
      </c>
      <c r="R492" s="2" t="inlineStr"/>
    </row>
    <row r="493" ht="15" customHeight="1">
      <c r="A493" t="inlineStr">
        <is>
          <t>A 46222-2022</t>
        </is>
      </c>
      <c r="B493" s="1" t="n">
        <v>44847.58725694445</v>
      </c>
      <c r="C493" s="1" t="n">
        <v>45930</v>
      </c>
      <c r="D493" t="inlineStr">
        <is>
          <t>SKÅNE LÄN</t>
        </is>
      </c>
      <c r="E493" t="inlineStr">
        <is>
          <t>HÄSSLEHOLM</t>
        </is>
      </c>
      <c r="G493" t="n">
        <v>6.3</v>
      </c>
      <c r="H493" t="n">
        <v>0</v>
      </c>
      <c r="I493" t="n">
        <v>0</v>
      </c>
      <c r="J493" t="n">
        <v>0</v>
      </c>
      <c r="K493" t="n">
        <v>0</v>
      </c>
      <c r="L493" t="n">
        <v>0</v>
      </c>
      <c r="M493" t="n">
        <v>0</v>
      </c>
      <c r="N493" t="n">
        <v>0</v>
      </c>
      <c r="O493" t="n">
        <v>0</v>
      </c>
      <c r="P493" t="n">
        <v>0</v>
      </c>
      <c r="Q493" t="n">
        <v>0</v>
      </c>
      <c r="R493" s="2" t="inlineStr"/>
    </row>
    <row r="494" ht="15" customHeight="1">
      <c r="A494" t="inlineStr">
        <is>
          <t>A 50046-2020</t>
        </is>
      </c>
      <c r="B494" s="1" t="n">
        <v>44109</v>
      </c>
      <c r="C494" s="1" t="n">
        <v>45930</v>
      </c>
      <c r="D494" t="inlineStr">
        <is>
          <t>SKÅNE LÄN</t>
        </is>
      </c>
      <c r="E494" t="inlineStr">
        <is>
          <t>HÄSSLEHOLM</t>
        </is>
      </c>
      <c r="G494" t="n">
        <v>1.2</v>
      </c>
      <c r="H494" t="n">
        <v>0</v>
      </c>
      <c r="I494" t="n">
        <v>0</v>
      </c>
      <c r="J494" t="n">
        <v>0</v>
      </c>
      <c r="K494" t="n">
        <v>0</v>
      </c>
      <c r="L494" t="n">
        <v>0</v>
      </c>
      <c r="M494" t="n">
        <v>0</v>
      </c>
      <c r="N494" t="n">
        <v>0</v>
      </c>
      <c r="O494" t="n">
        <v>0</v>
      </c>
      <c r="P494" t="n">
        <v>0</v>
      </c>
      <c r="Q494" t="n">
        <v>0</v>
      </c>
      <c r="R494" s="2" t="inlineStr"/>
    </row>
    <row r="495" ht="15" customHeight="1">
      <c r="A495" t="inlineStr">
        <is>
          <t>A 3726-2024</t>
        </is>
      </c>
      <c r="B495" s="1" t="n">
        <v>45321</v>
      </c>
      <c r="C495" s="1" t="n">
        <v>45930</v>
      </c>
      <c r="D495" t="inlineStr">
        <is>
          <t>SKÅNE LÄN</t>
        </is>
      </c>
      <c r="E495" t="inlineStr">
        <is>
          <t>HÄSSLEHOLM</t>
        </is>
      </c>
      <c r="G495" t="n">
        <v>0.3</v>
      </c>
      <c r="H495" t="n">
        <v>0</v>
      </c>
      <c r="I495" t="n">
        <v>0</v>
      </c>
      <c r="J495" t="n">
        <v>0</v>
      </c>
      <c r="K495" t="n">
        <v>0</v>
      </c>
      <c r="L495" t="n">
        <v>0</v>
      </c>
      <c r="M495" t="n">
        <v>0</v>
      </c>
      <c r="N495" t="n">
        <v>0</v>
      </c>
      <c r="O495" t="n">
        <v>0</v>
      </c>
      <c r="P495" t="n">
        <v>0</v>
      </c>
      <c r="Q495" t="n">
        <v>0</v>
      </c>
      <c r="R495" s="2" t="inlineStr"/>
    </row>
    <row r="496" ht="15" customHeight="1">
      <c r="A496" t="inlineStr">
        <is>
          <t>A 6165-2023</t>
        </is>
      </c>
      <c r="B496" s="1" t="n">
        <v>44964.67114583333</v>
      </c>
      <c r="C496" s="1" t="n">
        <v>45930</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50249-2024</t>
        </is>
      </c>
      <c r="B497" s="1" t="n">
        <v>45600.56866898148</v>
      </c>
      <c r="C497" s="1" t="n">
        <v>45930</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39044-2024</t>
        </is>
      </c>
      <c r="B498" s="1" t="n">
        <v>45548.47707175926</v>
      </c>
      <c r="C498" s="1" t="n">
        <v>45930</v>
      </c>
      <c r="D498" t="inlineStr">
        <is>
          <t>SKÅNE LÄN</t>
        </is>
      </c>
      <c r="E498" t="inlineStr">
        <is>
          <t>HÄSSLEHOLM</t>
        </is>
      </c>
      <c r="G498" t="n">
        <v>2.8</v>
      </c>
      <c r="H498" t="n">
        <v>0</v>
      </c>
      <c r="I498" t="n">
        <v>0</v>
      </c>
      <c r="J498" t="n">
        <v>0</v>
      </c>
      <c r="K498" t="n">
        <v>0</v>
      </c>
      <c r="L498" t="n">
        <v>0</v>
      </c>
      <c r="M498" t="n">
        <v>0</v>
      </c>
      <c r="N498" t="n">
        <v>0</v>
      </c>
      <c r="O498" t="n">
        <v>0</v>
      </c>
      <c r="P498" t="n">
        <v>0</v>
      </c>
      <c r="Q498" t="n">
        <v>0</v>
      </c>
      <c r="R498" s="2" t="inlineStr"/>
    </row>
    <row r="499" ht="15" customHeight="1">
      <c r="A499" t="inlineStr">
        <is>
          <t>A 60843-2022</t>
        </is>
      </c>
      <c r="B499" s="1" t="n">
        <v>44914</v>
      </c>
      <c r="C499" s="1" t="n">
        <v>45930</v>
      </c>
      <c r="D499" t="inlineStr">
        <is>
          <t>SKÅNE LÄN</t>
        </is>
      </c>
      <c r="E499" t="inlineStr">
        <is>
          <t>HÄSSLEHOLM</t>
        </is>
      </c>
      <c r="G499" t="n">
        <v>2.2</v>
      </c>
      <c r="H499" t="n">
        <v>0</v>
      </c>
      <c r="I499" t="n">
        <v>0</v>
      </c>
      <c r="J499" t="n">
        <v>0</v>
      </c>
      <c r="K499" t="n">
        <v>0</v>
      </c>
      <c r="L499" t="n">
        <v>0</v>
      </c>
      <c r="M499" t="n">
        <v>0</v>
      </c>
      <c r="N499" t="n">
        <v>0</v>
      </c>
      <c r="O499" t="n">
        <v>0</v>
      </c>
      <c r="P499" t="n">
        <v>0</v>
      </c>
      <c r="Q499" t="n">
        <v>0</v>
      </c>
      <c r="R499" s="2" t="inlineStr"/>
    </row>
    <row r="500" ht="15" customHeight="1">
      <c r="A500" t="inlineStr">
        <is>
          <t>A 16017-2023</t>
        </is>
      </c>
      <c r="B500" s="1" t="n">
        <v>45026</v>
      </c>
      <c r="C500" s="1" t="n">
        <v>45930</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51040-2024</t>
        </is>
      </c>
      <c r="B501" s="1" t="n">
        <v>45603.43222222223</v>
      </c>
      <c r="C501" s="1" t="n">
        <v>45930</v>
      </c>
      <c r="D501" t="inlineStr">
        <is>
          <t>SKÅNE LÄN</t>
        </is>
      </c>
      <c r="E501" t="inlineStr">
        <is>
          <t>HÄSSLEHOLM</t>
        </is>
      </c>
      <c r="G501" t="n">
        <v>2.7</v>
      </c>
      <c r="H501" t="n">
        <v>0</v>
      </c>
      <c r="I501" t="n">
        <v>0</v>
      </c>
      <c r="J501" t="n">
        <v>0</v>
      </c>
      <c r="K501" t="n">
        <v>0</v>
      </c>
      <c r="L501" t="n">
        <v>0</v>
      </c>
      <c r="M501" t="n">
        <v>0</v>
      </c>
      <c r="N501" t="n">
        <v>0</v>
      </c>
      <c r="O501" t="n">
        <v>0</v>
      </c>
      <c r="P501" t="n">
        <v>0</v>
      </c>
      <c r="Q501" t="n">
        <v>0</v>
      </c>
      <c r="R501" s="2" t="inlineStr"/>
    </row>
    <row r="502" ht="15" customHeight="1">
      <c r="A502" t="inlineStr">
        <is>
          <t>A 56881-2021</t>
        </is>
      </c>
      <c r="B502" s="1" t="n">
        <v>44481</v>
      </c>
      <c r="C502" s="1" t="n">
        <v>45930</v>
      </c>
      <c r="D502" t="inlineStr">
        <is>
          <t>SKÅNE LÄN</t>
        </is>
      </c>
      <c r="E502" t="inlineStr">
        <is>
          <t>HÄSSLEHOLM</t>
        </is>
      </c>
      <c r="G502" t="n">
        <v>0.4</v>
      </c>
      <c r="H502" t="n">
        <v>0</v>
      </c>
      <c r="I502" t="n">
        <v>0</v>
      </c>
      <c r="J502" t="n">
        <v>0</v>
      </c>
      <c r="K502" t="n">
        <v>0</v>
      </c>
      <c r="L502" t="n">
        <v>0</v>
      </c>
      <c r="M502" t="n">
        <v>0</v>
      </c>
      <c r="N502" t="n">
        <v>0</v>
      </c>
      <c r="O502" t="n">
        <v>0</v>
      </c>
      <c r="P502" t="n">
        <v>0</v>
      </c>
      <c r="Q502" t="n">
        <v>0</v>
      </c>
      <c r="R502" s="2" t="inlineStr"/>
    </row>
    <row r="503" ht="15" customHeight="1">
      <c r="A503" t="inlineStr">
        <is>
          <t>A 31989-2024</t>
        </is>
      </c>
      <c r="B503" s="1" t="n">
        <v>45510.58085648148</v>
      </c>
      <c r="C503" s="1" t="n">
        <v>45930</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35640-2023</t>
        </is>
      </c>
      <c r="B504" s="1" t="n">
        <v>45147</v>
      </c>
      <c r="C504" s="1" t="n">
        <v>45930</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45653-2024</t>
        </is>
      </c>
      <c r="B505" s="1" t="n">
        <v>45579.48872685185</v>
      </c>
      <c r="C505" s="1" t="n">
        <v>45930</v>
      </c>
      <c r="D505" t="inlineStr">
        <is>
          <t>SKÅNE LÄN</t>
        </is>
      </c>
      <c r="E505" t="inlineStr">
        <is>
          <t>HÄSSLEHOLM</t>
        </is>
      </c>
      <c r="G505" t="n">
        <v>2.6</v>
      </c>
      <c r="H505" t="n">
        <v>0</v>
      </c>
      <c r="I505" t="n">
        <v>0</v>
      </c>
      <c r="J505" t="n">
        <v>0</v>
      </c>
      <c r="K505" t="n">
        <v>0</v>
      </c>
      <c r="L505" t="n">
        <v>0</v>
      </c>
      <c r="M505" t="n">
        <v>0</v>
      </c>
      <c r="N505" t="n">
        <v>0</v>
      </c>
      <c r="O505" t="n">
        <v>0</v>
      </c>
      <c r="P505" t="n">
        <v>0</v>
      </c>
      <c r="Q505" t="n">
        <v>0</v>
      </c>
      <c r="R505" s="2" t="inlineStr"/>
    </row>
    <row r="506" ht="15" customHeight="1">
      <c r="A506" t="inlineStr">
        <is>
          <t>A 56956-2024</t>
        </is>
      </c>
      <c r="B506" s="1" t="n">
        <v>45626</v>
      </c>
      <c r="C506" s="1" t="n">
        <v>45930</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44614-2025</t>
        </is>
      </c>
      <c r="B507" s="1" t="n">
        <v>45917.45422453704</v>
      </c>
      <c r="C507" s="1" t="n">
        <v>45930</v>
      </c>
      <c r="D507" t="inlineStr">
        <is>
          <t>SKÅNE LÄN</t>
        </is>
      </c>
      <c r="E507" t="inlineStr">
        <is>
          <t>HÄSSLEHOLM</t>
        </is>
      </c>
      <c r="G507" t="n">
        <v>5.4</v>
      </c>
      <c r="H507" t="n">
        <v>0</v>
      </c>
      <c r="I507" t="n">
        <v>0</v>
      </c>
      <c r="J507" t="n">
        <v>0</v>
      </c>
      <c r="K507" t="n">
        <v>0</v>
      </c>
      <c r="L507" t="n">
        <v>0</v>
      </c>
      <c r="M507" t="n">
        <v>0</v>
      </c>
      <c r="N507" t="n">
        <v>0</v>
      </c>
      <c r="O507" t="n">
        <v>0</v>
      </c>
      <c r="P507" t="n">
        <v>0</v>
      </c>
      <c r="Q507" t="n">
        <v>0</v>
      </c>
      <c r="R507" s="2" t="inlineStr"/>
    </row>
    <row r="508" ht="15" customHeight="1">
      <c r="A508" t="inlineStr">
        <is>
          <t>A 44611-2025</t>
        </is>
      </c>
      <c r="B508" s="1" t="n">
        <v>45917.45109953704</v>
      </c>
      <c r="C508" s="1" t="n">
        <v>45930</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44616-2025</t>
        </is>
      </c>
      <c r="B509" s="1" t="n">
        <v>45917.45572916666</v>
      </c>
      <c r="C509" s="1" t="n">
        <v>45930</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48771-2024</t>
        </is>
      </c>
      <c r="B510" s="1" t="n">
        <v>45593.61284722222</v>
      </c>
      <c r="C510" s="1" t="n">
        <v>45930</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24241-2023</t>
        </is>
      </c>
      <c r="B511" s="1" t="n">
        <v>45079.61476851852</v>
      </c>
      <c r="C511" s="1" t="n">
        <v>45930</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45392-2024</t>
        </is>
      </c>
      <c r="B512" s="1" t="n">
        <v>45576.55008101852</v>
      </c>
      <c r="C512" s="1" t="n">
        <v>45930</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20187-2023</t>
        </is>
      </c>
      <c r="B513" s="1" t="n">
        <v>45055.57027777778</v>
      </c>
      <c r="C513" s="1" t="n">
        <v>45930</v>
      </c>
      <c r="D513" t="inlineStr">
        <is>
          <t>SKÅNE LÄN</t>
        </is>
      </c>
      <c r="E513" t="inlineStr">
        <is>
          <t>HÄSSLEHOLM</t>
        </is>
      </c>
      <c r="G513" t="n">
        <v>1.8</v>
      </c>
      <c r="H513" t="n">
        <v>0</v>
      </c>
      <c r="I513" t="n">
        <v>0</v>
      </c>
      <c r="J513" t="n">
        <v>0</v>
      </c>
      <c r="K513" t="n">
        <v>0</v>
      </c>
      <c r="L513" t="n">
        <v>0</v>
      </c>
      <c r="M513" t="n">
        <v>0</v>
      </c>
      <c r="N513" t="n">
        <v>0</v>
      </c>
      <c r="O513" t="n">
        <v>0</v>
      </c>
      <c r="P513" t="n">
        <v>0</v>
      </c>
      <c r="Q513" t="n">
        <v>0</v>
      </c>
      <c r="R513" s="2" t="inlineStr"/>
    </row>
    <row r="514" ht="15" customHeight="1">
      <c r="A514" t="inlineStr">
        <is>
          <t>A 23987-2024</t>
        </is>
      </c>
      <c r="B514" s="1" t="n">
        <v>45456</v>
      </c>
      <c r="C514" s="1" t="n">
        <v>45930</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9555-2025</t>
        </is>
      </c>
      <c r="B515" s="1" t="n">
        <v>45714</v>
      </c>
      <c r="C515" s="1" t="n">
        <v>45930</v>
      </c>
      <c r="D515" t="inlineStr">
        <is>
          <t>SKÅNE LÄN</t>
        </is>
      </c>
      <c r="E515" t="inlineStr">
        <is>
          <t>HÄSSLEHOLM</t>
        </is>
      </c>
      <c r="G515" t="n">
        <v>5.4</v>
      </c>
      <c r="H515" t="n">
        <v>0</v>
      </c>
      <c r="I515" t="n">
        <v>0</v>
      </c>
      <c r="J515" t="n">
        <v>0</v>
      </c>
      <c r="K515" t="n">
        <v>0</v>
      </c>
      <c r="L515" t="n">
        <v>0</v>
      </c>
      <c r="M515" t="n">
        <v>0</v>
      </c>
      <c r="N515" t="n">
        <v>0</v>
      </c>
      <c r="O515" t="n">
        <v>0</v>
      </c>
      <c r="P515" t="n">
        <v>0</v>
      </c>
      <c r="Q515" t="n">
        <v>0</v>
      </c>
      <c r="R515" s="2" t="inlineStr"/>
    </row>
    <row r="516" ht="15" customHeight="1">
      <c r="A516" t="inlineStr">
        <is>
          <t>A 1543-2024</t>
        </is>
      </c>
      <c r="B516" s="1" t="n">
        <v>45306</v>
      </c>
      <c r="C516" s="1" t="n">
        <v>45930</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19739-2023</t>
        </is>
      </c>
      <c r="B517" s="1" t="n">
        <v>45051</v>
      </c>
      <c r="C517" s="1" t="n">
        <v>45930</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1886-2025</t>
        </is>
      </c>
      <c r="B518" s="1" t="n">
        <v>45671</v>
      </c>
      <c r="C518" s="1" t="n">
        <v>45930</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14255-2024</t>
        </is>
      </c>
      <c r="B519" s="1" t="n">
        <v>45393</v>
      </c>
      <c r="C519" s="1" t="n">
        <v>45930</v>
      </c>
      <c r="D519" t="inlineStr">
        <is>
          <t>SKÅNE LÄN</t>
        </is>
      </c>
      <c r="E519" t="inlineStr">
        <is>
          <t>HÄSSLEHOLM</t>
        </is>
      </c>
      <c r="G519" t="n">
        <v>11.9</v>
      </c>
      <c r="H519" t="n">
        <v>0</v>
      </c>
      <c r="I519" t="n">
        <v>0</v>
      </c>
      <c r="J519" t="n">
        <v>0</v>
      </c>
      <c r="K519" t="n">
        <v>0</v>
      </c>
      <c r="L519" t="n">
        <v>0</v>
      </c>
      <c r="M519" t="n">
        <v>0</v>
      </c>
      <c r="N519" t="n">
        <v>0</v>
      </c>
      <c r="O519" t="n">
        <v>0</v>
      </c>
      <c r="P519" t="n">
        <v>0</v>
      </c>
      <c r="Q519" t="n">
        <v>0</v>
      </c>
      <c r="R519" s="2" t="inlineStr"/>
    </row>
    <row r="520" ht="15" customHeight="1">
      <c r="A520" t="inlineStr">
        <is>
          <t>A 59246-2024</t>
        </is>
      </c>
      <c r="B520" s="1" t="n">
        <v>45636</v>
      </c>
      <c r="C520" s="1" t="n">
        <v>45930</v>
      </c>
      <c r="D520" t="inlineStr">
        <is>
          <t>SKÅNE LÄN</t>
        </is>
      </c>
      <c r="E520" t="inlineStr">
        <is>
          <t>HÄSSLEHOLM</t>
        </is>
      </c>
      <c r="G520" t="n">
        <v>2.6</v>
      </c>
      <c r="H520" t="n">
        <v>0</v>
      </c>
      <c r="I520" t="n">
        <v>0</v>
      </c>
      <c r="J520" t="n">
        <v>0</v>
      </c>
      <c r="K520" t="n">
        <v>0</v>
      </c>
      <c r="L520" t="n">
        <v>0</v>
      </c>
      <c r="M520" t="n">
        <v>0</v>
      </c>
      <c r="N520" t="n">
        <v>0</v>
      </c>
      <c r="O520" t="n">
        <v>0</v>
      </c>
      <c r="P520" t="n">
        <v>0</v>
      </c>
      <c r="Q520" t="n">
        <v>0</v>
      </c>
      <c r="R520" s="2" t="inlineStr"/>
    </row>
    <row r="521" ht="15" customHeight="1">
      <c r="A521" t="inlineStr">
        <is>
          <t>A 44515-2025</t>
        </is>
      </c>
      <c r="B521" s="1" t="n">
        <v>45916.7062037037</v>
      </c>
      <c r="C521" s="1" t="n">
        <v>45930</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37038-2022</t>
        </is>
      </c>
      <c r="B522" s="1" t="n">
        <v>44806.44232638889</v>
      </c>
      <c r="C522" s="1" t="n">
        <v>45930</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23666-2023</t>
        </is>
      </c>
      <c r="B523" s="1" t="n">
        <v>45077</v>
      </c>
      <c r="C523" s="1" t="n">
        <v>45930</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44523-2025</t>
        </is>
      </c>
      <c r="B524" s="1" t="n">
        <v>45916</v>
      </c>
      <c r="C524" s="1" t="n">
        <v>45930</v>
      </c>
      <c r="D524" t="inlineStr">
        <is>
          <t>SKÅNE LÄN</t>
        </is>
      </c>
      <c r="E524" t="inlineStr">
        <is>
          <t>HÄSSLEHOLM</t>
        </is>
      </c>
      <c r="G524" t="n">
        <v>1.6</v>
      </c>
      <c r="H524" t="n">
        <v>0</v>
      </c>
      <c r="I524" t="n">
        <v>0</v>
      </c>
      <c r="J524" t="n">
        <v>0</v>
      </c>
      <c r="K524" t="n">
        <v>0</v>
      </c>
      <c r="L524" t="n">
        <v>0</v>
      </c>
      <c r="M524" t="n">
        <v>0</v>
      </c>
      <c r="N524" t="n">
        <v>0</v>
      </c>
      <c r="O524" t="n">
        <v>0</v>
      </c>
      <c r="P524" t="n">
        <v>0</v>
      </c>
      <c r="Q524" t="n">
        <v>0</v>
      </c>
      <c r="R524" s="2" t="inlineStr"/>
    </row>
    <row r="525" ht="15" customHeight="1">
      <c r="A525" t="inlineStr">
        <is>
          <t>A 20058-2023</t>
        </is>
      </c>
      <c r="B525" s="1" t="n">
        <v>45054.68476851852</v>
      </c>
      <c r="C525" s="1" t="n">
        <v>45930</v>
      </c>
      <c r="D525" t="inlineStr">
        <is>
          <t>SKÅNE LÄN</t>
        </is>
      </c>
      <c r="E525" t="inlineStr">
        <is>
          <t>HÄSSLEHOLM</t>
        </is>
      </c>
      <c r="G525" t="n">
        <v>1.4</v>
      </c>
      <c r="H525" t="n">
        <v>0</v>
      </c>
      <c r="I525" t="n">
        <v>0</v>
      </c>
      <c r="J525" t="n">
        <v>0</v>
      </c>
      <c r="K525" t="n">
        <v>0</v>
      </c>
      <c r="L525" t="n">
        <v>0</v>
      </c>
      <c r="M525" t="n">
        <v>0</v>
      </c>
      <c r="N525" t="n">
        <v>0</v>
      </c>
      <c r="O525" t="n">
        <v>0</v>
      </c>
      <c r="P525" t="n">
        <v>0</v>
      </c>
      <c r="Q525" t="n">
        <v>0</v>
      </c>
      <c r="R525" s="2" t="inlineStr"/>
    </row>
    <row r="526" ht="15" customHeight="1">
      <c r="A526" t="inlineStr">
        <is>
          <t>A 10897-2023</t>
        </is>
      </c>
      <c r="B526" s="1" t="n">
        <v>44985</v>
      </c>
      <c r="C526" s="1" t="n">
        <v>45930</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44624-2025</t>
        </is>
      </c>
      <c r="B527" s="1" t="n">
        <v>45917.47152777778</v>
      </c>
      <c r="C527" s="1" t="n">
        <v>45930</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35237-2023</t>
        </is>
      </c>
      <c r="B528" s="1" t="n">
        <v>45145.74532407407</v>
      </c>
      <c r="C528" s="1" t="n">
        <v>45930</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37286-2025</t>
        </is>
      </c>
      <c r="B529" s="1" t="n">
        <v>45876.50116898148</v>
      </c>
      <c r="C529" s="1" t="n">
        <v>45930</v>
      </c>
      <c r="D529" t="inlineStr">
        <is>
          <t>SKÅNE LÄN</t>
        </is>
      </c>
      <c r="E529" t="inlineStr">
        <is>
          <t>HÄSSLEHOLM</t>
        </is>
      </c>
      <c r="G529" t="n">
        <v>2.9</v>
      </c>
      <c r="H529" t="n">
        <v>0</v>
      </c>
      <c r="I529" t="n">
        <v>0</v>
      </c>
      <c r="J529" t="n">
        <v>0</v>
      </c>
      <c r="K529" t="n">
        <v>0</v>
      </c>
      <c r="L529" t="n">
        <v>0</v>
      </c>
      <c r="M529" t="n">
        <v>0</v>
      </c>
      <c r="N529" t="n">
        <v>0</v>
      </c>
      <c r="O529" t="n">
        <v>0</v>
      </c>
      <c r="P529" t="n">
        <v>0</v>
      </c>
      <c r="Q529" t="n">
        <v>0</v>
      </c>
      <c r="R529" s="2" t="inlineStr"/>
    </row>
    <row r="530" ht="15" customHeight="1">
      <c r="A530" t="inlineStr">
        <is>
          <t>A 5476-2021</t>
        </is>
      </c>
      <c r="B530" s="1" t="n">
        <v>44230</v>
      </c>
      <c r="C530" s="1" t="n">
        <v>45930</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260-2024</t>
        </is>
      </c>
      <c r="B531" s="1" t="n">
        <v>45294</v>
      </c>
      <c r="C531" s="1" t="n">
        <v>45930</v>
      </c>
      <c r="D531" t="inlineStr">
        <is>
          <t>SKÅNE LÄN</t>
        </is>
      </c>
      <c r="E531" t="inlineStr">
        <is>
          <t>HÄSSLEHOLM</t>
        </is>
      </c>
      <c r="G531" t="n">
        <v>0.2</v>
      </c>
      <c r="H531" t="n">
        <v>0</v>
      </c>
      <c r="I531" t="n">
        <v>0</v>
      </c>
      <c r="J531" t="n">
        <v>0</v>
      </c>
      <c r="K531" t="n">
        <v>0</v>
      </c>
      <c r="L531" t="n">
        <v>0</v>
      </c>
      <c r="M531" t="n">
        <v>0</v>
      </c>
      <c r="N531" t="n">
        <v>0</v>
      </c>
      <c r="O531" t="n">
        <v>0</v>
      </c>
      <c r="P531" t="n">
        <v>0</v>
      </c>
      <c r="Q531" t="n">
        <v>0</v>
      </c>
      <c r="R531" s="2" t="inlineStr"/>
    </row>
    <row r="532" ht="15" customHeight="1">
      <c r="A532" t="inlineStr">
        <is>
          <t>A 16454-2023</t>
        </is>
      </c>
      <c r="B532" s="1" t="n">
        <v>45029.48425925926</v>
      </c>
      <c r="C532" s="1" t="n">
        <v>45930</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31572-2022</t>
        </is>
      </c>
      <c r="B533" s="1" t="n">
        <v>44775</v>
      </c>
      <c r="C533" s="1" t="n">
        <v>45930</v>
      </c>
      <c r="D533" t="inlineStr">
        <is>
          <t>SKÅNE LÄN</t>
        </is>
      </c>
      <c r="E533" t="inlineStr">
        <is>
          <t>HÄSSLEHOLM</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57275-2023</t>
        </is>
      </c>
      <c r="B534" s="1" t="n">
        <v>45245.58886574074</v>
      </c>
      <c r="C534" s="1" t="n">
        <v>45930</v>
      </c>
      <c r="D534" t="inlineStr">
        <is>
          <t>SKÅNE LÄN</t>
        </is>
      </c>
      <c r="E534" t="inlineStr">
        <is>
          <t>HÄSSLEHOLM</t>
        </is>
      </c>
      <c r="G534" t="n">
        <v>1.7</v>
      </c>
      <c r="H534" t="n">
        <v>0</v>
      </c>
      <c r="I534" t="n">
        <v>0</v>
      </c>
      <c r="J534" t="n">
        <v>0</v>
      </c>
      <c r="K534" t="n">
        <v>0</v>
      </c>
      <c r="L534" t="n">
        <v>0</v>
      </c>
      <c r="M534" t="n">
        <v>0</v>
      </c>
      <c r="N534" t="n">
        <v>0</v>
      </c>
      <c r="O534" t="n">
        <v>0</v>
      </c>
      <c r="P534" t="n">
        <v>0</v>
      </c>
      <c r="Q534" t="n">
        <v>0</v>
      </c>
      <c r="R534" s="2" t="inlineStr"/>
    </row>
    <row r="535" ht="15" customHeight="1">
      <c r="A535" t="inlineStr">
        <is>
          <t>A 37271-2025</t>
        </is>
      </c>
      <c r="B535" s="1" t="n">
        <v>45876.47828703704</v>
      </c>
      <c r="C535" s="1" t="n">
        <v>45930</v>
      </c>
      <c r="D535" t="inlineStr">
        <is>
          <t>SKÅNE LÄN</t>
        </is>
      </c>
      <c r="E535" t="inlineStr">
        <is>
          <t>HÄSSLEHOLM</t>
        </is>
      </c>
      <c r="G535" t="n">
        <v>4.1</v>
      </c>
      <c r="H535" t="n">
        <v>0</v>
      </c>
      <c r="I535" t="n">
        <v>0</v>
      </c>
      <c r="J535" t="n">
        <v>0</v>
      </c>
      <c r="K535" t="n">
        <v>0</v>
      </c>
      <c r="L535" t="n">
        <v>0</v>
      </c>
      <c r="M535" t="n">
        <v>0</v>
      </c>
      <c r="N535" t="n">
        <v>0</v>
      </c>
      <c r="O535" t="n">
        <v>0</v>
      </c>
      <c r="P535" t="n">
        <v>0</v>
      </c>
      <c r="Q535" t="n">
        <v>0</v>
      </c>
      <c r="R535" s="2" t="inlineStr"/>
    </row>
    <row r="536" ht="15" customHeight="1">
      <c r="A536" t="inlineStr">
        <is>
          <t>A 70087-2021</t>
        </is>
      </c>
      <c r="B536" s="1" t="n">
        <v>44533</v>
      </c>
      <c r="C536" s="1" t="n">
        <v>45930</v>
      </c>
      <c r="D536" t="inlineStr">
        <is>
          <t>SKÅNE LÄN</t>
        </is>
      </c>
      <c r="E536" t="inlineStr">
        <is>
          <t>HÄSSLEHOLM</t>
        </is>
      </c>
      <c r="G536" t="n">
        <v>5</v>
      </c>
      <c r="H536" t="n">
        <v>0</v>
      </c>
      <c r="I536" t="n">
        <v>0</v>
      </c>
      <c r="J536" t="n">
        <v>0</v>
      </c>
      <c r="K536" t="n">
        <v>0</v>
      </c>
      <c r="L536" t="n">
        <v>0</v>
      </c>
      <c r="M536" t="n">
        <v>0</v>
      </c>
      <c r="N536" t="n">
        <v>0</v>
      </c>
      <c r="O536" t="n">
        <v>0</v>
      </c>
      <c r="P536" t="n">
        <v>0</v>
      </c>
      <c r="Q536" t="n">
        <v>0</v>
      </c>
      <c r="R536" s="2" t="inlineStr"/>
    </row>
    <row r="537" ht="15" customHeight="1">
      <c r="A537" t="inlineStr">
        <is>
          <t>A 16108-2025</t>
        </is>
      </c>
      <c r="B537" s="1" t="n">
        <v>45750.34667824074</v>
      </c>
      <c r="C537" s="1" t="n">
        <v>45930</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9375-2023</t>
        </is>
      </c>
      <c r="B538" s="1" t="n">
        <v>44981</v>
      </c>
      <c r="C538" s="1" t="n">
        <v>45930</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15536-2025</t>
        </is>
      </c>
      <c r="B539" s="1" t="n">
        <v>45747</v>
      </c>
      <c r="C539" s="1" t="n">
        <v>45930</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45458-2025</t>
        </is>
      </c>
      <c r="B540" s="1" t="n">
        <v>45920</v>
      </c>
      <c r="C540" s="1" t="n">
        <v>45930</v>
      </c>
      <c r="D540" t="inlineStr">
        <is>
          <t>SKÅNE LÄN</t>
        </is>
      </c>
      <c r="E540" t="inlineStr">
        <is>
          <t>HÄSSLEHOLM</t>
        </is>
      </c>
      <c r="G540" t="n">
        <v>1</v>
      </c>
      <c r="H540" t="n">
        <v>0</v>
      </c>
      <c r="I540" t="n">
        <v>0</v>
      </c>
      <c r="J540" t="n">
        <v>0</v>
      </c>
      <c r="K540" t="n">
        <v>0</v>
      </c>
      <c r="L540" t="n">
        <v>0</v>
      </c>
      <c r="M540" t="n">
        <v>0</v>
      </c>
      <c r="N540" t="n">
        <v>0</v>
      </c>
      <c r="O540" t="n">
        <v>0</v>
      </c>
      <c r="P540" t="n">
        <v>0</v>
      </c>
      <c r="Q540" t="n">
        <v>0</v>
      </c>
      <c r="R540" s="2" t="inlineStr"/>
    </row>
    <row r="541" ht="15" customHeight="1">
      <c r="A541" t="inlineStr">
        <is>
          <t>A 27304-2023</t>
        </is>
      </c>
      <c r="B541" s="1" t="n">
        <v>45096.65199074074</v>
      </c>
      <c r="C541" s="1" t="n">
        <v>45930</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29287-2023</t>
        </is>
      </c>
      <c r="B542" s="1" t="n">
        <v>45098</v>
      </c>
      <c r="C542" s="1" t="n">
        <v>45930</v>
      </c>
      <c r="D542" t="inlineStr">
        <is>
          <t>SKÅNE LÄN</t>
        </is>
      </c>
      <c r="E542" t="inlineStr">
        <is>
          <t>HÄSSLEHOLM</t>
        </is>
      </c>
      <c r="G542" t="n">
        <v>5.7</v>
      </c>
      <c r="H542" t="n">
        <v>0</v>
      </c>
      <c r="I542" t="n">
        <v>0</v>
      </c>
      <c r="J542" t="n">
        <v>0</v>
      </c>
      <c r="K542" t="n">
        <v>0</v>
      </c>
      <c r="L542" t="n">
        <v>0</v>
      </c>
      <c r="M542" t="n">
        <v>0</v>
      </c>
      <c r="N542" t="n">
        <v>0</v>
      </c>
      <c r="O542" t="n">
        <v>0</v>
      </c>
      <c r="P542" t="n">
        <v>0</v>
      </c>
      <c r="Q542" t="n">
        <v>0</v>
      </c>
      <c r="R542" s="2" t="inlineStr"/>
    </row>
    <row r="543" ht="15" customHeight="1">
      <c r="A543" t="inlineStr">
        <is>
          <t>A 56986-2024</t>
        </is>
      </c>
      <c r="B543" s="1" t="n">
        <v>45626</v>
      </c>
      <c r="C543" s="1" t="n">
        <v>45930</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48191-2021</t>
        </is>
      </c>
      <c r="B544" s="1" t="n">
        <v>44449</v>
      </c>
      <c r="C544" s="1" t="n">
        <v>45930</v>
      </c>
      <c r="D544" t="inlineStr">
        <is>
          <t>SKÅNE LÄN</t>
        </is>
      </c>
      <c r="E544" t="inlineStr">
        <is>
          <t>HÄSSLEHOLM</t>
        </is>
      </c>
      <c r="G544" t="n">
        <v>6</v>
      </c>
      <c r="H544" t="n">
        <v>0</v>
      </c>
      <c r="I544" t="n">
        <v>0</v>
      </c>
      <c r="J544" t="n">
        <v>0</v>
      </c>
      <c r="K544" t="n">
        <v>0</v>
      </c>
      <c r="L544" t="n">
        <v>0</v>
      </c>
      <c r="M544" t="n">
        <v>0</v>
      </c>
      <c r="N544" t="n">
        <v>0</v>
      </c>
      <c r="O544" t="n">
        <v>0</v>
      </c>
      <c r="P544" t="n">
        <v>0</v>
      </c>
      <c r="Q544" t="n">
        <v>0</v>
      </c>
      <c r="R544" s="2" t="inlineStr"/>
    </row>
    <row r="545" ht="15" customHeight="1">
      <c r="A545" t="inlineStr">
        <is>
          <t>A 45273-2025</t>
        </is>
      </c>
      <c r="B545" s="1" t="n">
        <v>45919.70486111111</v>
      </c>
      <c r="C545" s="1" t="n">
        <v>45930</v>
      </c>
      <c r="D545" t="inlineStr">
        <is>
          <t>SKÅNE LÄN</t>
        </is>
      </c>
      <c r="E545" t="inlineStr">
        <is>
          <t>HÄSSLEHOLM</t>
        </is>
      </c>
      <c r="G545" t="n">
        <v>4.4</v>
      </c>
      <c r="H545" t="n">
        <v>0</v>
      </c>
      <c r="I545" t="n">
        <v>0</v>
      </c>
      <c r="J545" t="n">
        <v>0</v>
      </c>
      <c r="K545" t="n">
        <v>0</v>
      </c>
      <c r="L545" t="n">
        <v>0</v>
      </c>
      <c r="M545" t="n">
        <v>0</v>
      </c>
      <c r="N545" t="n">
        <v>0</v>
      </c>
      <c r="O545" t="n">
        <v>0</v>
      </c>
      <c r="P545" t="n">
        <v>0</v>
      </c>
      <c r="Q545" t="n">
        <v>0</v>
      </c>
      <c r="R545" s="2" t="inlineStr"/>
    </row>
    <row r="546" ht="15" customHeight="1">
      <c r="A546" t="inlineStr">
        <is>
          <t>A 49111-2023</t>
        </is>
      </c>
      <c r="B546" s="1" t="n">
        <v>45210.44464120371</v>
      </c>
      <c r="C546" s="1" t="n">
        <v>45930</v>
      </c>
      <c r="D546" t="inlineStr">
        <is>
          <t>SKÅNE LÄN</t>
        </is>
      </c>
      <c r="E546" t="inlineStr">
        <is>
          <t>HÄSSLEHOLM</t>
        </is>
      </c>
      <c r="G546" t="n">
        <v>0.2</v>
      </c>
      <c r="H546" t="n">
        <v>0</v>
      </c>
      <c r="I546" t="n">
        <v>0</v>
      </c>
      <c r="J546" t="n">
        <v>0</v>
      </c>
      <c r="K546" t="n">
        <v>0</v>
      </c>
      <c r="L546" t="n">
        <v>0</v>
      </c>
      <c r="M546" t="n">
        <v>0</v>
      </c>
      <c r="N546" t="n">
        <v>0</v>
      </c>
      <c r="O546" t="n">
        <v>0</v>
      </c>
      <c r="P546" t="n">
        <v>0</v>
      </c>
      <c r="Q546" t="n">
        <v>0</v>
      </c>
      <c r="R546" s="2" t="inlineStr"/>
    </row>
    <row r="547" ht="15" customHeight="1">
      <c r="A547" t="inlineStr">
        <is>
          <t>A 6845-2023</t>
        </is>
      </c>
      <c r="B547" s="1" t="n">
        <v>44967</v>
      </c>
      <c r="C547" s="1" t="n">
        <v>45930</v>
      </c>
      <c r="D547" t="inlineStr">
        <is>
          <t>SKÅNE LÄN</t>
        </is>
      </c>
      <c r="E547" t="inlineStr">
        <is>
          <t>HÄSSLEHOLM</t>
        </is>
      </c>
      <c r="G547" t="n">
        <v>1.4</v>
      </c>
      <c r="H547" t="n">
        <v>0</v>
      </c>
      <c r="I547" t="n">
        <v>0</v>
      </c>
      <c r="J547" t="n">
        <v>0</v>
      </c>
      <c r="K547" t="n">
        <v>0</v>
      </c>
      <c r="L547" t="n">
        <v>0</v>
      </c>
      <c r="M547" t="n">
        <v>0</v>
      </c>
      <c r="N547" t="n">
        <v>0</v>
      </c>
      <c r="O547" t="n">
        <v>0</v>
      </c>
      <c r="P547" t="n">
        <v>0</v>
      </c>
      <c r="Q547" t="n">
        <v>0</v>
      </c>
      <c r="R547" s="2" t="inlineStr"/>
    </row>
    <row r="548" ht="15" customHeight="1">
      <c r="A548" t="inlineStr">
        <is>
          <t>A 45516-2025</t>
        </is>
      </c>
      <c r="B548" s="1" t="n">
        <v>45922</v>
      </c>
      <c r="C548" s="1" t="n">
        <v>45930</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32981-2025</t>
        </is>
      </c>
      <c r="B549" s="1" t="n">
        <v>45839.86820601852</v>
      </c>
      <c r="C549" s="1" t="n">
        <v>45930</v>
      </c>
      <c r="D549" t="inlineStr">
        <is>
          <t>SKÅNE LÄN</t>
        </is>
      </c>
      <c r="E549" t="inlineStr">
        <is>
          <t>HÄSSLEHOLM</t>
        </is>
      </c>
      <c r="G549" t="n">
        <v>2.7</v>
      </c>
      <c r="H549" t="n">
        <v>0</v>
      </c>
      <c r="I549" t="n">
        <v>0</v>
      </c>
      <c r="J549" t="n">
        <v>0</v>
      </c>
      <c r="K549" t="n">
        <v>0</v>
      </c>
      <c r="L549" t="n">
        <v>0</v>
      </c>
      <c r="M549" t="n">
        <v>0</v>
      </c>
      <c r="N549" t="n">
        <v>0</v>
      </c>
      <c r="O549" t="n">
        <v>0</v>
      </c>
      <c r="P549" t="n">
        <v>0</v>
      </c>
      <c r="Q549" t="n">
        <v>0</v>
      </c>
      <c r="R549" s="2" t="inlineStr"/>
    </row>
    <row r="550" ht="15" customHeight="1">
      <c r="A550" t="inlineStr">
        <is>
          <t>A 55416-2021</t>
        </is>
      </c>
      <c r="B550" s="1" t="n">
        <v>44475</v>
      </c>
      <c r="C550" s="1" t="n">
        <v>45930</v>
      </c>
      <c r="D550" t="inlineStr">
        <is>
          <t>SKÅNE LÄN</t>
        </is>
      </c>
      <c r="E550" t="inlineStr">
        <is>
          <t>HÄSSLEHOLM</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45221-2025</t>
        </is>
      </c>
      <c r="B551" s="1" t="n">
        <v>45919.57760416667</v>
      </c>
      <c r="C551" s="1" t="n">
        <v>45930</v>
      </c>
      <c r="D551" t="inlineStr">
        <is>
          <t>SKÅNE LÄN</t>
        </is>
      </c>
      <c r="E551" t="inlineStr">
        <is>
          <t>HÄSSLEHOLM</t>
        </is>
      </c>
      <c r="G551" t="n">
        <v>1.7</v>
      </c>
      <c r="H551" t="n">
        <v>0</v>
      </c>
      <c r="I551" t="n">
        <v>0</v>
      </c>
      <c r="J551" t="n">
        <v>0</v>
      </c>
      <c r="K551" t="n">
        <v>0</v>
      </c>
      <c r="L551" t="n">
        <v>0</v>
      </c>
      <c r="M551" t="n">
        <v>0</v>
      </c>
      <c r="N551" t="n">
        <v>0</v>
      </c>
      <c r="O551" t="n">
        <v>0</v>
      </c>
      <c r="P551" t="n">
        <v>0</v>
      </c>
      <c r="Q551" t="n">
        <v>0</v>
      </c>
      <c r="R551" s="2" t="inlineStr"/>
    </row>
    <row r="552" ht="15" customHeight="1">
      <c r="A552" t="inlineStr">
        <is>
          <t>A 60509-2023</t>
        </is>
      </c>
      <c r="B552" s="1" t="n">
        <v>45259</v>
      </c>
      <c r="C552" s="1" t="n">
        <v>45930</v>
      </c>
      <c r="D552" t="inlineStr">
        <is>
          <t>SKÅNE LÄN</t>
        </is>
      </c>
      <c r="E552" t="inlineStr">
        <is>
          <t>HÄSSLEHOLM</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45495-2025</t>
        </is>
      </c>
      <c r="B553" s="1" t="n">
        <v>45922.56369212963</v>
      </c>
      <c r="C553" s="1" t="n">
        <v>45930</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32834-2024</t>
        </is>
      </c>
      <c r="B554" s="1" t="n">
        <v>45516.6025</v>
      </c>
      <c r="C554" s="1" t="n">
        <v>45930</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45514-2025</t>
        </is>
      </c>
      <c r="B555" s="1" t="n">
        <v>45922</v>
      </c>
      <c r="C555" s="1" t="n">
        <v>45930</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15535-2025</t>
        </is>
      </c>
      <c r="B556" s="1" t="n">
        <v>45747</v>
      </c>
      <c r="C556" s="1" t="n">
        <v>45930</v>
      </c>
      <c r="D556" t="inlineStr">
        <is>
          <t>SKÅNE LÄN</t>
        </is>
      </c>
      <c r="E556" t="inlineStr">
        <is>
          <t>HÄSSLEHOLM</t>
        </is>
      </c>
      <c r="G556" t="n">
        <v>2.9</v>
      </c>
      <c r="H556" t="n">
        <v>0</v>
      </c>
      <c r="I556" t="n">
        <v>0</v>
      </c>
      <c r="J556" t="n">
        <v>0</v>
      </c>
      <c r="K556" t="n">
        <v>0</v>
      </c>
      <c r="L556" t="n">
        <v>0</v>
      </c>
      <c r="M556" t="n">
        <v>0</v>
      </c>
      <c r="N556" t="n">
        <v>0</v>
      </c>
      <c r="O556" t="n">
        <v>0</v>
      </c>
      <c r="P556" t="n">
        <v>0</v>
      </c>
      <c r="Q556" t="n">
        <v>0</v>
      </c>
      <c r="R556" s="2" t="inlineStr"/>
    </row>
    <row r="557" ht="15" customHeight="1">
      <c r="A557" t="inlineStr">
        <is>
          <t>A 45496-2025</t>
        </is>
      </c>
      <c r="B557" s="1" t="n">
        <v>45922</v>
      </c>
      <c r="C557" s="1" t="n">
        <v>45930</v>
      </c>
      <c r="D557" t="inlineStr">
        <is>
          <t>SKÅNE LÄN</t>
        </is>
      </c>
      <c r="E557" t="inlineStr">
        <is>
          <t>HÄSSLEHOLM</t>
        </is>
      </c>
      <c r="G557" t="n">
        <v>1.3</v>
      </c>
      <c r="H557" t="n">
        <v>0</v>
      </c>
      <c r="I557" t="n">
        <v>0</v>
      </c>
      <c r="J557" t="n">
        <v>0</v>
      </c>
      <c r="K557" t="n">
        <v>0</v>
      </c>
      <c r="L557" t="n">
        <v>0</v>
      </c>
      <c r="M557" t="n">
        <v>0</v>
      </c>
      <c r="N557" t="n">
        <v>0</v>
      </c>
      <c r="O557" t="n">
        <v>0</v>
      </c>
      <c r="P557" t="n">
        <v>0</v>
      </c>
      <c r="Q557" t="n">
        <v>0</v>
      </c>
      <c r="R557" s="2" t="inlineStr"/>
    </row>
    <row r="558" ht="15" customHeight="1">
      <c r="A558" t="inlineStr">
        <is>
          <t>A 21310-2022</t>
        </is>
      </c>
      <c r="B558" s="1" t="n">
        <v>44705</v>
      </c>
      <c r="C558" s="1" t="n">
        <v>45930</v>
      </c>
      <c r="D558" t="inlineStr">
        <is>
          <t>SKÅNE LÄN</t>
        </is>
      </c>
      <c r="E558" t="inlineStr">
        <is>
          <t>HÄSSLEHOLM</t>
        </is>
      </c>
      <c r="G558" t="n">
        <v>1</v>
      </c>
      <c r="H558" t="n">
        <v>0</v>
      </c>
      <c r="I558" t="n">
        <v>0</v>
      </c>
      <c r="J558" t="n">
        <v>0</v>
      </c>
      <c r="K558" t="n">
        <v>0</v>
      </c>
      <c r="L558" t="n">
        <v>0</v>
      </c>
      <c r="M558" t="n">
        <v>0</v>
      </c>
      <c r="N558" t="n">
        <v>0</v>
      </c>
      <c r="O558" t="n">
        <v>0</v>
      </c>
      <c r="P558" t="n">
        <v>0</v>
      </c>
      <c r="Q558" t="n">
        <v>0</v>
      </c>
      <c r="R558" s="2" t="inlineStr"/>
    </row>
    <row r="559" ht="15" customHeight="1">
      <c r="A559" t="inlineStr">
        <is>
          <t>A 49199-2024</t>
        </is>
      </c>
      <c r="B559" s="1" t="n">
        <v>45595</v>
      </c>
      <c r="C559" s="1" t="n">
        <v>45930</v>
      </c>
      <c r="D559" t="inlineStr">
        <is>
          <t>SKÅNE LÄN</t>
        </is>
      </c>
      <c r="E559" t="inlineStr">
        <is>
          <t>HÄSSLEHOLM</t>
        </is>
      </c>
      <c r="G559" t="n">
        <v>5.2</v>
      </c>
      <c r="H559" t="n">
        <v>0</v>
      </c>
      <c r="I559" t="n">
        <v>0</v>
      </c>
      <c r="J559" t="n">
        <v>0</v>
      </c>
      <c r="K559" t="n">
        <v>0</v>
      </c>
      <c r="L559" t="n">
        <v>0</v>
      </c>
      <c r="M559" t="n">
        <v>0</v>
      </c>
      <c r="N559" t="n">
        <v>0</v>
      </c>
      <c r="O559" t="n">
        <v>0</v>
      </c>
      <c r="P559" t="n">
        <v>0</v>
      </c>
      <c r="Q559" t="n">
        <v>0</v>
      </c>
      <c r="R559" s="2" t="inlineStr"/>
    </row>
    <row r="560" ht="15" customHeight="1">
      <c r="A560" t="inlineStr">
        <is>
          <t>A 18109-2025</t>
        </is>
      </c>
      <c r="B560" s="1" t="n">
        <v>45761</v>
      </c>
      <c r="C560" s="1" t="n">
        <v>45930</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58886-2024</t>
        </is>
      </c>
      <c r="B561" s="1" t="n">
        <v>45636.45380787037</v>
      </c>
      <c r="C561" s="1" t="n">
        <v>45930</v>
      </c>
      <c r="D561" t="inlineStr">
        <is>
          <t>SKÅNE LÄN</t>
        </is>
      </c>
      <c r="E561" t="inlineStr">
        <is>
          <t>HÄSSLEHOLM</t>
        </is>
      </c>
      <c r="G561" t="n">
        <v>1.9</v>
      </c>
      <c r="H561" t="n">
        <v>0</v>
      </c>
      <c r="I561" t="n">
        <v>0</v>
      </c>
      <c r="J561" t="n">
        <v>0</v>
      </c>
      <c r="K561" t="n">
        <v>0</v>
      </c>
      <c r="L561" t="n">
        <v>0</v>
      </c>
      <c r="M561" t="n">
        <v>0</v>
      </c>
      <c r="N561" t="n">
        <v>0</v>
      </c>
      <c r="O561" t="n">
        <v>0</v>
      </c>
      <c r="P561" t="n">
        <v>0</v>
      </c>
      <c r="Q561" t="n">
        <v>0</v>
      </c>
      <c r="R561" s="2" t="inlineStr"/>
    </row>
    <row r="562" ht="15" customHeight="1">
      <c r="A562" t="inlineStr">
        <is>
          <t>A 54359-2020</t>
        </is>
      </c>
      <c r="B562" s="1" t="n">
        <v>44126</v>
      </c>
      <c r="C562" s="1" t="n">
        <v>45930</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54374-2020</t>
        </is>
      </c>
      <c r="B563" s="1" t="n">
        <v>44126</v>
      </c>
      <c r="C563" s="1" t="n">
        <v>45930</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45084-2025</t>
        </is>
      </c>
      <c r="B564" s="1" t="n">
        <v>45918</v>
      </c>
      <c r="C564" s="1" t="n">
        <v>45930</v>
      </c>
      <c r="D564" t="inlineStr">
        <is>
          <t>SKÅNE LÄN</t>
        </is>
      </c>
      <c r="E564" t="inlineStr">
        <is>
          <t>HÄSSLEHOLM</t>
        </is>
      </c>
      <c r="G564" t="n">
        <v>1.4</v>
      </c>
      <c r="H564" t="n">
        <v>0</v>
      </c>
      <c r="I564" t="n">
        <v>0</v>
      </c>
      <c r="J564" t="n">
        <v>0</v>
      </c>
      <c r="K564" t="n">
        <v>0</v>
      </c>
      <c r="L564" t="n">
        <v>0</v>
      </c>
      <c r="M564" t="n">
        <v>0</v>
      </c>
      <c r="N564" t="n">
        <v>0</v>
      </c>
      <c r="O564" t="n">
        <v>0</v>
      </c>
      <c r="P564" t="n">
        <v>0</v>
      </c>
      <c r="Q564" t="n">
        <v>0</v>
      </c>
      <c r="R564" s="2" t="inlineStr"/>
    </row>
    <row r="565" ht="15" customHeight="1">
      <c r="A565" t="inlineStr">
        <is>
          <t>A 16862-2025</t>
        </is>
      </c>
      <c r="B565" s="1" t="n">
        <v>45751</v>
      </c>
      <c r="C565" s="1" t="n">
        <v>45930</v>
      </c>
      <c r="D565" t="inlineStr">
        <is>
          <t>SKÅNE LÄN</t>
        </is>
      </c>
      <c r="E565" t="inlineStr">
        <is>
          <t>HÄSSLEHOLM</t>
        </is>
      </c>
      <c r="G565" t="n">
        <v>2.3</v>
      </c>
      <c r="H565" t="n">
        <v>0</v>
      </c>
      <c r="I565" t="n">
        <v>0</v>
      </c>
      <c r="J565" t="n">
        <v>0</v>
      </c>
      <c r="K565" t="n">
        <v>0</v>
      </c>
      <c r="L565" t="n">
        <v>0</v>
      </c>
      <c r="M565" t="n">
        <v>0</v>
      </c>
      <c r="N565" t="n">
        <v>0</v>
      </c>
      <c r="O565" t="n">
        <v>0</v>
      </c>
      <c r="P565" t="n">
        <v>0</v>
      </c>
      <c r="Q565" t="n">
        <v>0</v>
      </c>
      <c r="R565" s="2" t="inlineStr"/>
    </row>
    <row r="566" ht="15" customHeight="1">
      <c r="A566" t="inlineStr">
        <is>
          <t>A 13345-2025</t>
        </is>
      </c>
      <c r="B566" s="1" t="n">
        <v>45735.63017361111</v>
      </c>
      <c r="C566" s="1" t="n">
        <v>45930</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45176-2025</t>
        </is>
      </c>
      <c r="B567" s="1" t="n">
        <v>45919.52307870371</v>
      </c>
      <c r="C567" s="1" t="n">
        <v>45930</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9485-2023</t>
        </is>
      </c>
      <c r="B568" s="1" t="n">
        <v>44981.60901620371</v>
      </c>
      <c r="C568" s="1" t="n">
        <v>45930</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9502-2023</t>
        </is>
      </c>
      <c r="B569" s="1" t="n">
        <v>44981.63278935185</v>
      </c>
      <c r="C569" s="1" t="n">
        <v>45930</v>
      </c>
      <c r="D569" t="inlineStr">
        <is>
          <t>SKÅNE LÄN</t>
        </is>
      </c>
      <c r="E569" t="inlineStr">
        <is>
          <t>HÄSSLEHOLM</t>
        </is>
      </c>
      <c r="G569" t="n">
        <v>0.4</v>
      </c>
      <c r="H569" t="n">
        <v>0</v>
      </c>
      <c r="I569" t="n">
        <v>0</v>
      </c>
      <c r="J569" t="n">
        <v>0</v>
      </c>
      <c r="K569" t="n">
        <v>0</v>
      </c>
      <c r="L569" t="n">
        <v>0</v>
      </c>
      <c r="M569" t="n">
        <v>0</v>
      </c>
      <c r="N569" t="n">
        <v>0</v>
      </c>
      <c r="O569" t="n">
        <v>0</v>
      </c>
      <c r="P569" t="n">
        <v>0</v>
      </c>
      <c r="Q569" t="n">
        <v>0</v>
      </c>
      <c r="R569" s="2" t="inlineStr"/>
    </row>
    <row r="570" ht="15" customHeight="1">
      <c r="A570" t="inlineStr">
        <is>
          <t>A 45314-2025</t>
        </is>
      </c>
      <c r="B570" s="1" t="n">
        <v>45921.81738425926</v>
      </c>
      <c r="C570" s="1" t="n">
        <v>45930</v>
      </c>
      <c r="D570" t="inlineStr">
        <is>
          <t>SKÅNE LÄN</t>
        </is>
      </c>
      <c r="E570" t="inlineStr">
        <is>
          <t>HÄSSLEHOLM</t>
        </is>
      </c>
      <c r="G570" t="n">
        <v>2.4</v>
      </c>
      <c r="H570" t="n">
        <v>0</v>
      </c>
      <c r="I570" t="n">
        <v>0</v>
      </c>
      <c r="J570" t="n">
        <v>0</v>
      </c>
      <c r="K570" t="n">
        <v>0</v>
      </c>
      <c r="L570" t="n">
        <v>0</v>
      </c>
      <c r="M570" t="n">
        <v>0</v>
      </c>
      <c r="N570" t="n">
        <v>0</v>
      </c>
      <c r="O570" t="n">
        <v>0</v>
      </c>
      <c r="P570" t="n">
        <v>0</v>
      </c>
      <c r="Q570" t="n">
        <v>0</v>
      </c>
      <c r="R570" s="2" t="inlineStr"/>
    </row>
    <row r="571" ht="15" customHeight="1">
      <c r="A571" t="inlineStr">
        <is>
          <t>A 69109-2020</t>
        </is>
      </c>
      <c r="B571" s="1" t="n">
        <v>44188</v>
      </c>
      <c r="C571" s="1" t="n">
        <v>45930</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12469-2023</t>
        </is>
      </c>
      <c r="B572" s="1" t="n">
        <v>44999.62109953703</v>
      </c>
      <c r="C572" s="1" t="n">
        <v>45930</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10928-2024</t>
        </is>
      </c>
      <c r="B573" s="1" t="n">
        <v>45370</v>
      </c>
      <c r="C573" s="1" t="n">
        <v>45930</v>
      </c>
      <c r="D573" t="inlineStr">
        <is>
          <t>SKÅNE LÄN</t>
        </is>
      </c>
      <c r="E573" t="inlineStr">
        <is>
          <t>HÄSSLEHOLM</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34299-2024</t>
        </is>
      </c>
      <c r="B574" s="1" t="n">
        <v>45524</v>
      </c>
      <c r="C574" s="1" t="n">
        <v>45930</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5890-2023</t>
        </is>
      </c>
      <c r="B575" s="1" t="n">
        <v>44963.64527777778</v>
      </c>
      <c r="C575" s="1" t="n">
        <v>45930</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5894-2023</t>
        </is>
      </c>
      <c r="B576" s="1" t="n">
        <v>44963.65148148148</v>
      </c>
      <c r="C576" s="1" t="n">
        <v>45930</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12843-2023</t>
        </is>
      </c>
      <c r="B577" s="1" t="n">
        <v>45001.48423611111</v>
      </c>
      <c r="C577" s="1" t="n">
        <v>45930</v>
      </c>
      <c r="D577" t="inlineStr">
        <is>
          <t>SKÅNE LÄN</t>
        </is>
      </c>
      <c r="E577" t="inlineStr">
        <is>
          <t>HÄSSLEHOLM</t>
        </is>
      </c>
      <c r="G577" t="n">
        <v>3.9</v>
      </c>
      <c r="H577" t="n">
        <v>0</v>
      </c>
      <c r="I577" t="n">
        <v>0</v>
      </c>
      <c r="J577" t="n">
        <v>0</v>
      </c>
      <c r="K577" t="n">
        <v>0</v>
      </c>
      <c r="L577" t="n">
        <v>0</v>
      </c>
      <c r="M577" t="n">
        <v>0</v>
      </c>
      <c r="N577" t="n">
        <v>0</v>
      </c>
      <c r="O577" t="n">
        <v>0</v>
      </c>
      <c r="P577" t="n">
        <v>0</v>
      </c>
      <c r="Q577" t="n">
        <v>0</v>
      </c>
      <c r="R577" s="2" t="inlineStr"/>
    </row>
    <row r="578" ht="15" customHeight="1">
      <c r="A578" t="inlineStr">
        <is>
          <t>A 48663-2024</t>
        </is>
      </c>
      <c r="B578" s="1" t="n">
        <v>45593.48892361111</v>
      </c>
      <c r="C578" s="1" t="n">
        <v>45930</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10944-2024</t>
        </is>
      </c>
      <c r="B579" s="1" t="n">
        <v>45370</v>
      </c>
      <c r="C579" s="1" t="n">
        <v>45930</v>
      </c>
      <c r="D579" t="inlineStr">
        <is>
          <t>SKÅNE LÄN</t>
        </is>
      </c>
      <c r="E579" t="inlineStr">
        <is>
          <t>HÄSSLEHOLM</t>
        </is>
      </c>
      <c r="F579" t="inlineStr">
        <is>
          <t>Övriga Aktiebolag</t>
        </is>
      </c>
      <c r="G579" t="n">
        <v>2.6</v>
      </c>
      <c r="H579" t="n">
        <v>0</v>
      </c>
      <c r="I579" t="n">
        <v>0</v>
      </c>
      <c r="J579" t="n">
        <v>0</v>
      </c>
      <c r="K579" t="n">
        <v>0</v>
      </c>
      <c r="L579" t="n">
        <v>0</v>
      </c>
      <c r="M579" t="n">
        <v>0</v>
      </c>
      <c r="N579" t="n">
        <v>0</v>
      </c>
      <c r="O579" t="n">
        <v>0</v>
      </c>
      <c r="P579" t="n">
        <v>0</v>
      </c>
      <c r="Q579" t="n">
        <v>0</v>
      </c>
      <c r="R579" s="2" t="inlineStr"/>
    </row>
    <row r="580" ht="15" customHeight="1">
      <c r="A580" t="inlineStr">
        <is>
          <t>A 50659-2023</t>
        </is>
      </c>
      <c r="B580" s="1" t="n">
        <v>45217</v>
      </c>
      <c r="C580" s="1" t="n">
        <v>45930</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60846-2022</t>
        </is>
      </c>
      <c r="B581" s="1" t="n">
        <v>44914</v>
      </c>
      <c r="C581" s="1" t="n">
        <v>45930</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13309-2025</t>
        </is>
      </c>
      <c r="B582" s="1" t="n">
        <v>45735.58512731481</v>
      </c>
      <c r="C582" s="1" t="n">
        <v>45930</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5980-2024</t>
        </is>
      </c>
      <c r="B583" s="1" t="n">
        <v>45335</v>
      </c>
      <c r="C583" s="1" t="n">
        <v>45930</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27464-2022</t>
        </is>
      </c>
      <c r="B584" s="1" t="n">
        <v>44742.58704861111</v>
      </c>
      <c r="C584" s="1" t="n">
        <v>45930</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42372-2024</t>
        </is>
      </c>
      <c r="B585" s="1" t="n">
        <v>45564.5127199074</v>
      </c>
      <c r="C585" s="1" t="n">
        <v>45930</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45465-2025</t>
        </is>
      </c>
      <c r="B586" s="1" t="n">
        <v>45920</v>
      </c>
      <c r="C586" s="1" t="n">
        <v>45930</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54408-2024</t>
        </is>
      </c>
      <c r="B587" s="1" t="n">
        <v>45617.47263888889</v>
      </c>
      <c r="C587" s="1" t="n">
        <v>45930</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14008-2023</t>
        </is>
      </c>
      <c r="B588" s="1" t="n">
        <v>45008.56725694444</v>
      </c>
      <c r="C588" s="1" t="n">
        <v>45930</v>
      </c>
      <c r="D588" t="inlineStr">
        <is>
          <t>SKÅNE LÄN</t>
        </is>
      </c>
      <c r="E588" t="inlineStr">
        <is>
          <t>HÄSSLEHOLM</t>
        </is>
      </c>
      <c r="G588" t="n">
        <v>3.3</v>
      </c>
      <c r="H588" t="n">
        <v>0</v>
      </c>
      <c r="I588" t="n">
        <v>0</v>
      </c>
      <c r="J588" t="n">
        <v>0</v>
      </c>
      <c r="K588" t="n">
        <v>0</v>
      </c>
      <c r="L588" t="n">
        <v>0</v>
      </c>
      <c r="M588" t="n">
        <v>0</v>
      </c>
      <c r="N588" t="n">
        <v>0</v>
      </c>
      <c r="O588" t="n">
        <v>0</v>
      </c>
      <c r="P588" t="n">
        <v>0</v>
      </c>
      <c r="Q588" t="n">
        <v>0</v>
      </c>
      <c r="R588" s="2" t="inlineStr"/>
    </row>
    <row r="589" ht="15" customHeight="1">
      <c r="A589" t="inlineStr">
        <is>
          <t>A 20493-2024</t>
        </is>
      </c>
      <c r="B589" s="1" t="n">
        <v>45435</v>
      </c>
      <c r="C589" s="1" t="n">
        <v>45930</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13851-2025</t>
        </is>
      </c>
      <c r="B590" s="1" t="n">
        <v>45737.56777777777</v>
      </c>
      <c r="C590" s="1" t="n">
        <v>45930</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45414-2025</t>
        </is>
      </c>
      <c r="B591" s="1" t="n">
        <v>45920</v>
      </c>
      <c r="C591" s="1" t="n">
        <v>45930</v>
      </c>
      <c r="D591" t="inlineStr">
        <is>
          <t>SKÅNE LÄN</t>
        </is>
      </c>
      <c r="E591" t="inlineStr">
        <is>
          <t>HÄSSLEHOLM</t>
        </is>
      </c>
      <c r="G591" t="n">
        <v>14.7</v>
      </c>
      <c r="H591" t="n">
        <v>0</v>
      </c>
      <c r="I591" t="n">
        <v>0</v>
      </c>
      <c r="J591" t="n">
        <v>0</v>
      </c>
      <c r="K591" t="n">
        <v>0</v>
      </c>
      <c r="L591" t="n">
        <v>0</v>
      </c>
      <c r="M591" t="n">
        <v>0</v>
      </c>
      <c r="N591" t="n">
        <v>0</v>
      </c>
      <c r="O591" t="n">
        <v>0</v>
      </c>
      <c r="P591" t="n">
        <v>0</v>
      </c>
      <c r="Q591" t="n">
        <v>0</v>
      </c>
      <c r="R591" s="2" t="inlineStr"/>
    </row>
    <row r="592" ht="15" customHeight="1">
      <c r="A592" t="inlineStr">
        <is>
          <t>A 45443-2025</t>
        </is>
      </c>
      <c r="B592" s="1" t="n">
        <v>45920</v>
      </c>
      <c r="C592" s="1" t="n">
        <v>45930</v>
      </c>
      <c r="D592" t="inlineStr">
        <is>
          <t>SKÅNE LÄN</t>
        </is>
      </c>
      <c r="E592" t="inlineStr">
        <is>
          <t>HÄSSLEHOLM</t>
        </is>
      </c>
      <c r="G592" t="n">
        <v>1.6</v>
      </c>
      <c r="H592" t="n">
        <v>0</v>
      </c>
      <c r="I592" t="n">
        <v>0</v>
      </c>
      <c r="J592" t="n">
        <v>0</v>
      </c>
      <c r="K592" t="n">
        <v>0</v>
      </c>
      <c r="L592" t="n">
        <v>0</v>
      </c>
      <c r="M592" t="n">
        <v>0</v>
      </c>
      <c r="N592" t="n">
        <v>0</v>
      </c>
      <c r="O592" t="n">
        <v>0</v>
      </c>
      <c r="P592" t="n">
        <v>0</v>
      </c>
      <c r="Q592" t="n">
        <v>0</v>
      </c>
      <c r="R592" s="2" t="inlineStr"/>
    </row>
    <row r="593" ht="15" customHeight="1">
      <c r="A593" t="inlineStr">
        <is>
          <t>A 17699-2024</t>
        </is>
      </c>
      <c r="B593" s="1" t="n">
        <v>45418.46094907408</v>
      </c>
      <c r="C593" s="1" t="n">
        <v>45930</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17702-2024</t>
        </is>
      </c>
      <c r="B594" s="1" t="n">
        <v>45418.46534722222</v>
      </c>
      <c r="C594" s="1" t="n">
        <v>45930</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20566-2023</t>
        </is>
      </c>
      <c r="B595" s="1" t="n">
        <v>45057</v>
      </c>
      <c r="C595" s="1" t="n">
        <v>45930</v>
      </c>
      <c r="D595" t="inlineStr">
        <is>
          <t>SKÅNE LÄN</t>
        </is>
      </c>
      <c r="E595" t="inlineStr">
        <is>
          <t>HÄSSLEHOLM</t>
        </is>
      </c>
      <c r="G595" t="n">
        <v>5.2</v>
      </c>
      <c r="H595" t="n">
        <v>0</v>
      </c>
      <c r="I595" t="n">
        <v>0</v>
      </c>
      <c r="J595" t="n">
        <v>0</v>
      </c>
      <c r="K595" t="n">
        <v>0</v>
      </c>
      <c r="L595" t="n">
        <v>0</v>
      </c>
      <c r="M595" t="n">
        <v>0</v>
      </c>
      <c r="N595" t="n">
        <v>0</v>
      </c>
      <c r="O595" t="n">
        <v>0</v>
      </c>
      <c r="P595" t="n">
        <v>0</v>
      </c>
      <c r="Q595" t="n">
        <v>0</v>
      </c>
      <c r="R595" s="2" t="inlineStr"/>
    </row>
    <row r="596" ht="15" customHeight="1">
      <c r="A596" t="inlineStr">
        <is>
          <t>A 45764-2025</t>
        </is>
      </c>
      <c r="B596" s="1" t="n">
        <v>45923.52037037037</v>
      </c>
      <c r="C596" s="1" t="n">
        <v>45930</v>
      </c>
      <c r="D596" t="inlineStr">
        <is>
          <t>SKÅNE LÄN</t>
        </is>
      </c>
      <c r="E596" t="inlineStr">
        <is>
          <t>HÄSSLEHOLM</t>
        </is>
      </c>
      <c r="G596" t="n">
        <v>6.3</v>
      </c>
      <c r="H596" t="n">
        <v>0</v>
      </c>
      <c r="I596" t="n">
        <v>0</v>
      </c>
      <c r="J596" t="n">
        <v>0</v>
      </c>
      <c r="K596" t="n">
        <v>0</v>
      </c>
      <c r="L596" t="n">
        <v>0</v>
      </c>
      <c r="M596" t="n">
        <v>0</v>
      </c>
      <c r="N596" t="n">
        <v>0</v>
      </c>
      <c r="O596" t="n">
        <v>0</v>
      </c>
      <c r="P596" t="n">
        <v>0</v>
      </c>
      <c r="Q596" t="n">
        <v>0</v>
      </c>
      <c r="R596" s="2" t="inlineStr"/>
    </row>
    <row r="597" ht="15" customHeight="1">
      <c r="A597" t="inlineStr">
        <is>
          <t>A 32967-2023</t>
        </is>
      </c>
      <c r="B597" s="1" t="n">
        <v>45125</v>
      </c>
      <c r="C597" s="1" t="n">
        <v>45930</v>
      </c>
      <c r="D597" t="inlineStr">
        <is>
          <t>SKÅNE LÄN</t>
        </is>
      </c>
      <c r="E597" t="inlineStr">
        <is>
          <t>HÄSSLEHOLM</t>
        </is>
      </c>
      <c r="G597" t="n">
        <v>1.4</v>
      </c>
      <c r="H597" t="n">
        <v>0</v>
      </c>
      <c r="I597" t="n">
        <v>0</v>
      </c>
      <c r="J597" t="n">
        <v>0</v>
      </c>
      <c r="K597" t="n">
        <v>0</v>
      </c>
      <c r="L597" t="n">
        <v>0</v>
      </c>
      <c r="M597" t="n">
        <v>0</v>
      </c>
      <c r="N597" t="n">
        <v>0</v>
      </c>
      <c r="O597" t="n">
        <v>0</v>
      </c>
      <c r="P597" t="n">
        <v>0</v>
      </c>
      <c r="Q597" t="n">
        <v>0</v>
      </c>
      <c r="R597" s="2" t="inlineStr"/>
    </row>
    <row r="598" ht="15" customHeight="1">
      <c r="A598" t="inlineStr">
        <is>
          <t>A 32968-2023</t>
        </is>
      </c>
      <c r="B598" s="1" t="n">
        <v>45125</v>
      </c>
      <c r="C598" s="1" t="n">
        <v>45930</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42231-2022</t>
        </is>
      </c>
      <c r="B599" s="1" t="n">
        <v>44830.77003472222</v>
      </c>
      <c r="C599" s="1" t="n">
        <v>45930</v>
      </c>
      <c r="D599" t="inlineStr">
        <is>
          <t>SKÅNE LÄN</t>
        </is>
      </c>
      <c r="E599" t="inlineStr">
        <is>
          <t>HÄSSLEHOLM</t>
        </is>
      </c>
      <c r="G599" t="n">
        <v>2.7</v>
      </c>
      <c r="H599" t="n">
        <v>0</v>
      </c>
      <c r="I599" t="n">
        <v>0</v>
      </c>
      <c r="J599" t="n">
        <v>0</v>
      </c>
      <c r="K599" t="n">
        <v>0</v>
      </c>
      <c r="L599" t="n">
        <v>0</v>
      </c>
      <c r="M599" t="n">
        <v>0</v>
      </c>
      <c r="N599" t="n">
        <v>0</v>
      </c>
      <c r="O599" t="n">
        <v>0</v>
      </c>
      <c r="P599" t="n">
        <v>0</v>
      </c>
      <c r="Q599" t="n">
        <v>0</v>
      </c>
      <c r="R599" s="2" t="inlineStr"/>
    </row>
    <row r="600" ht="15" customHeight="1">
      <c r="A600" t="inlineStr">
        <is>
          <t>A 45683-2025</t>
        </is>
      </c>
      <c r="B600" s="1" t="n">
        <v>45923.37590277778</v>
      </c>
      <c r="C600" s="1" t="n">
        <v>45930</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41874-2024</t>
        </is>
      </c>
      <c r="B601" s="1" t="n">
        <v>45561</v>
      </c>
      <c r="C601" s="1" t="n">
        <v>45930</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11798-2022</t>
        </is>
      </c>
      <c r="B602" s="1" t="n">
        <v>44634.64900462963</v>
      </c>
      <c r="C602" s="1" t="n">
        <v>45930</v>
      </c>
      <c r="D602" t="inlineStr">
        <is>
          <t>SKÅNE LÄN</t>
        </is>
      </c>
      <c r="E602" t="inlineStr">
        <is>
          <t>HÄSSLEHOLM</t>
        </is>
      </c>
      <c r="G602" t="n">
        <v>2.8</v>
      </c>
      <c r="H602" t="n">
        <v>0</v>
      </c>
      <c r="I602" t="n">
        <v>0</v>
      </c>
      <c r="J602" t="n">
        <v>0</v>
      </c>
      <c r="K602" t="n">
        <v>0</v>
      </c>
      <c r="L602" t="n">
        <v>0</v>
      </c>
      <c r="M602" t="n">
        <v>0</v>
      </c>
      <c r="N602" t="n">
        <v>0</v>
      </c>
      <c r="O602" t="n">
        <v>0</v>
      </c>
      <c r="P602" t="n">
        <v>0</v>
      </c>
      <c r="Q602" t="n">
        <v>0</v>
      </c>
      <c r="R602" s="2" t="inlineStr"/>
    </row>
    <row r="603" ht="15" customHeight="1">
      <c r="A603" t="inlineStr">
        <is>
          <t>A 45762-2025</t>
        </is>
      </c>
      <c r="B603" s="1" t="n">
        <v>45923.51548611111</v>
      </c>
      <c r="C603" s="1" t="n">
        <v>45930</v>
      </c>
      <c r="D603" t="inlineStr">
        <is>
          <t>SKÅNE LÄN</t>
        </is>
      </c>
      <c r="E603" t="inlineStr">
        <is>
          <t>HÄSSLEHOLM</t>
        </is>
      </c>
      <c r="G603" t="n">
        <v>2.3</v>
      </c>
      <c r="H603" t="n">
        <v>0</v>
      </c>
      <c r="I603" t="n">
        <v>0</v>
      </c>
      <c r="J603" t="n">
        <v>0</v>
      </c>
      <c r="K603" t="n">
        <v>0</v>
      </c>
      <c r="L603" t="n">
        <v>0</v>
      </c>
      <c r="M603" t="n">
        <v>0</v>
      </c>
      <c r="N603" t="n">
        <v>0</v>
      </c>
      <c r="O603" t="n">
        <v>0</v>
      </c>
      <c r="P603" t="n">
        <v>0</v>
      </c>
      <c r="Q603" t="n">
        <v>0</v>
      </c>
      <c r="R603" s="2" t="inlineStr"/>
    </row>
    <row r="604" ht="15" customHeight="1">
      <c r="A604" t="inlineStr">
        <is>
          <t>A 45763-2025</t>
        </is>
      </c>
      <c r="B604" s="1" t="n">
        <v>45923.51778935185</v>
      </c>
      <c r="C604" s="1" t="n">
        <v>45930</v>
      </c>
      <c r="D604" t="inlineStr">
        <is>
          <t>SKÅNE LÄN</t>
        </is>
      </c>
      <c r="E604" t="inlineStr">
        <is>
          <t>HÄSSLEHOLM</t>
        </is>
      </c>
      <c r="G604" t="n">
        <v>4.8</v>
      </c>
      <c r="H604" t="n">
        <v>0</v>
      </c>
      <c r="I604" t="n">
        <v>0</v>
      </c>
      <c r="J604" t="n">
        <v>0</v>
      </c>
      <c r="K604" t="n">
        <v>0</v>
      </c>
      <c r="L604" t="n">
        <v>0</v>
      </c>
      <c r="M604" t="n">
        <v>0</v>
      </c>
      <c r="N604" t="n">
        <v>0</v>
      </c>
      <c r="O604" t="n">
        <v>0</v>
      </c>
      <c r="P604" t="n">
        <v>0</v>
      </c>
      <c r="Q604" t="n">
        <v>0</v>
      </c>
      <c r="R604" s="2" t="inlineStr"/>
    </row>
    <row r="605" ht="15" customHeight="1">
      <c r="A605" t="inlineStr">
        <is>
          <t>A 50525-2024</t>
        </is>
      </c>
      <c r="B605" s="1" t="n">
        <v>45601</v>
      </c>
      <c r="C605" s="1" t="n">
        <v>45930</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54982-2024</t>
        </is>
      </c>
      <c r="B606" s="1" t="n">
        <v>45620.7580787037</v>
      </c>
      <c r="C606" s="1" t="n">
        <v>45930</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13890-2024</t>
        </is>
      </c>
      <c r="B607" s="1" t="n">
        <v>45391</v>
      </c>
      <c r="C607" s="1" t="n">
        <v>45930</v>
      </c>
      <c r="D607" t="inlineStr">
        <is>
          <t>SKÅNE LÄN</t>
        </is>
      </c>
      <c r="E607" t="inlineStr">
        <is>
          <t>HÄSSLEHOLM</t>
        </is>
      </c>
      <c r="F607" t="inlineStr">
        <is>
          <t>Kommuner</t>
        </is>
      </c>
      <c r="G607" t="n">
        <v>1.4</v>
      </c>
      <c r="H607" t="n">
        <v>0</v>
      </c>
      <c r="I607" t="n">
        <v>0</v>
      </c>
      <c r="J607" t="n">
        <v>0</v>
      </c>
      <c r="K607" t="n">
        <v>0</v>
      </c>
      <c r="L607" t="n">
        <v>0</v>
      </c>
      <c r="M607" t="n">
        <v>0</v>
      </c>
      <c r="N607" t="n">
        <v>0</v>
      </c>
      <c r="O607" t="n">
        <v>0</v>
      </c>
      <c r="P607" t="n">
        <v>0</v>
      </c>
      <c r="Q607" t="n">
        <v>0</v>
      </c>
      <c r="R607" s="2" t="inlineStr"/>
    </row>
    <row r="608" ht="15" customHeight="1">
      <c r="A608" t="inlineStr">
        <is>
          <t>A 39223-2024</t>
        </is>
      </c>
      <c r="B608" s="1" t="n">
        <v>45550</v>
      </c>
      <c r="C608" s="1" t="n">
        <v>45930</v>
      </c>
      <c r="D608" t="inlineStr">
        <is>
          <t>SKÅNE LÄN</t>
        </is>
      </c>
      <c r="E608" t="inlineStr">
        <is>
          <t>HÄSSLEHOLM</t>
        </is>
      </c>
      <c r="G608" t="n">
        <v>3.1</v>
      </c>
      <c r="H608" t="n">
        <v>0</v>
      </c>
      <c r="I608" t="n">
        <v>0</v>
      </c>
      <c r="J608" t="n">
        <v>0</v>
      </c>
      <c r="K608" t="n">
        <v>0</v>
      </c>
      <c r="L608" t="n">
        <v>0</v>
      </c>
      <c r="M608" t="n">
        <v>0</v>
      </c>
      <c r="N608" t="n">
        <v>0</v>
      </c>
      <c r="O608" t="n">
        <v>0</v>
      </c>
      <c r="P608" t="n">
        <v>0</v>
      </c>
      <c r="Q608" t="n">
        <v>0</v>
      </c>
      <c r="R608" s="2" t="inlineStr"/>
    </row>
    <row r="609" ht="15" customHeight="1">
      <c r="A609" t="inlineStr">
        <is>
          <t>A 6122-2021</t>
        </is>
      </c>
      <c r="B609" s="1" t="n">
        <v>44232.55091435185</v>
      </c>
      <c r="C609" s="1" t="n">
        <v>45930</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36795-2023</t>
        </is>
      </c>
      <c r="B610" s="1" t="n">
        <v>45154.38245370371</v>
      </c>
      <c r="C610" s="1" t="n">
        <v>45930</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27242-2022</t>
        </is>
      </c>
      <c r="B611" s="1" t="n">
        <v>44741</v>
      </c>
      <c r="C611" s="1" t="n">
        <v>45930</v>
      </c>
      <c r="D611" t="inlineStr">
        <is>
          <t>SKÅNE LÄN</t>
        </is>
      </c>
      <c r="E611" t="inlineStr">
        <is>
          <t>HÄSSLEHOLM</t>
        </is>
      </c>
      <c r="G611" t="n">
        <v>1.9</v>
      </c>
      <c r="H611" t="n">
        <v>0</v>
      </c>
      <c r="I611" t="n">
        <v>0</v>
      </c>
      <c r="J611" t="n">
        <v>0</v>
      </c>
      <c r="K611" t="n">
        <v>0</v>
      </c>
      <c r="L611" t="n">
        <v>0</v>
      </c>
      <c r="M611" t="n">
        <v>0</v>
      </c>
      <c r="N611" t="n">
        <v>0</v>
      </c>
      <c r="O611" t="n">
        <v>0</v>
      </c>
      <c r="P611" t="n">
        <v>0</v>
      </c>
      <c r="Q611" t="n">
        <v>0</v>
      </c>
      <c r="R611" s="2" t="inlineStr"/>
    </row>
    <row r="612" ht="15" customHeight="1">
      <c r="A612" t="inlineStr">
        <is>
          <t>A 13932-2023</t>
        </is>
      </c>
      <c r="B612" s="1" t="n">
        <v>45008.43935185186</v>
      </c>
      <c r="C612" s="1" t="n">
        <v>45930</v>
      </c>
      <c r="D612" t="inlineStr">
        <is>
          <t>SKÅNE LÄN</t>
        </is>
      </c>
      <c r="E612" t="inlineStr">
        <is>
          <t>HÄSSLEHOLM</t>
        </is>
      </c>
      <c r="G612" t="n">
        <v>3.3</v>
      </c>
      <c r="H612" t="n">
        <v>0</v>
      </c>
      <c r="I612" t="n">
        <v>0</v>
      </c>
      <c r="J612" t="n">
        <v>0</v>
      </c>
      <c r="K612" t="n">
        <v>0</v>
      </c>
      <c r="L612" t="n">
        <v>0</v>
      </c>
      <c r="M612" t="n">
        <v>0</v>
      </c>
      <c r="N612" t="n">
        <v>0</v>
      </c>
      <c r="O612" t="n">
        <v>0</v>
      </c>
      <c r="P612" t="n">
        <v>0</v>
      </c>
      <c r="Q612" t="n">
        <v>0</v>
      </c>
      <c r="R612" s="2" t="inlineStr"/>
    </row>
    <row r="613" ht="15" customHeight="1">
      <c r="A613" t="inlineStr">
        <is>
          <t>A 15698-2023</t>
        </is>
      </c>
      <c r="B613" s="1" t="n">
        <v>45021</v>
      </c>
      <c r="C613" s="1" t="n">
        <v>45930</v>
      </c>
      <c r="D613" t="inlineStr">
        <is>
          <t>SKÅNE LÄN</t>
        </is>
      </c>
      <c r="E613" t="inlineStr">
        <is>
          <t>HÄSSLEHOLM</t>
        </is>
      </c>
      <c r="F613" t="inlineStr">
        <is>
          <t>Kommuner</t>
        </is>
      </c>
      <c r="G613" t="n">
        <v>5.5</v>
      </c>
      <c r="H613" t="n">
        <v>0</v>
      </c>
      <c r="I613" t="n">
        <v>0</v>
      </c>
      <c r="J613" t="n">
        <v>0</v>
      </c>
      <c r="K613" t="n">
        <v>0</v>
      </c>
      <c r="L613" t="n">
        <v>0</v>
      </c>
      <c r="M613" t="n">
        <v>0</v>
      </c>
      <c r="N613" t="n">
        <v>0</v>
      </c>
      <c r="O613" t="n">
        <v>0</v>
      </c>
      <c r="P613" t="n">
        <v>0</v>
      </c>
      <c r="Q613" t="n">
        <v>0</v>
      </c>
      <c r="R613" s="2" t="inlineStr"/>
    </row>
    <row r="614" ht="15" customHeight="1">
      <c r="A614" t="inlineStr">
        <is>
          <t>A 12584-2025</t>
        </is>
      </c>
      <c r="B614" s="1" t="n">
        <v>45732</v>
      </c>
      <c r="C614" s="1" t="n">
        <v>45930</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27197-2021</t>
        </is>
      </c>
      <c r="B615" s="1" t="n">
        <v>44350</v>
      </c>
      <c r="C615" s="1" t="n">
        <v>45930</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32008-2024</t>
        </is>
      </c>
      <c r="B616" s="1" t="n">
        <v>45510</v>
      </c>
      <c r="C616" s="1" t="n">
        <v>45930</v>
      </c>
      <c r="D616" t="inlineStr">
        <is>
          <t>SKÅNE LÄN</t>
        </is>
      </c>
      <c r="E616" t="inlineStr">
        <is>
          <t>HÄSSLEHOLM</t>
        </is>
      </c>
      <c r="G616" t="n">
        <v>5.1</v>
      </c>
      <c r="H616" t="n">
        <v>0</v>
      </c>
      <c r="I616" t="n">
        <v>0</v>
      </c>
      <c r="J616" t="n">
        <v>0</v>
      </c>
      <c r="K616" t="n">
        <v>0</v>
      </c>
      <c r="L616" t="n">
        <v>0</v>
      </c>
      <c r="M616" t="n">
        <v>0</v>
      </c>
      <c r="N616" t="n">
        <v>0</v>
      </c>
      <c r="O616" t="n">
        <v>0</v>
      </c>
      <c r="P616" t="n">
        <v>0</v>
      </c>
      <c r="Q616" t="n">
        <v>0</v>
      </c>
      <c r="R616" s="2" t="inlineStr"/>
    </row>
    <row r="617" ht="15" customHeight="1">
      <c r="A617" t="inlineStr">
        <is>
          <t>A 17138-2025</t>
        </is>
      </c>
      <c r="B617" s="1" t="n">
        <v>45755.80378472222</v>
      </c>
      <c r="C617" s="1" t="n">
        <v>45930</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15512-2025</t>
        </is>
      </c>
      <c r="B618" s="1" t="n">
        <v>45747</v>
      </c>
      <c r="C618" s="1" t="n">
        <v>45930</v>
      </c>
      <c r="D618" t="inlineStr">
        <is>
          <t>SKÅNE LÄN</t>
        </is>
      </c>
      <c r="E618" t="inlineStr">
        <is>
          <t>HÄSSLEHOLM</t>
        </is>
      </c>
      <c r="G618" t="n">
        <v>3.5</v>
      </c>
      <c r="H618" t="n">
        <v>0</v>
      </c>
      <c r="I618" t="n">
        <v>0</v>
      </c>
      <c r="J618" t="n">
        <v>0</v>
      </c>
      <c r="K618" t="n">
        <v>0</v>
      </c>
      <c r="L618" t="n">
        <v>0</v>
      </c>
      <c r="M618" t="n">
        <v>0</v>
      </c>
      <c r="N618" t="n">
        <v>0</v>
      </c>
      <c r="O618" t="n">
        <v>0</v>
      </c>
      <c r="P618" t="n">
        <v>0</v>
      </c>
      <c r="Q618" t="n">
        <v>0</v>
      </c>
      <c r="R618" s="2" t="inlineStr"/>
    </row>
    <row r="619" ht="15" customHeight="1">
      <c r="A619" t="inlineStr">
        <is>
          <t>A 31998-2023</t>
        </is>
      </c>
      <c r="B619" s="1" t="n">
        <v>45119</v>
      </c>
      <c r="C619" s="1" t="n">
        <v>45930</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14700-2023</t>
        </is>
      </c>
      <c r="B620" s="1" t="n">
        <v>45014.38376157408</v>
      </c>
      <c r="C620" s="1" t="n">
        <v>45930</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3531-2023</t>
        </is>
      </c>
      <c r="B621" s="1" t="n">
        <v>44950</v>
      </c>
      <c r="C621" s="1" t="n">
        <v>45930</v>
      </c>
      <c r="D621" t="inlineStr">
        <is>
          <t>SKÅNE LÄN</t>
        </is>
      </c>
      <c r="E621" t="inlineStr">
        <is>
          <t>HÄSSLEHOLM</t>
        </is>
      </c>
      <c r="G621" t="n">
        <v>10.1</v>
      </c>
      <c r="H621" t="n">
        <v>0</v>
      </c>
      <c r="I621" t="n">
        <v>0</v>
      </c>
      <c r="J621" t="n">
        <v>0</v>
      </c>
      <c r="K621" t="n">
        <v>0</v>
      </c>
      <c r="L621" t="n">
        <v>0</v>
      </c>
      <c r="M621" t="n">
        <v>0</v>
      </c>
      <c r="N621" t="n">
        <v>0</v>
      </c>
      <c r="O621" t="n">
        <v>0</v>
      </c>
      <c r="P621" t="n">
        <v>0</v>
      </c>
      <c r="Q621" t="n">
        <v>0</v>
      </c>
      <c r="R621" s="2" t="inlineStr"/>
    </row>
    <row r="622" ht="15" customHeight="1">
      <c r="A622" t="inlineStr">
        <is>
          <t>A 33465-2024</t>
        </is>
      </c>
      <c r="B622" s="1" t="n">
        <v>45519.59619212963</v>
      </c>
      <c r="C622" s="1" t="n">
        <v>45930</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4140-2023</t>
        </is>
      </c>
      <c r="B623" s="1" t="n">
        <v>44953</v>
      </c>
      <c r="C623" s="1" t="n">
        <v>45930</v>
      </c>
      <c r="D623" t="inlineStr">
        <is>
          <t>SKÅNE LÄN</t>
        </is>
      </c>
      <c r="E623" t="inlineStr">
        <is>
          <t>HÄSSLEHOLM</t>
        </is>
      </c>
      <c r="G623" t="n">
        <v>10.6</v>
      </c>
      <c r="H623" t="n">
        <v>0</v>
      </c>
      <c r="I623" t="n">
        <v>0</v>
      </c>
      <c r="J623" t="n">
        <v>0</v>
      </c>
      <c r="K623" t="n">
        <v>0</v>
      </c>
      <c r="L623" t="n">
        <v>0</v>
      </c>
      <c r="M623" t="n">
        <v>0</v>
      </c>
      <c r="N623" t="n">
        <v>0</v>
      </c>
      <c r="O623" t="n">
        <v>0</v>
      </c>
      <c r="P623" t="n">
        <v>0</v>
      </c>
      <c r="Q623" t="n">
        <v>0</v>
      </c>
      <c r="R623" s="2" t="inlineStr"/>
    </row>
    <row r="624" ht="15" customHeight="1">
      <c r="A624" t="inlineStr">
        <is>
          <t>A 4579-2025</t>
        </is>
      </c>
      <c r="B624" s="1" t="n">
        <v>45687.5009375</v>
      </c>
      <c r="C624" s="1" t="n">
        <v>45930</v>
      </c>
      <c r="D624" t="inlineStr">
        <is>
          <t>SKÅNE LÄN</t>
        </is>
      </c>
      <c r="E624" t="inlineStr">
        <is>
          <t>HÄSSLEHOLM</t>
        </is>
      </c>
      <c r="G624" t="n">
        <v>2.8</v>
      </c>
      <c r="H624" t="n">
        <v>0</v>
      </c>
      <c r="I624" t="n">
        <v>0</v>
      </c>
      <c r="J624" t="n">
        <v>0</v>
      </c>
      <c r="K624" t="n">
        <v>0</v>
      </c>
      <c r="L624" t="n">
        <v>0</v>
      </c>
      <c r="M624" t="n">
        <v>0</v>
      </c>
      <c r="N624" t="n">
        <v>0</v>
      </c>
      <c r="O624" t="n">
        <v>0</v>
      </c>
      <c r="P624" t="n">
        <v>0</v>
      </c>
      <c r="Q624" t="n">
        <v>0</v>
      </c>
      <c r="R624" s="2" t="inlineStr"/>
    </row>
    <row r="625" ht="15" customHeight="1">
      <c r="A625" t="inlineStr">
        <is>
          <t>A 25077-2024</t>
        </is>
      </c>
      <c r="B625" s="1" t="n">
        <v>45462</v>
      </c>
      <c r="C625" s="1" t="n">
        <v>45930</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1344-2021</t>
        </is>
      </c>
      <c r="B626" s="1" t="n">
        <v>44208</v>
      </c>
      <c r="C626" s="1" t="n">
        <v>45930</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18623-2023</t>
        </is>
      </c>
      <c r="B627" s="1" t="n">
        <v>45043</v>
      </c>
      <c r="C627" s="1" t="n">
        <v>45930</v>
      </c>
      <c r="D627" t="inlineStr">
        <is>
          <t>SKÅNE LÄN</t>
        </is>
      </c>
      <c r="E627" t="inlineStr">
        <is>
          <t>HÄSSLEHOLM</t>
        </is>
      </c>
      <c r="G627" t="n">
        <v>3.2</v>
      </c>
      <c r="H627" t="n">
        <v>0</v>
      </c>
      <c r="I627" t="n">
        <v>0</v>
      </c>
      <c r="J627" t="n">
        <v>0</v>
      </c>
      <c r="K627" t="n">
        <v>0</v>
      </c>
      <c r="L627" t="n">
        <v>0</v>
      </c>
      <c r="M627" t="n">
        <v>0</v>
      </c>
      <c r="N627" t="n">
        <v>0</v>
      </c>
      <c r="O627" t="n">
        <v>0</v>
      </c>
      <c r="P627" t="n">
        <v>0</v>
      </c>
      <c r="Q627" t="n">
        <v>0</v>
      </c>
      <c r="R627" s="2" t="inlineStr"/>
    </row>
    <row r="628" ht="15" customHeight="1">
      <c r="A628" t="inlineStr">
        <is>
          <t>A 31986-2023</t>
        </is>
      </c>
      <c r="B628" s="1" t="n">
        <v>45119</v>
      </c>
      <c r="C628" s="1" t="n">
        <v>45930</v>
      </c>
      <c r="D628" t="inlineStr">
        <is>
          <t>SKÅNE LÄN</t>
        </is>
      </c>
      <c r="E628" t="inlineStr">
        <is>
          <t>HÄSSLEHOLM</t>
        </is>
      </c>
      <c r="G628" t="n">
        <v>1.7</v>
      </c>
      <c r="H628" t="n">
        <v>0</v>
      </c>
      <c r="I628" t="n">
        <v>0</v>
      </c>
      <c r="J628" t="n">
        <v>0</v>
      </c>
      <c r="K628" t="n">
        <v>0</v>
      </c>
      <c r="L628" t="n">
        <v>0</v>
      </c>
      <c r="M628" t="n">
        <v>0</v>
      </c>
      <c r="N628" t="n">
        <v>0</v>
      </c>
      <c r="O628" t="n">
        <v>0</v>
      </c>
      <c r="P628" t="n">
        <v>0</v>
      </c>
      <c r="Q628" t="n">
        <v>0</v>
      </c>
      <c r="R628" s="2" t="inlineStr"/>
    </row>
    <row r="629" ht="15" customHeight="1">
      <c r="A629" t="inlineStr">
        <is>
          <t>A 10115-2024</t>
        </is>
      </c>
      <c r="B629" s="1" t="n">
        <v>45364.55339120371</v>
      </c>
      <c r="C629" s="1" t="n">
        <v>45930</v>
      </c>
      <c r="D629" t="inlineStr">
        <is>
          <t>SKÅNE LÄN</t>
        </is>
      </c>
      <c r="E629" t="inlineStr">
        <is>
          <t>HÄSSLEHOLM</t>
        </is>
      </c>
      <c r="G629" t="n">
        <v>7</v>
      </c>
      <c r="H629" t="n">
        <v>0</v>
      </c>
      <c r="I629" t="n">
        <v>0</v>
      </c>
      <c r="J629" t="n">
        <v>0</v>
      </c>
      <c r="K629" t="n">
        <v>0</v>
      </c>
      <c r="L629" t="n">
        <v>0</v>
      </c>
      <c r="M629" t="n">
        <v>0</v>
      </c>
      <c r="N629" t="n">
        <v>0</v>
      </c>
      <c r="O629" t="n">
        <v>0</v>
      </c>
      <c r="P629" t="n">
        <v>0</v>
      </c>
      <c r="Q629" t="n">
        <v>0</v>
      </c>
      <c r="R629" s="2" t="inlineStr"/>
    </row>
    <row r="630" ht="15" customHeight="1">
      <c r="A630" t="inlineStr">
        <is>
          <t>A 46942-2024</t>
        </is>
      </c>
      <c r="B630" s="1" t="n">
        <v>45585.6684375</v>
      </c>
      <c r="C630" s="1" t="n">
        <v>45930</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41209-2023</t>
        </is>
      </c>
      <c r="B631" s="1" t="n">
        <v>45174.43481481481</v>
      </c>
      <c r="C631" s="1" t="n">
        <v>45930</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61197-2024</t>
        </is>
      </c>
      <c r="B632" s="1" t="n">
        <v>45645.63184027778</v>
      </c>
      <c r="C632" s="1" t="n">
        <v>45930</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3663-2024</t>
        </is>
      </c>
      <c r="B633" s="1" t="n">
        <v>45321.34775462963</v>
      </c>
      <c r="C633" s="1" t="n">
        <v>45930</v>
      </c>
      <c r="D633" t="inlineStr">
        <is>
          <t>SKÅNE LÄN</t>
        </is>
      </c>
      <c r="E633" t="inlineStr">
        <is>
          <t>HÄSSLEHOLM</t>
        </is>
      </c>
      <c r="G633" t="n">
        <v>0.4</v>
      </c>
      <c r="H633" t="n">
        <v>0</v>
      </c>
      <c r="I633" t="n">
        <v>0</v>
      </c>
      <c r="J633" t="n">
        <v>0</v>
      </c>
      <c r="K633" t="n">
        <v>0</v>
      </c>
      <c r="L633" t="n">
        <v>0</v>
      </c>
      <c r="M633" t="n">
        <v>0</v>
      </c>
      <c r="N633" t="n">
        <v>0</v>
      </c>
      <c r="O633" t="n">
        <v>0</v>
      </c>
      <c r="P633" t="n">
        <v>0</v>
      </c>
      <c r="Q633" t="n">
        <v>0</v>
      </c>
      <c r="R633" s="2" t="inlineStr"/>
    </row>
    <row r="634" ht="15" customHeight="1">
      <c r="A634" t="inlineStr">
        <is>
          <t>A 67801-2021</t>
        </is>
      </c>
      <c r="B634" s="1" t="n">
        <v>44525</v>
      </c>
      <c r="C634" s="1" t="n">
        <v>45930</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7771-2021</t>
        </is>
      </c>
      <c r="B635" s="1" t="n">
        <v>44242</v>
      </c>
      <c r="C635" s="1" t="n">
        <v>45930</v>
      </c>
      <c r="D635" t="inlineStr">
        <is>
          <t>SKÅNE LÄN</t>
        </is>
      </c>
      <c r="E635" t="inlineStr">
        <is>
          <t>HÄSSLEHOLM</t>
        </is>
      </c>
      <c r="G635" t="n">
        <v>4.2</v>
      </c>
      <c r="H635" t="n">
        <v>0</v>
      </c>
      <c r="I635" t="n">
        <v>0</v>
      </c>
      <c r="J635" t="n">
        <v>0</v>
      </c>
      <c r="K635" t="n">
        <v>0</v>
      </c>
      <c r="L635" t="n">
        <v>0</v>
      </c>
      <c r="M635" t="n">
        <v>0</v>
      </c>
      <c r="N635" t="n">
        <v>0</v>
      </c>
      <c r="O635" t="n">
        <v>0</v>
      </c>
      <c r="P635" t="n">
        <v>0</v>
      </c>
      <c r="Q635" t="n">
        <v>0</v>
      </c>
      <c r="R635" s="2" t="inlineStr"/>
    </row>
    <row r="636" ht="15" customHeight="1">
      <c r="A636" t="inlineStr">
        <is>
          <t>A 13549-2025</t>
        </is>
      </c>
      <c r="B636" s="1" t="n">
        <v>45736</v>
      </c>
      <c r="C636" s="1" t="n">
        <v>45930</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33257-2024</t>
        </is>
      </c>
      <c r="B637" s="1" t="n">
        <v>45518</v>
      </c>
      <c r="C637" s="1" t="n">
        <v>45930</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35833-2023</t>
        </is>
      </c>
      <c r="B638" s="1" t="n">
        <v>45148</v>
      </c>
      <c r="C638" s="1" t="n">
        <v>45930</v>
      </c>
      <c r="D638" t="inlineStr">
        <is>
          <t>SKÅNE LÄN</t>
        </is>
      </c>
      <c r="E638" t="inlineStr">
        <is>
          <t>HÄSSLEHOLM</t>
        </is>
      </c>
      <c r="F638" t="inlineStr">
        <is>
          <t>Kommuner</t>
        </is>
      </c>
      <c r="G638" t="n">
        <v>2</v>
      </c>
      <c r="H638" t="n">
        <v>0</v>
      </c>
      <c r="I638" t="n">
        <v>0</v>
      </c>
      <c r="J638" t="n">
        <v>0</v>
      </c>
      <c r="K638" t="n">
        <v>0</v>
      </c>
      <c r="L638" t="n">
        <v>0</v>
      </c>
      <c r="M638" t="n">
        <v>0</v>
      </c>
      <c r="N638" t="n">
        <v>0</v>
      </c>
      <c r="O638" t="n">
        <v>0</v>
      </c>
      <c r="P638" t="n">
        <v>0</v>
      </c>
      <c r="Q638" t="n">
        <v>0</v>
      </c>
      <c r="R638" s="2" t="inlineStr"/>
    </row>
    <row r="639" ht="15" customHeight="1">
      <c r="A639" t="inlineStr">
        <is>
          <t>A 45398-2024</t>
        </is>
      </c>
      <c r="B639" s="1" t="n">
        <v>45576.56260416667</v>
      </c>
      <c r="C639" s="1" t="n">
        <v>45930</v>
      </c>
      <c r="D639" t="inlineStr">
        <is>
          <t>SKÅNE LÄN</t>
        </is>
      </c>
      <c r="E639" t="inlineStr">
        <is>
          <t>HÄSSLEHOLM</t>
        </is>
      </c>
      <c r="G639" t="n">
        <v>4.2</v>
      </c>
      <c r="H639" t="n">
        <v>0</v>
      </c>
      <c r="I639" t="n">
        <v>0</v>
      </c>
      <c r="J639" t="n">
        <v>0</v>
      </c>
      <c r="K639" t="n">
        <v>0</v>
      </c>
      <c r="L639" t="n">
        <v>0</v>
      </c>
      <c r="M639" t="n">
        <v>0</v>
      </c>
      <c r="N639" t="n">
        <v>0</v>
      </c>
      <c r="O639" t="n">
        <v>0</v>
      </c>
      <c r="P639" t="n">
        <v>0</v>
      </c>
      <c r="Q639" t="n">
        <v>0</v>
      </c>
      <c r="R639" s="2" t="inlineStr"/>
    </row>
    <row r="640" ht="15" customHeight="1">
      <c r="A640" t="inlineStr">
        <is>
          <t>A 17492-2025</t>
        </is>
      </c>
      <c r="B640" s="1" t="n">
        <v>45747</v>
      </c>
      <c r="C640" s="1" t="n">
        <v>45930</v>
      </c>
      <c r="D640" t="inlineStr">
        <is>
          <t>SKÅNE LÄN</t>
        </is>
      </c>
      <c r="E640" t="inlineStr">
        <is>
          <t>HÄSSLEHOLM</t>
        </is>
      </c>
      <c r="G640" t="n">
        <v>1.4</v>
      </c>
      <c r="H640" t="n">
        <v>0</v>
      </c>
      <c r="I640" t="n">
        <v>0</v>
      </c>
      <c r="J640" t="n">
        <v>0</v>
      </c>
      <c r="K640" t="n">
        <v>0</v>
      </c>
      <c r="L640" t="n">
        <v>0</v>
      </c>
      <c r="M640" t="n">
        <v>0</v>
      </c>
      <c r="N640" t="n">
        <v>0</v>
      </c>
      <c r="O640" t="n">
        <v>0</v>
      </c>
      <c r="P640" t="n">
        <v>0</v>
      </c>
      <c r="Q640" t="n">
        <v>0</v>
      </c>
      <c r="R640" s="2" t="inlineStr"/>
    </row>
    <row r="641" ht="15" customHeight="1">
      <c r="A641" t="inlineStr">
        <is>
          <t>A 4809-2025</t>
        </is>
      </c>
      <c r="B641" s="1" t="n">
        <v>45688.60148148148</v>
      </c>
      <c r="C641" s="1" t="n">
        <v>45930</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57491-2024</t>
        </is>
      </c>
      <c r="B642" s="1" t="n">
        <v>45629</v>
      </c>
      <c r="C642" s="1" t="n">
        <v>45930</v>
      </c>
      <c r="D642" t="inlineStr">
        <is>
          <t>SKÅNE LÄN</t>
        </is>
      </c>
      <c r="E642" t="inlineStr">
        <is>
          <t>HÄSSLEHOLM</t>
        </is>
      </c>
      <c r="G642" t="n">
        <v>3.2</v>
      </c>
      <c r="H642" t="n">
        <v>0</v>
      </c>
      <c r="I642" t="n">
        <v>0</v>
      </c>
      <c r="J642" t="n">
        <v>0</v>
      </c>
      <c r="K642" t="n">
        <v>0</v>
      </c>
      <c r="L642" t="n">
        <v>0</v>
      </c>
      <c r="M642" t="n">
        <v>0</v>
      </c>
      <c r="N642" t="n">
        <v>0</v>
      </c>
      <c r="O642" t="n">
        <v>0</v>
      </c>
      <c r="P642" t="n">
        <v>0</v>
      </c>
      <c r="Q642" t="n">
        <v>0</v>
      </c>
      <c r="R642" s="2" t="inlineStr"/>
    </row>
    <row r="643" ht="15" customHeight="1">
      <c r="A643" t="inlineStr">
        <is>
          <t>A 59030-2024</t>
        </is>
      </c>
      <c r="B643" s="1" t="n">
        <v>45636.68916666666</v>
      </c>
      <c r="C643" s="1" t="n">
        <v>45930</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58250-2024</t>
        </is>
      </c>
      <c r="B644" s="1" t="n">
        <v>45632.55643518519</v>
      </c>
      <c r="C644" s="1" t="n">
        <v>45930</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26207-2021</t>
        </is>
      </c>
      <c r="B645" s="1" t="n">
        <v>44347</v>
      </c>
      <c r="C645" s="1" t="n">
        <v>45930</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51618-2024</t>
        </is>
      </c>
      <c r="B646" s="1" t="n">
        <v>45604.82615740741</v>
      </c>
      <c r="C646" s="1" t="n">
        <v>45930</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10409-2024</t>
        </is>
      </c>
      <c r="B647" s="1" t="n">
        <v>45365.6978125</v>
      </c>
      <c r="C647" s="1" t="n">
        <v>45930</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31995-2023</t>
        </is>
      </c>
      <c r="B648" s="1" t="n">
        <v>45107</v>
      </c>
      <c r="C648" s="1" t="n">
        <v>45930</v>
      </c>
      <c r="D648" t="inlineStr">
        <is>
          <t>SKÅNE LÄN</t>
        </is>
      </c>
      <c r="E648" t="inlineStr">
        <is>
          <t>HÄSSLEHOLM</t>
        </is>
      </c>
      <c r="G648" t="n">
        <v>7.3</v>
      </c>
      <c r="H648" t="n">
        <v>0</v>
      </c>
      <c r="I648" t="n">
        <v>0</v>
      </c>
      <c r="J648" t="n">
        <v>0</v>
      </c>
      <c r="K648" t="n">
        <v>0</v>
      </c>
      <c r="L648" t="n">
        <v>0</v>
      </c>
      <c r="M648" t="n">
        <v>0</v>
      </c>
      <c r="N648" t="n">
        <v>0</v>
      </c>
      <c r="O648" t="n">
        <v>0</v>
      </c>
      <c r="P648" t="n">
        <v>0</v>
      </c>
      <c r="Q648" t="n">
        <v>0</v>
      </c>
      <c r="R648" s="2" t="inlineStr"/>
    </row>
    <row r="649" ht="15" customHeight="1">
      <c r="A649" t="inlineStr">
        <is>
          <t>A 6798-2025</t>
        </is>
      </c>
      <c r="B649" s="1" t="n">
        <v>45700.668125</v>
      </c>
      <c r="C649" s="1" t="n">
        <v>45930</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4356-2024</t>
        </is>
      </c>
      <c r="B650" s="1" t="n">
        <v>45325.36195601852</v>
      </c>
      <c r="C650" s="1" t="n">
        <v>45930</v>
      </c>
      <c r="D650" t="inlineStr">
        <is>
          <t>SKÅNE LÄN</t>
        </is>
      </c>
      <c r="E650" t="inlineStr">
        <is>
          <t>HÄSSLEHOLM</t>
        </is>
      </c>
      <c r="G650" t="n">
        <v>3.2</v>
      </c>
      <c r="H650" t="n">
        <v>0</v>
      </c>
      <c r="I650" t="n">
        <v>0</v>
      </c>
      <c r="J650" t="n">
        <v>0</v>
      </c>
      <c r="K650" t="n">
        <v>0</v>
      </c>
      <c r="L650" t="n">
        <v>0</v>
      </c>
      <c r="M650" t="n">
        <v>0</v>
      </c>
      <c r="N650" t="n">
        <v>0</v>
      </c>
      <c r="O650" t="n">
        <v>0</v>
      </c>
      <c r="P650" t="n">
        <v>0</v>
      </c>
      <c r="Q650" t="n">
        <v>0</v>
      </c>
      <c r="R650" s="2" t="inlineStr"/>
    </row>
    <row r="651" ht="15" customHeight="1">
      <c r="A651" t="inlineStr">
        <is>
          <t>A 47840-2023</t>
        </is>
      </c>
      <c r="B651" s="1" t="n">
        <v>45204</v>
      </c>
      <c r="C651" s="1" t="n">
        <v>45930</v>
      </c>
      <c r="D651" t="inlineStr">
        <is>
          <t>SKÅNE LÄN</t>
        </is>
      </c>
      <c r="E651" t="inlineStr">
        <is>
          <t>HÄSSLEHOLM</t>
        </is>
      </c>
      <c r="G651" t="n">
        <v>2.4</v>
      </c>
      <c r="H651" t="n">
        <v>0</v>
      </c>
      <c r="I651" t="n">
        <v>0</v>
      </c>
      <c r="J651" t="n">
        <v>0</v>
      </c>
      <c r="K651" t="n">
        <v>0</v>
      </c>
      <c r="L651" t="n">
        <v>0</v>
      </c>
      <c r="M651" t="n">
        <v>0</v>
      </c>
      <c r="N651" t="n">
        <v>0</v>
      </c>
      <c r="O651" t="n">
        <v>0</v>
      </c>
      <c r="P651" t="n">
        <v>0</v>
      </c>
      <c r="Q651" t="n">
        <v>0</v>
      </c>
      <c r="R651" s="2" t="inlineStr"/>
    </row>
    <row r="652" ht="15" customHeight="1">
      <c r="A652" t="inlineStr">
        <is>
          <t>A 7481-2023</t>
        </is>
      </c>
      <c r="B652" s="1" t="n">
        <v>44971</v>
      </c>
      <c r="C652" s="1" t="n">
        <v>45930</v>
      </c>
      <c r="D652" t="inlineStr">
        <is>
          <t>SKÅNE LÄN</t>
        </is>
      </c>
      <c r="E652" t="inlineStr">
        <is>
          <t>HÄSSLEHOLM</t>
        </is>
      </c>
      <c r="G652" t="n">
        <v>1.4</v>
      </c>
      <c r="H652" t="n">
        <v>0</v>
      </c>
      <c r="I652" t="n">
        <v>0</v>
      </c>
      <c r="J652" t="n">
        <v>0</v>
      </c>
      <c r="K652" t="n">
        <v>0</v>
      </c>
      <c r="L652" t="n">
        <v>0</v>
      </c>
      <c r="M652" t="n">
        <v>0</v>
      </c>
      <c r="N652" t="n">
        <v>0</v>
      </c>
      <c r="O652" t="n">
        <v>0</v>
      </c>
      <c r="P652" t="n">
        <v>0</v>
      </c>
      <c r="Q652" t="n">
        <v>0</v>
      </c>
      <c r="R652" s="2" t="inlineStr"/>
    </row>
    <row r="653" ht="15" customHeight="1">
      <c r="A653" t="inlineStr">
        <is>
          <t>A 69357-2021</t>
        </is>
      </c>
      <c r="B653" s="1" t="n">
        <v>44531</v>
      </c>
      <c r="C653" s="1" t="n">
        <v>45930</v>
      </c>
      <c r="D653" t="inlineStr">
        <is>
          <t>SKÅNE LÄN</t>
        </is>
      </c>
      <c r="E653" t="inlineStr">
        <is>
          <t>HÄSSLEHOLM</t>
        </is>
      </c>
      <c r="G653" t="n">
        <v>1.6</v>
      </c>
      <c r="H653" t="n">
        <v>0</v>
      </c>
      <c r="I653" t="n">
        <v>0</v>
      </c>
      <c r="J653" t="n">
        <v>0</v>
      </c>
      <c r="K653" t="n">
        <v>0</v>
      </c>
      <c r="L653" t="n">
        <v>0</v>
      </c>
      <c r="M653" t="n">
        <v>0</v>
      </c>
      <c r="N653" t="n">
        <v>0</v>
      </c>
      <c r="O653" t="n">
        <v>0</v>
      </c>
      <c r="P653" t="n">
        <v>0</v>
      </c>
      <c r="Q653" t="n">
        <v>0</v>
      </c>
      <c r="R653" s="2" t="inlineStr"/>
    </row>
    <row r="654" ht="15" customHeight="1">
      <c r="A654" t="inlineStr">
        <is>
          <t>A 34888-2023</t>
        </is>
      </c>
      <c r="B654" s="1" t="n">
        <v>45142.388125</v>
      </c>
      <c r="C654" s="1" t="n">
        <v>45930</v>
      </c>
      <c r="D654" t="inlineStr">
        <is>
          <t>SKÅNE LÄN</t>
        </is>
      </c>
      <c r="E654" t="inlineStr">
        <is>
          <t>HÄSSLEHOLM</t>
        </is>
      </c>
      <c r="G654" t="n">
        <v>1.4</v>
      </c>
      <c r="H654" t="n">
        <v>0</v>
      </c>
      <c r="I654" t="n">
        <v>0</v>
      </c>
      <c r="J654" t="n">
        <v>0</v>
      </c>
      <c r="K654" t="n">
        <v>0</v>
      </c>
      <c r="L654" t="n">
        <v>0</v>
      </c>
      <c r="M654" t="n">
        <v>0</v>
      </c>
      <c r="N654" t="n">
        <v>0</v>
      </c>
      <c r="O654" t="n">
        <v>0</v>
      </c>
      <c r="P654" t="n">
        <v>0</v>
      </c>
      <c r="Q654" t="n">
        <v>0</v>
      </c>
      <c r="R654" s="2" t="inlineStr"/>
    </row>
    <row r="655" ht="15" customHeight="1">
      <c r="A655" t="inlineStr">
        <is>
          <t>A 20435-2021</t>
        </is>
      </c>
      <c r="B655" s="1" t="n">
        <v>44315.5793287037</v>
      </c>
      <c r="C655" s="1" t="n">
        <v>45930</v>
      </c>
      <c r="D655" t="inlineStr">
        <is>
          <t>SKÅNE LÄN</t>
        </is>
      </c>
      <c r="E655" t="inlineStr">
        <is>
          <t>HÄSSLEHOLM</t>
        </is>
      </c>
      <c r="G655" t="n">
        <v>4.8</v>
      </c>
      <c r="H655" t="n">
        <v>0</v>
      </c>
      <c r="I655" t="n">
        <v>0</v>
      </c>
      <c r="J655" t="n">
        <v>0</v>
      </c>
      <c r="K655" t="n">
        <v>0</v>
      </c>
      <c r="L655" t="n">
        <v>0</v>
      </c>
      <c r="M655" t="n">
        <v>0</v>
      </c>
      <c r="N655" t="n">
        <v>0</v>
      </c>
      <c r="O655" t="n">
        <v>0</v>
      </c>
      <c r="P655" t="n">
        <v>0</v>
      </c>
      <c r="Q655" t="n">
        <v>0</v>
      </c>
      <c r="R655" s="2" t="inlineStr"/>
    </row>
    <row r="656" ht="15" customHeight="1">
      <c r="A656" t="inlineStr">
        <is>
          <t>A 35150-2023</t>
        </is>
      </c>
      <c r="B656" s="1" t="n">
        <v>45145</v>
      </c>
      <c r="C656" s="1" t="n">
        <v>45930</v>
      </c>
      <c r="D656" t="inlineStr">
        <is>
          <t>SKÅNE LÄN</t>
        </is>
      </c>
      <c r="E656" t="inlineStr">
        <is>
          <t>HÄSSLEHOLM</t>
        </is>
      </c>
      <c r="G656" t="n">
        <v>4.9</v>
      </c>
      <c r="H656" t="n">
        <v>0</v>
      </c>
      <c r="I656" t="n">
        <v>0</v>
      </c>
      <c r="J656" t="n">
        <v>0</v>
      </c>
      <c r="K656" t="n">
        <v>0</v>
      </c>
      <c r="L656" t="n">
        <v>0</v>
      </c>
      <c r="M656" t="n">
        <v>0</v>
      </c>
      <c r="N656" t="n">
        <v>0</v>
      </c>
      <c r="O656" t="n">
        <v>0</v>
      </c>
      <c r="P656" t="n">
        <v>0</v>
      </c>
      <c r="Q656" t="n">
        <v>0</v>
      </c>
      <c r="R656" s="2" t="inlineStr"/>
    </row>
    <row r="657" ht="15" customHeight="1">
      <c r="A657" t="inlineStr">
        <is>
          <t>A 1557-2023</t>
        </is>
      </c>
      <c r="B657" s="1" t="n">
        <v>44937</v>
      </c>
      <c r="C657" s="1" t="n">
        <v>45930</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37898-2021</t>
        </is>
      </c>
      <c r="B658" s="1" t="n">
        <v>44403</v>
      </c>
      <c r="C658" s="1" t="n">
        <v>45930</v>
      </c>
      <c r="D658" t="inlineStr">
        <is>
          <t>SKÅNE LÄN</t>
        </is>
      </c>
      <c r="E658" t="inlineStr">
        <is>
          <t>HÄSSLEHOLM</t>
        </is>
      </c>
      <c r="F658" t="inlineStr">
        <is>
          <t>Kommuner</t>
        </is>
      </c>
      <c r="G658" t="n">
        <v>8.4</v>
      </c>
      <c r="H658" t="n">
        <v>0</v>
      </c>
      <c r="I658" t="n">
        <v>0</v>
      </c>
      <c r="J658" t="n">
        <v>0</v>
      </c>
      <c r="K658" t="n">
        <v>0</v>
      </c>
      <c r="L658" t="n">
        <v>0</v>
      </c>
      <c r="M658" t="n">
        <v>0</v>
      </c>
      <c r="N658" t="n">
        <v>0</v>
      </c>
      <c r="O658" t="n">
        <v>0</v>
      </c>
      <c r="P658" t="n">
        <v>0</v>
      </c>
      <c r="Q658" t="n">
        <v>0</v>
      </c>
      <c r="R658" s="2" t="inlineStr"/>
    </row>
    <row r="659" ht="15" customHeight="1">
      <c r="A659" t="inlineStr">
        <is>
          <t>A 35810-2023</t>
        </is>
      </c>
      <c r="B659" s="1" t="n">
        <v>45148.44046296296</v>
      </c>
      <c r="C659" s="1" t="n">
        <v>45930</v>
      </c>
      <c r="D659" t="inlineStr">
        <is>
          <t>SKÅNE LÄN</t>
        </is>
      </c>
      <c r="E659" t="inlineStr">
        <is>
          <t>HÄSSLEHOLM</t>
        </is>
      </c>
      <c r="G659" t="n">
        <v>1.2</v>
      </c>
      <c r="H659" t="n">
        <v>0</v>
      </c>
      <c r="I659" t="n">
        <v>0</v>
      </c>
      <c r="J659" t="n">
        <v>0</v>
      </c>
      <c r="K659" t="n">
        <v>0</v>
      </c>
      <c r="L659" t="n">
        <v>0</v>
      </c>
      <c r="M659" t="n">
        <v>0</v>
      </c>
      <c r="N659" t="n">
        <v>0</v>
      </c>
      <c r="O659" t="n">
        <v>0</v>
      </c>
      <c r="P659" t="n">
        <v>0</v>
      </c>
      <c r="Q659" t="n">
        <v>0</v>
      </c>
      <c r="R659" s="2" t="inlineStr"/>
    </row>
    <row r="660" ht="15" customHeight="1">
      <c r="A660" t="inlineStr">
        <is>
          <t>A 53085-2022</t>
        </is>
      </c>
      <c r="B660" s="1" t="n">
        <v>44873</v>
      </c>
      <c r="C660" s="1" t="n">
        <v>45930</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46605-2025</t>
        </is>
      </c>
      <c r="B661" s="1" t="n">
        <v>45926.41214120371</v>
      </c>
      <c r="C661" s="1" t="n">
        <v>45930</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23172-2022</t>
        </is>
      </c>
      <c r="B662" s="1" t="n">
        <v>44719</v>
      </c>
      <c r="C662" s="1" t="n">
        <v>45930</v>
      </c>
      <c r="D662" t="inlineStr">
        <is>
          <t>SKÅNE LÄN</t>
        </is>
      </c>
      <c r="E662" t="inlineStr">
        <is>
          <t>HÄSSLEHOLM</t>
        </is>
      </c>
      <c r="F662" t="inlineStr">
        <is>
          <t>Övriga Aktiebolag</t>
        </is>
      </c>
      <c r="G662" t="n">
        <v>0.9</v>
      </c>
      <c r="H662" t="n">
        <v>0</v>
      </c>
      <c r="I662" t="n">
        <v>0</v>
      </c>
      <c r="J662" t="n">
        <v>0</v>
      </c>
      <c r="K662" t="n">
        <v>0</v>
      </c>
      <c r="L662" t="n">
        <v>0</v>
      </c>
      <c r="M662" t="n">
        <v>0</v>
      </c>
      <c r="N662" t="n">
        <v>0</v>
      </c>
      <c r="O662" t="n">
        <v>0</v>
      </c>
      <c r="P662" t="n">
        <v>0</v>
      </c>
      <c r="Q662" t="n">
        <v>0</v>
      </c>
      <c r="R662" s="2" t="inlineStr"/>
    </row>
    <row r="663" ht="15" customHeight="1">
      <c r="A663" t="inlineStr">
        <is>
          <t>A 23173-2022</t>
        </is>
      </c>
      <c r="B663" s="1" t="n">
        <v>44719.72155092593</v>
      </c>
      <c r="C663" s="1" t="n">
        <v>45930</v>
      </c>
      <c r="D663" t="inlineStr">
        <is>
          <t>SKÅNE LÄN</t>
        </is>
      </c>
      <c r="E663" t="inlineStr">
        <is>
          <t>HÄSSLEHOLM</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16388-2025</t>
        </is>
      </c>
      <c r="B664" s="1" t="n">
        <v>45751.42787037037</v>
      </c>
      <c r="C664" s="1" t="n">
        <v>45930</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16668-2025</t>
        </is>
      </c>
      <c r="B665" s="1" t="n">
        <v>45754.43009259259</v>
      </c>
      <c r="C665" s="1" t="n">
        <v>45930</v>
      </c>
      <c r="D665" t="inlineStr">
        <is>
          <t>SKÅNE LÄN</t>
        </is>
      </c>
      <c r="E665" t="inlineStr">
        <is>
          <t>HÄSSLEHOLM</t>
        </is>
      </c>
      <c r="G665" t="n">
        <v>4</v>
      </c>
      <c r="H665" t="n">
        <v>0</v>
      </c>
      <c r="I665" t="n">
        <v>0</v>
      </c>
      <c r="J665" t="n">
        <v>0</v>
      </c>
      <c r="K665" t="n">
        <v>0</v>
      </c>
      <c r="L665" t="n">
        <v>0</v>
      </c>
      <c r="M665" t="n">
        <v>0</v>
      </c>
      <c r="N665" t="n">
        <v>0</v>
      </c>
      <c r="O665" t="n">
        <v>0</v>
      </c>
      <c r="P665" t="n">
        <v>0</v>
      </c>
      <c r="Q665" t="n">
        <v>0</v>
      </c>
      <c r="R665" s="2" t="inlineStr"/>
    </row>
    <row r="666" ht="15" customHeight="1">
      <c r="A666" t="inlineStr">
        <is>
          <t>A 9709-2023</t>
        </is>
      </c>
      <c r="B666" s="1" t="n">
        <v>44984.48376157408</v>
      </c>
      <c r="C666" s="1" t="n">
        <v>45930</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52608-2023</t>
        </is>
      </c>
      <c r="B667" s="1" t="n">
        <v>45219</v>
      </c>
      <c r="C667" s="1" t="n">
        <v>45930</v>
      </c>
      <c r="D667" t="inlineStr">
        <is>
          <t>SKÅNE LÄN</t>
        </is>
      </c>
      <c r="E667" t="inlineStr">
        <is>
          <t>HÄSSLEHOLM</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8239-2025</t>
        </is>
      </c>
      <c r="B668" s="1" t="n">
        <v>45708.47984953703</v>
      </c>
      <c r="C668" s="1" t="n">
        <v>45930</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56355-2023</t>
        </is>
      </c>
      <c r="B669" s="1" t="n">
        <v>45243.3702662037</v>
      </c>
      <c r="C669" s="1" t="n">
        <v>45930</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13646-2024</t>
        </is>
      </c>
      <c r="B670" s="1" t="n">
        <v>45387</v>
      </c>
      <c r="C670" s="1" t="n">
        <v>45930</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21867-2023</t>
        </is>
      </c>
      <c r="B671" s="1" t="n">
        <v>45063</v>
      </c>
      <c r="C671" s="1" t="n">
        <v>45930</v>
      </c>
      <c r="D671" t="inlineStr">
        <is>
          <t>SKÅNE LÄN</t>
        </is>
      </c>
      <c r="E671" t="inlineStr">
        <is>
          <t>HÄSSLEHOLM</t>
        </is>
      </c>
      <c r="G671" t="n">
        <v>7.6</v>
      </c>
      <c r="H671" t="n">
        <v>0</v>
      </c>
      <c r="I671" t="n">
        <v>0</v>
      </c>
      <c r="J671" t="n">
        <v>0</v>
      </c>
      <c r="K671" t="n">
        <v>0</v>
      </c>
      <c r="L671" t="n">
        <v>0</v>
      </c>
      <c r="M671" t="n">
        <v>0</v>
      </c>
      <c r="N671" t="n">
        <v>0</v>
      </c>
      <c r="O671" t="n">
        <v>0</v>
      </c>
      <c r="P671" t="n">
        <v>0</v>
      </c>
      <c r="Q671" t="n">
        <v>0</v>
      </c>
      <c r="R671" s="2" t="inlineStr"/>
    </row>
    <row r="672" ht="15" customHeight="1">
      <c r="A672" t="inlineStr">
        <is>
          <t>A 1560-2023</t>
        </is>
      </c>
      <c r="B672" s="1" t="n">
        <v>44937</v>
      </c>
      <c r="C672" s="1" t="n">
        <v>45930</v>
      </c>
      <c r="D672" t="inlineStr">
        <is>
          <t>SKÅNE LÄN</t>
        </is>
      </c>
      <c r="E672" t="inlineStr">
        <is>
          <t>HÄSSLEHOLM</t>
        </is>
      </c>
      <c r="G672" t="n">
        <v>6.8</v>
      </c>
      <c r="H672" t="n">
        <v>0</v>
      </c>
      <c r="I672" t="n">
        <v>0</v>
      </c>
      <c r="J672" t="n">
        <v>0</v>
      </c>
      <c r="K672" t="n">
        <v>0</v>
      </c>
      <c r="L672" t="n">
        <v>0</v>
      </c>
      <c r="M672" t="n">
        <v>0</v>
      </c>
      <c r="N672" t="n">
        <v>0</v>
      </c>
      <c r="O672" t="n">
        <v>0</v>
      </c>
      <c r="P672" t="n">
        <v>0</v>
      </c>
      <c r="Q672" t="n">
        <v>0</v>
      </c>
      <c r="R672" s="2" t="inlineStr"/>
    </row>
    <row r="673" ht="15" customHeight="1">
      <c r="A673" t="inlineStr">
        <is>
          <t>A 9394-2025</t>
        </is>
      </c>
      <c r="B673" s="1" t="n">
        <v>45715.36387731481</v>
      </c>
      <c r="C673" s="1" t="n">
        <v>45930</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7305-2025</t>
        </is>
      </c>
      <c r="B674" s="1" t="n">
        <v>45702</v>
      </c>
      <c r="C674" s="1" t="n">
        <v>45930</v>
      </c>
      <c r="D674" t="inlineStr">
        <is>
          <t>SKÅNE LÄN</t>
        </is>
      </c>
      <c r="E674" t="inlineStr">
        <is>
          <t>HÄSSLEHOLM</t>
        </is>
      </c>
      <c r="F674" t="inlineStr">
        <is>
          <t>Övriga Aktiebolag</t>
        </is>
      </c>
      <c r="G674" t="n">
        <v>2.2</v>
      </c>
      <c r="H674" t="n">
        <v>0</v>
      </c>
      <c r="I674" t="n">
        <v>0</v>
      </c>
      <c r="J674" t="n">
        <v>0</v>
      </c>
      <c r="K674" t="n">
        <v>0</v>
      </c>
      <c r="L674" t="n">
        <v>0</v>
      </c>
      <c r="M674" t="n">
        <v>0</v>
      </c>
      <c r="N674" t="n">
        <v>0</v>
      </c>
      <c r="O674" t="n">
        <v>0</v>
      </c>
      <c r="P674" t="n">
        <v>0</v>
      </c>
      <c r="Q674" t="n">
        <v>0</v>
      </c>
      <c r="R674" s="2" t="inlineStr"/>
    </row>
    <row r="675" ht="15" customHeight="1">
      <c r="A675" t="inlineStr">
        <is>
          <t>A 52341-2023</t>
        </is>
      </c>
      <c r="B675" s="1" t="n">
        <v>45224.67006944444</v>
      </c>
      <c r="C675" s="1" t="n">
        <v>45930</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13087-2023</t>
        </is>
      </c>
      <c r="B676" s="1" t="n">
        <v>45001</v>
      </c>
      <c r="C676" s="1" t="n">
        <v>45930</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34342-2021</t>
        </is>
      </c>
      <c r="B677" s="1" t="n">
        <v>44379</v>
      </c>
      <c r="C677" s="1" t="n">
        <v>45930</v>
      </c>
      <c r="D677" t="inlineStr">
        <is>
          <t>SKÅNE LÄN</t>
        </is>
      </c>
      <c r="E677" t="inlineStr">
        <is>
          <t>HÄSSLEHOLM</t>
        </is>
      </c>
      <c r="G677" t="n">
        <v>7</v>
      </c>
      <c r="H677" t="n">
        <v>0</v>
      </c>
      <c r="I677" t="n">
        <v>0</v>
      </c>
      <c r="J677" t="n">
        <v>0</v>
      </c>
      <c r="K677" t="n">
        <v>0</v>
      </c>
      <c r="L677" t="n">
        <v>0</v>
      </c>
      <c r="M677" t="n">
        <v>0</v>
      </c>
      <c r="N677" t="n">
        <v>0</v>
      </c>
      <c r="O677" t="n">
        <v>0</v>
      </c>
      <c r="P677" t="n">
        <v>0</v>
      </c>
      <c r="Q677" t="n">
        <v>0</v>
      </c>
      <c r="R677" s="2" t="inlineStr"/>
    </row>
    <row r="678" ht="15" customHeight="1">
      <c r="A678" t="inlineStr">
        <is>
          <t>A 27173-2024</t>
        </is>
      </c>
      <c r="B678" s="1" t="n">
        <v>45471.57048611111</v>
      </c>
      <c r="C678" s="1" t="n">
        <v>45930</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52968-2022</t>
        </is>
      </c>
      <c r="B679" s="1" t="n">
        <v>44875</v>
      </c>
      <c r="C679" s="1" t="n">
        <v>45930</v>
      </c>
      <c r="D679" t="inlineStr">
        <is>
          <t>SKÅNE LÄN</t>
        </is>
      </c>
      <c r="E679" t="inlineStr">
        <is>
          <t>HÄSSLEHOLM</t>
        </is>
      </c>
      <c r="G679" t="n">
        <v>2.6</v>
      </c>
      <c r="H679" t="n">
        <v>0</v>
      </c>
      <c r="I679" t="n">
        <v>0</v>
      </c>
      <c r="J679" t="n">
        <v>0</v>
      </c>
      <c r="K679" t="n">
        <v>0</v>
      </c>
      <c r="L679" t="n">
        <v>0</v>
      </c>
      <c r="M679" t="n">
        <v>0</v>
      </c>
      <c r="N679" t="n">
        <v>0</v>
      </c>
      <c r="O679" t="n">
        <v>0</v>
      </c>
      <c r="P679" t="n">
        <v>0</v>
      </c>
      <c r="Q679" t="n">
        <v>0</v>
      </c>
      <c r="R679" s="2" t="inlineStr"/>
    </row>
    <row r="680" ht="15" customHeight="1">
      <c r="A680" t="inlineStr">
        <is>
          <t>A 46786-2025</t>
        </is>
      </c>
      <c r="B680" s="1" t="n">
        <v>45926.64484953704</v>
      </c>
      <c r="C680" s="1" t="n">
        <v>45930</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15800-2025</t>
        </is>
      </c>
      <c r="B681" s="1" t="n">
        <v>45748.64831018518</v>
      </c>
      <c r="C681" s="1" t="n">
        <v>45930</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1616-2025</t>
        </is>
      </c>
      <c r="B682" s="1" t="n">
        <v>45670</v>
      </c>
      <c r="C682" s="1" t="n">
        <v>45930</v>
      </c>
      <c r="D682" t="inlineStr">
        <is>
          <t>SKÅNE LÄN</t>
        </is>
      </c>
      <c r="E682" t="inlineStr">
        <is>
          <t>HÄSSLEHOLM</t>
        </is>
      </c>
      <c r="G682" t="n">
        <v>3.6</v>
      </c>
      <c r="H682" t="n">
        <v>0</v>
      </c>
      <c r="I682" t="n">
        <v>0</v>
      </c>
      <c r="J682" t="n">
        <v>0</v>
      </c>
      <c r="K682" t="n">
        <v>0</v>
      </c>
      <c r="L682" t="n">
        <v>0</v>
      </c>
      <c r="M682" t="n">
        <v>0</v>
      </c>
      <c r="N682" t="n">
        <v>0</v>
      </c>
      <c r="O682" t="n">
        <v>0</v>
      </c>
      <c r="P682" t="n">
        <v>0</v>
      </c>
      <c r="Q682" t="n">
        <v>0</v>
      </c>
      <c r="R682" s="2" t="inlineStr"/>
    </row>
    <row r="683" ht="15" customHeight="1">
      <c r="A683" t="inlineStr">
        <is>
          <t>A 40780-2022</t>
        </is>
      </c>
      <c r="B683" s="1" t="n">
        <v>44820</v>
      </c>
      <c r="C683" s="1" t="n">
        <v>45930</v>
      </c>
      <c r="D683" t="inlineStr">
        <is>
          <t>SKÅNE LÄN</t>
        </is>
      </c>
      <c r="E683" t="inlineStr">
        <is>
          <t>HÄSSLEHOLM</t>
        </is>
      </c>
      <c r="G683" t="n">
        <v>7.4</v>
      </c>
      <c r="H683" t="n">
        <v>0</v>
      </c>
      <c r="I683" t="n">
        <v>0</v>
      </c>
      <c r="J683" t="n">
        <v>0</v>
      </c>
      <c r="K683" t="n">
        <v>0</v>
      </c>
      <c r="L683" t="n">
        <v>0</v>
      </c>
      <c r="M683" t="n">
        <v>0</v>
      </c>
      <c r="N683" t="n">
        <v>0</v>
      </c>
      <c r="O683" t="n">
        <v>0</v>
      </c>
      <c r="P683" t="n">
        <v>0</v>
      </c>
      <c r="Q683" t="n">
        <v>0</v>
      </c>
      <c r="R683" s="2" t="inlineStr"/>
    </row>
    <row r="684" ht="15" customHeight="1">
      <c r="A684" t="inlineStr">
        <is>
          <t>A 46761-2025</t>
        </is>
      </c>
      <c r="B684" s="1" t="n">
        <v>45926.62289351852</v>
      </c>
      <c r="C684" s="1" t="n">
        <v>45930</v>
      </c>
      <c r="D684" t="inlineStr">
        <is>
          <t>SKÅNE LÄN</t>
        </is>
      </c>
      <c r="E684" t="inlineStr">
        <is>
          <t>HÄSSLEHOLM</t>
        </is>
      </c>
      <c r="G684" t="n">
        <v>1.6</v>
      </c>
      <c r="H684" t="n">
        <v>0</v>
      </c>
      <c r="I684" t="n">
        <v>0</v>
      </c>
      <c r="J684" t="n">
        <v>0</v>
      </c>
      <c r="K684" t="n">
        <v>0</v>
      </c>
      <c r="L684" t="n">
        <v>0</v>
      </c>
      <c r="M684" t="n">
        <v>0</v>
      </c>
      <c r="N684" t="n">
        <v>0</v>
      </c>
      <c r="O684" t="n">
        <v>0</v>
      </c>
      <c r="P684" t="n">
        <v>0</v>
      </c>
      <c r="Q684" t="n">
        <v>0</v>
      </c>
      <c r="R684" s="2" t="inlineStr"/>
    </row>
    <row r="685" ht="15" customHeight="1">
      <c r="A685" t="inlineStr">
        <is>
          <t>A 6791-2021</t>
        </is>
      </c>
      <c r="B685" s="1" t="n">
        <v>44236</v>
      </c>
      <c r="C685" s="1" t="n">
        <v>45930</v>
      </c>
      <c r="D685" t="inlineStr">
        <is>
          <t>SKÅNE LÄN</t>
        </is>
      </c>
      <c r="E685" t="inlineStr">
        <is>
          <t>HÄSSLEHOLM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1445-2021</t>
        </is>
      </c>
      <c r="B686" s="1" t="n">
        <v>44208</v>
      </c>
      <c r="C686" s="1" t="n">
        <v>45930</v>
      </c>
      <c r="D686" t="inlineStr">
        <is>
          <t>SKÅNE LÄN</t>
        </is>
      </c>
      <c r="E686" t="inlineStr">
        <is>
          <t>HÄSSLEHOLM</t>
        </is>
      </c>
      <c r="G686" t="n">
        <v>4.6</v>
      </c>
      <c r="H686" t="n">
        <v>0</v>
      </c>
      <c r="I686" t="n">
        <v>0</v>
      </c>
      <c r="J686" t="n">
        <v>0</v>
      </c>
      <c r="K686" t="n">
        <v>0</v>
      </c>
      <c r="L686" t="n">
        <v>0</v>
      </c>
      <c r="M686" t="n">
        <v>0</v>
      </c>
      <c r="N686" t="n">
        <v>0</v>
      </c>
      <c r="O686" t="n">
        <v>0</v>
      </c>
      <c r="P686" t="n">
        <v>0</v>
      </c>
      <c r="Q686" t="n">
        <v>0</v>
      </c>
      <c r="R686" s="2" t="inlineStr"/>
    </row>
    <row r="687" ht="15" customHeight="1">
      <c r="A687" t="inlineStr">
        <is>
          <t>A 51245-2023</t>
        </is>
      </c>
      <c r="B687" s="1" t="n">
        <v>45212</v>
      </c>
      <c r="C687" s="1" t="n">
        <v>45930</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62167-2022</t>
        </is>
      </c>
      <c r="B688" s="1" t="n">
        <v>44915</v>
      </c>
      <c r="C688" s="1" t="n">
        <v>45930</v>
      </c>
      <c r="D688" t="inlineStr">
        <is>
          <t>SKÅNE LÄN</t>
        </is>
      </c>
      <c r="E688" t="inlineStr">
        <is>
          <t>HÄSSLEHOLM</t>
        </is>
      </c>
      <c r="F688" t="inlineStr">
        <is>
          <t>Kyrkan</t>
        </is>
      </c>
      <c r="G688" t="n">
        <v>3.1</v>
      </c>
      <c r="H688" t="n">
        <v>0</v>
      </c>
      <c r="I688" t="n">
        <v>0</v>
      </c>
      <c r="J688" t="n">
        <v>0</v>
      </c>
      <c r="K688" t="n">
        <v>0</v>
      </c>
      <c r="L688" t="n">
        <v>0</v>
      </c>
      <c r="M688" t="n">
        <v>0</v>
      </c>
      <c r="N688" t="n">
        <v>0</v>
      </c>
      <c r="O688" t="n">
        <v>0</v>
      </c>
      <c r="P688" t="n">
        <v>0</v>
      </c>
      <c r="Q688" t="n">
        <v>0</v>
      </c>
      <c r="R688" s="2" t="inlineStr"/>
    </row>
    <row r="689" ht="15" customHeight="1">
      <c r="A689" t="inlineStr">
        <is>
          <t>A 62234-2022</t>
        </is>
      </c>
      <c r="B689" s="1" t="n">
        <v>44922</v>
      </c>
      <c r="C689" s="1" t="n">
        <v>45930</v>
      </c>
      <c r="D689" t="inlineStr">
        <is>
          <t>SKÅNE LÄN</t>
        </is>
      </c>
      <c r="E689" t="inlineStr">
        <is>
          <t>HÄSSLEHOLM</t>
        </is>
      </c>
      <c r="G689" t="n">
        <v>1.3</v>
      </c>
      <c r="H689" t="n">
        <v>0</v>
      </c>
      <c r="I689" t="n">
        <v>0</v>
      </c>
      <c r="J689" t="n">
        <v>0</v>
      </c>
      <c r="K689" t="n">
        <v>0</v>
      </c>
      <c r="L689" t="n">
        <v>0</v>
      </c>
      <c r="M689" t="n">
        <v>0</v>
      </c>
      <c r="N689" t="n">
        <v>0</v>
      </c>
      <c r="O689" t="n">
        <v>0</v>
      </c>
      <c r="P689" t="n">
        <v>0</v>
      </c>
      <c r="Q689" t="n">
        <v>0</v>
      </c>
      <c r="R689" s="2" t="inlineStr"/>
    </row>
    <row r="690" ht="15" customHeight="1">
      <c r="A690" t="inlineStr">
        <is>
          <t>A 44741-2023</t>
        </is>
      </c>
      <c r="B690" s="1" t="n">
        <v>45190.38804398148</v>
      </c>
      <c r="C690" s="1" t="n">
        <v>45930</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9397-2025</t>
        </is>
      </c>
      <c r="B691" s="1" t="n">
        <v>45715.37361111111</v>
      </c>
      <c r="C691" s="1" t="n">
        <v>45930</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6583-2021</t>
        </is>
      </c>
      <c r="B692" s="1" t="n">
        <v>44236</v>
      </c>
      <c r="C692" s="1" t="n">
        <v>45930</v>
      </c>
      <c r="D692" t="inlineStr">
        <is>
          <t>SKÅNE LÄN</t>
        </is>
      </c>
      <c r="E692" t="inlineStr">
        <is>
          <t>HÄSSLEHOLM</t>
        </is>
      </c>
      <c r="G692" t="n">
        <v>1.6</v>
      </c>
      <c r="H692" t="n">
        <v>0</v>
      </c>
      <c r="I692" t="n">
        <v>0</v>
      </c>
      <c r="J692" t="n">
        <v>0</v>
      </c>
      <c r="K692" t="n">
        <v>0</v>
      </c>
      <c r="L692" t="n">
        <v>0</v>
      </c>
      <c r="M692" t="n">
        <v>0</v>
      </c>
      <c r="N692" t="n">
        <v>0</v>
      </c>
      <c r="O692" t="n">
        <v>0</v>
      </c>
      <c r="P692" t="n">
        <v>0</v>
      </c>
      <c r="Q692" t="n">
        <v>0</v>
      </c>
      <c r="R692" s="2" t="inlineStr"/>
    </row>
    <row r="693" ht="15" customHeight="1">
      <c r="A693" t="inlineStr">
        <is>
          <t>A 50899-2024</t>
        </is>
      </c>
      <c r="B693" s="1" t="n">
        <v>45602.68584490741</v>
      </c>
      <c r="C693" s="1" t="n">
        <v>45930</v>
      </c>
      <c r="D693" t="inlineStr">
        <is>
          <t>SKÅNE LÄN</t>
        </is>
      </c>
      <c r="E693" t="inlineStr">
        <is>
          <t>HÄSSLEHOLM</t>
        </is>
      </c>
      <c r="G693" t="n">
        <v>1.7</v>
      </c>
      <c r="H693" t="n">
        <v>0</v>
      </c>
      <c r="I693" t="n">
        <v>0</v>
      </c>
      <c r="J693" t="n">
        <v>0</v>
      </c>
      <c r="K693" t="n">
        <v>0</v>
      </c>
      <c r="L693" t="n">
        <v>0</v>
      </c>
      <c r="M693" t="n">
        <v>0</v>
      </c>
      <c r="N693" t="n">
        <v>0</v>
      </c>
      <c r="O693" t="n">
        <v>0</v>
      </c>
      <c r="P693" t="n">
        <v>0</v>
      </c>
      <c r="Q693" t="n">
        <v>0</v>
      </c>
      <c r="R693" s="2" t="inlineStr"/>
    </row>
    <row r="694" ht="15" customHeight="1">
      <c r="A694" t="inlineStr">
        <is>
          <t>A 48624-2021</t>
        </is>
      </c>
      <c r="B694" s="1" t="n">
        <v>44452</v>
      </c>
      <c r="C694" s="1" t="n">
        <v>45930</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48747-2022</t>
        </is>
      </c>
      <c r="B695" s="1" t="n">
        <v>44859</v>
      </c>
      <c r="C695" s="1" t="n">
        <v>45930</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7153-2025</t>
        </is>
      </c>
      <c r="B696" s="1" t="n">
        <v>45702.38512731482</v>
      </c>
      <c r="C696" s="1" t="n">
        <v>45930</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7581-2023</t>
        </is>
      </c>
      <c r="B697" s="1" t="n">
        <v>44972.39556712963</v>
      </c>
      <c r="C697" s="1" t="n">
        <v>45930</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10802-2024</t>
        </is>
      </c>
      <c r="B698" s="1" t="n">
        <v>45369</v>
      </c>
      <c r="C698" s="1" t="n">
        <v>45930</v>
      </c>
      <c r="D698" t="inlineStr">
        <is>
          <t>SKÅNE LÄN</t>
        </is>
      </c>
      <c r="E698" t="inlineStr">
        <is>
          <t>HÄSSLEHOLM</t>
        </is>
      </c>
      <c r="G698" t="n">
        <v>3.4</v>
      </c>
      <c r="H698" t="n">
        <v>0</v>
      </c>
      <c r="I698" t="n">
        <v>0</v>
      </c>
      <c r="J698" t="n">
        <v>0</v>
      </c>
      <c r="K698" t="n">
        <v>0</v>
      </c>
      <c r="L698" t="n">
        <v>0</v>
      </c>
      <c r="M698" t="n">
        <v>0</v>
      </c>
      <c r="N698" t="n">
        <v>0</v>
      </c>
      <c r="O698" t="n">
        <v>0</v>
      </c>
      <c r="P698" t="n">
        <v>0</v>
      </c>
      <c r="Q698" t="n">
        <v>0</v>
      </c>
      <c r="R698" s="2" t="inlineStr"/>
    </row>
    <row r="699" ht="15" customHeight="1">
      <c r="A699" t="inlineStr">
        <is>
          <t>A 21141-2024</t>
        </is>
      </c>
      <c r="B699" s="1" t="n">
        <v>45440.39012731481</v>
      </c>
      <c r="C699" s="1" t="n">
        <v>45930</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48046-2023</t>
        </is>
      </c>
      <c r="B700" s="1" t="n">
        <v>45204.85201388889</v>
      </c>
      <c r="C700" s="1" t="n">
        <v>45930</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11603-2025</t>
        </is>
      </c>
      <c r="B701" s="1" t="n">
        <v>45727</v>
      </c>
      <c r="C701" s="1" t="n">
        <v>45930</v>
      </c>
      <c r="D701" t="inlineStr">
        <is>
          <t>SKÅNE LÄN</t>
        </is>
      </c>
      <c r="E701" t="inlineStr">
        <is>
          <t>HÄSSLEHOLM</t>
        </is>
      </c>
      <c r="G701" t="n">
        <v>5.6</v>
      </c>
      <c r="H701" t="n">
        <v>0</v>
      </c>
      <c r="I701" t="n">
        <v>0</v>
      </c>
      <c r="J701" t="n">
        <v>0</v>
      </c>
      <c r="K701" t="n">
        <v>0</v>
      </c>
      <c r="L701" t="n">
        <v>0</v>
      </c>
      <c r="M701" t="n">
        <v>0</v>
      </c>
      <c r="N701" t="n">
        <v>0</v>
      </c>
      <c r="O701" t="n">
        <v>0</v>
      </c>
      <c r="P701" t="n">
        <v>0</v>
      </c>
      <c r="Q701" t="n">
        <v>0</v>
      </c>
      <c r="R701" s="2" t="inlineStr"/>
    </row>
    <row r="702" ht="15" customHeight="1">
      <c r="A702" t="inlineStr">
        <is>
          <t>A 11607-2025</t>
        </is>
      </c>
      <c r="B702" s="1" t="n">
        <v>45727</v>
      </c>
      <c r="C702" s="1" t="n">
        <v>45930</v>
      </c>
      <c r="D702" t="inlineStr">
        <is>
          <t>SKÅNE LÄN</t>
        </is>
      </c>
      <c r="E702" t="inlineStr">
        <is>
          <t>HÄSSLEHOLM</t>
        </is>
      </c>
      <c r="G702" t="n">
        <v>4.1</v>
      </c>
      <c r="H702" t="n">
        <v>0</v>
      </c>
      <c r="I702" t="n">
        <v>0</v>
      </c>
      <c r="J702" t="n">
        <v>0</v>
      </c>
      <c r="K702" t="n">
        <v>0</v>
      </c>
      <c r="L702" t="n">
        <v>0</v>
      </c>
      <c r="M702" t="n">
        <v>0</v>
      </c>
      <c r="N702" t="n">
        <v>0</v>
      </c>
      <c r="O702" t="n">
        <v>0</v>
      </c>
      <c r="P702" t="n">
        <v>0</v>
      </c>
      <c r="Q702" t="n">
        <v>0</v>
      </c>
      <c r="R702" s="2" t="inlineStr"/>
    </row>
    <row r="703" ht="15" customHeight="1">
      <c r="A703" t="inlineStr">
        <is>
          <t>A 11609-2025</t>
        </is>
      </c>
      <c r="B703" s="1" t="n">
        <v>45727.44237268518</v>
      </c>
      <c r="C703" s="1" t="n">
        <v>45930</v>
      </c>
      <c r="D703" t="inlineStr">
        <is>
          <t>SKÅNE LÄN</t>
        </is>
      </c>
      <c r="E703" t="inlineStr">
        <is>
          <t>HÄSSLEHOLM</t>
        </is>
      </c>
      <c r="G703" t="n">
        <v>4.4</v>
      </c>
      <c r="H703" t="n">
        <v>0</v>
      </c>
      <c r="I703" t="n">
        <v>0</v>
      </c>
      <c r="J703" t="n">
        <v>0</v>
      </c>
      <c r="K703" t="n">
        <v>0</v>
      </c>
      <c r="L703" t="n">
        <v>0</v>
      </c>
      <c r="M703" t="n">
        <v>0</v>
      </c>
      <c r="N703" t="n">
        <v>0</v>
      </c>
      <c r="O703" t="n">
        <v>0</v>
      </c>
      <c r="P703" t="n">
        <v>0</v>
      </c>
      <c r="Q703" t="n">
        <v>0</v>
      </c>
      <c r="R703" s="2" t="inlineStr"/>
    </row>
    <row r="704" ht="15" customHeight="1">
      <c r="A704" t="inlineStr">
        <is>
          <t>A 13712-2025</t>
        </is>
      </c>
      <c r="B704" s="1" t="n">
        <v>45737</v>
      </c>
      <c r="C704" s="1" t="n">
        <v>45930</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9556-2025</t>
        </is>
      </c>
      <c r="B705" s="1" t="n">
        <v>45714</v>
      </c>
      <c r="C705" s="1" t="n">
        <v>45930</v>
      </c>
      <c r="D705" t="inlineStr">
        <is>
          <t>SKÅNE LÄN</t>
        </is>
      </c>
      <c r="E705" t="inlineStr">
        <is>
          <t>HÄSSLEHOLM</t>
        </is>
      </c>
      <c r="G705" t="n">
        <v>1.8</v>
      </c>
      <c r="H705" t="n">
        <v>0</v>
      </c>
      <c r="I705" t="n">
        <v>0</v>
      </c>
      <c r="J705" t="n">
        <v>0</v>
      </c>
      <c r="K705" t="n">
        <v>0</v>
      </c>
      <c r="L705" t="n">
        <v>0</v>
      </c>
      <c r="M705" t="n">
        <v>0</v>
      </c>
      <c r="N705" t="n">
        <v>0</v>
      </c>
      <c r="O705" t="n">
        <v>0</v>
      </c>
      <c r="P705" t="n">
        <v>0</v>
      </c>
      <c r="Q705" t="n">
        <v>0</v>
      </c>
      <c r="R705" s="2" t="inlineStr"/>
    </row>
    <row r="706" ht="15" customHeight="1">
      <c r="A706" t="inlineStr">
        <is>
          <t>A 46288-2023</t>
        </is>
      </c>
      <c r="B706" s="1" t="n">
        <v>45197.30221064815</v>
      </c>
      <c r="C706" s="1" t="n">
        <v>45930</v>
      </c>
      <c r="D706" t="inlineStr">
        <is>
          <t>SKÅNE LÄN</t>
        </is>
      </c>
      <c r="E706" t="inlineStr">
        <is>
          <t>HÄSSLEHOLM</t>
        </is>
      </c>
      <c r="G706" t="n">
        <v>3</v>
      </c>
      <c r="H706" t="n">
        <v>0</v>
      </c>
      <c r="I706" t="n">
        <v>0</v>
      </c>
      <c r="J706" t="n">
        <v>0</v>
      </c>
      <c r="K706" t="n">
        <v>0</v>
      </c>
      <c r="L706" t="n">
        <v>0</v>
      </c>
      <c r="M706" t="n">
        <v>0</v>
      </c>
      <c r="N706" t="n">
        <v>0</v>
      </c>
      <c r="O706" t="n">
        <v>0</v>
      </c>
      <c r="P706" t="n">
        <v>0</v>
      </c>
      <c r="Q706" t="n">
        <v>0</v>
      </c>
      <c r="R706" s="2" t="inlineStr"/>
    </row>
    <row r="707" ht="15" customHeight="1">
      <c r="A707" t="inlineStr">
        <is>
          <t>A 13808-2021</t>
        </is>
      </c>
      <c r="B707" s="1" t="n">
        <v>44276</v>
      </c>
      <c r="C707" s="1" t="n">
        <v>45930</v>
      </c>
      <c r="D707" t="inlineStr">
        <is>
          <t>SKÅNE LÄN</t>
        </is>
      </c>
      <c r="E707" t="inlineStr">
        <is>
          <t>HÄSSLEHOLM</t>
        </is>
      </c>
      <c r="G707" t="n">
        <v>10.3</v>
      </c>
      <c r="H707" t="n">
        <v>0</v>
      </c>
      <c r="I707" t="n">
        <v>0</v>
      </c>
      <c r="J707" t="n">
        <v>0</v>
      </c>
      <c r="K707" t="n">
        <v>0</v>
      </c>
      <c r="L707" t="n">
        <v>0</v>
      </c>
      <c r="M707" t="n">
        <v>0</v>
      </c>
      <c r="N707" t="n">
        <v>0</v>
      </c>
      <c r="O707" t="n">
        <v>0</v>
      </c>
      <c r="P707" t="n">
        <v>0</v>
      </c>
      <c r="Q707" t="n">
        <v>0</v>
      </c>
      <c r="R707" s="2" t="inlineStr"/>
    </row>
    <row r="708" ht="15" customHeight="1">
      <c r="A708" t="inlineStr">
        <is>
          <t>A 49106-2023</t>
        </is>
      </c>
      <c r="B708" s="1" t="n">
        <v>45210</v>
      </c>
      <c r="C708" s="1" t="n">
        <v>45930</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58815-2023</t>
        </is>
      </c>
      <c r="B709" s="1" t="n">
        <v>45247</v>
      </c>
      <c r="C709" s="1" t="n">
        <v>45930</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57967-2023</t>
        </is>
      </c>
      <c r="B710" s="1" t="n">
        <v>45247.57984953704</v>
      </c>
      <c r="C710" s="1" t="n">
        <v>45930</v>
      </c>
      <c r="D710" t="inlineStr">
        <is>
          <t>SKÅNE LÄN</t>
        </is>
      </c>
      <c r="E710" t="inlineStr">
        <is>
          <t>HÄSSLEHOLM</t>
        </is>
      </c>
      <c r="G710" t="n">
        <v>8.6</v>
      </c>
      <c r="H710" t="n">
        <v>0</v>
      </c>
      <c r="I710" t="n">
        <v>0</v>
      </c>
      <c r="J710" t="n">
        <v>0</v>
      </c>
      <c r="K710" t="n">
        <v>0</v>
      </c>
      <c r="L710" t="n">
        <v>0</v>
      </c>
      <c r="M710" t="n">
        <v>0</v>
      </c>
      <c r="N710" t="n">
        <v>0</v>
      </c>
      <c r="O710" t="n">
        <v>0</v>
      </c>
      <c r="P710" t="n">
        <v>0</v>
      </c>
      <c r="Q710" t="n">
        <v>0</v>
      </c>
      <c r="R710" s="2" t="inlineStr"/>
    </row>
    <row r="711" ht="15" customHeight="1">
      <c r="A711" t="inlineStr">
        <is>
          <t>A 9697-2023</t>
        </is>
      </c>
      <c r="B711" s="1" t="n">
        <v>44984</v>
      </c>
      <c r="C711" s="1" t="n">
        <v>45930</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27478-2023</t>
        </is>
      </c>
      <c r="B712" s="1" t="n">
        <v>45092</v>
      </c>
      <c r="C712" s="1" t="n">
        <v>45930</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1170-2025</t>
        </is>
      </c>
      <c r="B713" s="1" t="n">
        <v>45667.29226851852</v>
      </c>
      <c r="C713" s="1" t="n">
        <v>45930</v>
      </c>
      <c r="D713" t="inlineStr">
        <is>
          <t>SKÅNE LÄN</t>
        </is>
      </c>
      <c r="E713" t="inlineStr">
        <is>
          <t>HÄSSLEHOLM</t>
        </is>
      </c>
      <c r="G713" t="n">
        <v>4.3</v>
      </c>
      <c r="H713" t="n">
        <v>0</v>
      </c>
      <c r="I713" t="n">
        <v>0</v>
      </c>
      <c r="J713" t="n">
        <v>0</v>
      </c>
      <c r="K713" t="n">
        <v>0</v>
      </c>
      <c r="L713" t="n">
        <v>0</v>
      </c>
      <c r="M713" t="n">
        <v>0</v>
      </c>
      <c r="N713" t="n">
        <v>0</v>
      </c>
      <c r="O713" t="n">
        <v>0</v>
      </c>
      <c r="P713" t="n">
        <v>0</v>
      </c>
      <c r="Q713" t="n">
        <v>0</v>
      </c>
      <c r="R713" s="2" t="inlineStr"/>
    </row>
    <row r="714" ht="15" customHeight="1">
      <c r="A714" t="inlineStr">
        <is>
          <t>A 57749-2023</t>
        </is>
      </c>
      <c r="B714" s="1" t="n">
        <v>45246</v>
      </c>
      <c r="C714" s="1" t="n">
        <v>45930</v>
      </c>
      <c r="D714" t="inlineStr">
        <is>
          <t>SKÅNE LÄN</t>
        </is>
      </c>
      <c r="E714" t="inlineStr">
        <is>
          <t>HÄSSLEHOLM</t>
        </is>
      </c>
      <c r="G714" t="n">
        <v>2.7</v>
      </c>
      <c r="H714" t="n">
        <v>0</v>
      </c>
      <c r="I714" t="n">
        <v>0</v>
      </c>
      <c r="J714" t="n">
        <v>0</v>
      </c>
      <c r="K714" t="n">
        <v>0</v>
      </c>
      <c r="L714" t="n">
        <v>0</v>
      </c>
      <c r="M714" t="n">
        <v>0</v>
      </c>
      <c r="N714" t="n">
        <v>0</v>
      </c>
      <c r="O714" t="n">
        <v>0</v>
      </c>
      <c r="P714" t="n">
        <v>0</v>
      </c>
      <c r="Q714" t="n">
        <v>0</v>
      </c>
      <c r="R714" s="2" t="inlineStr"/>
    </row>
    <row r="715" ht="15" customHeight="1">
      <c r="A715" t="inlineStr">
        <is>
          <t>A 19744-2023</t>
        </is>
      </c>
      <c r="B715" s="1" t="n">
        <v>45051</v>
      </c>
      <c r="C715" s="1" t="n">
        <v>45930</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44940-2023</t>
        </is>
      </c>
      <c r="B716" s="1" t="n">
        <v>45190.68653935185</v>
      </c>
      <c r="C716" s="1" t="n">
        <v>45930</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15990-2023</t>
        </is>
      </c>
      <c r="B717" s="1" t="n">
        <v>45023.39584490741</v>
      </c>
      <c r="C717" s="1" t="n">
        <v>45930</v>
      </c>
      <c r="D717" t="inlineStr">
        <is>
          <t>SKÅNE LÄN</t>
        </is>
      </c>
      <c r="E717" t="inlineStr">
        <is>
          <t>HÄSSLEHOLM</t>
        </is>
      </c>
      <c r="G717" t="n">
        <v>0.8</v>
      </c>
      <c r="H717" t="n">
        <v>0</v>
      </c>
      <c r="I717" t="n">
        <v>0</v>
      </c>
      <c r="J717" t="n">
        <v>0</v>
      </c>
      <c r="K717" t="n">
        <v>0</v>
      </c>
      <c r="L717" t="n">
        <v>0</v>
      </c>
      <c r="M717" t="n">
        <v>0</v>
      </c>
      <c r="N717" t="n">
        <v>0</v>
      </c>
      <c r="O717" t="n">
        <v>0</v>
      </c>
      <c r="P717" t="n">
        <v>0</v>
      </c>
      <c r="Q717" t="n">
        <v>0</v>
      </c>
      <c r="R717" s="2" t="inlineStr"/>
    </row>
    <row r="718" ht="15" customHeight="1">
      <c r="A718" t="inlineStr">
        <is>
          <t>A 18800-2023</t>
        </is>
      </c>
      <c r="B718" s="1" t="n">
        <v>45044</v>
      </c>
      <c r="C718" s="1" t="n">
        <v>45930</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25206-2023</t>
        </is>
      </c>
      <c r="B719" s="1" t="n">
        <v>45086.59318287037</v>
      </c>
      <c r="C719" s="1" t="n">
        <v>45930</v>
      </c>
      <c r="D719" t="inlineStr">
        <is>
          <t>SKÅNE LÄN</t>
        </is>
      </c>
      <c r="E719" t="inlineStr">
        <is>
          <t>HÄSSLEHOLM</t>
        </is>
      </c>
      <c r="G719" t="n">
        <v>2.9</v>
      </c>
      <c r="H719" t="n">
        <v>0</v>
      </c>
      <c r="I719" t="n">
        <v>0</v>
      </c>
      <c r="J719" t="n">
        <v>0</v>
      </c>
      <c r="K719" t="n">
        <v>0</v>
      </c>
      <c r="L719" t="n">
        <v>0</v>
      </c>
      <c r="M719" t="n">
        <v>0</v>
      </c>
      <c r="N719" t="n">
        <v>0</v>
      </c>
      <c r="O719" t="n">
        <v>0</v>
      </c>
      <c r="P719" t="n">
        <v>0</v>
      </c>
      <c r="Q719" t="n">
        <v>0</v>
      </c>
      <c r="R719" s="2" t="inlineStr"/>
    </row>
    <row r="720" ht="15" customHeight="1">
      <c r="A720" t="inlineStr">
        <is>
          <t>A 47907-2021</t>
        </is>
      </c>
      <c r="B720" s="1" t="n">
        <v>44448</v>
      </c>
      <c r="C720" s="1" t="n">
        <v>45930</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5116-2023</t>
        </is>
      </c>
      <c r="B721" s="1" t="n">
        <v>44958.67546296296</v>
      </c>
      <c r="C721" s="1" t="n">
        <v>45930</v>
      </c>
      <c r="D721" t="inlineStr">
        <is>
          <t>SKÅNE LÄN</t>
        </is>
      </c>
      <c r="E721" t="inlineStr">
        <is>
          <t>HÄSSLEHOLM</t>
        </is>
      </c>
      <c r="G721" t="n">
        <v>1.7</v>
      </c>
      <c r="H721" t="n">
        <v>0</v>
      </c>
      <c r="I721" t="n">
        <v>0</v>
      </c>
      <c r="J721" t="n">
        <v>0</v>
      </c>
      <c r="K721" t="n">
        <v>0</v>
      </c>
      <c r="L721" t="n">
        <v>0</v>
      </c>
      <c r="M721" t="n">
        <v>0</v>
      </c>
      <c r="N721" t="n">
        <v>0</v>
      </c>
      <c r="O721" t="n">
        <v>0</v>
      </c>
      <c r="P721" t="n">
        <v>0</v>
      </c>
      <c r="Q721" t="n">
        <v>0</v>
      </c>
      <c r="R721" s="2" t="inlineStr"/>
    </row>
    <row r="722" ht="15" customHeight="1">
      <c r="A722" t="inlineStr">
        <is>
          <t>A 7513-2025</t>
        </is>
      </c>
      <c r="B722" s="1" t="n">
        <v>45702</v>
      </c>
      <c r="C722" s="1" t="n">
        <v>45930</v>
      </c>
      <c r="D722" t="inlineStr">
        <is>
          <t>SKÅNE LÄN</t>
        </is>
      </c>
      <c r="E722" t="inlineStr">
        <is>
          <t>HÄSSLEHOLM</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45400-2022</t>
        </is>
      </c>
      <c r="B723" s="1" t="n">
        <v>44844.713125</v>
      </c>
      <c r="C723" s="1" t="n">
        <v>45930</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10220-2023</t>
        </is>
      </c>
      <c r="B724" s="1" t="n">
        <v>44986.60916666667</v>
      </c>
      <c r="C724" s="1" t="n">
        <v>45930</v>
      </c>
      <c r="D724" t="inlineStr">
        <is>
          <t>SKÅNE LÄN</t>
        </is>
      </c>
      <c r="E724" t="inlineStr">
        <is>
          <t>HÄSSLEHOLM</t>
        </is>
      </c>
      <c r="G724" t="n">
        <v>1.7</v>
      </c>
      <c r="H724" t="n">
        <v>0</v>
      </c>
      <c r="I724" t="n">
        <v>0</v>
      </c>
      <c r="J724" t="n">
        <v>0</v>
      </c>
      <c r="K724" t="n">
        <v>0</v>
      </c>
      <c r="L724" t="n">
        <v>0</v>
      </c>
      <c r="M724" t="n">
        <v>0</v>
      </c>
      <c r="N724" t="n">
        <v>0</v>
      </c>
      <c r="O724" t="n">
        <v>0</v>
      </c>
      <c r="P724" t="n">
        <v>0</v>
      </c>
      <c r="Q724" t="n">
        <v>0</v>
      </c>
      <c r="R724" s="2" t="inlineStr"/>
    </row>
    <row r="725" ht="15" customHeight="1">
      <c r="A725" t="inlineStr">
        <is>
          <t>A 54874-2022</t>
        </is>
      </c>
      <c r="B725" s="1" t="n">
        <v>44881</v>
      </c>
      <c r="C725" s="1" t="n">
        <v>45930</v>
      </c>
      <c r="D725" t="inlineStr">
        <is>
          <t>SKÅNE LÄN</t>
        </is>
      </c>
      <c r="E725" t="inlineStr">
        <is>
          <t>HÄSSLEHOLM</t>
        </is>
      </c>
      <c r="G725" t="n">
        <v>8.1</v>
      </c>
      <c r="H725" t="n">
        <v>0</v>
      </c>
      <c r="I725" t="n">
        <v>0</v>
      </c>
      <c r="J725" t="n">
        <v>0</v>
      </c>
      <c r="K725" t="n">
        <v>0</v>
      </c>
      <c r="L725" t="n">
        <v>0</v>
      </c>
      <c r="M725" t="n">
        <v>0</v>
      </c>
      <c r="N725" t="n">
        <v>0</v>
      </c>
      <c r="O725" t="n">
        <v>0</v>
      </c>
      <c r="P725" t="n">
        <v>0</v>
      </c>
      <c r="Q725" t="n">
        <v>0</v>
      </c>
      <c r="R725" s="2" t="inlineStr"/>
    </row>
    <row r="726" ht="15" customHeight="1">
      <c r="A726" t="inlineStr">
        <is>
          <t>A 1706-2025</t>
        </is>
      </c>
      <c r="B726" s="1" t="n">
        <v>45670</v>
      </c>
      <c r="C726" s="1" t="n">
        <v>45930</v>
      </c>
      <c r="D726" t="inlineStr">
        <is>
          <t>SKÅNE LÄN</t>
        </is>
      </c>
      <c r="E726" t="inlineStr">
        <is>
          <t>HÄSSLEHOLM</t>
        </is>
      </c>
      <c r="G726" t="n">
        <v>5</v>
      </c>
      <c r="H726" t="n">
        <v>0</v>
      </c>
      <c r="I726" t="n">
        <v>0</v>
      </c>
      <c r="J726" t="n">
        <v>0</v>
      </c>
      <c r="K726" t="n">
        <v>0</v>
      </c>
      <c r="L726" t="n">
        <v>0</v>
      </c>
      <c r="M726" t="n">
        <v>0</v>
      </c>
      <c r="N726" t="n">
        <v>0</v>
      </c>
      <c r="O726" t="n">
        <v>0</v>
      </c>
      <c r="P726" t="n">
        <v>0</v>
      </c>
      <c r="Q726" t="n">
        <v>0</v>
      </c>
      <c r="R726" s="2" t="inlineStr"/>
    </row>
    <row r="727" ht="15" customHeight="1">
      <c r="A727" t="inlineStr">
        <is>
          <t>A 61625-2022</t>
        </is>
      </c>
      <c r="B727" s="1" t="n">
        <v>44916</v>
      </c>
      <c r="C727" s="1" t="n">
        <v>45930</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9541-2025</t>
        </is>
      </c>
      <c r="B728" s="1" t="n">
        <v>45714</v>
      </c>
      <c r="C728" s="1" t="n">
        <v>45930</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25611-2024</t>
        </is>
      </c>
      <c r="B729" s="1" t="n">
        <v>45463</v>
      </c>
      <c r="C729" s="1" t="n">
        <v>45930</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31268-2024</t>
        </is>
      </c>
      <c r="B730" s="1" t="n">
        <v>45504</v>
      </c>
      <c r="C730" s="1" t="n">
        <v>45930</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13856-2025</t>
        </is>
      </c>
      <c r="B731" s="1" t="n">
        <v>45737.57289351852</v>
      </c>
      <c r="C731" s="1" t="n">
        <v>45930</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36568-2024</t>
        </is>
      </c>
      <c r="B732" s="1" t="n">
        <v>45537</v>
      </c>
      <c r="C732" s="1" t="n">
        <v>45930</v>
      </c>
      <c r="D732" t="inlineStr">
        <is>
          <t>SKÅNE LÄN</t>
        </is>
      </c>
      <c r="E732" t="inlineStr">
        <is>
          <t>HÄSSLEHOLM</t>
        </is>
      </c>
      <c r="G732" t="n">
        <v>4.3</v>
      </c>
      <c r="H732" t="n">
        <v>0</v>
      </c>
      <c r="I732" t="n">
        <v>0</v>
      </c>
      <c r="J732" t="n">
        <v>0</v>
      </c>
      <c r="K732" t="n">
        <v>0</v>
      </c>
      <c r="L732" t="n">
        <v>0</v>
      </c>
      <c r="M732" t="n">
        <v>0</v>
      </c>
      <c r="N732" t="n">
        <v>0</v>
      </c>
      <c r="O732" t="n">
        <v>0</v>
      </c>
      <c r="P732" t="n">
        <v>0</v>
      </c>
      <c r="Q732" t="n">
        <v>0</v>
      </c>
      <c r="R732" s="2" t="inlineStr"/>
    </row>
    <row r="733" ht="15" customHeight="1">
      <c r="A733" t="inlineStr">
        <is>
          <t>A 32794-2021</t>
        </is>
      </c>
      <c r="B733" s="1" t="n">
        <v>44375</v>
      </c>
      <c r="C733" s="1" t="n">
        <v>45930</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26536-2022</t>
        </is>
      </c>
      <c r="B734" s="1" t="n">
        <v>44739.45496527778</v>
      </c>
      <c r="C734" s="1" t="n">
        <v>45930</v>
      </c>
      <c r="D734" t="inlineStr">
        <is>
          <t>SKÅNE LÄN</t>
        </is>
      </c>
      <c r="E734" t="inlineStr">
        <is>
          <t>HÄSSLEHOLM</t>
        </is>
      </c>
      <c r="G734" t="n">
        <v>3.1</v>
      </c>
      <c r="H734" t="n">
        <v>0</v>
      </c>
      <c r="I734" t="n">
        <v>0</v>
      </c>
      <c r="J734" t="n">
        <v>0</v>
      </c>
      <c r="K734" t="n">
        <v>0</v>
      </c>
      <c r="L734" t="n">
        <v>0</v>
      </c>
      <c r="M734" t="n">
        <v>0</v>
      </c>
      <c r="N734" t="n">
        <v>0</v>
      </c>
      <c r="O734" t="n">
        <v>0</v>
      </c>
      <c r="P734" t="n">
        <v>0</v>
      </c>
      <c r="Q734" t="n">
        <v>0</v>
      </c>
      <c r="R734" s="2" t="inlineStr"/>
    </row>
    <row r="735" ht="15" customHeight="1">
      <c r="A735" t="inlineStr">
        <is>
          <t>A 16334-2024</t>
        </is>
      </c>
      <c r="B735" s="1" t="n">
        <v>45407.54856481482</v>
      </c>
      <c r="C735" s="1" t="n">
        <v>45930</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13961-2023</t>
        </is>
      </c>
      <c r="B736" s="1" t="n">
        <v>45008</v>
      </c>
      <c r="C736" s="1" t="n">
        <v>45930</v>
      </c>
      <c r="D736" t="inlineStr">
        <is>
          <t>SKÅNE LÄN</t>
        </is>
      </c>
      <c r="E736" t="inlineStr">
        <is>
          <t>HÄSSLEHOLM</t>
        </is>
      </c>
      <c r="G736" t="n">
        <v>3.8</v>
      </c>
      <c r="H736" t="n">
        <v>0</v>
      </c>
      <c r="I736" t="n">
        <v>0</v>
      </c>
      <c r="J736" t="n">
        <v>0</v>
      </c>
      <c r="K736" t="n">
        <v>0</v>
      </c>
      <c r="L736" t="n">
        <v>0</v>
      </c>
      <c r="M736" t="n">
        <v>0</v>
      </c>
      <c r="N736" t="n">
        <v>0</v>
      </c>
      <c r="O736" t="n">
        <v>0</v>
      </c>
      <c r="P736" t="n">
        <v>0</v>
      </c>
      <c r="Q736" t="n">
        <v>0</v>
      </c>
      <c r="R736" s="2" t="inlineStr"/>
    </row>
    <row r="737" ht="15" customHeight="1">
      <c r="A737" t="inlineStr">
        <is>
          <t>A 3855-2023</t>
        </is>
      </c>
      <c r="B737" s="1" t="n">
        <v>44951.69708333333</v>
      </c>
      <c r="C737" s="1" t="n">
        <v>45930</v>
      </c>
      <c r="D737" t="inlineStr">
        <is>
          <t>SKÅNE LÄN</t>
        </is>
      </c>
      <c r="E737" t="inlineStr">
        <is>
          <t>HÄSSLEHOLM</t>
        </is>
      </c>
      <c r="G737" t="n">
        <v>2.3</v>
      </c>
      <c r="H737" t="n">
        <v>0</v>
      </c>
      <c r="I737" t="n">
        <v>0</v>
      </c>
      <c r="J737" t="n">
        <v>0</v>
      </c>
      <c r="K737" t="n">
        <v>0</v>
      </c>
      <c r="L737" t="n">
        <v>0</v>
      </c>
      <c r="M737" t="n">
        <v>0</v>
      </c>
      <c r="N737" t="n">
        <v>0</v>
      </c>
      <c r="O737" t="n">
        <v>0</v>
      </c>
      <c r="P737" t="n">
        <v>0</v>
      </c>
      <c r="Q737" t="n">
        <v>0</v>
      </c>
      <c r="R737" s="2" t="inlineStr"/>
    </row>
    <row r="738" ht="15" customHeight="1">
      <c r="A738" t="inlineStr">
        <is>
          <t>A 41873-2023</t>
        </is>
      </c>
      <c r="B738" s="1" t="n">
        <v>45176</v>
      </c>
      <c r="C738" s="1" t="n">
        <v>45930</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34301-2024</t>
        </is>
      </c>
      <c r="B739" s="1" t="n">
        <v>45524</v>
      </c>
      <c r="C739" s="1" t="n">
        <v>45930</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60973-2024</t>
        </is>
      </c>
      <c r="B740" s="1" t="n">
        <v>45644</v>
      </c>
      <c r="C740" s="1" t="n">
        <v>45930</v>
      </c>
      <c r="D740" t="inlineStr">
        <is>
          <t>SKÅNE LÄN</t>
        </is>
      </c>
      <c r="E740" t="inlineStr">
        <is>
          <t>HÄSSLEHOLM</t>
        </is>
      </c>
      <c r="G740" t="n">
        <v>3.6</v>
      </c>
      <c r="H740" t="n">
        <v>0</v>
      </c>
      <c r="I740" t="n">
        <v>0</v>
      </c>
      <c r="J740" t="n">
        <v>0</v>
      </c>
      <c r="K740" t="n">
        <v>0</v>
      </c>
      <c r="L740" t="n">
        <v>0</v>
      </c>
      <c r="M740" t="n">
        <v>0</v>
      </c>
      <c r="N740" t="n">
        <v>0</v>
      </c>
      <c r="O740" t="n">
        <v>0</v>
      </c>
      <c r="P740" t="n">
        <v>0</v>
      </c>
      <c r="Q740" t="n">
        <v>0</v>
      </c>
      <c r="R740" s="2" t="inlineStr"/>
    </row>
    <row r="741" ht="15" customHeight="1">
      <c r="A741" t="inlineStr">
        <is>
          <t>A 15060-2023</t>
        </is>
      </c>
      <c r="B741" s="1" t="n">
        <v>45015.69832175926</v>
      </c>
      <c r="C741" s="1" t="n">
        <v>45930</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54171-2021</t>
        </is>
      </c>
      <c r="B742" s="1" t="n">
        <v>44470</v>
      </c>
      <c r="C742" s="1" t="n">
        <v>45930</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38228-2021</t>
        </is>
      </c>
      <c r="B743" s="1" t="n">
        <v>44405</v>
      </c>
      <c r="C743" s="1" t="n">
        <v>45930</v>
      </c>
      <c r="D743" t="inlineStr">
        <is>
          <t>SKÅNE LÄN</t>
        </is>
      </c>
      <c r="E743" t="inlineStr">
        <is>
          <t>HÄSSLEHOLM</t>
        </is>
      </c>
      <c r="G743" t="n">
        <v>2.8</v>
      </c>
      <c r="H743" t="n">
        <v>0</v>
      </c>
      <c r="I743" t="n">
        <v>0</v>
      </c>
      <c r="J743" t="n">
        <v>0</v>
      </c>
      <c r="K743" t="n">
        <v>0</v>
      </c>
      <c r="L743" t="n">
        <v>0</v>
      </c>
      <c r="M743" t="n">
        <v>0</v>
      </c>
      <c r="N743" t="n">
        <v>0</v>
      </c>
      <c r="O743" t="n">
        <v>0</v>
      </c>
      <c r="P743" t="n">
        <v>0</v>
      </c>
      <c r="Q743" t="n">
        <v>0</v>
      </c>
      <c r="R743" s="2" t="inlineStr"/>
    </row>
    <row r="744" ht="15" customHeight="1">
      <c r="A744" t="inlineStr">
        <is>
          <t>A 14655-2025</t>
        </is>
      </c>
      <c r="B744" s="1" t="n">
        <v>45742.5072337963</v>
      </c>
      <c r="C744" s="1" t="n">
        <v>45930</v>
      </c>
      <c r="D744" t="inlineStr">
        <is>
          <t>SKÅNE LÄN</t>
        </is>
      </c>
      <c r="E744" t="inlineStr">
        <is>
          <t>HÄSSLEHOLM</t>
        </is>
      </c>
      <c r="G744" t="n">
        <v>4.5</v>
      </c>
      <c r="H744" t="n">
        <v>0</v>
      </c>
      <c r="I744" t="n">
        <v>0</v>
      </c>
      <c r="J744" t="n">
        <v>0</v>
      </c>
      <c r="K744" t="n">
        <v>0</v>
      </c>
      <c r="L744" t="n">
        <v>0</v>
      </c>
      <c r="M744" t="n">
        <v>0</v>
      </c>
      <c r="N744" t="n">
        <v>0</v>
      </c>
      <c r="O744" t="n">
        <v>0</v>
      </c>
      <c r="P744" t="n">
        <v>0</v>
      </c>
      <c r="Q744" t="n">
        <v>0</v>
      </c>
      <c r="R744" s="2" t="inlineStr"/>
    </row>
    <row r="745" ht="15" customHeight="1">
      <c r="A745" t="inlineStr">
        <is>
          <t>A 59763-2022</t>
        </is>
      </c>
      <c r="B745" s="1" t="n">
        <v>44900</v>
      </c>
      <c r="C745" s="1" t="n">
        <v>45930</v>
      </c>
      <c r="D745" t="inlineStr">
        <is>
          <t>SKÅNE LÄN</t>
        </is>
      </c>
      <c r="E745" t="inlineStr">
        <is>
          <t>HÄSSLEHOLM</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13347-2025</t>
        </is>
      </c>
      <c r="B746" s="1" t="n">
        <v>45735.63175925926</v>
      </c>
      <c r="C746" s="1" t="n">
        <v>45930</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43061-2024</t>
        </is>
      </c>
      <c r="B747" s="1" t="n">
        <v>45567</v>
      </c>
      <c r="C747" s="1" t="n">
        <v>45930</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21328-2023</t>
        </is>
      </c>
      <c r="B748" s="1" t="n">
        <v>45062</v>
      </c>
      <c r="C748" s="1" t="n">
        <v>45930</v>
      </c>
      <c r="D748" t="inlineStr">
        <is>
          <t>SKÅNE LÄN</t>
        </is>
      </c>
      <c r="E748" t="inlineStr">
        <is>
          <t>HÄSSLEHOLM</t>
        </is>
      </c>
      <c r="G748" t="n">
        <v>2.1</v>
      </c>
      <c r="H748" t="n">
        <v>0</v>
      </c>
      <c r="I748" t="n">
        <v>0</v>
      </c>
      <c r="J748" t="n">
        <v>0</v>
      </c>
      <c r="K748" t="n">
        <v>0</v>
      </c>
      <c r="L748" t="n">
        <v>0</v>
      </c>
      <c r="M748" t="n">
        <v>0</v>
      </c>
      <c r="N748" t="n">
        <v>0</v>
      </c>
      <c r="O748" t="n">
        <v>0</v>
      </c>
      <c r="P748" t="n">
        <v>0</v>
      </c>
      <c r="Q748" t="n">
        <v>0</v>
      </c>
      <c r="R748" s="2" t="inlineStr"/>
    </row>
    <row r="749" ht="15" customHeight="1">
      <c r="A749" t="inlineStr">
        <is>
          <t>A 10277-2023</t>
        </is>
      </c>
      <c r="B749" s="1" t="n">
        <v>44986</v>
      </c>
      <c r="C749" s="1" t="n">
        <v>45930</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10290-2023</t>
        </is>
      </c>
      <c r="B750" s="1" t="n">
        <v>44986</v>
      </c>
      <c r="C750" s="1" t="n">
        <v>45930</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11260-2021</t>
        </is>
      </c>
      <c r="B751" s="1" t="n">
        <v>44263</v>
      </c>
      <c r="C751" s="1" t="n">
        <v>45930</v>
      </c>
      <c r="D751" t="inlineStr">
        <is>
          <t>SKÅNE LÄN</t>
        </is>
      </c>
      <c r="E751" t="inlineStr">
        <is>
          <t>HÄSSLEHOLM</t>
        </is>
      </c>
      <c r="G751" t="n">
        <v>5.4</v>
      </c>
      <c r="H751" t="n">
        <v>0</v>
      </c>
      <c r="I751" t="n">
        <v>0</v>
      </c>
      <c r="J751" t="n">
        <v>0</v>
      </c>
      <c r="K751" t="n">
        <v>0</v>
      </c>
      <c r="L751" t="n">
        <v>0</v>
      </c>
      <c r="M751" t="n">
        <v>0</v>
      </c>
      <c r="N751" t="n">
        <v>0</v>
      </c>
      <c r="O751" t="n">
        <v>0</v>
      </c>
      <c r="P751" t="n">
        <v>0</v>
      </c>
      <c r="Q751" t="n">
        <v>0</v>
      </c>
      <c r="R751" s="2" t="inlineStr"/>
    </row>
    <row r="752" ht="15" customHeight="1">
      <c r="A752" t="inlineStr">
        <is>
          <t>A 6619-2024</t>
        </is>
      </c>
      <c r="B752" s="1" t="n">
        <v>45341.6021412037</v>
      </c>
      <c r="C752" s="1" t="n">
        <v>45930</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13198-2025</t>
        </is>
      </c>
      <c r="B753" s="1" t="n">
        <v>45735</v>
      </c>
      <c r="C753" s="1" t="n">
        <v>45930</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20666-2023</t>
        </is>
      </c>
      <c r="B754" s="1" t="n">
        <v>45058.35664351852</v>
      </c>
      <c r="C754" s="1" t="n">
        <v>45930</v>
      </c>
      <c r="D754" t="inlineStr">
        <is>
          <t>SKÅNE LÄN</t>
        </is>
      </c>
      <c r="E754" t="inlineStr">
        <is>
          <t>HÄSSLEHOLM</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3135-2023</t>
        </is>
      </c>
      <c r="B755" s="1" t="n">
        <v>44946.51672453704</v>
      </c>
      <c r="C755" s="1" t="n">
        <v>45930</v>
      </c>
      <c r="D755" t="inlineStr">
        <is>
          <t>SKÅNE LÄN</t>
        </is>
      </c>
      <c r="E755" t="inlineStr">
        <is>
          <t>HÄSSLEHOLM</t>
        </is>
      </c>
      <c r="G755" t="n">
        <v>7.2</v>
      </c>
      <c r="H755" t="n">
        <v>0</v>
      </c>
      <c r="I755" t="n">
        <v>0</v>
      </c>
      <c r="J755" t="n">
        <v>0</v>
      </c>
      <c r="K755" t="n">
        <v>0</v>
      </c>
      <c r="L755" t="n">
        <v>0</v>
      </c>
      <c r="M755" t="n">
        <v>0</v>
      </c>
      <c r="N755" t="n">
        <v>0</v>
      </c>
      <c r="O755" t="n">
        <v>0</v>
      </c>
      <c r="P755" t="n">
        <v>0</v>
      </c>
      <c r="Q755" t="n">
        <v>0</v>
      </c>
      <c r="R755" s="2" t="inlineStr"/>
    </row>
    <row r="756" ht="15" customHeight="1">
      <c r="A756" t="inlineStr">
        <is>
          <t>A 16121-2025</t>
        </is>
      </c>
      <c r="B756" s="1" t="n">
        <v>45750.40384259259</v>
      </c>
      <c r="C756" s="1" t="n">
        <v>45930</v>
      </c>
      <c r="D756" t="inlineStr">
        <is>
          <t>SKÅNE LÄN</t>
        </is>
      </c>
      <c r="E756" t="inlineStr">
        <is>
          <t>HÄSSLEHOLM</t>
        </is>
      </c>
      <c r="G756" t="n">
        <v>1.6</v>
      </c>
      <c r="H756" t="n">
        <v>0</v>
      </c>
      <c r="I756" t="n">
        <v>0</v>
      </c>
      <c r="J756" t="n">
        <v>0</v>
      </c>
      <c r="K756" t="n">
        <v>0</v>
      </c>
      <c r="L756" t="n">
        <v>0</v>
      </c>
      <c r="M756" t="n">
        <v>0</v>
      </c>
      <c r="N756" t="n">
        <v>0</v>
      </c>
      <c r="O756" t="n">
        <v>0</v>
      </c>
      <c r="P756" t="n">
        <v>0</v>
      </c>
      <c r="Q756" t="n">
        <v>0</v>
      </c>
      <c r="R756" s="2" t="inlineStr"/>
    </row>
    <row r="757" ht="15" customHeight="1">
      <c r="A757" t="inlineStr">
        <is>
          <t>A 19593-2023</t>
        </is>
      </c>
      <c r="B757" s="1" t="n">
        <v>45050.75895833333</v>
      </c>
      <c r="C757" s="1" t="n">
        <v>45930</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59429-2023</t>
        </is>
      </c>
      <c r="B758" s="1" t="n">
        <v>45254.2875</v>
      </c>
      <c r="C758" s="1" t="n">
        <v>45930</v>
      </c>
      <c r="D758" t="inlineStr">
        <is>
          <t>SKÅNE LÄN</t>
        </is>
      </c>
      <c r="E758" t="inlineStr">
        <is>
          <t>HÄSSLEHOLM</t>
        </is>
      </c>
      <c r="G758" t="n">
        <v>0</v>
      </c>
      <c r="H758" t="n">
        <v>0</v>
      </c>
      <c r="I758" t="n">
        <v>0</v>
      </c>
      <c r="J758" t="n">
        <v>0</v>
      </c>
      <c r="K758" t="n">
        <v>0</v>
      </c>
      <c r="L758" t="n">
        <v>0</v>
      </c>
      <c r="M758" t="n">
        <v>0</v>
      </c>
      <c r="N758" t="n">
        <v>0</v>
      </c>
      <c r="O758" t="n">
        <v>0</v>
      </c>
      <c r="P758" t="n">
        <v>0</v>
      </c>
      <c r="Q758" t="n">
        <v>0</v>
      </c>
      <c r="R758" s="2" t="inlineStr"/>
    </row>
    <row r="759" ht="15" customHeight="1">
      <c r="A759" t="inlineStr">
        <is>
          <t>A 40202-2022</t>
        </is>
      </c>
      <c r="B759" s="1" t="n">
        <v>44820.60614583334</v>
      </c>
      <c r="C759" s="1" t="n">
        <v>45930</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7494-2023</t>
        </is>
      </c>
      <c r="B760" s="1" t="n">
        <v>44971.70835648148</v>
      </c>
      <c r="C760" s="1" t="n">
        <v>45930</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6087-2025</t>
        </is>
      </c>
      <c r="B761" s="1" t="n">
        <v>45697.69782407407</v>
      </c>
      <c r="C761" s="1" t="n">
        <v>45930</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50571-2023</t>
        </is>
      </c>
      <c r="B762" s="1" t="n">
        <v>45217.38359953704</v>
      </c>
      <c r="C762" s="1" t="n">
        <v>45930</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54326-2022</t>
        </is>
      </c>
      <c r="B763" s="1" t="n">
        <v>44882.42965277778</v>
      </c>
      <c r="C763" s="1" t="n">
        <v>45930</v>
      </c>
      <c r="D763" t="inlineStr">
        <is>
          <t>SKÅNE LÄN</t>
        </is>
      </c>
      <c r="E763" t="inlineStr">
        <is>
          <t>HÄSSLEHOLM</t>
        </is>
      </c>
      <c r="G763" t="n">
        <v>1.5</v>
      </c>
      <c r="H763" t="n">
        <v>0</v>
      </c>
      <c r="I763" t="n">
        <v>0</v>
      </c>
      <c r="J763" t="n">
        <v>0</v>
      </c>
      <c r="K763" t="n">
        <v>0</v>
      </c>
      <c r="L763" t="n">
        <v>0</v>
      </c>
      <c r="M763" t="n">
        <v>0</v>
      </c>
      <c r="N763" t="n">
        <v>0</v>
      </c>
      <c r="O763" t="n">
        <v>0</v>
      </c>
      <c r="P763" t="n">
        <v>0</v>
      </c>
      <c r="Q763" t="n">
        <v>0</v>
      </c>
      <c r="R763" s="2" t="inlineStr"/>
    </row>
    <row r="764" ht="15" customHeight="1">
      <c r="A764" t="inlineStr">
        <is>
          <t>A 41998-2021</t>
        </is>
      </c>
      <c r="B764" s="1" t="n">
        <v>44425</v>
      </c>
      <c r="C764" s="1" t="n">
        <v>45930</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61524-2022</t>
        </is>
      </c>
      <c r="B765" s="1" t="n">
        <v>44910</v>
      </c>
      <c r="C765" s="1" t="n">
        <v>45930</v>
      </c>
      <c r="D765" t="inlineStr">
        <is>
          <t>SKÅNE LÄN</t>
        </is>
      </c>
      <c r="E765" t="inlineStr">
        <is>
          <t>HÄSSLEHOLM</t>
        </is>
      </c>
      <c r="F765" t="inlineStr">
        <is>
          <t>Kyrkan</t>
        </is>
      </c>
      <c r="G765" t="n">
        <v>2.1</v>
      </c>
      <c r="H765" t="n">
        <v>0</v>
      </c>
      <c r="I765" t="n">
        <v>0</v>
      </c>
      <c r="J765" t="n">
        <v>0</v>
      </c>
      <c r="K765" t="n">
        <v>0</v>
      </c>
      <c r="L765" t="n">
        <v>0</v>
      </c>
      <c r="M765" t="n">
        <v>0</v>
      </c>
      <c r="N765" t="n">
        <v>0</v>
      </c>
      <c r="O765" t="n">
        <v>0</v>
      </c>
      <c r="P765" t="n">
        <v>0</v>
      </c>
      <c r="Q765" t="n">
        <v>0</v>
      </c>
      <c r="R765" s="2" t="inlineStr"/>
    </row>
    <row r="766" ht="15" customHeight="1">
      <c r="A766" t="inlineStr">
        <is>
          <t>A 18041-2023</t>
        </is>
      </c>
      <c r="B766" s="1" t="n">
        <v>45040</v>
      </c>
      <c r="C766" s="1" t="n">
        <v>45930</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24904-2025</t>
        </is>
      </c>
      <c r="B767" s="1" t="n">
        <v>45799</v>
      </c>
      <c r="C767" s="1" t="n">
        <v>45930</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61533-2022</t>
        </is>
      </c>
      <c r="B768" s="1" t="n">
        <v>44910</v>
      </c>
      <c r="C768" s="1" t="n">
        <v>45930</v>
      </c>
      <c r="D768" t="inlineStr">
        <is>
          <t>SKÅNE LÄN</t>
        </is>
      </c>
      <c r="E768" t="inlineStr">
        <is>
          <t>HÄSSLEHOLM</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16950-2025</t>
        </is>
      </c>
      <c r="B769" s="1" t="n">
        <v>45755</v>
      </c>
      <c r="C769" s="1" t="n">
        <v>45930</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58618-2024</t>
        </is>
      </c>
      <c r="B770" s="1" t="n">
        <v>45635.56150462963</v>
      </c>
      <c r="C770" s="1" t="n">
        <v>45930</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52337-2023</t>
        </is>
      </c>
      <c r="B771" s="1" t="n">
        <v>45224.66359953704</v>
      </c>
      <c r="C771" s="1" t="n">
        <v>45930</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8619-2023</t>
        </is>
      </c>
      <c r="B772" s="1" t="n">
        <v>44977.81979166667</v>
      </c>
      <c r="C772" s="1" t="n">
        <v>45930</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49219-2021</t>
        </is>
      </c>
      <c r="B773" s="1" t="n">
        <v>44454</v>
      </c>
      <c r="C773" s="1" t="n">
        <v>45930</v>
      </c>
      <c r="D773" t="inlineStr">
        <is>
          <t>SKÅNE LÄN</t>
        </is>
      </c>
      <c r="E773" t="inlineStr">
        <is>
          <t>HÄSSLEHOLM</t>
        </is>
      </c>
      <c r="G773" t="n">
        <v>7.8</v>
      </c>
      <c r="H773" t="n">
        <v>0</v>
      </c>
      <c r="I773" t="n">
        <v>0</v>
      </c>
      <c r="J773" t="n">
        <v>0</v>
      </c>
      <c r="K773" t="n">
        <v>0</v>
      </c>
      <c r="L773" t="n">
        <v>0</v>
      </c>
      <c r="M773" t="n">
        <v>0</v>
      </c>
      <c r="N773" t="n">
        <v>0</v>
      </c>
      <c r="O773" t="n">
        <v>0</v>
      </c>
      <c r="P773" t="n">
        <v>0</v>
      </c>
      <c r="Q773" t="n">
        <v>0</v>
      </c>
      <c r="R773" s="2" t="inlineStr"/>
    </row>
    <row r="774" ht="15" customHeight="1">
      <c r="A774" t="inlineStr">
        <is>
          <t>A 46000-2021</t>
        </is>
      </c>
      <c r="B774" s="1" t="n">
        <v>44441</v>
      </c>
      <c r="C774" s="1" t="n">
        <v>45930</v>
      </c>
      <c r="D774" t="inlineStr">
        <is>
          <t>SKÅNE LÄN</t>
        </is>
      </c>
      <c r="E774" t="inlineStr">
        <is>
          <t>HÄSSLEHOLM</t>
        </is>
      </c>
      <c r="G774" t="n">
        <v>1.6</v>
      </c>
      <c r="H774" t="n">
        <v>0</v>
      </c>
      <c r="I774" t="n">
        <v>0</v>
      </c>
      <c r="J774" t="n">
        <v>0</v>
      </c>
      <c r="K774" t="n">
        <v>0</v>
      </c>
      <c r="L774" t="n">
        <v>0</v>
      </c>
      <c r="M774" t="n">
        <v>0</v>
      </c>
      <c r="N774" t="n">
        <v>0</v>
      </c>
      <c r="O774" t="n">
        <v>0</v>
      </c>
      <c r="P774" t="n">
        <v>0</v>
      </c>
      <c r="Q774" t="n">
        <v>0</v>
      </c>
      <c r="R774" s="2" t="inlineStr"/>
    </row>
    <row r="775" ht="15" customHeight="1">
      <c r="A775" t="inlineStr">
        <is>
          <t>A 13084-2025</t>
        </is>
      </c>
      <c r="B775" s="1" t="n">
        <v>45734</v>
      </c>
      <c r="C775" s="1" t="n">
        <v>45930</v>
      </c>
      <c r="D775" t="inlineStr">
        <is>
          <t>SKÅNE LÄN</t>
        </is>
      </c>
      <c r="E775" t="inlineStr">
        <is>
          <t>HÄSSLEHOLM</t>
        </is>
      </c>
      <c r="G775" t="n">
        <v>2.3</v>
      </c>
      <c r="H775" t="n">
        <v>0</v>
      </c>
      <c r="I775" t="n">
        <v>0</v>
      </c>
      <c r="J775" t="n">
        <v>0</v>
      </c>
      <c r="K775" t="n">
        <v>0</v>
      </c>
      <c r="L775" t="n">
        <v>0</v>
      </c>
      <c r="M775" t="n">
        <v>0</v>
      </c>
      <c r="N775" t="n">
        <v>0</v>
      </c>
      <c r="O775" t="n">
        <v>0</v>
      </c>
      <c r="P775" t="n">
        <v>0</v>
      </c>
      <c r="Q775" t="n">
        <v>0</v>
      </c>
      <c r="R775" s="2" t="inlineStr"/>
    </row>
    <row r="776" ht="15" customHeight="1">
      <c r="A776" t="inlineStr">
        <is>
          <t>A 62171-2022</t>
        </is>
      </c>
      <c r="B776" s="1" t="n">
        <v>44915</v>
      </c>
      <c r="C776" s="1" t="n">
        <v>45930</v>
      </c>
      <c r="D776" t="inlineStr">
        <is>
          <t>SKÅNE LÄN</t>
        </is>
      </c>
      <c r="E776" t="inlineStr">
        <is>
          <t>HÄSSLEHOLM</t>
        </is>
      </c>
      <c r="F776" t="inlineStr">
        <is>
          <t>Kyrkan</t>
        </is>
      </c>
      <c r="G776" t="n">
        <v>9</v>
      </c>
      <c r="H776" t="n">
        <v>0</v>
      </c>
      <c r="I776" t="n">
        <v>0</v>
      </c>
      <c r="J776" t="n">
        <v>0</v>
      </c>
      <c r="K776" t="n">
        <v>0</v>
      </c>
      <c r="L776" t="n">
        <v>0</v>
      </c>
      <c r="M776" t="n">
        <v>0</v>
      </c>
      <c r="N776" t="n">
        <v>0</v>
      </c>
      <c r="O776" t="n">
        <v>0</v>
      </c>
      <c r="P776" t="n">
        <v>0</v>
      </c>
      <c r="Q776" t="n">
        <v>0</v>
      </c>
      <c r="R776" s="2" t="inlineStr"/>
    </row>
    <row r="777" ht="15" customHeight="1">
      <c r="A777" t="inlineStr">
        <is>
          <t>A 32100-2024</t>
        </is>
      </c>
      <c r="B777" s="1" t="n">
        <v>45511.41451388889</v>
      </c>
      <c r="C777" s="1" t="n">
        <v>45930</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33481-2024</t>
        </is>
      </c>
      <c r="B778" s="1" t="n">
        <v>45519</v>
      </c>
      <c r="C778" s="1" t="n">
        <v>45930</v>
      </c>
      <c r="D778" t="inlineStr">
        <is>
          <t>SKÅNE LÄN</t>
        </is>
      </c>
      <c r="E778" t="inlineStr">
        <is>
          <t>HÄSSLEHOLM</t>
        </is>
      </c>
      <c r="G778" t="n">
        <v>3</v>
      </c>
      <c r="H778" t="n">
        <v>0</v>
      </c>
      <c r="I778" t="n">
        <v>0</v>
      </c>
      <c r="J778" t="n">
        <v>0</v>
      </c>
      <c r="K778" t="n">
        <v>0</v>
      </c>
      <c r="L778" t="n">
        <v>0</v>
      </c>
      <c r="M778" t="n">
        <v>0</v>
      </c>
      <c r="N778" t="n">
        <v>0</v>
      </c>
      <c r="O778" t="n">
        <v>0</v>
      </c>
      <c r="P778" t="n">
        <v>0</v>
      </c>
      <c r="Q778" t="n">
        <v>0</v>
      </c>
      <c r="R778" s="2" t="inlineStr"/>
    </row>
    <row r="779" ht="15" customHeight="1">
      <c r="A779" t="inlineStr">
        <is>
          <t>A 48807-2021</t>
        </is>
      </c>
      <c r="B779" s="1" t="n">
        <v>44452</v>
      </c>
      <c r="C779" s="1" t="n">
        <v>45930</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54176-2022</t>
        </is>
      </c>
      <c r="B780" s="1" t="n">
        <v>44881</v>
      </c>
      <c r="C780" s="1" t="n">
        <v>45930</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16614-2025</t>
        </is>
      </c>
      <c r="B781" s="1" t="n">
        <v>45754.283125</v>
      </c>
      <c r="C781" s="1" t="n">
        <v>45930</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23723-2023</t>
        </is>
      </c>
      <c r="B782" s="1" t="n">
        <v>45077</v>
      </c>
      <c r="C782" s="1" t="n">
        <v>45930</v>
      </c>
      <c r="D782" t="inlineStr">
        <is>
          <t>SKÅNE LÄN</t>
        </is>
      </c>
      <c r="E782" t="inlineStr">
        <is>
          <t>HÄSSLEHOLM</t>
        </is>
      </c>
      <c r="G782" t="n">
        <v>3.9</v>
      </c>
      <c r="H782" t="n">
        <v>0</v>
      </c>
      <c r="I782" t="n">
        <v>0</v>
      </c>
      <c r="J782" t="n">
        <v>0</v>
      </c>
      <c r="K782" t="n">
        <v>0</v>
      </c>
      <c r="L782" t="n">
        <v>0</v>
      </c>
      <c r="M782" t="n">
        <v>0</v>
      </c>
      <c r="N782" t="n">
        <v>0</v>
      </c>
      <c r="O782" t="n">
        <v>0</v>
      </c>
      <c r="P782" t="n">
        <v>0</v>
      </c>
      <c r="Q782" t="n">
        <v>0</v>
      </c>
      <c r="R782" s="2" t="inlineStr"/>
    </row>
    <row r="783" ht="15" customHeight="1">
      <c r="A783" t="inlineStr">
        <is>
          <t>A 4945-2022</t>
        </is>
      </c>
      <c r="B783" s="1" t="n">
        <v>44593</v>
      </c>
      <c r="C783" s="1" t="n">
        <v>45930</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27991-2024</t>
        </is>
      </c>
      <c r="B784" s="1" t="n">
        <v>45476</v>
      </c>
      <c r="C784" s="1" t="n">
        <v>45930</v>
      </c>
      <c r="D784" t="inlineStr">
        <is>
          <t>SKÅNE LÄN</t>
        </is>
      </c>
      <c r="E784" t="inlineStr">
        <is>
          <t>HÄSSLEHOLM</t>
        </is>
      </c>
      <c r="G784" t="n">
        <v>5.8</v>
      </c>
      <c r="H784" t="n">
        <v>0</v>
      </c>
      <c r="I784" t="n">
        <v>0</v>
      </c>
      <c r="J784" t="n">
        <v>0</v>
      </c>
      <c r="K784" t="n">
        <v>0</v>
      </c>
      <c r="L784" t="n">
        <v>0</v>
      </c>
      <c r="M784" t="n">
        <v>0</v>
      </c>
      <c r="N784" t="n">
        <v>0</v>
      </c>
      <c r="O784" t="n">
        <v>0</v>
      </c>
      <c r="P784" t="n">
        <v>0</v>
      </c>
      <c r="Q784" t="n">
        <v>0</v>
      </c>
      <c r="R784" s="2" t="inlineStr"/>
    </row>
    <row r="785" ht="15" customHeight="1">
      <c r="A785" t="inlineStr">
        <is>
          <t>A 6612-2024</t>
        </is>
      </c>
      <c r="B785" s="1" t="n">
        <v>45341.58859953703</v>
      </c>
      <c r="C785" s="1" t="n">
        <v>45930</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47248-2023</t>
        </is>
      </c>
      <c r="B786" s="1" t="n">
        <v>45202</v>
      </c>
      <c r="C786" s="1" t="n">
        <v>45930</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5887-2025</t>
        </is>
      </c>
      <c r="B787" s="1" t="n">
        <v>45695.37925925926</v>
      </c>
      <c r="C787" s="1" t="n">
        <v>45930</v>
      </c>
      <c r="D787" t="inlineStr">
        <is>
          <t>SKÅNE LÄN</t>
        </is>
      </c>
      <c r="E787" t="inlineStr">
        <is>
          <t>HÄSSLEHOLM</t>
        </is>
      </c>
      <c r="G787" t="n">
        <v>4.8</v>
      </c>
      <c r="H787" t="n">
        <v>0</v>
      </c>
      <c r="I787" t="n">
        <v>0</v>
      </c>
      <c r="J787" t="n">
        <v>0</v>
      </c>
      <c r="K787" t="n">
        <v>0</v>
      </c>
      <c r="L787" t="n">
        <v>0</v>
      </c>
      <c r="M787" t="n">
        <v>0</v>
      </c>
      <c r="N787" t="n">
        <v>0</v>
      </c>
      <c r="O787" t="n">
        <v>0</v>
      </c>
      <c r="P787" t="n">
        <v>0</v>
      </c>
      <c r="Q787" t="n">
        <v>0</v>
      </c>
      <c r="R787" s="2" t="inlineStr"/>
    </row>
    <row r="788" ht="15" customHeight="1">
      <c r="A788" t="inlineStr">
        <is>
          <t>A 38306-2022</t>
        </is>
      </c>
      <c r="B788" s="1" t="n">
        <v>44812.57515046297</v>
      </c>
      <c r="C788" s="1" t="n">
        <v>45930</v>
      </c>
      <c r="D788" t="inlineStr">
        <is>
          <t>SKÅNE LÄN</t>
        </is>
      </c>
      <c r="E788" t="inlineStr">
        <is>
          <t>HÄSSLEHOLM</t>
        </is>
      </c>
      <c r="G788" t="n">
        <v>2.2</v>
      </c>
      <c r="H788" t="n">
        <v>0</v>
      </c>
      <c r="I788" t="n">
        <v>0</v>
      </c>
      <c r="J788" t="n">
        <v>0</v>
      </c>
      <c r="K788" t="n">
        <v>0</v>
      </c>
      <c r="L788" t="n">
        <v>0</v>
      </c>
      <c r="M788" t="n">
        <v>0</v>
      </c>
      <c r="N788" t="n">
        <v>0</v>
      </c>
      <c r="O788" t="n">
        <v>0</v>
      </c>
      <c r="P788" t="n">
        <v>0</v>
      </c>
      <c r="Q788" t="n">
        <v>0</v>
      </c>
      <c r="R788" s="2" t="inlineStr"/>
    </row>
    <row r="789" ht="15" customHeight="1">
      <c r="A789" t="inlineStr">
        <is>
          <t>A 35845-2022</t>
        </is>
      </c>
      <c r="B789" s="1" t="n">
        <v>44802</v>
      </c>
      <c r="C789" s="1" t="n">
        <v>45930</v>
      </c>
      <c r="D789" t="inlineStr">
        <is>
          <t>SKÅNE LÄN</t>
        </is>
      </c>
      <c r="E789" t="inlineStr">
        <is>
          <t>HÄSSLEHOLM</t>
        </is>
      </c>
      <c r="G789" t="n">
        <v>0.9</v>
      </c>
      <c r="H789" t="n">
        <v>0</v>
      </c>
      <c r="I789" t="n">
        <v>0</v>
      </c>
      <c r="J789" t="n">
        <v>0</v>
      </c>
      <c r="K789" t="n">
        <v>0</v>
      </c>
      <c r="L789" t="n">
        <v>0</v>
      </c>
      <c r="M789" t="n">
        <v>0</v>
      </c>
      <c r="N789" t="n">
        <v>0</v>
      </c>
      <c r="O789" t="n">
        <v>0</v>
      </c>
      <c r="P789" t="n">
        <v>0</v>
      </c>
      <c r="Q789" t="n">
        <v>0</v>
      </c>
      <c r="R789" s="2" t="inlineStr"/>
    </row>
    <row r="790" ht="15" customHeight="1">
      <c r="A790" t="inlineStr">
        <is>
          <t>A 8760-2024</t>
        </is>
      </c>
      <c r="B790" s="1" t="n">
        <v>45356.53420138889</v>
      </c>
      <c r="C790" s="1" t="n">
        <v>45930</v>
      </c>
      <c r="D790" t="inlineStr">
        <is>
          <t>SKÅNE LÄN</t>
        </is>
      </c>
      <c r="E790" t="inlineStr">
        <is>
          <t>HÄSSLEHOLM</t>
        </is>
      </c>
      <c r="G790" t="n">
        <v>6.1</v>
      </c>
      <c r="H790" t="n">
        <v>0</v>
      </c>
      <c r="I790" t="n">
        <v>0</v>
      </c>
      <c r="J790" t="n">
        <v>0</v>
      </c>
      <c r="K790" t="n">
        <v>0</v>
      </c>
      <c r="L790" t="n">
        <v>0</v>
      </c>
      <c r="M790" t="n">
        <v>0</v>
      </c>
      <c r="N790" t="n">
        <v>0</v>
      </c>
      <c r="O790" t="n">
        <v>0</v>
      </c>
      <c r="P790" t="n">
        <v>0</v>
      </c>
      <c r="Q790" t="n">
        <v>0</v>
      </c>
      <c r="R790" s="2" t="inlineStr"/>
    </row>
    <row r="791" ht="15" customHeight="1">
      <c r="A791" t="inlineStr">
        <is>
          <t>A 48889-2024</t>
        </is>
      </c>
      <c r="B791" s="1" t="n">
        <v>45594.33754629629</v>
      </c>
      <c r="C791" s="1" t="n">
        <v>45930</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2567-2024</t>
        </is>
      </c>
      <c r="B792" s="1" t="n">
        <v>45313.62460648148</v>
      </c>
      <c r="C792" s="1" t="n">
        <v>45930</v>
      </c>
      <c r="D792" t="inlineStr">
        <is>
          <t>SKÅNE LÄN</t>
        </is>
      </c>
      <c r="E792" t="inlineStr">
        <is>
          <t>HÄSSLEHOLM</t>
        </is>
      </c>
      <c r="G792" t="n">
        <v>1.1</v>
      </c>
      <c r="H792" t="n">
        <v>0</v>
      </c>
      <c r="I792" t="n">
        <v>0</v>
      </c>
      <c r="J792" t="n">
        <v>0</v>
      </c>
      <c r="K792" t="n">
        <v>0</v>
      </c>
      <c r="L792" t="n">
        <v>0</v>
      </c>
      <c r="M792" t="n">
        <v>0</v>
      </c>
      <c r="N792" t="n">
        <v>0</v>
      </c>
      <c r="O792" t="n">
        <v>0</v>
      </c>
      <c r="P792" t="n">
        <v>0</v>
      </c>
      <c r="Q792" t="n">
        <v>0</v>
      </c>
      <c r="R792" s="2" t="inlineStr"/>
    </row>
    <row r="793" ht="15" customHeight="1">
      <c r="A793" t="inlineStr">
        <is>
          <t>A 29994-2023</t>
        </is>
      </c>
      <c r="B793" s="1" t="n">
        <v>45109.60038194444</v>
      </c>
      <c r="C793" s="1" t="n">
        <v>45930</v>
      </c>
      <c r="D793" t="inlineStr">
        <is>
          <t>SKÅNE LÄN</t>
        </is>
      </c>
      <c r="E793" t="inlineStr">
        <is>
          <t>HÄSSLEHOLM</t>
        </is>
      </c>
      <c r="G793" t="n">
        <v>2.8</v>
      </c>
      <c r="H793" t="n">
        <v>0</v>
      </c>
      <c r="I793" t="n">
        <v>0</v>
      </c>
      <c r="J793" t="n">
        <v>0</v>
      </c>
      <c r="K793" t="n">
        <v>0</v>
      </c>
      <c r="L793" t="n">
        <v>0</v>
      </c>
      <c r="M793" t="n">
        <v>0</v>
      </c>
      <c r="N793" t="n">
        <v>0</v>
      </c>
      <c r="O793" t="n">
        <v>0</v>
      </c>
      <c r="P793" t="n">
        <v>0</v>
      </c>
      <c r="Q793" t="n">
        <v>0</v>
      </c>
      <c r="R793" s="2" t="inlineStr"/>
    </row>
    <row r="794" ht="15" customHeight="1">
      <c r="A794" t="inlineStr">
        <is>
          <t>A 20872-2025</t>
        </is>
      </c>
      <c r="B794" s="1" t="n">
        <v>45777.34688657407</v>
      </c>
      <c r="C794" s="1" t="n">
        <v>45930</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21091-2025</t>
        </is>
      </c>
      <c r="B795" s="1" t="n">
        <v>45777</v>
      </c>
      <c r="C795" s="1" t="n">
        <v>45930</v>
      </c>
      <c r="D795" t="inlineStr">
        <is>
          <t>SKÅNE LÄN</t>
        </is>
      </c>
      <c r="E795" t="inlineStr">
        <is>
          <t>HÄSSLEHOLM</t>
        </is>
      </c>
      <c r="G795" t="n">
        <v>3.4</v>
      </c>
      <c r="H795" t="n">
        <v>0</v>
      </c>
      <c r="I795" t="n">
        <v>0</v>
      </c>
      <c r="J795" t="n">
        <v>0</v>
      </c>
      <c r="K795" t="n">
        <v>0</v>
      </c>
      <c r="L795" t="n">
        <v>0</v>
      </c>
      <c r="M795" t="n">
        <v>0</v>
      </c>
      <c r="N795" t="n">
        <v>0</v>
      </c>
      <c r="O795" t="n">
        <v>0</v>
      </c>
      <c r="P795" t="n">
        <v>0</v>
      </c>
      <c r="Q795" t="n">
        <v>0</v>
      </c>
      <c r="R795" s="2" t="inlineStr"/>
    </row>
    <row r="796" ht="15" customHeight="1">
      <c r="A796" t="inlineStr">
        <is>
          <t>A 21206-2025</t>
        </is>
      </c>
      <c r="B796" s="1" t="n">
        <v>45779.48318287037</v>
      </c>
      <c r="C796" s="1" t="n">
        <v>45930</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12503-2022</t>
        </is>
      </c>
      <c r="B797" s="1" t="n">
        <v>44638</v>
      </c>
      <c r="C797" s="1" t="n">
        <v>45930</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29845-2024</t>
        </is>
      </c>
      <c r="B798" s="1" t="n">
        <v>45485.6212037037</v>
      </c>
      <c r="C798" s="1" t="n">
        <v>45930</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20006-2025</t>
        </is>
      </c>
      <c r="B799" s="1" t="n">
        <v>45772.05032407407</v>
      </c>
      <c r="C799" s="1" t="n">
        <v>45930</v>
      </c>
      <c r="D799" t="inlineStr">
        <is>
          <t>SKÅNE LÄN</t>
        </is>
      </c>
      <c r="E799" t="inlineStr">
        <is>
          <t>HÄSSLEHOLM</t>
        </is>
      </c>
      <c r="G799" t="n">
        <v>3.9</v>
      </c>
      <c r="H799" t="n">
        <v>0</v>
      </c>
      <c r="I799" t="n">
        <v>0</v>
      </c>
      <c r="J799" t="n">
        <v>0</v>
      </c>
      <c r="K799" t="n">
        <v>0</v>
      </c>
      <c r="L799" t="n">
        <v>0</v>
      </c>
      <c r="M799" t="n">
        <v>0</v>
      </c>
      <c r="N799" t="n">
        <v>0</v>
      </c>
      <c r="O799" t="n">
        <v>0</v>
      </c>
      <c r="P799" t="n">
        <v>0</v>
      </c>
      <c r="Q799" t="n">
        <v>0</v>
      </c>
      <c r="R799" s="2" t="inlineStr"/>
    </row>
    <row r="800" ht="15" customHeight="1">
      <c r="A800" t="inlineStr">
        <is>
          <t>A 61533-2024</t>
        </is>
      </c>
      <c r="B800" s="1" t="n">
        <v>45646</v>
      </c>
      <c r="C800" s="1" t="n">
        <v>45930</v>
      </c>
      <c r="D800" t="inlineStr">
        <is>
          <t>SKÅNE LÄN</t>
        </is>
      </c>
      <c r="E800" t="inlineStr">
        <is>
          <t>HÄSSLEHOLM</t>
        </is>
      </c>
      <c r="G800" t="n">
        <v>4.5</v>
      </c>
      <c r="H800" t="n">
        <v>0</v>
      </c>
      <c r="I800" t="n">
        <v>0</v>
      </c>
      <c r="J800" t="n">
        <v>0</v>
      </c>
      <c r="K800" t="n">
        <v>0</v>
      </c>
      <c r="L800" t="n">
        <v>0</v>
      </c>
      <c r="M800" t="n">
        <v>0</v>
      </c>
      <c r="N800" t="n">
        <v>0</v>
      </c>
      <c r="O800" t="n">
        <v>0</v>
      </c>
      <c r="P800" t="n">
        <v>0</v>
      </c>
      <c r="Q800" t="n">
        <v>0</v>
      </c>
      <c r="R800" s="2" t="inlineStr"/>
    </row>
    <row r="801" ht="15" customHeight="1">
      <c r="A801" t="inlineStr">
        <is>
          <t>A 61537-2024</t>
        </is>
      </c>
      <c r="B801" s="1" t="n">
        <v>45646</v>
      </c>
      <c r="C801" s="1" t="n">
        <v>45930</v>
      </c>
      <c r="D801" t="inlineStr">
        <is>
          <t>SKÅNE LÄN</t>
        </is>
      </c>
      <c r="E801" t="inlineStr">
        <is>
          <t>HÄSSLEHOLM</t>
        </is>
      </c>
      <c r="G801" t="n">
        <v>3.7</v>
      </c>
      <c r="H801" t="n">
        <v>0</v>
      </c>
      <c r="I801" t="n">
        <v>0</v>
      </c>
      <c r="J801" t="n">
        <v>0</v>
      </c>
      <c r="K801" t="n">
        <v>0</v>
      </c>
      <c r="L801" t="n">
        <v>0</v>
      </c>
      <c r="M801" t="n">
        <v>0</v>
      </c>
      <c r="N801" t="n">
        <v>0</v>
      </c>
      <c r="O801" t="n">
        <v>0</v>
      </c>
      <c r="P801" t="n">
        <v>0</v>
      </c>
      <c r="Q801" t="n">
        <v>0</v>
      </c>
      <c r="R801" s="2" t="inlineStr"/>
    </row>
    <row r="802" ht="15" customHeight="1">
      <c r="A802" t="inlineStr">
        <is>
          <t>A 21638-2025</t>
        </is>
      </c>
      <c r="B802" s="1" t="n">
        <v>45783.43087962963</v>
      </c>
      <c r="C802" s="1" t="n">
        <v>45930</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7818-2024</t>
        </is>
      </c>
      <c r="B803" s="1" t="n">
        <v>45349.68872685185</v>
      </c>
      <c r="C803" s="1" t="n">
        <v>45930</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23950-2023</t>
        </is>
      </c>
      <c r="B804" s="1" t="n">
        <v>45078.61771990741</v>
      </c>
      <c r="C804" s="1" t="n">
        <v>45930</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23952-2023</t>
        </is>
      </c>
      <c r="B805" s="1" t="n">
        <v>45078.62064814815</v>
      </c>
      <c r="C805" s="1" t="n">
        <v>45930</v>
      </c>
      <c r="D805" t="inlineStr">
        <is>
          <t>SKÅNE LÄN</t>
        </is>
      </c>
      <c r="E805" t="inlineStr">
        <is>
          <t>HÄSSLEHOLM</t>
        </is>
      </c>
      <c r="G805" t="n">
        <v>0.4</v>
      </c>
      <c r="H805" t="n">
        <v>0</v>
      </c>
      <c r="I805" t="n">
        <v>0</v>
      </c>
      <c r="J805" t="n">
        <v>0</v>
      </c>
      <c r="K805" t="n">
        <v>0</v>
      </c>
      <c r="L805" t="n">
        <v>0</v>
      </c>
      <c r="M805" t="n">
        <v>0</v>
      </c>
      <c r="N805" t="n">
        <v>0</v>
      </c>
      <c r="O805" t="n">
        <v>0</v>
      </c>
      <c r="P805" t="n">
        <v>0</v>
      </c>
      <c r="Q805" t="n">
        <v>0</v>
      </c>
      <c r="R805" s="2" t="inlineStr"/>
    </row>
    <row r="806" ht="15" customHeight="1">
      <c r="A806" t="inlineStr">
        <is>
          <t>A 39111-2023</t>
        </is>
      </c>
      <c r="B806" s="1" t="n">
        <v>45164.87140046297</v>
      </c>
      <c r="C806" s="1" t="n">
        <v>45930</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60851-2024</t>
        </is>
      </c>
      <c r="B807" s="1" t="n">
        <v>45644.66182870371</v>
      </c>
      <c r="C807" s="1" t="n">
        <v>45930</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317-2025</t>
        </is>
      </c>
      <c r="B808" s="1" t="n">
        <v>45660</v>
      </c>
      <c r="C808" s="1" t="n">
        <v>45930</v>
      </c>
      <c r="D808" t="inlineStr">
        <is>
          <t>SKÅNE LÄN</t>
        </is>
      </c>
      <c r="E808" t="inlineStr">
        <is>
          <t>HÄSSLEHOLM</t>
        </is>
      </c>
      <c r="G808" t="n">
        <v>1.6</v>
      </c>
      <c r="H808" t="n">
        <v>0</v>
      </c>
      <c r="I808" t="n">
        <v>0</v>
      </c>
      <c r="J808" t="n">
        <v>0</v>
      </c>
      <c r="K808" t="n">
        <v>0</v>
      </c>
      <c r="L808" t="n">
        <v>0</v>
      </c>
      <c r="M808" t="n">
        <v>0</v>
      </c>
      <c r="N808" t="n">
        <v>0</v>
      </c>
      <c r="O808" t="n">
        <v>0</v>
      </c>
      <c r="P808" t="n">
        <v>0</v>
      </c>
      <c r="Q808" t="n">
        <v>0</v>
      </c>
      <c r="R808" s="2" t="inlineStr"/>
    </row>
    <row r="809" ht="15" customHeight="1">
      <c r="A809" t="inlineStr">
        <is>
          <t>A 2144-2023</t>
        </is>
      </c>
      <c r="B809" s="1" t="n">
        <v>44940.79054398148</v>
      </c>
      <c r="C809" s="1" t="n">
        <v>45930</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21625-2025</t>
        </is>
      </c>
      <c r="B810" s="1" t="n">
        <v>45783.41252314814</v>
      </c>
      <c r="C810" s="1" t="n">
        <v>45930</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61680-2022</t>
        </is>
      </c>
      <c r="B811" s="1" t="n">
        <v>44917.36372685185</v>
      </c>
      <c r="C811" s="1" t="n">
        <v>45930</v>
      </c>
      <c r="D811" t="inlineStr">
        <is>
          <t>SKÅNE LÄN</t>
        </is>
      </c>
      <c r="E811" t="inlineStr">
        <is>
          <t>HÄSSLEHOLM</t>
        </is>
      </c>
      <c r="G811" t="n">
        <v>2.4</v>
      </c>
      <c r="H811" t="n">
        <v>0</v>
      </c>
      <c r="I811" t="n">
        <v>0</v>
      </c>
      <c r="J811" t="n">
        <v>0</v>
      </c>
      <c r="K811" t="n">
        <v>0</v>
      </c>
      <c r="L811" t="n">
        <v>0</v>
      </c>
      <c r="M811" t="n">
        <v>0</v>
      </c>
      <c r="N811" t="n">
        <v>0</v>
      </c>
      <c r="O811" t="n">
        <v>0</v>
      </c>
      <c r="P811" t="n">
        <v>0</v>
      </c>
      <c r="Q811" t="n">
        <v>0</v>
      </c>
      <c r="R811" s="2" t="inlineStr"/>
    </row>
    <row r="812" ht="15" customHeight="1">
      <c r="A812" t="inlineStr">
        <is>
          <t>A 16550-2025</t>
        </is>
      </c>
      <c r="B812" s="1" t="n">
        <v>45751.69412037037</v>
      </c>
      <c r="C812" s="1" t="n">
        <v>45930</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16285-2025</t>
        </is>
      </c>
      <c r="B813" s="1" t="n">
        <v>45751.30045138889</v>
      </c>
      <c r="C813" s="1" t="n">
        <v>45930</v>
      </c>
      <c r="D813" t="inlineStr">
        <is>
          <t>SKÅNE LÄN</t>
        </is>
      </c>
      <c r="E813" t="inlineStr">
        <is>
          <t>HÄSSLEHOLM</t>
        </is>
      </c>
      <c r="G813" t="n">
        <v>2</v>
      </c>
      <c r="H813" t="n">
        <v>0</v>
      </c>
      <c r="I813" t="n">
        <v>0</v>
      </c>
      <c r="J813" t="n">
        <v>0</v>
      </c>
      <c r="K813" t="n">
        <v>0</v>
      </c>
      <c r="L813" t="n">
        <v>0</v>
      </c>
      <c r="M813" t="n">
        <v>0</v>
      </c>
      <c r="N813" t="n">
        <v>0</v>
      </c>
      <c r="O813" t="n">
        <v>0</v>
      </c>
      <c r="P813" t="n">
        <v>0</v>
      </c>
      <c r="Q813" t="n">
        <v>0</v>
      </c>
      <c r="R813" s="2" t="inlineStr"/>
    </row>
    <row r="814" ht="15" customHeight="1">
      <c r="A814" t="inlineStr">
        <is>
          <t>A 5780-2024</t>
        </is>
      </c>
      <c r="B814" s="1" t="n">
        <v>45335.41983796296</v>
      </c>
      <c r="C814" s="1" t="n">
        <v>45930</v>
      </c>
      <c r="D814" t="inlineStr">
        <is>
          <t>SKÅNE LÄN</t>
        </is>
      </c>
      <c r="E814" t="inlineStr">
        <is>
          <t>HÄSSLEHOLM</t>
        </is>
      </c>
      <c r="G814" t="n">
        <v>2.5</v>
      </c>
      <c r="H814" t="n">
        <v>0</v>
      </c>
      <c r="I814" t="n">
        <v>0</v>
      </c>
      <c r="J814" t="n">
        <v>0</v>
      </c>
      <c r="K814" t="n">
        <v>0</v>
      </c>
      <c r="L814" t="n">
        <v>0</v>
      </c>
      <c r="M814" t="n">
        <v>0</v>
      </c>
      <c r="N814" t="n">
        <v>0</v>
      </c>
      <c r="O814" t="n">
        <v>0</v>
      </c>
      <c r="P814" t="n">
        <v>0</v>
      </c>
      <c r="Q814" t="n">
        <v>0</v>
      </c>
      <c r="R814" s="2" t="inlineStr"/>
    </row>
    <row r="815" ht="15" customHeight="1">
      <c r="A815" t="inlineStr">
        <is>
          <t>A 60920-2024</t>
        </is>
      </c>
      <c r="B815" s="1" t="n">
        <v>45645.34442129629</v>
      </c>
      <c r="C815" s="1" t="n">
        <v>45930</v>
      </c>
      <c r="D815" t="inlineStr">
        <is>
          <t>SKÅNE LÄN</t>
        </is>
      </c>
      <c r="E815" t="inlineStr">
        <is>
          <t>HÄSSLEHOLM</t>
        </is>
      </c>
      <c r="G815" t="n">
        <v>2.6</v>
      </c>
      <c r="H815" t="n">
        <v>0</v>
      </c>
      <c r="I815" t="n">
        <v>0</v>
      </c>
      <c r="J815" t="n">
        <v>0</v>
      </c>
      <c r="K815" t="n">
        <v>0</v>
      </c>
      <c r="L815" t="n">
        <v>0</v>
      </c>
      <c r="M815" t="n">
        <v>0</v>
      </c>
      <c r="N815" t="n">
        <v>0</v>
      </c>
      <c r="O815" t="n">
        <v>0</v>
      </c>
      <c r="P815" t="n">
        <v>0</v>
      </c>
      <c r="Q815" t="n">
        <v>0</v>
      </c>
      <c r="R815" s="2" t="inlineStr"/>
    </row>
    <row r="816" ht="15" customHeight="1">
      <c r="A816" t="inlineStr">
        <is>
          <t>A 30092-2025</t>
        </is>
      </c>
      <c r="B816" s="1" t="n">
        <v>45826</v>
      </c>
      <c r="C816" s="1" t="n">
        <v>45930</v>
      </c>
      <c r="D816" t="inlineStr">
        <is>
          <t>SKÅNE LÄN</t>
        </is>
      </c>
      <c r="E816" t="inlineStr">
        <is>
          <t>HÄSSLEHOLM</t>
        </is>
      </c>
      <c r="G816" t="n">
        <v>1.4</v>
      </c>
      <c r="H816" t="n">
        <v>0</v>
      </c>
      <c r="I816" t="n">
        <v>0</v>
      </c>
      <c r="J816" t="n">
        <v>0</v>
      </c>
      <c r="K816" t="n">
        <v>0</v>
      </c>
      <c r="L816" t="n">
        <v>0</v>
      </c>
      <c r="M816" t="n">
        <v>0</v>
      </c>
      <c r="N816" t="n">
        <v>0</v>
      </c>
      <c r="O816" t="n">
        <v>0</v>
      </c>
      <c r="P816" t="n">
        <v>0</v>
      </c>
      <c r="Q816" t="n">
        <v>0</v>
      </c>
      <c r="R816" s="2" t="inlineStr"/>
    </row>
    <row r="817" ht="15" customHeight="1">
      <c r="A817" t="inlineStr">
        <is>
          <t>A 1703-2025</t>
        </is>
      </c>
      <c r="B817" s="1" t="n">
        <v>45670.80732638889</v>
      </c>
      <c r="C817" s="1" t="n">
        <v>45930</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22024-2025</t>
        </is>
      </c>
      <c r="B818" s="1" t="n">
        <v>45784.85322916666</v>
      </c>
      <c r="C818" s="1" t="n">
        <v>45930</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15897-2025</t>
        </is>
      </c>
      <c r="B819" s="1" t="n">
        <v>45749.41598379629</v>
      </c>
      <c r="C819" s="1" t="n">
        <v>45930</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29274-2023</t>
        </is>
      </c>
      <c r="B820" s="1" t="n">
        <v>45105</v>
      </c>
      <c r="C820" s="1" t="n">
        <v>45930</v>
      </c>
      <c r="D820" t="inlineStr">
        <is>
          <t>SKÅNE LÄN</t>
        </is>
      </c>
      <c r="E820" t="inlineStr">
        <is>
          <t>HÄSSLEHOLM</t>
        </is>
      </c>
      <c r="G820" t="n">
        <v>3.4</v>
      </c>
      <c r="H820" t="n">
        <v>0</v>
      </c>
      <c r="I820" t="n">
        <v>0</v>
      </c>
      <c r="J820" t="n">
        <v>0</v>
      </c>
      <c r="K820" t="n">
        <v>0</v>
      </c>
      <c r="L820" t="n">
        <v>0</v>
      </c>
      <c r="M820" t="n">
        <v>0</v>
      </c>
      <c r="N820" t="n">
        <v>0</v>
      </c>
      <c r="O820" t="n">
        <v>0</v>
      </c>
      <c r="P820" t="n">
        <v>0</v>
      </c>
      <c r="Q820" t="n">
        <v>0</v>
      </c>
      <c r="R820" s="2" t="inlineStr"/>
    </row>
    <row r="821" ht="15" customHeight="1">
      <c r="A821" t="inlineStr">
        <is>
          <t>A 34890-2023</t>
        </is>
      </c>
      <c r="B821" s="1" t="n">
        <v>45142.39475694444</v>
      </c>
      <c r="C821" s="1" t="n">
        <v>45930</v>
      </c>
      <c r="D821" t="inlineStr">
        <is>
          <t>SKÅNE LÄN</t>
        </is>
      </c>
      <c r="E821" t="inlineStr">
        <is>
          <t>HÄSSLEHOLM</t>
        </is>
      </c>
      <c r="G821" t="n">
        <v>4</v>
      </c>
      <c r="H821" t="n">
        <v>0</v>
      </c>
      <c r="I821" t="n">
        <v>0</v>
      </c>
      <c r="J821" t="n">
        <v>0</v>
      </c>
      <c r="K821" t="n">
        <v>0</v>
      </c>
      <c r="L821" t="n">
        <v>0</v>
      </c>
      <c r="M821" t="n">
        <v>0</v>
      </c>
      <c r="N821" t="n">
        <v>0</v>
      </c>
      <c r="O821" t="n">
        <v>0</v>
      </c>
      <c r="P821" t="n">
        <v>0</v>
      </c>
      <c r="Q821" t="n">
        <v>0</v>
      </c>
      <c r="R821" s="2" t="inlineStr"/>
    </row>
    <row r="822" ht="15" customHeight="1">
      <c r="A822" t="inlineStr">
        <is>
          <t>A 3886-2024</t>
        </is>
      </c>
      <c r="B822" s="1" t="n">
        <v>45322.44539351852</v>
      </c>
      <c r="C822" s="1" t="n">
        <v>45930</v>
      </c>
      <c r="D822" t="inlineStr">
        <is>
          <t>SKÅNE LÄN</t>
        </is>
      </c>
      <c r="E822" t="inlineStr">
        <is>
          <t>HÄSSLEHOLM</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61504-2022</t>
        </is>
      </c>
      <c r="B823" s="1" t="n">
        <v>44910</v>
      </c>
      <c r="C823" s="1" t="n">
        <v>45930</v>
      </c>
      <c r="D823" t="inlineStr">
        <is>
          <t>SKÅNE LÄN</t>
        </is>
      </c>
      <c r="E823" t="inlineStr">
        <is>
          <t>HÄSSLEHOLM</t>
        </is>
      </c>
      <c r="F823" t="inlineStr">
        <is>
          <t>Kyrkan</t>
        </is>
      </c>
      <c r="G823" t="n">
        <v>2.9</v>
      </c>
      <c r="H823" t="n">
        <v>0</v>
      </c>
      <c r="I823" t="n">
        <v>0</v>
      </c>
      <c r="J823" t="n">
        <v>0</v>
      </c>
      <c r="K823" t="n">
        <v>0</v>
      </c>
      <c r="L823" t="n">
        <v>0</v>
      </c>
      <c r="M823" t="n">
        <v>0</v>
      </c>
      <c r="N823" t="n">
        <v>0</v>
      </c>
      <c r="O823" t="n">
        <v>0</v>
      </c>
      <c r="P823" t="n">
        <v>0</v>
      </c>
      <c r="Q823" t="n">
        <v>0</v>
      </c>
      <c r="R823" s="2" t="inlineStr"/>
    </row>
    <row r="824" ht="15" customHeight="1">
      <c r="A824" t="inlineStr">
        <is>
          <t>A 61932-2023</t>
        </is>
      </c>
      <c r="B824" s="1" t="n">
        <v>45266.53761574074</v>
      </c>
      <c r="C824" s="1" t="n">
        <v>45930</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13149-2024</t>
        </is>
      </c>
      <c r="B825" s="1" t="n">
        <v>45386</v>
      </c>
      <c r="C825" s="1" t="n">
        <v>45930</v>
      </c>
      <c r="D825" t="inlineStr">
        <is>
          <t>SKÅNE LÄN</t>
        </is>
      </c>
      <c r="E825" t="inlineStr">
        <is>
          <t>HÄSSLEHOLM</t>
        </is>
      </c>
      <c r="G825" t="n">
        <v>1.1</v>
      </c>
      <c r="H825" t="n">
        <v>0</v>
      </c>
      <c r="I825" t="n">
        <v>0</v>
      </c>
      <c r="J825" t="n">
        <v>0</v>
      </c>
      <c r="K825" t="n">
        <v>0</v>
      </c>
      <c r="L825" t="n">
        <v>0</v>
      </c>
      <c r="M825" t="n">
        <v>0</v>
      </c>
      <c r="N825" t="n">
        <v>0</v>
      </c>
      <c r="O825" t="n">
        <v>0</v>
      </c>
      <c r="P825" t="n">
        <v>0</v>
      </c>
      <c r="Q825" t="n">
        <v>0</v>
      </c>
      <c r="R825" s="2" t="inlineStr"/>
    </row>
    <row r="826" ht="15" customHeight="1">
      <c r="A826" t="inlineStr">
        <is>
          <t>A 29275-2023</t>
        </is>
      </c>
      <c r="B826" s="1" t="n">
        <v>45105</v>
      </c>
      <c r="C826" s="1" t="n">
        <v>45930</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27502-2023</t>
        </is>
      </c>
      <c r="B827" s="1" t="n">
        <v>45092</v>
      </c>
      <c r="C827" s="1" t="n">
        <v>45930</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53466-2024</t>
        </is>
      </c>
      <c r="B828" s="1" t="n">
        <v>45614.55304398148</v>
      </c>
      <c r="C828" s="1" t="n">
        <v>45930</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54473-2023</t>
        </is>
      </c>
      <c r="B829" s="1" t="n">
        <v>45233</v>
      </c>
      <c r="C829" s="1" t="n">
        <v>45930</v>
      </c>
      <c r="D829" t="inlineStr">
        <is>
          <t>SKÅNE LÄN</t>
        </is>
      </c>
      <c r="E829" t="inlineStr">
        <is>
          <t>HÄSSLEHOLM</t>
        </is>
      </c>
      <c r="G829" t="n">
        <v>24.5</v>
      </c>
      <c r="H829" t="n">
        <v>0</v>
      </c>
      <c r="I829" t="n">
        <v>0</v>
      </c>
      <c r="J829" t="n">
        <v>0</v>
      </c>
      <c r="K829" t="n">
        <v>0</v>
      </c>
      <c r="L829" t="n">
        <v>0</v>
      </c>
      <c r="M829" t="n">
        <v>0</v>
      </c>
      <c r="N829" t="n">
        <v>0</v>
      </c>
      <c r="O829" t="n">
        <v>0</v>
      </c>
      <c r="P829" t="n">
        <v>0</v>
      </c>
      <c r="Q829" t="n">
        <v>0</v>
      </c>
      <c r="R829" s="2" t="inlineStr"/>
    </row>
    <row r="830" ht="15" customHeight="1">
      <c r="A830" t="inlineStr">
        <is>
          <t>A 26641-2023</t>
        </is>
      </c>
      <c r="B830" s="1" t="n">
        <v>45092.89619212963</v>
      </c>
      <c r="C830" s="1" t="n">
        <v>45930</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10230-2025</t>
        </is>
      </c>
      <c r="B831" s="1" t="n">
        <v>45720</v>
      </c>
      <c r="C831" s="1" t="n">
        <v>45930</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30109-2025</t>
        </is>
      </c>
      <c r="B832" s="1" t="n">
        <v>45826</v>
      </c>
      <c r="C832" s="1" t="n">
        <v>45930</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19735-2023</t>
        </is>
      </c>
      <c r="B833" s="1" t="n">
        <v>45051.52199074074</v>
      </c>
      <c r="C833" s="1" t="n">
        <v>45930</v>
      </c>
      <c r="D833" t="inlineStr">
        <is>
          <t>SKÅNE LÄN</t>
        </is>
      </c>
      <c r="E833" t="inlineStr">
        <is>
          <t>HÄSSLEHOLM</t>
        </is>
      </c>
      <c r="G833" t="n">
        <v>4</v>
      </c>
      <c r="H833" t="n">
        <v>0</v>
      </c>
      <c r="I833" t="n">
        <v>0</v>
      </c>
      <c r="J833" t="n">
        <v>0</v>
      </c>
      <c r="K833" t="n">
        <v>0</v>
      </c>
      <c r="L833" t="n">
        <v>0</v>
      </c>
      <c r="M833" t="n">
        <v>0</v>
      </c>
      <c r="N833" t="n">
        <v>0</v>
      </c>
      <c r="O833" t="n">
        <v>0</v>
      </c>
      <c r="P833" t="n">
        <v>0</v>
      </c>
      <c r="Q833" t="n">
        <v>0</v>
      </c>
      <c r="R833" s="2" t="inlineStr"/>
    </row>
    <row r="834" ht="15" customHeight="1">
      <c r="A834" t="inlineStr">
        <is>
          <t>A 48797-2023</t>
        </is>
      </c>
      <c r="B834" s="1" t="n">
        <v>45209.24986111111</v>
      </c>
      <c r="C834" s="1" t="n">
        <v>45930</v>
      </c>
      <c r="D834" t="inlineStr">
        <is>
          <t>SKÅNE LÄN</t>
        </is>
      </c>
      <c r="E834" t="inlineStr">
        <is>
          <t>HÄSSLEHOLM</t>
        </is>
      </c>
      <c r="G834" t="n">
        <v>1.2</v>
      </c>
      <c r="H834" t="n">
        <v>0</v>
      </c>
      <c r="I834" t="n">
        <v>0</v>
      </c>
      <c r="J834" t="n">
        <v>0</v>
      </c>
      <c r="K834" t="n">
        <v>0</v>
      </c>
      <c r="L834" t="n">
        <v>0</v>
      </c>
      <c r="M834" t="n">
        <v>0</v>
      </c>
      <c r="N834" t="n">
        <v>0</v>
      </c>
      <c r="O834" t="n">
        <v>0</v>
      </c>
      <c r="P834" t="n">
        <v>0</v>
      </c>
      <c r="Q834" t="n">
        <v>0</v>
      </c>
      <c r="R834" s="2" t="inlineStr"/>
    </row>
    <row r="835" ht="15" customHeight="1">
      <c r="A835" t="inlineStr">
        <is>
          <t>A 5532-2025</t>
        </is>
      </c>
      <c r="B835" s="1" t="n">
        <v>45693</v>
      </c>
      <c r="C835" s="1" t="n">
        <v>45930</v>
      </c>
      <c r="D835" t="inlineStr">
        <is>
          <t>SKÅNE LÄN</t>
        </is>
      </c>
      <c r="E835" t="inlineStr">
        <is>
          <t>HÄSSLEHOLM</t>
        </is>
      </c>
      <c r="G835" t="n">
        <v>2.4</v>
      </c>
      <c r="H835" t="n">
        <v>0</v>
      </c>
      <c r="I835" t="n">
        <v>0</v>
      </c>
      <c r="J835" t="n">
        <v>0</v>
      </c>
      <c r="K835" t="n">
        <v>0</v>
      </c>
      <c r="L835" t="n">
        <v>0</v>
      </c>
      <c r="M835" t="n">
        <v>0</v>
      </c>
      <c r="N835" t="n">
        <v>0</v>
      </c>
      <c r="O835" t="n">
        <v>0</v>
      </c>
      <c r="P835" t="n">
        <v>0</v>
      </c>
      <c r="Q835" t="n">
        <v>0</v>
      </c>
      <c r="R835" s="2" t="inlineStr"/>
    </row>
    <row r="836" ht="15" customHeight="1">
      <c r="A836" t="inlineStr">
        <is>
          <t>A 55662-2022</t>
        </is>
      </c>
      <c r="B836" s="1" t="n">
        <v>44883</v>
      </c>
      <c r="C836" s="1" t="n">
        <v>45930</v>
      </c>
      <c r="D836" t="inlineStr">
        <is>
          <t>SKÅNE LÄN</t>
        </is>
      </c>
      <c r="E836" t="inlineStr">
        <is>
          <t>HÄSSLEHOLM</t>
        </is>
      </c>
      <c r="F836" t="inlineStr">
        <is>
          <t>Övriga Aktiebolag</t>
        </is>
      </c>
      <c r="G836" t="n">
        <v>2.6</v>
      </c>
      <c r="H836" t="n">
        <v>0</v>
      </c>
      <c r="I836" t="n">
        <v>0</v>
      </c>
      <c r="J836" t="n">
        <v>0</v>
      </c>
      <c r="K836" t="n">
        <v>0</v>
      </c>
      <c r="L836" t="n">
        <v>0</v>
      </c>
      <c r="M836" t="n">
        <v>0</v>
      </c>
      <c r="N836" t="n">
        <v>0</v>
      </c>
      <c r="O836" t="n">
        <v>0</v>
      </c>
      <c r="P836" t="n">
        <v>0</v>
      </c>
      <c r="Q836" t="n">
        <v>0</v>
      </c>
      <c r="R836" s="2" t="inlineStr"/>
    </row>
    <row r="837" ht="15" customHeight="1">
      <c r="A837" t="inlineStr">
        <is>
          <t>A 51752-2023</t>
        </is>
      </c>
      <c r="B837" s="1" t="n">
        <v>45222</v>
      </c>
      <c r="C837" s="1" t="n">
        <v>45930</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29844-2024</t>
        </is>
      </c>
      <c r="B838" s="1" t="n">
        <v>45485</v>
      </c>
      <c r="C838" s="1" t="n">
        <v>45930</v>
      </c>
      <c r="D838" t="inlineStr">
        <is>
          <t>SKÅNE LÄN</t>
        </is>
      </c>
      <c r="E838" t="inlineStr">
        <is>
          <t>HÄSSLEHOLM</t>
        </is>
      </c>
      <c r="G838" t="n">
        <v>1.9</v>
      </c>
      <c r="H838" t="n">
        <v>0</v>
      </c>
      <c r="I838" t="n">
        <v>0</v>
      </c>
      <c r="J838" t="n">
        <v>0</v>
      </c>
      <c r="K838" t="n">
        <v>0</v>
      </c>
      <c r="L838" t="n">
        <v>0</v>
      </c>
      <c r="M838" t="n">
        <v>0</v>
      </c>
      <c r="N838" t="n">
        <v>0</v>
      </c>
      <c r="O838" t="n">
        <v>0</v>
      </c>
      <c r="P838" t="n">
        <v>0</v>
      </c>
      <c r="Q838" t="n">
        <v>0</v>
      </c>
      <c r="R838" s="2" t="inlineStr"/>
    </row>
    <row r="839" ht="15" customHeight="1">
      <c r="A839" t="inlineStr">
        <is>
          <t>A 40536-2024</t>
        </is>
      </c>
      <c r="B839" s="1" t="n">
        <v>45555.61314814815</v>
      </c>
      <c r="C839" s="1" t="n">
        <v>45930</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20800-2023</t>
        </is>
      </c>
      <c r="B840" s="1" t="n">
        <v>45058.61640046296</v>
      </c>
      <c r="C840" s="1" t="n">
        <v>45930</v>
      </c>
      <c r="D840" t="inlineStr">
        <is>
          <t>SKÅNE LÄN</t>
        </is>
      </c>
      <c r="E840" t="inlineStr">
        <is>
          <t>HÄSSLEHOLM</t>
        </is>
      </c>
      <c r="G840" t="n">
        <v>0.4</v>
      </c>
      <c r="H840" t="n">
        <v>0</v>
      </c>
      <c r="I840" t="n">
        <v>0</v>
      </c>
      <c r="J840" t="n">
        <v>0</v>
      </c>
      <c r="K840" t="n">
        <v>0</v>
      </c>
      <c r="L840" t="n">
        <v>0</v>
      </c>
      <c r="M840" t="n">
        <v>0</v>
      </c>
      <c r="N840" t="n">
        <v>0</v>
      </c>
      <c r="O840" t="n">
        <v>0</v>
      </c>
      <c r="P840" t="n">
        <v>0</v>
      </c>
      <c r="Q840" t="n">
        <v>0</v>
      </c>
      <c r="R840" s="2" t="inlineStr"/>
    </row>
    <row r="841" ht="15" customHeight="1">
      <c r="A841" t="inlineStr">
        <is>
          <t>A 49219-2024</t>
        </is>
      </c>
      <c r="B841" s="1" t="n">
        <v>45595.40923611111</v>
      </c>
      <c r="C841" s="1" t="n">
        <v>45930</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7152-2025</t>
        </is>
      </c>
      <c r="B842" s="1" t="n">
        <v>45702.3837037037</v>
      </c>
      <c r="C842" s="1" t="n">
        <v>45930</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7160-2025</t>
        </is>
      </c>
      <c r="B843" s="1" t="n">
        <v>45702.3875462963</v>
      </c>
      <c r="C843" s="1" t="n">
        <v>45930</v>
      </c>
      <c r="D843" t="inlineStr">
        <is>
          <t>SKÅNE LÄN</t>
        </is>
      </c>
      <c r="E843" t="inlineStr">
        <is>
          <t>HÄSSLEHOLM</t>
        </is>
      </c>
      <c r="G843" t="n">
        <v>2.5</v>
      </c>
      <c r="H843" t="n">
        <v>0</v>
      </c>
      <c r="I843" t="n">
        <v>0</v>
      </c>
      <c r="J843" t="n">
        <v>0</v>
      </c>
      <c r="K843" t="n">
        <v>0</v>
      </c>
      <c r="L843" t="n">
        <v>0</v>
      </c>
      <c r="M843" t="n">
        <v>0</v>
      </c>
      <c r="N843" t="n">
        <v>0</v>
      </c>
      <c r="O843" t="n">
        <v>0</v>
      </c>
      <c r="P843" t="n">
        <v>0</v>
      </c>
      <c r="Q843" t="n">
        <v>0</v>
      </c>
      <c r="R843" s="2" t="inlineStr"/>
    </row>
    <row r="844" ht="15" customHeight="1">
      <c r="A844" t="inlineStr">
        <is>
          <t>A 14939-2023</t>
        </is>
      </c>
      <c r="B844" s="1" t="n">
        <v>45014</v>
      </c>
      <c r="C844" s="1" t="n">
        <v>45930</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33266-2024</t>
        </is>
      </c>
      <c r="B845" s="1" t="n">
        <v>45518</v>
      </c>
      <c r="C845" s="1" t="n">
        <v>45930</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56386-2023</t>
        </is>
      </c>
      <c r="B846" s="1" t="n">
        <v>45243</v>
      </c>
      <c r="C846" s="1" t="n">
        <v>45930</v>
      </c>
      <c r="D846" t="inlineStr">
        <is>
          <t>SKÅNE LÄN</t>
        </is>
      </c>
      <c r="E846" t="inlineStr">
        <is>
          <t>HÄSSLEHOLM</t>
        </is>
      </c>
      <c r="G846" t="n">
        <v>2</v>
      </c>
      <c r="H846" t="n">
        <v>0</v>
      </c>
      <c r="I846" t="n">
        <v>0</v>
      </c>
      <c r="J846" t="n">
        <v>0</v>
      </c>
      <c r="K846" t="n">
        <v>0</v>
      </c>
      <c r="L846" t="n">
        <v>0</v>
      </c>
      <c r="M846" t="n">
        <v>0</v>
      </c>
      <c r="N846" t="n">
        <v>0</v>
      </c>
      <c r="O846" t="n">
        <v>0</v>
      </c>
      <c r="P846" t="n">
        <v>0</v>
      </c>
      <c r="Q846" t="n">
        <v>0</v>
      </c>
      <c r="R846" s="2" t="inlineStr"/>
    </row>
    <row r="847" ht="15" customHeight="1">
      <c r="A847" t="inlineStr">
        <is>
          <t>A 15104-2023</t>
        </is>
      </c>
      <c r="B847" s="1" t="n">
        <v>45016.40576388889</v>
      </c>
      <c r="C847" s="1" t="n">
        <v>45930</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66321-2021</t>
        </is>
      </c>
      <c r="B848" s="1" t="n">
        <v>44518</v>
      </c>
      <c r="C848" s="1" t="n">
        <v>45930</v>
      </c>
      <c r="D848" t="inlineStr">
        <is>
          <t>SKÅNE LÄN</t>
        </is>
      </c>
      <c r="E848" t="inlineStr">
        <is>
          <t>HÄSSLEHOLM</t>
        </is>
      </c>
      <c r="G848" t="n">
        <v>9.300000000000001</v>
      </c>
      <c r="H848" t="n">
        <v>0</v>
      </c>
      <c r="I848" t="n">
        <v>0</v>
      </c>
      <c r="J848" t="n">
        <v>0</v>
      </c>
      <c r="K848" t="n">
        <v>0</v>
      </c>
      <c r="L848" t="n">
        <v>0</v>
      </c>
      <c r="M848" t="n">
        <v>0</v>
      </c>
      <c r="N848" t="n">
        <v>0</v>
      </c>
      <c r="O848" t="n">
        <v>0</v>
      </c>
      <c r="P848" t="n">
        <v>0</v>
      </c>
      <c r="Q848" t="n">
        <v>0</v>
      </c>
      <c r="R848" s="2" t="inlineStr"/>
    </row>
    <row r="849" ht="15" customHeight="1">
      <c r="A849" t="inlineStr">
        <is>
          <t>A 21494-2023</t>
        </is>
      </c>
      <c r="B849" s="1" t="n">
        <v>45063</v>
      </c>
      <c r="C849" s="1" t="n">
        <v>45930</v>
      </c>
      <c r="D849" t="inlineStr">
        <is>
          <t>SKÅNE LÄN</t>
        </is>
      </c>
      <c r="E849" t="inlineStr">
        <is>
          <t>HÄSSLEHOLM</t>
        </is>
      </c>
      <c r="G849" t="n">
        <v>3.7</v>
      </c>
      <c r="H849" t="n">
        <v>0</v>
      </c>
      <c r="I849" t="n">
        <v>0</v>
      </c>
      <c r="J849" t="n">
        <v>0</v>
      </c>
      <c r="K849" t="n">
        <v>0</v>
      </c>
      <c r="L849" t="n">
        <v>0</v>
      </c>
      <c r="M849" t="n">
        <v>0</v>
      </c>
      <c r="N849" t="n">
        <v>0</v>
      </c>
      <c r="O849" t="n">
        <v>0</v>
      </c>
      <c r="P849" t="n">
        <v>0</v>
      </c>
      <c r="Q849" t="n">
        <v>0</v>
      </c>
      <c r="R849" s="2" t="inlineStr"/>
    </row>
    <row r="850" ht="15" customHeight="1">
      <c r="A850" t="inlineStr">
        <is>
          <t>A 21495-2023</t>
        </is>
      </c>
      <c r="B850" s="1" t="n">
        <v>45063</v>
      </c>
      <c r="C850" s="1" t="n">
        <v>45930</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2490-2024</t>
        </is>
      </c>
      <c r="B851" s="1" t="n">
        <v>45313.43649305555</v>
      </c>
      <c r="C851" s="1" t="n">
        <v>45930</v>
      </c>
      <c r="D851" t="inlineStr">
        <is>
          <t>SKÅNE LÄN</t>
        </is>
      </c>
      <c r="E851" t="inlineStr">
        <is>
          <t>HÄSSLEHOLM</t>
        </is>
      </c>
      <c r="G851" t="n">
        <v>4</v>
      </c>
      <c r="H851" t="n">
        <v>0</v>
      </c>
      <c r="I851" t="n">
        <v>0</v>
      </c>
      <c r="J851" t="n">
        <v>0</v>
      </c>
      <c r="K851" t="n">
        <v>0</v>
      </c>
      <c r="L851" t="n">
        <v>0</v>
      </c>
      <c r="M851" t="n">
        <v>0</v>
      </c>
      <c r="N851" t="n">
        <v>0</v>
      </c>
      <c r="O851" t="n">
        <v>0</v>
      </c>
      <c r="P851" t="n">
        <v>0</v>
      </c>
      <c r="Q851" t="n">
        <v>0</v>
      </c>
      <c r="R851" s="2" t="inlineStr"/>
    </row>
    <row r="852" ht="15" customHeight="1">
      <c r="A852" t="inlineStr">
        <is>
          <t>A 50244-2024</t>
        </is>
      </c>
      <c r="B852" s="1" t="n">
        <v>45600.56502314815</v>
      </c>
      <c r="C852" s="1" t="n">
        <v>45930</v>
      </c>
      <c r="D852" t="inlineStr">
        <is>
          <t>SKÅNE LÄN</t>
        </is>
      </c>
      <c r="E852" t="inlineStr">
        <is>
          <t>HÄSSLEHOLM</t>
        </is>
      </c>
      <c r="G852" t="n">
        <v>1.9</v>
      </c>
      <c r="H852" t="n">
        <v>0</v>
      </c>
      <c r="I852" t="n">
        <v>0</v>
      </c>
      <c r="J852" t="n">
        <v>0</v>
      </c>
      <c r="K852" t="n">
        <v>0</v>
      </c>
      <c r="L852" t="n">
        <v>0</v>
      </c>
      <c r="M852" t="n">
        <v>0</v>
      </c>
      <c r="N852" t="n">
        <v>0</v>
      </c>
      <c r="O852" t="n">
        <v>0</v>
      </c>
      <c r="P852" t="n">
        <v>0</v>
      </c>
      <c r="Q852" t="n">
        <v>0</v>
      </c>
      <c r="R852" s="2" t="inlineStr"/>
    </row>
    <row r="853" ht="15" customHeight="1">
      <c r="A853" t="inlineStr">
        <is>
          <t>A 40739-2024</t>
        </is>
      </c>
      <c r="B853" s="1" t="n">
        <v>45558</v>
      </c>
      <c r="C853" s="1" t="n">
        <v>45930</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9924-2025</t>
        </is>
      </c>
      <c r="B854" s="1" t="n">
        <v>45717.72505787037</v>
      </c>
      <c r="C854" s="1" t="n">
        <v>45930</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13007-2024</t>
        </is>
      </c>
      <c r="B855" s="1" t="n">
        <v>45385.57092592592</v>
      </c>
      <c r="C855" s="1" t="n">
        <v>45930</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23007-2025</t>
        </is>
      </c>
      <c r="B856" s="1" t="n">
        <v>45790</v>
      </c>
      <c r="C856" s="1" t="n">
        <v>45930</v>
      </c>
      <c r="D856" t="inlineStr">
        <is>
          <t>SKÅNE LÄN</t>
        </is>
      </c>
      <c r="E856" t="inlineStr">
        <is>
          <t>HÄSSLEHOLM</t>
        </is>
      </c>
      <c r="G856" t="n">
        <v>0.4</v>
      </c>
      <c r="H856" t="n">
        <v>0</v>
      </c>
      <c r="I856" t="n">
        <v>0</v>
      </c>
      <c r="J856" t="n">
        <v>0</v>
      </c>
      <c r="K856" t="n">
        <v>0</v>
      </c>
      <c r="L856" t="n">
        <v>0</v>
      </c>
      <c r="M856" t="n">
        <v>0</v>
      </c>
      <c r="N856" t="n">
        <v>0</v>
      </c>
      <c r="O856" t="n">
        <v>0</v>
      </c>
      <c r="P856" t="n">
        <v>0</v>
      </c>
      <c r="Q856" t="n">
        <v>0</v>
      </c>
      <c r="R856" s="2" t="inlineStr"/>
    </row>
    <row r="857" ht="15" customHeight="1">
      <c r="A857" t="inlineStr">
        <is>
          <t>A 7221-2025</t>
        </is>
      </c>
      <c r="B857" s="1" t="n">
        <v>45701</v>
      </c>
      <c r="C857" s="1" t="n">
        <v>45930</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64884-2023</t>
        </is>
      </c>
      <c r="B858" s="1" t="n">
        <v>45282.57809027778</v>
      </c>
      <c r="C858" s="1" t="n">
        <v>45930</v>
      </c>
      <c r="D858" t="inlineStr">
        <is>
          <t>SKÅNE LÄN</t>
        </is>
      </c>
      <c r="E858" t="inlineStr">
        <is>
          <t>HÄSSLEHOLM</t>
        </is>
      </c>
      <c r="G858" t="n">
        <v>4.6</v>
      </c>
      <c r="H858" t="n">
        <v>0</v>
      </c>
      <c r="I858" t="n">
        <v>0</v>
      </c>
      <c r="J858" t="n">
        <v>0</v>
      </c>
      <c r="K858" t="n">
        <v>0</v>
      </c>
      <c r="L858" t="n">
        <v>0</v>
      </c>
      <c r="M858" t="n">
        <v>0</v>
      </c>
      <c r="N858" t="n">
        <v>0</v>
      </c>
      <c r="O858" t="n">
        <v>0</v>
      </c>
      <c r="P858" t="n">
        <v>0</v>
      </c>
      <c r="Q858" t="n">
        <v>0</v>
      </c>
      <c r="R858" s="2" t="inlineStr"/>
    </row>
    <row r="859" ht="15" customHeight="1">
      <c r="A859" t="inlineStr">
        <is>
          <t>A 74030-2021</t>
        </is>
      </c>
      <c r="B859" s="1" t="n">
        <v>44553</v>
      </c>
      <c r="C859" s="1" t="n">
        <v>45930</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27606-2024</t>
        </is>
      </c>
      <c r="B860" s="1" t="n">
        <v>45474</v>
      </c>
      <c r="C860" s="1" t="n">
        <v>45930</v>
      </c>
      <c r="D860" t="inlineStr">
        <is>
          <t>SKÅNE LÄN</t>
        </is>
      </c>
      <c r="E860" t="inlineStr">
        <is>
          <t>HÄSSLEHOLM</t>
        </is>
      </c>
      <c r="G860" t="n">
        <v>3.6</v>
      </c>
      <c r="H860" t="n">
        <v>0</v>
      </c>
      <c r="I860" t="n">
        <v>0</v>
      </c>
      <c r="J860" t="n">
        <v>0</v>
      </c>
      <c r="K860" t="n">
        <v>0</v>
      </c>
      <c r="L860" t="n">
        <v>0</v>
      </c>
      <c r="M860" t="n">
        <v>0</v>
      </c>
      <c r="N860" t="n">
        <v>0</v>
      </c>
      <c r="O860" t="n">
        <v>0</v>
      </c>
      <c r="P860" t="n">
        <v>0</v>
      </c>
      <c r="Q860" t="n">
        <v>0</v>
      </c>
      <c r="R860" s="2" t="inlineStr"/>
    </row>
    <row r="861" ht="15" customHeight="1">
      <c r="A861" t="inlineStr">
        <is>
          <t>A 22140-2023</t>
        </is>
      </c>
      <c r="B861" s="1" t="n">
        <v>45065</v>
      </c>
      <c r="C861" s="1" t="n">
        <v>45930</v>
      </c>
      <c r="D861" t="inlineStr">
        <is>
          <t>SKÅNE LÄN</t>
        </is>
      </c>
      <c r="E861" t="inlineStr">
        <is>
          <t>HÄSSLEHOLM</t>
        </is>
      </c>
      <c r="G861" t="n">
        <v>6.7</v>
      </c>
      <c r="H861" t="n">
        <v>0</v>
      </c>
      <c r="I861" t="n">
        <v>0</v>
      </c>
      <c r="J861" t="n">
        <v>0</v>
      </c>
      <c r="K861" t="n">
        <v>0</v>
      </c>
      <c r="L861" t="n">
        <v>0</v>
      </c>
      <c r="M861" t="n">
        <v>0</v>
      </c>
      <c r="N861" t="n">
        <v>0</v>
      </c>
      <c r="O861" t="n">
        <v>0</v>
      </c>
      <c r="P861" t="n">
        <v>0</v>
      </c>
      <c r="Q861" t="n">
        <v>0</v>
      </c>
      <c r="R861" s="2" t="inlineStr"/>
    </row>
    <row r="862" ht="15" customHeight="1">
      <c r="A862" t="inlineStr">
        <is>
          <t>A 31944-2023</t>
        </is>
      </c>
      <c r="B862" s="1" t="n">
        <v>45119.34895833334</v>
      </c>
      <c r="C862" s="1" t="n">
        <v>45930</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7890-2024</t>
        </is>
      </c>
      <c r="B863" s="1" t="n">
        <v>45350.40780092592</v>
      </c>
      <c r="C863" s="1" t="n">
        <v>45930</v>
      </c>
      <c r="D863" t="inlineStr">
        <is>
          <t>SKÅNE LÄN</t>
        </is>
      </c>
      <c r="E863" t="inlineStr">
        <is>
          <t>HÄSSLEHOLM</t>
        </is>
      </c>
      <c r="G863" t="n">
        <v>1.4</v>
      </c>
      <c r="H863" t="n">
        <v>0</v>
      </c>
      <c r="I863" t="n">
        <v>0</v>
      </c>
      <c r="J863" t="n">
        <v>0</v>
      </c>
      <c r="K863" t="n">
        <v>0</v>
      </c>
      <c r="L863" t="n">
        <v>0</v>
      </c>
      <c r="M863" t="n">
        <v>0</v>
      </c>
      <c r="N863" t="n">
        <v>0</v>
      </c>
      <c r="O863" t="n">
        <v>0</v>
      </c>
      <c r="P863" t="n">
        <v>0</v>
      </c>
      <c r="Q863" t="n">
        <v>0</v>
      </c>
      <c r="R863" s="2" t="inlineStr"/>
    </row>
    <row r="864" ht="15" customHeight="1">
      <c r="A864" t="inlineStr">
        <is>
          <t>A 31946-2023</t>
        </is>
      </c>
      <c r="B864" s="1" t="n">
        <v>45119.35158564815</v>
      </c>
      <c r="C864" s="1" t="n">
        <v>45930</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56735-2024</t>
        </is>
      </c>
      <c r="B865" s="1" t="n">
        <v>45628.36234953703</v>
      </c>
      <c r="C865" s="1" t="n">
        <v>45930</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8755-2024</t>
        </is>
      </c>
      <c r="B866" s="1" t="n">
        <v>45356</v>
      </c>
      <c r="C866" s="1" t="n">
        <v>45930</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2621-2025</t>
        </is>
      </c>
      <c r="B867" s="1" t="n">
        <v>45675.60765046296</v>
      </c>
      <c r="C867" s="1" t="n">
        <v>45930</v>
      </c>
      <c r="D867" t="inlineStr">
        <is>
          <t>SKÅNE LÄN</t>
        </is>
      </c>
      <c r="E867" t="inlineStr">
        <is>
          <t>HÄSSLEHOLM</t>
        </is>
      </c>
      <c r="F867" t="inlineStr">
        <is>
          <t>Kommuner</t>
        </is>
      </c>
      <c r="G867" t="n">
        <v>3</v>
      </c>
      <c r="H867" t="n">
        <v>0</v>
      </c>
      <c r="I867" t="n">
        <v>0</v>
      </c>
      <c r="J867" t="n">
        <v>0</v>
      </c>
      <c r="K867" t="n">
        <v>0</v>
      </c>
      <c r="L867" t="n">
        <v>0</v>
      </c>
      <c r="M867" t="n">
        <v>0</v>
      </c>
      <c r="N867" t="n">
        <v>0</v>
      </c>
      <c r="O867" t="n">
        <v>0</v>
      </c>
      <c r="P867" t="n">
        <v>0</v>
      </c>
      <c r="Q867" t="n">
        <v>0</v>
      </c>
      <c r="R867" s="2" t="inlineStr"/>
    </row>
    <row r="868" ht="15" customHeight="1">
      <c r="A868" t="inlineStr">
        <is>
          <t>A 23005-2025</t>
        </is>
      </c>
      <c r="B868" s="1" t="n">
        <v>45790</v>
      </c>
      <c r="C868" s="1" t="n">
        <v>45930</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8737-2025</t>
        </is>
      </c>
      <c r="B869" s="1" t="n">
        <v>45712.54578703704</v>
      </c>
      <c r="C869" s="1" t="n">
        <v>45930</v>
      </c>
      <c r="D869" t="inlineStr">
        <is>
          <t>SKÅNE LÄN</t>
        </is>
      </c>
      <c r="E869" t="inlineStr">
        <is>
          <t>HÄSSLEHOLM</t>
        </is>
      </c>
      <c r="G869" t="n">
        <v>2.7</v>
      </c>
      <c r="H869" t="n">
        <v>0</v>
      </c>
      <c r="I869" t="n">
        <v>0</v>
      </c>
      <c r="J869" t="n">
        <v>0</v>
      </c>
      <c r="K869" t="n">
        <v>0</v>
      </c>
      <c r="L869" t="n">
        <v>0</v>
      </c>
      <c r="M869" t="n">
        <v>0</v>
      </c>
      <c r="N869" t="n">
        <v>0</v>
      </c>
      <c r="O869" t="n">
        <v>0</v>
      </c>
      <c r="P869" t="n">
        <v>0</v>
      </c>
      <c r="Q869" t="n">
        <v>0</v>
      </c>
      <c r="R869" s="2" t="inlineStr"/>
    </row>
    <row r="870" ht="15" customHeight="1">
      <c r="A870" t="inlineStr">
        <is>
          <t>A 22587-2025</t>
        </is>
      </c>
      <c r="B870" s="1" t="n">
        <v>45789.39974537037</v>
      </c>
      <c r="C870" s="1" t="n">
        <v>45930</v>
      </c>
      <c r="D870" t="inlineStr">
        <is>
          <t>SKÅNE LÄN</t>
        </is>
      </c>
      <c r="E870" t="inlineStr">
        <is>
          <t>HÄSSLEHOLM</t>
        </is>
      </c>
      <c r="G870" t="n">
        <v>5.7</v>
      </c>
      <c r="H870" t="n">
        <v>0</v>
      </c>
      <c r="I870" t="n">
        <v>0</v>
      </c>
      <c r="J870" t="n">
        <v>0</v>
      </c>
      <c r="K870" t="n">
        <v>0</v>
      </c>
      <c r="L870" t="n">
        <v>0</v>
      </c>
      <c r="M870" t="n">
        <v>0</v>
      </c>
      <c r="N870" t="n">
        <v>0</v>
      </c>
      <c r="O870" t="n">
        <v>0</v>
      </c>
      <c r="P870" t="n">
        <v>0</v>
      </c>
      <c r="Q870" t="n">
        <v>0</v>
      </c>
      <c r="R870" s="2" t="inlineStr"/>
    </row>
    <row r="871" ht="15" customHeight="1">
      <c r="A871" t="inlineStr">
        <is>
          <t>A 22592-2025</t>
        </is>
      </c>
      <c r="B871" s="1" t="n">
        <v>45789.40502314815</v>
      </c>
      <c r="C871" s="1" t="n">
        <v>45930</v>
      </c>
      <c r="D871" t="inlineStr">
        <is>
          <t>SKÅNE LÄN</t>
        </is>
      </c>
      <c r="E871" t="inlineStr">
        <is>
          <t>HÄSSLEHOLM</t>
        </is>
      </c>
      <c r="G871" t="n">
        <v>7.1</v>
      </c>
      <c r="H871" t="n">
        <v>0</v>
      </c>
      <c r="I871" t="n">
        <v>0</v>
      </c>
      <c r="J871" t="n">
        <v>0</v>
      </c>
      <c r="K871" t="n">
        <v>0</v>
      </c>
      <c r="L871" t="n">
        <v>0</v>
      </c>
      <c r="M871" t="n">
        <v>0</v>
      </c>
      <c r="N871" t="n">
        <v>0</v>
      </c>
      <c r="O871" t="n">
        <v>0</v>
      </c>
      <c r="P871" t="n">
        <v>0</v>
      </c>
      <c r="Q871" t="n">
        <v>0</v>
      </c>
      <c r="R871" s="2" t="inlineStr"/>
    </row>
    <row r="872" ht="15" customHeight="1">
      <c r="A872" t="inlineStr">
        <is>
          <t>A 61178-2022</t>
        </is>
      </c>
      <c r="B872" s="1" t="n">
        <v>44915</v>
      </c>
      <c r="C872" s="1" t="n">
        <v>45930</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61185-2022</t>
        </is>
      </c>
      <c r="B873" s="1" t="n">
        <v>44915</v>
      </c>
      <c r="C873" s="1" t="n">
        <v>45930</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61691-2021</t>
        </is>
      </c>
      <c r="B874" s="1" t="n">
        <v>44501</v>
      </c>
      <c r="C874" s="1" t="n">
        <v>45930</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25221-2023</t>
        </is>
      </c>
      <c r="B875" s="1" t="n">
        <v>45086.60842592592</v>
      </c>
      <c r="C875" s="1" t="n">
        <v>45930</v>
      </c>
      <c r="D875" t="inlineStr">
        <is>
          <t>SKÅNE LÄN</t>
        </is>
      </c>
      <c r="E875" t="inlineStr">
        <is>
          <t>HÄSSLEHOLM</t>
        </is>
      </c>
      <c r="G875" t="n">
        <v>2.5</v>
      </c>
      <c r="H875" t="n">
        <v>0</v>
      </c>
      <c r="I875" t="n">
        <v>0</v>
      </c>
      <c r="J875" t="n">
        <v>0</v>
      </c>
      <c r="K875" t="n">
        <v>0</v>
      </c>
      <c r="L875" t="n">
        <v>0</v>
      </c>
      <c r="M875" t="n">
        <v>0</v>
      </c>
      <c r="N875" t="n">
        <v>0</v>
      </c>
      <c r="O875" t="n">
        <v>0</v>
      </c>
      <c r="P875" t="n">
        <v>0</v>
      </c>
      <c r="Q875" t="n">
        <v>0</v>
      </c>
      <c r="R875" s="2" t="inlineStr"/>
    </row>
    <row r="876" ht="15" customHeight="1">
      <c r="A876" t="inlineStr">
        <is>
          <t>A 17171-2025</t>
        </is>
      </c>
      <c r="B876" s="1" t="n">
        <v>45755</v>
      </c>
      <c r="C876" s="1" t="n">
        <v>45930</v>
      </c>
      <c r="D876" t="inlineStr">
        <is>
          <t>SKÅNE LÄN</t>
        </is>
      </c>
      <c r="E876" t="inlineStr">
        <is>
          <t>HÄSSLEHOLM</t>
        </is>
      </c>
      <c r="G876" t="n">
        <v>1.5</v>
      </c>
      <c r="H876" t="n">
        <v>0</v>
      </c>
      <c r="I876" t="n">
        <v>0</v>
      </c>
      <c r="J876" t="n">
        <v>0</v>
      </c>
      <c r="K876" t="n">
        <v>0</v>
      </c>
      <c r="L876" t="n">
        <v>0</v>
      </c>
      <c r="M876" t="n">
        <v>0</v>
      </c>
      <c r="N876" t="n">
        <v>0</v>
      </c>
      <c r="O876" t="n">
        <v>0</v>
      </c>
      <c r="P876" t="n">
        <v>0</v>
      </c>
      <c r="Q876" t="n">
        <v>0</v>
      </c>
      <c r="R876" s="2" t="inlineStr"/>
    </row>
    <row r="877" ht="15" customHeight="1">
      <c r="A877" t="inlineStr">
        <is>
          <t>A 59390-2021</t>
        </is>
      </c>
      <c r="B877" s="1" t="n">
        <v>44490</v>
      </c>
      <c r="C877" s="1" t="n">
        <v>45930</v>
      </c>
      <c r="D877" t="inlineStr">
        <is>
          <t>SKÅNE LÄN</t>
        </is>
      </c>
      <c r="E877" t="inlineStr">
        <is>
          <t>HÄSSLEHOLM</t>
        </is>
      </c>
      <c r="G877" t="n">
        <v>7.1</v>
      </c>
      <c r="H877" t="n">
        <v>0</v>
      </c>
      <c r="I877" t="n">
        <v>0</v>
      </c>
      <c r="J877" t="n">
        <v>0</v>
      </c>
      <c r="K877" t="n">
        <v>0</v>
      </c>
      <c r="L877" t="n">
        <v>0</v>
      </c>
      <c r="M877" t="n">
        <v>0</v>
      </c>
      <c r="N877" t="n">
        <v>0</v>
      </c>
      <c r="O877" t="n">
        <v>0</v>
      </c>
      <c r="P877" t="n">
        <v>0</v>
      </c>
      <c r="Q877" t="n">
        <v>0</v>
      </c>
      <c r="R877" s="2" t="inlineStr"/>
    </row>
    <row r="878" ht="15" customHeight="1">
      <c r="A878" t="inlineStr">
        <is>
          <t>A 13954-2023</t>
        </is>
      </c>
      <c r="B878" s="1" t="n">
        <v>45008</v>
      </c>
      <c r="C878" s="1" t="n">
        <v>45930</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51018-2023</t>
        </is>
      </c>
      <c r="B879" s="1" t="n">
        <v>45218</v>
      </c>
      <c r="C879" s="1" t="n">
        <v>45930</v>
      </c>
      <c r="D879" t="inlineStr">
        <is>
          <t>SKÅNE LÄN</t>
        </is>
      </c>
      <c r="E879" t="inlineStr">
        <is>
          <t>HÄSSLEHOLM</t>
        </is>
      </c>
      <c r="G879" t="n">
        <v>3.1</v>
      </c>
      <c r="H879" t="n">
        <v>0</v>
      </c>
      <c r="I879" t="n">
        <v>0</v>
      </c>
      <c r="J879" t="n">
        <v>0</v>
      </c>
      <c r="K879" t="n">
        <v>0</v>
      </c>
      <c r="L879" t="n">
        <v>0</v>
      </c>
      <c r="M879" t="n">
        <v>0</v>
      </c>
      <c r="N879" t="n">
        <v>0</v>
      </c>
      <c r="O879" t="n">
        <v>0</v>
      </c>
      <c r="P879" t="n">
        <v>0</v>
      </c>
      <c r="Q879" t="n">
        <v>0</v>
      </c>
      <c r="R879" s="2" t="inlineStr"/>
    </row>
    <row r="880" ht="15" customHeight="1">
      <c r="A880" t="inlineStr">
        <is>
          <t>A 40152-2024</t>
        </is>
      </c>
      <c r="B880" s="1" t="n">
        <v>45554</v>
      </c>
      <c r="C880" s="1" t="n">
        <v>45930</v>
      </c>
      <c r="D880" t="inlineStr">
        <is>
          <t>SKÅNE LÄN</t>
        </is>
      </c>
      <c r="E880" t="inlineStr">
        <is>
          <t>HÄSSLEHOLM</t>
        </is>
      </c>
      <c r="G880" t="n">
        <v>1.1</v>
      </c>
      <c r="H880" t="n">
        <v>0</v>
      </c>
      <c r="I880" t="n">
        <v>0</v>
      </c>
      <c r="J880" t="n">
        <v>0</v>
      </c>
      <c r="K880" t="n">
        <v>0</v>
      </c>
      <c r="L880" t="n">
        <v>0</v>
      </c>
      <c r="M880" t="n">
        <v>0</v>
      </c>
      <c r="N880" t="n">
        <v>0</v>
      </c>
      <c r="O880" t="n">
        <v>0</v>
      </c>
      <c r="P880" t="n">
        <v>0</v>
      </c>
      <c r="Q880" t="n">
        <v>0</v>
      </c>
      <c r="R880" s="2" t="inlineStr"/>
    </row>
    <row r="881" ht="15" customHeight="1">
      <c r="A881" t="inlineStr">
        <is>
          <t>A 31254-2024</t>
        </is>
      </c>
      <c r="B881" s="1" t="n">
        <v>45503</v>
      </c>
      <c r="C881" s="1" t="n">
        <v>45930</v>
      </c>
      <c r="D881" t="inlineStr">
        <is>
          <t>SKÅNE LÄN</t>
        </is>
      </c>
      <c r="E881" t="inlineStr">
        <is>
          <t>HÄSSLEHOLM</t>
        </is>
      </c>
      <c r="G881" t="n">
        <v>2.2</v>
      </c>
      <c r="H881" t="n">
        <v>0</v>
      </c>
      <c r="I881" t="n">
        <v>0</v>
      </c>
      <c r="J881" t="n">
        <v>0</v>
      </c>
      <c r="K881" t="n">
        <v>0</v>
      </c>
      <c r="L881" t="n">
        <v>0</v>
      </c>
      <c r="M881" t="n">
        <v>0</v>
      </c>
      <c r="N881" t="n">
        <v>0</v>
      </c>
      <c r="O881" t="n">
        <v>0</v>
      </c>
      <c r="P881" t="n">
        <v>0</v>
      </c>
      <c r="Q881" t="n">
        <v>0</v>
      </c>
      <c r="R881" s="2" t="inlineStr"/>
    </row>
    <row r="882" ht="15" customHeight="1">
      <c r="A882" t="inlineStr">
        <is>
          <t>A 27825-2024</t>
        </is>
      </c>
      <c r="B882" s="1" t="n">
        <v>45475</v>
      </c>
      <c r="C882" s="1" t="n">
        <v>45930</v>
      </c>
      <c r="D882" t="inlineStr">
        <is>
          <t>SKÅNE LÄN</t>
        </is>
      </c>
      <c r="E882" t="inlineStr">
        <is>
          <t>HÄSSLEHOLM</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50564-2023</t>
        </is>
      </c>
      <c r="B883" s="1" t="n">
        <v>45217.37957175926</v>
      </c>
      <c r="C883" s="1" t="n">
        <v>45930</v>
      </c>
      <c r="D883" t="inlineStr">
        <is>
          <t>SKÅNE LÄN</t>
        </is>
      </c>
      <c r="E883" t="inlineStr">
        <is>
          <t>HÄSSLEHOLM</t>
        </is>
      </c>
      <c r="G883" t="n">
        <v>1.2</v>
      </c>
      <c r="H883" t="n">
        <v>0</v>
      </c>
      <c r="I883" t="n">
        <v>0</v>
      </c>
      <c r="J883" t="n">
        <v>0</v>
      </c>
      <c r="K883" t="n">
        <v>0</v>
      </c>
      <c r="L883" t="n">
        <v>0</v>
      </c>
      <c r="M883" t="n">
        <v>0</v>
      </c>
      <c r="N883" t="n">
        <v>0</v>
      </c>
      <c r="O883" t="n">
        <v>0</v>
      </c>
      <c r="P883" t="n">
        <v>0</v>
      </c>
      <c r="Q883" t="n">
        <v>0</v>
      </c>
      <c r="R883" s="2" t="inlineStr"/>
    </row>
    <row r="884" ht="15" customHeight="1">
      <c r="A884" t="inlineStr">
        <is>
          <t>A 11753-2025</t>
        </is>
      </c>
      <c r="B884" s="1" t="n">
        <v>45727</v>
      </c>
      <c r="C884" s="1" t="n">
        <v>45930</v>
      </c>
      <c r="D884" t="inlineStr">
        <is>
          <t>SKÅNE LÄN</t>
        </is>
      </c>
      <c r="E884" t="inlineStr">
        <is>
          <t>HÄSSLEHOLM</t>
        </is>
      </c>
      <c r="G884" t="n">
        <v>2.7</v>
      </c>
      <c r="H884" t="n">
        <v>0</v>
      </c>
      <c r="I884" t="n">
        <v>0</v>
      </c>
      <c r="J884" t="n">
        <v>0</v>
      </c>
      <c r="K884" t="n">
        <v>0</v>
      </c>
      <c r="L884" t="n">
        <v>0</v>
      </c>
      <c r="M884" t="n">
        <v>0</v>
      </c>
      <c r="N884" t="n">
        <v>0</v>
      </c>
      <c r="O884" t="n">
        <v>0</v>
      </c>
      <c r="P884" t="n">
        <v>0</v>
      </c>
      <c r="Q884" t="n">
        <v>0</v>
      </c>
      <c r="R884" s="2" t="inlineStr"/>
    </row>
    <row r="885" ht="15" customHeight="1">
      <c r="A885" t="inlineStr">
        <is>
          <t>A 37764-2022</t>
        </is>
      </c>
      <c r="B885" s="1" t="n">
        <v>44810</v>
      </c>
      <c r="C885" s="1" t="n">
        <v>45930</v>
      </c>
      <c r="D885" t="inlineStr">
        <is>
          <t>SKÅNE LÄN</t>
        </is>
      </c>
      <c r="E885" t="inlineStr">
        <is>
          <t>HÄSSLEHOLM</t>
        </is>
      </c>
      <c r="F885" t="inlineStr">
        <is>
          <t>Kyrkan</t>
        </is>
      </c>
      <c r="G885" t="n">
        <v>9.4</v>
      </c>
      <c r="H885" t="n">
        <v>0</v>
      </c>
      <c r="I885" t="n">
        <v>0</v>
      </c>
      <c r="J885" t="n">
        <v>0</v>
      </c>
      <c r="K885" t="n">
        <v>0</v>
      </c>
      <c r="L885" t="n">
        <v>0</v>
      </c>
      <c r="M885" t="n">
        <v>0</v>
      </c>
      <c r="N885" t="n">
        <v>0</v>
      </c>
      <c r="O885" t="n">
        <v>0</v>
      </c>
      <c r="P885" t="n">
        <v>0</v>
      </c>
      <c r="Q885" t="n">
        <v>0</v>
      </c>
      <c r="R885" s="2" t="inlineStr"/>
    </row>
    <row r="886" ht="15" customHeight="1">
      <c r="A886" t="inlineStr">
        <is>
          <t>A 15133-2023</t>
        </is>
      </c>
      <c r="B886" s="1" t="n">
        <v>45016</v>
      </c>
      <c r="C886" s="1" t="n">
        <v>45930</v>
      </c>
      <c r="D886" t="inlineStr">
        <is>
          <t>SKÅNE LÄN</t>
        </is>
      </c>
      <c r="E886" t="inlineStr">
        <is>
          <t>HÄSSLEHOLM</t>
        </is>
      </c>
      <c r="G886" t="n">
        <v>7.8</v>
      </c>
      <c r="H886" t="n">
        <v>0</v>
      </c>
      <c r="I886" t="n">
        <v>0</v>
      </c>
      <c r="J886" t="n">
        <v>0</v>
      </c>
      <c r="K886" t="n">
        <v>0</v>
      </c>
      <c r="L886" t="n">
        <v>0</v>
      </c>
      <c r="M886" t="n">
        <v>0</v>
      </c>
      <c r="N886" t="n">
        <v>0</v>
      </c>
      <c r="O886" t="n">
        <v>0</v>
      </c>
      <c r="P886" t="n">
        <v>0</v>
      </c>
      <c r="Q886" t="n">
        <v>0</v>
      </c>
      <c r="R886" s="2" t="inlineStr"/>
    </row>
    <row r="887" ht="15" customHeight="1">
      <c r="A887" t="inlineStr">
        <is>
          <t>A 37486-2024</t>
        </is>
      </c>
      <c r="B887" s="1" t="n">
        <v>45541</v>
      </c>
      <c r="C887" s="1" t="n">
        <v>45930</v>
      </c>
      <c r="D887" t="inlineStr">
        <is>
          <t>SKÅNE LÄN</t>
        </is>
      </c>
      <c r="E887" t="inlineStr">
        <is>
          <t>HÄSSLEHOLM</t>
        </is>
      </c>
      <c r="G887" t="n">
        <v>8.5</v>
      </c>
      <c r="H887" t="n">
        <v>0</v>
      </c>
      <c r="I887" t="n">
        <v>0</v>
      </c>
      <c r="J887" t="n">
        <v>0</v>
      </c>
      <c r="K887" t="n">
        <v>0</v>
      </c>
      <c r="L887" t="n">
        <v>0</v>
      </c>
      <c r="M887" t="n">
        <v>0</v>
      </c>
      <c r="N887" t="n">
        <v>0</v>
      </c>
      <c r="O887" t="n">
        <v>0</v>
      </c>
      <c r="P887" t="n">
        <v>0</v>
      </c>
      <c r="Q887" t="n">
        <v>0</v>
      </c>
      <c r="R887" s="2" t="inlineStr"/>
    </row>
    <row r="888" ht="15" customHeight="1">
      <c r="A888" t="inlineStr">
        <is>
          <t>A 44838-2023</t>
        </is>
      </c>
      <c r="B888" s="1" t="n">
        <v>45190</v>
      </c>
      <c r="C888" s="1" t="n">
        <v>45930</v>
      </c>
      <c r="D888" t="inlineStr">
        <is>
          <t>SKÅNE LÄN</t>
        </is>
      </c>
      <c r="E888" t="inlineStr">
        <is>
          <t>HÄSSLEHOLM</t>
        </is>
      </c>
      <c r="F888" t="inlineStr">
        <is>
          <t>Kommuner</t>
        </is>
      </c>
      <c r="G888" t="n">
        <v>2</v>
      </c>
      <c r="H888" t="n">
        <v>0</v>
      </c>
      <c r="I888" t="n">
        <v>0</v>
      </c>
      <c r="J888" t="n">
        <v>0</v>
      </c>
      <c r="K888" t="n">
        <v>0</v>
      </c>
      <c r="L888" t="n">
        <v>0</v>
      </c>
      <c r="M888" t="n">
        <v>0</v>
      </c>
      <c r="N888" t="n">
        <v>0</v>
      </c>
      <c r="O888" t="n">
        <v>0</v>
      </c>
      <c r="P888" t="n">
        <v>0</v>
      </c>
      <c r="Q888" t="n">
        <v>0</v>
      </c>
      <c r="R888" s="2" t="inlineStr"/>
    </row>
    <row r="889" ht="15" customHeight="1">
      <c r="A889" t="inlineStr">
        <is>
          <t>A 15053-2023</t>
        </is>
      </c>
      <c r="B889" s="1" t="n">
        <v>45015</v>
      </c>
      <c r="C889" s="1" t="n">
        <v>45930</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49389-2020</t>
        </is>
      </c>
      <c r="B890" s="1" t="n">
        <v>44105</v>
      </c>
      <c r="C890" s="1" t="n">
        <v>45930</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23857-2024</t>
        </is>
      </c>
      <c r="B891" s="1" t="n">
        <v>45455</v>
      </c>
      <c r="C891" s="1" t="n">
        <v>45930</v>
      </c>
      <c r="D891" t="inlineStr">
        <is>
          <t>SKÅNE LÄN</t>
        </is>
      </c>
      <c r="E891" t="inlineStr">
        <is>
          <t>HÄSSLEHOLM</t>
        </is>
      </c>
      <c r="G891" t="n">
        <v>3</v>
      </c>
      <c r="H891" t="n">
        <v>0</v>
      </c>
      <c r="I891" t="n">
        <v>0</v>
      </c>
      <c r="J891" t="n">
        <v>0</v>
      </c>
      <c r="K891" t="n">
        <v>0</v>
      </c>
      <c r="L891" t="n">
        <v>0</v>
      </c>
      <c r="M891" t="n">
        <v>0</v>
      </c>
      <c r="N891" t="n">
        <v>0</v>
      </c>
      <c r="O891" t="n">
        <v>0</v>
      </c>
      <c r="P891" t="n">
        <v>0</v>
      </c>
      <c r="Q891" t="n">
        <v>0</v>
      </c>
      <c r="R891" s="2" t="inlineStr"/>
    </row>
    <row r="892" ht="15" customHeight="1">
      <c r="A892" t="inlineStr">
        <is>
          <t>A 35644-2023</t>
        </is>
      </c>
      <c r="B892" s="1" t="n">
        <v>45147</v>
      </c>
      <c r="C892" s="1" t="n">
        <v>45930</v>
      </c>
      <c r="D892" t="inlineStr">
        <is>
          <t>SKÅNE LÄN</t>
        </is>
      </c>
      <c r="E892" t="inlineStr">
        <is>
          <t>HÄSSLEHOLM</t>
        </is>
      </c>
      <c r="G892" t="n">
        <v>0.9</v>
      </c>
      <c r="H892" t="n">
        <v>0</v>
      </c>
      <c r="I892" t="n">
        <v>0</v>
      </c>
      <c r="J892" t="n">
        <v>0</v>
      </c>
      <c r="K892" t="n">
        <v>0</v>
      </c>
      <c r="L892" t="n">
        <v>0</v>
      </c>
      <c r="M892" t="n">
        <v>0</v>
      </c>
      <c r="N892" t="n">
        <v>0</v>
      </c>
      <c r="O892" t="n">
        <v>0</v>
      </c>
      <c r="P892" t="n">
        <v>0</v>
      </c>
      <c r="Q892" t="n">
        <v>0</v>
      </c>
      <c r="R892" s="2" t="inlineStr"/>
    </row>
    <row r="893" ht="15" customHeight="1">
      <c r="A893" t="inlineStr">
        <is>
          <t>A 46185-2022</t>
        </is>
      </c>
      <c r="B893" s="1" t="n">
        <v>44847</v>
      </c>
      <c r="C893" s="1" t="n">
        <v>45930</v>
      </c>
      <c r="D893" t="inlineStr">
        <is>
          <t>SKÅNE LÄN</t>
        </is>
      </c>
      <c r="E893" t="inlineStr">
        <is>
          <t>HÄSSLEHOLM</t>
        </is>
      </c>
      <c r="G893" t="n">
        <v>16.8</v>
      </c>
      <c r="H893" t="n">
        <v>0</v>
      </c>
      <c r="I893" t="n">
        <v>0</v>
      </c>
      <c r="J893" t="n">
        <v>0</v>
      </c>
      <c r="K893" t="n">
        <v>0</v>
      </c>
      <c r="L893" t="n">
        <v>0</v>
      </c>
      <c r="M893" t="n">
        <v>0</v>
      </c>
      <c r="N893" t="n">
        <v>0</v>
      </c>
      <c r="O893" t="n">
        <v>0</v>
      </c>
      <c r="P893" t="n">
        <v>0</v>
      </c>
      <c r="Q893" t="n">
        <v>0</v>
      </c>
      <c r="R893" s="2" t="inlineStr"/>
    </row>
    <row r="894" ht="15" customHeight="1">
      <c r="A894" t="inlineStr">
        <is>
          <t>A 8433-2024</t>
        </is>
      </c>
      <c r="B894" s="1" t="n">
        <v>45353.48434027778</v>
      </c>
      <c r="C894" s="1" t="n">
        <v>45930</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62055-2023</t>
        </is>
      </c>
      <c r="B895" s="1" t="n">
        <v>45266.70287037037</v>
      </c>
      <c r="C895" s="1" t="n">
        <v>45930</v>
      </c>
      <c r="D895" t="inlineStr">
        <is>
          <t>SKÅNE LÄN</t>
        </is>
      </c>
      <c r="E895" t="inlineStr">
        <is>
          <t>HÄSSLEHOLM</t>
        </is>
      </c>
      <c r="G895" t="n">
        <v>5.2</v>
      </c>
      <c r="H895" t="n">
        <v>0</v>
      </c>
      <c r="I895" t="n">
        <v>0</v>
      </c>
      <c r="J895" t="n">
        <v>0</v>
      </c>
      <c r="K895" t="n">
        <v>0</v>
      </c>
      <c r="L895" t="n">
        <v>0</v>
      </c>
      <c r="M895" t="n">
        <v>0</v>
      </c>
      <c r="N895" t="n">
        <v>0</v>
      </c>
      <c r="O895" t="n">
        <v>0</v>
      </c>
      <c r="P895" t="n">
        <v>0</v>
      </c>
      <c r="Q895" t="n">
        <v>0</v>
      </c>
      <c r="R895" s="2" t="inlineStr"/>
    </row>
    <row r="896" ht="15" customHeight="1">
      <c r="A896" t="inlineStr">
        <is>
          <t>A 15072-2024</t>
        </is>
      </c>
      <c r="B896" s="1" t="n">
        <v>45399.5996875</v>
      </c>
      <c r="C896" s="1" t="n">
        <v>45930</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16930-2024</t>
        </is>
      </c>
      <c r="B897" s="1" t="n">
        <v>45411</v>
      </c>
      <c r="C897" s="1" t="n">
        <v>45930</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11262-2025</t>
        </is>
      </c>
      <c r="B898" s="1" t="n">
        <v>45726</v>
      </c>
      <c r="C898" s="1" t="n">
        <v>45930</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5395-2024</t>
        </is>
      </c>
      <c r="B899" s="1" t="n">
        <v>45331</v>
      </c>
      <c r="C899" s="1" t="n">
        <v>45930</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56069-2024</t>
        </is>
      </c>
      <c r="B900" s="1" t="n">
        <v>45624.38006944444</v>
      </c>
      <c r="C900" s="1" t="n">
        <v>45930</v>
      </c>
      <c r="D900" t="inlineStr">
        <is>
          <t>SKÅNE LÄN</t>
        </is>
      </c>
      <c r="E900" t="inlineStr">
        <is>
          <t>HÄSSLEHOLM</t>
        </is>
      </c>
      <c r="F900" t="inlineStr">
        <is>
          <t>Övriga Aktiebolag</t>
        </is>
      </c>
      <c r="G900" t="n">
        <v>2.3</v>
      </c>
      <c r="H900" t="n">
        <v>0</v>
      </c>
      <c r="I900" t="n">
        <v>0</v>
      </c>
      <c r="J900" t="n">
        <v>0</v>
      </c>
      <c r="K900" t="n">
        <v>0</v>
      </c>
      <c r="L900" t="n">
        <v>0</v>
      </c>
      <c r="M900" t="n">
        <v>0</v>
      </c>
      <c r="N900" t="n">
        <v>0</v>
      </c>
      <c r="O900" t="n">
        <v>0</v>
      </c>
      <c r="P900" t="n">
        <v>0</v>
      </c>
      <c r="Q900" t="n">
        <v>0</v>
      </c>
      <c r="R900" s="2" t="inlineStr"/>
    </row>
    <row r="901" ht="15" customHeight="1">
      <c r="A901" t="inlineStr">
        <is>
          <t>A 60797-2024</t>
        </is>
      </c>
      <c r="B901" s="1" t="n">
        <v>45644</v>
      </c>
      <c r="C901" s="1" t="n">
        <v>45930</v>
      </c>
      <c r="D901" t="inlineStr">
        <is>
          <t>SKÅNE LÄN</t>
        </is>
      </c>
      <c r="E901" t="inlineStr">
        <is>
          <t>HÄSSLEHOLM</t>
        </is>
      </c>
      <c r="G901" t="n">
        <v>3.4</v>
      </c>
      <c r="H901" t="n">
        <v>0</v>
      </c>
      <c r="I901" t="n">
        <v>0</v>
      </c>
      <c r="J901" t="n">
        <v>0</v>
      </c>
      <c r="K901" t="n">
        <v>0</v>
      </c>
      <c r="L901" t="n">
        <v>0</v>
      </c>
      <c r="M901" t="n">
        <v>0</v>
      </c>
      <c r="N901" t="n">
        <v>0</v>
      </c>
      <c r="O901" t="n">
        <v>0</v>
      </c>
      <c r="P901" t="n">
        <v>0</v>
      </c>
      <c r="Q901" t="n">
        <v>0</v>
      </c>
      <c r="R901" s="2" t="inlineStr"/>
    </row>
    <row r="902" ht="15" customHeight="1">
      <c r="A902" t="inlineStr">
        <is>
          <t>A 24034-2025</t>
        </is>
      </c>
      <c r="B902" s="1" t="n">
        <v>45796.48251157408</v>
      </c>
      <c r="C902" s="1" t="n">
        <v>45930</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13555-2025</t>
        </is>
      </c>
      <c r="B903" s="1" t="n">
        <v>45736</v>
      </c>
      <c r="C903" s="1" t="n">
        <v>45930</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28632-2024</t>
        </is>
      </c>
      <c r="B904" s="1" t="n">
        <v>45478</v>
      </c>
      <c r="C904" s="1" t="n">
        <v>45930</v>
      </c>
      <c r="D904" t="inlineStr">
        <is>
          <t>SKÅNE LÄN</t>
        </is>
      </c>
      <c r="E904" t="inlineStr">
        <is>
          <t>HÄSSLEHOLM</t>
        </is>
      </c>
      <c r="G904" t="n">
        <v>4</v>
      </c>
      <c r="H904" t="n">
        <v>0</v>
      </c>
      <c r="I904" t="n">
        <v>0</v>
      </c>
      <c r="J904" t="n">
        <v>0</v>
      </c>
      <c r="K904" t="n">
        <v>0</v>
      </c>
      <c r="L904" t="n">
        <v>0</v>
      </c>
      <c r="M904" t="n">
        <v>0</v>
      </c>
      <c r="N904" t="n">
        <v>0</v>
      </c>
      <c r="O904" t="n">
        <v>0</v>
      </c>
      <c r="P904" t="n">
        <v>0</v>
      </c>
      <c r="Q904" t="n">
        <v>0</v>
      </c>
      <c r="R904" s="2" t="inlineStr"/>
    </row>
    <row r="905" ht="15" customHeight="1">
      <c r="A905" t="inlineStr">
        <is>
          <t>A 28599-2024</t>
        </is>
      </c>
      <c r="B905" s="1" t="n">
        <v>45478.4247800926</v>
      </c>
      <c r="C905" s="1" t="n">
        <v>45930</v>
      </c>
      <c r="D905" t="inlineStr">
        <is>
          <t>SKÅNE LÄN</t>
        </is>
      </c>
      <c r="E905" t="inlineStr">
        <is>
          <t>HÄSSLEHOLM</t>
        </is>
      </c>
      <c r="G905" t="n">
        <v>8.6</v>
      </c>
      <c r="H905" t="n">
        <v>0</v>
      </c>
      <c r="I905" t="n">
        <v>0</v>
      </c>
      <c r="J905" t="n">
        <v>0</v>
      </c>
      <c r="K905" t="n">
        <v>0</v>
      </c>
      <c r="L905" t="n">
        <v>0</v>
      </c>
      <c r="M905" t="n">
        <v>0</v>
      </c>
      <c r="N905" t="n">
        <v>0</v>
      </c>
      <c r="O905" t="n">
        <v>0</v>
      </c>
      <c r="P905" t="n">
        <v>0</v>
      </c>
      <c r="Q905" t="n">
        <v>0</v>
      </c>
      <c r="R905" s="2" t="inlineStr"/>
    </row>
    <row r="906" ht="15" customHeight="1">
      <c r="A906" t="inlineStr">
        <is>
          <t>A 24039-2025</t>
        </is>
      </c>
      <c r="B906" s="1" t="n">
        <v>45796.48675925926</v>
      </c>
      <c r="C906" s="1" t="n">
        <v>45930</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6596-2021</t>
        </is>
      </c>
      <c r="B907" s="1" t="n">
        <v>44236</v>
      </c>
      <c r="C907" s="1" t="n">
        <v>45930</v>
      </c>
      <c r="D907" t="inlineStr">
        <is>
          <t>SKÅNE LÄN</t>
        </is>
      </c>
      <c r="E907" t="inlineStr">
        <is>
          <t>HÄSSLEHOLM</t>
        </is>
      </c>
      <c r="G907" t="n">
        <v>2</v>
      </c>
      <c r="H907" t="n">
        <v>0</v>
      </c>
      <c r="I907" t="n">
        <v>0</v>
      </c>
      <c r="J907" t="n">
        <v>0</v>
      </c>
      <c r="K907" t="n">
        <v>0</v>
      </c>
      <c r="L907" t="n">
        <v>0</v>
      </c>
      <c r="M907" t="n">
        <v>0</v>
      </c>
      <c r="N907" t="n">
        <v>0</v>
      </c>
      <c r="O907" t="n">
        <v>0</v>
      </c>
      <c r="P907" t="n">
        <v>0</v>
      </c>
      <c r="Q907" t="n">
        <v>0</v>
      </c>
      <c r="R907" s="2" t="inlineStr"/>
    </row>
    <row r="908" ht="15" customHeight="1">
      <c r="A908" t="inlineStr">
        <is>
          <t>A 7681-2025</t>
        </is>
      </c>
      <c r="B908" s="1" t="n">
        <v>45706.36758101852</v>
      </c>
      <c r="C908" s="1" t="n">
        <v>45930</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35712-2024</t>
        </is>
      </c>
      <c r="B909" s="1" t="n">
        <v>45532</v>
      </c>
      <c r="C909" s="1" t="n">
        <v>45930</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24032-2025</t>
        </is>
      </c>
      <c r="B910" s="1" t="n">
        <v>45796.478125</v>
      </c>
      <c r="C910" s="1" t="n">
        <v>45930</v>
      </c>
      <c r="D910" t="inlineStr">
        <is>
          <t>SKÅNE LÄN</t>
        </is>
      </c>
      <c r="E910" t="inlineStr">
        <is>
          <t>HÄSSLEHOLM</t>
        </is>
      </c>
      <c r="G910" t="n">
        <v>2.2</v>
      </c>
      <c r="H910" t="n">
        <v>0</v>
      </c>
      <c r="I910" t="n">
        <v>0</v>
      </c>
      <c r="J910" t="n">
        <v>0</v>
      </c>
      <c r="K910" t="n">
        <v>0</v>
      </c>
      <c r="L910" t="n">
        <v>0</v>
      </c>
      <c r="M910" t="n">
        <v>0</v>
      </c>
      <c r="N910" t="n">
        <v>0</v>
      </c>
      <c r="O910" t="n">
        <v>0</v>
      </c>
      <c r="P910" t="n">
        <v>0</v>
      </c>
      <c r="Q910" t="n">
        <v>0</v>
      </c>
      <c r="R910" s="2" t="inlineStr"/>
    </row>
    <row r="911" ht="15" customHeight="1">
      <c r="A911" t="inlineStr">
        <is>
          <t>A 33466-2024</t>
        </is>
      </c>
      <c r="B911" s="1" t="n">
        <v>45519</v>
      </c>
      <c r="C911" s="1" t="n">
        <v>45930</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26397-2023</t>
        </is>
      </c>
      <c r="B912" s="1" t="n">
        <v>45087</v>
      </c>
      <c r="C912" s="1" t="n">
        <v>45930</v>
      </c>
      <c r="D912" t="inlineStr">
        <is>
          <t>SKÅNE LÄN</t>
        </is>
      </c>
      <c r="E912" t="inlineStr">
        <is>
          <t>HÄSSLEHOLM</t>
        </is>
      </c>
      <c r="G912" t="n">
        <v>1.7</v>
      </c>
      <c r="H912" t="n">
        <v>0</v>
      </c>
      <c r="I912" t="n">
        <v>0</v>
      </c>
      <c r="J912" t="n">
        <v>0</v>
      </c>
      <c r="K912" t="n">
        <v>0</v>
      </c>
      <c r="L912" t="n">
        <v>0</v>
      </c>
      <c r="M912" t="n">
        <v>0</v>
      </c>
      <c r="N912" t="n">
        <v>0</v>
      </c>
      <c r="O912" t="n">
        <v>0</v>
      </c>
      <c r="P912" t="n">
        <v>0</v>
      </c>
      <c r="Q912" t="n">
        <v>0</v>
      </c>
      <c r="R912" s="2" t="inlineStr"/>
    </row>
    <row r="913" ht="15" customHeight="1">
      <c r="A913" t="inlineStr">
        <is>
          <t>A 27175-2024</t>
        </is>
      </c>
      <c r="B913" s="1" t="n">
        <v>45471.57111111111</v>
      </c>
      <c r="C913" s="1" t="n">
        <v>45930</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5252-2025</t>
        </is>
      </c>
      <c r="B914" s="1" t="n">
        <v>45692.3449537037</v>
      </c>
      <c r="C914" s="1" t="n">
        <v>45930</v>
      </c>
      <c r="D914" t="inlineStr">
        <is>
          <t>SKÅNE LÄN</t>
        </is>
      </c>
      <c r="E914" t="inlineStr">
        <is>
          <t>HÄSSLEHOLM</t>
        </is>
      </c>
      <c r="G914" t="n">
        <v>2.1</v>
      </c>
      <c r="H914" t="n">
        <v>0</v>
      </c>
      <c r="I914" t="n">
        <v>0</v>
      </c>
      <c r="J914" t="n">
        <v>0</v>
      </c>
      <c r="K914" t="n">
        <v>0</v>
      </c>
      <c r="L914" t="n">
        <v>0</v>
      </c>
      <c r="M914" t="n">
        <v>0</v>
      </c>
      <c r="N914" t="n">
        <v>0</v>
      </c>
      <c r="O914" t="n">
        <v>0</v>
      </c>
      <c r="P914" t="n">
        <v>0</v>
      </c>
      <c r="Q914" t="n">
        <v>0</v>
      </c>
      <c r="R914" s="2" t="inlineStr"/>
    </row>
    <row r="915" ht="15" customHeight="1">
      <c r="A915" t="inlineStr">
        <is>
          <t>A 1197-2024</t>
        </is>
      </c>
      <c r="B915" s="1" t="n">
        <v>45302</v>
      </c>
      <c r="C915" s="1" t="n">
        <v>45930</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48097-2024</t>
        </is>
      </c>
      <c r="B916" s="1" t="n">
        <v>45589.61413194444</v>
      </c>
      <c r="C916" s="1" t="n">
        <v>45930</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24047-2025</t>
        </is>
      </c>
      <c r="B917" s="1" t="n">
        <v>45796.49528935185</v>
      </c>
      <c r="C917" s="1" t="n">
        <v>45930</v>
      </c>
      <c r="D917" t="inlineStr">
        <is>
          <t>SKÅNE LÄN</t>
        </is>
      </c>
      <c r="E917" t="inlineStr">
        <is>
          <t>HÄSSLEHOLM</t>
        </is>
      </c>
      <c r="G917" t="n">
        <v>1.1</v>
      </c>
      <c r="H917" t="n">
        <v>0</v>
      </c>
      <c r="I917" t="n">
        <v>0</v>
      </c>
      <c r="J917" t="n">
        <v>0</v>
      </c>
      <c r="K917" t="n">
        <v>0</v>
      </c>
      <c r="L917" t="n">
        <v>0</v>
      </c>
      <c r="M917" t="n">
        <v>0</v>
      </c>
      <c r="N917" t="n">
        <v>0</v>
      </c>
      <c r="O917" t="n">
        <v>0</v>
      </c>
      <c r="P917" t="n">
        <v>0</v>
      </c>
      <c r="Q917" t="n">
        <v>0</v>
      </c>
      <c r="R917" s="2" t="inlineStr"/>
    </row>
    <row r="918" ht="15" customHeight="1">
      <c r="A918" t="inlineStr">
        <is>
          <t>A 60789-2024</t>
        </is>
      </c>
      <c r="B918" s="1" t="n">
        <v>45644</v>
      </c>
      <c r="C918" s="1" t="n">
        <v>45930</v>
      </c>
      <c r="D918" t="inlineStr">
        <is>
          <t>SKÅNE LÄN</t>
        </is>
      </c>
      <c r="E918" t="inlineStr">
        <is>
          <t>HÄSSLEHOLM</t>
        </is>
      </c>
      <c r="G918" t="n">
        <v>3</v>
      </c>
      <c r="H918" t="n">
        <v>0</v>
      </c>
      <c r="I918" t="n">
        <v>0</v>
      </c>
      <c r="J918" t="n">
        <v>0</v>
      </c>
      <c r="K918" t="n">
        <v>0</v>
      </c>
      <c r="L918" t="n">
        <v>0</v>
      </c>
      <c r="M918" t="n">
        <v>0</v>
      </c>
      <c r="N918" t="n">
        <v>0</v>
      </c>
      <c r="O918" t="n">
        <v>0</v>
      </c>
      <c r="P918" t="n">
        <v>0</v>
      </c>
      <c r="Q918" t="n">
        <v>0</v>
      </c>
      <c r="R918" s="2" t="inlineStr"/>
    </row>
    <row r="919" ht="15" customHeight="1">
      <c r="A919" t="inlineStr">
        <is>
          <t>A 53077-2022</t>
        </is>
      </c>
      <c r="B919" s="1" t="n">
        <v>44873</v>
      </c>
      <c r="C919" s="1" t="n">
        <v>45930</v>
      </c>
      <c r="D919" t="inlineStr">
        <is>
          <t>SKÅNE LÄN</t>
        </is>
      </c>
      <c r="E919" t="inlineStr">
        <is>
          <t>HÄSSLEHOLM</t>
        </is>
      </c>
      <c r="G919" t="n">
        <v>3</v>
      </c>
      <c r="H919" t="n">
        <v>0</v>
      </c>
      <c r="I919" t="n">
        <v>0</v>
      </c>
      <c r="J919" t="n">
        <v>0</v>
      </c>
      <c r="K919" t="n">
        <v>0</v>
      </c>
      <c r="L919" t="n">
        <v>0</v>
      </c>
      <c r="M919" t="n">
        <v>0</v>
      </c>
      <c r="N919" t="n">
        <v>0</v>
      </c>
      <c r="O919" t="n">
        <v>0</v>
      </c>
      <c r="P919" t="n">
        <v>0</v>
      </c>
      <c r="Q919" t="n">
        <v>0</v>
      </c>
      <c r="R919" s="2" t="inlineStr"/>
    </row>
    <row r="920" ht="15" customHeight="1">
      <c r="A920" t="inlineStr">
        <is>
          <t>A 24029-2025</t>
        </is>
      </c>
      <c r="B920" s="1" t="n">
        <v>45796.47552083333</v>
      </c>
      <c r="C920" s="1" t="n">
        <v>45930</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24675-2025</t>
        </is>
      </c>
      <c r="B921" s="1" t="n">
        <v>45798.653125</v>
      </c>
      <c r="C921" s="1" t="n">
        <v>45930</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10562-2025</t>
        </is>
      </c>
      <c r="B922" s="1" t="n">
        <v>45721.52913194444</v>
      </c>
      <c r="C922" s="1" t="n">
        <v>45930</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19020-2024</t>
        </is>
      </c>
      <c r="B923" s="1" t="n">
        <v>45427.66167824074</v>
      </c>
      <c r="C923" s="1" t="n">
        <v>45930</v>
      </c>
      <c r="D923" t="inlineStr">
        <is>
          <t>SKÅNE LÄN</t>
        </is>
      </c>
      <c r="E923" t="inlineStr">
        <is>
          <t>HÄSSLEHOLM</t>
        </is>
      </c>
      <c r="G923" t="n">
        <v>2.3</v>
      </c>
      <c r="H923" t="n">
        <v>0</v>
      </c>
      <c r="I923" t="n">
        <v>0</v>
      </c>
      <c r="J923" t="n">
        <v>0</v>
      </c>
      <c r="K923" t="n">
        <v>0</v>
      </c>
      <c r="L923" t="n">
        <v>0</v>
      </c>
      <c r="M923" t="n">
        <v>0</v>
      </c>
      <c r="N923" t="n">
        <v>0</v>
      </c>
      <c r="O923" t="n">
        <v>0</v>
      </c>
      <c r="P923" t="n">
        <v>0</v>
      </c>
      <c r="Q923" t="n">
        <v>0</v>
      </c>
      <c r="R923" s="2" t="inlineStr"/>
    </row>
    <row r="924" ht="15" customHeight="1">
      <c r="A924" t="inlineStr">
        <is>
          <t>A 52912-2022</t>
        </is>
      </c>
      <c r="B924" s="1" t="n">
        <v>44872</v>
      </c>
      <c r="C924" s="1" t="n">
        <v>45930</v>
      </c>
      <c r="D924" t="inlineStr">
        <is>
          <t>SKÅNE LÄN</t>
        </is>
      </c>
      <c r="E924" t="inlineStr">
        <is>
          <t>HÄSSLEHOLM</t>
        </is>
      </c>
      <c r="G924" t="n">
        <v>4.7</v>
      </c>
      <c r="H924" t="n">
        <v>0</v>
      </c>
      <c r="I924" t="n">
        <v>0</v>
      </c>
      <c r="J924" t="n">
        <v>0</v>
      </c>
      <c r="K924" t="n">
        <v>0</v>
      </c>
      <c r="L924" t="n">
        <v>0</v>
      </c>
      <c r="M924" t="n">
        <v>0</v>
      </c>
      <c r="N924" t="n">
        <v>0</v>
      </c>
      <c r="O924" t="n">
        <v>0</v>
      </c>
      <c r="P924" t="n">
        <v>0</v>
      </c>
      <c r="Q924" t="n">
        <v>0</v>
      </c>
      <c r="R924" s="2" t="inlineStr"/>
    </row>
    <row r="925" ht="15" customHeight="1">
      <c r="A925" t="inlineStr">
        <is>
          <t>A 24640-2023</t>
        </is>
      </c>
      <c r="B925" s="1" t="n">
        <v>45084.43181712963</v>
      </c>
      <c r="C925" s="1" t="n">
        <v>45930</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22535-2024</t>
        </is>
      </c>
      <c r="B926" s="1" t="n">
        <v>45447</v>
      </c>
      <c r="C926" s="1" t="n">
        <v>45930</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30007-2023</t>
        </is>
      </c>
      <c r="B927" s="1" t="n">
        <v>45109.80349537037</v>
      </c>
      <c r="C927" s="1" t="n">
        <v>45930</v>
      </c>
      <c r="D927" t="inlineStr">
        <is>
          <t>SKÅNE LÄN</t>
        </is>
      </c>
      <c r="E927" t="inlineStr">
        <is>
          <t>HÄSSLEHOLM</t>
        </is>
      </c>
      <c r="G927" t="n">
        <v>2.2</v>
      </c>
      <c r="H927" t="n">
        <v>0</v>
      </c>
      <c r="I927" t="n">
        <v>0</v>
      </c>
      <c r="J927" t="n">
        <v>0</v>
      </c>
      <c r="K927" t="n">
        <v>0</v>
      </c>
      <c r="L927" t="n">
        <v>0</v>
      </c>
      <c r="M927" t="n">
        <v>0</v>
      </c>
      <c r="N927" t="n">
        <v>0</v>
      </c>
      <c r="O927" t="n">
        <v>0</v>
      </c>
      <c r="P927" t="n">
        <v>0</v>
      </c>
      <c r="Q927" t="n">
        <v>0</v>
      </c>
      <c r="R927" s="2" t="inlineStr"/>
    </row>
    <row r="928" ht="15" customHeight="1">
      <c r="A928" t="inlineStr">
        <is>
          <t>A 32512-2024</t>
        </is>
      </c>
      <c r="B928" s="1" t="n">
        <v>45513.45613425926</v>
      </c>
      <c r="C928" s="1" t="n">
        <v>45930</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26403-2024</t>
        </is>
      </c>
      <c r="B929" s="1" t="n">
        <v>45469.44505787037</v>
      </c>
      <c r="C929" s="1" t="n">
        <v>45930</v>
      </c>
      <c r="D929" t="inlineStr">
        <is>
          <t>SKÅNE LÄN</t>
        </is>
      </c>
      <c r="E929" t="inlineStr">
        <is>
          <t>HÄSSLEHOLM</t>
        </is>
      </c>
      <c r="G929" t="n">
        <v>2.6</v>
      </c>
      <c r="H929" t="n">
        <v>0</v>
      </c>
      <c r="I929" t="n">
        <v>0</v>
      </c>
      <c r="J929" t="n">
        <v>0</v>
      </c>
      <c r="K929" t="n">
        <v>0</v>
      </c>
      <c r="L929" t="n">
        <v>0</v>
      </c>
      <c r="M929" t="n">
        <v>0</v>
      </c>
      <c r="N929" t="n">
        <v>0</v>
      </c>
      <c r="O929" t="n">
        <v>0</v>
      </c>
      <c r="P929" t="n">
        <v>0</v>
      </c>
      <c r="Q929" t="n">
        <v>0</v>
      </c>
      <c r="R929" s="2" t="inlineStr"/>
    </row>
    <row r="930" ht="15" customHeight="1">
      <c r="A930" t="inlineStr">
        <is>
          <t>A 55522-2024</t>
        </is>
      </c>
      <c r="B930" s="1" t="n">
        <v>45622</v>
      </c>
      <c r="C930" s="1" t="n">
        <v>45930</v>
      </c>
      <c r="D930" t="inlineStr">
        <is>
          <t>SKÅNE LÄN</t>
        </is>
      </c>
      <c r="E930" t="inlineStr">
        <is>
          <t>HÄSSLEHOLM</t>
        </is>
      </c>
      <c r="G930" t="n">
        <v>5.6</v>
      </c>
      <c r="H930" t="n">
        <v>0</v>
      </c>
      <c r="I930" t="n">
        <v>0</v>
      </c>
      <c r="J930" t="n">
        <v>0</v>
      </c>
      <c r="K930" t="n">
        <v>0</v>
      </c>
      <c r="L930" t="n">
        <v>0</v>
      </c>
      <c r="M930" t="n">
        <v>0</v>
      </c>
      <c r="N930" t="n">
        <v>0</v>
      </c>
      <c r="O930" t="n">
        <v>0</v>
      </c>
      <c r="P930" t="n">
        <v>0</v>
      </c>
      <c r="Q930" t="n">
        <v>0</v>
      </c>
      <c r="R930" s="2" t="inlineStr"/>
    </row>
    <row r="931" ht="15" customHeight="1">
      <c r="A931" t="inlineStr">
        <is>
          <t>A 1289-2024</t>
        </is>
      </c>
      <c r="B931" s="1" t="n">
        <v>45303.32234953704</v>
      </c>
      <c r="C931" s="1" t="n">
        <v>45930</v>
      </c>
      <c r="D931" t="inlineStr">
        <is>
          <t>SKÅNE LÄN</t>
        </is>
      </c>
      <c r="E931" t="inlineStr">
        <is>
          <t>HÄSSLEHOLM</t>
        </is>
      </c>
      <c r="G931" t="n">
        <v>4.6</v>
      </c>
      <c r="H931" t="n">
        <v>0</v>
      </c>
      <c r="I931" t="n">
        <v>0</v>
      </c>
      <c r="J931" t="n">
        <v>0</v>
      </c>
      <c r="K931" t="n">
        <v>0</v>
      </c>
      <c r="L931" t="n">
        <v>0</v>
      </c>
      <c r="M931" t="n">
        <v>0</v>
      </c>
      <c r="N931" t="n">
        <v>0</v>
      </c>
      <c r="O931" t="n">
        <v>0</v>
      </c>
      <c r="P931" t="n">
        <v>0</v>
      </c>
      <c r="Q931" t="n">
        <v>0</v>
      </c>
      <c r="R931" s="2" t="inlineStr"/>
    </row>
    <row r="932" ht="15" customHeight="1">
      <c r="A932" t="inlineStr">
        <is>
          <t>A 11715-2023</t>
        </is>
      </c>
      <c r="B932" s="1" t="n">
        <v>44992</v>
      </c>
      <c r="C932" s="1" t="n">
        <v>45930</v>
      </c>
      <c r="D932" t="inlineStr">
        <is>
          <t>SKÅNE LÄN</t>
        </is>
      </c>
      <c r="E932" t="inlineStr">
        <is>
          <t>HÄSSLEHOLM</t>
        </is>
      </c>
      <c r="F932" t="inlineStr">
        <is>
          <t>Övriga Aktiebolag</t>
        </is>
      </c>
      <c r="G932" t="n">
        <v>2</v>
      </c>
      <c r="H932" t="n">
        <v>0</v>
      </c>
      <c r="I932" t="n">
        <v>0</v>
      </c>
      <c r="J932" t="n">
        <v>0</v>
      </c>
      <c r="K932" t="n">
        <v>0</v>
      </c>
      <c r="L932" t="n">
        <v>0</v>
      </c>
      <c r="M932" t="n">
        <v>0</v>
      </c>
      <c r="N932" t="n">
        <v>0</v>
      </c>
      <c r="O932" t="n">
        <v>0</v>
      </c>
      <c r="P932" t="n">
        <v>0</v>
      </c>
      <c r="Q932" t="n">
        <v>0</v>
      </c>
      <c r="R932" s="2" t="inlineStr"/>
    </row>
    <row r="933" ht="15" customHeight="1">
      <c r="A933" t="inlineStr">
        <is>
          <t>A 5242-2025</t>
        </is>
      </c>
      <c r="B933" s="1" t="n">
        <v>45692.32883101852</v>
      </c>
      <c r="C933" s="1" t="n">
        <v>45930</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25606-2024</t>
        </is>
      </c>
      <c r="B934" s="1" t="n">
        <v>45463.63179398148</v>
      </c>
      <c r="C934" s="1" t="n">
        <v>45930</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1538-2024</t>
        </is>
      </c>
      <c r="B935" s="1" t="n">
        <v>45306</v>
      </c>
      <c r="C935" s="1" t="n">
        <v>45930</v>
      </c>
      <c r="D935" t="inlineStr">
        <is>
          <t>SKÅNE LÄN</t>
        </is>
      </c>
      <c r="E935" t="inlineStr">
        <is>
          <t>HÄSSLEHOLM</t>
        </is>
      </c>
      <c r="G935" t="n">
        <v>4.8</v>
      </c>
      <c r="H935" t="n">
        <v>0</v>
      </c>
      <c r="I935" t="n">
        <v>0</v>
      </c>
      <c r="J935" t="n">
        <v>0</v>
      </c>
      <c r="K935" t="n">
        <v>0</v>
      </c>
      <c r="L935" t="n">
        <v>0</v>
      </c>
      <c r="M935" t="n">
        <v>0</v>
      </c>
      <c r="N935" t="n">
        <v>0</v>
      </c>
      <c r="O935" t="n">
        <v>0</v>
      </c>
      <c r="P935" t="n">
        <v>0</v>
      </c>
      <c r="Q935" t="n">
        <v>0</v>
      </c>
      <c r="R935" s="2" t="inlineStr"/>
    </row>
    <row r="936" ht="15" customHeight="1">
      <c r="A936" t="inlineStr">
        <is>
          <t>A 42735-2024</t>
        </is>
      </c>
      <c r="B936" s="1" t="n">
        <v>45566.47274305556</v>
      </c>
      <c r="C936" s="1" t="n">
        <v>45930</v>
      </c>
      <c r="D936" t="inlineStr">
        <is>
          <t>SKÅNE LÄN</t>
        </is>
      </c>
      <c r="E936" t="inlineStr">
        <is>
          <t>HÄSSLEHOLM</t>
        </is>
      </c>
      <c r="G936" t="n">
        <v>3.7</v>
      </c>
      <c r="H936" t="n">
        <v>0</v>
      </c>
      <c r="I936" t="n">
        <v>0</v>
      </c>
      <c r="J936" t="n">
        <v>0</v>
      </c>
      <c r="K936" t="n">
        <v>0</v>
      </c>
      <c r="L936" t="n">
        <v>0</v>
      </c>
      <c r="M936" t="n">
        <v>0</v>
      </c>
      <c r="N936" t="n">
        <v>0</v>
      </c>
      <c r="O936" t="n">
        <v>0</v>
      </c>
      <c r="P936" t="n">
        <v>0</v>
      </c>
      <c r="Q936" t="n">
        <v>0</v>
      </c>
      <c r="R936" s="2" t="inlineStr"/>
    </row>
    <row r="937" ht="15" customHeight="1">
      <c r="A937" t="inlineStr">
        <is>
          <t>A 24658-2025</t>
        </is>
      </c>
      <c r="B937" s="1" t="n">
        <v>45798.64134259259</v>
      </c>
      <c r="C937" s="1" t="n">
        <v>45930</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25533-2024</t>
        </is>
      </c>
      <c r="B938" s="1" t="n">
        <v>45463</v>
      </c>
      <c r="C938" s="1" t="n">
        <v>45930</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24250-2025</t>
        </is>
      </c>
      <c r="B939" s="1" t="n">
        <v>45797.40260416667</v>
      </c>
      <c r="C939" s="1" t="n">
        <v>45930</v>
      </c>
      <c r="D939" t="inlineStr">
        <is>
          <t>SKÅNE LÄN</t>
        </is>
      </c>
      <c r="E939" t="inlineStr">
        <is>
          <t>HÄSSLEHOLM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31934-2024</t>
        </is>
      </c>
      <c r="B940" s="1" t="n">
        <v>45510.41177083334</v>
      </c>
      <c r="C940" s="1" t="n">
        <v>45930</v>
      </c>
      <c r="D940" t="inlineStr">
        <is>
          <t>SKÅNE LÄN</t>
        </is>
      </c>
      <c r="E940" t="inlineStr">
        <is>
          <t>HÄSSLEHOLM</t>
        </is>
      </c>
      <c r="G940" t="n">
        <v>1.9</v>
      </c>
      <c r="H940" t="n">
        <v>0</v>
      </c>
      <c r="I940" t="n">
        <v>0</v>
      </c>
      <c r="J940" t="n">
        <v>0</v>
      </c>
      <c r="K940" t="n">
        <v>0</v>
      </c>
      <c r="L940" t="n">
        <v>0</v>
      </c>
      <c r="M940" t="n">
        <v>0</v>
      </c>
      <c r="N940" t="n">
        <v>0</v>
      </c>
      <c r="O940" t="n">
        <v>0</v>
      </c>
      <c r="P940" t="n">
        <v>0</v>
      </c>
      <c r="Q940" t="n">
        <v>0</v>
      </c>
      <c r="R940" s="2" t="inlineStr"/>
    </row>
    <row r="941" ht="15" customHeight="1">
      <c r="A941" t="inlineStr">
        <is>
          <t>A 29847-2024</t>
        </is>
      </c>
      <c r="B941" s="1" t="n">
        <v>45485.6278587963</v>
      </c>
      <c r="C941" s="1" t="n">
        <v>45930</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32826-2024</t>
        </is>
      </c>
      <c r="B942" s="1" t="n">
        <v>45516.59056712963</v>
      </c>
      <c r="C942" s="1" t="n">
        <v>45930</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7653-2024</t>
        </is>
      </c>
      <c r="B943" s="1" t="n">
        <v>45348.69043981482</v>
      </c>
      <c r="C943" s="1" t="n">
        <v>45930</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24985-2025</t>
        </is>
      </c>
      <c r="B944" s="1" t="n">
        <v>45799.60256944445</v>
      </c>
      <c r="C944" s="1" t="n">
        <v>45930</v>
      </c>
      <c r="D944" t="inlineStr">
        <is>
          <t>SKÅNE LÄN</t>
        </is>
      </c>
      <c r="E944" t="inlineStr">
        <is>
          <t>HÄSSLEHOLM</t>
        </is>
      </c>
      <c r="G944" t="n">
        <v>2.3</v>
      </c>
      <c r="H944" t="n">
        <v>0</v>
      </c>
      <c r="I944" t="n">
        <v>0</v>
      </c>
      <c r="J944" t="n">
        <v>0</v>
      </c>
      <c r="K944" t="n">
        <v>0</v>
      </c>
      <c r="L944" t="n">
        <v>0</v>
      </c>
      <c r="M944" t="n">
        <v>0</v>
      </c>
      <c r="N944" t="n">
        <v>0</v>
      </c>
      <c r="O944" t="n">
        <v>0</v>
      </c>
      <c r="P944" t="n">
        <v>0</v>
      </c>
      <c r="Q944" t="n">
        <v>0</v>
      </c>
      <c r="R944" s="2" t="inlineStr"/>
    </row>
    <row r="945" ht="15" customHeight="1">
      <c r="A945" t="inlineStr">
        <is>
          <t>A 27837-2024</t>
        </is>
      </c>
      <c r="B945" s="1" t="n">
        <v>45475</v>
      </c>
      <c r="C945" s="1" t="n">
        <v>45930</v>
      </c>
      <c r="D945" t="inlineStr">
        <is>
          <t>SKÅNE LÄN</t>
        </is>
      </c>
      <c r="E945" t="inlineStr">
        <is>
          <t>HÄSSLEHOLM</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29659-2024</t>
        </is>
      </c>
      <c r="B946" s="1" t="n">
        <v>45484.92587962963</v>
      </c>
      <c r="C946" s="1" t="n">
        <v>45930</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49865-2020</t>
        </is>
      </c>
      <c r="B947" s="1" t="n">
        <v>44107</v>
      </c>
      <c r="C947" s="1" t="n">
        <v>45930</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1679-2022</t>
        </is>
      </c>
      <c r="B948" s="1" t="n">
        <v>44573</v>
      </c>
      <c r="C948" s="1" t="n">
        <v>45930</v>
      </c>
      <c r="D948" t="inlineStr">
        <is>
          <t>SKÅNE LÄN</t>
        </is>
      </c>
      <c r="E948" t="inlineStr">
        <is>
          <t>HÄSSLEHOLM</t>
        </is>
      </c>
      <c r="F948" t="inlineStr">
        <is>
          <t>Kyrkan</t>
        </is>
      </c>
      <c r="G948" t="n">
        <v>4.3</v>
      </c>
      <c r="H948" t="n">
        <v>0</v>
      </c>
      <c r="I948" t="n">
        <v>0</v>
      </c>
      <c r="J948" t="n">
        <v>0</v>
      </c>
      <c r="K948" t="n">
        <v>0</v>
      </c>
      <c r="L948" t="n">
        <v>0</v>
      </c>
      <c r="M948" t="n">
        <v>0</v>
      </c>
      <c r="N948" t="n">
        <v>0</v>
      </c>
      <c r="O948" t="n">
        <v>0</v>
      </c>
      <c r="P948" t="n">
        <v>0</v>
      </c>
      <c r="Q948" t="n">
        <v>0</v>
      </c>
      <c r="R948" s="2" t="inlineStr"/>
    </row>
    <row r="949" ht="15" customHeight="1">
      <c r="A949" t="inlineStr">
        <is>
          <t>A 9668-2025</t>
        </is>
      </c>
      <c r="B949" s="1" t="n">
        <v>45716.3278587963</v>
      </c>
      <c r="C949" s="1" t="n">
        <v>45930</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259-2024</t>
        </is>
      </c>
      <c r="B950" s="1" t="n">
        <v>45294</v>
      </c>
      <c r="C950" s="1" t="n">
        <v>45930</v>
      </c>
      <c r="D950" t="inlineStr">
        <is>
          <t>SKÅNE LÄN</t>
        </is>
      </c>
      <c r="E950" t="inlineStr">
        <is>
          <t>HÄSSLEHOLM</t>
        </is>
      </c>
      <c r="G950" t="n">
        <v>8</v>
      </c>
      <c r="H950" t="n">
        <v>0</v>
      </c>
      <c r="I950" t="n">
        <v>0</v>
      </c>
      <c r="J950" t="n">
        <v>0</v>
      </c>
      <c r="K950" t="n">
        <v>0</v>
      </c>
      <c r="L950" t="n">
        <v>0</v>
      </c>
      <c r="M950" t="n">
        <v>0</v>
      </c>
      <c r="N950" t="n">
        <v>0</v>
      </c>
      <c r="O950" t="n">
        <v>0</v>
      </c>
      <c r="P950" t="n">
        <v>0</v>
      </c>
      <c r="Q950" t="n">
        <v>0</v>
      </c>
      <c r="R950" s="2" t="inlineStr"/>
    </row>
    <row r="951" ht="15" customHeight="1">
      <c r="A951" t="inlineStr">
        <is>
          <t>A 24776-2025</t>
        </is>
      </c>
      <c r="B951" s="1" t="n">
        <v>45799.40640046296</v>
      </c>
      <c r="C951" s="1" t="n">
        <v>45930</v>
      </c>
      <c r="D951" t="inlineStr">
        <is>
          <t>SKÅNE LÄN</t>
        </is>
      </c>
      <c r="E951" t="inlineStr">
        <is>
          <t>HÄSSLEHOLM</t>
        </is>
      </c>
      <c r="G951" t="n">
        <v>5.4</v>
      </c>
      <c r="H951" t="n">
        <v>0</v>
      </c>
      <c r="I951" t="n">
        <v>0</v>
      </c>
      <c r="J951" t="n">
        <v>0</v>
      </c>
      <c r="K951" t="n">
        <v>0</v>
      </c>
      <c r="L951" t="n">
        <v>0</v>
      </c>
      <c r="M951" t="n">
        <v>0</v>
      </c>
      <c r="N951" t="n">
        <v>0</v>
      </c>
      <c r="O951" t="n">
        <v>0</v>
      </c>
      <c r="P951" t="n">
        <v>0</v>
      </c>
      <c r="Q951" t="n">
        <v>0</v>
      </c>
      <c r="R951" s="2" t="inlineStr"/>
    </row>
    <row r="952" ht="15" customHeight="1">
      <c r="A952" t="inlineStr">
        <is>
          <t>A 25372-2025</t>
        </is>
      </c>
      <c r="B952" s="1" t="n">
        <v>45799</v>
      </c>
      <c r="C952" s="1" t="n">
        <v>45930</v>
      </c>
      <c r="D952" t="inlineStr">
        <is>
          <t>SKÅNE LÄN</t>
        </is>
      </c>
      <c r="E952" t="inlineStr">
        <is>
          <t>HÄSSLEHOLM</t>
        </is>
      </c>
      <c r="G952" t="n">
        <v>3.1</v>
      </c>
      <c r="H952" t="n">
        <v>0</v>
      </c>
      <c r="I952" t="n">
        <v>0</v>
      </c>
      <c r="J952" t="n">
        <v>0</v>
      </c>
      <c r="K952" t="n">
        <v>0</v>
      </c>
      <c r="L952" t="n">
        <v>0</v>
      </c>
      <c r="M952" t="n">
        <v>0</v>
      </c>
      <c r="N952" t="n">
        <v>0</v>
      </c>
      <c r="O952" t="n">
        <v>0</v>
      </c>
      <c r="P952" t="n">
        <v>0</v>
      </c>
      <c r="Q952" t="n">
        <v>0</v>
      </c>
      <c r="R952" s="2" t="inlineStr"/>
    </row>
    <row r="953" ht="15" customHeight="1">
      <c r="A953" t="inlineStr">
        <is>
          <t>A 9399-2025</t>
        </is>
      </c>
      <c r="B953" s="1" t="n">
        <v>45715.37861111111</v>
      </c>
      <c r="C953" s="1" t="n">
        <v>45930</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9678-2025</t>
        </is>
      </c>
      <c r="B954" s="1" t="n">
        <v>45716.34403935185</v>
      </c>
      <c r="C954" s="1" t="n">
        <v>45930</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51565-2023</t>
        </is>
      </c>
      <c r="B955" s="1" t="n">
        <v>45222</v>
      </c>
      <c r="C955" s="1" t="n">
        <v>45930</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25430-2025</t>
        </is>
      </c>
      <c r="B956" s="1" t="n">
        <v>45800.78212962963</v>
      </c>
      <c r="C956" s="1" t="n">
        <v>45930</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11470-2025</t>
        </is>
      </c>
      <c r="B957" s="1" t="n">
        <v>45726</v>
      </c>
      <c r="C957" s="1" t="n">
        <v>45930</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25615-2025</t>
        </is>
      </c>
      <c r="B958" s="1" t="n">
        <v>45803</v>
      </c>
      <c r="C958" s="1" t="n">
        <v>45930</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25431-2025</t>
        </is>
      </c>
      <c r="B959" s="1" t="n">
        <v>45800.78340277778</v>
      </c>
      <c r="C959" s="1" t="n">
        <v>45930</v>
      </c>
      <c r="D959" t="inlineStr">
        <is>
          <t>SKÅNE LÄN</t>
        </is>
      </c>
      <c r="E959" t="inlineStr">
        <is>
          <t>HÄSSLEHOLM</t>
        </is>
      </c>
      <c r="G959" t="n">
        <v>0.7</v>
      </c>
      <c r="H959" t="n">
        <v>0</v>
      </c>
      <c r="I959" t="n">
        <v>0</v>
      </c>
      <c r="J959" t="n">
        <v>0</v>
      </c>
      <c r="K959" t="n">
        <v>0</v>
      </c>
      <c r="L959" t="n">
        <v>0</v>
      </c>
      <c r="M959" t="n">
        <v>0</v>
      </c>
      <c r="N959" t="n">
        <v>0</v>
      </c>
      <c r="O959" t="n">
        <v>0</v>
      </c>
      <c r="P959" t="n">
        <v>0</v>
      </c>
      <c r="Q959" t="n">
        <v>0</v>
      </c>
      <c r="R959" s="2" t="inlineStr"/>
    </row>
    <row r="960" ht="15" customHeight="1">
      <c r="A960" t="inlineStr">
        <is>
          <t>A 25432-2025</t>
        </is>
      </c>
      <c r="B960" s="1" t="n">
        <v>45800.7847800926</v>
      </c>
      <c r="C960" s="1" t="n">
        <v>45930</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11412-2025</t>
        </is>
      </c>
      <c r="B961" s="1" t="n">
        <v>45726</v>
      </c>
      <c r="C961" s="1" t="n">
        <v>45930</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11466-2025</t>
        </is>
      </c>
      <c r="B962" s="1" t="n">
        <v>45726</v>
      </c>
      <c r="C962" s="1" t="n">
        <v>45930</v>
      </c>
      <c r="D962" t="inlineStr">
        <is>
          <t>SKÅNE LÄN</t>
        </is>
      </c>
      <c r="E962" t="inlineStr">
        <is>
          <t>HÄSSLEHOLM</t>
        </is>
      </c>
      <c r="G962" t="n">
        <v>3.2</v>
      </c>
      <c r="H962" t="n">
        <v>0</v>
      </c>
      <c r="I962" t="n">
        <v>0</v>
      </c>
      <c r="J962" t="n">
        <v>0</v>
      </c>
      <c r="K962" t="n">
        <v>0</v>
      </c>
      <c r="L962" t="n">
        <v>0</v>
      </c>
      <c r="M962" t="n">
        <v>0</v>
      </c>
      <c r="N962" t="n">
        <v>0</v>
      </c>
      <c r="O962" t="n">
        <v>0</v>
      </c>
      <c r="P962" t="n">
        <v>0</v>
      </c>
      <c r="Q962" t="n">
        <v>0</v>
      </c>
      <c r="R962" s="2" t="inlineStr"/>
    </row>
    <row r="963" ht="15" customHeight="1">
      <c r="A963" t="inlineStr">
        <is>
          <t>A 26232-2025</t>
        </is>
      </c>
      <c r="B963" s="1" t="n">
        <v>45805.56642361111</v>
      </c>
      <c r="C963" s="1" t="n">
        <v>45930</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12570-2023</t>
        </is>
      </c>
      <c r="B964" s="1" t="n">
        <v>44999</v>
      </c>
      <c r="C964" s="1" t="n">
        <v>45930</v>
      </c>
      <c r="D964" t="inlineStr">
        <is>
          <t>SKÅNE LÄN</t>
        </is>
      </c>
      <c r="E964" t="inlineStr">
        <is>
          <t>HÄSSLEHOLM</t>
        </is>
      </c>
      <c r="G964" t="n">
        <v>3.4</v>
      </c>
      <c r="H964" t="n">
        <v>0</v>
      </c>
      <c r="I964" t="n">
        <v>0</v>
      </c>
      <c r="J964" t="n">
        <v>0</v>
      </c>
      <c r="K964" t="n">
        <v>0</v>
      </c>
      <c r="L964" t="n">
        <v>0</v>
      </c>
      <c r="M964" t="n">
        <v>0</v>
      </c>
      <c r="N964" t="n">
        <v>0</v>
      </c>
      <c r="O964" t="n">
        <v>0</v>
      </c>
      <c r="P964" t="n">
        <v>0</v>
      </c>
      <c r="Q964" t="n">
        <v>0</v>
      </c>
      <c r="R964" s="2" t="inlineStr"/>
    </row>
    <row r="965" ht="15" customHeight="1">
      <c r="A965" t="inlineStr">
        <is>
          <t>A 14926-2024</t>
        </is>
      </c>
      <c r="B965" s="1" t="n">
        <v>45398</v>
      </c>
      <c r="C965" s="1" t="n">
        <v>45930</v>
      </c>
      <c r="D965" t="inlineStr">
        <is>
          <t>SKÅNE LÄN</t>
        </is>
      </c>
      <c r="E965" t="inlineStr">
        <is>
          <t>HÄSSLEHOLM</t>
        </is>
      </c>
      <c r="G965" t="n">
        <v>3.4</v>
      </c>
      <c r="H965" t="n">
        <v>0</v>
      </c>
      <c r="I965" t="n">
        <v>0</v>
      </c>
      <c r="J965" t="n">
        <v>0</v>
      </c>
      <c r="K965" t="n">
        <v>0</v>
      </c>
      <c r="L965" t="n">
        <v>0</v>
      </c>
      <c r="M965" t="n">
        <v>0</v>
      </c>
      <c r="N965" t="n">
        <v>0</v>
      </c>
      <c r="O965" t="n">
        <v>0</v>
      </c>
      <c r="P965" t="n">
        <v>0</v>
      </c>
      <c r="Q965" t="n">
        <v>0</v>
      </c>
      <c r="R965" s="2" t="inlineStr"/>
    </row>
    <row r="966" ht="15" customHeight="1">
      <c r="A966" t="inlineStr">
        <is>
          <t>A 2688-2024</t>
        </is>
      </c>
      <c r="B966" s="1" t="n">
        <v>45314</v>
      </c>
      <c r="C966" s="1" t="n">
        <v>45930</v>
      </c>
      <c r="D966" t="inlineStr">
        <is>
          <t>SKÅNE LÄN</t>
        </is>
      </c>
      <c r="E966" t="inlineStr">
        <is>
          <t>HÄSSLEHOLM</t>
        </is>
      </c>
      <c r="F966" t="inlineStr">
        <is>
          <t>Övriga Aktiebolag</t>
        </is>
      </c>
      <c r="G966" t="n">
        <v>2.8</v>
      </c>
      <c r="H966" t="n">
        <v>0</v>
      </c>
      <c r="I966" t="n">
        <v>0</v>
      </c>
      <c r="J966" t="n">
        <v>0</v>
      </c>
      <c r="K966" t="n">
        <v>0</v>
      </c>
      <c r="L966" t="n">
        <v>0</v>
      </c>
      <c r="M966" t="n">
        <v>0</v>
      </c>
      <c r="N966" t="n">
        <v>0</v>
      </c>
      <c r="O966" t="n">
        <v>0</v>
      </c>
      <c r="P966" t="n">
        <v>0</v>
      </c>
      <c r="Q966" t="n">
        <v>0</v>
      </c>
      <c r="R966" s="2" t="inlineStr"/>
    </row>
    <row r="967" ht="15" customHeight="1">
      <c r="A967" t="inlineStr">
        <is>
          <t>A 36733-2023</t>
        </is>
      </c>
      <c r="B967" s="1" t="n">
        <v>45153.69989583334</v>
      </c>
      <c r="C967" s="1" t="n">
        <v>45930</v>
      </c>
      <c r="D967" t="inlineStr">
        <is>
          <t>SKÅNE LÄN</t>
        </is>
      </c>
      <c r="E967" t="inlineStr">
        <is>
          <t>HÄSSLEHOLM</t>
        </is>
      </c>
      <c r="G967" t="n">
        <v>4.8</v>
      </c>
      <c r="H967" t="n">
        <v>0</v>
      </c>
      <c r="I967" t="n">
        <v>0</v>
      </c>
      <c r="J967" t="n">
        <v>0</v>
      </c>
      <c r="K967" t="n">
        <v>0</v>
      </c>
      <c r="L967" t="n">
        <v>0</v>
      </c>
      <c r="M967" t="n">
        <v>0</v>
      </c>
      <c r="N967" t="n">
        <v>0</v>
      </c>
      <c r="O967" t="n">
        <v>0</v>
      </c>
      <c r="P967" t="n">
        <v>0</v>
      </c>
      <c r="Q967" t="n">
        <v>0</v>
      </c>
      <c r="R967" s="2" t="inlineStr"/>
    </row>
    <row r="968" ht="15" customHeight="1">
      <c r="A968" t="inlineStr">
        <is>
          <t>A 26244-2025</t>
        </is>
      </c>
      <c r="B968" s="1" t="n">
        <v>45805.57364583333</v>
      </c>
      <c r="C968" s="1" t="n">
        <v>45930</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8244-2023</t>
        </is>
      </c>
      <c r="B969" s="1" t="n">
        <v>44974</v>
      </c>
      <c r="C969" s="1" t="n">
        <v>45930</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8246-2023</t>
        </is>
      </c>
      <c r="B970" s="1" t="n">
        <v>44974</v>
      </c>
      <c r="C970" s="1" t="n">
        <v>45930</v>
      </c>
      <c r="D970" t="inlineStr">
        <is>
          <t>SKÅNE LÄN</t>
        </is>
      </c>
      <c r="E970" t="inlineStr">
        <is>
          <t>HÄSSLEHOLM</t>
        </is>
      </c>
      <c r="G970" t="n">
        <v>1.6</v>
      </c>
      <c r="H970" t="n">
        <v>0</v>
      </c>
      <c r="I970" t="n">
        <v>0</v>
      </c>
      <c r="J970" t="n">
        <v>0</v>
      </c>
      <c r="K970" t="n">
        <v>0</v>
      </c>
      <c r="L970" t="n">
        <v>0</v>
      </c>
      <c r="M970" t="n">
        <v>0</v>
      </c>
      <c r="N970" t="n">
        <v>0</v>
      </c>
      <c r="O970" t="n">
        <v>0</v>
      </c>
      <c r="P970" t="n">
        <v>0</v>
      </c>
      <c r="Q970" t="n">
        <v>0</v>
      </c>
      <c r="R970" s="2" t="inlineStr"/>
    </row>
    <row r="971" ht="15" customHeight="1">
      <c r="A971" t="inlineStr">
        <is>
          <t>A 38358-2024</t>
        </is>
      </c>
      <c r="B971" s="1" t="n">
        <v>45545.79068287037</v>
      </c>
      <c r="C971" s="1" t="n">
        <v>45930</v>
      </c>
      <c r="D971" t="inlineStr">
        <is>
          <t>SKÅNE LÄN</t>
        </is>
      </c>
      <c r="E971" t="inlineStr">
        <is>
          <t>HÄSSLEHOLM</t>
        </is>
      </c>
      <c r="G971" t="n">
        <v>9</v>
      </c>
      <c r="H971" t="n">
        <v>0</v>
      </c>
      <c r="I971" t="n">
        <v>0</v>
      </c>
      <c r="J971" t="n">
        <v>0</v>
      </c>
      <c r="K971" t="n">
        <v>0</v>
      </c>
      <c r="L971" t="n">
        <v>0</v>
      </c>
      <c r="M971" t="n">
        <v>0</v>
      </c>
      <c r="N971" t="n">
        <v>0</v>
      </c>
      <c r="O971" t="n">
        <v>0</v>
      </c>
      <c r="P971" t="n">
        <v>0</v>
      </c>
      <c r="Q971" t="n">
        <v>0</v>
      </c>
      <c r="R971" s="2" t="inlineStr"/>
    </row>
    <row r="972" ht="15" customHeight="1">
      <c r="A972" t="inlineStr">
        <is>
          <t>A 34834-2023</t>
        </is>
      </c>
      <c r="B972" s="1" t="n">
        <v>45141.7199537037</v>
      </c>
      <c r="C972" s="1" t="n">
        <v>45930</v>
      </c>
      <c r="D972" t="inlineStr">
        <is>
          <t>SKÅNE LÄN</t>
        </is>
      </c>
      <c r="E972" t="inlineStr">
        <is>
          <t>HÄSSLEHOLM</t>
        </is>
      </c>
      <c r="G972" t="n">
        <v>1</v>
      </c>
      <c r="H972" t="n">
        <v>0</v>
      </c>
      <c r="I972" t="n">
        <v>0</v>
      </c>
      <c r="J972" t="n">
        <v>0</v>
      </c>
      <c r="K972" t="n">
        <v>0</v>
      </c>
      <c r="L972" t="n">
        <v>0</v>
      </c>
      <c r="M972" t="n">
        <v>0</v>
      </c>
      <c r="N972" t="n">
        <v>0</v>
      </c>
      <c r="O972" t="n">
        <v>0</v>
      </c>
      <c r="P972" t="n">
        <v>0</v>
      </c>
      <c r="Q972" t="n">
        <v>0</v>
      </c>
      <c r="R972" s="2" t="inlineStr"/>
    </row>
    <row r="973" ht="15" customHeight="1">
      <c r="A973" t="inlineStr">
        <is>
          <t>A 24679-2023</t>
        </is>
      </c>
      <c r="B973" s="1" t="n">
        <v>45084</v>
      </c>
      <c r="C973" s="1" t="n">
        <v>45930</v>
      </c>
      <c r="D973" t="inlineStr">
        <is>
          <t>SKÅNE LÄN</t>
        </is>
      </c>
      <c r="E973" t="inlineStr">
        <is>
          <t>HÄSSLEHOLM</t>
        </is>
      </c>
      <c r="G973" t="n">
        <v>7.1</v>
      </c>
      <c r="H973" t="n">
        <v>0</v>
      </c>
      <c r="I973" t="n">
        <v>0</v>
      </c>
      <c r="J973" t="n">
        <v>0</v>
      </c>
      <c r="K973" t="n">
        <v>0</v>
      </c>
      <c r="L973" t="n">
        <v>0</v>
      </c>
      <c r="M973" t="n">
        <v>0</v>
      </c>
      <c r="N973" t="n">
        <v>0</v>
      </c>
      <c r="O973" t="n">
        <v>0</v>
      </c>
      <c r="P973" t="n">
        <v>0</v>
      </c>
      <c r="Q973" t="n">
        <v>0</v>
      </c>
      <c r="R973" s="2" t="inlineStr"/>
    </row>
    <row r="974" ht="15" customHeight="1">
      <c r="A974" t="inlineStr">
        <is>
          <t>A 49824-2024</t>
        </is>
      </c>
      <c r="B974" s="1" t="n">
        <v>45597</v>
      </c>
      <c r="C974" s="1" t="n">
        <v>45930</v>
      </c>
      <c r="D974" t="inlineStr">
        <is>
          <t>SKÅNE LÄN</t>
        </is>
      </c>
      <c r="E974" t="inlineStr">
        <is>
          <t>HÄSSLEHOLM</t>
        </is>
      </c>
      <c r="G974" t="n">
        <v>1.3</v>
      </c>
      <c r="H974" t="n">
        <v>0</v>
      </c>
      <c r="I974" t="n">
        <v>0</v>
      </c>
      <c r="J974" t="n">
        <v>0</v>
      </c>
      <c r="K974" t="n">
        <v>0</v>
      </c>
      <c r="L974" t="n">
        <v>0</v>
      </c>
      <c r="M974" t="n">
        <v>0</v>
      </c>
      <c r="N974" t="n">
        <v>0</v>
      </c>
      <c r="O974" t="n">
        <v>0</v>
      </c>
      <c r="P974" t="n">
        <v>0</v>
      </c>
      <c r="Q974" t="n">
        <v>0</v>
      </c>
      <c r="R974" s="2" t="inlineStr"/>
    </row>
    <row r="975" ht="15" customHeight="1">
      <c r="A975" t="inlineStr">
        <is>
          <t>A 15508-2023</t>
        </is>
      </c>
      <c r="B975" s="1" t="n">
        <v>45020.50045138889</v>
      </c>
      <c r="C975" s="1" t="n">
        <v>45930</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34187-2023</t>
        </is>
      </c>
      <c r="B976" s="1" t="n">
        <v>45138</v>
      </c>
      <c r="C976" s="1" t="n">
        <v>45930</v>
      </c>
      <c r="D976" t="inlineStr">
        <is>
          <t>SKÅNE LÄN</t>
        </is>
      </c>
      <c r="E976" t="inlineStr">
        <is>
          <t>HÄSSLEHOLM</t>
        </is>
      </c>
      <c r="G976" t="n">
        <v>0.4</v>
      </c>
      <c r="H976" t="n">
        <v>0</v>
      </c>
      <c r="I976" t="n">
        <v>0</v>
      </c>
      <c r="J976" t="n">
        <v>0</v>
      </c>
      <c r="K976" t="n">
        <v>0</v>
      </c>
      <c r="L976" t="n">
        <v>0</v>
      </c>
      <c r="M976" t="n">
        <v>0</v>
      </c>
      <c r="N976" t="n">
        <v>0</v>
      </c>
      <c r="O976" t="n">
        <v>0</v>
      </c>
      <c r="P976" t="n">
        <v>0</v>
      </c>
      <c r="Q976" t="n">
        <v>0</v>
      </c>
      <c r="R976" s="2" t="inlineStr"/>
    </row>
    <row r="977" ht="15" customHeight="1">
      <c r="A977" t="inlineStr">
        <is>
          <t>A 11019-2025</t>
        </is>
      </c>
      <c r="B977" s="1" t="n">
        <v>45723</v>
      </c>
      <c r="C977" s="1" t="n">
        <v>45930</v>
      </c>
      <c r="D977" t="inlineStr">
        <is>
          <t>SKÅNE LÄN</t>
        </is>
      </c>
      <c r="E977" t="inlineStr">
        <is>
          <t>HÄSSLEHOLM</t>
        </is>
      </c>
      <c r="G977" t="n">
        <v>3.2</v>
      </c>
      <c r="H977" t="n">
        <v>0</v>
      </c>
      <c r="I977" t="n">
        <v>0</v>
      </c>
      <c r="J977" t="n">
        <v>0</v>
      </c>
      <c r="K977" t="n">
        <v>0</v>
      </c>
      <c r="L977" t="n">
        <v>0</v>
      </c>
      <c r="M977" t="n">
        <v>0</v>
      </c>
      <c r="N977" t="n">
        <v>0</v>
      </c>
      <c r="O977" t="n">
        <v>0</v>
      </c>
      <c r="P977" t="n">
        <v>0</v>
      </c>
      <c r="Q977" t="n">
        <v>0</v>
      </c>
      <c r="R977" s="2" t="inlineStr"/>
    </row>
    <row r="978" ht="15" customHeight="1">
      <c r="A978" t="inlineStr">
        <is>
          <t>A 56062-2024</t>
        </is>
      </c>
      <c r="B978" s="1" t="n">
        <v>45624.37105324074</v>
      </c>
      <c r="C978" s="1" t="n">
        <v>45930</v>
      </c>
      <c r="D978" t="inlineStr">
        <is>
          <t>SKÅNE LÄN</t>
        </is>
      </c>
      <c r="E978" t="inlineStr">
        <is>
          <t>HÄSSLEHOLM</t>
        </is>
      </c>
      <c r="F978" t="inlineStr">
        <is>
          <t>Övriga Aktiebolag</t>
        </is>
      </c>
      <c r="G978" t="n">
        <v>0.6</v>
      </c>
      <c r="H978" t="n">
        <v>0</v>
      </c>
      <c r="I978" t="n">
        <v>0</v>
      </c>
      <c r="J978" t="n">
        <v>0</v>
      </c>
      <c r="K978" t="n">
        <v>0</v>
      </c>
      <c r="L978" t="n">
        <v>0</v>
      </c>
      <c r="M978" t="n">
        <v>0</v>
      </c>
      <c r="N978" t="n">
        <v>0</v>
      </c>
      <c r="O978" t="n">
        <v>0</v>
      </c>
      <c r="P978" t="n">
        <v>0</v>
      </c>
      <c r="Q978" t="n">
        <v>0</v>
      </c>
      <c r="R978" s="2" t="inlineStr"/>
    </row>
    <row r="979" ht="15" customHeight="1">
      <c r="A979" t="inlineStr">
        <is>
          <t>A 45299-2024</t>
        </is>
      </c>
      <c r="B979" s="1" t="n">
        <v>45576.40599537037</v>
      </c>
      <c r="C979" s="1" t="n">
        <v>45930</v>
      </c>
      <c r="D979" t="inlineStr">
        <is>
          <t>SKÅNE LÄN</t>
        </is>
      </c>
      <c r="E979" t="inlineStr">
        <is>
          <t>HÄSSLEHOLM</t>
        </is>
      </c>
      <c r="G979" t="n">
        <v>1.3</v>
      </c>
      <c r="H979" t="n">
        <v>0</v>
      </c>
      <c r="I979" t="n">
        <v>0</v>
      </c>
      <c r="J979" t="n">
        <v>0</v>
      </c>
      <c r="K979" t="n">
        <v>0</v>
      </c>
      <c r="L979" t="n">
        <v>0</v>
      </c>
      <c r="M979" t="n">
        <v>0</v>
      </c>
      <c r="N979" t="n">
        <v>0</v>
      </c>
      <c r="O979" t="n">
        <v>0</v>
      </c>
      <c r="P979" t="n">
        <v>0</v>
      </c>
      <c r="Q979" t="n">
        <v>0</v>
      </c>
      <c r="R979" s="2" t="inlineStr"/>
    </row>
    <row r="980" ht="15" customHeight="1">
      <c r="A980" t="inlineStr">
        <is>
          <t>A 34369-2023</t>
        </is>
      </c>
      <c r="B980" s="1" t="n">
        <v>45139.47817129629</v>
      </c>
      <c r="C980" s="1" t="n">
        <v>45930</v>
      </c>
      <c r="D980" t="inlineStr">
        <is>
          <t>SKÅNE LÄN</t>
        </is>
      </c>
      <c r="E980" t="inlineStr">
        <is>
          <t>HÄSSLEHOLM</t>
        </is>
      </c>
      <c r="G980" t="n">
        <v>2</v>
      </c>
      <c r="H980" t="n">
        <v>0</v>
      </c>
      <c r="I980" t="n">
        <v>0</v>
      </c>
      <c r="J980" t="n">
        <v>0</v>
      </c>
      <c r="K980" t="n">
        <v>0</v>
      </c>
      <c r="L980" t="n">
        <v>0</v>
      </c>
      <c r="M980" t="n">
        <v>0</v>
      </c>
      <c r="N980" t="n">
        <v>0</v>
      </c>
      <c r="O980" t="n">
        <v>0</v>
      </c>
      <c r="P980" t="n">
        <v>0</v>
      </c>
      <c r="Q980" t="n">
        <v>0</v>
      </c>
      <c r="R980" s="2" t="inlineStr"/>
    </row>
    <row r="981" ht="15" customHeight="1">
      <c r="A981" t="inlineStr">
        <is>
          <t>A 27297-2023</t>
        </is>
      </c>
      <c r="B981" s="1" t="n">
        <v>45096</v>
      </c>
      <c r="C981" s="1" t="n">
        <v>45930</v>
      </c>
      <c r="D981" t="inlineStr">
        <is>
          <t>SKÅNE LÄN</t>
        </is>
      </c>
      <c r="E981" t="inlineStr">
        <is>
          <t>HÄSSLEHOLM</t>
        </is>
      </c>
      <c r="G981" t="n">
        <v>1.3</v>
      </c>
      <c r="H981" t="n">
        <v>0</v>
      </c>
      <c r="I981" t="n">
        <v>0</v>
      </c>
      <c r="J981" t="n">
        <v>0</v>
      </c>
      <c r="K981" t="n">
        <v>0</v>
      </c>
      <c r="L981" t="n">
        <v>0</v>
      </c>
      <c r="M981" t="n">
        <v>0</v>
      </c>
      <c r="N981" t="n">
        <v>0</v>
      </c>
      <c r="O981" t="n">
        <v>0</v>
      </c>
      <c r="P981" t="n">
        <v>0</v>
      </c>
      <c r="Q981" t="n">
        <v>0</v>
      </c>
      <c r="R981" s="2" t="inlineStr"/>
    </row>
    <row r="982" ht="15" customHeight="1">
      <c r="A982" t="inlineStr">
        <is>
          <t>A 27349-2025</t>
        </is>
      </c>
      <c r="B982" s="1" t="n">
        <v>45812</v>
      </c>
      <c r="C982" s="1" t="n">
        <v>45930</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16368-2025</t>
        </is>
      </c>
      <c r="B983" s="1" t="n">
        <v>45751</v>
      </c>
      <c r="C983" s="1" t="n">
        <v>45930</v>
      </c>
      <c r="D983" t="inlineStr">
        <is>
          <t>SKÅNE LÄN</t>
        </is>
      </c>
      <c r="E983" t="inlineStr">
        <is>
          <t>HÄSSLEHOLM</t>
        </is>
      </c>
      <c r="G983" t="n">
        <v>5</v>
      </c>
      <c r="H983" t="n">
        <v>0</v>
      </c>
      <c r="I983" t="n">
        <v>0</v>
      </c>
      <c r="J983" t="n">
        <v>0</v>
      </c>
      <c r="K983" t="n">
        <v>0</v>
      </c>
      <c r="L983" t="n">
        <v>0</v>
      </c>
      <c r="M983" t="n">
        <v>0</v>
      </c>
      <c r="N983" t="n">
        <v>0</v>
      </c>
      <c r="O983" t="n">
        <v>0</v>
      </c>
      <c r="P983" t="n">
        <v>0</v>
      </c>
      <c r="Q983" t="n">
        <v>0</v>
      </c>
      <c r="R983" s="2" t="inlineStr"/>
    </row>
    <row r="984" ht="15" customHeight="1">
      <c r="A984" t="inlineStr">
        <is>
          <t>A 8378-2023</t>
        </is>
      </c>
      <c r="B984" s="1" t="n">
        <v>44971</v>
      </c>
      <c r="C984" s="1" t="n">
        <v>45930</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60704-2023</t>
        </is>
      </c>
      <c r="B985" s="1" t="n">
        <v>45260.51340277777</v>
      </c>
      <c r="C985" s="1" t="n">
        <v>45930</v>
      </c>
      <c r="D985" t="inlineStr">
        <is>
          <t>SKÅNE LÄN</t>
        </is>
      </c>
      <c r="E985" t="inlineStr">
        <is>
          <t>HÄSSLEHOLM</t>
        </is>
      </c>
      <c r="G985" t="n">
        <v>2.1</v>
      </c>
      <c r="H985" t="n">
        <v>0</v>
      </c>
      <c r="I985" t="n">
        <v>0</v>
      </c>
      <c r="J985" t="n">
        <v>0</v>
      </c>
      <c r="K985" t="n">
        <v>0</v>
      </c>
      <c r="L985" t="n">
        <v>0</v>
      </c>
      <c r="M985" t="n">
        <v>0</v>
      </c>
      <c r="N985" t="n">
        <v>0</v>
      </c>
      <c r="O985" t="n">
        <v>0</v>
      </c>
      <c r="P985" t="n">
        <v>0</v>
      </c>
      <c r="Q985" t="n">
        <v>0</v>
      </c>
      <c r="R985" s="2" t="inlineStr"/>
    </row>
    <row r="986" ht="15" customHeight="1">
      <c r="A986" t="inlineStr">
        <is>
          <t>A 61569-2023</t>
        </is>
      </c>
      <c r="B986" s="1" t="n">
        <v>45265</v>
      </c>
      <c r="C986" s="1" t="n">
        <v>45930</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27393-2025</t>
        </is>
      </c>
      <c r="B987" s="1" t="n">
        <v>45812.68295138889</v>
      </c>
      <c r="C987" s="1" t="n">
        <v>45930</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315-2022</t>
        </is>
      </c>
      <c r="B988" s="1" t="n">
        <v>44565.55630787037</v>
      </c>
      <c r="C988" s="1" t="n">
        <v>45930</v>
      </c>
      <c r="D988" t="inlineStr">
        <is>
          <t>SKÅNE LÄN</t>
        </is>
      </c>
      <c r="E988" t="inlineStr">
        <is>
          <t>HÄSSLEHOLM</t>
        </is>
      </c>
      <c r="G988" t="n">
        <v>0.4</v>
      </c>
      <c r="H988" t="n">
        <v>0</v>
      </c>
      <c r="I988" t="n">
        <v>0</v>
      </c>
      <c r="J988" t="n">
        <v>0</v>
      </c>
      <c r="K988" t="n">
        <v>0</v>
      </c>
      <c r="L988" t="n">
        <v>0</v>
      </c>
      <c r="M988" t="n">
        <v>0</v>
      </c>
      <c r="N988" t="n">
        <v>0</v>
      </c>
      <c r="O988" t="n">
        <v>0</v>
      </c>
      <c r="P988" t="n">
        <v>0</v>
      </c>
      <c r="Q988" t="n">
        <v>0</v>
      </c>
      <c r="R988" s="2" t="inlineStr"/>
    </row>
    <row r="989" ht="15" customHeight="1">
      <c r="A989" t="inlineStr">
        <is>
          <t>A 31161-2024</t>
        </is>
      </c>
      <c r="B989" s="1" t="n">
        <v>45503</v>
      </c>
      <c r="C989" s="1" t="n">
        <v>45930</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33067-2024</t>
        </is>
      </c>
      <c r="B990" s="1" t="n">
        <v>45517.6520949074</v>
      </c>
      <c r="C990" s="1" t="n">
        <v>45930</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38888-2023</t>
        </is>
      </c>
      <c r="B991" s="1" t="n">
        <v>45161</v>
      </c>
      <c r="C991" s="1" t="n">
        <v>45930</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28240-2025</t>
        </is>
      </c>
      <c r="B992" s="1" t="n">
        <v>45817</v>
      </c>
      <c r="C992" s="1" t="n">
        <v>45930</v>
      </c>
      <c r="D992" t="inlineStr">
        <is>
          <t>SKÅNE LÄN</t>
        </is>
      </c>
      <c r="E992" t="inlineStr">
        <is>
          <t>HÄSSLEHOLM</t>
        </is>
      </c>
      <c r="G992" t="n">
        <v>7.7</v>
      </c>
      <c r="H992" t="n">
        <v>0</v>
      </c>
      <c r="I992" t="n">
        <v>0</v>
      </c>
      <c r="J992" t="n">
        <v>0</v>
      </c>
      <c r="K992" t="n">
        <v>0</v>
      </c>
      <c r="L992" t="n">
        <v>0</v>
      </c>
      <c r="M992" t="n">
        <v>0</v>
      </c>
      <c r="N992" t="n">
        <v>0</v>
      </c>
      <c r="O992" t="n">
        <v>0</v>
      </c>
      <c r="P992" t="n">
        <v>0</v>
      </c>
      <c r="Q992" t="n">
        <v>0</v>
      </c>
      <c r="R992" s="2" t="inlineStr"/>
    </row>
    <row r="993" ht="15" customHeight="1">
      <c r="A993" t="inlineStr">
        <is>
          <t>A 28095-2025</t>
        </is>
      </c>
      <c r="B993" s="1" t="n">
        <v>45817</v>
      </c>
      <c r="C993" s="1" t="n">
        <v>45930</v>
      </c>
      <c r="D993" t="inlineStr">
        <is>
          <t>SKÅNE LÄN</t>
        </is>
      </c>
      <c r="E993" t="inlineStr">
        <is>
          <t>HÄSSLEHOLM</t>
        </is>
      </c>
      <c r="G993" t="n">
        <v>2.5</v>
      </c>
      <c r="H993" t="n">
        <v>0</v>
      </c>
      <c r="I993" t="n">
        <v>0</v>
      </c>
      <c r="J993" t="n">
        <v>0</v>
      </c>
      <c r="K993" t="n">
        <v>0</v>
      </c>
      <c r="L993" t="n">
        <v>0</v>
      </c>
      <c r="M993" t="n">
        <v>0</v>
      </c>
      <c r="N993" t="n">
        <v>0</v>
      </c>
      <c r="O993" t="n">
        <v>0</v>
      </c>
      <c r="P993" t="n">
        <v>0</v>
      </c>
      <c r="Q993" t="n">
        <v>0</v>
      </c>
      <c r="R993" s="2" t="inlineStr"/>
    </row>
    <row r="994" ht="15" customHeight="1">
      <c r="A994" t="inlineStr">
        <is>
          <t>A 5992-2022</t>
        </is>
      </c>
      <c r="B994" s="1" t="n">
        <v>44599</v>
      </c>
      <c r="C994" s="1" t="n">
        <v>45930</v>
      </c>
      <c r="D994" t="inlineStr">
        <is>
          <t>SKÅNE LÄN</t>
        </is>
      </c>
      <c r="E994" t="inlineStr">
        <is>
          <t>HÄSSLEHOLM</t>
        </is>
      </c>
      <c r="G994" t="n">
        <v>1</v>
      </c>
      <c r="H994" t="n">
        <v>0</v>
      </c>
      <c r="I994" t="n">
        <v>0</v>
      </c>
      <c r="J994" t="n">
        <v>0</v>
      </c>
      <c r="K994" t="n">
        <v>0</v>
      </c>
      <c r="L994" t="n">
        <v>0</v>
      </c>
      <c r="M994" t="n">
        <v>0</v>
      </c>
      <c r="N994" t="n">
        <v>0</v>
      </c>
      <c r="O994" t="n">
        <v>0</v>
      </c>
      <c r="P994" t="n">
        <v>0</v>
      </c>
      <c r="Q994" t="n">
        <v>0</v>
      </c>
      <c r="R994" s="2" t="inlineStr"/>
    </row>
    <row r="995" ht="15" customHeight="1">
      <c r="A995" t="inlineStr">
        <is>
          <t>A 11240-2023</t>
        </is>
      </c>
      <c r="B995" s="1" t="n">
        <v>44992</v>
      </c>
      <c r="C995" s="1" t="n">
        <v>45930</v>
      </c>
      <c r="D995" t="inlineStr">
        <is>
          <t>SKÅNE LÄN</t>
        </is>
      </c>
      <c r="E995" t="inlineStr">
        <is>
          <t>HÄSSLEHOLM</t>
        </is>
      </c>
      <c r="G995" t="n">
        <v>2.1</v>
      </c>
      <c r="H995" t="n">
        <v>0</v>
      </c>
      <c r="I995" t="n">
        <v>0</v>
      </c>
      <c r="J995" t="n">
        <v>0</v>
      </c>
      <c r="K995" t="n">
        <v>0</v>
      </c>
      <c r="L995" t="n">
        <v>0</v>
      </c>
      <c r="M995" t="n">
        <v>0</v>
      </c>
      <c r="N995" t="n">
        <v>0</v>
      </c>
      <c r="O995" t="n">
        <v>0</v>
      </c>
      <c r="P995" t="n">
        <v>0</v>
      </c>
      <c r="Q995" t="n">
        <v>0</v>
      </c>
      <c r="R995" s="2" t="inlineStr"/>
    </row>
    <row r="996" ht="15" customHeight="1">
      <c r="A996" t="inlineStr">
        <is>
          <t>A 27940-2025</t>
        </is>
      </c>
      <c r="B996" s="1" t="n">
        <v>45817.50439814815</v>
      </c>
      <c r="C996" s="1" t="n">
        <v>45930</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3248-2022</t>
        </is>
      </c>
      <c r="B997" s="1" t="n">
        <v>44583</v>
      </c>
      <c r="C997" s="1" t="n">
        <v>45930</v>
      </c>
      <c r="D997" t="inlineStr">
        <is>
          <t>SKÅNE LÄN</t>
        </is>
      </c>
      <c r="E997" t="inlineStr">
        <is>
          <t>HÄSSLEHOLM</t>
        </is>
      </c>
      <c r="G997" t="n">
        <v>3</v>
      </c>
      <c r="H997" t="n">
        <v>0</v>
      </c>
      <c r="I997" t="n">
        <v>0</v>
      </c>
      <c r="J997" t="n">
        <v>0</v>
      </c>
      <c r="K997" t="n">
        <v>0</v>
      </c>
      <c r="L997" t="n">
        <v>0</v>
      </c>
      <c r="M997" t="n">
        <v>0</v>
      </c>
      <c r="N997" t="n">
        <v>0</v>
      </c>
      <c r="O997" t="n">
        <v>0</v>
      </c>
      <c r="P997" t="n">
        <v>0</v>
      </c>
      <c r="Q997" t="n">
        <v>0</v>
      </c>
      <c r="R997" s="2" t="inlineStr"/>
    </row>
    <row r="998" ht="15" customHeight="1">
      <c r="A998" t="inlineStr">
        <is>
          <t>A 27887-2025</t>
        </is>
      </c>
      <c r="B998" s="1" t="n">
        <v>45817.45994212963</v>
      </c>
      <c r="C998" s="1" t="n">
        <v>45930</v>
      </c>
      <c r="D998" t="inlineStr">
        <is>
          <t>SKÅNE LÄN</t>
        </is>
      </c>
      <c r="E998" t="inlineStr">
        <is>
          <t>HÄSSLEHOLM</t>
        </is>
      </c>
      <c r="G998" t="n">
        <v>4.8</v>
      </c>
      <c r="H998" t="n">
        <v>0</v>
      </c>
      <c r="I998" t="n">
        <v>0</v>
      </c>
      <c r="J998" t="n">
        <v>0</v>
      </c>
      <c r="K998" t="n">
        <v>0</v>
      </c>
      <c r="L998" t="n">
        <v>0</v>
      </c>
      <c r="M998" t="n">
        <v>0</v>
      </c>
      <c r="N998" t="n">
        <v>0</v>
      </c>
      <c r="O998" t="n">
        <v>0</v>
      </c>
      <c r="P998" t="n">
        <v>0</v>
      </c>
      <c r="Q998" t="n">
        <v>0</v>
      </c>
      <c r="R998" s="2" t="inlineStr"/>
    </row>
    <row r="999" ht="15" customHeight="1">
      <c r="A999" t="inlineStr">
        <is>
          <t>A 49827-2022</t>
        </is>
      </c>
      <c r="B999" s="1" t="n">
        <v>44859</v>
      </c>
      <c r="C999" s="1" t="n">
        <v>45930</v>
      </c>
      <c r="D999" t="inlineStr">
        <is>
          <t>SKÅNE LÄN</t>
        </is>
      </c>
      <c r="E999" t="inlineStr">
        <is>
          <t>HÄSSLEHOLM</t>
        </is>
      </c>
      <c r="G999" t="n">
        <v>6.1</v>
      </c>
      <c r="H999" t="n">
        <v>0</v>
      </c>
      <c r="I999" t="n">
        <v>0</v>
      </c>
      <c r="J999" t="n">
        <v>0</v>
      </c>
      <c r="K999" t="n">
        <v>0</v>
      </c>
      <c r="L999" t="n">
        <v>0</v>
      </c>
      <c r="M999" t="n">
        <v>0</v>
      </c>
      <c r="N999" t="n">
        <v>0</v>
      </c>
      <c r="O999" t="n">
        <v>0</v>
      </c>
      <c r="P999" t="n">
        <v>0</v>
      </c>
      <c r="Q999" t="n">
        <v>0</v>
      </c>
      <c r="R999" s="2" t="inlineStr"/>
    </row>
    <row r="1000" ht="15" customHeight="1">
      <c r="A1000" t="inlineStr">
        <is>
          <t>A 28251-2025</t>
        </is>
      </c>
      <c r="B1000" s="1" t="n">
        <v>45817</v>
      </c>
      <c r="C1000" s="1" t="n">
        <v>45930</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27934-2025</t>
        </is>
      </c>
      <c r="B1001" s="1" t="n">
        <v>45817.49761574074</v>
      </c>
      <c r="C1001" s="1" t="n">
        <v>45930</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6310-2025</t>
        </is>
      </c>
      <c r="B1002" s="1" t="n">
        <v>45698</v>
      </c>
      <c r="C1002" s="1" t="n">
        <v>45930</v>
      </c>
      <c r="D1002" t="inlineStr">
        <is>
          <t>SKÅNE LÄN</t>
        </is>
      </c>
      <c r="E1002" t="inlineStr">
        <is>
          <t>HÄSSLEHOLM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28122-2025</t>
        </is>
      </c>
      <c r="B1003" s="1" t="n">
        <v>45817</v>
      </c>
      <c r="C1003" s="1" t="n">
        <v>45930</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29170-2025</t>
        </is>
      </c>
      <c r="B1004" s="1" t="n">
        <v>45821.69766203704</v>
      </c>
      <c r="C1004" s="1" t="n">
        <v>45930</v>
      </c>
      <c r="D1004" t="inlineStr">
        <is>
          <t>SKÅNE LÄN</t>
        </is>
      </c>
      <c r="E1004" t="inlineStr">
        <is>
          <t>HÄSSLEHOLM</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16474-2025</t>
        </is>
      </c>
      <c r="B1005" s="1" t="n">
        <v>45751.56834490741</v>
      </c>
      <c r="C1005" s="1" t="n">
        <v>45930</v>
      </c>
      <c r="D1005" t="inlineStr">
        <is>
          <t>SKÅNE LÄN</t>
        </is>
      </c>
      <c r="E1005" t="inlineStr">
        <is>
          <t>HÄSSLEHOLM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8524-2024</t>
        </is>
      </c>
      <c r="B1006" s="1" t="n">
        <v>45355.48570601852</v>
      </c>
      <c r="C1006" s="1" t="n">
        <v>45930</v>
      </c>
      <c r="D1006" t="inlineStr">
        <is>
          <t>SKÅNE LÄN</t>
        </is>
      </c>
      <c r="E1006" t="inlineStr">
        <is>
          <t>HÄSSLEHOLM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29168-2025</t>
        </is>
      </c>
      <c r="B1007" s="1" t="n">
        <v>45821.69547453704</v>
      </c>
      <c r="C1007" s="1" t="n">
        <v>45930</v>
      </c>
      <c r="D1007" t="inlineStr">
        <is>
          <t>SKÅNE LÄN</t>
        </is>
      </c>
      <c r="E1007" t="inlineStr">
        <is>
          <t>HÄSSLEHOLM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22157-2024</t>
        </is>
      </c>
      <c r="B1008" s="1" t="n">
        <v>45445.85290509259</v>
      </c>
      <c r="C1008" s="1" t="n">
        <v>45930</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29171-2025</t>
        </is>
      </c>
      <c r="B1009" s="1" t="n">
        <v>45821.69863425926</v>
      </c>
      <c r="C1009" s="1" t="n">
        <v>45930</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14145-2023</t>
        </is>
      </c>
      <c r="B1010" s="1" t="n">
        <v>45009</v>
      </c>
      <c r="C1010" s="1" t="n">
        <v>45930</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6309-2025</t>
        </is>
      </c>
      <c r="B1011" s="1" t="n">
        <v>45698</v>
      </c>
      <c r="C1011" s="1" t="n">
        <v>45930</v>
      </c>
      <c r="D1011" t="inlineStr">
        <is>
          <t>SKÅNE LÄN</t>
        </is>
      </c>
      <c r="E1011" t="inlineStr">
        <is>
          <t>HÄSSLEHOLM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30010-2025</t>
        </is>
      </c>
      <c r="B1012" s="1" t="n">
        <v>45826</v>
      </c>
      <c r="C1012" s="1" t="n">
        <v>45930</v>
      </c>
      <c r="D1012" t="inlineStr">
        <is>
          <t>SKÅNE LÄN</t>
        </is>
      </c>
      <c r="E1012" t="inlineStr">
        <is>
          <t>HÄSSLEHOLM</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12344-2023</t>
        </is>
      </c>
      <c r="B1013" s="1" t="n">
        <v>44999</v>
      </c>
      <c r="C1013" s="1" t="n">
        <v>45930</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58272-2024</t>
        </is>
      </c>
      <c r="B1014" s="1" t="n">
        <v>45632.57025462963</v>
      </c>
      <c r="C1014" s="1" t="n">
        <v>45930</v>
      </c>
      <c r="D1014" t="inlineStr">
        <is>
          <t>SKÅNE LÄN</t>
        </is>
      </c>
      <c r="E1014" t="inlineStr">
        <is>
          <t>HÄSSLEHOLM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45114.56143518518</v>
      </c>
      <c r="C1015" s="1" t="n">
        <v>45930</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45361-2023</t>
        </is>
      </c>
      <c r="B1016" s="1" t="n">
        <v>45192.49068287037</v>
      </c>
      <c r="C1016" s="1" t="n">
        <v>45930</v>
      </c>
      <c r="D1016" t="inlineStr">
        <is>
          <t>SKÅNE LÄN</t>
        </is>
      </c>
      <c r="E1016" t="inlineStr">
        <is>
          <t>HÄSSLEHOLM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45220-2023</t>
        </is>
      </c>
      <c r="B1017" s="1" t="n">
        <v>45191</v>
      </c>
      <c r="C1017" s="1" t="n">
        <v>45930</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38712-2024</t>
        </is>
      </c>
      <c r="B1018" s="1" t="n">
        <v>45547</v>
      </c>
      <c r="C1018" s="1" t="n">
        <v>45930</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57647-2024</t>
        </is>
      </c>
      <c r="B1019" s="1" t="n">
        <v>45630</v>
      </c>
      <c r="C1019" s="1" t="n">
        <v>45930</v>
      </c>
      <c r="D1019" t="inlineStr">
        <is>
          <t>SKÅNE LÄN</t>
        </is>
      </c>
      <c r="E1019" t="inlineStr">
        <is>
          <t>HÄSSLEHOLM</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61182-2024</t>
        </is>
      </c>
      <c r="B1020" s="1" t="n">
        <v>45645</v>
      </c>
      <c r="C1020" s="1" t="n">
        <v>45930</v>
      </c>
      <c r="D1020" t="inlineStr">
        <is>
          <t>SKÅNE LÄN</t>
        </is>
      </c>
      <c r="E1020" t="inlineStr">
        <is>
          <t>HÄSSLEHOLM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31159-2025</t>
        </is>
      </c>
      <c r="B1021" s="1" t="n">
        <v>45832.65322916667</v>
      </c>
      <c r="C1021" s="1" t="n">
        <v>45930</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13990-2022</t>
        </is>
      </c>
      <c r="B1022" s="1" t="n">
        <v>44650</v>
      </c>
      <c r="C1022" s="1" t="n">
        <v>45930</v>
      </c>
      <c r="D1022" t="inlineStr">
        <is>
          <t>SKÅNE LÄN</t>
        </is>
      </c>
      <c r="E1022" t="inlineStr">
        <is>
          <t>HÄSSLEHOLM</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25219-2023</t>
        </is>
      </c>
      <c r="B1023" s="1" t="n">
        <v>45086.60541666667</v>
      </c>
      <c r="C1023" s="1" t="n">
        <v>45930</v>
      </c>
      <c r="D1023" t="inlineStr">
        <is>
          <t>SKÅNE LÄN</t>
        </is>
      </c>
      <c r="E1023" t="inlineStr">
        <is>
          <t>HÄSSLEHOLM</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9302-2025</t>
        </is>
      </c>
      <c r="B1024" s="1" t="n">
        <v>45714.67233796296</v>
      </c>
      <c r="C1024" s="1" t="n">
        <v>45930</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9322-2025</t>
        </is>
      </c>
      <c r="B1025" s="1" t="n">
        <v>45714.72241898148</v>
      </c>
      <c r="C1025" s="1" t="n">
        <v>45930</v>
      </c>
      <c r="D1025" t="inlineStr">
        <is>
          <t>SKÅNE LÄN</t>
        </is>
      </c>
      <c r="E1025" t="inlineStr">
        <is>
          <t>HÄSSLEHOLM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37300-2023</t>
        </is>
      </c>
      <c r="B1026" s="1" t="n">
        <v>45156</v>
      </c>
      <c r="C1026" s="1" t="n">
        <v>45930</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39915-2023</t>
        </is>
      </c>
      <c r="B1027" s="1" t="n">
        <v>45168.4684375</v>
      </c>
      <c r="C1027" s="1" t="n">
        <v>45930</v>
      </c>
      <c r="D1027" t="inlineStr">
        <is>
          <t>SKÅNE LÄN</t>
        </is>
      </c>
      <c r="E1027" t="inlineStr">
        <is>
          <t>HÄSSLEHOLM</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35890-2023</t>
        </is>
      </c>
      <c r="B1028" s="1" t="n">
        <v>45148</v>
      </c>
      <c r="C1028" s="1" t="n">
        <v>45930</v>
      </c>
      <c r="D1028" t="inlineStr">
        <is>
          <t>SKÅNE LÄN</t>
        </is>
      </c>
      <c r="E1028" t="inlineStr">
        <is>
          <t>HÄSSLEHOLM</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35895-2023</t>
        </is>
      </c>
      <c r="B1029" s="1" t="n">
        <v>45148</v>
      </c>
      <c r="C1029" s="1" t="n">
        <v>45930</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4750-2024</t>
        </is>
      </c>
      <c r="B1030" s="1" t="n">
        <v>45328</v>
      </c>
      <c r="C1030" s="1" t="n">
        <v>45930</v>
      </c>
      <c r="D1030" t="inlineStr">
        <is>
          <t>SKÅNE LÄN</t>
        </is>
      </c>
      <c r="E1030" t="inlineStr">
        <is>
          <t>HÄSSLEHOLM</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32585-2025</t>
        </is>
      </c>
      <c r="B1031" s="1" t="n">
        <v>45838.60021990741</v>
      </c>
      <c r="C1031" s="1" t="n">
        <v>45930</v>
      </c>
      <c r="D1031" t="inlineStr">
        <is>
          <t>SKÅNE LÄN</t>
        </is>
      </c>
      <c r="E1031" t="inlineStr">
        <is>
          <t>HÄSSLEHOLM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23956-2023</t>
        </is>
      </c>
      <c r="B1032" s="1" t="n">
        <v>45078.62302083334</v>
      </c>
      <c r="C1032" s="1" t="n">
        <v>45930</v>
      </c>
      <c r="D1032" t="inlineStr">
        <is>
          <t>SKÅNE LÄN</t>
        </is>
      </c>
      <c r="E1032" t="inlineStr">
        <is>
          <t>HÄSSLEHOLM</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11708-2025</t>
        </is>
      </c>
      <c r="B1033" s="1" t="n">
        <v>45727.58626157408</v>
      </c>
      <c r="C1033" s="1" t="n">
        <v>45930</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32592-2025</t>
        </is>
      </c>
      <c r="B1034" s="1" t="n">
        <v>45838.61020833333</v>
      </c>
      <c r="C1034" s="1" t="n">
        <v>45930</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29649-2025</t>
        </is>
      </c>
      <c r="B1035" s="1" t="n">
        <v>45825.47446759259</v>
      </c>
      <c r="C1035" s="1" t="n">
        <v>45930</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33948-2025</t>
        </is>
      </c>
      <c r="B1036" s="1" t="n">
        <v>45842.65945601852</v>
      </c>
      <c r="C1036" s="1" t="n">
        <v>45930</v>
      </c>
      <c r="D1036" t="inlineStr">
        <is>
          <t>SKÅNE LÄN</t>
        </is>
      </c>
      <c r="E1036" t="inlineStr">
        <is>
          <t>HÄSSLEHOLM</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33875-2025</t>
        </is>
      </c>
      <c r="B1037" s="1" t="n">
        <v>45842.55300925926</v>
      </c>
      <c r="C1037" s="1" t="n">
        <v>45930</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48112-2024</t>
        </is>
      </c>
      <c r="B1038" s="1" t="n">
        <v>45589.6295949074</v>
      </c>
      <c r="C1038" s="1" t="n">
        <v>45930</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33877-2025</t>
        </is>
      </c>
      <c r="B1039" s="1" t="n">
        <v>45842.55564814815</v>
      </c>
      <c r="C1039" s="1" t="n">
        <v>45930</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33879-2025</t>
        </is>
      </c>
      <c r="B1040" s="1" t="n">
        <v>45842.55766203703</v>
      </c>
      <c r="C1040" s="1" t="n">
        <v>45930</v>
      </c>
      <c r="D1040" t="inlineStr">
        <is>
          <t>SKÅNE LÄN</t>
        </is>
      </c>
      <c r="E1040" t="inlineStr">
        <is>
          <t>HÄSSLEHOLM</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33562-2025</t>
        </is>
      </c>
      <c r="B1041" s="1" t="n">
        <v>45841.57803240741</v>
      </c>
      <c r="C1041" s="1" t="n">
        <v>45930</v>
      </c>
      <c r="D1041" t="inlineStr">
        <is>
          <t>SKÅNE LÄN</t>
        </is>
      </c>
      <c r="E1041" t="inlineStr">
        <is>
          <t>HÄSSLEHOLM</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33950-2025</t>
        </is>
      </c>
      <c r="B1042" s="1" t="n">
        <v>45842</v>
      </c>
      <c r="C1042" s="1" t="n">
        <v>45930</v>
      </c>
      <c r="D1042" t="inlineStr">
        <is>
          <t>SKÅNE LÄN</t>
        </is>
      </c>
      <c r="E1042" t="inlineStr">
        <is>
          <t>HÄSSLEHOLM</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24246-2023</t>
        </is>
      </c>
      <c r="B1043" s="1" t="n">
        <v>45079</v>
      </c>
      <c r="C1043" s="1" t="n">
        <v>45930</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24249-2023</t>
        </is>
      </c>
      <c r="B1044" s="1" t="n">
        <v>45079.62466435185</v>
      </c>
      <c r="C1044" s="1" t="n">
        <v>45930</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52548-2023</t>
        </is>
      </c>
      <c r="B1045" s="1" t="n">
        <v>45218</v>
      </c>
      <c r="C1045" s="1" t="n">
        <v>45930</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34174-2025</t>
        </is>
      </c>
      <c r="B1046" s="1" t="n">
        <v>45844</v>
      </c>
      <c r="C1046" s="1" t="n">
        <v>45930</v>
      </c>
      <c r="D1046" t="inlineStr">
        <is>
          <t>SKÅNE LÄN</t>
        </is>
      </c>
      <c r="E1046" t="inlineStr">
        <is>
          <t>HÄSSLEHOLM</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8160-2024</t>
        </is>
      </c>
      <c r="B1047" s="1" t="n">
        <v>45351</v>
      </c>
      <c r="C1047" s="1" t="n">
        <v>45930</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43696-2024</t>
        </is>
      </c>
      <c r="B1048" s="1" t="n">
        <v>45569.58855324074</v>
      </c>
      <c r="C1048" s="1" t="n">
        <v>45930</v>
      </c>
      <c r="D1048" t="inlineStr">
        <is>
          <t>SKÅNE LÄN</t>
        </is>
      </c>
      <c r="E1048" t="inlineStr">
        <is>
          <t>HÄSSLEHOLM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34177-2025</t>
        </is>
      </c>
      <c r="B1049" s="1" t="n">
        <v>45844</v>
      </c>
      <c r="C1049" s="1" t="n">
        <v>45930</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12182-2025</t>
        </is>
      </c>
      <c r="B1050" s="1" t="n">
        <v>45729</v>
      </c>
      <c r="C1050" s="1" t="n">
        <v>45930</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20185-2023</t>
        </is>
      </c>
      <c r="B1051" s="1" t="n">
        <v>45055.56795138889</v>
      </c>
      <c r="C1051" s="1" t="n">
        <v>45930</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38376-2022</t>
        </is>
      </c>
      <c r="B1052" s="1" t="n">
        <v>44812</v>
      </c>
      <c r="C1052" s="1" t="n">
        <v>45930</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22678-2025</t>
        </is>
      </c>
      <c r="B1053" s="1" t="n">
        <v>45789.49725694444</v>
      </c>
      <c r="C1053" s="1" t="n">
        <v>45930</v>
      </c>
      <c r="D1053" t="inlineStr">
        <is>
          <t>SKÅNE LÄN</t>
        </is>
      </c>
      <c r="E1053" t="inlineStr">
        <is>
          <t>HÄSSLEHOLM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32958-2023</t>
        </is>
      </c>
      <c r="B1054" s="1" t="n">
        <v>45125.52142361111</v>
      </c>
      <c r="C1054" s="1" t="n">
        <v>45930</v>
      </c>
      <c r="D1054" t="inlineStr">
        <is>
          <t>SKÅNE LÄN</t>
        </is>
      </c>
      <c r="E1054" t="inlineStr">
        <is>
          <t>HÄSSLEHOLM</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18908-2023</t>
        </is>
      </c>
      <c r="B1055" s="1" t="n">
        <v>45044</v>
      </c>
      <c r="C1055" s="1" t="n">
        <v>45930</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61436-2024</t>
        </is>
      </c>
      <c r="B1056" s="1" t="n">
        <v>45646.46329861111</v>
      </c>
      <c r="C1056" s="1" t="n">
        <v>45930</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39453-2025</t>
        </is>
      </c>
      <c r="B1057" s="1" t="n">
        <v>45889</v>
      </c>
      <c r="C1057" s="1" t="n">
        <v>45930</v>
      </c>
      <c r="D1057" t="inlineStr">
        <is>
          <t>SKÅNE LÄN</t>
        </is>
      </c>
      <c r="E1057" t="inlineStr">
        <is>
          <t>HÄSSLEHOLM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39366-2025</t>
        </is>
      </c>
      <c r="B1058" s="1" t="n">
        <v>45889</v>
      </c>
      <c r="C1058" s="1" t="n">
        <v>45930</v>
      </c>
      <c r="D1058" t="inlineStr">
        <is>
          <t>SKÅNE LÄN</t>
        </is>
      </c>
      <c r="E1058" t="inlineStr">
        <is>
          <t>HÄSSLEHOLM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39457-2025</t>
        </is>
      </c>
      <c r="B1059" s="1" t="n">
        <v>45889.76887731482</v>
      </c>
      <c r="C1059" s="1" t="n">
        <v>45930</v>
      </c>
      <c r="D1059" t="inlineStr">
        <is>
          <t>SKÅNE LÄN</t>
        </is>
      </c>
      <c r="E1059" t="inlineStr">
        <is>
          <t>HÄSSLEHOLM</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39937-2025</t>
        </is>
      </c>
      <c r="B1060" s="1" t="n">
        <v>45891.73162037037</v>
      </c>
      <c r="C1060" s="1" t="n">
        <v>45930</v>
      </c>
      <c r="D1060" t="inlineStr">
        <is>
          <t>SKÅNE LÄN</t>
        </is>
      </c>
      <c r="E1060" t="inlineStr">
        <is>
          <t>HÄSSLEHOLM</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54435-2024</t>
        </is>
      </c>
      <c r="B1061" s="1" t="n">
        <v>45617.49494212963</v>
      </c>
      <c r="C1061" s="1" t="n">
        <v>45930</v>
      </c>
      <c r="D1061" t="inlineStr">
        <is>
          <t>SKÅNE LÄN</t>
        </is>
      </c>
      <c r="E1061" t="inlineStr">
        <is>
          <t>HÄSSLEHOLM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34869-2025</t>
        </is>
      </c>
      <c r="B1062" s="1" t="n">
        <v>45849</v>
      </c>
      <c r="C1062" s="1" t="n">
        <v>45930</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720-2025</t>
        </is>
      </c>
      <c r="B1063" s="1" t="n">
        <v>45665.3744212963</v>
      </c>
      <c r="C1063" s="1" t="n">
        <v>45930</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31581-2023</t>
        </is>
      </c>
      <c r="B1064" s="1" t="n">
        <v>45117.45165509259</v>
      </c>
      <c r="C1064" s="1" t="n">
        <v>45930</v>
      </c>
      <c r="D1064" t="inlineStr">
        <is>
          <t>SKÅNE LÄN</t>
        </is>
      </c>
      <c r="E1064" t="inlineStr">
        <is>
          <t>HÄSSLEHOLM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33597-2023</t>
        </is>
      </c>
      <c r="B1065" s="1" t="n">
        <v>45132</v>
      </c>
      <c r="C1065" s="1" t="n">
        <v>45930</v>
      </c>
      <c r="D1065" t="inlineStr">
        <is>
          <t>SKÅNE LÄN</t>
        </is>
      </c>
      <c r="E1065" t="inlineStr">
        <is>
          <t>HÄSSLEHOLM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33599-2023</t>
        </is>
      </c>
      <c r="B1066" s="1" t="n">
        <v>45132</v>
      </c>
      <c r="C1066" s="1" t="n">
        <v>45930</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33938-2023</t>
        </is>
      </c>
      <c r="B1067" s="1" t="n">
        <v>45124</v>
      </c>
      <c r="C1067" s="1" t="n">
        <v>45930</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22693-2022</t>
        </is>
      </c>
      <c r="B1068" s="1" t="n">
        <v>44714.54729166667</v>
      </c>
      <c r="C1068" s="1" t="n">
        <v>45930</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45930</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35894-2023</t>
        </is>
      </c>
      <c r="B1070" s="1" t="n">
        <v>45148</v>
      </c>
      <c r="C1070" s="1" t="n">
        <v>45930</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35974-2022</t>
        </is>
      </c>
      <c r="B1071" s="1" t="n">
        <v>44802</v>
      </c>
      <c r="C1071" s="1" t="n">
        <v>45930</v>
      </c>
      <c r="D1071" t="inlineStr">
        <is>
          <t>SKÅNE LÄN</t>
        </is>
      </c>
      <c r="E1071" t="inlineStr">
        <is>
          <t>HÄSSLEHOLM</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24906-2022</t>
        </is>
      </c>
      <c r="B1072" s="1" t="n">
        <v>44728</v>
      </c>
      <c r="C1072" s="1" t="n">
        <v>45930</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7150-2025</t>
        </is>
      </c>
      <c r="B1073" s="1" t="n">
        <v>45702.38239583333</v>
      </c>
      <c r="C1073" s="1" t="n">
        <v>45930</v>
      </c>
      <c r="D1073" t="inlineStr">
        <is>
          <t>SKÅNE LÄN</t>
        </is>
      </c>
      <c r="E1073" t="inlineStr">
        <is>
          <t>HÄSSLEHOLM</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55303-2024</t>
        </is>
      </c>
      <c r="B1074" s="1" t="n">
        <v>45621.6434837963</v>
      </c>
      <c r="C1074" s="1" t="n">
        <v>45930</v>
      </c>
      <c r="D1074" t="inlineStr">
        <is>
          <t>SKÅNE LÄN</t>
        </is>
      </c>
      <c r="E1074" t="inlineStr">
        <is>
          <t>HÄSSLEHOLM</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16397-2022</t>
        </is>
      </c>
      <c r="B1075" s="1" t="n">
        <v>44671</v>
      </c>
      <c r="C1075" s="1" t="n">
        <v>45930</v>
      </c>
      <c r="D1075" t="inlineStr">
        <is>
          <t>SKÅNE LÄN</t>
        </is>
      </c>
      <c r="E1075" t="inlineStr">
        <is>
          <t>HÄSSLEHOLM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16398-2022</t>
        </is>
      </c>
      <c r="B1076" s="1" t="n">
        <v>44671</v>
      </c>
      <c r="C1076" s="1" t="n">
        <v>45930</v>
      </c>
      <c r="D1076" t="inlineStr">
        <is>
          <t>SKÅNE LÄN</t>
        </is>
      </c>
      <c r="E1076" t="inlineStr">
        <is>
          <t>HÄSSLEHOLM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59434-2023</t>
        </is>
      </c>
      <c r="B1077" s="1" t="n">
        <v>45254.30440972222</v>
      </c>
      <c r="C1077" s="1" t="n">
        <v>45930</v>
      </c>
      <c r="D1077" t="inlineStr">
        <is>
          <t>SKÅNE LÄN</t>
        </is>
      </c>
      <c r="E1077" t="inlineStr">
        <is>
          <t>HÄSSLEHOLM</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55284-2023</t>
        </is>
      </c>
      <c r="B1078" s="1" t="n">
        <v>45237.74259259259</v>
      </c>
      <c r="C1078" s="1" t="n">
        <v>45930</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22384-2024</t>
        </is>
      </c>
      <c r="B1079" s="1" t="n">
        <v>45446.65592592592</v>
      </c>
      <c r="C1079" s="1" t="n">
        <v>45930</v>
      </c>
      <c r="D1079" t="inlineStr">
        <is>
          <t>SKÅNE LÄN</t>
        </is>
      </c>
      <c r="E1079" t="inlineStr">
        <is>
          <t>HÄSSLEHOLM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46641-2023</t>
        </is>
      </c>
      <c r="B1080" s="1" t="n">
        <v>45198.44523148148</v>
      </c>
      <c r="C1080" s="1" t="n">
        <v>45930</v>
      </c>
      <c r="D1080" t="inlineStr">
        <is>
          <t>SKÅNE LÄN</t>
        </is>
      </c>
      <c r="E1080" t="inlineStr">
        <is>
          <t>HÄSSLEHOLM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46645-2023</t>
        </is>
      </c>
      <c r="B1081" s="1" t="n">
        <v>45198.44686342592</v>
      </c>
      <c r="C1081" s="1" t="n">
        <v>45930</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67974-2020</t>
        </is>
      </c>
      <c r="B1082" s="1" t="n">
        <v>44182</v>
      </c>
      <c r="C1082" s="1" t="n">
        <v>45930</v>
      </c>
      <c r="D1082" t="inlineStr">
        <is>
          <t>SKÅNE LÄN</t>
        </is>
      </c>
      <c r="E1082" t="inlineStr">
        <is>
          <t>HÄSSLEHOLM</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59556-2023</t>
        </is>
      </c>
      <c r="B1083" s="1" t="n">
        <v>45254.56313657408</v>
      </c>
      <c r="C1083" s="1" t="n">
        <v>45930</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9543-2025</t>
        </is>
      </c>
      <c r="B1084" s="1" t="n">
        <v>45715</v>
      </c>
      <c r="C1084" s="1" t="n">
        <v>45930</v>
      </c>
      <c r="D1084" t="inlineStr">
        <is>
          <t>SKÅNE LÄN</t>
        </is>
      </c>
      <c r="E1084" t="inlineStr">
        <is>
          <t>HÄSSLEHOLM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51571-2023</t>
        </is>
      </c>
      <c r="B1085" s="1" t="n">
        <v>45222</v>
      </c>
      <c r="C1085" s="1" t="n">
        <v>45930</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4734-2025</t>
        </is>
      </c>
      <c r="B1086" s="1" t="n">
        <v>45688.44030092593</v>
      </c>
      <c r="C1086" s="1" t="n">
        <v>45930</v>
      </c>
      <c r="D1086" t="inlineStr">
        <is>
          <t>SKÅNE LÄN</t>
        </is>
      </c>
      <c r="E1086" t="inlineStr">
        <is>
          <t>HÄSSLEHOLM</t>
        </is>
      </c>
      <c r="G1086" t="n">
        <v>19.6</v>
      </c>
      <c r="H1086" t="n">
        <v>0</v>
      </c>
      <c r="I1086" t="n">
        <v>0</v>
      </c>
      <c r="J1086" t="n">
        <v>0</v>
      </c>
      <c r="K1086" t="n">
        <v>0</v>
      </c>
      <c r="L1086" t="n">
        <v>0</v>
      </c>
      <c r="M1086" t="n">
        <v>0</v>
      </c>
      <c r="N1086" t="n">
        <v>0</v>
      </c>
      <c r="O1086" t="n">
        <v>0</v>
      </c>
      <c r="P1086" t="n">
        <v>0</v>
      </c>
      <c r="Q1086" t="n">
        <v>0</v>
      </c>
      <c r="R1086" s="2" t="inlineStr"/>
    </row>
    <row r="1087" ht="15" customHeight="1">
      <c r="A1087" t="inlineStr">
        <is>
          <t>A 27291-2023</t>
        </is>
      </c>
      <c r="B1087" s="1" t="n">
        <v>45096</v>
      </c>
      <c r="C1087" s="1" t="n">
        <v>45930</v>
      </c>
      <c r="D1087" t="inlineStr">
        <is>
          <t>SKÅNE LÄN</t>
        </is>
      </c>
      <c r="E1087" t="inlineStr">
        <is>
          <t>HÄSSLEHOLM</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58268-2024</t>
        </is>
      </c>
      <c r="B1088" s="1" t="n">
        <v>45632.56893518518</v>
      </c>
      <c r="C1088" s="1" t="n">
        <v>45930</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48798-2023</t>
        </is>
      </c>
      <c r="B1089" s="1" t="n">
        <v>45209.25318287037</v>
      </c>
      <c r="C1089" s="1" t="n">
        <v>45930</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48627-2023</t>
        </is>
      </c>
      <c r="B1090" s="1" t="n">
        <v>45208.57371527778</v>
      </c>
      <c r="C1090" s="1" t="n">
        <v>45930</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17152-2025</t>
        </is>
      </c>
      <c r="B1091" s="1" t="n">
        <v>45756.33318287037</v>
      </c>
      <c r="C1091" s="1" t="n">
        <v>45930</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48326-2023</t>
        </is>
      </c>
      <c r="B1092" s="1" t="n">
        <v>45205</v>
      </c>
      <c r="C1092" s="1" t="n">
        <v>45930</v>
      </c>
      <c r="D1092" t="inlineStr">
        <is>
          <t>SKÅNE LÄN</t>
        </is>
      </c>
      <c r="E1092" t="inlineStr">
        <is>
          <t>HÄSSLEHOLM</t>
        </is>
      </c>
      <c r="G1092" t="n">
        <v>12.7</v>
      </c>
      <c r="H1092" t="n">
        <v>0</v>
      </c>
      <c r="I1092" t="n">
        <v>0</v>
      </c>
      <c r="J1092" t="n">
        <v>0</v>
      </c>
      <c r="K1092" t="n">
        <v>0</v>
      </c>
      <c r="L1092" t="n">
        <v>0</v>
      </c>
      <c r="M1092" t="n">
        <v>0</v>
      </c>
      <c r="N1092" t="n">
        <v>0</v>
      </c>
      <c r="O1092" t="n">
        <v>0</v>
      </c>
      <c r="P1092" t="n">
        <v>0</v>
      </c>
      <c r="Q1092" t="n">
        <v>0</v>
      </c>
      <c r="R1092" s="2" t="inlineStr"/>
    </row>
    <row r="1093" ht="15" customHeight="1">
      <c r="A1093" t="inlineStr">
        <is>
          <t>A 10752-2025</t>
        </is>
      </c>
      <c r="B1093" s="1" t="n">
        <v>45722</v>
      </c>
      <c r="C1093" s="1" t="n">
        <v>45930</v>
      </c>
      <c r="D1093" t="inlineStr">
        <is>
          <t>SKÅNE LÄN</t>
        </is>
      </c>
      <c r="E1093" t="inlineStr">
        <is>
          <t>HÄSSLEHOLM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54462-2022</t>
        </is>
      </c>
      <c r="B1094" s="1" t="n">
        <v>44882</v>
      </c>
      <c r="C1094" s="1" t="n">
        <v>45930</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3890-2024</t>
        </is>
      </c>
      <c r="B1095" s="1" t="n">
        <v>45322.45366898148</v>
      </c>
      <c r="C1095" s="1" t="n">
        <v>45930</v>
      </c>
      <c r="D1095" t="inlineStr">
        <is>
          <t>SKÅNE LÄN</t>
        </is>
      </c>
      <c r="E1095" t="inlineStr">
        <is>
          <t>HÄSSLEHOLM</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9239-2025</t>
        </is>
      </c>
      <c r="B1096" s="1" t="n">
        <v>45714</v>
      </c>
      <c r="C1096" s="1" t="n">
        <v>45930</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54471-2023</t>
        </is>
      </c>
      <c r="B1097" s="1" t="n">
        <v>45233.4640162037</v>
      </c>
      <c r="C1097" s="1" t="n">
        <v>45930</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57963-2023</t>
        </is>
      </c>
      <c r="B1098" s="1" t="n">
        <v>45247.57732638889</v>
      </c>
      <c r="C1098" s="1" t="n">
        <v>45930</v>
      </c>
      <c r="D1098" t="inlineStr">
        <is>
          <t>SKÅNE LÄN</t>
        </is>
      </c>
      <c r="E1098" t="inlineStr">
        <is>
          <t>HÄSSLEHOLM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59028-2023</t>
        </is>
      </c>
      <c r="B1099" s="1" t="n">
        <v>45252.67900462963</v>
      </c>
      <c r="C1099" s="1" t="n">
        <v>45930</v>
      </c>
      <c r="D1099" t="inlineStr">
        <is>
          <t>SKÅNE LÄN</t>
        </is>
      </c>
      <c r="E1099" t="inlineStr">
        <is>
          <t>HÄSSLEHOLM</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13544-2025</t>
        </is>
      </c>
      <c r="B1100" s="1" t="n">
        <v>45736</v>
      </c>
      <c r="C1100" s="1" t="n">
        <v>45930</v>
      </c>
      <c r="D1100" t="inlineStr">
        <is>
          <t>SKÅNE LÄN</t>
        </is>
      </c>
      <c r="E1100" t="inlineStr">
        <is>
          <t>HÄSSLEHOLM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2712-2024</t>
        </is>
      </c>
      <c r="B1101" s="1" t="n">
        <v>45314</v>
      </c>
      <c r="C1101" s="1" t="n">
        <v>45930</v>
      </c>
      <c r="D1101" t="inlineStr">
        <is>
          <t>SKÅNE LÄN</t>
        </is>
      </c>
      <c r="E1101" t="inlineStr">
        <is>
          <t>HÄSSLEHOLM</t>
        </is>
      </c>
      <c r="G1101" t="n">
        <v>11.3</v>
      </c>
      <c r="H1101" t="n">
        <v>0</v>
      </c>
      <c r="I1101" t="n">
        <v>0</v>
      </c>
      <c r="J1101" t="n">
        <v>0</v>
      </c>
      <c r="K1101" t="n">
        <v>0</v>
      </c>
      <c r="L1101" t="n">
        <v>0</v>
      </c>
      <c r="M1101" t="n">
        <v>0</v>
      </c>
      <c r="N1101" t="n">
        <v>0</v>
      </c>
      <c r="O1101" t="n">
        <v>0</v>
      </c>
      <c r="P1101" t="n">
        <v>0</v>
      </c>
      <c r="Q1101" t="n">
        <v>0</v>
      </c>
      <c r="R1101" s="2" t="inlineStr"/>
    </row>
    <row r="1102" ht="15" customHeight="1">
      <c r="A1102" t="inlineStr">
        <is>
          <t>A 260-2024</t>
        </is>
      </c>
      <c r="B1102" s="1" t="n">
        <v>45294</v>
      </c>
      <c r="C1102" s="1" t="n">
        <v>45930</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8263-2025</t>
        </is>
      </c>
      <c r="B1103" s="1" t="n">
        <v>45708.50398148148</v>
      </c>
      <c r="C1103" s="1" t="n">
        <v>45930</v>
      </c>
      <c r="D1103" t="inlineStr">
        <is>
          <t>SKÅNE LÄN</t>
        </is>
      </c>
      <c r="E1103" t="inlineStr">
        <is>
          <t>HÄSSLEHOLM</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30006-2023</t>
        </is>
      </c>
      <c r="B1104" s="1" t="n">
        <v>45109.79962962963</v>
      </c>
      <c r="C1104" s="1" t="n">
        <v>45930</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45180.54754629629</v>
      </c>
      <c r="C1105" s="1" t="n">
        <v>45930</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61578-2023</t>
        </is>
      </c>
      <c r="B1106" s="1" t="n">
        <v>45265.47399305556</v>
      </c>
      <c r="C1106" s="1" t="n">
        <v>45930</v>
      </c>
      <c r="D1106" t="inlineStr">
        <is>
          <t>SKÅNE LÄN</t>
        </is>
      </c>
      <c r="E1106" t="inlineStr">
        <is>
          <t>HÄSSLEHOLM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2597-2024</t>
        </is>
      </c>
      <c r="B1107" s="1" t="n">
        <v>45313</v>
      </c>
      <c r="C1107" s="1" t="n">
        <v>45930</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62277-2023</t>
        </is>
      </c>
      <c r="B1108" s="1" t="n">
        <v>45266</v>
      </c>
      <c r="C1108" s="1" t="n">
        <v>45930</v>
      </c>
      <c r="D1108" t="inlineStr">
        <is>
          <t>SKÅNE LÄN</t>
        </is>
      </c>
      <c r="E1108" t="inlineStr">
        <is>
          <t>HÄSSLEHOLM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3888-2024</t>
        </is>
      </c>
      <c r="B1109" s="1" t="n">
        <v>45322.45089120371</v>
      </c>
      <c r="C1109" s="1" t="n">
        <v>45930</v>
      </c>
      <c r="D1109" t="inlineStr">
        <is>
          <t>SKÅNE LÄN</t>
        </is>
      </c>
      <c r="E1109" t="inlineStr">
        <is>
          <t>HÄSSLEHOLM</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3889-2024</t>
        </is>
      </c>
      <c r="B1110" s="1" t="n">
        <v>45322.45234953704</v>
      </c>
      <c r="C1110" s="1" t="n">
        <v>45930</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8249-2023</t>
        </is>
      </c>
      <c r="B1111" s="1" t="n">
        <v>44974</v>
      </c>
      <c r="C1111" s="1" t="n">
        <v>45930</v>
      </c>
      <c r="D1111" t="inlineStr">
        <is>
          <t>SKÅNE LÄN</t>
        </is>
      </c>
      <c r="E1111" t="inlineStr">
        <is>
          <t>HÄSSLEHOLM</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3480-2024</t>
        </is>
      </c>
      <c r="B1112" s="1" t="n">
        <v>45320.43998842593</v>
      </c>
      <c r="C1112" s="1" t="n">
        <v>45930</v>
      </c>
      <c r="D1112" t="inlineStr">
        <is>
          <t>SKÅNE LÄN</t>
        </is>
      </c>
      <c r="E1112" t="inlineStr">
        <is>
          <t>HÄSSLEHOLM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55218-2023</t>
        </is>
      </c>
      <c r="B1113" s="1" t="n">
        <v>45237</v>
      </c>
      <c r="C1113" s="1" t="n">
        <v>45930</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1119-2024</t>
        </is>
      </c>
      <c r="B1114" s="1" t="n">
        <v>45302</v>
      </c>
      <c r="C1114" s="1" t="n">
        <v>45930</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9393-2025</t>
        </is>
      </c>
      <c r="B1115" s="1" t="n">
        <v>45715.36230324074</v>
      </c>
      <c r="C1115" s="1" t="n">
        <v>45930</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11422-2025</t>
        </is>
      </c>
      <c r="B1116" s="1" t="n">
        <v>45726</v>
      </c>
      <c r="C1116" s="1" t="n">
        <v>45930</v>
      </c>
      <c r="D1116" t="inlineStr">
        <is>
          <t>SKÅNE LÄN</t>
        </is>
      </c>
      <c r="E1116" t="inlineStr">
        <is>
          <t>HÄSSLEHOLM</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57277-2023</t>
        </is>
      </c>
      <c r="B1117" s="1" t="n">
        <v>45245.59104166667</v>
      </c>
      <c r="C1117" s="1" t="n">
        <v>45930</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9611-2025</t>
        </is>
      </c>
      <c r="B1118" s="1" t="n">
        <v>45715</v>
      </c>
      <c r="C1118" s="1" t="n">
        <v>45930</v>
      </c>
      <c r="D1118" t="inlineStr">
        <is>
          <t>SKÅNE LÄN</t>
        </is>
      </c>
      <c r="E1118" t="inlineStr">
        <is>
          <t>HÄSSLEHOLM</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5284-2023</t>
        </is>
      </c>
      <c r="B1119" s="1" t="n">
        <v>44959.50608796296</v>
      </c>
      <c r="C1119" s="1" t="n">
        <v>45930</v>
      </c>
      <c r="D1119" t="inlineStr">
        <is>
          <t>SKÅNE LÄN</t>
        </is>
      </c>
      <c r="E1119" t="inlineStr">
        <is>
          <t>HÄSSLEHOLM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5285-2023</t>
        </is>
      </c>
      <c r="B1120" s="1" t="n">
        <v>44959.50783564815</v>
      </c>
      <c r="C1120" s="1" t="n">
        <v>45930</v>
      </c>
      <c r="D1120" t="inlineStr">
        <is>
          <t>SKÅNE LÄN</t>
        </is>
      </c>
      <c r="E1120" t="inlineStr">
        <is>
          <t>HÄSSLEHOLM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57272-2023</t>
        </is>
      </c>
      <c r="B1121" s="1" t="n">
        <v>45245</v>
      </c>
      <c r="C1121" s="1" t="n">
        <v>45930</v>
      </c>
      <c r="D1121" t="inlineStr">
        <is>
          <t>SKÅNE LÄN</t>
        </is>
      </c>
      <c r="E1121" t="inlineStr">
        <is>
          <t>HÄSSLEHOLM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2479-2024</t>
        </is>
      </c>
      <c r="B1122" s="1" t="n">
        <v>45313.40148148148</v>
      </c>
      <c r="C1122" s="1" t="n">
        <v>45930</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31160-2024</t>
        </is>
      </c>
      <c r="B1123" s="1" t="n">
        <v>45503</v>
      </c>
      <c r="C1123" s="1" t="n">
        <v>45930</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50664-2023</t>
        </is>
      </c>
      <c r="B1124" s="1" t="n">
        <v>45217</v>
      </c>
      <c r="C1124" s="1" t="n">
        <v>45930</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56490-2021</t>
        </is>
      </c>
      <c r="B1125" s="1" t="n">
        <v>44480</v>
      </c>
      <c r="C1125" s="1" t="n">
        <v>45930</v>
      </c>
      <c r="D1125" t="inlineStr">
        <is>
          <t>SKÅNE LÄN</t>
        </is>
      </c>
      <c r="E1125" t="inlineStr">
        <is>
          <t>HÄSSLEHOLM</t>
        </is>
      </c>
      <c r="F1125" t="inlineStr">
        <is>
          <t>Kyrkan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417-2022</t>
        </is>
      </c>
      <c r="B1126" s="1" t="n">
        <v>44565.84615740741</v>
      </c>
      <c r="C1126" s="1" t="n">
        <v>45930</v>
      </c>
      <c r="D1126" t="inlineStr">
        <is>
          <t>SKÅNE LÄN</t>
        </is>
      </c>
      <c r="E1126" t="inlineStr">
        <is>
          <t>HÄSSLEHOLM</t>
        </is>
      </c>
      <c r="G1126" t="n">
        <v>0</v>
      </c>
      <c r="H1126" t="n">
        <v>0</v>
      </c>
      <c r="I1126" t="n">
        <v>0</v>
      </c>
      <c r="J1126" t="n">
        <v>0</v>
      </c>
      <c r="K1126" t="n">
        <v>0</v>
      </c>
      <c r="L1126" t="n">
        <v>0</v>
      </c>
      <c r="M1126" t="n">
        <v>0</v>
      </c>
      <c r="N1126" t="n">
        <v>0</v>
      </c>
      <c r="O1126" t="n">
        <v>0</v>
      </c>
      <c r="P1126" t="n">
        <v>0</v>
      </c>
      <c r="Q1126" t="n">
        <v>0</v>
      </c>
      <c r="R1126" s="2" t="inlineStr"/>
    </row>
    <row r="1127" ht="15" customHeight="1">
      <c r="A1127" t="inlineStr">
        <is>
          <t>A 61934-2023</t>
        </is>
      </c>
      <c r="B1127" s="1" t="n">
        <v>45266.54125</v>
      </c>
      <c r="C1127" s="1" t="n">
        <v>45930</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41459-2022</t>
        </is>
      </c>
      <c r="B1128" s="1" t="n">
        <v>44826.93372685185</v>
      </c>
      <c r="C1128" s="1" t="n">
        <v>45930</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19151-2023</t>
        </is>
      </c>
      <c r="B1129" s="1" t="n">
        <v>45044</v>
      </c>
      <c r="C1129" s="1" t="n">
        <v>45930</v>
      </c>
      <c r="D1129" t="inlineStr">
        <is>
          <t>SKÅNE LÄN</t>
        </is>
      </c>
      <c r="E1129" t="inlineStr">
        <is>
          <t>HÄSSLEHOLM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54658-2023</t>
        </is>
      </c>
      <c r="B1130" s="1" t="n">
        <v>45235</v>
      </c>
      <c r="C1130" s="1" t="n">
        <v>45930</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42370-2023</t>
        </is>
      </c>
      <c r="B1131" s="1" t="n">
        <v>45180</v>
      </c>
      <c r="C1131" s="1" t="n">
        <v>45930</v>
      </c>
      <c r="D1131" t="inlineStr">
        <is>
          <t>SKÅNE LÄN</t>
        </is>
      </c>
      <c r="E1131" t="inlineStr">
        <is>
          <t>HÄSSLEHOLM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16951-2025</t>
        </is>
      </c>
      <c r="B1132" s="1" t="n">
        <v>45755</v>
      </c>
      <c r="C1132" s="1" t="n">
        <v>45930</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18063-2023</t>
        </is>
      </c>
      <c r="B1133" s="1" t="n">
        <v>45040.62850694444</v>
      </c>
      <c r="C1133" s="1" t="n">
        <v>45930</v>
      </c>
      <c r="D1133" t="inlineStr">
        <is>
          <t>SKÅNE LÄN</t>
        </is>
      </c>
      <c r="E1133" t="inlineStr">
        <is>
          <t>HÄSSLEHOLM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14674-2025</t>
        </is>
      </c>
      <c r="B1134" s="1" t="n">
        <v>45742.55548611111</v>
      </c>
      <c r="C1134" s="1" t="n">
        <v>45930</v>
      </c>
      <c r="D1134" t="inlineStr">
        <is>
          <t>SKÅNE LÄN</t>
        </is>
      </c>
      <c r="E1134" t="inlineStr">
        <is>
          <t>HÄSSLEHOLM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54777-2022</t>
        </is>
      </c>
      <c r="B1135" s="1" t="n">
        <v>44883</v>
      </c>
      <c r="C1135" s="1" t="n">
        <v>45930</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23683-2023</t>
        </is>
      </c>
      <c r="B1136" s="1" t="n">
        <v>45077</v>
      </c>
      <c r="C1136" s="1" t="n">
        <v>45930</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23955-2023</t>
        </is>
      </c>
      <c r="B1137" s="1" t="n">
        <v>45078.62217592593</v>
      </c>
      <c r="C1137" s="1" t="n">
        <v>45930</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23860-2024</t>
        </is>
      </c>
      <c r="B1138" s="1" t="n">
        <v>45455</v>
      </c>
      <c r="C1138" s="1" t="n">
        <v>45930</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c r="A1139" t="inlineStr">
        <is>
          <t>A 524-2024</t>
        </is>
      </c>
      <c r="B1139" s="1" t="n">
        <v>45299</v>
      </c>
      <c r="C1139" s="1" t="n">
        <v>45930</v>
      </c>
      <c r="D1139" t="inlineStr">
        <is>
          <t>SKÅNE LÄN</t>
        </is>
      </c>
      <c r="E1139" t="inlineStr">
        <is>
          <t>HÄSSLEHOLM</t>
        </is>
      </c>
      <c r="G1139" t="n">
        <v>29.4</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2025-09-30T12:16:43Z</dcterms:created>
  <dcterms:modified xmlns:dcterms="http://purl.org/dc/terms/" xmlns:xsi="http://www.w3.org/2001/XMLSchema-instance" xsi:type="dcterms:W3CDTF">2025-09-30T12:16:44Z</dcterms:modified>
</cp:coreProperties>
</file>