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45670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45670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45670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45670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45670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45670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45670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45670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45670</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45670</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45670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45670</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45670</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45670</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45670</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41120-2019</t>
        </is>
      </c>
      <c r="B17" s="1" t="n">
        <v>43698</v>
      </c>
      <c r="C17" s="1" t="n">
        <v>45670</v>
      </c>
      <c r="D17" t="inlineStr">
        <is>
          <t>SKÅNE LÄN</t>
        </is>
      </c>
      <c r="E17" t="inlineStr">
        <is>
          <t>HÄSSLEHOLM</t>
        </is>
      </c>
      <c r="G17" t="n">
        <v>7.9</v>
      </c>
      <c r="H17" t="n">
        <v>0</v>
      </c>
      <c r="I17" t="n">
        <v>0</v>
      </c>
      <c r="J17" t="n">
        <v>0</v>
      </c>
      <c r="K17" t="n">
        <v>1</v>
      </c>
      <c r="L17" t="n">
        <v>0</v>
      </c>
      <c r="M17" t="n">
        <v>0</v>
      </c>
      <c r="N17" t="n">
        <v>0</v>
      </c>
      <c r="O17" t="n">
        <v>1</v>
      </c>
      <c r="P17" t="n">
        <v>1</v>
      </c>
      <c r="Q17" t="n">
        <v>1</v>
      </c>
      <c r="R17" s="2" t="inlineStr">
        <is>
          <t>Småvänderot</t>
        </is>
      </c>
      <c r="S17">
        <f>HYPERLINK("https://klasma.github.io/Logging_1293/artfynd/A 41120-2019 artfynd.xlsx", "A 41120-2019")</f>
        <v/>
      </c>
      <c r="T17">
        <f>HYPERLINK("https://klasma.github.io/Logging_1293/kartor/A 41120-2019 karta.png", "A 41120-2019")</f>
        <v/>
      </c>
      <c r="V17">
        <f>HYPERLINK("https://klasma.github.io/Logging_1293/klagomål/A 41120-2019 FSC-klagomål.docx", "A 41120-2019")</f>
        <v/>
      </c>
      <c r="W17">
        <f>HYPERLINK("https://klasma.github.io/Logging_1293/klagomålsmail/A 41120-2019 FSC-klagomål mail.docx", "A 41120-2019")</f>
        <v/>
      </c>
      <c r="X17">
        <f>HYPERLINK("https://klasma.github.io/Logging_1293/tillsyn/A 41120-2019 tillsynsbegäran.docx", "A 41120-2019")</f>
        <v/>
      </c>
      <c r="Y17">
        <f>HYPERLINK("https://klasma.github.io/Logging_1293/tillsynsmail/A 41120-2019 tillsynsbegäran mail.docx", "A 41120-2019")</f>
        <v/>
      </c>
    </row>
    <row r="18" ht="15" customHeight="1">
      <c r="A18" t="inlineStr">
        <is>
          <t>A 47468-2019</t>
        </is>
      </c>
      <c r="B18" s="1" t="n">
        <v>43724</v>
      </c>
      <c r="C18" s="1" t="n">
        <v>45670</v>
      </c>
      <c r="D18" t="inlineStr">
        <is>
          <t>SKÅNE LÄN</t>
        </is>
      </c>
      <c r="E18" t="inlineStr">
        <is>
          <t>HÄSSLEHOLM</t>
        </is>
      </c>
      <c r="G18" t="n">
        <v>3.3</v>
      </c>
      <c r="H18" t="n">
        <v>1</v>
      </c>
      <c r="I18" t="n">
        <v>0</v>
      </c>
      <c r="J18" t="n">
        <v>0</v>
      </c>
      <c r="K18" t="n">
        <v>0</v>
      </c>
      <c r="L18" t="n">
        <v>0</v>
      </c>
      <c r="M18" t="n">
        <v>0</v>
      </c>
      <c r="N18" t="n">
        <v>0</v>
      </c>
      <c r="O18" t="n">
        <v>0</v>
      </c>
      <c r="P18" t="n">
        <v>0</v>
      </c>
      <c r="Q18" t="n">
        <v>1</v>
      </c>
      <c r="R18" s="2" t="inlineStr">
        <is>
          <t>Gullviva</t>
        </is>
      </c>
      <c r="S18">
        <f>HYPERLINK("https://klasma.github.io/Logging_1293/artfynd/A 47468-2019 artfynd.xlsx", "A 47468-2019")</f>
        <v/>
      </c>
      <c r="T18">
        <f>HYPERLINK("https://klasma.github.io/Logging_1293/kartor/A 47468-2019 karta.png", "A 47468-2019")</f>
        <v/>
      </c>
      <c r="V18">
        <f>HYPERLINK("https://klasma.github.io/Logging_1293/klagomål/A 47468-2019 FSC-klagomål.docx", "A 47468-2019")</f>
        <v/>
      </c>
      <c r="W18">
        <f>HYPERLINK("https://klasma.github.io/Logging_1293/klagomålsmail/A 47468-2019 FSC-klagomål mail.docx", "A 47468-2019")</f>
        <v/>
      </c>
      <c r="X18">
        <f>HYPERLINK("https://klasma.github.io/Logging_1293/tillsyn/A 47468-2019 tillsynsbegäran.docx", "A 47468-2019")</f>
        <v/>
      </c>
      <c r="Y18">
        <f>HYPERLINK("https://klasma.github.io/Logging_1293/tillsynsmail/A 47468-2019 tillsynsbegäran mail.docx", "A 47468-2019")</f>
        <v/>
      </c>
    </row>
    <row r="19" ht="15" customHeight="1">
      <c r="A19" t="inlineStr">
        <is>
          <t>A 47678-2019</t>
        </is>
      </c>
      <c r="B19" s="1" t="n">
        <v>43724</v>
      </c>
      <c r="C19" s="1" t="n">
        <v>45670</v>
      </c>
      <c r="D19" t="inlineStr">
        <is>
          <t>SKÅNE LÄN</t>
        </is>
      </c>
      <c r="E19" t="inlineStr">
        <is>
          <t>HÄSSLEHOLM</t>
        </is>
      </c>
      <c r="G19" t="n">
        <v>3.7</v>
      </c>
      <c r="H19" t="n">
        <v>0</v>
      </c>
      <c r="I19" t="n">
        <v>0</v>
      </c>
      <c r="J19" t="n">
        <v>1</v>
      </c>
      <c r="K19" t="n">
        <v>0</v>
      </c>
      <c r="L19" t="n">
        <v>0</v>
      </c>
      <c r="M19" t="n">
        <v>0</v>
      </c>
      <c r="N19" t="n">
        <v>0</v>
      </c>
      <c r="O19" t="n">
        <v>1</v>
      </c>
      <c r="P19" t="n">
        <v>0</v>
      </c>
      <c r="Q19" t="n">
        <v>1</v>
      </c>
      <c r="R19" s="2" t="inlineStr">
        <is>
          <t>Nålbjörnbär</t>
        </is>
      </c>
      <c r="S19">
        <f>HYPERLINK("https://klasma.github.io/Logging_1293/artfynd/A 47678-2019 artfynd.xlsx", "A 47678-2019")</f>
        <v/>
      </c>
      <c r="T19">
        <f>HYPERLINK("https://klasma.github.io/Logging_1293/kartor/A 47678-2019 karta.png", "A 47678-2019")</f>
        <v/>
      </c>
      <c r="V19">
        <f>HYPERLINK("https://klasma.github.io/Logging_1293/klagomål/A 47678-2019 FSC-klagomål.docx", "A 47678-2019")</f>
        <v/>
      </c>
      <c r="W19">
        <f>HYPERLINK("https://klasma.github.io/Logging_1293/klagomålsmail/A 47678-2019 FSC-klagomål mail.docx", "A 47678-2019")</f>
        <v/>
      </c>
      <c r="X19">
        <f>HYPERLINK("https://klasma.github.io/Logging_1293/tillsyn/A 47678-2019 tillsynsbegäran.docx", "A 47678-2019")</f>
        <v/>
      </c>
      <c r="Y19">
        <f>HYPERLINK("https://klasma.github.io/Logging_1293/tillsynsmail/A 47678-2019 tillsynsbegäran mail.docx", "A 47678-2019")</f>
        <v/>
      </c>
    </row>
    <row r="20" ht="15" customHeight="1">
      <c r="A20" t="inlineStr">
        <is>
          <t>A 55656-2019</t>
        </is>
      </c>
      <c r="B20" s="1" t="n">
        <v>43760</v>
      </c>
      <c r="C20" s="1" t="n">
        <v>45670</v>
      </c>
      <c r="D20" t="inlineStr">
        <is>
          <t>SKÅNE LÄN</t>
        </is>
      </c>
      <c r="E20" t="inlineStr">
        <is>
          <t>HÄSSLEHOLM</t>
        </is>
      </c>
      <c r="G20" t="n">
        <v>1.8</v>
      </c>
      <c r="H20" t="n">
        <v>1</v>
      </c>
      <c r="I20" t="n">
        <v>0</v>
      </c>
      <c r="J20" t="n">
        <v>0</v>
      </c>
      <c r="K20" t="n">
        <v>1</v>
      </c>
      <c r="L20" t="n">
        <v>0</v>
      </c>
      <c r="M20" t="n">
        <v>0</v>
      </c>
      <c r="N20" t="n">
        <v>0</v>
      </c>
      <c r="O20" t="n">
        <v>1</v>
      </c>
      <c r="P20" t="n">
        <v>1</v>
      </c>
      <c r="Q20" t="n">
        <v>1</v>
      </c>
      <c r="R20" s="2" t="inlineStr">
        <is>
          <t>Hedblomster</t>
        </is>
      </c>
      <c r="S20">
        <f>HYPERLINK("https://klasma.github.io/Logging_1293/artfynd/A 55656-2019 artfynd.xlsx", "A 55656-2019")</f>
        <v/>
      </c>
      <c r="T20">
        <f>HYPERLINK("https://klasma.github.io/Logging_1293/kartor/A 55656-2019 karta.png", "A 55656-2019")</f>
        <v/>
      </c>
      <c r="V20">
        <f>HYPERLINK("https://klasma.github.io/Logging_1293/klagomål/A 55656-2019 FSC-klagomål.docx", "A 55656-2019")</f>
        <v/>
      </c>
      <c r="W20">
        <f>HYPERLINK("https://klasma.github.io/Logging_1293/klagomålsmail/A 55656-2019 FSC-klagomål mail.docx", "A 55656-2019")</f>
        <v/>
      </c>
      <c r="X20">
        <f>HYPERLINK("https://klasma.github.io/Logging_1293/tillsyn/A 55656-2019 tillsynsbegäran.docx", "A 55656-2019")</f>
        <v/>
      </c>
      <c r="Y20">
        <f>HYPERLINK("https://klasma.github.io/Logging_1293/tillsynsmail/A 55656-2019 tillsynsbegäran mail.docx", "A 55656-2019")</f>
        <v/>
      </c>
    </row>
    <row r="21" ht="15" customHeight="1">
      <c r="A21" t="inlineStr">
        <is>
          <t>A 57275-2019</t>
        </is>
      </c>
      <c r="B21" s="1" t="n">
        <v>43760</v>
      </c>
      <c r="C21" s="1" t="n">
        <v>45670</v>
      </c>
      <c r="D21" t="inlineStr">
        <is>
          <t>SKÅNE LÄN</t>
        </is>
      </c>
      <c r="E21" t="inlineStr">
        <is>
          <t>HÄSSLEHOLM</t>
        </is>
      </c>
      <c r="G21" t="n">
        <v>0.6</v>
      </c>
      <c r="H21" t="n">
        <v>0</v>
      </c>
      <c r="I21" t="n">
        <v>0</v>
      </c>
      <c r="J21" t="n">
        <v>0</v>
      </c>
      <c r="K21" t="n">
        <v>1</v>
      </c>
      <c r="L21" t="n">
        <v>0</v>
      </c>
      <c r="M21" t="n">
        <v>0</v>
      </c>
      <c r="N21" t="n">
        <v>0</v>
      </c>
      <c r="O21" t="n">
        <v>1</v>
      </c>
      <c r="P21" t="n">
        <v>1</v>
      </c>
      <c r="Q21" t="n">
        <v>1</v>
      </c>
      <c r="R21" s="2" t="inlineStr">
        <is>
          <t>Småvänderot</t>
        </is>
      </c>
      <c r="S21">
        <f>HYPERLINK("https://klasma.github.io/Logging_1293/artfynd/A 57275-2019 artfynd.xlsx", "A 57275-2019")</f>
        <v/>
      </c>
      <c r="T21">
        <f>HYPERLINK("https://klasma.github.io/Logging_1293/kartor/A 57275-2019 karta.png", "A 57275-2019")</f>
        <v/>
      </c>
      <c r="V21">
        <f>HYPERLINK("https://klasma.github.io/Logging_1293/klagomål/A 57275-2019 FSC-klagomål.docx", "A 57275-2019")</f>
        <v/>
      </c>
      <c r="W21">
        <f>HYPERLINK("https://klasma.github.io/Logging_1293/klagomålsmail/A 57275-2019 FSC-klagomål mail.docx", "A 57275-2019")</f>
        <v/>
      </c>
      <c r="X21">
        <f>HYPERLINK("https://klasma.github.io/Logging_1293/tillsyn/A 57275-2019 tillsynsbegäran.docx", "A 57275-2019")</f>
        <v/>
      </c>
      <c r="Y21">
        <f>HYPERLINK("https://klasma.github.io/Logging_1293/tillsynsmail/A 57275-2019 tillsynsbegäran mail.docx", "A 57275-2019")</f>
        <v/>
      </c>
    </row>
    <row r="22" ht="15" customHeight="1">
      <c r="A22" t="inlineStr">
        <is>
          <t>A 2738-2020</t>
        </is>
      </c>
      <c r="B22" s="1" t="n">
        <v>43843</v>
      </c>
      <c r="C22" s="1" t="n">
        <v>45670</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2738-2020 artfynd.xlsx", "A 2738-2020")</f>
        <v/>
      </c>
      <c r="T22">
        <f>HYPERLINK("https://klasma.github.io/Logging_1293/kartor/A 2738-2020 karta.png", "A 2738-2020")</f>
        <v/>
      </c>
      <c r="V22">
        <f>HYPERLINK("https://klasma.github.io/Logging_1293/klagomål/A 2738-2020 FSC-klagomål.docx", "A 2738-2020")</f>
        <v/>
      </c>
      <c r="W22">
        <f>HYPERLINK("https://klasma.github.io/Logging_1293/klagomålsmail/A 2738-2020 FSC-klagomål mail.docx", "A 2738-2020")</f>
        <v/>
      </c>
      <c r="X22">
        <f>HYPERLINK("https://klasma.github.io/Logging_1293/tillsyn/A 2738-2020 tillsynsbegäran.docx", "A 2738-2020")</f>
        <v/>
      </c>
      <c r="Y22">
        <f>HYPERLINK("https://klasma.github.io/Logging_1293/tillsynsmail/A 2738-2020 tillsynsbegäran mail.docx", "A 2738-2020")</f>
        <v/>
      </c>
    </row>
    <row r="23" ht="15" customHeight="1">
      <c r="A23" t="inlineStr">
        <is>
          <t>A 15862-2020</t>
        </is>
      </c>
      <c r="B23" s="1" t="n">
        <v>43910</v>
      </c>
      <c r="C23" s="1" t="n">
        <v>45670</v>
      </c>
      <c r="D23" t="inlineStr">
        <is>
          <t>SKÅNE LÄN</t>
        </is>
      </c>
      <c r="E23" t="inlineStr">
        <is>
          <t>HÄSSLEHOLM</t>
        </is>
      </c>
      <c r="G23" t="n">
        <v>10.3</v>
      </c>
      <c r="H23" t="n">
        <v>0</v>
      </c>
      <c r="I23" t="n">
        <v>0</v>
      </c>
      <c r="J23" t="n">
        <v>1</v>
      </c>
      <c r="K23" t="n">
        <v>0</v>
      </c>
      <c r="L23" t="n">
        <v>0</v>
      </c>
      <c r="M23" t="n">
        <v>0</v>
      </c>
      <c r="N23" t="n">
        <v>0</v>
      </c>
      <c r="O23" t="n">
        <v>1</v>
      </c>
      <c r="P23" t="n">
        <v>0</v>
      </c>
      <c r="Q23" t="n">
        <v>1</v>
      </c>
      <c r="R23" s="2" t="inlineStr">
        <is>
          <t>Sydlig sotticka</t>
        </is>
      </c>
      <c r="S23">
        <f>HYPERLINK("https://klasma.github.io/Logging_1293/artfynd/A 15862-2020 artfynd.xlsx", "A 15862-2020")</f>
        <v/>
      </c>
      <c r="T23">
        <f>HYPERLINK("https://klasma.github.io/Logging_1293/kartor/A 15862-2020 karta.png", "A 15862-2020")</f>
        <v/>
      </c>
      <c r="V23">
        <f>HYPERLINK("https://klasma.github.io/Logging_1293/klagomål/A 15862-2020 FSC-klagomål.docx", "A 15862-2020")</f>
        <v/>
      </c>
      <c r="W23">
        <f>HYPERLINK("https://klasma.github.io/Logging_1293/klagomålsmail/A 15862-2020 FSC-klagomål mail.docx", "A 15862-2020")</f>
        <v/>
      </c>
      <c r="X23">
        <f>HYPERLINK("https://klasma.github.io/Logging_1293/tillsyn/A 15862-2020 tillsynsbegäran.docx", "A 15862-2020")</f>
        <v/>
      </c>
      <c r="Y23">
        <f>HYPERLINK("https://klasma.github.io/Logging_1293/tillsynsmail/A 15862-2020 tillsynsbegäran mail.docx", "A 15862-2020")</f>
        <v/>
      </c>
    </row>
    <row r="24" ht="15" customHeight="1">
      <c r="A24" t="inlineStr">
        <is>
          <t>A 62434-2020</t>
        </is>
      </c>
      <c r="B24" s="1" t="n">
        <v>44159</v>
      </c>
      <c r="C24" s="1" t="n">
        <v>45670</v>
      </c>
      <c r="D24" t="inlineStr">
        <is>
          <t>SKÅNE LÄN</t>
        </is>
      </c>
      <c r="E24" t="inlineStr">
        <is>
          <t>HÄSSLEHOLM</t>
        </is>
      </c>
      <c r="G24" t="n">
        <v>2</v>
      </c>
      <c r="H24" t="n">
        <v>0</v>
      </c>
      <c r="I24" t="n">
        <v>0</v>
      </c>
      <c r="J24" t="n">
        <v>1</v>
      </c>
      <c r="K24" t="n">
        <v>0</v>
      </c>
      <c r="L24" t="n">
        <v>0</v>
      </c>
      <c r="M24" t="n">
        <v>0</v>
      </c>
      <c r="N24" t="n">
        <v>0</v>
      </c>
      <c r="O24" t="n">
        <v>1</v>
      </c>
      <c r="P24" t="n">
        <v>0</v>
      </c>
      <c r="Q24" t="n">
        <v>1</v>
      </c>
      <c r="R24" s="2" t="inlineStr">
        <is>
          <t>Borsttåg</t>
        </is>
      </c>
      <c r="S24">
        <f>HYPERLINK("https://klasma.github.io/Logging_1293/artfynd/A 62434-2020 artfynd.xlsx", "A 62434-2020")</f>
        <v/>
      </c>
      <c r="T24">
        <f>HYPERLINK("https://klasma.github.io/Logging_1293/kartor/A 62434-2020 karta.png", "A 62434-2020")</f>
        <v/>
      </c>
      <c r="V24">
        <f>HYPERLINK("https://klasma.github.io/Logging_1293/klagomål/A 62434-2020 FSC-klagomål.docx", "A 62434-2020")</f>
        <v/>
      </c>
      <c r="W24">
        <f>HYPERLINK("https://klasma.github.io/Logging_1293/klagomålsmail/A 62434-2020 FSC-klagomål mail.docx", "A 62434-2020")</f>
        <v/>
      </c>
      <c r="X24">
        <f>HYPERLINK("https://klasma.github.io/Logging_1293/tillsyn/A 62434-2020 tillsynsbegäran.docx", "A 62434-2020")</f>
        <v/>
      </c>
      <c r="Y24">
        <f>HYPERLINK("https://klasma.github.io/Logging_1293/tillsynsmail/A 62434-2020 tillsynsbegäran mail.docx", "A 62434-2020")</f>
        <v/>
      </c>
    </row>
    <row r="25" ht="15" customHeight="1">
      <c r="A25" t="inlineStr">
        <is>
          <t>A 44705-2021</t>
        </is>
      </c>
      <c r="B25" s="1" t="n">
        <v>44438</v>
      </c>
      <c r="C25" s="1" t="n">
        <v>45670</v>
      </c>
      <c r="D25" t="inlineStr">
        <is>
          <t>SKÅNE LÄN</t>
        </is>
      </c>
      <c r="E25" t="inlineStr">
        <is>
          <t>HÄSSLEHOLM</t>
        </is>
      </c>
      <c r="G25" t="n">
        <v>1.7</v>
      </c>
      <c r="H25" t="n">
        <v>0</v>
      </c>
      <c r="I25" t="n">
        <v>1</v>
      </c>
      <c r="J25" t="n">
        <v>0</v>
      </c>
      <c r="K25" t="n">
        <v>0</v>
      </c>
      <c r="L25" t="n">
        <v>0</v>
      </c>
      <c r="M25" t="n">
        <v>0</v>
      </c>
      <c r="N25" t="n">
        <v>0</v>
      </c>
      <c r="O25" t="n">
        <v>0</v>
      </c>
      <c r="P25" t="n">
        <v>0</v>
      </c>
      <c r="Q25" t="n">
        <v>1</v>
      </c>
      <c r="R25" s="2" t="inlineStr">
        <is>
          <t>Blåmossa</t>
        </is>
      </c>
      <c r="S25">
        <f>HYPERLINK("https://klasma.github.io/Logging_1293/artfynd/A 44705-2021 artfynd.xlsx", "A 44705-2021")</f>
        <v/>
      </c>
      <c r="T25">
        <f>HYPERLINK("https://klasma.github.io/Logging_1293/kartor/A 44705-2021 karta.png", "A 44705-2021")</f>
        <v/>
      </c>
      <c r="V25">
        <f>HYPERLINK("https://klasma.github.io/Logging_1293/klagomål/A 44705-2021 FSC-klagomål.docx", "A 44705-2021")</f>
        <v/>
      </c>
      <c r="W25">
        <f>HYPERLINK("https://klasma.github.io/Logging_1293/klagomålsmail/A 44705-2021 FSC-klagomål mail.docx", "A 44705-2021")</f>
        <v/>
      </c>
      <c r="X25">
        <f>HYPERLINK("https://klasma.github.io/Logging_1293/tillsyn/A 44705-2021 tillsynsbegäran.docx", "A 44705-2021")</f>
        <v/>
      </c>
      <c r="Y25">
        <f>HYPERLINK("https://klasma.github.io/Logging_1293/tillsynsmail/A 44705-2021 tillsynsbegäran mail.docx", "A 44705-2021")</f>
        <v/>
      </c>
    </row>
    <row r="26" ht="15" customHeight="1">
      <c r="A26" t="inlineStr">
        <is>
          <t>A 6350-2022</t>
        </is>
      </c>
      <c r="B26" s="1" t="n">
        <v>44600</v>
      </c>
      <c r="C26" s="1" t="n">
        <v>45670</v>
      </c>
      <c r="D26" t="inlineStr">
        <is>
          <t>SKÅNE LÄN</t>
        </is>
      </c>
      <c r="E26" t="inlineStr">
        <is>
          <t>HÄSSLEHOLM</t>
        </is>
      </c>
      <c r="G26" t="n">
        <v>6.1</v>
      </c>
      <c r="H26" t="n">
        <v>1</v>
      </c>
      <c r="I26" t="n">
        <v>1</v>
      </c>
      <c r="J26" t="n">
        <v>0</v>
      </c>
      <c r="K26" t="n">
        <v>0</v>
      </c>
      <c r="L26" t="n">
        <v>0</v>
      </c>
      <c r="M26" t="n">
        <v>0</v>
      </c>
      <c r="N26" t="n">
        <v>0</v>
      </c>
      <c r="O26" t="n">
        <v>0</v>
      </c>
      <c r="P26" t="n">
        <v>0</v>
      </c>
      <c r="Q26" t="n">
        <v>1</v>
      </c>
      <c r="R26" s="2" t="inlineStr">
        <is>
          <t>Skogsknipprot</t>
        </is>
      </c>
      <c r="S26">
        <f>HYPERLINK("https://klasma.github.io/Logging_1293/artfynd/A 6350-2022 artfynd.xlsx", "A 6350-2022")</f>
        <v/>
      </c>
      <c r="T26">
        <f>HYPERLINK("https://klasma.github.io/Logging_1293/kartor/A 6350-2022 karta.png", "A 6350-2022")</f>
        <v/>
      </c>
      <c r="V26">
        <f>HYPERLINK("https://klasma.github.io/Logging_1293/klagomål/A 6350-2022 FSC-klagomål.docx", "A 6350-2022")</f>
        <v/>
      </c>
      <c r="W26">
        <f>HYPERLINK("https://klasma.github.io/Logging_1293/klagomålsmail/A 6350-2022 FSC-klagomål mail.docx", "A 6350-2022")</f>
        <v/>
      </c>
      <c r="X26">
        <f>HYPERLINK("https://klasma.github.io/Logging_1293/tillsyn/A 6350-2022 tillsynsbegäran.docx", "A 6350-2022")</f>
        <v/>
      </c>
      <c r="Y26">
        <f>HYPERLINK("https://klasma.github.io/Logging_1293/tillsynsmail/A 6350-2022 tillsynsbegäran mail.docx", "A 6350-2022")</f>
        <v/>
      </c>
    </row>
    <row r="27" ht="15" customHeight="1">
      <c r="A27" t="inlineStr">
        <is>
          <t>A 13705-2022</t>
        </is>
      </c>
      <c r="B27" s="1" t="n">
        <v>44648</v>
      </c>
      <c r="C27" s="1" t="n">
        <v>45670</v>
      </c>
      <c r="D27" t="inlineStr">
        <is>
          <t>SKÅNE LÄN</t>
        </is>
      </c>
      <c r="E27" t="inlineStr">
        <is>
          <t>HÄSSLEHOLM</t>
        </is>
      </c>
      <c r="G27" t="n">
        <v>1.5</v>
      </c>
      <c r="H27" t="n">
        <v>1</v>
      </c>
      <c r="I27" t="n">
        <v>0</v>
      </c>
      <c r="J27" t="n">
        <v>0</v>
      </c>
      <c r="K27" t="n">
        <v>0</v>
      </c>
      <c r="L27" t="n">
        <v>0</v>
      </c>
      <c r="M27" t="n">
        <v>0</v>
      </c>
      <c r="N27" t="n">
        <v>0</v>
      </c>
      <c r="O27" t="n">
        <v>0</v>
      </c>
      <c r="P27" t="n">
        <v>0</v>
      </c>
      <c r="Q27" t="n">
        <v>1</v>
      </c>
      <c r="R27" s="2" t="inlineStr">
        <is>
          <t>Grönvit nattviol</t>
        </is>
      </c>
      <c r="S27">
        <f>HYPERLINK("https://klasma.github.io/Logging_1293/artfynd/A 13705-2022 artfynd.xlsx", "A 13705-2022")</f>
        <v/>
      </c>
      <c r="T27">
        <f>HYPERLINK("https://klasma.github.io/Logging_1293/kartor/A 13705-2022 karta.png", "A 13705-2022")</f>
        <v/>
      </c>
      <c r="V27">
        <f>HYPERLINK("https://klasma.github.io/Logging_1293/klagomål/A 13705-2022 FSC-klagomål.docx", "A 13705-2022")</f>
        <v/>
      </c>
      <c r="W27">
        <f>HYPERLINK("https://klasma.github.io/Logging_1293/klagomålsmail/A 13705-2022 FSC-klagomål mail.docx", "A 13705-2022")</f>
        <v/>
      </c>
      <c r="X27">
        <f>HYPERLINK("https://klasma.github.io/Logging_1293/tillsyn/A 13705-2022 tillsynsbegäran.docx", "A 13705-2022")</f>
        <v/>
      </c>
      <c r="Y27">
        <f>HYPERLINK("https://klasma.github.io/Logging_1293/tillsynsmail/A 13705-2022 tillsynsbegäran mail.docx", "A 13705-2022")</f>
        <v/>
      </c>
    </row>
    <row r="28" ht="15" customHeight="1">
      <c r="A28" t="inlineStr">
        <is>
          <t>A 27958-2022</t>
        </is>
      </c>
      <c r="B28" s="1" t="n">
        <v>44744</v>
      </c>
      <c r="C28" s="1" t="n">
        <v>45670</v>
      </c>
      <c r="D28" t="inlineStr">
        <is>
          <t>SKÅNE LÄN</t>
        </is>
      </c>
      <c r="E28" t="inlineStr">
        <is>
          <t>HÄSSLEHOLM</t>
        </is>
      </c>
      <c r="G28" t="n">
        <v>3.9</v>
      </c>
      <c r="H28" t="n">
        <v>0</v>
      </c>
      <c r="I28" t="n">
        <v>1</v>
      </c>
      <c r="J28" t="n">
        <v>0</v>
      </c>
      <c r="K28" t="n">
        <v>0</v>
      </c>
      <c r="L28" t="n">
        <v>0</v>
      </c>
      <c r="M28" t="n">
        <v>0</v>
      </c>
      <c r="N28" t="n">
        <v>0</v>
      </c>
      <c r="O28" t="n">
        <v>0</v>
      </c>
      <c r="P28" t="n">
        <v>0</v>
      </c>
      <c r="Q28" t="n">
        <v>1</v>
      </c>
      <c r="R28" s="2" t="inlineStr">
        <is>
          <t>Myskmadra</t>
        </is>
      </c>
      <c r="S28">
        <f>HYPERLINK("https://klasma.github.io/Logging_1293/artfynd/A 27958-2022 artfynd.xlsx", "A 27958-2022")</f>
        <v/>
      </c>
      <c r="T28">
        <f>HYPERLINK("https://klasma.github.io/Logging_1293/kartor/A 27958-2022 karta.png", "A 27958-2022")</f>
        <v/>
      </c>
      <c r="V28">
        <f>HYPERLINK("https://klasma.github.io/Logging_1293/klagomål/A 27958-2022 FSC-klagomål.docx", "A 27958-2022")</f>
        <v/>
      </c>
      <c r="W28">
        <f>HYPERLINK("https://klasma.github.io/Logging_1293/klagomålsmail/A 27958-2022 FSC-klagomål mail.docx", "A 27958-2022")</f>
        <v/>
      </c>
      <c r="X28">
        <f>HYPERLINK("https://klasma.github.io/Logging_1293/tillsyn/A 27958-2022 tillsynsbegäran.docx", "A 27958-2022")</f>
        <v/>
      </c>
      <c r="Y28">
        <f>HYPERLINK("https://klasma.github.io/Logging_1293/tillsynsmail/A 27958-2022 tillsynsbegäran mail.docx", "A 27958-2022")</f>
        <v/>
      </c>
    </row>
    <row r="29" ht="15" customHeight="1">
      <c r="A29" t="inlineStr">
        <is>
          <t>A 39733-2022</t>
        </is>
      </c>
      <c r="B29" s="1" t="n">
        <v>44819</v>
      </c>
      <c r="C29" s="1" t="n">
        <v>45670</v>
      </c>
      <c r="D29" t="inlineStr">
        <is>
          <t>SKÅNE LÄN</t>
        </is>
      </c>
      <c r="E29" t="inlineStr">
        <is>
          <t>HÄSSLEHOLM</t>
        </is>
      </c>
      <c r="G29" t="n">
        <v>1.9</v>
      </c>
      <c r="H29" t="n">
        <v>1</v>
      </c>
      <c r="I29" t="n">
        <v>0</v>
      </c>
      <c r="J29" t="n">
        <v>1</v>
      </c>
      <c r="K29" t="n">
        <v>0</v>
      </c>
      <c r="L29" t="n">
        <v>0</v>
      </c>
      <c r="M29" t="n">
        <v>0</v>
      </c>
      <c r="N29" t="n">
        <v>0</v>
      </c>
      <c r="O29" t="n">
        <v>1</v>
      </c>
      <c r="P29" t="n">
        <v>0</v>
      </c>
      <c r="Q29" t="n">
        <v>1</v>
      </c>
      <c r="R29" s="2" t="inlineStr">
        <is>
          <t>Spillkråka</t>
        </is>
      </c>
      <c r="S29">
        <f>HYPERLINK("https://klasma.github.io/Logging_1293/artfynd/A 39733-2022 artfynd.xlsx", "A 39733-2022")</f>
        <v/>
      </c>
      <c r="T29">
        <f>HYPERLINK("https://klasma.github.io/Logging_1293/kartor/A 39733-2022 karta.png", "A 39733-2022")</f>
        <v/>
      </c>
      <c r="V29">
        <f>HYPERLINK("https://klasma.github.io/Logging_1293/klagomål/A 39733-2022 FSC-klagomål.docx", "A 39733-2022")</f>
        <v/>
      </c>
      <c r="W29">
        <f>HYPERLINK("https://klasma.github.io/Logging_1293/klagomålsmail/A 39733-2022 FSC-klagomål mail.docx", "A 39733-2022")</f>
        <v/>
      </c>
      <c r="X29">
        <f>HYPERLINK("https://klasma.github.io/Logging_1293/tillsyn/A 39733-2022 tillsynsbegäran.docx", "A 39733-2022")</f>
        <v/>
      </c>
      <c r="Y29">
        <f>HYPERLINK("https://klasma.github.io/Logging_1293/tillsynsmail/A 39733-2022 tillsynsbegäran mail.docx", "A 39733-2022")</f>
        <v/>
      </c>
      <c r="Z29">
        <f>HYPERLINK("https://klasma.github.io/Logging_1293/fåglar/A 39733-2022 prioriterade fågelarter.docx", "A 39733-2022")</f>
        <v/>
      </c>
    </row>
    <row r="30" ht="15" customHeight="1">
      <c r="A30" t="inlineStr">
        <is>
          <t>A 49572-2022</t>
        </is>
      </c>
      <c r="B30" s="1" t="n">
        <v>44862</v>
      </c>
      <c r="C30" s="1" t="n">
        <v>45670</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45670</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29272-2023</t>
        </is>
      </c>
      <c r="B32" s="1" t="n">
        <v>45105</v>
      </c>
      <c r="C32" s="1" t="n">
        <v>45670</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46602-2023</t>
        </is>
      </c>
      <c r="B33" s="1" t="n">
        <v>45194</v>
      </c>
      <c r="C33" s="1" t="n">
        <v>45670</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6634-2024</t>
        </is>
      </c>
      <c r="B34" s="1" t="n">
        <v>45341</v>
      </c>
      <c r="C34" s="1" t="n">
        <v>45670</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7862-2024</t>
        </is>
      </c>
      <c r="B35" s="1" t="n">
        <v>45348</v>
      </c>
      <c r="C35" s="1" t="n">
        <v>45670</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11226-2024</t>
        </is>
      </c>
      <c r="B36" s="1" t="n">
        <v>45371</v>
      </c>
      <c r="C36" s="1" t="n">
        <v>45670</v>
      </c>
      <c r="D36" t="inlineStr">
        <is>
          <t>SKÅNE LÄN</t>
        </is>
      </c>
      <c r="E36" t="inlineStr">
        <is>
          <t>HÄSSLEHOLM</t>
        </is>
      </c>
      <c r="G36" t="n">
        <v>1.5</v>
      </c>
      <c r="H36" t="n">
        <v>0</v>
      </c>
      <c r="I36" t="n">
        <v>0</v>
      </c>
      <c r="J36" t="n">
        <v>0</v>
      </c>
      <c r="K36" t="n">
        <v>1</v>
      </c>
      <c r="L36" t="n">
        <v>0</v>
      </c>
      <c r="M36" t="n">
        <v>0</v>
      </c>
      <c r="N36" t="n">
        <v>0</v>
      </c>
      <c r="O36" t="n">
        <v>1</v>
      </c>
      <c r="P36" t="n">
        <v>1</v>
      </c>
      <c r="Q36" t="n">
        <v>1</v>
      </c>
      <c r="R36" s="2" t="inlineStr">
        <is>
          <t>Småvänderot</t>
        </is>
      </c>
      <c r="S36">
        <f>HYPERLINK("https://klasma.github.io/Logging_1293/artfynd/A 11226-2024 artfynd.xlsx", "A 11226-2024")</f>
        <v/>
      </c>
      <c r="T36">
        <f>HYPERLINK("https://klasma.github.io/Logging_1293/kartor/A 11226-2024 karta.png", "A 11226-2024")</f>
        <v/>
      </c>
      <c r="V36">
        <f>HYPERLINK("https://klasma.github.io/Logging_1293/klagomål/A 11226-2024 FSC-klagomål.docx", "A 11226-2024")</f>
        <v/>
      </c>
      <c r="W36">
        <f>HYPERLINK("https://klasma.github.io/Logging_1293/klagomålsmail/A 11226-2024 FSC-klagomål mail.docx", "A 11226-2024")</f>
        <v/>
      </c>
      <c r="X36">
        <f>HYPERLINK("https://klasma.github.io/Logging_1293/tillsyn/A 11226-2024 tillsynsbegäran.docx", "A 11226-2024")</f>
        <v/>
      </c>
      <c r="Y36">
        <f>HYPERLINK("https://klasma.github.io/Logging_1293/tillsynsmail/A 11226-2024 tillsynsbegäran mail.docx", "A 11226-2024")</f>
        <v/>
      </c>
    </row>
    <row r="37" ht="15" customHeight="1">
      <c r="A37" t="inlineStr">
        <is>
          <t>A 20679-2024</t>
        </is>
      </c>
      <c r="B37" s="1" t="n">
        <v>45436</v>
      </c>
      <c r="C37" s="1" t="n">
        <v>45670</v>
      </c>
      <c r="D37" t="inlineStr">
        <is>
          <t>SKÅNE LÄN</t>
        </is>
      </c>
      <c r="E37" t="inlineStr">
        <is>
          <t>HÄSSLEHOLM</t>
        </is>
      </c>
      <c r="G37" t="n">
        <v>1.1</v>
      </c>
      <c r="H37" t="n">
        <v>0</v>
      </c>
      <c r="I37" t="n">
        <v>1</v>
      </c>
      <c r="J37" t="n">
        <v>0</v>
      </c>
      <c r="K37" t="n">
        <v>0</v>
      </c>
      <c r="L37" t="n">
        <v>0</v>
      </c>
      <c r="M37" t="n">
        <v>0</v>
      </c>
      <c r="N37" t="n">
        <v>0</v>
      </c>
      <c r="O37" t="n">
        <v>0</v>
      </c>
      <c r="P37" t="n">
        <v>0</v>
      </c>
      <c r="Q37" t="n">
        <v>1</v>
      </c>
      <c r="R37" s="2" t="inlineStr">
        <is>
          <t>Blodticka</t>
        </is>
      </c>
      <c r="S37">
        <f>HYPERLINK("https://klasma.github.io/Logging_1293/artfynd/A 20679-2024 artfynd.xlsx", "A 20679-2024")</f>
        <v/>
      </c>
      <c r="T37">
        <f>HYPERLINK("https://klasma.github.io/Logging_1293/kartor/A 20679-2024 karta.png", "A 20679-2024")</f>
        <v/>
      </c>
      <c r="V37">
        <f>HYPERLINK("https://klasma.github.io/Logging_1293/klagomål/A 20679-2024 FSC-klagomål.docx", "A 20679-2024")</f>
        <v/>
      </c>
      <c r="W37">
        <f>HYPERLINK("https://klasma.github.io/Logging_1293/klagomålsmail/A 20679-2024 FSC-klagomål mail.docx", "A 20679-2024")</f>
        <v/>
      </c>
      <c r="X37">
        <f>HYPERLINK("https://klasma.github.io/Logging_1293/tillsyn/A 20679-2024 tillsynsbegäran.docx", "A 20679-2024")</f>
        <v/>
      </c>
      <c r="Y37">
        <f>HYPERLINK("https://klasma.github.io/Logging_1293/tillsynsmail/A 20679-2024 tillsynsbegäran mail.docx", "A 20679-2024")</f>
        <v/>
      </c>
    </row>
    <row r="38" ht="15" customHeight="1">
      <c r="A38" t="inlineStr">
        <is>
          <t>A 32211-2024</t>
        </is>
      </c>
      <c r="B38" s="1" t="n">
        <v>45511</v>
      </c>
      <c r="C38" s="1" t="n">
        <v>45670</v>
      </c>
      <c r="D38" t="inlineStr">
        <is>
          <t>SKÅNE LÄN</t>
        </is>
      </c>
      <c r="E38" t="inlineStr">
        <is>
          <t>HÄSSLEHOLM</t>
        </is>
      </c>
      <c r="G38" t="n">
        <v>5.1</v>
      </c>
      <c r="H38" t="n">
        <v>1</v>
      </c>
      <c r="I38" t="n">
        <v>0</v>
      </c>
      <c r="J38" t="n">
        <v>0</v>
      </c>
      <c r="K38" t="n">
        <v>0</v>
      </c>
      <c r="L38" t="n">
        <v>0</v>
      </c>
      <c r="M38" t="n">
        <v>0</v>
      </c>
      <c r="N38" t="n">
        <v>0</v>
      </c>
      <c r="O38" t="n">
        <v>0</v>
      </c>
      <c r="P38" t="n">
        <v>0</v>
      </c>
      <c r="Q38" t="n">
        <v>1</v>
      </c>
      <c r="R38" s="2" t="inlineStr">
        <is>
          <t>Lopplummer</t>
        </is>
      </c>
      <c r="S38">
        <f>HYPERLINK("https://klasma.github.io/Logging_1293/artfynd/A 32211-2024 artfynd.xlsx", "A 32211-2024")</f>
        <v/>
      </c>
      <c r="T38">
        <f>HYPERLINK("https://klasma.github.io/Logging_1293/kartor/A 32211-2024 karta.png", "A 32211-2024")</f>
        <v/>
      </c>
      <c r="V38">
        <f>HYPERLINK("https://klasma.github.io/Logging_1293/klagomål/A 32211-2024 FSC-klagomål.docx", "A 32211-2024")</f>
        <v/>
      </c>
      <c r="W38">
        <f>HYPERLINK("https://klasma.github.io/Logging_1293/klagomålsmail/A 32211-2024 FSC-klagomål mail.docx", "A 32211-2024")</f>
        <v/>
      </c>
      <c r="X38">
        <f>HYPERLINK("https://klasma.github.io/Logging_1293/tillsyn/A 32211-2024 tillsynsbegäran.docx", "A 32211-2024")</f>
        <v/>
      </c>
      <c r="Y38">
        <f>HYPERLINK("https://klasma.github.io/Logging_1293/tillsynsmail/A 32211-2024 tillsynsbegäran mail.docx", "A 32211-2024")</f>
        <v/>
      </c>
    </row>
    <row r="39" ht="15" customHeight="1">
      <c r="A39" t="inlineStr">
        <is>
          <t>A 54523-2024</t>
        </is>
      </c>
      <c r="B39" s="1" t="n">
        <v>45617</v>
      </c>
      <c r="C39" s="1" t="n">
        <v>45670</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45670</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45670</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45670</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45670</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45670</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45670</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45670</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45670</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45670</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45670</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45670</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45670</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45670</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45670</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45670</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45670</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45670</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45670</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45670</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45670</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45670</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45670</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45670</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45670</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45670</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45670</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45670</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45670</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45670</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45670</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45670</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45670</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45670</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45670</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45670</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45670</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45670</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45670</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45670</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45670</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45670</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45670</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45670</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45670</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45670</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45670</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45670</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45670</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45670</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45670</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45670</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45670</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45670</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45670</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45670</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45670</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45670</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45670</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45670</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45670</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45670</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45670</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45670</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45670</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45670</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45670</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45670</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45670</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45670</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45670</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45670</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45670</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45670</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45670</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45670</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45670</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45670</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45670</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45670</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45670</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45670</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45670</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45670</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45670</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45670</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45670</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45670</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45670</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45670</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45670</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45670</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45670</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45670</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45670</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45670</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45670</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45670</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45670</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45670</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45670</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45670</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45670</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45670</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45670</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45670</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45670</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45670</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45670</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45670</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45670</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45670</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45670</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45670</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45670</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45670</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45670</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45670</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45670</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45670</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45670</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45670</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45670</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45670</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45670</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45670</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45670</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45670</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45670</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45670</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45670</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45670</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45670</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45670</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45670</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45670</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45670</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45670</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45670</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45670</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45670</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45670</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45670</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45670</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45670</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45670</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45670</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45670</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45670</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45670</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45670</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45670</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45670</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45670</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45670</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45670</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45670</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45670</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45670</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45670</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45670</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45670</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45670</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45670</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45670</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45670</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45670</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45670</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45670</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45670</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45670</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45670</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45670</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45670</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45670</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45670</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45670</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45670</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45670</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45670</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45670</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45670</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45670</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45670</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45670</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45670</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45670</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45670</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45670</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45670</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45670</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45670</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45670</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45670</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45670</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45670</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45670</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45670</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45670</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45670</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45670</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45670</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45670</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45670</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45670</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45670</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45670</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45670</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45670</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45670</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45670</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45670</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45670</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45670</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45670</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45670</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45670</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45670</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45670</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45670</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45670</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45670</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45670</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45670</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45670</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45670</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45670</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45670</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45670</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45670</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45670</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45670</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45670</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45670</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45670</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45670</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45670</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45670</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45670</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45670</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45670</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45670</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45670</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45670</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45670</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45670</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45670</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45670</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45670</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45670</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45670</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45670</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45670</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45670</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45670</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45670</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45670</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45670</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45670</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45670</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45670</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45670</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45670</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45670</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45670</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45670</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45670</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45670</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45670</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45670</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45670</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45670</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45670</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45670</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45670</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45670</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45670</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45670</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45670</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45670</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45670</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45670</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45670</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45670</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45670</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45670</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45670</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45670</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45670</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45670</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45670</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45670</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45670</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45670</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45670</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45670</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45670</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45670</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45670</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45670</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45670</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45670</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45670</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45670</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45670</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45670</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45670</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45670</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45670</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45670</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45670</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45670</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45670</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45670</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45670</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45670</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45670</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45670</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45670</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45670</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45670</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45670</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45670</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45670</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45670</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45670</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45670</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45670</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45670</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45670</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45670</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45670</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45670</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45670</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45670</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45670</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45670</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45670</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45670</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45670</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45670</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45670</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45670</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45670</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45670</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45670</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45670</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45670</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45670</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45670</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45670</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45670</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45670</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45670</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45670</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45670</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45670</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45670</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45670</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45670</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45670</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45670</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45670</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45670</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45670</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45670</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45670</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45670</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45670</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45670</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45670</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45670</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45670</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45670</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45670</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45670</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45670</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45670</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45670</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45670</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45670</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45670</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45670</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45670</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45670</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45670</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45670</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45670</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45670</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45670</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45670</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45670</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45670</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45670</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45670</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45670</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45670</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45670</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45670</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45670</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45670</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45670</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45670</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45670</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45670</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45670</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45670</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45670</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45670</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45670</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45670</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45670</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45670</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45670</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45670</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45670</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45670</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45670</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45670</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45670</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45670</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45670</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45670</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45670</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45670</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45670</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45670</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45670</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45670</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45670</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45670</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45670</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45670</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45670</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45670</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45670</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45670</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45670</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45670</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45670</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45670</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45670</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45670</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45670</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45670</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45670</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45670</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45670</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45670</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45670</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45670</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45670</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45670</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45670</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45670</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45670</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45670</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45670</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45670</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45670</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45670</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45670</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45670</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45670</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45670</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45670</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45670</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45670</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45670</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45670</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45670</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45670</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45670</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45670</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45670</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45670</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45670</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45670</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45670</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45670</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45670</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45670</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45670</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45670</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45670</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45670</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45670</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45670</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45670</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45670</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45670</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45670</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45670</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45670</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45670</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45670</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45670</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45670</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45670</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45670</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45670</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45670</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45670</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45670</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45670</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45670</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45670</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45670</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45670</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45670</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45670</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45670</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45670</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45670</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45670</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45670</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45670</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45670</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45670</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45670</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45670</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45670</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45670</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45670</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45670</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45670</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45670</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45670</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45670</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45670</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45670</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45670</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45670</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45670</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45670</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45670</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45670</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45670</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45670</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45670</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45670</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45670</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45670</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45670</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45670</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45670</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45670</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45670</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45670</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45670</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45670</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45670</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45670</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45670</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45670</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45670</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45670</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45670</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45670</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45670</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45670</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45670</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45670</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45670</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45670</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45670</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45670</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45670</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45670</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45670</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45670</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45670</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45670</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45670</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45670</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45670</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45670</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45670</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45670</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45670</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45670</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45670</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45670</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45670</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45670</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45670</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45670</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45670</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45670</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45670</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45670</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45670</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45670</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45670</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45670</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45670</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45670</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45670</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45670</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45670</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45670</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45670</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45670</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45670</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45670</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45670</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45670</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45670</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45670</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45670</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45670</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45670</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45670</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45670</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45670</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45670</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45670</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45670</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45670</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45670</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45670</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45670</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45670</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45670</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45670</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45670</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45670</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45670</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45670</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45670</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45670</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45670</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45670</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45670</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45670</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45670</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45670</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45670</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45670</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45670</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45670</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45670</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45670</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45670</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45670</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45670</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45670</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45670</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45670</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45670</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45670</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45670</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45670</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45670</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45670</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45670</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45670</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45670</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45670</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45670</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45670</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45670</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45670</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45670</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45670</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45670</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45670</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45670</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45670</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45670</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45670</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45670</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45670</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45670</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45670</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45670</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45670</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45670</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45670</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45670</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45670</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45670</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45670</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45670</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45670</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45670</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45670</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45670</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45670</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45670</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45670</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45670</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45670</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45670</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45670</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45670</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45670</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45670</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45670</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45670</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45670</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45670</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45670</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45670</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45670</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45670</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45670</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45670</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45670</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45670</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45670</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45670</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45670</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45670</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45670</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45670</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45670</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45670</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45670</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45670</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45670</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45670</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45670</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45670</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45670</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45670</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45670</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45670</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45670</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45670</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45670</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45670</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45670</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45670</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45670</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45670</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45670</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45670</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45670</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45670</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45670</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45670</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45670</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45670</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45670</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45670</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45670</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45670</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45670</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45670</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45670</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45670</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45670</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45670</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45670</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45670</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45670</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45670</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45670</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45670</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45670</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45670</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45670</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45670</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45670</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45670</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45670</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45670</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45670</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45670</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45670</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45670</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45670</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45670</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45670</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45670</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45670</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45670</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45670</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45670</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45670</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45670</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45670</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45670</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45670</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45670</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45670</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45670</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45670</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45670</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45670</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45670</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45670</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45670</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45670</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45670</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45670</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45670</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45670</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45670</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45670</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45670</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45670</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45670</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45670</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45670</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45670</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45670</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45670</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45670</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45670</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45670</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45670</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45670</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45670</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45670</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45670</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45670</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45670</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45670</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45670</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45670</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45670</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45670</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45670</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45670</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45670</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45670</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45670</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45670</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45670</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45670</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45670</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45670</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45670</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45670</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45670</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45670</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45670</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45670</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45670</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45670</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45670</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45670</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45670</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45670</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45670</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45670</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45670</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45670</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45670</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45670</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45670</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45670</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45670</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45670</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45670</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45670</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45670</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45670</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45670</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45670</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45670</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45670</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45670</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45670</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45670</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45670</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45670</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45670</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45670</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45670</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45670</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45670</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45670</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45670</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45670</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45670</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45670</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45670</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45670</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45670</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45670</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45670</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45670</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45670</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45670</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45670</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45670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45670</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45670</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45670</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45670</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45670</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45670</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45670</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45670</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45670</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45670</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45670</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45670</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45670</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45670</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45670</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45670</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45670</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45670</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45670</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45670</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45670</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45670</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45670</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45670</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45670</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45670</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45670</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45670</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45670</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45670</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45670</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45670</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45670</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45670</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45670</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45670</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45670</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45670</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45670</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45670</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45670</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45670</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45670</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45670</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45670</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45670</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45670</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45670</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45670</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45670</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45670</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45670</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45670</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45670</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45670</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45670</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45670</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45670</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45670</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45670</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45670</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45670</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45670</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45670</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45670</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45670</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45670</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45670</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45670</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45670</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45670</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45670</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45670</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45670</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45670</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45670</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45670</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45670</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45670</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45670</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45670</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45670</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45670</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45670</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45670</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45670</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45670</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45670</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45670</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45670</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45670</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45670</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45670</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45670</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45670</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45670</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45670</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45670</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45670</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45670</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45670</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45670</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45670</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45670</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45670</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45670</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45670</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45670</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45670</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45670</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45670</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45670</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45670</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45670</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45670</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45670</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45670</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45670</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45670</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45670</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45670</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45670</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45670</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45670</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45670</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45670</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45670</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45670</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45670</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45670</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45670</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45670</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45670</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45670</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45670</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45670</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45670</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45670</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45670</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45670</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45670</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45670</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45670</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45670</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45670</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45670</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45670</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45670</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45670</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45670</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45670</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45670</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45670</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45670</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45670</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45670</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45670</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45670</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45670</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45670</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45670</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45670</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45670</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45670</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45670</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45670</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45670</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45670</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45670</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45670</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45670</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45670</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45670</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45670</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45670</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45670</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45670</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45670</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45670</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45670</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45670</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45670</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45670</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45670</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45670</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45670</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45670</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45670</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45670</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45670</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45670</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45670</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45670</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45670</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45670</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45670</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45670</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45670</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45670</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45670</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45670</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45670</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45670</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45670</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45670</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45670</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45670</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45670</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45670</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45670</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45670</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45670</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45670</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45670</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45670</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45670</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45670</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45670</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45670</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45670</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45670</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45670</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45670</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45670</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45670</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45670</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45670</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45670</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45670</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45670</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45670</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45670</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45670</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45670</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45670</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45670</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45670</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45670</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45670</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45670</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45670</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45670</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45670</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45670</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45670</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45670</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45670</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45670</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45670</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45670</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45670</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45670</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45670</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45670</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45670</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45670</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45670</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45670</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45670</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45670</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45670</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45670</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45670</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45670</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45670</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45670</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45670</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45670</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45670</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45670</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45670</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45670</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45670</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45670</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45670</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45670</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45670</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45670</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45670</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45670</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45670</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45670</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45670</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45670</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45670</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45670</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45670</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45670</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45670</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45670</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45670</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45670</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45670</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45670</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45670</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45670</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45670</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45670</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45670</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45670</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45670</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45670</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45670</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45670</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45670</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45670</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45670</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45670</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45670</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45670</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45670</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45670</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45670</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45670</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45670</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45670</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45670</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45670</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45670</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45670</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45670</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45670</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45670</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45670</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45670</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45670</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45670</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45670</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45670</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45670</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45670</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45670</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45670</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45670</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45670</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45670</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45670</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45670</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45670</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45670</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45670</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45670</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45670</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45670</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45670</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45670</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45670</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45670</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45670</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45670</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45670</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45670</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45670</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45670</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45670</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45670</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45670</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45670</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45670</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45670</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45670</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45670</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45670</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45670</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45670</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45670</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45670</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45670</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45670</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45670</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45670</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45670</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45670</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45670</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45670</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45670</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45670</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45670</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45670</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45670</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45670</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45670</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45670</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45670</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45670</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45670</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45670</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45670</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45670</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45670</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45670</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45670</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45670</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45670</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45670</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45670</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45670</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45670</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45670</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45670</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45670</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45670</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45670</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45670</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45670</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45670</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45670</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45670</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45670</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45670</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45670</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45670</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45670</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45670</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45670</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45670</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45670</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45670</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45670</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45670</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45670</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45670</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45670</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45670</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45670</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45670</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45670</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45670</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45670</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45670</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45670</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45670</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45670</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45670</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45670</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45670</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45670</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45670</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45670</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45670</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45670</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45670</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45670</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45670</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45670</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45670</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45670</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45670</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45670</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45670</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45670</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45670</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45670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45670</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45670</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45670</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45670</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45670</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45670</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45670</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45670</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45670</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45670</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45670</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45670</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45670</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45670</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45670</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45670</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45670</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45670</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45670</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45670</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45670</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45670</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45670</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45670</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45670</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45670</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45670</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45670</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45670</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45670</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45670</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45670</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45670</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45670</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45670</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45670</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45670</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45670</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45670</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45670</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45670</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45670</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45670</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45670</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45670</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45670</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45670</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45670</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45670</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45670</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45670</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45670</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45670</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45670</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45670</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45670</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45670</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45670</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45670</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45670</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45670</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45670</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45670</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45670</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45670</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45670</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45670</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45670</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45670</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45670</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45670</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45670</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45670</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45670</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45670</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45670</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45670</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45670</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45670</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45670</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45670</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45670</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45670</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45670</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45670</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45670</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45670</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45670</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45670</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45670</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45670</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45670</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45670</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45670</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45670</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45670</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45670</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45670</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45670</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45670</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45670</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45670</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45670</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45670</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45670</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45670</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45670</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45670</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45670</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45670</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45670</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45670</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45670</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45670</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45670</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45670</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45670</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45670</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45670</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45670</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45670</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45670</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45670</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45670</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45670</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45670</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45670</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45670</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45670</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45670</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45670</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45670</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45670</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45670</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45670</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45670</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45670</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45670</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45670</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45670</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45670</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45670</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45670</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45670</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45670</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45670</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45670</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45670</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45670</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45670</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45670</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45670</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45670</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45670</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45670</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45670</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45670</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45670</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45670</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45670</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45670</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45670</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45670</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45670</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45670</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45670</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45670</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45670</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45670</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45670</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45670</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45670</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45670</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45670</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45670</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45670</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45670</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45670</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45670</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45670</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45670</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45670</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45670</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45670</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45670</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45670</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45670</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45670</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45670</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45670</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45670</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45670</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45670</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45670</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45670</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45670</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45670</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45670</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45670</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45670</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45670</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45670</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45670</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45670</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45670</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45670</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45670</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45670</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45670</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45670</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45670</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45670</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45670</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45670</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45670</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45670</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45670</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45670</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45670</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45670</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45670</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58888-2024</t>
        </is>
      </c>
      <c r="B1602" s="1" t="n">
        <v>45636</v>
      </c>
      <c r="C1602" s="1" t="n">
        <v>45670</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45670</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60789-2024</t>
        </is>
      </c>
      <c r="B1604" s="1" t="n">
        <v>45644</v>
      </c>
      <c r="C1604" s="1" t="n">
        <v>45670</v>
      </c>
      <c r="D1604" t="inlineStr">
        <is>
          <t>SKÅNE LÄN</t>
        </is>
      </c>
      <c r="E1604" t="inlineStr">
        <is>
          <t>HÄSSLEHOLM</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60798-2024</t>
        </is>
      </c>
      <c r="B1605" s="1" t="n">
        <v>45644</v>
      </c>
      <c r="C1605" s="1" t="n">
        <v>45670</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60795-2024</t>
        </is>
      </c>
      <c r="B1606" s="1" t="n">
        <v>45644</v>
      </c>
      <c r="C1606" s="1" t="n">
        <v>45670</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60797-2024</t>
        </is>
      </c>
      <c r="B1607" s="1" t="n">
        <v>45644</v>
      </c>
      <c r="C1607" s="1" t="n">
        <v>45670</v>
      </c>
      <c r="D1607" t="inlineStr">
        <is>
          <t>SKÅNE LÄN</t>
        </is>
      </c>
      <c r="E1607" t="inlineStr">
        <is>
          <t>HÄSSLEHOLM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45670</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45670</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45670</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45670</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61182-2024</t>
        </is>
      </c>
      <c r="B1612" s="1" t="n">
        <v>45645</v>
      </c>
      <c r="C1612" s="1" t="n">
        <v>45670</v>
      </c>
      <c r="D1612" t="inlineStr">
        <is>
          <t>SKÅNE LÄN</t>
        </is>
      </c>
      <c r="E1612" t="inlineStr">
        <is>
          <t>HÄSSLEHOLM</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61197-2024</t>
        </is>
      </c>
      <c r="B1613" s="1" t="n">
        <v>45645</v>
      </c>
      <c r="C1613" s="1" t="n">
        <v>45670</v>
      </c>
      <c r="D1613" t="inlineStr">
        <is>
          <t>SKÅNE LÄN</t>
        </is>
      </c>
      <c r="E1613" t="inlineStr">
        <is>
          <t>HÄSSLEHOLM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61192-2024</t>
        </is>
      </c>
      <c r="B1614" s="1" t="n">
        <v>45645</v>
      </c>
      <c r="C1614" s="1" t="n">
        <v>45670</v>
      </c>
      <c r="D1614" t="inlineStr">
        <is>
          <t>SKÅNE LÄN</t>
        </is>
      </c>
      <c r="E1614" t="inlineStr">
        <is>
          <t>HÄSSLEHOLM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61436-2024</t>
        </is>
      </c>
      <c r="B1615" s="1" t="n">
        <v>45646</v>
      </c>
      <c r="C1615" s="1" t="n">
        <v>45670</v>
      </c>
      <c r="D1615" t="inlineStr">
        <is>
          <t>SKÅNE LÄN</t>
        </is>
      </c>
      <c r="E1615" t="inlineStr">
        <is>
          <t>HÄSSLEHOLM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61489-2024</t>
        </is>
      </c>
      <c r="B1616" s="1" t="n">
        <v>45646</v>
      </c>
      <c r="C1616" s="1" t="n">
        <v>45670</v>
      </c>
      <c r="D1616" t="inlineStr">
        <is>
          <t>SKÅNE LÄN</t>
        </is>
      </c>
      <c r="E1616" t="inlineStr">
        <is>
          <t>HÄSSLEHOLM</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61533-2024</t>
        </is>
      </c>
      <c r="B1617" s="1" t="n">
        <v>45646</v>
      </c>
      <c r="C1617" s="1" t="n">
        <v>45670</v>
      </c>
      <c r="D1617" t="inlineStr">
        <is>
          <t>SKÅNE LÄN</t>
        </is>
      </c>
      <c r="E1617" t="inlineStr">
        <is>
          <t>HÄSSLEHOLM</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45670</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45670</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45670</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45670</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317-2025</t>
        </is>
      </c>
      <c r="B1622" s="1" t="n">
        <v>45660</v>
      </c>
      <c r="C1622" s="1" t="n">
        <v>45670</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653-2025</t>
        </is>
      </c>
      <c r="B1623" s="1" t="n">
        <v>45664</v>
      </c>
      <c r="C1623" s="1" t="n">
        <v>45670</v>
      </c>
      <c r="D1623" t="inlineStr">
        <is>
          <t>SKÅNE LÄN</t>
        </is>
      </c>
      <c r="E1623" t="inlineStr">
        <is>
          <t>HÄSSLEHOLM</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45670</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720-2025</t>
        </is>
      </c>
      <c r="B1625" s="1" t="n">
        <v>45665</v>
      </c>
      <c r="C1625" s="1" t="n">
        <v>45670</v>
      </c>
      <c r="D1625" t="inlineStr">
        <is>
          <t>SKÅNE LÄN</t>
        </is>
      </c>
      <c r="E1625" t="inlineStr">
        <is>
          <t>HÄSSLEHOLM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829-2025</t>
        </is>
      </c>
      <c r="B1626" s="1" t="n">
        <v>45665</v>
      </c>
      <c r="C1626" s="1" t="n">
        <v>45670</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1170-2025</t>
        </is>
      </c>
      <c r="B1627" s="1" t="n">
        <v>45667</v>
      </c>
      <c r="C1627" s="1" t="n">
        <v>45670</v>
      </c>
      <c r="D1627" t="inlineStr">
        <is>
          <t>SKÅNE LÄN</t>
        </is>
      </c>
      <c r="E1627" t="inlineStr">
        <is>
          <t>HÄSSLEHOLM</t>
        </is>
      </c>
      <c r="G1627" t="n">
        <v>4.3</v>
      </c>
      <c r="H1627" t="n">
        <v>0</v>
      </c>
      <c r="I1627" t="n">
        <v>0</v>
      </c>
      <c r="J1627" t="n">
        <v>0</v>
      </c>
      <c r="K1627" t="n">
        <v>0</v>
      </c>
      <c r="L1627" t="n">
        <v>0</v>
      </c>
      <c r="M1627" t="n">
        <v>0</v>
      </c>
      <c r="N1627" t="n">
        <v>0</v>
      </c>
      <c r="O1627" t="n">
        <v>0</v>
      </c>
      <c r="P1627" t="n">
        <v>0</v>
      </c>
      <c r="Q1627" t="n">
        <v>0</v>
      </c>
      <c r="R1627" s="2" t="inlineStr"/>
    </row>
    <row r="1628">
      <c r="A1628" t="inlineStr">
        <is>
          <t>A 1434-2025</t>
        </is>
      </c>
      <c r="B1628" s="1" t="n">
        <v>45669</v>
      </c>
      <c r="C1628" s="1" t="n">
        <v>45670</v>
      </c>
      <c r="D1628" t="inlineStr">
        <is>
          <t>SKÅNE LÄN</t>
        </is>
      </c>
      <c r="E1628" t="inlineStr">
        <is>
          <t>HÄSSLEHOLM</t>
        </is>
      </c>
      <c r="G1628" t="n">
        <v>1.2</v>
      </c>
      <c r="H1628" t="n">
        <v>0</v>
      </c>
      <c r="I1628" t="n">
        <v>0</v>
      </c>
      <c r="J1628" t="n">
        <v>0</v>
      </c>
      <c r="K1628" t="n">
        <v>0</v>
      </c>
      <c r="L1628" t="n">
        <v>0</v>
      </c>
      <c r="M1628" t="n">
        <v>0</v>
      </c>
      <c r="N1628" t="n">
        <v>0</v>
      </c>
      <c r="O1628" t="n">
        <v>0</v>
      </c>
      <c r="P1628" t="n">
        <v>0</v>
      </c>
      <c r="Q1628" t="n">
        <v>0</v>
      </c>
      <c r="R1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2025-01-13T15:48:33Z</dcterms:created>
  <dcterms:modified xmlns:dcterms="http://purl.org/dc/terms/" xmlns:xsi="http://www.w3.org/2001/XMLSchema-instance" xsi:type="dcterms:W3CDTF">2025-01-13T15:48:35Z</dcterms:modified>
</cp:coreProperties>
</file>