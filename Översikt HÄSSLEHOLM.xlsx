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45882</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45882</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45882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45882</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45882</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45882</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45882</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7862-2024</t>
        </is>
      </c>
      <c r="B21" s="1" t="n">
        <v>45348</v>
      </c>
      <c r="C21" s="1" t="n">
        <v>45882</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8223-2025</t>
        </is>
      </c>
      <c r="B22" s="1" t="n">
        <v>45708.46127314815</v>
      </c>
      <c r="C22" s="1" t="n">
        <v>45882</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20280-2025</t>
        </is>
      </c>
      <c r="B23" s="1" t="n">
        <v>45774.38790509259</v>
      </c>
      <c r="C23" s="1" t="n">
        <v>45882</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29272-2023</t>
        </is>
      </c>
      <c r="B24" s="1" t="n">
        <v>45105</v>
      </c>
      <c r="C24" s="1" t="n">
        <v>45882</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46602-2023</t>
        </is>
      </c>
      <c r="B25" s="1" t="n">
        <v>45194</v>
      </c>
      <c r="C25" s="1" t="n">
        <v>45882</v>
      </c>
      <c r="D25" t="inlineStr">
        <is>
          <t>SKÅNE LÄN</t>
        </is>
      </c>
      <c r="E25" t="inlineStr">
        <is>
          <t>HÄSSLEHOLM</t>
        </is>
      </c>
      <c r="G25" t="n">
        <v>7.3</v>
      </c>
      <c r="H25" t="n">
        <v>0</v>
      </c>
      <c r="I25" t="n">
        <v>0</v>
      </c>
      <c r="J25" t="n">
        <v>0</v>
      </c>
      <c r="K25" t="n">
        <v>1</v>
      </c>
      <c r="L25" t="n">
        <v>0</v>
      </c>
      <c r="M25" t="n">
        <v>0</v>
      </c>
      <c r="N25" t="n">
        <v>0</v>
      </c>
      <c r="O25" t="n">
        <v>1</v>
      </c>
      <c r="P25" t="n">
        <v>1</v>
      </c>
      <c r="Q25" t="n">
        <v>1</v>
      </c>
      <c r="R25" s="2" t="inlineStr">
        <is>
          <t>Lungrot</t>
        </is>
      </c>
      <c r="S25">
        <f>HYPERLINK("https://klasma.github.io/Logging_1293/artfynd/A 46602-2023 artfynd.xlsx", "A 46602-2023")</f>
        <v/>
      </c>
      <c r="T25">
        <f>HYPERLINK("https://klasma.github.io/Logging_1293/kartor/A 46602-2023 karta.png", "A 46602-2023")</f>
        <v/>
      </c>
      <c r="V25">
        <f>HYPERLINK("https://klasma.github.io/Logging_1293/klagomål/A 46602-2023 FSC-klagomål.docx", "A 46602-2023")</f>
        <v/>
      </c>
      <c r="W25">
        <f>HYPERLINK("https://klasma.github.io/Logging_1293/klagomålsmail/A 46602-2023 FSC-klagomål mail.docx", "A 46602-2023")</f>
        <v/>
      </c>
      <c r="X25">
        <f>HYPERLINK("https://klasma.github.io/Logging_1293/tillsyn/A 46602-2023 tillsynsbegäran.docx", "A 46602-2023")</f>
        <v/>
      </c>
      <c r="Y25">
        <f>HYPERLINK("https://klasma.github.io/Logging_1293/tillsynsmail/A 46602-2023 tillsynsbegäran mail.docx", "A 46602-2023")</f>
        <v/>
      </c>
    </row>
    <row r="26" ht="15" customHeight="1">
      <c r="A26" t="inlineStr">
        <is>
          <t>A 61707-2024</t>
        </is>
      </c>
      <c r="B26" s="1" t="n">
        <v>45648.61747685185</v>
      </c>
      <c r="C26" s="1" t="n">
        <v>45882</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16107-2025</t>
        </is>
      </c>
      <c r="B27" s="1" t="n">
        <v>45750.34537037037</v>
      </c>
      <c r="C27" s="1" t="n">
        <v>45882</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6634-2024</t>
        </is>
      </c>
      <c r="B28" s="1" t="n">
        <v>45341</v>
      </c>
      <c r="C28" s="1" t="n">
        <v>45882</v>
      </c>
      <c r="D28" t="inlineStr">
        <is>
          <t>SKÅNE LÄN</t>
        </is>
      </c>
      <c r="E28" t="inlineStr">
        <is>
          <t>HÄSSLEHOLM</t>
        </is>
      </c>
      <c r="G28" t="n">
        <v>1.9</v>
      </c>
      <c r="H28" t="n">
        <v>0</v>
      </c>
      <c r="I28" t="n">
        <v>0</v>
      </c>
      <c r="J28" t="n">
        <v>0</v>
      </c>
      <c r="K28" t="n">
        <v>1</v>
      </c>
      <c r="L28" t="n">
        <v>0</v>
      </c>
      <c r="M28" t="n">
        <v>0</v>
      </c>
      <c r="N28" t="n">
        <v>0</v>
      </c>
      <c r="O28" t="n">
        <v>1</v>
      </c>
      <c r="P28" t="n">
        <v>1</v>
      </c>
      <c r="Q28" t="n">
        <v>1</v>
      </c>
      <c r="R28" s="2" t="inlineStr">
        <is>
          <t>Revig blodrot</t>
        </is>
      </c>
      <c r="S28">
        <f>HYPERLINK("https://klasma.github.io/Logging_1293/artfynd/A 6634-2024 artfynd.xlsx", "A 6634-2024")</f>
        <v/>
      </c>
      <c r="T28">
        <f>HYPERLINK("https://klasma.github.io/Logging_1293/kartor/A 6634-2024 karta.png", "A 6634-2024")</f>
        <v/>
      </c>
      <c r="V28">
        <f>HYPERLINK("https://klasma.github.io/Logging_1293/klagomål/A 6634-2024 FSC-klagomål.docx", "A 6634-2024")</f>
        <v/>
      </c>
      <c r="W28">
        <f>HYPERLINK("https://klasma.github.io/Logging_1293/klagomålsmail/A 6634-2024 FSC-klagomål mail.docx", "A 6634-2024")</f>
        <v/>
      </c>
      <c r="X28">
        <f>HYPERLINK("https://klasma.github.io/Logging_1293/tillsyn/A 6634-2024 tillsynsbegäran.docx", "A 6634-2024")</f>
        <v/>
      </c>
      <c r="Y28">
        <f>HYPERLINK("https://klasma.github.io/Logging_1293/tillsynsmail/A 6634-2024 tillsynsbegäran mail.docx", "A 6634-2024")</f>
        <v/>
      </c>
    </row>
    <row r="29" ht="15" customHeight="1">
      <c r="A29" t="inlineStr">
        <is>
          <t>A 60925-2024</t>
        </is>
      </c>
      <c r="B29" s="1" t="n">
        <v>45645.3550462963</v>
      </c>
      <c r="C29" s="1" t="n">
        <v>45882</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9289-2025</t>
        </is>
      </c>
      <c r="B30" s="1" t="n">
        <v>45714</v>
      </c>
      <c r="C30" s="1" t="n">
        <v>45882</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54523-2024</t>
        </is>
      </c>
      <c r="B31" s="1" t="n">
        <v>45617</v>
      </c>
      <c r="C31" s="1" t="n">
        <v>45882</v>
      </c>
      <c r="D31" t="inlineStr">
        <is>
          <t>SKÅNE LÄN</t>
        </is>
      </c>
      <c r="E31" t="inlineStr">
        <is>
          <t>HÄSSLEHOLM</t>
        </is>
      </c>
      <c r="G31" t="n">
        <v>4.5</v>
      </c>
      <c r="H31" t="n">
        <v>1</v>
      </c>
      <c r="I31" t="n">
        <v>0</v>
      </c>
      <c r="J31" t="n">
        <v>0</v>
      </c>
      <c r="K31" t="n">
        <v>0</v>
      </c>
      <c r="L31" t="n">
        <v>0</v>
      </c>
      <c r="M31" t="n">
        <v>0</v>
      </c>
      <c r="N31" t="n">
        <v>0</v>
      </c>
      <c r="O31" t="n">
        <v>0</v>
      </c>
      <c r="P31" t="n">
        <v>0</v>
      </c>
      <c r="Q31" t="n">
        <v>1</v>
      </c>
      <c r="R31" s="2" t="inlineStr">
        <is>
          <t>Grönvit nattviol</t>
        </is>
      </c>
      <c r="S31">
        <f>HYPERLINK("https://klasma.github.io/Logging_1293/artfynd/A 54523-2024 artfynd.xlsx", "A 54523-2024")</f>
        <v/>
      </c>
      <c r="T31">
        <f>HYPERLINK("https://klasma.github.io/Logging_1293/kartor/A 54523-2024 karta.png", "A 54523-2024")</f>
        <v/>
      </c>
      <c r="V31">
        <f>HYPERLINK("https://klasma.github.io/Logging_1293/klagomål/A 54523-2024 FSC-klagomål.docx", "A 54523-2024")</f>
        <v/>
      </c>
      <c r="W31">
        <f>HYPERLINK("https://klasma.github.io/Logging_1293/klagomålsmail/A 54523-2024 FSC-klagomål mail.docx", "A 54523-2024")</f>
        <v/>
      </c>
      <c r="X31">
        <f>HYPERLINK("https://klasma.github.io/Logging_1293/tillsyn/A 54523-2024 tillsynsbegäran.docx", "A 54523-2024")</f>
        <v/>
      </c>
      <c r="Y31">
        <f>HYPERLINK("https://klasma.github.io/Logging_1293/tillsynsmail/A 54523-2024 tillsynsbegäran mail.docx", "A 54523-2024")</f>
        <v/>
      </c>
    </row>
    <row r="32" ht="15" customHeight="1">
      <c r="A32" t="inlineStr">
        <is>
          <t>A 27390-2025</t>
        </is>
      </c>
      <c r="B32" s="1" t="n">
        <v>45812.67840277778</v>
      </c>
      <c r="C32" s="1" t="n">
        <v>45882</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Grönhjon</t>
        </is>
      </c>
      <c r="S32">
        <f>HYPERLINK("https://klasma.github.io/Logging_1293/artfynd/A 27390-2025 artfynd.xlsx", "A 27390-2025")</f>
        <v/>
      </c>
      <c r="T32">
        <f>HYPERLINK("https://klasma.github.io/Logging_1293/kartor/A 27390-2025 karta.png", "A 27390-2025")</f>
        <v/>
      </c>
      <c r="V32">
        <f>HYPERLINK("https://klasma.github.io/Logging_1293/klagomål/A 27390-2025 FSC-klagomål.docx", "A 27390-2025")</f>
        <v/>
      </c>
      <c r="W32">
        <f>HYPERLINK("https://klasma.github.io/Logging_1293/klagomålsmail/A 27390-2025 FSC-klagomål mail.docx", "A 27390-2025")</f>
        <v/>
      </c>
      <c r="X32">
        <f>HYPERLINK("https://klasma.github.io/Logging_1293/tillsyn/A 27390-2025 tillsynsbegäran.docx", "A 27390-2025")</f>
        <v/>
      </c>
      <c r="Y32">
        <f>HYPERLINK("https://klasma.github.io/Logging_1293/tillsynsmail/A 27390-2025 tillsynsbegäran mail.docx", "A 27390-2025")</f>
        <v/>
      </c>
    </row>
    <row r="33" ht="15" customHeight="1">
      <c r="A33" t="inlineStr">
        <is>
          <t>A 4619-2025</t>
        </is>
      </c>
      <c r="B33" s="1" t="n">
        <v>45687</v>
      </c>
      <c r="C33" s="1" t="n">
        <v>45882</v>
      </c>
      <c r="D33" t="inlineStr">
        <is>
          <t>SKÅNE LÄN</t>
        </is>
      </c>
      <c r="E33" t="inlineStr">
        <is>
          <t>HÄSSLEHOLM</t>
        </is>
      </c>
      <c r="G33" t="n">
        <v>2.2</v>
      </c>
      <c r="H33" t="n">
        <v>0</v>
      </c>
      <c r="I33" t="n">
        <v>0</v>
      </c>
      <c r="J33" t="n">
        <v>0</v>
      </c>
      <c r="K33" t="n">
        <v>1</v>
      </c>
      <c r="L33" t="n">
        <v>0</v>
      </c>
      <c r="M33" t="n">
        <v>0</v>
      </c>
      <c r="N33" t="n">
        <v>0</v>
      </c>
      <c r="O33" t="n">
        <v>1</v>
      </c>
      <c r="P33" t="n">
        <v>1</v>
      </c>
      <c r="Q33" t="n">
        <v>1</v>
      </c>
      <c r="R33" s="2" t="inlineStr">
        <is>
          <t>Vildris</t>
        </is>
      </c>
      <c r="S33">
        <f>HYPERLINK("https://klasma.github.io/Logging_1293/artfynd/A 4619-2025 artfynd.xlsx", "A 4619-2025")</f>
        <v/>
      </c>
      <c r="T33">
        <f>HYPERLINK("https://klasma.github.io/Logging_1293/kartor/A 4619-2025 karta.png", "A 4619-2025")</f>
        <v/>
      </c>
      <c r="V33">
        <f>HYPERLINK("https://klasma.github.io/Logging_1293/klagomål/A 4619-2025 FSC-klagomål.docx", "A 4619-2025")</f>
        <v/>
      </c>
      <c r="W33">
        <f>HYPERLINK("https://klasma.github.io/Logging_1293/klagomålsmail/A 4619-2025 FSC-klagomål mail.docx", "A 4619-2025")</f>
        <v/>
      </c>
      <c r="X33">
        <f>HYPERLINK("https://klasma.github.io/Logging_1293/tillsyn/A 4619-2025 tillsynsbegäran.docx", "A 4619-2025")</f>
        <v/>
      </c>
      <c r="Y33">
        <f>HYPERLINK("https://klasma.github.io/Logging_1293/tillsynsmail/A 4619-2025 tillsynsbegäran mail.docx", "A 4619-2025")</f>
        <v/>
      </c>
    </row>
    <row r="34" ht="15" customHeight="1">
      <c r="A34" t="inlineStr">
        <is>
          <t>A 49572-2022</t>
        </is>
      </c>
      <c r="B34" s="1" t="n">
        <v>44862.335</v>
      </c>
      <c r="C34" s="1" t="n">
        <v>45882</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36690-2025</t>
        </is>
      </c>
      <c r="B35" s="1" t="n">
        <v>45873.42915509259</v>
      </c>
      <c r="C35" s="1" t="n">
        <v>45882</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4725-2025</t>
        </is>
      </c>
      <c r="B36" s="1" t="n">
        <v>45688.42583333333</v>
      </c>
      <c r="C36" s="1" t="n">
        <v>45882</v>
      </c>
      <c r="D36" t="inlineStr">
        <is>
          <t>SKÅNE LÄN</t>
        </is>
      </c>
      <c r="E36" t="inlineStr">
        <is>
          <t>HÄSSLEHOLM</t>
        </is>
      </c>
      <c r="G36" t="n">
        <v>5.5</v>
      </c>
      <c r="H36" t="n">
        <v>1</v>
      </c>
      <c r="I36" t="n">
        <v>0</v>
      </c>
      <c r="J36" t="n">
        <v>0</v>
      </c>
      <c r="K36" t="n">
        <v>0</v>
      </c>
      <c r="L36" t="n">
        <v>0</v>
      </c>
      <c r="M36" t="n">
        <v>0</v>
      </c>
      <c r="N36" t="n">
        <v>0</v>
      </c>
      <c r="O36" t="n">
        <v>0</v>
      </c>
      <c r="P36" t="n">
        <v>0</v>
      </c>
      <c r="Q36" t="n">
        <v>1</v>
      </c>
      <c r="R36" s="2" t="inlineStr">
        <is>
          <t>Grönvit nattviol</t>
        </is>
      </c>
      <c r="S36">
        <f>HYPERLINK("https://klasma.github.io/Logging_1293/artfynd/A 4725-2025 artfynd.xlsx", "A 4725-2025")</f>
        <v/>
      </c>
      <c r="T36">
        <f>HYPERLINK("https://klasma.github.io/Logging_1293/kartor/A 4725-2025 karta.png", "A 4725-2025")</f>
        <v/>
      </c>
      <c r="V36">
        <f>HYPERLINK("https://klasma.github.io/Logging_1293/klagomål/A 4725-2025 FSC-klagomål.docx", "A 4725-2025")</f>
        <v/>
      </c>
      <c r="W36">
        <f>HYPERLINK("https://klasma.github.io/Logging_1293/klagomålsmail/A 4725-2025 FSC-klagomål mail.docx", "A 4725-2025")</f>
        <v/>
      </c>
      <c r="X36">
        <f>HYPERLINK("https://klasma.github.io/Logging_1293/tillsyn/A 4725-2025 tillsynsbegäran.docx", "A 4725-2025")</f>
        <v/>
      </c>
      <c r="Y36">
        <f>HYPERLINK("https://klasma.github.io/Logging_1293/tillsynsmail/A 4725-2025 tillsynsbegäran mail.docx", "A 4725-2025")</f>
        <v/>
      </c>
    </row>
    <row r="37" ht="15" customHeight="1">
      <c r="A37" t="inlineStr">
        <is>
          <t>A 14933-2023</t>
        </is>
      </c>
      <c r="B37" s="1" t="n">
        <v>45014</v>
      </c>
      <c r="C37" s="1" t="n">
        <v>45882</v>
      </c>
      <c r="D37" t="inlineStr">
        <is>
          <t>SKÅNE LÄN</t>
        </is>
      </c>
      <c r="E37" t="inlineStr">
        <is>
          <t>HÄSSLEHOLM</t>
        </is>
      </c>
      <c r="G37" t="n">
        <v>1.2</v>
      </c>
      <c r="H37" t="n">
        <v>0</v>
      </c>
      <c r="I37" t="n">
        <v>0</v>
      </c>
      <c r="J37" t="n">
        <v>0</v>
      </c>
      <c r="K37" t="n">
        <v>1</v>
      </c>
      <c r="L37" t="n">
        <v>0</v>
      </c>
      <c r="M37" t="n">
        <v>0</v>
      </c>
      <c r="N37" t="n">
        <v>0</v>
      </c>
      <c r="O37" t="n">
        <v>1</v>
      </c>
      <c r="P37" t="n">
        <v>1</v>
      </c>
      <c r="Q37" t="n">
        <v>1</v>
      </c>
      <c r="R37" s="2" t="inlineStr">
        <is>
          <t>Småvänderot</t>
        </is>
      </c>
      <c r="S37">
        <f>HYPERLINK("https://klasma.github.io/Logging_1293/artfynd/A 14933-2023 artfynd.xlsx", "A 14933-2023")</f>
        <v/>
      </c>
      <c r="T37">
        <f>HYPERLINK("https://klasma.github.io/Logging_1293/kartor/A 14933-2023 karta.png", "A 14933-2023")</f>
        <v/>
      </c>
      <c r="V37">
        <f>HYPERLINK("https://klasma.github.io/Logging_1293/klagomål/A 14933-2023 FSC-klagomål.docx", "A 14933-2023")</f>
        <v/>
      </c>
      <c r="W37">
        <f>HYPERLINK("https://klasma.github.io/Logging_1293/klagomålsmail/A 14933-2023 FSC-klagomål mail.docx", "A 14933-2023")</f>
        <v/>
      </c>
      <c r="X37">
        <f>HYPERLINK("https://klasma.github.io/Logging_1293/tillsyn/A 14933-2023 tillsynsbegäran.docx", "A 14933-2023")</f>
        <v/>
      </c>
      <c r="Y37">
        <f>HYPERLINK("https://klasma.github.io/Logging_1293/tillsynsmail/A 14933-2023 tillsynsbegäran mail.docx", "A 14933-2023")</f>
        <v/>
      </c>
    </row>
    <row r="38" ht="15" customHeight="1">
      <c r="A38" t="inlineStr">
        <is>
          <t>A 37457-2022</t>
        </is>
      </c>
      <c r="B38" s="1" t="n">
        <v>44809</v>
      </c>
      <c r="C38" s="1" t="n">
        <v>45882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45882</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45882</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45882</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45882</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45882</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45882</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45882</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45882</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45882</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45882</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45882</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45882</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45882</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45882</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45882</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45882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45882</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45882</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45882</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45882</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23045-2021</t>
        </is>
      </c>
      <c r="B61" s="1" t="n">
        <v>44329</v>
      </c>
      <c r="C61" s="1" t="n">
        <v>45882</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74476-2021</t>
        </is>
      </c>
      <c r="B62" s="1" t="n">
        <v>44560.55796296296</v>
      </c>
      <c r="C62" s="1" t="n">
        <v>45882</v>
      </c>
      <c r="D62" t="inlineStr">
        <is>
          <t>SKÅNE LÄN</t>
        </is>
      </c>
      <c r="E62" t="inlineStr">
        <is>
          <t>HÄSSLEHOLM</t>
        </is>
      </c>
      <c r="G62" t="n">
        <v>0.4</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45882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1445-2021</t>
        </is>
      </c>
      <c r="B64" s="1" t="n">
        <v>44208</v>
      </c>
      <c r="C64" s="1" t="n">
        <v>45882</v>
      </c>
      <c r="D64" t="inlineStr">
        <is>
          <t>SKÅNE LÄN</t>
        </is>
      </c>
      <c r="E64" t="inlineStr">
        <is>
          <t>HÄSSLEHOLM</t>
        </is>
      </c>
      <c r="G64" t="n">
        <v>4.6</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45882</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45882</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43600-2020</t>
        </is>
      </c>
      <c r="B67" s="1" t="n">
        <v>44082</v>
      </c>
      <c r="C67" s="1" t="n">
        <v>45882</v>
      </c>
      <c r="D67" t="inlineStr">
        <is>
          <t>SKÅNE LÄN</t>
        </is>
      </c>
      <c r="E67" t="inlineStr">
        <is>
          <t>HÄSSLEHOLM</t>
        </is>
      </c>
      <c r="F67" t="inlineStr">
        <is>
          <t>Kyrkan</t>
        </is>
      </c>
      <c r="G67" t="n">
        <v>0.9</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45882</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45882</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45882</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45882</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45882</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45882</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45882</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45882</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45882</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45882</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45882</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23962-2022</t>
        </is>
      </c>
      <c r="B79" s="1" t="n">
        <v>44722.70532407407</v>
      </c>
      <c r="C79" s="1" t="n">
        <v>45882</v>
      </c>
      <c r="D79" t="inlineStr">
        <is>
          <t>SKÅNE LÄN</t>
        </is>
      </c>
      <c r="E79" t="inlineStr">
        <is>
          <t>HÄSSLEHOLM</t>
        </is>
      </c>
      <c r="F79" t="inlineStr">
        <is>
          <t>Kyrkan</t>
        </is>
      </c>
      <c r="G79" t="n">
        <v>5.8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45882</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45882</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45882</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45882</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45882</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45882</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45882</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45882</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45882</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45882</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45882</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45882</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45882</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45882</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45882</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45882</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45882</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45882</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45882</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45882</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37655-2020</t>
        </is>
      </c>
      <c r="B101" s="1" t="n">
        <v>44056</v>
      </c>
      <c r="C101" s="1" t="n">
        <v>45882</v>
      </c>
      <c r="D101" t="inlineStr">
        <is>
          <t>SKÅNE LÄN</t>
        </is>
      </c>
      <c r="E101" t="inlineStr">
        <is>
          <t>HÄSSLEHOLM</t>
        </is>
      </c>
      <c r="G101" t="n">
        <v>4.8</v>
      </c>
      <c r="H101" t="n">
        <v>0</v>
      </c>
      <c r="I101" t="n">
        <v>0</v>
      </c>
      <c r="J101" t="n">
        <v>0</v>
      </c>
      <c r="K101" t="n">
        <v>0</v>
      </c>
      <c r="L101" t="n">
        <v>0</v>
      </c>
      <c r="M101" t="n">
        <v>0</v>
      </c>
      <c r="N101" t="n">
        <v>0</v>
      </c>
      <c r="O101" t="n">
        <v>0</v>
      </c>
      <c r="P101" t="n">
        <v>0</v>
      </c>
      <c r="Q101" t="n">
        <v>0</v>
      </c>
      <c r="R101" s="2" t="inlineStr"/>
    </row>
    <row r="102" ht="15" customHeight="1">
      <c r="A102" t="inlineStr">
        <is>
          <t>A 44755-2021</t>
        </is>
      </c>
      <c r="B102" s="1" t="n">
        <v>44438</v>
      </c>
      <c r="C102" s="1" t="n">
        <v>45882</v>
      </c>
      <c r="D102" t="inlineStr">
        <is>
          <t>SKÅNE LÄN</t>
        </is>
      </c>
      <c r="E102" t="inlineStr">
        <is>
          <t>HÄSSLEHOLM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44770-2021</t>
        </is>
      </c>
      <c r="B103" s="1" t="n">
        <v>44438</v>
      </c>
      <c r="C103" s="1" t="n">
        <v>45882</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2765-2022</t>
        </is>
      </c>
      <c r="B104" s="1" t="n">
        <v>44580</v>
      </c>
      <c r="C104" s="1" t="n">
        <v>45882</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37181-2022</t>
        </is>
      </c>
      <c r="B105" s="1" t="n">
        <v>44806</v>
      </c>
      <c r="C105" s="1" t="n">
        <v>45882</v>
      </c>
      <c r="D105" t="inlineStr">
        <is>
          <t>SKÅNE LÄN</t>
        </is>
      </c>
      <c r="E105" t="inlineStr">
        <is>
          <t>HÄSSLEHOLM</t>
        </is>
      </c>
      <c r="F105" t="inlineStr">
        <is>
          <t>Kyrkan</t>
        </is>
      </c>
      <c r="G105" t="n">
        <v>3.5</v>
      </c>
      <c r="H105" t="n">
        <v>0</v>
      </c>
      <c r="I105" t="n">
        <v>0</v>
      </c>
      <c r="J105" t="n">
        <v>0</v>
      </c>
      <c r="K105" t="n">
        <v>0</v>
      </c>
      <c r="L105" t="n">
        <v>0</v>
      </c>
      <c r="M105" t="n">
        <v>0</v>
      </c>
      <c r="N105" t="n">
        <v>0</v>
      </c>
      <c r="O105" t="n">
        <v>0</v>
      </c>
      <c r="P105" t="n">
        <v>0</v>
      </c>
      <c r="Q105" t="n">
        <v>0</v>
      </c>
      <c r="R105" s="2" t="inlineStr"/>
    </row>
    <row r="106" ht="15" customHeight="1">
      <c r="A106" t="inlineStr">
        <is>
          <t>A 61073-2021</t>
        </is>
      </c>
      <c r="B106" s="1" t="n">
        <v>44497.83447916667</v>
      </c>
      <c r="C106" s="1" t="n">
        <v>45882</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30879-2021</t>
        </is>
      </c>
      <c r="B107" s="1" t="n">
        <v>44365</v>
      </c>
      <c r="C107" s="1" t="n">
        <v>45882</v>
      </c>
      <c r="D107" t="inlineStr">
        <is>
          <t>SKÅNE LÄN</t>
        </is>
      </c>
      <c r="E107" t="inlineStr">
        <is>
          <t>HÄSSLEHOLM</t>
        </is>
      </c>
      <c r="G107" t="n">
        <v>1</v>
      </c>
      <c r="H107" t="n">
        <v>0</v>
      </c>
      <c r="I107" t="n">
        <v>0</v>
      </c>
      <c r="J107" t="n">
        <v>0</v>
      </c>
      <c r="K107" t="n">
        <v>0</v>
      </c>
      <c r="L107" t="n">
        <v>0</v>
      </c>
      <c r="M107" t="n">
        <v>0</v>
      </c>
      <c r="N107" t="n">
        <v>0</v>
      </c>
      <c r="O107" t="n">
        <v>0</v>
      </c>
      <c r="P107" t="n">
        <v>0</v>
      </c>
      <c r="Q107" t="n">
        <v>0</v>
      </c>
      <c r="R107" s="2" t="inlineStr"/>
    </row>
    <row r="108" ht="15" customHeight="1">
      <c r="A108" t="inlineStr">
        <is>
          <t>A 52561-2020</t>
        </is>
      </c>
      <c r="B108" s="1" t="n">
        <v>44116</v>
      </c>
      <c r="C108" s="1" t="n">
        <v>45882</v>
      </c>
      <c r="D108" t="inlineStr">
        <is>
          <t>SKÅNE LÄN</t>
        </is>
      </c>
      <c r="E108" t="inlineStr">
        <is>
          <t>HÄSSLEHOLM</t>
        </is>
      </c>
      <c r="G108" t="n">
        <v>6</v>
      </c>
      <c r="H108" t="n">
        <v>0</v>
      </c>
      <c r="I108" t="n">
        <v>0</v>
      </c>
      <c r="J108" t="n">
        <v>0</v>
      </c>
      <c r="K108" t="n">
        <v>0</v>
      </c>
      <c r="L108" t="n">
        <v>0</v>
      </c>
      <c r="M108" t="n">
        <v>0</v>
      </c>
      <c r="N108" t="n">
        <v>0</v>
      </c>
      <c r="O108" t="n">
        <v>0</v>
      </c>
      <c r="P108" t="n">
        <v>0</v>
      </c>
      <c r="Q108" t="n">
        <v>0</v>
      </c>
      <c r="R108" s="2" t="inlineStr"/>
    </row>
    <row r="109" ht="15" customHeight="1">
      <c r="A109" t="inlineStr">
        <is>
          <t>A 7857-2022</t>
        </is>
      </c>
      <c r="B109" s="1" t="n">
        <v>44607</v>
      </c>
      <c r="C109" s="1" t="n">
        <v>45882</v>
      </c>
      <c r="D109" t="inlineStr">
        <is>
          <t>SKÅNE LÄN</t>
        </is>
      </c>
      <c r="E109" t="inlineStr">
        <is>
          <t>HÄSSLEHOLM</t>
        </is>
      </c>
      <c r="F109" t="inlineStr">
        <is>
          <t>Kyrkan</t>
        </is>
      </c>
      <c r="G109" t="n">
        <v>12.2</v>
      </c>
      <c r="H109" t="n">
        <v>0</v>
      </c>
      <c r="I109" t="n">
        <v>0</v>
      </c>
      <c r="J109" t="n">
        <v>0</v>
      </c>
      <c r="K109" t="n">
        <v>0</v>
      </c>
      <c r="L109" t="n">
        <v>0</v>
      </c>
      <c r="M109" t="n">
        <v>0</v>
      </c>
      <c r="N109" t="n">
        <v>0</v>
      </c>
      <c r="O109" t="n">
        <v>0</v>
      </c>
      <c r="P109" t="n">
        <v>0</v>
      </c>
      <c r="Q109" t="n">
        <v>0</v>
      </c>
      <c r="R109" s="2" t="inlineStr"/>
    </row>
    <row r="110" ht="15" customHeight="1">
      <c r="A110" t="inlineStr">
        <is>
          <t>A 61072-2021</t>
        </is>
      </c>
      <c r="B110" s="1" t="n">
        <v>44497.83344907407</v>
      </c>
      <c r="C110" s="1" t="n">
        <v>45882</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34982-2022</t>
        </is>
      </c>
      <c r="B111" s="1" t="n">
        <v>44796.69055555556</v>
      </c>
      <c r="C111" s="1" t="n">
        <v>45882</v>
      </c>
      <c r="D111" t="inlineStr">
        <is>
          <t>SKÅNE LÄN</t>
        </is>
      </c>
      <c r="E111" t="inlineStr">
        <is>
          <t>HÄSSLEHOLM</t>
        </is>
      </c>
      <c r="F111" t="inlineStr">
        <is>
          <t>Kyrkan</t>
        </is>
      </c>
      <c r="G111" t="n">
        <v>3.4</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45882</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55425-2022</t>
        </is>
      </c>
      <c r="B113" s="1" t="n">
        <v>44887.60577546297</v>
      </c>
      <c r="C113" s="1" t="n">
        <v>45882</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54493-2020</t>
        </is>
      </c>
      <c r="B114" s="1" t="n">
        <v>44126</v>
      </c>
      <c r="C114" s="1" t="n">
        <v>45882</v>
      </c>
      <c r="D114" t="inlineStr">
        <is>
          <t>SKÅNE LÄN</t>
        </is>
      </c>
      <c r="E114" t="inlineStr">
        <is>
          <t>HÄSSLEHOLM</t>
        </is>
      </c>
      <c r="F114" t="inlineStr">
        <is>
          <t>Kyrkan</t>
        </is>
      </c>
      <c r="G114" t="n">
        <v>4.4</v>
      </c>
      <c r="H114" t="n">
        <v>0</v>
      </c>
      <c r="I114" t="n">
        <v>0</v>
      </c>
      <c r="J114" t="n">
        <v>0</v>
      </c>
      <c r="K114" t="n">
        <v>0</v>
      </c>
      <c r="L114" t="n">
        <v>0</v>
      </c>
      <c r="M114" t="n">
        <v>0</v>
      </c>
      <c r="N114" t="n">
        <v>0</v>
      </c>
      <c r="O114" t="n">
        <v>0</v>
      </c>
      <c r="P114" t="n">
        <v>0</v>
      </c>
      <c r="Q114" t="n">
        <v>0</v>
      </c>
      <c r="R114" s="2" t="inlineStr"/>
    </row>
    <row r="115" ht="15" customHeight="1">
      <c r="A115" t="inlineStr">
        <is>
          <t>A 59295-2020</t>
        </is>
      </c>
      <c r="B115" s="1" t="n">
        <v>44147</v>
      </c>
      <c r="C115" s="1" t="n">
        <v>45882</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45882</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69103-2020</t>
        </is>
      </c>
      <c r="B117" s="1" t="n">
        <v>44188</v>
      </c>
      <c r="C117" s="1" t="n">
        <v>45882</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22320-2021</t>
        </is>
      </c>
      <c r="B118" s="1" t="n">
        <v>44323</v>
      </c>
      <c r="C118" s="1" t="n">
        <v>45882</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68200-2020</t>
        </is>
      </c>
      <c r="B119" s="1" t="n">
        <v>44183</v>
      </c>
      <c r="C119" s="1" t="n">
        <v>45882</v>
      </c>
      <c r="D119" t="inlineStr">
        <is>
          <t>SKÅNE LÄN</t>
        </is>
      </c>
      <c r="E119" t="inlineStr">
        <is>
          <t>HÄSSLEHOLM</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6962-2021</t>
        </is>
      </c>
      <c r="B120" s="1" t="n">
        <v>44237</v>
      </c>
      <c r="C120" s="1" t="n">
        <v>45882</v>
      </c>
      <c r="D120" t="inlineStr">
        <is>
          <t>SKÅNE LÄN</t>
        </is>
      </c>
      <c r="E120" t="inlineStr">
        <is>
          <t>HÄSSLEHOLM</t>
        </is>
      </c>
      <c r="G120" t="n">
        <v>4.2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45882</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3277-2022</t>
        </is>
      </c>
      <c r="B122" s="1" t="n">
        <v>44584.41274305555</v>
      </c>
      <c r="C122" s="1" t="n">
        <v>45882</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7522-2021</t>
        </is>
      </c>
      <c r="B123" s="1" t="n">
        <v>44238</v>
      </c>
      <c r="C123" s="1" t="n">
        <v>45882</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45882</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8278-2021</t>
        </is>
      </c>
      <c r="B125" s="1" t="n">
        <v>44244</v>
      </c>
      <c r="C125" s="1" t="n">
        <v>45882</v>
      </c>
      <c r="D125" t="inlineStr">
        <is>
          <t>SKÅNE LÄN</t>
        </is>
      </c>
      <c r="E125" t="inlineStr">
        <is>
          <t>HÄSSLEHOLM</t>
        </is>
      </c>
      <c r="F125" t="inlineStr">
        <is>
          <t>Kyrkan</t>
        </is>
      </c>
      <c r="G125" t="n">
        <v>1.4</v>
      </c>
      <c r="H125" t="n">
        <v>0</v>
      </c>
      <c r="I125" t="n">
        <v>0</v>
      </c>
      <c r="J125" t="n">
        <v>0</v>
      </c>
      <c r="K125" t="n">
        <v>0</v>
      </c>
      <c r="L125" t="n">
        <v>0</v>
      </c>
      <c r="M125" t="n">
        <v>0</v>
      </c>
      <c r="N125" t="n">
        <v>0</v>
      </c>
      <c r="O125" t="n">
        <v>0</v>
      </c>
      <c r="P125" t="n">
        <v>0</v>
      </c>
      <c r="Q125" t="n">
        <v>0</v>
      </c>
      <c r="R125" s="2" t="inlineStr"/>
    </row>
    <row r="126" ht="15" customHeight="1">
      <c r="A126" t="inlineStr">
        <is>
          <t>A 14054-2021</t>
        </is>
      </c>
      <c r="B126" s="1" t="n">
        <v>44277</v>
      </c>
      <c r="C126" s="1" t="n">
        <v>45882</v>
      </c>
      <c r="D126" t="inlineStr">
        <is>
          <t>SKÅNE LÄN</t>
        </is>
      </c>
      <c r="E126" t="inlineStr">
        <is>
          <t>HÄSSLEHOLM</t>
        </is>
      </c>
      <c r="G126" t="n">
        <v>2</v>
      </c>
      <c r="H126" t="n">
        <v>0</v>
      </c>
      <c r="I126" t="n">
        <v>0</v>
      </c>
      <c r="J126" t="n">
        <v>0</v>
      </c>
      <c r="K126" t="n">
        <v>0</v>
      </c>
      <c r="L126" t="n">
        <v>0</v>
      </c>
      <c r="M126" t="n">
        <v>0</v>
      </c>
      <c r="N126" t="n">
        <v>0</v>
      </c>
      <c r="O126" t="n">
        <v>0</v>
      </c>
      <c r="P126" t="n">
        <v>0</v>
      </c>
      <c r="Q126" t="n">
        <v>0</v>
      </c>
      <c r="R126" s="2" t="inlineStr"/>
    </row>
    <row r="127" ht="15" customHeight="1">
      <c r="A127" t="inlineStr">
        <is>
          <t>A 9257-2021</t>
        </is>
      </c>
      <c r="B127" s="1" t="n">
        <v>44250</v>
      </c>
      <c r="C127" s="1" t="n">
        <v>45882</v>
      </c>
      <c r="D127" t="inlineStr">
        <is>
          <t>SKÅNE LÄN</t>
        </is>
      </c>
      <c r="E127" t="inlineStr">
        <is>
          <t>HÄSSLEHOLM</t>
        </is>
      </c>
      <c r="G127" t="n">
        <v>2.2</v>
      </c>
      <c r="H127" t="n">
        <v>0</v>
      </c>
      <c r="I127" t="n">
        <v>0</v>
      </c>
      <c r="J127" t="n">
        <v>0</v>
      </c>
      <c r="K127" t="n">
        <v>0</v>
      </c>
      <c r="L127" t="n">
        <v>0</v>
      </c>
      <c r="M127" t="n">
        <v>0</v>
      </c>
      <c r="N127" t="n">
        <v>0</v>
      </c>
      <c r="O127" t="n">
        <v>0</v>
      </c>
      <c r="P127" t="n">
        <v>0</v>
      </c>
      <c r="Q127" t="n">
        <v>0</v>
      </c>
      <c r="R127" s="2" t="inlineStr"/>
    </row>
    <row r="128" ht="15" customHeight="1">
      <c r="A128" t="inlineStr">
        <is>
          <t>A 4156-2022</t>
        </is>
      </c>
      <c r="B128" s="1" t="n">
        <v>44588</v>
      </c>
      <c r="C128" s="1" t="n">
        <v>45882</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19449-2021</t>
        </is>
      </c>
      <c r="B129" s="1" t="n">
        <v>44310.88846064815</v>
      </c>
      <c r="C129" s="1" t="n">
        <v>45882</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41581-2021</t>
        </is>
      </c>
      <c r="B130" s="1" t="n">
        <v>44425.40167824074</v>
      </c>
      <c r="C130" s="1" t="n">
        <v>45882</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34684-2021</t>
        </is>
      </c>
      <c r="B131" s="1" t="n">
        <v>44382</v>
      </c>
      <c r="C131" s="1" t="n">
        <v>45882</v>
      </c>
      <c r="D131" t="inlineStr">
        <is>
          <t>SKÅNE LÄN</t>
        </is>
      </c>
      <c r="E131" t="inlineStr">
        <is>
          <t>HÄSSLEHOLM</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45882</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44328-2021</t>
        </is>
      </c>
      <c r="B133" s="1" t="n">
        <v>44435</v>
      </c>
      <c r="C133" s="1" t="n">
        <v>45882</v>
      </c>
      <c r="D133" t="inlineStr">
        <is>
          <t>SKÅNE LÄN</t>
        </is>
      </c>
      <c r="E133" t="inlineStr">
        <is>
          <t>HÄSSLEHOLM</t>
        </is>
      </c>
      <c r="G133" t="n">
        <v>2.7</v>
      </c>
      <c r="H133" t="n">
        <v>0</v>
      </c>
      <c r="I133" t="n">
        <v>0</v>
      </c>
      <c r="J133" t="n">
        <v>0</v>
      </c>
      <c r="K133" t="n">
        <v>0</v>
      </c>
      <c r="L133" t="n">
        <v>0</v>
      </c>
      <c r="M133" t="n">
        <v>0</v>
      </c>
      <c r="N133" t="n">
        <v>0</v>
      </c>
      <c r="O133" t="n">
        <v>0</v>
      </c>
      <c r="P133" t="n">
        <v>0</v>
      </c>
      <c r="Q133" t="n">
        <v>0</v>
      </c>
      <c r="R133" s="2" t="inlineStr"/>
    </row>
    <row r="134" ht="15" customHeight="1">
      <c r="A134" t="inlineStr">
        <is>
          <t>A 46217-2022</t>
        </is>
      </c>
      <c r="B134" s="1" t="n">
        <v>44846</v>
      </c>
      <c r="C134" s="1" t="n">
        <v>45882</v>
      </c>
      <c r="D134" t="inlineStr">
        <is>
          <t>SKÅNE LÄN</t>
        </is>
      </c>
      <c r="E134" t="inlineStr">
        <is>
          <t>HÄSSLEHOLM</t>
        </is>
      </c>
      <c r="G134" t="n">
        <v>3.1</v>
      </c>
      <c r="H134" t="n">
        <v>0</v>
      </c>
      <c r="I134" t="n">
        <v>0</v>
      </c>
      <c r="J134" t="n">
        <v>0</v>
      </c>
      <c r="K134" t="n">
        <v>0</v>
      </c>
      <c r="L134" t="n">
        <v>0</v>
      </c>
      <c r="M134" t="n">
        <v>0</v>
      </c>
      <c r="N134" t="n">
        <v>0</v>
      </c>
      <c r="O134" t="n">
        <v>0</v>
      </c>
      <c r="P134" t="n">
        <v>0</v>
      </c>
      <c r="Q134" t="n">
        <v>0</v>
      </c>
      <c r="R134" s="2" t="inlineStr"/>
    </row>
    <row r="135" ht="15" customHeight="1">
      <c r="A135" t="inlineStr">
        <is>
          <t>A 42812-2020</t>
        </is>
      </c>
      <c r="B135" s="1" t="n">
        <v>44078</v>
      </c>
      <c r="C135" s="1" t="n">
        <v>45882</v>
      </c>
      <c r="D135" t="inlineStr">
        <is>
          <t>SKÅNE LÄN</t>
        </is>
      </c>
      <c r="E135" t="inlineStr">
        <is>
          <t>HÄSSLEHOLM</t>
        </is>
      </c>
      <c r="G135" t="n">
        <v>1.7</v>
      </c>
      <c r="H135" t="n">
        <v>0</v>
      </c>
      <c r="I135" t="n">
        <v>0</v>
      </c>
      <c r="J135" t="n">
        <v>0</v>
      </c>
      <c r="K135" t="n">
        <v>0</v>
      </c>
      <c r="L135" t="n">
        <v>0</v>
      </c>
      <c r="M135" t="n">
        <v>0</v>
      </c>
      <c r="N135" t="n">
        <v>0</v>
      </c>
      <c r="O135" t="n">
        <v>0</v>
      </c>
      <c r="P135" t="n">
        <v>0</v>
      </c>
      <c r="Q135" t="n">
        <v>0</v>
      </c>
      <c r="R135" s="2" t="inlineStr"/>
    </row>
    <row r="136" ht="15" customHeight="1">
      <c r="A136" t="inlineStr">
        <is>
          <t>A 42839-2020</t>
        </is>
      </c>
      <c r="B136" s="1" t="n">
        <v>44078</v>
      </c>
      <c r="C136" s="1" t="n">
        <v>45882</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45349-2022</t>
        </is>
      </c>
      <c r="B137" s="1" t="n">
        <v>44844.6118287037</v>
      </c>
      <c r="C137" s="1" t="n">
        <v>45882</v>
      </c>
      <c r="D137" t="inlineStr">
        <is>
          <t>SKÅNE LÄN</t>
        </is>
      </c>
      <c r="E137" t="inlineStr">
        <is>
          <t>HÄSSLEHOLM</t>
        </is>
      </c>
      <c r="G137" t="n">
        <v>6.2</v>
      </c>
      <c r="H137" t="n">
        <v>0</v>
      </c>
      <c r="I137" t="n">
        <v>0</v>
      </c>
      <c r="J137" t="n">
        <v>0</v>
      </c>
      <c r="K137" t="n">
        <v>0</v>
      </c>
      <c r="L137" t="n">
        <v>0</v>
      </c>
      <c r="M137" t="n">
        <v>0</v>
      </c>
      <c r="N137" t="n">
        <v>0</v>
      </c>
      <c r="O137" t="n">
        <v>0</v>
      </c>
      <c r="P137" t="n">
        <v>0</v>
      </c>
      <c r="Q137" t="n">
        <v>0</v>
      </c>
      <c r="R137" s="2" t="inlineStr"/>
    </row>
    <row r="138" ht="15" customHeight="1">
      <c r="A138" t="inlineStr">
        <is>
          <t>A 43580-2020</t>
        </is>
      </c>
      <c r="B138" s="1" t="n">
        <v>44082</v>
      </c>
      <c r="C138" s="1" t="n">
        <v>45882</v>
      </c>
      <c r="D138" t="inlineStr">
        <is>
          <t>SKÅNE LÄN</t>
        </is>
      </c>
      <c r="E138" t="inlineStr">
        <is>
          <t>HÄSSLEHOLM</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15118-2022</t>
        </is>
      </c>
      <c r="B139" s="1" t="n">
        <v>44659</v>
      </c>
      <c r="C139" s="1" t="n">
        <v>45882</v>
      </c>
      <c r="D139" t="inlineStr">
        <is>
          <t>SKÅNE LÄN</t>
        </is>
      </c>
      <c r="E139" t="inlineStr">
        <is>
          <t>HÄSSLEHOLM</t>
        </is>
      </c>
      <c r="F139" t="inlineStr">
        <is>
          <t>Kyrkan</t>
        </is>
      </c>
      <c r="G139" t="n">
        <v>0.7</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45882</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45882</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7701-2021</t>
        </is>
      </c>
      <c r="B142" s="1" t="n">
        <v>44242</v>
      </c>
      <c r="C142" s="1" t="n">
        <v>45882</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3276-2022</t>
        </is>
      </c>
      <c r="B143" s="1" t="n">
        <v>44584.40916666666</v>
      </c>
      <c r="C143" s="1" t="n">
        <v>45882</v>
      </c>
      <c r="D143" t="inlineStr">
        <is>
          <t>SKÅNE LÄN</t>
        </is>
      </c>
      <c r="E143" t="inlineStr">
        <is>
          <t>HÄSSLEHOLM</t>
        </is>
      </c>
      <c r="G143" t="n">
        <v>0.2</v>
      </c>
      <c r="H143" t="n">
        <v>0</v>
      </c>
      <c r="I143" t="n">
        <v>0</v>
      </c>
      <c r="J143" t="n">
        <v>0</v>
      </c>
      <c r="K143" t="n">
        <v>0</v>
      </c>
      <c r="L143" t="n">
        <v>0</v>
      </c>
      <c r="M143" t="n">
        <v>0</v>
      </c>
      <c r="N143" t="n">
        <v>0</v>
      </c>
      <c r="O143" t="n">
        <v>0</v>
      </c>
      <c r="P143" t="n">
        <v>0</v>
      </c>
      <c r="Q143" t="n">
        <v>0</v>
      </c>
      <c r="R143" s="2" t="inlineStr"/>
    </row>
    <row r="144" ht="15" customHeight="1">
      <c r="A144" t="inlineStr">
        <is>
          <t>A 52461-2021</t>
        </is>
      </c>
      <c r="B144" s="1" t="n">
        <v>44466</v>
      </c>
      <c r="C144" s="1" t="n">
        <v>45882</v>
      </c>
      <c r="D144" t="inlineStr">
        <is>
          <t>SKÅNE LÄN</t>
        </is>
      </c>
      <c r="E144" t="inlineStr">
        <is>
          <t>HÄSSLEHOLM</t>
        </is>
      </c>
      <c r="G144" t="n">
        <v>2.7</v>
      </c>
      <c r="H144" t="n">
        <v>0</v>
      </c>
      <c r="I144" t="n">
        <v>0</v>
      </c>
      <c r="J144" t="n">
        <v>0</v>
      </c>
      <c r="K144" t="n">
        <v>0</v>
      </c>
      <c r="L144" t="n">
        <v>0</v>
      </c>
      <c r="M144" t="n">
        <v>0</v>
      </c>
      <c r="N144" t="n">
        <v>0</v>
      </c>
      <c r="O144" t="n">
        <v>0</v>
      </c>
      <c r="P144" t="n">
        <v>0</v>
      </c>
      <c r="Q144" t="n">
        <v>0</v>
      </c>
      <c r="R144" s="2" t="inlineStr"/>
    </row>
    <row r="145" ht="15" customHeight="1">
      <c r="A145" t="inlineStr">
        <is>
          <t>A 63972-2021</t>
        </is>
      </c>
      <c r="B145" s="1" t="n">
        <v>44509.89649305555</v>
      </c>
      <c r="C145" s="1" t="n">
        <v>45882</v>
      </c>
      <c r="D145" t="inlineStr">
        <is>
          <t>SKÅNE LÄN</t>
        </is>
      </c>
      <c r="E145" t="inlineStr">
        <is>
          <t>HÄSSLEHOLM</t>
        </is>
      </c>
      <c r="G145" t="n">
        <v>0.8</v>
      </c>
      <c r="H145" t="n">
        <v>0</v>
      </c>
      <c r="I145" t="n">
        <v>0</v>
      </c>
      <c r="J145" t="n">
        <v>0</v>
      </c>
      <c r="K145" t="n">
        <v>0</v>
      </c>
      <c r="L145" t="n">
        <v>0</v>
      </c>
      <c r="M145" t="n">
        <v>0</v>
      </c>
      <c r="N145" t="n">
        <v>0</v>
      </c>
      <c r="O145" t="n">
        <v>0</v>
      </c>
      <c r="P145" t="n">
        <v>0</v>
      </c>
      <c r="Q145" t="n">
        <v>0</v>
      </c>
      <c r="R145" s="2" t="inlineStr"/>
    </row>
    <row r="146" ht="15" customHeight="1">
      <c r="A146" t="inlineStr">
        <is>
          <t>A 48212-2020</t>
        </is>
      </c>
      <c r="B146" s="1" t="n">
        <v>44102</v>
      </c>
      <c r="C146" s="1" t="n">
        <v>45882</v>
      </c>
      <c r="D146" t="inlineStr">
        <is>
          <t>SKÅNE LÄN</t>
        </is>
      </c>
      <c r="E146" t="inlineStr">
        <is>
          <t>HÄSSLEHOLM</t>
        </is>
      </c>
      <c r="G146" t="n">
        <v>4.2</v>
      </c>
      <c r="H146" t="n">
        <v>0</v>
      </c>
      <c r="I146" t="n">
        <v>0</v>
      </c>
      <c r="J146" t="n">
        <v>0</v>
      </c>
      <c r="K146" t="n">
        <v>0</v>
      </c>
      <c r="L146" t="n">
        <v>0</v>
      </c>
      <c r="M146" t="n">
        <v>0</v>
      </c>
      <c r="N146" t="n">
        <v>0</v>
      </c>
      <c r="O146" t="n">
        <v>0</v>
      </c>
      <c r="P146" t="n">
        <v>0</v>
      </c>
      <c r="Q146" t="n">
        <v>0</v>
      </c>
      <c r="R146" s="2" t="inlineStr"/>
    </row>
    <row r="147" ht="15" customHeight="1">
      <c r="A147" t="inlineStr">
        <is>
          <t>A 49786-2020</t>
        </is>
      </c>
      <c r="B147" s="1" t="n">
        <v>44103</v>
      </c>
      <c r="C147" s="1" t="n">
        <v>45882</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2952-2021</t>
        </is>
      </c>
      <c r="B148" s="1" t="n">
        <v>44216</v>
      </c>
      <c r="C148" s="1" t="n">
        <v>45882</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52852-2020</t>
        </is>
      </c>
      <c r="B149" s="1" t="n">
        <v>44119</v>
      </c>
      <c r="C149" s="1" t="n">
        <v>45882</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5564-2022</t>
        </is>
      </c>
      <c r="B150" s="1" t="n">
        <v>44595</v>
      </c>
      <c r="C150" s="1" t="n">
        <v>45882</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45882</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20659-2021</t>
        </is>
      </c>
      <c r="B152" s="1" t="n">
        <v>44316</v>
      </c>
      <c r="C152" s="1" t="n">
        <v>45882</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34027-2021</t>
        </is>
      </c>
      <c r="B153" s="1" t="n">
        <v>44379</v>
      </c>
      <c r="C153" s="1" t="n">
        <v>45882</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32792-2021</t>
        </is>
      </c>
      <c r="B154" s="1" t="n">
        <v>44375</v>
      </c>
      <c r="C154" s="1" t="n">
        <v>45882</v>
      </c>
      <c r="D154" t="inlineStr">
        <is>
          <t>SKÅNE LÄN</t>
        </is>
      </c>
      <c r="E154" t="inlineStr">
        <is>
          <t>HÄSSLEHOLM</t>
        </is>
      </c>
      <c r="G154" t="n">
        <v>1</v>
      </c>
      <c r="H154" t="n">
        <v>0</v>
      </c>
      <c r="I154" t="n">
        <v>0</v>
      </c>
      <c r="J154" t="n">
        <v>0</v>
      </c>
      <c r="K154" t="n">
        <v>0</v>
      </c>
      <c r="L154" t="n">
        <v>0</v>
      </c>
      <c r="M154" t="n">
        <v>0</v>
      </c>
      <c r="N154" t="n">
        <v>0</v>
      </c>
      <c r="O154" t="n">
        <v>0</v>
      </c>
      <c r="P154" t="n">
        <v>0</v>
      </c>
      <c r="Q154" t="n">
        <v>0</v>
      </c>
      <c r="R154" s="2" t="inlineStr"/>
    </row>
    <row r="155" ht="15" customHeight="1">
      <c r="A155" t="inlineStr">
        <is>
          <t>A 21535-2021</t>
        </is>
      </c>
      <c r="B155" s="1" t="n">
        <v>44321</v>
      </c>
      <c r="C155" s="1" t="n">
        <v>45882</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3167-2022</t>
        </is>
      </c>
      <c r="B156" s="1" t="n">
        <v>44582</v>
      </c>
      <c r="C156" s="1" t="n">
        <v>45882</v>
      </c>
      <c r="D156" t="inlineStr">
        <is>
          <t>SKÅNE LÄN</t>
        </is>
      </c>
      <c r="E156" t="inlineStr">
        <is>
          <t>HÄSSLEHOLM</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33736-2021</t>
        </is>
      </c>
      <c r="B157" s="1" t="n">
        <v>44378</v>
      </c>
      <c r="C157" s="1" t="n">
        <v>45882</v>
      </c>
      <c r="D157" t="inlineStr">
        <is>
          <t>SKÅNE LÄN</t>
        </is>
      </c>
      <c r="E157" t="inlineStr">
        <is>
          <t>HÄSSLEHOLM</t>
        </is>
      </c>
      <c r="G157" t="n">
        <v>7.6</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45882</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45882</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4161-2022</t>
        </is>
      </c>
      <c r="B160" s="1" t="n">
        <v>44588</v>
      </c>
      <c r="C160" s="1" t="n">
        <v>45882</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40702-2021</t>
        </is>
      </c>
      <c r="B161" s="1" t="n">
        <v>44420.61719907408</v>
      </c>
      <c r="C161" s="1" t="n">
        <v>45882</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1535-2022</t>
        </is>
      </c>
      <c r="B162" s="1" t="n">
        <v>44573</v>
      </c>
      <c r="C162" s="1" t="n">
        <v>45882</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45882</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13982-2021</t>
        </is>
      </c>
      <c r="B164" s="1" t="n">
        <v>44277.57800925926</v>
      </c>
      <c r="C164" s="1" t="n">
        <v>45882</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64607-2021</t>
        </is>
      </c>
      <c r="B165" s="1" t="n">
        <v>44511</v>
      </c>
      <c r="C165" s="1" t="n">
        <v>45882</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66474-2020</t>
        </is>
      </c>
      <c r="B166" s="1" t="n">
        <v>44177</v>
      </c>
      <c r="C166" s="1" t="n">
        <v>45882</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18515-2021</t>
        </is>
      </c>
      <c r="B167" s="1" t="n">
        <v>44305</v>
      </c>
      <c r="C167" s="1" t="n">
        <v>45882</v>
      </c>
      <c r="D167" t="inlineStr">
        <is>
          <t>SKÅNE LÄN</t>
        </is>
      </c>
      <c r="E167" t="inlineStr">
        <is>
          <t>HÄSSLEHOLM</t>
        </is>
      </c>
      <c r="F167" t="inlineStr">
        <is>
          <t>Övriga Aktiebolag</t>
        </is>
      </c>
      <c r="G167" t="n">
        <v>0.5</v>
      </c>
      <c r="H167" t="n">
        <v>0</v>
      </c>
      <c r="I167" t="n">
        <v>0</v>
      </c>
      <c r="J167" t="n">
        <v>0</v>
      </c>
      <c r="K167" t="n">
        <v>0</v>
      </c>
      <c r="L167" t="n">
        <v>0</v>
      </c>
      <c r="M167" t="n">
        <v>0</v>
      </c>
      <c r="N167" t="n">
        <v>0</v>
      </c>
      <c r="O167" t="n">
        <v>0</v>
      </c>
      <c r="P167" t="n">
        <v>0</v>
      </c>
      <c r="Q167" t="n">
        <v>0</v>
      </c>
      <c r="R167" s="2" t="inlineStr"/>
    </row>
    <row r="168" ht="15" customHeight="1">
      <c r="A168" t="inlineStr">
        <is>
          <t>A 18523-2021</t>
        </is>
      </c>
      <c r="B168" s="1" t="n">
        <v>44305</v>
      </c>
      <c r="C168" s="1" t="n">
        <v>45882</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12617-2021</t>
        </is>
      </c>
      <c r="B169" s="1" t="n">
        <v>44270.45030092593</v>
      </c>
      <c r="C169" s="1" t="n">
        <v>45882</v>
      </c>
      <c r="D169" t="inlineStr">
        <is>
          <t>SKÅNE LÄN</t>
        </is>
      </c>
      <c r="E169" t="inlineStr">
        <is>
          <t>HÄSSLEHOLM</t>
        </is>
      </c>
      <c r="G169" t="n">
        <v>1.2</v>
      </c>
      <c r="H169" t="n">
        <v>0</v>
      </c>
      <c r="I169" t="n">
        <v>0</v>
      </c>
      <c r="J169" t="n">
        <v>0</v>
      </c>
      <c r="K169" t="n">
        <v>0</v>
      </c>
      <c r="L169" t="n">
        <v>0</v>
      </c>
      <c r="M169" t="n">
        <v>0</v>
      </c>
      <c r="N169" t="n">
        <v>0</v>
      </c>
      <c r="O169" t="n">
        <v>0</v>
      </c>
      <c r="P169" t="n">
        <v>0</v>
      </c>
      <c r="Q169" t="n">
        <v>0</v>
      </c>
      <c r="R169" s="2" t="inlineStr"/>
    </row>
    <row r="170" ht="15" customHeight="1">
      <c r="A170" t="inlineStr">
        <is>
          <t>A 2631-2022</t>
        </is>
      </c>
      <c r="B170" s="1" t="n">
        <v>44580</v>
      </c>
      <c r="C170" s="1" t="n">
        <v>45882</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43045-2020</t>
        </is>
      </c>
      <c r="B171" s="1" t="n">
        <v>44078</v>
      </c>
      <c r="C171" s="1" t="n">
        <v>45882</v>
      </c>
      <c r="D171" t="inlineStr">
        <is>
          <t>SKÅNE LÄN</t>
        </is>
      </c>
      <c r="E171" t="inlineStr">
        <is>
          <t>HÄSSLEHOLM</t>
        </is>
      </c>
      <c r="G171" t="n">
        <v>1.1</v>
      </c>
      <c r="H171" t="n">
        <v>0</v>
      </c>
      <c r="I171" t="n">
        <v>0</v>
      </c>
      <c r="J171" t="n">
        <v>0</v>
      </c>
      <c r="K171" t="n">
        <v>0</v>
      </c>
      <c r="L171" t="n">
        <v>0</v>
      </c>
      <c r="M171" t="n">
        <v>0</v>
      </c>
      <c r="N171" t="n">
        <v>0</v>
      </c>
      <c r="O171" t="n">
        <v>0</v>
      </c>
      <c r="P171" t="n">
        <v>0</v>
      </c>
      <c r="Q171" t="n">
        <v>0</v>
      </c>
      <c r="R171" s="2" t="inlineStr"/>
    </row>
    <row r="172" ht="15" customHeight="1">
      <c r="A172" t="inlineStr">
        <is>
          <t>A 7904-2022</t>
        </is>
      </c>
      <c r="B172" s="1" t="n">
        <v>44607</v>
      </c>
      <c r="C172" s="1" t="n">
        <v>45882</v>
      </c>
      <c r="D172" t="inlineStr">
        <is>
          <t>SKÅNE LÄN</t>
        </is>
      </c>
      <c r="E172" t="inlineStr">
        <is>
          <t>HÄSSLEHOLM</t>
        </is>
      </c>
      <c r="F172" t="inlineStr">
        <is>
          <t>Kyrkan</t>
        </is>
      </c>
      <c r="G172" t="n">
        <v>3.9</v>
      </c>
      <c r="H172" t="n">
        <v>0</v>
      </c>
      <c r="I172" t="n">
        <v>0</v>
      </c>
      <c r="J172" t="n">
        <v>0</v>
      </c>
      <c r="K172" t="n">
        <v>0</v>
      </c>
      <c r="L172" t="n">
        <v>0</v>
      </c>
      <c r="M172" t="n">
        <v>0</v>
      </c>
      <c r="N172" t="n">
        <v>0</v>
      </c>
      <c r="O172" t="n">
        <v>0</v>
      </c>
      <c r="P172" t="n">
        <v>0</v>
      </c>
      <c r="Q172" t="n">
        <v>0</v>
      </c>
      <c r="R172" s="2" t="inlineStr"/>
    </row>
    <row r="173" ht="15" customHeight="1">
      <c r="A173" t="inlineStr">
        <is>
          <t>A 9453-2021</t>
        </is>
      </c>
      <c r="B173" s="1" t="n">
        <v>44251</v>
      </c>
      <c r="C173" s="1" t="n">
        <v>45882</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7250-2022</t>
        </is>
      </c>
      <c r="B174" s="1" t="n">
        <v>44606</v>
      </c>
      <c r="C174" s="1" t="n">
        <v>45882</v>
      </c>
      <c r="D174" t="inlineStr">
        <is>
          <t>SKÅNE LÄN</t>
        </is>
      </c>
      <c r="E174" t="inlineStr">
        <is>
          <t>HÄSSLEHOLM</t>
        </is>
      </c>
      <c r="F174" t="inlineStr">
        <is>
          <t>Övriga Aktiebolag</t>
        </is>
      </c>
      <c r="G174" t="n">
        <v>2.6</v>
      </c>
      <c r="H174" t="n">
        <v>0</v>
      </c>
      <c r="I174" t="n">
        <v>0</v>
      </c>
      <c r="J174" t="n">
        <v>0</v>
      </c>
      <c r="K174" t="n">
        <v>0</v>
      </c>
      <c r="L174" t="n">
        <v>0</v>
      </c>
      <c r="M174" t="n">
        <v>0</v>
      </c>
      <c r="N174" t="n">
        <v>0</v>
      </c>
      <c r="O174" t="n">
        <v>0</v>
      </c>
      <c r="P174" t="n">
        <v>0</v>
      </c>
      <c r="Q174" t="n">
        <v>0</v>
      </c>
      <c r="R174" s="2" t="inlineStr"/>
    </row>
    <row r="175" ht="15" customHeight="1">
      <c r="A175" t="inlineStr">
        <is>
          <t>A 15423-2022</t>
        </is>
      </c>
      <c r="B175" s="1" t="n">
        <v>44659</v>
      </c>
      <c r="C175" s="1" t="n">
        <v>45882</v>
      </c>
      <c r="D175" t="inlineStr">
        <is>
          <t>SKÅNE LÄN</t>
        </is>
      </c>
      <c r="E175" t="inlineStr">
        <is>
          <t>HÄSSLEHOLM</t>
        </is>
      </c>
      <c r="F175" t="inlineStr">
        <is>
          <t>Kyrkan</t>
        </is>
      </c>
      <c r="G175" t="n">
        <v>0.9</v>
      </c>
      <c r="H175" t="n">
        <v>0</v>
      </c>
      <c r="I175" t="n">
        <v>0</v>
      </c>
      <c r="J175" t="n">
        <v>0</v>
      </c>
      <c r="K175" t="n">
        <v>0</v>
      </c>
      <c r="L175" t="n">
        <v>0</v>
      </c>
      <c r="M175" t="n">
        <v>0</v>
      </c>
      <c r="N175" t="n">
        <v>0</v>
      </c>
      <c r="O175" t="n">
        <v>0</v>
      </c>
      <c r="P175" t="n">
        <v>0</v>
      </c>
      <c r="Q175" t="n">
        <v>0</v>
      </c>
      <c r="R175" s="2" t="inlineStr"/>
    </row>
    <row r="176" ht="15" customHeight="1">
      <c r="A176" t="inlineStr">
        <is>
          <t>A 51895-2021</t>
        </is>
      </c>
      <c r="B176" s="1" t="n">
        <v>44462</v>
      </c>
      <c r="C176" s="1" t="n">
        <v>45882</v>
      </c>
      <c r="D176" t="inlineStr">
        <is>
          <t>SKÅNE LÄN</t>
        </is>
      </c>
      <c r="E176" t="inlineStr">
        <is>
          <t>HÄSSLEHOLM</t>
        </is>
      </c>
      <c r="G176" t="n">
        <v>5.7</v>
      </c>
      <c r="H176" t="n">
        <v>0</v>
      </c>
      <c r="I176" t="n">
        <v>0</v>
      </c>
      <c r="J176" t="n">
        <v>0</v>
      </c>
      <c r="K176" t="n">
        <v>0</v>
      </c>
      <c r="L176" t="n">
        <v>0</v>
      </c>
      <c r="M176" t="n">
        <v>0</v>
      </c>
      <c r="N176" t="n">
        <v>0</v>
      </c>
      <c r="O176" t="n">
        <v>0</v>
      </c>
      <c r="P176" t="n">
        <v>0</v>
      </c>
      <c r="Q176" t="n">
        <v>0</v>
      </c>
      <c r="R176" s="2" t="inlineStr"/>
    </row>
    <row r="177" ht="15" customHeight="1">
      <c r="A177" t="inlineStr">
        <is>
          <t>A 219-2022</t>
        </is>
      </c>
      <c r="B177" s="1" t="n">
        <v>44564</v>
      </c>
      <c r="C177" s="1" t="n">
        <v>45882</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6048-2022</t>
        </is>
      </c>
      <c r="B178" s="1" t="n">
        <v>44599.5174537037</v>
      </c>
      <c r="C178" s="1" t="n">
        <v>45882</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50371-2020</t>
        </is>
      </c>
      <c r="B179" s="1" t="n">
        <v>44110.44322916667</v>
      </c>
      <c r="C179" s="1" t="n">
        <v>45882</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55412-2022</t>
        </is>
      </c>
      <c r="B180" s="1" t="n">
        <v>44882</v>
      </c>
      <c r="C180" s="1" t="n">
        <v>45882</v>
      </c>
      <c r="D180" t="inlineStr">
        <is>
          <t>SKÅNE LÄN</t>
        </is>
      </c>
      <c r="E180" t="inlineStr">
        <is>
          <t>HÄSSLEHOLM</t>
        </is>
      </c>
      <c r="F180" t="inlineStr">
        <is>
          <t>Övriga Aktiebolag</t>
        </is>
      </c>
      <c r="G180" t="n">
        <v>4</v>
      </c>
      <c r="H180" t="n">
        <v>0</v>
      </c>
      <c r="I180" t="n">
        <v>0</v>
      </c>
      <c r="J180" t="n">
        <v>0</v>
      </c>
      <c r="K180" t="n">
        <v>0</v>
      </c>
      <c r="L180" t="n">
        <v>0</v>
      </c>
      <c r="M180" t="n">
        <v>0</v>
      </c>
      <c r="N180" t="n">
        <v>0</v>
      </c>
      <c r="O180" t="n">
        <v>0</v>
      </c>
      <c r="P180" t="n">
        <v>0</v>
      </c>
      <c r="Q180" t="n">
        <v>0</v>
      </c>
      <c r="R180" s="2" t="inlineStr"/>
    </row>
    <row r="181" ht="15" customHeight="1">
      <c r="A181" t="inlineStr">
        <is>
          <t>A 53576-2022</t>
        </is>
      </c>
      <c r="B181" s="1" t="n">
        <v>44875</v>
      </c>
      <c r="C181" s="1" t="n">
        <v>45882</v>
      </c>
      <c r="D181" t="inlineStr">
        <is>
          <t>SKÅNE LÄN</t>
        </is>
      </c>
      <c r="E181" t="inlineStr">
        <is>
          <t>HÄSSLEHOLM</t>
        </is>
      </c>
      <c r="F181" t="inlineStr">
        <is>
          <t>Övriga Aktiebolag</t>
        </is>
      </c>
      <c r="G181" t="n">
        <v>1.2</v>
      </c>
      <c r="H181" t="n">
        <v>0</v>
      </c>
      <c r="I181" t="n">
        <v>0</v>
      </c>
      <c r="J181" t="n">
        <v>0</v>
      </c>
      <c r="K181" t="n">
        <v>0</v>
      </c>
      <c r="L181" t="n">
        <v>0</v>
      </c>
      <c r="M181" t="n">
        <v>0</v>
      </c>
      <c r="N181" t="n">
        <v>0</v>
      </c>
      <c r="O181" t="n">
        <v>0</v>
      </c>
      <c r="P181" t="n">
        <v>0</v>
      </c>
      <c r="Q181" t="n">
        <v>0</v>
      </c>
      <c r="R181" s="2" t="inlineStr"/>
    </row>
    <row r="182" ht="15" customHeight="1">
      <c r="A182" t="inlineStr">
        <is>
          <t>A 56989-2021</t>
        </is>
      </c>
      <c r="B182" s="1" t="n">
        <v>44482</v>
      </c>
      <c r="C182" s="1" t="n">
        <v>45882</v>
      </c>
      <c r="D182" t="inlineStr">
        <is>
          <t>SKÅNE LÄN</t>
        </is>
      </c>
      <c r="E182" t="inlineStr">
        <is>
          <t>HÄSSLEHOLM</t>
        </is>
      </c>
      <c r="G182" t="n">
        <v>1.1</v>
      </c>
      <c r="H182" t="n">
        <v>0</v>
      </c>
      <c r="I182" t="n">
        <v>0</v>
      </c>
      <c r="J182" t="n">
        <v>0</v>
      </c>
      <c r="K182" t="n">
        <v>0</v>
      </c>
      <c r="L182" t="n">
        <v>0</v>
      </c>
      <c r="M182" t="n">
        <v>0</v>
      </c>
      <c r="N182" t="n">
        <v>0</v>
      </c>
      <c r="O182" t="n">
        <v>0</v>
      </c>
      <c r="P182" t="n">
        <v>0</v>
      </c>
      <c r="Q182" t="n">
        <v>0</v>
      </c>
      <c r="R182" s="2" t="inlineStr"/>
    </row>
    <row r="183" ht="15" customHeight="1">
      <c r="A183" t="inlineStr">
        <is>
          <t>A 51159-2021</t>
        </is>
      </c>
      <c r="B183" s="1" t="n">
        <v>44461</v>
      </c>
      <c r="C183" s="1" t="n">
        <v>45882</v>
      </c>
      <c r="D183" t="inlineStr">
        <is>
          <t>SKÅNE LÄN</t>
        </is>
      </c>
      <c r="E183" t="inlineStr">
        <is>
          <t>HÄSSLEHOLM</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23003-2021</t>
        </is>
      </c>
      <c r="B184" s="1" t="n">
        <v>44328</v>
      </c>
      <c r="C184" s="1" t="n">
        <v>45882</v>
      </c>
      <c r="D184" t="inlineStr">
        <is>
          <t>SKÅNE LÄN</t>
        </is>
      </c>
      <c r="E184" t="inlineStr">
        <is>
          <t>HÄSSLEHOLM</t>
        </is>
      </c>
      <c r="G184" t="n">
        <v>4.4</v>
      </c>
      <c r="H184" t="n">
        <v>0</v>
      </c>
      <c r="I184" t="n">
        <v>0</v>
      </c>
      <c r="J184" t="n">
        <v>0</v>
      </c>
      <c r="K184" t="n">
        <v>0</v>
      </c>
      <c r="L184" t="n">
        <v>0</v>
      </c>
      <c r="M184" t="n">
        <v>0</v>
      </c>
      <c r="N184" t="n">
        <v>0</v>
      </c>
      <c r="O184" t="n">
        <v>0</v>
      </c>
      <c r="P184" t="n">
        <v>0</v>
      </c>
      <c r="Q184" t="n">
        <v>0</v>
      </c>
      <c r="R184" s="2" t="inlineStr"/>
    </row>
    <row r="185" ht="15" customHeight="1">
      <c r="A185" t="inlineStr">
        <is>
          <t>A 25383-2021</t>
        </is>
      </c>
      <c r="B185" s="1" t="n">
        <v>44342</v>
      </c>
      <c r="C185" s="1" t="n">
        <v>45882</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45882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5091-2022</t>
        </is>
      </c>
      <c r="B187" s="1" t="n">
        <v>44593.85114583333</v>
      </c>
      <c r="C187" s="1" t="n">
        <v>45882</v>
      </c>
      <c r="D187" t="inlineStr">
        <is>
          <t>SKÅNE LÄN</t>
        </is>
      </c>
      <c r="E187" t="inlineStr">
        <is>
          <t>HÄSSLEHOLM</t>
        </is>
      </c>
      <c r="G187" t="n">
        <v>2.5</v>
      </c>
      <c r="H187" t="n">
        <v>0</v>
      </c>
      <c r="I187" t="n">
        <v>0</v>
      </c>
      <c r="J187" t="n">
        <v>0</v>
      </c>
      <c r="K187" t="n">
        <v>0</v>
      </c>
      <c r="L187" t="n">
        <v>0</v>
      </c>
      <c r="M187" t="n">
        <v>0</v>
      </c>
      <c r="N187" t="n">
        <v>0</v>
      </c>
      <c r="O187" t="n">
        <v>0</v>
      </c>
      <c r="P187" t="n">
        <v>0</v>
      </c>
      <c r="Q187" t="n">
        <v>0</v>
      </c>
      <c r="R187" s="2" t="inlineStr"/>
    </row>
    <row r="188" ht="15" customHeight="1">
      <c r="A188" t="inlineStr">
        <is>
          <t>A 27330-2021</t>
        </is>
      </c>
      <c r="B188" s="1" t="n">
        <v>44351</v>
      </c>
      <c r="C188" s="1" t="n">
        <v>45882</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58509-2020</t>
        </is>
      </c>
      <c r="B189" s="1" t="n">
        <v>44144</v>
      </c>
      <c r="C189" s="1" t="n">
        <v>45882</v>
      </c>
      <c r="D189" t="inlineStr">
        <is>
          <t>SKÅNE LÄN</t>
        </is>
      </c>
      <c r="E189" t="inlineStr">
        <is>
          <t>HÄSSLEHOLM</t>
        </is>
      </c>
      <c r="G189" t="n">
        <v>8.5</v>
      </c>
      <c r="H189" t="n">
        <v>0</v>
      </c>
      <c r="I189" t="n">
        <v>0</v>
      </c>
      <c r="J189" t="n">
        <v>0</v>
      </c>
      <c r="K189" t="n">
        <v>0</v>
      </c>
      <c r="L189" t="n">
        <v>0</v>
      </c>
      <c r="M189" t="n">
        <v>0</v>
      </c>
      <c r="N189" t="n">
        <v>0</v>
      </c>
      <c r="O189" t="n">
        <v>0</v>
      </c>
      <c r="P189" t="n">
        <v>0</v>
      </c>
      <c r="Q189" t="n">
        <v>0</v>
      </c>
      <c r="R189" s="2" t="inlineStr"/>
    </row>
    <row r="190" ht="15" customHeight="1">
      <c r="A190" t="inlineStr">
        <is>
          <t>A 60260-2021</t>
        </is>
      </c>
      <c r="B190" s="1" t="n">
        <v>44495</v>
      </c>
      <c r="C190" s="1" t="n">
        <v>45882</v>
      </c>
      <c r="D190" t="inlineStr">
        <is>
          <t>SKÅNE LÄN</t>
        </is>
      </c>
      <c r="E190" t="inlineStr">
        <is>
          <t>HÄSSLEHOLM</t>
        </is>
      </c>
      <c r="G190" t="n">
        <v>2.1</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45882</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59302-2020</t>
        </is>
      </c>
      <c r="B192" s="1" t="n">
        <v>44147</v>
      </c>
      <c r="C192" s="1" t="n">
        <v>45882</v>
      </c>
      <c r="D192" t="inlineStr">
        <is>
          <t>SKÅNE LÄN</t>
        </is>
      </c>
      <c r="E192" t="inlineStr">
        <is>
          <t>HÄSSLEHOLM</t>
        </is>
      </c>
      <c r="G192" t="n">
        <v>11.2</v>
      </c>
      <c r="H192" t="n">
        <v>0</v>
      </c>
      <c r="I192" t="n">
        <v>0</v>
      </c>
      <c r="J192" t="n">
        <v>0</v>
      </c>
      <c r="K192" t="n">
        <v>0</v>
      </c>
      <c r="L192" t="n">
        <v>0</v>
      </c>
      <c r="M192" t="n">
        <v>0</v>
      </c>
      <c r="N192" t="n">
        <v>0</v>
      </c>
      <c r="O192" t="n">
        <v>0</v>
      </c>
      <c r="P192" t="n">
        <v>0</v>
      </c>
      <c r="Q192" t="n">
        <v>0</v>
      </c>
      <c r="R192" s="2" t="inlineStr"/>
    </row>
    <row r="193" ht="15" customHeight="1">
      <c r="A193" t="inlineStr">
        <is>
          <t>A 15986-2022</t>
        </is>
      </c>
      <c r="B193" s="1" t="n">
        <v>44664</v>
      </c>
      <c r="C193" s="1" t="n">
        <v>45882</v>
      </c>
      <c r="D193" t="inlineStr">
        <is>
          <t>SKÅNE LÄN</t>
        </is>
      </c>
      <c r="E193" t="inlineStr">
        <is>
          <t>HÄSSLEHOLM</t>
        </is>
      </c>
      <c r="F193" t="inlineStr">
        <is>
          <t>Kyrkan</t>
        </is>
      </c>
      <c r="G193" t="n">
        <v>6</v>
      </c>
      <c r="H193" t="n">
        <v>0</v>
      </c>
      <c r="I193" t="n">
        <v>0</v>
      </c>
      <c r="J193" t="n">
        <v>0</v>
      </c>
      <c r="K193" t="n">
        <v>0</v>
      </c>
      <c r="L193" t="n">
        <v>0</v>
      </c>
      <c r="M193" t="n">
        <v>0</v>
      </c>
      <c r="N193" t="n">
        <v>0</v>
      </c>
      <c r="O193" t="n">
        <v>0</v>
      </c>
      <c r="P193" t="n">
        <v>0</v>
      </c>
      <c r="Q193" t="n">
        <v>0</v>
      </c>
      <c r="R193" s="2" t="inlineStr"/>
    </row>
    <row r="194" ht="15" customHeight="1">
      <c r="A194" t="inlineStr">
        <is>
          <t>A 57811-2020</t>
        </is>
      </c>
      <c r="B194" s="1" t="n">
        <v>44141</v>
      </c>
      <c r="C194" s="1" t="n">
        <v>45882</v>
      </c>
      <c r="D194" t="inlineStr">
        <is>
          <t>SKÅNE LÄN</t>
        </is>
      </c>
      <c r="E194" t="inlineStr">
        <is>
          <t>HÄSSLEHOLM</t>
        </is>
      </c>
      <c r="G194" t="n">
        <v>2</v>
      </c>
      <c r="H194" t="n">
        <v>0</v>
      </c>
      <c r="I194" t="n">
        <v>0</v>
      </c>
      <c r="J194" t="n">
        <v>0</v>
      </c>
      <c r="K194" t="n">
        <v>0</v>
      </c>
      <c r="L194" t="n">
        <v>0</v>
      </c>
      <c r="M194" t="n">
        <v>0</v>
      </c>
      <c r="N194" t="n">
        <v>0</v>
      </c>
      <c r="O194" t="n">
        <v>0</v>
      </c>
      <c r="P194" t="n">
        <v>0</v>
      </c>
      <c r="Q194" t="n">
        <v>0</v>
      </c>
      <c r="R194" s="2" t="inlineStr"/>
    </row>
    <row r="195" ht="15" customHeight="1">
      <c r="A195" t="inlineStr">
        <is>
          <t>A 51888-2021</t>
        </is>
      </c>
      <c r="B195" s="1" t="n">
        <v>44462</v>
      </c>
      <c r="C195" s="1" t="n">
        <v>45882</v>
      </c>
      <c r="D195" t="inlineStr">
        <is>
          <t>SKÅNE LÄN</t>
        </is>
      </c>
      <c r="E195" t="inlineStr">
        <is>
          <t>HÄSSLEHOLM</t>
        </is>
      </c>
      <c r="G195" t="n">
        <v>5.6</v>
      </c>
      <c r="H195" t="n">
        <v>0</v>
      </c>
      <c r="I195" t="n">
        <v>0</v>
      </c>
      <c r="J195" t="n">
        <v>0</v>
      </c>
      <c r="K195" t="n">
        <v>0</v>
      </c>
      <c r="L195" t="n">
        <v>0</v>
      </c>
      <c r="M195" t="n">
        <v>0</v>
      </c>
      <c r="N195" t="n">
        <v>0</v>
      </c>
      <c r="O195" t="n">
        <v>0</v>
      </c>
      <c r="P195" t="n">
        <v>0</v>
      </c>
      <c r="Q195" t="n">
        <v>0</v>
      </c>
      <c r="R195" s="2" t="inlineStr"/>
    </row>
    <row r="196" ht="15" customHeight="1">
      <c r="A196" t="inlineStr">
        <is>
          <t>A 59542-2020</t>
        </is>
      </c>
      <c r="B196" s="1" t="n">
        <v>44148</v>
      </c>
      <c r="C196" s="1" t="n">
        <v>45882</v>
      </c>
      <c r="D196" t="inlineStr">
        <is>
          <t>SKÅNE LÄN</t>
        </is>
      </c>
      <c r="E196" t="inlineStr">
        <is>
          <t>HÄSSLEHOLM</t>
        </is>
      </c>
      <c r="G196" t="n">
        <v>0.7</v>
      </c>
      <c r="H196" t="n">
        <v>0</v>
      </c>
      <c r="I196" t="n">
        <v>0</v>
      </c>
      <c r="J196" t="n">
        <v>0</v>
      </c>
      <c r="K196" t="n">
        <v>0</v>
      </c>
      <c r="L196" t="n">
        <v>0</v>
      </c>
      <c r="M196" t="n">
        <v>0</v>
      </c>
      <c r="N196" t="n">
        <v>0</v>
      </c>
      <c r="O196" t="n">
        <v>0</v>
      </c>
      <c r="P196" t="n">
        <v>0</v>
      </c>
      <c r="Q196" t="n">
        <v>0</v>
      </c>
      <c r="R196" s="2" t="inlineStr"/>
    </row>
    <row r="197" ht="15" customHeight="1">
      <c r="A197" t="inlineStr">
        <is>
          <t>A 23830-2021</t>
        </is>
      </c>
      <c r="B197" s="1" t="n">
        <v>44335</v>
      </c>
      <c r="C197" s="1" t="n">
        <v>45882</v>
      </c>
      <c r="D197" t="inlineStr">
        <is>
          <t>SKÅNE LÄN</t>
        </is>
      </c>
      <c r="E197" t="inlineStr">
        <is>
          <t>HÄSSLEHOLM</t>
        </is>
      </c>
      <c r="G197" t="n">
        <v>18.7</v>
      </c>
      <c r="H197" t="n">
        <v>0</v>
      </c>
      <c r="I197" t="n">
        <v>0</v>
      </c>
      <c r="J197" t="n">
        <v>0</v>
      </c>
      <c r="K197" t="n">
        <v>0</v>
      </c>
      <c r="L197" t="n">
        <v>0</v>
      </c>
      <c r="M197" t="n">
        <v>0</v>
      </c>
      <c r="N197" t="n">
        <v>0</v>
      </c>
      <c r="O197" t="n">
        <v>0</v>
      </c>
      <c r="P197" t="n">
        <v>0</v>
      </c>
      <c r="Q197" t="n">
        <v>0</v>
      </c>
      <c r="R197" s="2" t="inlineStr"/>
    </row>
    <row r="198" ht="15" customHeight="1">
      <c r="A198" t="inlineStr">
        <is>
          <t>A 52786-2021</t>
        </is>
      </c>
      <c r="B198" s="1" t="n">
        <v>44467.36061342592</v>
      </c>
      <c r="C198" s="1" t="n">
        <v>45882</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7729-2021</t>
        </is>
      </c>
      <c r="B199" s="1" t="n">
        <v>44242</v>
      </c>
      <c r="C199" s="1" t="n">
        <v>45882</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197-2021</t>
        </is>
      </c>
      <c r="B200" s="1" t="n">
        <v>44200</v>
      </c>
      <c r="C200" s="1" t="n">
        <v>45882</v>
      </c>
      <c r="D200" t="inlineStr">
        <is>
          <t>SKÅNE LÄN</t>
        </is>
      </c>
      <c r="E200" t="inlineStr">
        <is>
          <t>HÄSSLEHOLM</t>
        </is>
      </c>
      <c r="G200" t="n">
        <v>12.9</v>
      </c>
      <c r="H200" t="n">
        <v>0</v>
      </c>
      <c r="I200" t="n">
        <v>0</v>
      </c>
      <c r="J200" t="n">
        <v>0</v>
      </c>
      <c r="K200" t="n">
        <v>0</v>
      </c>
      <c r="L200" t="n">
        <v>0</v>
      </c>
      <c r="M200" t="n">
        <v>0</v>
      </c>
      <c r="N200" t="n">
        <v>0</v>
      </c>
      <c r="O200" t="n">
        <v>0</v>
      </c>
      <c r="P200" t="n">
        <v>0</v>
      </c>
      <c r="Q200" t="n">
        <v>0</v>
      </c>
      <c r="R200" s="2" t="inlineStr"/>
    </row>
    <row r="201" ht="15" customHeight="1">
      <c r="A201" t="inlineStr">
        <is>
          <t>A 11616-2021</t>
        </is>
      </c>
      <c r="B201" s="1" t="n">
        <v>44264.63064814815</v>
      </c>
      <c r="C201" s="1" t="n">
        <v>45882</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29143-2021</t>
        </is>
      </c>
      <c r="B202" s="1" t="n">
        <v>44358.6319212963</v>
      </c>
      <c r="C202" s="1" t="n">
        <v>45882</v>
      </c>
      <c r="D202" t="inlineStr">
        <is>
          <t>SKÅNE LÄN</t>
        </is>
      </c>
      <c r="E202" t="inlineStr">
        <is>
          <t>HÄSSLEHOLM</t>
        </is>
      </c>
      <c r="G202" t="n">
        <v>2.9</v>
      </c>
      <c r="H202" t="n">
        <v>0</v>
      </c>
      <c r="I202" t="n">
        <v>0</v>
      </c>
      <c r="J202" t="n">
        <v>0</v>
      </c>
      <c r="K202" t="n">
        <v>0</v>
      </c>
      <c r="L202" t="n">
        <v>0</v>
      </c>
      <c r="M202" t="n">
        <v>0</v>
      </c>
      <c r="N202" t="n">
        <v>0</v>
      </c>
      <c r="O202" t="n">
        <v>0</v>
      </c>
      <c r="P202" t="n">
        <v>0</v>
      </c>
      <c r="Q202" t="n">
        <v>0</v>
      </c>
      <c r="R202" s="2" t="inlineStr"/>
    </row>
    <row r="203" ht="15" customHeight="1">
      <c r="A203" t="inlineStr">
        <is>
          <t>A 51893-2021</t>
        </is>
      </c>
      <c r="B203" s="1" t="n">
        <v>44462</v>
      </c>
      <c r="C203" s="1" t="n">
        <v>45882</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55394-2022</t>
        </is>
      </c>
      <c r="B204" s="1" t="n">
        <v>44887.57112268519</v>
      </c>
      <c r="C204" s="1" t="n">
        <v>45882</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354-2022</t>
        </is>
      </c>
      <c r="B205" s="1" t="n">
        <v>44565.62510416667</v>
      </c>
      <c r="C205" s="1" t="n">
        <v>45882</v>
      </c>
      <c r="D205" t="inlineStr">
        <is>
          <t>SKÅNE LÄN</t>
        </is>
      </c>
      <c r="E205" t="inlineStr">
        <is>
          <t>HÄSSLEHOLM</t>
        </is>
      </c>
      <c r="G205" t="n">
        <v>2.4</v>
      </c>
      <c r="H205" t="n">
        <v>0</v>
      </c>
      <c r="I205" t="n">
        <v>0</v>
      </c>
      <c r="J205" t="n">
        <v>0</v>
      </c>
      <c r="K205" t="n">
        <v>0</v>
      </c>
      <c r="L205" t="n">
        <v>0</v>
      </c>
      <c r="M205" t="n">
        <v>0</v>
      </c>
      <c r="N205" t="n">
        <v>0</v>
      </c>
      <c r="O205" t="n">
        <v>0</v>
      </c>
      <c r="P205" t="n">
        <v>0</v>
      </c>
      <c r="Q205" t="n">
        <v>0</v>
      </c>
      <c r="R205" s="2" t="inlineStr"/>
    </row>
    <row r="206" ht="15" customHeight="1">
      <c r="A206" t="inlineStr">
        <is>
          <t>A 44669-2022</t>
        </is>
      </c>
      <c r="B206" s="1" t="n">
        <v>44840</v>
      </c>
      <c r="C206" s="1" t="n">
        <v>45882</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32892-2021</t>
        </is>
      </c>
      <c r="B207" s="1" t="n">
        <v>44375</v>
      </c>
      <c r="C207" s="1" t="n">
        <v>45882</v>
      </c>
      <c r="D207" t="inlineStr">
        <is>
          <t>SKÅNE LÄN</t>
        </is>
      </c>
      <c r="E207" t="inlineStr">
        <is>
          <t>HÄSSLEHOLM</t>
        </is>
      </c>
      <c r="G207" t="n">
        <v>2.9</v>
      </c>
      <c r="H207" t="n">
        <v>0</v>
      </c>
      <c r="I207" t="n">
        <v>0</v>
      </c>
      <c r="J207" t="n">
        <v>0</v>
      </c>
      <c r="K207" t="n">
        <v>0</v>
      </c>
      <c r="L207" t="n">
        <v>0</v>
      </c>
      <c r="M207" t="n">
        <v>0</v>
      </c>
      <c r="N207" t="n">
        <v>0</v>
      </c>
      <c r="O207" t="n">
        <v>0</v>
      </c>
      <c r="P207" t="n">
        <v>0</v>
      </c>
      <c r="Q207" t="n">
        <v>0</v>
      </c>
      <c r="R207" s="2" t="inlineStr"/>
    </row>
    <row r="208" ht="15" customHeight="1">
      <c r="A208" t="inlineStr">
        <is>
          <t>A 26386-2022</t>
        </is>
      </c>
      <c r="B208" s="1" t="n">
        <v>44735.6803125</v>
      </c>
      <c r="C208" s="1" t="n">
        <v>45882</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45882</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66520-2020</t>
        </is>
      </c>
      <c r="B210" s="1" t="n">
        <v>44179</v>
      </c>
      <c r="C210" s="1" t="n">
        <v>45882</v>
      </c>
      <c r="D210" t="inlineStr">
        <is>
          <t>SKÅNE LÄN</t>
        </is>
      </c>
      <c r="E210" t="inlineStr">
        <is>
          <t>HÄSSLEHOLM</t>
        </is>
      </c>
      <c r="G210" t="n">
        <v>0.4</v>
      </c>
      <c r="H210" t="n">
        <v>0</v>
      </c>
      <c r="I210" t="n">
        <v>0</v>
      </c>
      <c r="J210" t="n">
        <v>0</v>
      </c>
      <c r="K210" t="n">
        <v>0</v>
      </c>
      <c r="L210" t="n">
        <v>0</v>
      </c>
      <c r="M210" t="n">
        <v>0</v>
      </c>
      <c r="N210" t="n">
        <v>0</v>
      </c>
      <c r="O210" t="n">
        <v>0</v>
      </c>
      <c r="P210" t="n">
        <v>0</v>
      </c>
      <c r="Q210" t="n">
        <v>0</v>
      </c>
      <c r="R210" s="2" t="inlineStr"/>
    </row>
    <row r="211" ht="15" customHeight="1">
      <c r="A211" t="inlineStr">
        <is>
          <t>A 25469-2022</t>
        </is>
      </c>
      <c r="B211" s="1" t="n">
        <v>44732</v>
      </c>
      <c r="C211" s="1" t="n">
        <v>45882</v>
      </c>
      <c r="D211" t="inlineStr">
        <is>
          <t>SKÅNE LÄN</t>
        </is>
      </c>
      <c r="E211" t="inlineStr">
        <is>
          <t>HÄSSLEHOLM</t>
        </is>
      </c>
      <c r="G211" t="n">
        <v>4.2</v>
      </c>
      <c r="H211" t="n">
        <v>0</v>
      </c>
      <c r="I211" t="n">
        <v>0</v>
      </c>
      <c r="J211" t="n">
        <v>0</v>
      </c>
      <c r="K211" t="n">
        <v>0</v>
      </c>
      <c r="L211" t="n">
        <v>0</v>
      </c>
      <c r="M211" t="n">
        <v>0</v>
      </c>
      <c r="N211" t="n">
        <v>0</v>
      </c>
      <c r="O211" t="n">
        <v>0</v>
      </c>
      <c r="P211" t="n">
        <v>0</v>
      </c>
      <c r="Q211" t="n">
        <v>0</v>
      </c>
      <c r="R211" s="2" t="inlineStr"/>
    </row>
    <row r="212" ht="15" customHeight="1">
      <c r="A212" t="inlineStr">
        <is>
          <t>A 45357-2022</t>
        </is>
      </c>
      <c r="B212" s="1" t="n">
        <v>44844.61952546296</v>
      </c>
      <c r="C212" s="1" t="n">
        <v>45882</v>
      </c>
      <c r="D212" t="inlineStr">
        <is>
          <t>SKÅNE LÄN</t>
        </is>
      </c>
      <c r="E212" t="inlineStr">
        <is>
          <t>HÄSSLEHOLM</t>
        </is>
      </c>
      <c r="G212" t="n">
        <v>5.8</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45882</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73513-2021</t>
        </is>
      </c>
      <c r="B214" s="1" t="n">
        <v>44551.69012731482</v>
      </c>
      <c r="C214" s="1" t="n">
        <v>45882</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45989-2021</t>
        </is>
      </c>
      <c r="B215" s="1" t="n">
        <v>44441.74627314815</v>
      </c>
      <c r="C215" s="1" t="n">
        <v>45882</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39102-2022</t>
        </is>
      </c>
      <c r="B216" s="1" t="n">
        <v>44817.43260416666</v>
      </c>
      <c r="C216" s="1" t="n">
        <v>45882</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7248-2021</t>
        </is>
      </c>
      <c r="B217" s="1" t="n">
        <v>44236</v>
      </c>
      <c r="C217" s="1" t="n">
        <v>45882</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69198-2020</t>
        </is>
      </c>
      <c r="B218" s="1" t="n">
        <v>44191</v>
      </c>
      <c r="C218" s="1" t="n">
        <v>45882</v>
      </c>
      <c r="D218" t="inlineStr">
        <is>
          <t>SKÅNE LÄN</t>
        </is>
      </c>
      <c r="E218" t="inlineStr">
        <is>
          <t>HÄSSLEHOLM</t>
        </is>
      </c>
      <c r="G218" t="n">
        <v>6.6</v>
      </c>
      <c r="H218" t="n">
        <v>0</v>
      </c>
      <c r="I218" t="n">
        <v>0</v>
      </c>
      <c r="J218" t="n">
        <v>0</v>
      </c>
      <c r="K218" t="n">
        <v>0</v>
      </c>
      <c r="L218" t="n">
        <v>0</v>
      </c>
      <c r="M218" t="n">
        <v>0</v>
      </c>
      <c r="N218" t="n">
        <v>0</v>
      </c>
      <c r="O218" t="n">
        <v>0</v>
      </c>
      <c r="P218" t="n">
        <v>0</v>
      </c>
      <c r="Q218" t="n">
        <v>0</v>
      </c>
      <c r="R218" s="2" t="inlineStr"/>
    </row>
    <row r="219" ht="15" customHeight="1">
      <c r="A219" t="inlineStr">
        <is>
          <t>A 47112-2021</t>
        </is>
      </c>
      <c r="B219" s="1" t="n">
        <v>44446</v>
      </c>
      <c r="C219" s="1" t="n">
        <v>45882</v>
      </c>
      <c r="D219" t="inlineStr">
        <is>
          <t>SKÅNE LÄN</t>
        </is>
      </c>
      <c r="E219" t="inlineStr">
        <is>
          <t>HÄSSLEHOLM</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48792-2020</t>
        </is>
      </c>
      <c r="B220" s="1" t="n">
        <v>44103</v>
      </c>
      <c r="C220" s="1" t="n">
        <v>45882</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8695-2021</t>
        </is>
      </c>
      <c r="B221" s="1" t="n">
        <v>44246</v>
      </c>
      <c r="C221" s="1" t="n">
        <v>45882</v>
      </c>
      <c r="D221" t="inlineStr">
        <is>
          <t>SKÅNE LÄN</t>
        </is>
      </c>
      <c r="E221" t="inlineStr">
        <is>
          <t>HÄSSLEHOLM</t>
        </is>
      </c>
      <c r="G221" t="n">
        <v>1.4</v>
      </c>
      <c r="H221" t="n">
        <v>0</v>
      </c>
      <c r="I221" t="n">
        <v>0</v>
      </c>
      <c r="J221" t="n">
        <v>0</v>
      </c>
      <c r="K221" t="n">
        <v>0</v>
      </c>
      <c r="L221" t="n">
        <v>0</v>
      </c>
      <c r="M221" t="n">
        <v>0</v>
      </c>
      <c r="N221" t="n">
        <v>0</v>
      </c>
      <c r="O221" t="n">
        <v>0</v>
      </c>
      <c r="P221" t="n">
        <v>0</v>
      </c>
      <c r="Q221" t="n">
        <v>0</v>
      </c>
      <c r="R221" s="2" t="inlineStr"/>
    </row>
    <row r="222" ht="15" customHeight="1">
      <c r="A222" t="inlineStr">
        <is>
          <t>A 2858-2022</t>
        </is>
      </c>
      <c r="B222" s="1" t="n">
        <v>44581</v>
      </c>
      <c r="C222" s="1" t="n">
        <v>45882</v>
      </c>
      <c r="D222" t="inlineStr">
        <is>
          <t>SKÅNE LÄN</t>
        </is>
      </c>
      <c r="E222" t="inlineStr">
        <is>
          <t>HÄSSLEHOLM</t>
        </is>
      </c>
      <c r="F222" t="inlineStr">
        <is>
          <t>Övriga Aktiebolag</t>
        </is>
      </c>
      <c r="G222" t="n">
        <v>1.3</v>
      </c>
      <c r="H222" t="n">
        <v>0</v>
      </c>
      <c r="I222" t="n">
        <v>0</v>
      </c>
      <c r="J222" t="n">
        <v>0</v>
      </c>
      <c r="K222" t="n">
        <v>0</v>
      </c>
      <c r="L222" t="n">
        <v>0</v>
      </c>
      <c r="M222" t="n">
        <v>0</v>
      </c>
      <c r="N222" t="n">
        <v>0</v>
      </c>
      <c r="O222" t="n">
        <v>0</v>
      </c>
      <c r="P222" t="n">
        <v>0</v>
      </c>
      <c r="Q222" t="n">
        <v>0</v>
      </c>
      <c r="R222" s="2" t="inlineStr"/>
    </row>
    <row r="223" ht="15" customHeight="1">
      <c r="A223" t="inlineStr">
        <is>
          <t>A 6414-2022</t>
        </is>
      </c>
      <c r="B223" s="1" t="n">
        <v>44600</v>
      </c>
      <c r="C223" s="1" t="n">
        <v>45882</v>
      </c>
      <c r="D223" t="inlineStr">
        <is>
          <t>SKÅNE LÄN</t>
        </is>
      </c>
      <c r="E223" t="inlineStr">
        <is>
          <t>HÄSSLEHOLM</t>
        </is>
      </c>
      <c r="G223" t="n">
        <v>2.9</v>
      </c>
      <c r="H223" t="n">
        <v>0</v>
      </c>
      <c r="I223" t="n">
        <v>0</v>
      </c>
      <c r="J223" t="n">
        <v>0</v>
      </c>
      <c r="K223" t="n">
        <v>0</v>
      </c>
      <c r="L223" t="n">
        <v>0</v>
      </c>
      <c r="M223" t="n">
        <v>0</v>
      </c>
      <c r="N223" t="n">
        <v>0</v>
      </c>
      <c r="O223" t="n">
        <v>0</v>
      </c>
      <c r="P223" t="n">
        <v>0</v>
      </c>
      <c r="Q223" t="n">
        <v>0</v>
      </c>
      <c r="R223" s="2" t="inlineStr"/>
    </row>
    <row r="224" ht="15" customHeight="1">
      <c r="A224" t="inlineStr">
        <is>
          <t>A 54079-2020</t>
        </is>
      </c>
      <c r="B224" s="1" t="n">
        <v>44125.61570601852</v>
      </c>
      <c r="C224" s="1" t="n">
        <v>45882</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27959-2022</t>
        </is>
      </c>
      <c r="B225" s="1" t="n">
        <v>44744</v>
      </c>
      <c r="C225" s="1" t="n">
        <v>45882</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20510-2021</t>
        </is>
      </c>
      <c r="B226" s="1" t="n">
        <v>44315</v>
      </c>
      <c r="C226" s="1" t="n">
        <v>45882</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54362-2020</t>
        </is>
      </c>
      <c r="B227" s="1" t="n">
        <v>44126</v>
      </c>
      <c r="C227" s="1" t="n">
        <v>45882</v>
      </c>
      <c r="D227" t="inlineStr">
        <is>
          <t>SKÅNE LÄN</t>
        </is>
      </c>
      <c r="E227" t="inlineStr">
        <is>
          <t>HÄSSLEHOLM</t>
        </is>
      </c>
      <c r="G227" t="n">
        <v>4.5</v>
      </c>
      <c r="H227" t="n">
        <v>0</v>
      </c>
      <c r="I227" t="n">
        <v>0</v>
      </c>
      <c r="J227" t="n">
        <v>0</v>
      </c>
      <c r="K227" t="n">
        <v>0</v>
      </c>
      <c r="L227" t="n">
        <v>0</v>
      </c>
      <c r="M227" t="n">
        <v>0</v>
      </c>
      <c r="N227" t="n">
        <v>0</v>
      </c>
      <c r="O227" t="n">
        <v>0</v>
      </c>
      <c r="P227" t="n">
        <v>0</v>
      </c>
      <c r="Q227" t="n">
        <v>0</v>
      </c>
      <c r="R227" s="2" t="inlineStr"/>
    </row>
    <row r="228" ht="15" customHeight="1">
      <c r="A228" t="inlineStr">
        <is>
          <t>A 64826-2021</t>
        </is>
      </c>
      <c r="B228" s="1" t="n">
        <v>44512.55935185185</v>
      </c>
      <c r="C228" s="1" t="n">
        <v>45882</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48397-2020</t>
        </is>
      </c>
      <c r="B229" s="1" t="n">
        <v>44097</v>
      </c>
      <c r="C229" s="1" t="n">
        <v>45882</v>
      </c>
      <c r="D229" t="inlineStr">
        <is>
          <t>SKÅNE LÄN</t>
        </is>
      </c>
      <c r="E229" t="inlineStr">
        <is>
          <t>HÄSSLEHOLM</t>
        </is>
      </c>
      <c r="G229" t="n">
        <v>8</v>
      </c>
      <c r="H229" t="n">
        <v>0</v>
      </c>
      <c r="I229" t="n">
        <v>0</v>
      </c>
      <c r="J229" t="n">
        <v>0</v>
      </c>
      <c r="K229" t="n">
        <v>0</v>
      </c>
      <c r="L229" t="n">
        <v>0</v>
      </c>
      <c r="M229" t="n">
        <v>0</v>
      </c>
      <c r="N229" t="n">
        <v>0</v>
      </c>
      <c r="O229" t="n">
        <v>0</v>
      </c>
      <c r="P229" t="n">
        <v>0</v>
      </c>
      <c r="Q229" t="n">
        <v>0</v>
      </c>
      <c r="R229" s="2" t="inlineStr"/>
    </row>
    <row r="230" ht="15" customHeight="1">
      <c r="A230" t="inlineStr">
        <is>
          <t>A 56431-2021</t>
        </is>
      </c>
      <c r="B230" s="1" t="n">
        <v>44480</v>
      </c>
      <c r="C230" s="1" t="n">
        <v>45882</v>
      </c>
      <c r="D230" t="inlineStr">
        <is>
          <t>SKÅNE LÄN</t>
        </is>
      </c>
      <c r="E230" t="inlineStr">
        <is>
          <t>HÄSSLEHOLM</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50372-2020</t>
        </is>
      </c>
      <c r="B231" s="1" t="n">
        <v>44110</v>
      </c>
      <c r="C231" s="1" t="n">
        <v>45882</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13811-2021</t>
        </is>
      </c>
      <c r="B232" s="1" t="n">
        <v>44276</v>
      </c>
      <c r="C232" s="1" t="n">
        <v>45882</v>
      </c>
      <c r="D232" t="inlineStr">
        <is>
          <t>SKÅNE LÄN</t>
        </is>
      </c>
      <c r="E232" t="inlineStr">
        <is>
          <t>HÄSSLEHOLM</t>
        </is>
      </c>
      <c r="G232" t="n">
        <v>8</v>
      </c>
      <c r="H232" t="n">
        <v>0</v>
      </c>
      <c r="I232" t="n">
        <v>0</v>
      </c>
      <c r="J232" t="n">
        <v>0</v>
      </c>
      <c r="K232" t="n">
        <v>0</v>
      </c>
      <c r="L232" t="n">
        <v>0</v>
      </c>
      <c r="M232" t="n">
        <v>0</v>
      </c>
      <c r="N232" t="n">
        <v>0</v>
      </c>
      <c r="O232" t="n">
        <v>0</v>
      </c>
      <c r="P232" t="n">
        <v>0</v>
      </c>
      <c r="Q232" t="n">
        <v>0</v>
      </c>
      <c r="R232" s="2" t="inlineStr"/>
    </row>
    <row r="233" ht="15" customHeight="1">
      <c r="A233" t="inlineStr">
        <is>
          <t>A 46145-2020</t>
        </is>
      </c>
      <c r="B233" s="1" t="n">
        <v>44091</v>
      </c>
      <c r="C233" s="1" t="n">
        <v>45882</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23967-2022</t>
        </is>
      </c>
      <c r="B234" s="1" t="n">
        <v>44722.74079861111</v>
      </c>
      <c r="C234" s="1" t="n">
        <v>45882</v>
      </c>
      <c r="D234" t="inlineStr">
        <is>
          <t>SKÅNE LÄN</t>
        </is>
      </c>
      <c r="E234" t="inlineStr">
        <is>
          <t>HÄSSLEHOLM</t>
        </is>
      </c>
      <c r="F234" t="inlineStr">
        <is>
          <t>Kyrkan</t>
        </is>
      </c>
      <c r="G234" t="n">
        <v>12.4</v>
      </c>
      <c r="H234" t="n">
        <v>0</v>
      </c>
      <c r="I234" t="n">
        <v>0</v>
      </c>
      <c r="J234" t="n">
        <v>0</v>
      </c>
      <c r="K234" t="n">
        <v>0</v>
      </c>
      <c r="L234" t="n">
        <v>0</v>
      </c>
      <c r="M234" t="n">
        <v>0</v>
      </c>
      <c r="N234" t="n">
        <v>0</v>
      </c>
      <c r="O234" t="n">
        <v>0</v>
      </c>
      <c r="P234" t="n">
        <v>0</v>
      </c>
      <c r="Q234" t="n">
        <v>0</v>
      </c>
      <c r="R234" s="2" t="inlineStr"/>
    </row>
    <row r="235" ht="15" customHeight="1">
      <c r="A235" t="inlineStr">
        <is>
          <t>A 60597-2020</t>
        </is>
      </c>
      <c r="B235" s="1" t="n">
        <v>44152</v>
      </c>
      <c r="C235" s="1" t="n">
        <v>45882</v>
      </c>
      <c r="D235" t="inlineStr">
        <is>
          <t>SKÅNE LÄN</t>
        </is>
      </c>
      <c r="E235" t="inlineStr">
        <is>
          <t>HÄSSLEHOLM</t>
        </is>
      </c>
      <c r="G235" t="n">
        <v>3.4</v>
      </c>
      <c r="H235" t="n">
        <v>0</v>
      </c>
      <c r="I235" t="n">
        <v>0</v>
      </c>
      <c r="J235" t="n">
        <v>0</v>
      </c>
      <c r="K235" t="n">
        <v>0</v>
      </c>
      <c r="L235" t="n">
        <v>0</v>
      </c>
      <c r="M235" t="n">
        <v>0</v>
      </c>
      <c r="N235" t="n">
        <v>0</v>
      </c>
      <c r="O235" t="n">
        <v>0</v>
      </c>
      <c r="P235" t="n">
        <v>0</v>
      </c>
      <c r="Q235" t="n">
        <v>0</v>
      </c>
      <c r="R235" s="2" t="inlineStr"/>
    </row>
    <row r="236" ht="15" customHeight="1">
      <c r="A236" t="inlineStr">
        <is>
          <t>A 69504-2020</t>
        </is>
      </c>
      <c r="B236" s="1" t="n">
        <v>44194</v>
      </c>
      <c r="C236" s="1" t="n">
        <v>45882</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52567-2021</t>
        </is>
      </c>
      <c r="B237" s="1" t="n">
        <v>44466</v>
      </c>
      <c r="C237" s="1" t="n">
        <v>45882</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62782-2020</t>
        </is>
      </c>
      <c r="B238" s="1" t="n">
        <v>44161</v>
      </c>
      <c r="C238" s="1" t="n">
        <v>45882</v>
      </c>
      <c r="D238" t="inlineStr">
        <is>
          <t>SKÅNE LÄN</t>
        </is>
      </c>
      <c r="E238" t="inlineStr">
        <is>
          <t>HÄSSLEHOLM</t>
        </is>
      </c>
      <c r="F238" t="inlineStr">
        <is>
          <t>Kyrkan</t>
        </is>
      </c>
      <c r="G238" t="n">
        <v>1.6</v>
      </c>
      <c r="H238" t="n">
        <v>0</v>
      </c>
      <c r="I238" t="n">
        <v>0</v>
      </c>
      <c r="J238" t="n">
        <v>0</v>
      </c>
      <c r="K238" t="n">
        <v>0</v>
      </c>
      <c r="L238" t="n">
        <v>0</v>
      </c>
      <c r="M238" t="n">
        <v>0</v>
      </c>
      <c r="N238" t="n">
        <v>0</v>
      </c>
      <c r="O238" t="n">
        <v>0</v>
      </c>
      <c r="P238" t="n">
        <v>0</v>
      </c>
      <c r="Q238" t="n">
        <v>0</v>
      </c>
      <c r="R238" s="2" t="inlineStr"/>
    </row>
    <row r="239" ht="15" customHeight="1">
      <c r="A239" t="inlineStr">
        <is>
          <t>A 62802-2020</t>
        </is>
      </c>
      <c r="B239" s="1" t="n">
        <v>44161</v>
      </c>
      <c r="C239" s="1" t="n">
        <v>45882</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45814-2020</t>
        </is>
      </c>
      <c r="B240" s="1" t="n">
        <v>44090.8908912037</v>
      </c>
      <c r="C240" s="1" t="n">
        <v>45882</v>
      </c>
      <c r="D240" t="inlineStr">
        <is>
          <t>SKÅNE LÄN</t>
        </is>
      </c>
      <c r="E240" t="inlineStr">
        <is>
          <t>HÄSSLEHOLM</t>
        </is>
      </c>
      <c r="G240" t="n">
        <v>0.2</v>
      </c>
      <c r="H240" t="n">
        <v>0</v>
      </c>
      <c r="I240" t="n">
        <v>0</v>
      </c>
      <c r="J240" t="n">
        <v>0</v>
      </c>
      <c r="K240" t="n">
        <v>0</v>
      </c>
      <c r="L240" t="n">
        <v>0</v>
      </c>
      <c r="M240" t="n">
        <v>0</v>
      </c>
      <c r="N240" t="n">
        <v>0</v>
      </c>
      <c r="O240" t="n">
        <v>0</v>
      </c>
      <c r="P240" t="n">
        <v>0</v>
      </c>
      <c r="Q240" t="n">
        <v>0</v>
      </c>
      <c r="R240" s="2" t="inlineStr"/>
    </row>
    <row r="241" ht="15" customHeight="1">
      <c r="A241" t="inlineStr">
        <is>
          <t>A 45815-2020</t>
        </is>
      </c>
      <c r="B241" s="1" t="n">
        <v>44090.9071875</v>
      </c>
      <c r="C241" s="1" t="n">
        <v>45882</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74297-2021</t>
        </is>
      </c>
      <c r="B242" s="1" t="n">
        <v>44558</v>
      </c>
      <c r="C242" s="1" t="n">
        <v>45882</v>
      </c>
      <c r="D242" t="inlineStr">
        <is>
          <t>SKÅNE LÄN</t>
        </is>
      </c>
      <c r="E242" t="inlineStr">
        <is>
          <t>HÄSSLEHOLM</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2514-2021</t>
        </is>
      </c>
      <c r="B243" s="1" t="n">
        <v>44214</v>
      </c>
      <c r="C243" s="1" t="n">
        <v>45882</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43595-2020</t>
        </is>
      </c>
      <c r="B244" s="1" t="n">
        <v>44082</v>
      </c>
      <c r="C244" s="1" t="n">
        <v>45882</v>
      </c>
      <c r="D244" t="inlineStr">
        <is>
          <t>SKÅNE LÄN</t>
        </is>
      </c>
      <c r="E244" t="inlineStr">
        <is>
          <t>HÄSSLEHOLM</t>
        </is>
      </c>
      <c r="F244" t="inlineStr">
        <is>
          <t>Kyrkan</t>
        </is>
      </c>
      <c r="G244" t="n">
        <v>1.4</v>
      </c>
      <c r="H244" t="n">
        <v>0</v>
      </c>
      <c r="I244" t="n">
        <v>0</v>
      </c>
      <c r="J244" t="n">
        <v>0</v>
      </c>
      <c r="K244" t="n">
        <v>0</v>
      </c>
      <c r="L244" t="n">
        <v>0</v>
      </c>
      <c r="M244" t="n">
        <v>0</v>
      </c>
      <c r="N244" t="n">
        <v>0</v>
      </c>
      <c r="O244" t="n">
        <v>0</v>
      </c>
      <c r="P244" t="n">
        <v>0</v>
      </c>
      <c r="Q244" t="n">
        <v>0</v>
      </c>
      <c r="R244" s="2" t="inlineStr"/>
    </row>
    <row r="245" ht="15" customHeight="1">
      <c r="A245" t="inlineStr">
        <is>
          <t>A 61216-2020</t>
        </is>
      </c>
      <c r="B245" s="1" t="n">
        <v>44155</v>
      </c>
      <c r="C245" s="1" t="n">
        <v>45882</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57807-2020</t>
        </is>
      </c>
      <c r="B246" s="1" t="n">
        <v>44141</v>
      </c>
      <c r="C246" s="1" t="n">
        <v>45882</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8177-2022</t>
        </is>
      </c>
      <c r="B247" s="1" t="n">
        <v>44607</v>
      </c>
      <c r="C247" s="1" t="n">
        <v>45882</v>
      </c>
      <c r="D247" t="inlineStr">
        <is>
          <t>SKÅNE LÄN</t>
        </is>
      </c>
      <c r="E247" t="inlineStr">
        <is>
          <t>HÄSSLEHOLM</t>
        </is>
      </c>
      <c r="F247" t="inlineStr">
        <is>
          <t>Kyrkan</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25464-2022</t>
        </is>
      </c>
      <c r="B248" s="1" t="n">
        <v>44729</v>
      </c>
      <c r="C248" s="1" t="n">
        <v>45882</v>
      </c>
      <c r="D248" t="inlineStr">
        <is>
          <t>SKÅNE LÄN</t>
        </is>
      </c>
      <c r="E248" t="inlineStr">
        <is>
          <t>HÄSSLEHOLM</t>
        </is>
      </c>
      <c r="G248" t="n">
        <v>21</v>
      </c>
      <c r="H248" t="n">
        <v>0</v>
      </c>
      <c r="I248" t="n">
        <v>0</v>
      </c>
      <c r="J248" t="n">
        <v>0</v>
      </c>
      <c r="K248" t="n">
        <v>0</v>
      </c>
      <c r="L248" t="n">
        <v>0</v>
      </c>
      <c r="M248" t="n">
        <v>0</v>
      </c>
      <c r="N248" t="n">
        <v>0</v>
      </c>
      <c r="O248" t="n">
        <v>0</v>
      </c>
      <c r="P248" t="n">
        <v>0</v>
      </c>
      <c r="Q248" t="n">
        <v>0</v>
      </c>
      <c r="R248" s="2" t="inlineStr"/>
    </row>
    <row r="249" ht="15" customHeight="1">
      <c r="A249" t="inlineStr">
        <is>
          <t>A 6967-2021</t>
        </is>
      </c>
      <c r="B249" s="1" t="n">
        <v>44237</v>
      </c>
      <c r="C249" s="1" t="n">
        <v>45882</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46479-2020</t>
        </is>
      </c>
      <c r="B250" s="1" t="n">
        <v>44095</v>
      </c>
      <c r="C250" s="1" t="n">
        <v>45882</v>
      </c>
      <c r="D250" t="inlineStr">
        <is>
          <t>SKÅNE LÄN</t>
        </is>
      </c>
      <c r="E250" t="inlineStr">
        <is>
          <t>HÄSSLEHOLM</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418-2022</t>
        </is>
      </c>
      <c r="B251" s="1" t="n">
        <v>44565.84958333334</v>
      </c>
      <c r="C251" s="1" t="n">
        <v>45882</v>
      </c>
      <c r="D251" t="inlineStr">
        <is>
          <t>SKÅNE LÄN</t>
        </is>
      </c>
      <c r="E251" t="inlineStr">
        <is>
          <t>HÄSSLEHOLM</t>
        </is>
      </c>
      <c r="G251" t="n">
        <v>0</v>
      </c>
      <c r="H251" t="n">
        <v>0</v>
      </c>
      <c r="I251" t="n">
        <v>0</v>
      </c>
      <c r="J251" t="n">
        <v>0</v>
      </c>
      <c r="K251" t="n">
        <v>0</v>
      </c>
      <c r="L251" t="n">
        <v>0</v>
      </c>
      <c r="M251" t="n">
        <v>0</v>
      </c>
      <c r="N251" t="n">
        <v>0</v>
      </c>
      <c r="O251" t="n">
        <v>0</v>
      </c>
      <c r="P251" t="n">
        <v>0</v>
      </c>
      <c r="Q251" t="n">
        <v>0</v>
      </c>
      <c r="R251" s="2" t="inlineStr"/>
    </row>
    <row r="252" ht="15" customHeight="1">
      <c r="A252" t="inlineStr">
        <is>
          <t>A 52295-2021</t>
        </is>
      </c>
      <c r="B252" s="1" t="n">
        <v>44463</v>
      </c>
      <c r="C252" s="1" t="n">
        <v>45882</v>
      </c>
      <c r="D252" t="inlineStr">
        <is>
          <t>SKÅNE LÄN</t>
        </is>
      </c>
      <c r="E252" t="inlineStr">
        <is>
          <t>HÄSSLEHOLM</t>
        </is>
      </c>
      <c r="G252" t="n">
        <v>0.3</v>
      </c>
      <c r="H252" t="n">
        <v>0</v>
      </c>
      <c r="I252" t="n">
        <v>0</v>
      </c>
      <c r="J252" t="n">
        <v>0</v>
      </c>
      <c r="K252" t="n">
        <v>0</v>
      </c>
      <c r="L252" t="n">
        <v>0</v>
      </c>
      <c r="M252" t="n">
        <v>0</v>
      </c>
      <c r="N252" t="n">
        <v>0</v>
      </c>
      <c r="O252" t="n">
        <v>0</v>
      </c>
      <c r="P252" t="n">
        <v>0</v>
      </c>
      <c r="Q252" t="n">
        <v>0</v>
      </c>
      <c r="R252" s="2" t="inlineStr"/>
    </row>
    <row r="253" ht="15" customHeight="1">
      <c r="A253" t="inlineStr">
        <is>
          <t>A 6973-2021</t>
        </is>
      </c>
      <c r="B253" s="1" t="n">
        <v>44237</v>
      </c>
      <c r="C253" s="1" t="n">
        <v>45882</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68909-2021</t>
        </is>
      </c>
      <c r="B254" s="1" t="n">
        <v>44530.46730324074</v>
      </c>
      <c r="C254" s="1" t="n">
        <v>45882</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6965-2021</t>
        </is>
      </c>
      <c r="B255" s="1" t="n">
        <v>44237</v>
      </c>
      <c r="C255" s="1" t="n">
        <v>45882</v>
      </c>
      <c r="D255" t="inlineStr">
        <is>
          <t>SKÅNE LÄN</t>
        </is>
      </c>
      <c r="E255" t="inlineStr">
        <is>
          <t>HÄSSLEHOLM</t>
        </is>
      </c>
      <c r="G255" t="n">
        <v>0.3</v>
      </c>
      <c r="H255" t="n">
        <v>0</v>
      </c>
      <c r="I255" t="n">
        <v>0</v>
      </c>
      <c r="J255" t="n">
        <v>0</v>
      </c>
      <c r="K255" t="n">
        <v>0</v>
      </c>
      <c r="L255" t="n">
        <v>0</v>
      </c>
      <c r="M255" t="n">
        <v>0</v>
      </c>
      <c r="N255" t="n">
        <v>0</v>
      </c>
      <c r="O255" t="n">
        <v>0</v>
      </c>
      <c r="P255" t="n">
        <v>0</v>
      </c>
      <c r="Q255" t="n">
        <v>0</v>
      </c>
      <c r="R255" s="2" t="inlineStr"/>
    </row>
    <row r="256" ht="15" customHeight="1">
      <c r="A256" t="inlineStr">
        <is>
          <t>A 69505-2020</t>
        </is>
      </c>
      <c r="B256" s="1" t="n">
        <v>44194</v>
      </c>
      <c r="C256" s="1" t="n">
        <v>45882</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30344-2022</t>
        </is>
      </c>
      <c r="B257" s="1" t="n">
        <v>44760.50783564815</v>
      </c>
      <c r="C257" s="1" t="n">
        <v>45882</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25788-2021</t>
        </is>
      </c>
      <c r="B258" s="1" t="n">
        <v>44343</v>
      </c>
      <c r="C258" s="1" t="n">
        <v>45882</v>
      </c>
      <c r="D258" t="inlineStr">
        <is>
          <t>SKÅNE LÄN</t>
        </is>
      </c>
      <c r="E258" t="inlineStr">
        <is>
          <t>HÄSSLEHOLM</t>
        </is>
      </c>
      <c r="G258" t="n">
        <v>4.8</v>
      </c>
      <c r="H258" t="n">
        <v>0</v>
      </c>
      <c r="I258" t="n">
        <v>0</v>
      </c>
      <c r="J258" t="n">
        <v>0</v>
      </c>
      <c r="K258" t="n">
        <v>0</v>
      </c>
      <c r="L258" t="n">
        <v>0</v>
      </c>
      <c r="M258" t="n">
        <v>0</v>
      </c>
      <c r="N258" t="n">
        <v>0</v>
      </c>
      <c r="O258" t="n">
        <v>0</v>
      </c>
      <c r="P258" t="n">
        <v>0</v>
      </c>
      <c r="Q258" t="n">
        <v>0</v>
      </c>
      <c r="R258" s="2" t="inlineStr"/>
    </row>
    <row r="259" ht="15" customHeight="1">
      <c r="A259" t="inlineStr">
        <is>
          <t>A 56527-2021</t>
        </is>
      </c>
      <c r="B259" s="1" t="n">
        <v>44480</v>
      </c>
      <c r="C259" s="1" t="n">
        <v>45882</v>
      </c>
      <c r="D259" t="inlineStr">
        <is>
          <t>SKÅNE LÄN</t>
        </is>
      </c>
      <c r="E259" t="inlineStr">
        <is>
          <t>HÄSSLEHOLM</t>
        </is>
      </c>
      <c r="F259" t="inlineStr">
        <is>
          <t>Kyrkan</t>
        </is>
      </c>
      <c r="G259" t="n">
        <v>2.7</v>
      </c>
      <c r="H259" t="n">
        <v>0</v>
      </c>
      <c r="I259" t="n">
        <v>0</v>
      </c>
      <c r="J259" t="n">
        <v>0</v>
      </c>
      <c r="K259" t="n">
        <v>0</v>
      </c>
      <c r="L259" t="n">
        <v>0</v>
      </c>
      <c r="M259" t="n">
        <v>0</v>
      </c>
      <c r="N259" t="n">
        <v>0</v>
      </c>
      <c r="O259" t="n">
        <v>0</v>
      </c>
      <c r="P259" t="n">
        <v>0</v>
      </c>
      <c r="Q259" t="n">
        <v>0</v>
      </c>
      <c r="R259" s="2" t="inlineStr"/>
    </row>
    <row r="260" ht="15" customHeight="1">
      <c r="A260" t="inlineStr">
        <is>
          <t>A 47121-2020</t>
        </is>
      </c>
      <c r="B260" s="1" t="n">
        <v>44096</v>
      </c>
      <c r="C260" s="1" t="n">
        <v>45882</v>
      </c>
      <c r="D260" t="inlineStr">
        <is>
          <t>SKÅNE LÄN</t>
        </is>
      </c>
      <c r="E260" t="inlineStr">
        <is>
          <t>HÄSSLEHOLM</t>
        </is>
      </c>
      <c r="G260" t="n">
        <v>3.6</v>
      </c>
      <c r="H260" t="n">
        <v>0</v>
      </c>
      <c r="I260" t="n">
        <v>0</v>
      </c>
      <c r="J260" t="n">
        <v>0</v>
      </c>
      <c r="K260" t="n">
        <v>0</v>
      </c>
      <c r="L260" t="n">
        <v>0</v>
      </c>
      <c r="M260" t="n">
        <v>0</v>
      </c>
      <c r="N260" t="n">
        <v>0</v>
      </c>
      <c r="O260" t="n">
        <v>0</v>
      </c>
      <c r="P260" t="n">
        <v>0</v>
      </c>
      <c r="Q260" t="n">
        <v>0</v>
      </c>
      <c r="R260" s="2" t="inlineStr"/>
    </row>
    <row r="261" ht="15" customHeight="1">
      <c r="A261" t="inlineStr">
        <is>
          <t>A 7481-2023</t>
        </is>
      </c>
      <c r="B261" s="1" t="n">
        <v>44971</v>
      </c>
      <c r="C261" s="1" t="n">
        <v>45882</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25955-2022</t>
        </is>
      </c>
      <c r="B262" s="1" t="n">
        <v>44734</v>
      </c>
      <c r="C262" s="1" t="n">
        <v>45882</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3992-2022</t>
        </is>
      </c>
      <c r="B263" s="1" t="n">
        <v>44587</v>
      </c>
      <c r="C263" s="1" t="n">
        <v>45882</v>
      </c>
      <c r="D263" t="inlineStr">
        <is>
          <t>SKÅNE LÄN</t>
        </is>
      </c>
      <c r="E263" t="inlineStr">
        <is>
          <t>HÄSSLEHOLM</t>
        </is>
      </c>
      <c r="G263" t="n">
        <v>0.9</v>
      </c>
      <c r="H263" t="n">
        <v>0</v>
      </c>
      <c r="I263" t="n">
        <v>0</v>
      </c>
      <c r="J263" t="n">
        <v>0</v>
      </c>
      <c r="K263" t="n">
        <v>0</v>
      </c>
      <c r="L263" t="n">
        <v>0</v>
      </c>
      <c r="M263" t="n">
        <v>0</v>
      </c>
      <c r="N263" t="n">
        <v>0</v>
      </c>
      <c r="O263" t="n">
        <v>0</v>
      </c>
      <c r="P263" t="n">
        <v>0</v>
      </c>
      <c r="Q263" t="n">
        <v>0</v>
      </c>
      <c r="R263" s="2" t="inlineStr"/>
    </row>
    <row r="264" ht="15" customHeight="1">
      <c r="A264" t="inlineStr">
        <is>
          <t>A 59728-2022</t>
        </is>
      </c>
      <c r="B264" s="1" t="n">
        <v>44900</v>
      </c>
      <c r="C264" s="1" t="n">
        <v>45882</v>
      </c>
      <c r="D264" t="inlineStr">
        <is>
          <t>SKÅNE LÄN</t>
        </is>
      </c>
      <c r="E264" t="inlineStr">
        <is>
          <t>HÄSSLEHOLM</t>
        </is>
      </c>
      <c r="G264" t="n">
        <v>0.3</v>
      </c>
      <c r="H264" t="n">
        <v>0</v>
      </c>
      <c r="I264" t="n">
        <v>0</v>
      </c>
      <c r="J264" t="n">
        <v>0</v>
      </c>
      <c r="K264" t="n">
        <v>0</v>
      </c>
      <c r="L264" t="n">
        <v>0</v>
      </c>
      <c r="M264" t="n">
        <v>0</v>
      </c>
      <c r="N264" t="n">
        <v>0</v>
      </c>
      <c r="O264" t="n">
        <v>0</v>
      </c>
      <c r="P264" t="n">
        <v>0</v>
      </c>
      <c r="Q264" t="n">
        <v>0</v>
      </c>
      <c r="R264" s="2" t="inlineStr"/>
    </row>
    <row r="265" ht="15" customHeight="1">
      <c r="A265" t="inlineStr">
        <is>
          <t>A 6791-2021</t>
        </is>
      </c>
      <c r="B265" s="1" t="n">
        <v>44236</v>
      </c>
      <c r="C265" s="1" t="n">
        <v>45882</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4009-2024</t>
        </is>
      </c>
      <c r="B266" s="1" t="n">
        <v>45323</v>
      </c>
      <c r="C266" s="1" t="n">
        <v>45882</v>
      </c>
      <c r="D266" t="inlineStr">
        <is>
          <t>SKÅNE LÄN</t>
        </is>
      </c>
      <c r="E266" t="inlineStr">
        <is>
          <t>HÄSSLEHOLM</t>
        </is>
      </c>
      <c r="G266" t="n">
        <v>2.4</v>
      </c>
      <c r="H266" t="n">
        <v>0</v>
      </c>
      <c r="I266" t="n">
        <v>0</v>
      </c>
      <c r="J266" t="n">
        <v>0</v>
      </c>
      <c r="K266" t="n">
        <v>0</v>
      </c>
      <c r="L266" t="n">
        <v>0</v>
      </c>
      <c r="M266" t="n">
        <v>0</v>
      </c>
      <c r="N266" t="n">
        <v>0</v>
      </c>
      <c r="O266" t="n">
        <v>0</v>
      </c>
      <c r="P266" t="n">
        <v>0</v>
      </c>
      <c r="Q266" t="n">
        <v>0</v>
      </c>
      <c r="R266" s="2" t="inlineStr"/>
    </row>
    <row r="267" ht="15" customHeight="1">
      <c r="A267" t="inlineStr">
        <is>
          <t>A 10928-2024</t>
        </is>
      </c>
      <c r="B267" s="1" t="n">
        <v>45370</v>
      </c>
      <c r="C267" s="1" t="n">
        <v>45882</v>
      </c>
      <c r="D267" t="inlineStr">
        <is>
          <t>SKÅNE LÄN</t>
        </is>
      </c>
      <c r="E267" t="inlineStr">
        <is>
          <t>HÄSSLEHOLM</t>
        </is>
      </c>
      <c r="F267" t="inlineStr">
        <is>
          <t>Övriga Aktiebolag</t>
        </is>
      </c>
      <c r="G267" t="n">
        <v>0.5</v>
      </c>
      <c r="H267" t="n">
        <v>0</v>
      </c>
      <c r="I267" t="n">
        <v>0</v>
      </c>
      <c r="J267" t="n">
        <v>0</v>
      </c>
      <c r="K267" t="n">
        <v>0</v>
      </c>
      <c r="L267" t="n">
        <v>0</v>
      </c>
      <c r="M267" t="n">
        <v>0</v>
      </c>
      <c r="N267" t="n">
        <v>0</v>
      </c>
      <c r="O267" t="n">
        <v>0</v>
      </c>
      <c r="P267" t="n">
        <v>0</v>
      </c>
      <c r="Q267" t="n">
        <v>0</v>
      </c>
      <c r="R267" s="2" t="inlineStr"/>
    </row>
    <row r="268" ht="15" customHeight="1">
      <c r="A268" t="inlineStr">
        <is>
          <t>A 10944-2024</t>
        </is>
      </c>
      <c r="B268" s="1" t="n">
        <v>45370</v>
      </c>
      <c r="C268" s="1" t="n">
        <v>45882</v>
      </c>
      <c r="D268" t="inlineStr">
        <is>
          <t>SKÅNE LÄN</t>
        </is>
      </c>
      <c r="E268" t="inlineStr">
        <is>
          <t>HÄSSLEHOLM</t>
        </is>
      </c>
      <c r="F268" t="inlineStr">
        <is>
          <t>Övriga Aktiebolag</t>
        </is>
      </c>
      <c r="G268" t="n">
        <v>2.6</v>
      </c>
      <c r="H268" t="n">
        <v>0</v>
      </c>
      <c r="I268" t="n">
        <v>0</v>
      </c>
      <c r="J268" t="n">
        <v>0</v>
      </c>
      <c r="K268" t="n">
        <v>0</v>
      </c>
      <c r="L268" t="n">
        <v>0</v>
      </c>
      <c r="M268" t="n">
        <v>0</v>
      </c>
      <c r="N268" t="n">
        <v>0</v>
      </c>
      <c r="O268" t="n">
        <v>0</v>
      </c>
      <c r="P268" t="n">
        <v>0</v>
      </c>
      <c r="Q268" t="n">
        <v>0</v>
      </c>
      <c r="R268" s="2" t="inlineStr"/>
    </row>
    <row r="269" ht="15" customHeight="1">
      <c r="A269" t="inlineStr">
        <is>
          <t>A 20657-2022</t>
        </is>
      </c>
      <c r="B269" s="1" t="n">
        <v>44700</v>
      </c>
      <c r="C269" s="1" t="n">
        <v>45882</v>
      </c>
      <c r="D269" t="inlineStr">
        <is>
          <t>SKÅNE LÄN</t>
        </is>
      </c>
      <c r="E269" t="inlineStr">
        <is>
          <t>HÄSSLEHOLM</t>
        </is>
      </c>
      <c r="G269" t="n">
        <v>3.8</v>
      </c>
      <c r="H269" t="n">
        <v>0</v>
      </c>
      <c r="I269" t="n">
        <v>0</v>
      </c>
      <c r="J269" t="n">
        <v>0</v>
      </c>
      <c r="K269" t="n">
        <v>0</v>
      </c>
      <c r="L269" t="n">
        <v>0</v>
      </c>
      <c r="M269" t="n">
        <v>0</v>
      </c>
      <c r="N269" t="n">
        <v>0</v>
      </c>
      <c r="O269" t="n">
        <v>0</v>
      </c>
      <c r="P269" t="n">
        <v>0</v>
      </c>
      <c r="Q269" t="n">
        <v>0</v>
      </c>
      <c r="R269" s="2" t="inlineStr"/>
    </row>
    <row r="270" ht="15" customHeight="1">
      <c r="A270" t="inlineStr">
        <is>
          <t>A 23683-2023</t>
        </is>
      </c>
      <c r="B270" s="1" t="n">
        <v>45077</v>
      </c>
      <c r="C270" s="1" t="n">
        <v>45882</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6087-2025</t>
        </is>
      </c>
      <c r="B271" s="1" t="n">
        <v>45697.69782407407</v>
      </c>
      <c r="C271" s="1" t="n">
        <v>45882</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2663-2023</t>
        </is>
      </c>
      <c r="B272" s="1" t="n">
        <v>44942</v>
      </c>
      <c r="C272" s="1" t="n">
        <v>45882</v>
      </c>
      <c r="D272" t="inlineStr">
        <is>
          <t>SKÅNE LÄN</t>
        </is>
      </c>
      <c r="E272" t="inlineStr">
        <is>
          <t>HÄSSLEHOLM</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23172-2022</t>
        </is>
      </c>
      <c r="B273" s="1" t="n">
        <v>44719</v>
      </c>
      <c r="C273" s="1" t="n">
        <v>45882</v>
      </c>
      <c r="D273" t="inlineStr">
        <is>
          <t>SKÅNE LÄN</t>
        </is>
      </c>
      <c r="E273" t="inlineStr">
        <is>
          <t>HÄSSLEHOLM</t>
        </is>
      </c>
      <c r="F273" t="inlineStr">
        <is>
          <t>Övriga Aktiebolag</t>
        </is>
      </c>
      <c r="G273" t="n">
        <v>0.9</v>
      </c>
      <c r="H273" t="n">
        <v>0</v>
      </c>
      <c r="I273" t="n">
        <v>0</v>
      </c>
      <c r="J273" t="n">
        <v>0</v>
      </c>
      <c r="K273" t="n">
        <v>0</v>
      </c>
      <c r="L273" t="n">
        <v>0</v>
      </c>
      <c r="M273" t="n">
        <v>0</v>
      </c>
      <c r="N273" t="n">
        <v>0</v>
      </c>
      <c r="O273" t="n">
        <v>0</v>
      </c>
      <c r="P273" t="n">
        <v>0</v>
      </c>
      <c r="Q273" t="n">
        <v>0</v>
      </c>
      <c r="R273" s="2" t="inlineStr"/>
    </row>
    <row r="274" ht="15" customHeight="1">
      <c r="A274" t="inlineStr">
        <is>
          <t>A 23173-2022</t>
        </is>
      </c>
      <c r="B274" s="1" t="n">
        <v>44719.72155092593</v>
      </c>
      <c r="C274" s="1" t="n">
        <v>45882</v>
      </c>
      <c r="D274" t="inlineStr">
        <is>
          <t>SKÅNE LÄN</t>
        </is>
      </c>
      <c r="E274" t="inlineStr">
        <is>
          <t>HÄSSLEHOLM</t>
        </is>
      </c>
      <c r="F274" t="inlineStr">
        <is>
          <t>Övriga Aktiebolag</t>
        </is>
      </c>
      <c r="G274" t="n">
        <v>0.9</v>
      </c>
      <c r="H274" t="n">
        <v>0</v>
      </c>
      <c r="I274" t="n">
        <v>0</v>
      </c>
      <c r="J274" t="n">
        <v>0</v>
      </c>
      <c r="K274" t="n">
        <v>0</v>
      </c>
      <c r="L274" t="n">
        <v>0</v>
      </c>
      <c r="M274" t="n">
        <v>0</v>
      </c>
      <c r="N274" t="n">
        <v>0</v>
      </c>
      <c r="O274" t="n">
        <v>0</v>
      </c>
      <c r="P274" t="n">
        <v>0</v>
      </c>
      <c r="Q274" t="n">
        <v>0</v>
      </c>
      <c r="R274" s="2" t="inlineStr"/>
    </row>
    <row r="275" ht="15" customHeight="1">
      <c r="A275" t="inlineStr">
        <is>
          <t>A 33466-2024</t>
        </is>
      </c>
      <c r="B275" s="1" t="n">
        <v>45519</v>
      </c>
      <c r="C275" s="1" t="n">
        <v>45882</v>
      </c>
      <c r="D275" t="inlineStr">
        <is>
          <t>SKÅNE LÄN</t>
        </is>
      </c>
      <c r="E275" t="inlineStr">
        <is>
          <t>HÄSSLEHOLM</t>
        </is>
      </c>
      <c r="G275" t="n">
        <v>0.4</v>
      </c>
      <c r="H275" t="n">
        <v>0</v>
      </c>
      <c r="I275" t="n">
        <v>0</v>
      </c>
      <c r="J275" t="n">
        <v>0</v>
      </c>
      <c r="K275" t="n">
        <v>0</v>
      </c>
      <c r="L275" t="n">
        <v>0</v>
      </c>
      <c r="M275" t="n">
        <v>0</v>
      </c>
      <c r="N275" t="n">
        <v>0</v>
      </c>
      <c r="O275" t="n">
        <v>0</v>
      </c>
      <c r="P275" t="n">
        <v>0</v>
      </c>
      <c r="Q275" t="n">
        <v>0</v>
      </c>
      <c r="R275" s="2" t="inlineStr"/>
    </row>
    <row r="276" ht="15" customHeight="1">
      <c r="A276" t="inlineStr">
        <is>
          <t>A 6612-2024</t>
        </is>
      </c>
      <c r="B276" s="1" t="n">
        <v>45341.58859953703</v>
      </c>
      <c r="C276" s="1" t="n">
        <v>45882</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17492-2025</t>
        </is>
      </c>
      <c r="B277" s="1" t="n">
        <v>45747</v>
      </c>
      <c r="C277" s="1" t="n">
        <v>45882</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1886-2025</t>
        </is>
      </c>
      <c r="B278" s="1" t="n">
        <v>45671</v>
      </c>
      <c r="C278" s="1" t="n">
        <v>45882</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26879-2024</t>
        </is>
      </c>
      <c r="B279" s="1" t="n">
        <v>45470</v>
      </c>
      <c r="C279" s="1" t="n">
        <v>45882</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54473-2023</t>
        </is>
      </c>
      <c r="B280" s="1" t="n">
        <v>45233</v>
      </c>
      <c r="C280" s="1" t="n">
        <v>45882</v>
      </c>
      <c r="D280" t="inlineStr">
        <is>
          <t>SKÅNE LÄN</t>
        </is>
      </c>
      <c r="E280" t="inlineStr">
        <is>
          <t>HÄSSLEHOLM</t>
        </is>
      </c>
      <c r="G280" t="n">
        <v>24.5</v>
      </c>
      <c r="H280" t="n">
        <v>0</v>
      </c>
      <c r="I280" t="n">
        <v>0</v>
      </c>
      <c r="J280" t="n">
        <v>0</v>
      </c>
      <c r="K280" t="n">
        <v>0</v>
      </c>
      <c r="L280" t="n">
        <v>0</v>
      </c>
      <c r="M280" t="n">
        <v>0</v>
      </c>
      <c r="N280" t="n">
        <v>0</v>
      </c>
      <c r="O280" t="n">
        <v>0</v>
      </c>
      <c r="P280" t="n">
        <v>0</v>
      </c>
      <c r="Q280" t="n">
        <v>0</v>
      </c>
      <c r="R280" s="2" t="inlineStr"/>
    </row>
    <row r="281" ht="15" customHeight="1">
      <c r="A281" t="inlineStr">
        <is>
          <t>A 11240-2023</t>
        </is>
      </c>
      <c r="B281" s="1" t="n">
        <v>44992</v>
      </c>
      <c r="C281" s="1" t="n">
        <v>45882</v>
      </c>
      <c r="D281" t="inlineStr">
        <is>
          <t>SKÅNE LÄN</t>
        </is>
      </c>
      <c r="E281" t="inlineStr">
        <is>
          <t>HÄSSLEHOLM</t>
        </is>
      </c>
      <c r="G281" t="n">
        <v>2.1</v>
      </c>
      <c r="H281" t="n">
        <v>0</v>
      </c>
      <c r="I281" t="n">
        <v>0</v>
      </c>
      <c r="J281" t="n">
        <v>0</v>
      </c>
      <c r="K281" t="n">
        <v>0</v>
      </c>
      <c r="L281" t="n">
        <v>0</v>
      </c>
      <c r="M281" t="n">
        <v>0</v>
      </c>
      <c r="N281" t="n">
        <v>0</v>
      </c>
      <c r="O281" t="n">
        <v>0</v>
      </c>
      <c r="P281" t="n">
        <v>0</v>
      </c>
      <c r="Q281" t="n">
        <v>0</v>
      </c>
      <c r="R281" s="2" t="inlineStr"/>
    </row>
    <row r="282" ht="15" customHeight="1">
      <c r="A282" t="inlineStr">
        <is>
          <t>A 38138-2020</t>
        </is>
      </c>
      <c r="B282" s="1" t="n">
        <v>44060.3046875</v>
      </c>
      <c r="C282" s="1" t="n">
        <v>45882</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16108-2025</t>
        </is>
      </c>
      <c r="B283" s="1" t="n">
        <v>45750.34667824074</v>
      </c>
      <c r="C283" s="1" t="n">
        <v>45882</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48326-2023</t>
        </is>
      </c>
      <c r="B284" s="1" t="n">
        <v>45205</v>
      </c>
      <c r="C284" s="1" t="n">
        <v>45882</v>
      </c>
      <c r="D284" t="inlineStr">
        <is>
          <t>SKÅNE LÄN</t>
        </is>
      </c>
      <c r="E284" t="inlineStr">
        <is>
          <t>HÄSSLEHOLM</t>
        </is>
      </c>
      <c r="G284" t="n">
        <v>12.7</v>
      </c>
      <c r="H284" t="n">
        <v>0</v>
      </c>
      <c r="I284" t="n">
        <v>0</v>
      </c>
      <c r="J284" t="n">
        <v>0</v>
      </c>
      <c r="K284" t="n">
        <v>0</v>
      </c>
      <c r="L284" t="n">
        <v>0</v>
      </c>
      <c r="M284" t="n">
        <v>0</v>
      </c>
      <c r="N284" t="n">
        <v>0</v>
      </c>
      <c r="O284" t="n">
        <v>0</v>
      </c>
      <c r="P284" t="n">
        <v>0</v>
      </c>
      <c r="Q284" t="n">
        <v>0</v>
      </c>
      <c r="R284" s="2" t="inlineStr"/>
    </row>
    <row r="285" ht="15" customHeight="1">
      <c r="A285" t="inlineStr">
        <is>
          <t>A 50664-2023</t>
        </is>
      </c>
      <c r="B285" s="1" t="n">
        <v>45217</v>
      </c>
      <c r="C285" s="1" t="n">
        <v>45882</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3930-2021</t>
        </is>
      </c>
      <c r="B286" s="1" t="n">
        <v>44222</v>
      </c>
      <c r="C286" s="1" t="n">
        <v>45882</v>
      </c>
      <c r="D286" t="inlineStr">
        <is>
          <t>SKÅNE LÄN</t>
        </is>
      </c>
      <c r="E286" t="inlineStr">
        <is>
          <t>HÄSSLEHOLM</t>
        </is>
      </c>
      <c r="G286" t="n">
        <v>3.4</v>
      </c>
      <c r="H286" t="n">
        <v>0</v>
      </c>
      <c r="I286" t="n">
        <v>0</v>
      </c>
      <c r="J286" t="n">
        <v>0</v>
      </c>
      <c r="K286" t="n">
        <v>0</v>
      </c>
      <c r="L286" t="n">
        <v>0</v>
      </c>
      <c r="M286" t="n">
        <v>0</v>
      </c>
      <c r="N286" t="n">
        <v>0</v>
      </c>
      <c r="O286" t="n">
        <v>0</v>
      </c>
      <c r="P286" t="n">
        <v>0</v>
      </c>
      <c r="Q286" t="n">
        <v>0</v>
      </c>
      <c r="R286" s="2" t="inlineStr"/>
    </row>
    <row r="287" ht="15" customHeight="1">
      <c r="A287" t="inlineStr">
        <is>
          <t>A 42428-2022</t>
        </is>
      </c>
      <c r="B287" s="1" t="n">
        <v>44831</v>
      </c>
      <c r="C287" s="1" t="n">
        <v>45882</v>
      </c>
      <c r="D287" t="inlineStr">
        <is>
          <t>SKÅNE LÄN</t>
        </is>
      </c>
      <c r="E287" t="inlineStr">
        <is>
          <t>HÄSSLEHOLM</t>
        </is>
      </c>
      <c r="G287" t="n">
        <v>2.8</v>
      </c>
      <c r="H287" t="n">
        <v>0</v>
      </c>
      <c r="I287" t="n">
        <v>0</v>
      </c>
      <c r="J287" t="n">
        <v>0</v>
      </c>
      <c r="K287" t="n">
        <v>0</v>
      </c>
      <c r="L287" t="n">
        <v>0</v>
      </c>
      <c r="M287" t="n">
        <v>0</v>
      </c>
      <c r="N287" t="n">
        <v>0</v>
      </c>
      <c r="O287" t="n">
        <v>0</v>
      </c>
      <c r="P287" t="n">
        <v>0</v>
      </c>
      <c r="Q287" t="n">
        <v>0</v>
      </c>
      <c r="R287" s="2" t="inlineStr"/>
    </row>
    <row r="288" ht="15" customHeight="1">
      <c r="A288" t="inlineStr">
        <is>
          <t>A 23956-2023</t>
        </is>
      </c>
      <c r="B288" s="1" t="n">
        <v>45078.62302083334</v>
      </c>
      <c r="C288" s="1" t="n">
        <v>45882</v>
      </c>
      <c r="D288" t="inlineStr">
        <is>
          <t>SKÅNE LÄN</t>
        </is>
      </c>
      <c r="E288" t="inlineStr">
        <is>
          <t>HÄSSLEHOLM</t>
        </is>
      </c>
      <c r="G288" t="n">
        <v>0.1</v>
      </c>
      <c r="H288" t="n">
        <v>0</v>
      </c>
      <c r="I288" t="n">
        <v>0</v>
      </c>
      <c r="J288" t="n">
        <v>0</v>
      </c>
      <c r="K288" t="n">
        <v>0</v>
      </c>
      <c r="L288" t="n">
        <v>0</v>
      </c>
      <c r="M288" t="n">
        <v>0</v>
      </c>
      <c r="N288" t="n">
        <v>0</v>
      </c>
      <c r="O288" t="n">
        <v>0</v>
      </c>
      <c r="P288" t="n">
        <v>0</v>
      </c>
      <c r="Q288" t="n">
        <v>0</v>
      </c>
      <c r="R288" s="2" t="inlineStr"/>
    </row>
    <row r="289" ht="15" customHeight="1">
      <c r="A289" t="inlineStr">
        <is>
          <t>A 62171-2022</t>
        </is>
      </c>
      <c r="B289" s="1" t="n">
        <v>44915</v>
      </c>
      <c r="C289" s="1" t="n">
        <v>45882</v>
      </c>
      <c r="D289" t="inlineStr">
        <is>
          <t>SKÅNE LÄN</t>
        </is>
      </c>
      <c r="E289" t="inlineStr">
        <is>
          <t>HÄSSLEHOLM</t>
        </is>
      </c>
      <c r="F289" t="inlineStr">
        <is>
          <t>Kyrkan</t>
        </is>
      </c>
      <c r="G289" t="n">
        <v>9</v>
      </c>
      <c r="H289" t="n">
        <v>0</v>
      </c>
      <c r="I289" t="n">
        <v>0</v>
      </c>
      <c r="J289" t="n">
        <v>0</v>
      </c>
      <c r="K289" t="n">
        <v>0</v>
      </c>
      <c r="L289" t="n">
        <v>0</v>
      </c>
      <c r="M289" t="n">
        <v>0</v>
      </c>
      <c r="N289" t="n">
        <v>0</v>
      </c>
      <c r="O289" t="n">
        <v>0</v>
      </c>
      <c r="P289" t="n">
        <v>0</v>
      </c>
      <c r="Q289" t="n">
        <v>0</v>
      </c>
      <c r="R289" s="2" t="inlineStr"/>
    </row>
    <row r="290" ht="15" customHeight="1">
      <c r="A290" t="inlineStr">
        <is>
          <t>A 54518-2022</t>
        </is>
      </c>
      <c r="B290" s="1" t="n">
        <v>44882</v>
      </c>
      <c r="C290" s="1" t="n">
        <v>45882</v>
      </c>
      <c r="D290" t="inlineStr">
        <is>
          <t>SKÅNE LÄN</t>
        </is>
      </c>
      <c r="E290" t="inlineStr">
        <is>
          <t>HÄSSLEHOLM</t>
        </is>
      </c>
      <c r="F290" t="inlineStr">
        <is>
          <t>Övriga Aktiebolag</t>
        </is>
      </c>
      <c r="G290" t="n">
        <v>6.8</v>
      </c>
      <c r="H290" t="n">
        <v>0</v>
      </c>
      <c r="I290" t="n">
        <v>0</v>
      </c>
      <c r="J290" t="n">
        <v>0</v>
      </c>
      <c r="K290" t="n">
        <v>0</v>
      </c>
      <c r="L290" t="n">
        <v>0</v>
      </c>
      <c r="M290" t="n">
        <v>0</v>
      </c>
      <c r="N290" t="n">
        <v>0</v>
      </c>
      <c r="O290" t="n">
        <v>0</v>
      </c>
      <c r="P290" t="n">
        <v>0</v>
      </c>
      <c r="Q290" t="n">
        <v>0</v>
      </c>
      <c r="R290" s="2" t="inlineStr"/>
    </row>
    <row r="291" ht="15" customHeight="1">
      <c r="A291" t="inlineStr">
        <is>
          <t>A 57491-2024</t>
        </is>
      </c>
      <c r="B291" s="1" t="n">
        <v>45629</v>
      </c>
      <c r="C291" s="1" t="n">
        <v>45882</v>
      </c>
      <c r="D291" t="inlineStr">
        <is>
          <t>SKÅNE LÄN</t>
        </is>
      </c>
      <c r="E291" t="inlineStr">
        <is>
          <t>HÄSSLEHOLM</t>
        </is>
      </c>
      <c r="G291" t="n">
        <v>3.2</v>
      </c>
      <c r="H291" t="n">
        <v>0</v>
      </c>
      <c r="I291" t="n">
        <v>0</v>
      </c>
      <c r="J291" t="n">
        <v>0</v>
      </c>
      <c r="K291" t="n">
        <v>0</v>
      </c>
      <c r="L291" t="n">
        <v>0</v>
      </c>
      <c r="M291" t="n">
        <v>0</v>
      </c>
      <c r="N291" t="n">
        <v>0</v>
      </c>
      <c r="O291" t="n">
        <v>0</v>
      </c>
      <c r="P291" t="n">
        <v>0</v>
      </c>
      <c r="Q291" t="n">
        <v>0</v>
      </c>
      <c r="R291" s="2" t="inlineStr"/>
    </row>
    <row r="292" ht="15" customHeight="1">
      <c r="A292" t="inlineStr">
        <is>
          <t>A 58268-2024</t>
        </is>
      </c>
      <c r="B292" s="1" t="n">
        <v>45632.56893518518</v>
      </c>
      <c r="C292" s="1" t="n">
        <v>45882</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52912-2022</t>
        </is>
      </c>
      <c r="B293" s="1" t="n">
        <v>44872</v>
      </c>
      <c r="C293" s="1" t="n">
        <v>45882</v>
      </c>
      <c r="D293" t="inlineStr">
        <is>
          <t>SKÅNE LÄN</t>
        </is>
      </c>
      <c r="E293" t="inlineStr">
        <is>
          <t>HÄSSLEHOLM</t>
        </is>
      </c>
      <c r="G293" t="n">
        <v>4.7</v>
      </c>
      <c r="H293" t="n">
        <v>0</v>
      </c>
      <c r="I293" t="n">
        <v>0</v>
      </c>
      <c r="J293" t="n">
        <v>0</v>
      </c>
      <c r="K293" t="n">
        <v>0</v>
      </c>
      <c r="L293" t="n">
        <v>0</v>
      </c>
      <c r="M293" t="n">
        <v>0</v>
      </c>
      <c r="N293" t="n">
        <v>0</v>
      </c>
      <c r="O293" t="n">
        <v>0</v>
      </c>
      <c r="P293" t="n">
        <v>0</v>
      </c>
      <c r="Q293" t="n">
        <v>0</v>
      </c>
      <c r="R293" s="2" t="inlineStr"/>
    </row>
    <row r="294" ht="15" customHeight="1">
      <c r="A294" t="inlineStr">
        <is>
          <t>A 16950-2025</t>
        </is>
      </c>
      <c r="B294" s="1" t="n">
        <v>45755</v>
      </c>
      <c r="C294" s="1" t="n">
        <v>45882</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56956-2024</t>
        </is>
      </c>
      <c r="B295" s="1" t="n">
        <v>45626</v>
      </c>
      <c r="C295" s="1" t="n">
        <v>45882</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14674-2025</t>
        </is>
      </c>
      <c r="B296" s="1" t="n">
        <v>45742.55548611111</v>
      </c>
      <c r="C296" s="1" t="n">
        <v>45882</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14702-2025</t>
        </is>
      </c>
      <c r="B297" s="1" t="n">
        <v>45742.60403935185</v>
      </c>
      <c r="C297" s="1" t="n">
        <v>45882</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27502-2023</t>
        </is>
      </c>
      <c r="B298" s="1" t="n">
        <v>45092</v>
      </c>
      <c r="C298" s="1" t="n">
        <v>45882</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16388-2025</t>
        </is>
      </c>
      <c r="B299" s="1" t="n">
        <v>45751.42787037037</v>
      </c>
      <c r="C299" s="1" t="n">
        <v>45882</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23950-2023</t>
        </is>
      </c>
      <c r="B300" s="1" t="n">
        <v>45078.61771990741</v>
      </c>
      <c r="C300" s="1" t="n">
        <v>45882</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23952-2023</t>
        </is>
      </c>
      <c r="B301" s="1" t="n">
        <v>45078.62064814815</v>
      </c>
      <c r="C301" s="1" t="n">
        <v>45882</v>
      </c>
      <c r="D301" t="inlineStr">
        <is>
          <t>SKÅNE LÄN</t>
        </is>
      </c>
      <c r="E301" t="inlineStr">
        <is>
          <t>HÄSSLEHOLM</t>
        </is>
      </c>
      <c r="G301" t="n">
        <v>0.4</v>
      </c>
      <c r="H301" t="n">
        <v>0</v>
      </c>
      <c r="I301" t="n">
        <v>0</v>
      </c>
      <c r="J301" t="n">
        <v>0</v>
      </c>
      <c r="K301" t="n">
        <v>0</v>
      </c>
      <c r="L301" t="n">
        <v>0</v>
      </c>
      <c r="M301" t="n">
        <v>0</v>
      </c>
      <c r="N301" t="n">
        <v>0</v>
      </c>
      <c r="O301" t="n">
        <v>0</v>
      </c>
      <c r="P301" t="n">
        <v>0</v>
      </c>
      <c r="Q301" t="n">
        <v>0</v>
      </c>
      <c r="R301" s="2" t="inlineStr"/>
    </row>
    <row r="302" ht="15" customHeight="1">
      <c r="A302" t="inlineStr">
        <is>
          <t>A 35974-2022</t>
        </is>
      </c>
      <c r="B302" s="1" t="n">
        <v>44802</v>
      </c>
      <c r="C302" s="1" t="n">
        <v>45882</v>
      </c>
      <c r="D302" t="inlineStr">
        <is>
          <t>SKÅNE LÄN</t>
        </is>
      </c>
      <c r="E302" t="inlineStr">
        <is>
          <t>HÄSSLEHOLM</t>
        </is>
      </c>
      <c r="G302" t="n">
        <v>3.8</v>
      </c>
      <c r="H302" t="n">
        <v>0</v>
      </c>
      <c r="I302" t="n">
        <v>0</v>
      </c>
      <c r="J302" t="n">
        <v>0</v>
      </c>
      <c r="K302" t="n">
        <v>0</v>
      </c>
      <c r="L302" t="n">
        <v>0</v>
      </c>
      <c r="M302" t="n">
        <v>0</v>
      </c>
      <c r="N302" t="n">
        <v>0</v>
      </c>
      <c r="O302" t="n">
        <v>0</v>
      </c>
      <c r="P302" t="n">
        <v>0</v>
      </c>
      <c r="Q302" t="n">
        <v>0</v>
      </c>
      <c r="R302" s="2" t="inlineStr"/>
    </row>
    <row r="303" ht="15" customHeight="1">
      <c r="A303" t="inlineStr">
        <is>
          <t>A 1619-2022</t>
        </is>
      </c>
      <c r="B303" s="1" t="n">
        <v>44573</v>
      </c>
      <c r="C303" s="1" t="n">
        <v>45882</v>
      </c>
      <c r="D303" t="inlineStr">
        <is>
          <t>SKÅNE LÄN</t>
        </is>
      </c>
      <c r="E303" t="inlineStr">
        <is>
          <t>HÄSSLEHOLM</t>
        </is>
      </c>
      <c r="G303" t="n">
        <v>1.8</v>
      </c>
      <c r="H303" t="n">
        <v>0</v>
      </c>
      <c r="I303" t="n">
        <v>0</v>
      </c>
      <c r="J303" t="n">
        <v>0</v>
      </c>
      <c r="K303" t="n">
        <v>0</v>
      </c>
      <c r="L303" t="n">
        <v>0</v>
      </c>
      <c r="M303" t="n">
        <v>0</v>
      </c>
      <c r="N303" t="n">
        <v>0</v>
      </c>
      <c r="O303" t="n">
        <v>0</v>
      </c>
      <c r="P303" t="n">
        <v>0</v>
      </c>
      <c r="Q303" t="n">
        <v>0</v>
      </c>
      <c r="R303" s="2" t="inlineStr"/>
    </row>
    <row r="304" ht="15" customHeight="1">
      <c r="A304" t="inlineStr">
        <is>
          <t>A 41874-2024</t>
        </is>
      </c>
      <c r="B304" s="1" t="n">
        <v>45561</v>
      </c>
      <c r="C304" s="1" t="n">
        <v>45882</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9885-2021</t>
        </is>
      </c>
      <c r="B305" s="1" t="n">
        <v>44253</v>
      </c>
      <c r="C305" s="1" t="n">
        <v>45882</v>
      </c>
      <c r="D305" t="inlineStr">
        <is>
          <t>SKÅNE LÄN</t>
        </is>
      </c>
      <c r="E305" t="inlineStr">
        <is>
          <t>HÄSSLEHOLM</t>
        </is>
      </c>
      <c r="G305" t="n">
        <v>2.4</v>
      </c>
      <c r="H305" t="n">
        <v>0</v>
      </c>
      <c r="I305" t="n">
        <v>0</v>
      </c>
      <c r="J305" t="n">
        <v>0</v>
      </c>
      <c r="K305" t="n">
        <v>0</v>
      </c>
      <c r="L305" t="n">
        <v>0</v>
      </c>
      <c r="M305" t="n">
        <v>0</v>
      </c>
      <c r="N305" t="n">
        <v>0</v>
      </c>
      <c r="O305" t="n">
        <v>0</v>
      </c>
      <c r="P305" t="n">
        <v>0</v>
      </c>
      <c r="Q305" t="n">
        <v>0</v>
      </c>
      <c r="R305" s="2" t="inlineStr"/>
    </row>
    <row r="306" ht="15" customHeight="1">
      <c r="A306" t="inlineStr">
        <is>
          <t>A 56158-2020</t>
        </is>
      </c>
      <c r="B306" s="1" t="n">
        <v>44133</v>
      </c>
      <c r="C306" s="1" t="n">
        <v>45882</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55284-2023</t>
        </is>
      </c>
      <c r="B307" s="1" t="n">
        <v>45237.74259259259</v>
      </c>
      <c r="C307" s="1" t="n">
        <v>45882</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6836-2023</t>
        </is>
      </c>
      <c r="B308" s="1" t="n">
        <v>44967</v>
      </c>
      <c r="C308" s="1" t="n">
        <v>45882</v>
      </c>
      <c r="D308" t="inlineStr">
        <is>
          <t>SKÅNE LÄN</t>
        </is>
      </c>
      <c r="E308" t="inlineStr">
        <is>
          <t>HÄSSLEHOLM</t>
        </is>
      </c>
      <c r="G308" t="n">
        <v>3.5</v>
      </c>
      <c r="H308" t="n">
        <v>0</v>
      </c>
      <c r="I308" t="n">
        <v>0</v>
      </c>
      <c r="J308" t="n">
        <v>0</v>
      </c>
      <c r="K308" t="n">
        <v>0</v>
      </c>
      <c r="L308" t="n">
        <v>0</v>
      </c>
      <c r="M308" t="n">
        <v>0</v>
      </c>
      <c r="N308" t="n">
        <v>0</v>
      </c>
      <c r="O308" t="n">
        <v>0</v>
      </c>
      <c r="P308" t="n">
        <v>0</v>
      </c>
      <c r="Q308" t="n">
        <v>0</v>
      </c>
      <c r="R308" s="2" t="inlineStr"/>
    </row>
    <row r="309" ht="15" customHeight="1">
      <c r="A309" t="inlineStr">
        <is>
          <t>A 6845-2023</t>
        </is>
      </c>
      <c r="B309" s="1" t="n">
        <v>44967</v>
      </c>
      <c r="C309" s="1" t="n">
        <v>45882</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53887-2023</t>
        </is>
      </c>
      <c r="B310" s="1" t="n">
        <v>45231.52675925926</v>
      </c>
      <c r="C310" s="1" t="n">
        <v>45882</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35711-2024</t>
        </is>
      </c>
      <c r="B311" s="1" t="n">
        <v>45532</v>
      </c>
      <c r="C311" s="1" t="n">
        <v>45882</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7890-2024</t>
        </is>
      </c>
      <c r="B312" s="1" t="n">
        <v>45350.40780092592</v>
      </c>
      <c r="C312" s="1" t="n">
        <v>45882</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56490-2021</t>
        </is>
      </c>
      <c r="B313" s="1" t="n">
        <v>44480</v>
      </c>
      <c r="C313" s="1" t="n">
        <v>45882</v>
      </c>
      <c r="D313" t="inlineStr">
        <is>
          <t>SKÅNE LÄN</t>
        </is>
      </c>
      <c r="E313" t="inlineStr">
        <is>
          <t>HÄSSLEHOLM</t>
        </is>
      </c>
      <c r="F313" t="inlineStr">
        <is>
          <t>Kyrkan</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21329-2023</t>
        </is>
      </c>
      <c r="B314" s="1" t="n">
        <v>45062</v>
      </c>
      <c r="C314" s="1" t="n">
        <v>45882</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1543-2024</t>
        </is>
      </c>
      <c r="B315" s="1" t="n">
        <v>45306</v>
      </c>
      <c r="C315" s="1" t="n">
        <v>45882</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24241-2023</t>
        </is>
      </c>
      <c r="B316" s="1" t="n">
        <v>45079.61476851852</v>
      </c>
      <c r="C316" s="1" t="n">
        <v>45882</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18800-2023</t>
        </is>
      </c>
      <c r="B317" s="1" t="n">
        <v>45044</v>
      </c>
      <c r="C317" s="1" t="n">
        <v>45882</v>
      </c>
      <c r="D317" t="inlineStr">
        <is>
          <t>SKÅNE LÄN</t>
        </is>
      </c>
      <c r="E317" t="inlineStr">
        <is>
          <t>HÄSSLEHOLM</t>
        </is>
      </c>
      <c r="G317" t="n">
        <v>1.1</v>
      </c>
      <c r="H317" t="n">
        <v>0</v>
      </c>
      <c r="I317" t="n">
        <v>0</v>
      </c>
      <c r="J317" t="n">
        <v>0</v>
      </c>
      <c r="K317" t="n">
        <v>0</v>
      </c>
      <c r="L317" t="n">
        <v>0</v>
      </c>
      <c r="M317" t="n">
        <v>0</v>
      </c>
      <c r="N317" t="n">
        <v>0</v>
      </c>
      <c r="O317" t="n">
        <v>0</v>
      </c>
      <c r="P317" t="n">
        <v>0</v>
      </c>
      <c r="Q317" t="n">
        <v>0</v>
      </c>
      <c r="R317" s="2" t="inlineStr"/>
    </row>
    <row r="318" ht="15" customHeight="1">
      <c r="A318" t="inlineStr">
        <is>
          <t>A 61680-2022</t>
        </is>
      </c>
      <c r="B318" s="1" t="n">
        <v>44917.36372685185</v>
      </c>
      <c r="C318" s="1" t="n">
        <v>45882</v>
      </c>
      <c r="D318" t="inlineStr">
        <is>
          <t>SKÅNE LÄN</t>
        </is>
      </c>
      <c r="E318" t="inlineStr">
        <is>
          <t>HÄSSLEHOLM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61489-2024</t>
        </is>
      </c>
      <c r="B319" s="1" t="n">
        <v>45646.54875</v>
      </c>
      <c r="C319" s="1" t="n">
        <v>45882</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21310-2022</t>
        </is>
      </c>
      <c r="B320" s="1" t="n">
        <v>44705</v>
      </c>
      <c r="C320" s="1" t="n">
        <v>45882</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3500-2024</t>
        </is>
      </c>
      <c r="B321" s="1" t="n">
        <v>45320</v>
      </c>
      <c r="C321" s="1" t="n">
        <v>45882</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58815-2023</t>
        </is>
      </c>
      <c r="B322" s="1" t="n">
        <v>45247</v>
      </c>
      <c r="C322" s="1" t="n">
        <v>45882</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33597-2023</t>
        </is>
      </c>
      <c r="B323" s="1" t="n">
        <v>45132</v>
      </c>
      <c r="C323" s="1" t="n">
        <v>45882</v>
      </c>
      <c r="D323" t="inlineStr">
        <is>
          <t>SKÅNE LÄN</t>
        </is>
      </c>
      <c r="E323" t="inlineStr">
        <is>
          <t>HÄSSLEHOLM</t>
        </is>
      </c>
      <c r="G323" t="n">
        <v>3.9</v>
      </c>
      <c r="H323" t="n">
        <v>0</v>
      </c>
      <c r="I323" t="n">
        <v>0</v>
      </c>
      <c r="J323" t="n">
        <v>0</v>
      </c>
      <c r="K323" t="n">
        <v>0</v>
      </c>
      <c r="L323" t="n">
        <v>0</v>
      </c>
      <c r="M323" t="n">
        <v>0</v>
      </c>
      <c r="N323" t="n">
        <v>0</v>
      </c>
      <c r="O323" t="n">
        <v>0</v>
      </c>
      <c r="P323" t="n">
        <v>0</v>
      </c>
      <c r="Q323" t="n">
        <v>0</v>
      </c>
      <c r="R323" s="2" t="inlineStr"/>
    </row>
    <row r="324" ht="15" customHeight="1">
      <c r="A324" t="inlineStr">
        <is>
          <t>A 33599-2023</t>
        </is>
      </c>
      <c r="B324" s="1" t="n">
        <v>45132</v>
      </c>
      <c r="C324" s="1" t="n">
        <v>45882</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27173-2024</t>
        </is>
      </c>
      <c r="B325" s="1" t="n">
        <v>45471.57048611111</v>
      </c>
      <c r="C325" s="1" t="n">
        <v>45882</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16357-2025</t>
        </is>
      </c>
      <c r="B326" s="1" t="n">
        <v>45751.38916666667</v>
      </c>
      <c r="C326" s="1" t="n">
        <v>45882</v>
      </c>
      <c r="D326" t="inlineStr">
        <is>
          <t>SKÅNE LÄN</t>
        </is>
      </c>
      <c r="E326" t="inlineStr">
        <is>
          <t>HÄSSLEHOLM</t>
        </is>
      </c>
      <c r="G326" t="n">
        <v>5.2</v>
      </c>
      <c r="H326" t="n">
        <v>0</v>
      </c>
      <c r="I326" t="n">
        <v>0</v>
      </c>
      <c r="J326" t="n">
        <v>0</v>
      </c>
      <c r="K326" t="n">
        <v>0</v>
      </c>
      <c r="L326" t="n">
        <v>0</v>
      </c>
      <c r="M326" t="n">
        <v>0</v>
      </c>
      <c r="N326" t="n">
        <v>0</v>
      </c>
      <c r="O326" t="n">
        <v>0</v>
      </c>
      <c r="P326" t="n">
        <v>0</v>
      </c>
      <c r="Q326" t="n">
        <v>0</v>
      </c>
      <c r="R326" s="2" t="inlineStr"/>
    </row>
    <row r="327" ht="15" customHeight="1">
      <c r="A327" t="inlineStr">
        <is>
          <t>A 17699-2024</t>
        </is>
      </c>
      <c r="B327" s="1" t="n">
        <v>45418.46094907408</v>
      </c>
      <c r="C327" s="1" t="n">
        <v>45882</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17702-2024</t>
        </is>
      </c>
      <c r="B328" s="1" t="n">
        <v>45418.46534722222</v>
      </c>
      <c r="C328" s="1" t="n">
        <v>45882</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6101-2022</t>
        </is>
      </c>
      <c r="B329" s="1" t="n">
        <v>44599.63016203704</v>
      </c>
      <c r="C329" s="1" t="n">
        <v>45882</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10020-2024</t>
        </is>
      </c>
      <c r="B330" s="1" t="n">
        <v>45363.96944444445</v>
      </c>
      <c r="C330" s="1" t="n">
        <v>45882</v>
      </c>
      <c r="D330" t="inlineStr">
        <is>
          <t>SKÅNE LÄN</t>
        </is>
      </c>
      <c r="E330" t="inlineStr">
        <is>
          <t>HÄSSLEHOLM</t>
        </is>
      </c>
      <c r="G330" t="n">
        <v>5.3</v>
      </c>
      <c r="H330" t="n">
        <v>0</v>
      </c>
      <c r="I330" t="n">
        <v>0</v>
      </c>
      <c r="J330" t="n">
        <v>0</v>
      </c>
      <c r="K330" t="n">
        <v>0</v>
      </c>
      <c r="L330" t="n">
        <v>0</v>
      </c>
      <c r="M330" t="n">
        <v>0</v>
      </c>
      <c r="N330" t="n">
        <v>0</v>
      </c>
      <c r="O330" t="n">
        <v>0</v>
      </c>
      <c r="P330" t="n">
        <v>0</v>
      </c>
      <c r="Q330" t="n">
        <v>0</v>
      </c>
      <c r="R330" s="2" t="inlineStr"/>
    </row>
    <row r="331" ht="15" customHeight="1">
      <c r="A331" t="inlineStr">
        <is>
          <t>A 70087-2021</t>
        </is>
      </c>
      <c r="B331" s="1" t="n">
        <v>44533</v>
      </c>
      <c r="C331" s="1" t="n">
        <v>45882</v>
      </c>
      <c r="D331" t="inlineStr">
        <is>
          <t>SKÅNE LÄN</t>
        </is>
      </c>
      <c r="E331" t="inlineStr">
        <is>
          <t>HÄSSLEHOLM</t>
        </is>
      </c>
      <c r="G331" t="n">
        <v>5</v>
      </c>
      <c r="H331" t="n">
        <v>0</v>
      </c>
      <c r="I331" t="n">
        <v>0</v>
      </c>
      <c r="J331" t="n">
        <v>0</v>
      </c>
      <c r="K331" t="n">
        <v>0</v>
      </c>
      <c r="L331" t="n">
        <v>0</v>
      </c>
      <c r="M331" t="n">
        <v>0</v>
      </c>
      <c r="N331" t="n">
        <v>0</v>
      </c>
      <c r="O331" t="n">
        <v>0</v>
      </c>
      <c r="P331" t="n">
        <v>0</v>
      </c>
      <c r="Q331" t="n">
        <v>0</v>
      </c>
      <c r="R331" s="2" t="inlineStr"/>
    </row>
    <row r="332" ht="15" customHeight="1">
      <c r="A332" t="inlineStr">
        <is>
          <t>A 16951-2025</t>
        </is>
      </c>
      <c r="B332" s="1" t="n">
        <v>45755</v>
      </c>
      <c r="C332" s="1" t="n">
        <v>45882</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25077-2024</t>
        </is>
      </c>
      <c r="B333" s="1" t="n">
        <v>45462</v>
      </c>
      <c r="C333" s="1" t="n">
        <v>45882</v>
      </c>
      <c r="D333" t="inlineStr">
        <is>
          <t>SKÅNE LÄN</t>
        </is>
      </c>
      <c r="E333" t="inlineStr">
        <is>
          <t>HÄSSLEHOLM</t>
        </is>
      </c>
      <c r="G333" t="n">
        <v>1.6</v>
      </c>
      <c r="H333" t="n">
        <v>0</v>
      </c>
      <c r="I333" t="n">
        <v>0</v>
      </c>
      <c r="J333" t="n">
        <v>0</v>
      </c>
      <c r="K333" t="n">
        <v>0</v>
      </c>
      <c r="L333" t="n">
        <v>0</v>
      </c>
      <c r="M333" t="n">
        <v>0</v>
      </c>
      <c r="N333" t="n">
        <v>0</v>
      </c>
      <c r="O333" t="n">
        <v>0</v>
      </c>
      <c r="P333" t="n">
        <v>0</v>
      </c>
      <c r="Q333" t="n">
        <v>0</v>
      </c>
      <c r="R333" s="2" t="inlineStr"/>
    </row>
    <row r="334" ht="15" customHeight="1">
      <c r="A334" t="inlineStr">
        <is>
          <t>A 16614-2025</t>
        </is>
      </c>
      <c r="B334" s="1" t="n">
        <v>45754.283125</v>
      </c>
      <c r="C334" s="1" t="n">
        <v>45882</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3888-2024</t>
        </is>
      </c>
      <c r="B335" s="1" t="n">
        <v>45322.45089120371</v>
      </c>
      <c r="C335" s="1" t="n">
        <v>45882</v>
      </c>
      <c r="D335" t="inlineStr">
        <is>
          <t>SKÅNE LÄN</t>
        </is>
      </c>
      <c r="E335" t="inlineStr">
        <is>
          <t>HÄSSLEHOLM</t>
        </is>
      </c>
      <c r="G335" t="n">
        <v>2.4</v>
      </c>
      <c r="H335" t="n">
        <v>0</v>
      </c>
      <c r="I335" t="n">
        <v>0</v>
      </c>
      <c r="J335" t="n">
        <v>0</v>
      </c>
      <c r="K335" t="n">
        <v>0</v>
      </c>
      <c r="L335" t="n">
        <v>0</v>
      </c>
      <c r="M335" t="n">
        <v>0</v>
      </c>
      <c r="N335" t="n">
        <v>0</v>
      </c>
      <c r="O335" t="n">
        <v>0</v>
      </c>
      <c r="P335" t="n">
        <v>0</v>
      </c>
      <c r="Q335" t="n">
        <v>0</v>
      </c>
      <c r="R335" s="2" t="inlineStr"/>
    </row>
    <row r="336" ht="15" customHeight="1">
      <c r="A336" t="inlineStr">
        <is>
          <t>A 3889-2024</t>
        </is>
      </c>
      <c r="B336" s="1" t="n">
        <v>45322.45234953704</v>
      </c>
      <c r="C336" s="1" t="n">
        <v>45882</v>
      </c>
      <c r="D336" t="inlineStr">
        <is>
          <t>SKÅNE LÄN</t>
        </is>
      </c>
      <c r="E336" t="inlineStr">
        <is>
          <t>HÄSSLEHOLM</t>
        </is>
      </c>
      <c r="G336" t="n">
        <v>1.4</v>
      </c>
      <c r="H336" t="n">
        <v>0</v>
      </c>
      <c r="I336" t="n">
        <v>0</v>
      </c>
      <c r="J336" t="n">
        <v>0</v>
      </c>
      <c r="K336" t="n">
        <v>0</v>
      </c>
      <c r="L336" t="n">
        <v>0</v>
      </c>
      <c r="M336" t="n">
        <v>0</v>
      </c>
      <c r="N336" t="n">
        <v>0</v>
      </c>
      <c r="O336" t="n">
        <v>0</v>
      </c>
      <c r="P336" t="n">
        <v>0</v>
      </c>
      <c r="Q336" t="n">
        <v>0</v>
      </c>
      <c r="R336" s="2" t="inlineStr"/>
    </row>
    <row r="337" ht="15" customHeight="1">
      <c r="A337" t="inlineStr">
        <is>
          <t>A 3294-2025</t>
        </is>
      </c>
      <c r="B337" s="1" t="n">
        <v>45679.64125</v>
      </c>
      <c r="C337" s="1" t="n">
        <v>45882</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9669-2025</t>
        </is>
      </c>
      <c r="B338" s="1" t="n">
        <v>45716.32921296296</v>
      </c>
      <c r="C338" s="1" t="n">
        <v>45882</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31995-2023</t>
        </is>
      </c>
      <c r="B339" s="1" t="n">
        <v>45107</v>
      </c>
      <c r="C339" s="1" t="n">
        <v>45882</v>
      </c>
      <c r="D339" t="inlineStr">
        <is>
          <t>SKÅNE LÄN</t>
        </is>
      </c>
      <c r="E339" t="inlineStr">
        <is>
          <t>HÄSSLEHOLM</t>
        </is>
      </c>
      <c r="G339" t="n">
        <v>7.3</v>
      </c>
      <c r="H339" t="n">
        <v>0</v>
      </c>
      <c r="I339" t="n">
        <v>0</v>
      </c>
      <c r="J339" t="n">
        <v>0</v>
      </c>
      <c r="K339" t="n">
        <v>0</v>
      </c>
      <c r="L339" t="n">
        <v>0</v>
      </c>
      <c r="M339" t="n">
        <v>0</v>
      </c>
      <c r="N339" t="n">
        <v>0</v>
      </c>
      <c r="O339" t="n">
        <v>0</v>
      </c>
      <c r="P339" t="n">
        <v>0</v>
      </c>
      <c r="Q339" t="n">
        <v>0</v>
      </c>
      <c r="R339" s="2" t="inlineStr"/>
    </row>
    <row r="340" ht="15" customHeight="1">
      <c r="A340" t="inlineStr">
        <is>
          <t>A 31998-2023</t>
        </is>
      </c>
      <c r="B340" s="1" t="n">
        <v>45119</v>
      </c>
      <c r="C340" s="1" t="n">
        <v>45882</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5478-2021</t>
        </is>
      </c>
      <c r="B341" s="1" t="n">
        <v>44230</v>
      </c>
      <c r="C341" s="1" t="n">
        <v>45882</v>
      </c>
      <c r="D341" t="inlineStr">
        <is>
          <t>SKÅNE LÄN</t>
        </is>
      </c>
      <c r="E341" t="inlineStr">
        <is>
          <t>HÄSSLEHOLM</t>
        </is>
      </c>
      <c r="G341" t="n">
        <v>0.1</v>
      </c>
      <c r="H341" t="n">
        <v>0</v>
      </c>
      <c r="I341" t="n">
        <v>0</v>
      </c>
      <c r="J341" t="n">
        <v>0</v>
      </c>
      <c r="K341" t="n">
        <v>0</v>
      </c>
      <c r="L341" t="n">
        <v>0</v>
      </c>
      <c r="M341" t="n">
        <v>0</v>
      </c>
      <c r="N341" t="n">
        <v>0</v>
      </c>
      <c r="O341" t="n">
        <v>0</v>
      </c>
      <c r="P341" t="n">
        <v>0</v>
      </c>
      <c r="Q341" t="n">
        <v>0</v>
      </c>
      <c r="R341" s="2" t="inlineStr"/>
    </row>
    <row r="342" ht="15" customHeight="1">
      <c r="A342" t="inlineStr">
        <is>
          <t>A 21867-2023</t>
        </is>
      </c>
      <c r="B342" s="1" t="n">
        <v>45063</v>
      </c>
      <c r="C342" s="1" t="n">
        <v>45882</v>
      </c>
      <c r="D342" t="inlineStr">
        <is>
          <t>SKÅNE LÄN</t>
        </is>
      </c>
      <c r="E342" t="inlineStr">
        <is>
          <t>HÄSSLEHOLM</t>
        </is>
      </c>
      <c r="G342" t="n">
        <v>7.6</v>
      </c>
      <c r="H342" t="n">
        <v>0</v>
      </c>
      <c r="I342" t="n">
        <v>0</v>
      </c>
      <c r="J342" t="n">
        <v>0</v>
      </c>
      <c r="K342" t="n">
        <v>0</v>
      </c>
      <c r="L342" t="n">
        <v>0</v>
      </c>
      <c r="M342" t="n">
        <v>0</v>
      </c>
      <c r="N342" t="n">
        <v>0</v>
      </c>
      <c r="O342" t="n">
        <v>0</v>
      </c>
      <c r="P342" t="n">
        <v>0</v>
      </c>
      <c r="Q342" t="n">
        <v>0</v>
      </c>
      <c r="R342" s="2" t="inlineStr"/>
    </row>
    <row r="343" ht="15" customHeight="1">
      <c r="A343" t="inlineStr">
        <is>
          <t>A 7150-2025</t>
        </is>
      </c>
      <c r="B343" s="1" t="n">
        <v>45702.38239583333</v>
      </c>
      <c r="C343" s="1" t="n">
        <v>45882</v>
      </c>
      <c r="D343" t="inlineStr">
        <is>
          <t>SKÅNE LÄN</t>
        </is>
      </c>
      <c r="E343" t="inlineStr">
        <is>
          <t>HÄSSLEHOLM</t>
        </is>
      </c>
      <c r="G343" t="n">
        <v>2.3</v>
      </c>
      <c r="H343" t="n">
        <v>0</v>
      </c>
      <c r="I343" t="n">
        <v>0</v>
      </c>
      <c r="J343" t="n">
        <v>0</v>
      </c>
      <c r="K343" t="n">
        <v>0</v>
      </c>
      <c r="L343" t="n">
        <v>0</v>
      </c>
      <c r="M343" t="n">
        <v>0</v>
      </c>
      <c r="N343" t="n">
        <v>0</v>
      </c>
      <c r="O343" t="n">
        <v>0</v>
      </c>
      <c r="P343" t="n">
        <v>0</v>
      </c>
      <c r="Q343" t="n">
        <v>0</v>
      </c>
      <c r="R343" s="2" t="inlineStr"/>
    </row>
    <row r="344" ht="15" customHeight="1">
      <c r="A344" t="inlineStr">
        <is>
          <t>A 22535-2024</t>
        </is>
      </c>
      <c r="B344" s="1" t="n">
        <v>45447</v>
      </c>
      <c r="C344" s="1" t="n">
        <v>45882</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5284-2023</t>
        </is>
      </c>
      <c r="B345" s="1" t="n">
        <v>44959.50608796296</v>
      </c>
      <c r="C345" s="1" t="n">
        <v>45882</v>
      </c>
      <c r="D345" t="inlineStr">
        <is>
          <t>SKÅNE LÄN</t>
        </is>
      </c>
      <c r="E345" t="inlineStr">
        <is>
          <t>HÄSSLEHOLM</t>
        </is>
      </c>
      <c r="G345" t="n">
        <v>0.4</v>
      </c>
      <c r="H345" t="n">
        <v>0</v>
      </c>
      <c r="I345" t="n">
        <v>0</v>
      </c>
      <c r="J345" t="n">
        <v>0</v>
      </c>
      <c r="K345" t="n">
        <v>0</v>
      </c>
      <c r="L345" t="n">
        <v>0</v>
      </c>
      <c r="M345" t="n">
        <v>0</v>
      </c>
      <c r="N345" t="n">
        <v>0</v>
      </c>
      <c r="O345" t="n">
        <v>0</v>
      </c>
      <c r="P345" t="n">
        <v>0</v>
      </c>
      <c r="Q345" t="n">
        <v>0</v>
      </c>
      <c r="R345" s="2" t="inlineStr"/>
    </row>
    <row r="346" ht="15" customHeight="1">
      <c r="A346" t="inlineStr">
        <is>
          <t>A 5285-2023</t>
        </is>
      </c>
      <c r="B346" s="1" t="n">
        <v>44959.50783564815</v>
      </c>
      <c r="C346" s="1" t="n">
        <v>45882</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34888-2023</t>
        </is>
      </c>
      <c r="B347" s="1" t="n">
        <v>45142.388125</v>
      </c>
      <c r="C347" s="1" t="n">
        <v>45882</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15060-2023</t>
        </is>
      </c>
      <c r="B348" s="1" t="n">
        <v>45015.69832175926</v>
      </c>
      <c r="C348" s="1" t="n">
        <v>45882</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20185-2023</t>
        </is>
      </c>
      <c r="B349" s="1" t="n">
        <v>45055.56795138889</v>
      </c>
      <c r="C349" s="1" t="n">
        <v>45882</v>
      </c>
      <c r="D349" t="inlineStr">
        <is>
          <t>SKÅNE LÄN</t>
        </is>
      </c>
      <c r="E349" t="inlineStr">
        <is>
          <t>HÄSSLEHOLM</t>
        </is>
      </c>
      <c r="G349" t="n">
        <v>3.5</v>
      </c>
      <c r="H349" t="n">
        <v>0</v>
      </c>
      <c r="I349" t="n">
        <v>0</v>
      </c>
      <c r="J349" t="n">
        <v>0</v>
      </c>
      <c r="K349" t="n">
        <v>0</v>
      </c>
      <c r="L349" t="n">
        <v>0</v>
      </c>
      <c r="M349" t="n">
        <v>0</v>
      </c>
      <c r="N349" t="n">
        <v>0</v>
      </c>
      <c r="O349" t="n">
        <v>0</v>
      </c>
      <c r="P349" t="n">
        <v>0</v>
      </c>
      <c r="Q349" t="n">
        <v>0</v>
      </c>
      <c r="R349" s="2" t="inlineStr"/>
    </row>
    <row r="350" ht="15" customHeight="1">
      <c r="A350" t="inlineStr">
        <is>
          <t>A 4787-2023</t>
        </is>
      </c>
      <c r="B350" s="1" t="n">
        <v>44957.60079861111</v>
      </c>
      <c r="C350" s="1" t="n">
        <v>45882</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4788-2023</t>
        </is>
      </c>
      <c r="B351" s="1" t="n">
        <v>44957.60130787037</v>
      </c>
      <c r="C351" s="1" t="n">
        <v>45882</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34348-2022</t>
        </is>
      </c>
      <c r="B352" s="1" t="n">
        <v>44792</v>
      </c>
      <c r="C352" s="1" t="n">
        <v>45882</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54435-2024</t>
        </is>
      </c>
      <c r="B353" s="1" t="n">
        <v>45617.49494212963</v>
      </c>
      <c r="C353" s="1" t="n">
        <v>45882</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45399-2022</t>
        </is>
      </c>
      <c r="B354" s="1" t="n">
        <v>44844.70513888889</v>
      </c>
      <c r="C354" s="1" t="n">
        <v>45882</v>
      </c>
      <c r="D354" t="inlineStr">
        <is>
          <t>SKÅNE LÄN</t>
        </is>
      </c>
      <c r="E354" t="inlineStr">
        <is>
          <t>HÄSSLEHOLM</t>
        </is>
      </c>
      <c r="G354" t="n">
        <v>0</v>
      </c>
      <c r="H354" t="n">
        <v>0</v>
      </c>
      <c r="I354" t="n">
        <v>0</v>
      </c>
      <c r="J354" t="n">
        <v>0</v>
      </c>
      <c r="K354" t="n">
        <v>0</v>
      </c>
      <c r="L354" t="n">
        <v>0</v>
      </c>
      <c r="M354" t="n">
        <v>0</v>
      </c>
      <c r="N354" t="n">
        <v>0</v>
      </c>
      <c r="O354" t="n">
        <v>0</v>
      </c>
      <c r="P354" t="n">
        <v>0</v>
      </c>
      <c r="Q354" t="n">
        <v>0</v>
      </c>
      <c r="R354" s="2" t="inlineStr"/>
    </row>
    <row r="355" ht="15" customHeight="1">
      <c r="A355" t="inlineStr">
        <is>
          <t>A 35640-2023</t>
        </is>
      </c>
      <c r="B355" s="1" t="n">
        <v>45147</v>
      </c>
      <c r="C355" s="1" t="n">
        <v>45882</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58886-2024</t>
        </is>
      </c>
      <c r="B356" s="1" t="n">
        <v>45636.45380787037</v>
      </c>
      <c r="C356" s="1" t="n">
        <v>45882</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13087-2023</t>
        </is>
      </c>
      <c r="B357" s="1" t="n">
        <v>45001</v>
      </c>
      <c r="C357" s="1" t="n">
        <v>45882</v>
      </c>
      <c r="D357" t="inlineStr">
        <is>
          <t>SKÅNE LÄN</t>
        </is>
      </c>
      <c r="E357" t="inlineStr">
        <is>
          <t>HÄSSLEHOLM</t>
        </is>
      </c>
      <c r="G357" t="n">
        <v>3.8</v>
      </c>
      <c r="H357" t="n">
        <v>0</v>
      </c>
      <c r="I357" t="n">
        <v>0</v>
      </c>
      <c r="J357" t="n">
        <v>0</v>
      </c>
      <c r="K357" t="n">
        <v>0</v>
      </c>
      <c r="L357" t="n">
        <v>0</v>
      </c>
      <c r="M357" t="n">
        <v>0</v>
      </c>
      <c r="N357" t="n">
        <v>0</v>
      </c>
      <c r="O357" t="n">
        <v>0</v>
      </c>
      <c r="P357" t="n">
        <v>0</v>
      </c>
      <c r="Q357" t="n">
        <v>0</v>
      </c>
      <c r="R357" s="2" t="inlineStr"/>
    </row>
    <row r="358" ht="15" customHeight="1">
      <c r="A358" t="inlineStr">
        <is>
          <t>A 6583-2021</t>
        </is>
      </c>
      <c r="B358" s="1" t="n">
        <v>44236</v>
      </c>
      <c r="C358" s="1" t="n">
        <v>45882</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2681-2024</t>
        </is>
      </c>
      <c r="B359" s="1" t="n">
        <v>45314</v>
      </c>
      <c r="C359" s="1" t="n">
        <v>45882</v>
      </c>
      <c r="D359" t="inlineStr">
        <is>
          <t>SKÅNE LÄN</t>
        </is>
      </c>
      <c r="E359" t="inlineStr">
        <is>
          <t>HÄSSLEHOLM</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61170-2022</t>
        </is>
      </c>
      <c r="B360" s="1" t="n">
        <v>44915.48543981482</v>
      </c>
      <c r="C360" s="1" t="n">
        <v>45882</v>
      </c>
      <c r="D360" t="inlineStr">
        <is>
          <t>SKÅNE LÄN</t>
        </is>
      </c>
      <c r="E360" t="inlineStr">
        <is>
          <t>HÄSSLEHOLM</t>
        </is>
      </c>
      <c r="G360" t="n">
        <v>1.2</v>
      </c>
      <c r="H360" t="n">
        <v>0</v>
      </c>
      <c r="I360" t="n">
        <v>0</v>
      </c>
      <c r="J360" t="n">
        <v>0</v>
      </c>
      <c r="K360" t="n">
        <v>0</v>
      </c>
      <c r="L360" t="n">
        <v>0</v>
      </c>
      <c r="M360" t="n">
        <v>0</v>
      </c>
      <c r="N360" t="n">
        <v>0</v>
      </c>
      <c r="O360" t="n">
        <v>0</v>
      </c>
      <c r="P360" t="n">
        <v>0</v>
      </c>
      <c r="Q360" t="n">
        <v>0</v>
      </c>
      <c r="R360" s="2" t="inlineStr"/>
    </row>
    <row r="361" ht="15" customHeight="1">
      <c r="A361" t="inlineStr">
        <is>
          <t>A 27177-2024</t>
        </is>
      </c>
      <c r="B361" s="1" t="n">
        <v>45471.57201388889</v>
      </c>
      <c r="C361" s="1" t="n">
        <v>45882</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49219-2024</t>
        </is>
      </c>
      <c r="B362" s="1" t="n">
        <v>45595.40923611111</v>
      </c>
      <c r="C362" s="1" t="n">
        <v>45882</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20666-2023</t>
        </is>
      </c>
      <c r="B363" s="1" t="n">
        <v>45058.35664351852</v>
      </c>
      <c r="C363" s="1" t="n">
        <v>45882</v>
      </c>
      <c r="D363" t="inlineStr">
        <is>
          <t>SKÅNE LÄN</t>
        </is>
      </c>
      <c r="E363" t="inlineStr">
        <is>
          <t>HÄSSLEHOLM</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59028-2023</t>
        </is>
      </c>
      <c r="B364" s="1" t="n">
        <v>45252.67900462963</v>
      </c>
      <c r="C364" s="1" t="n">
        <v>45882</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13646-2024</t>
        </is>
      </c>
      <c r="B365" s="1" t="n">
        <v>45387</v>
      </c>
      <c r="C365" s="1" t="n">
        <v>45882</v>
      </c>
      <c r="D365" t="inlineStr">
        <is>
          <t>SKÅNE LÄN</t>
        </is>
      </c>
      <c r="E365" t="inlineStr">
        <is>
          <t>HÄSSLEHOLM</t>
        </is>
      </c>
      <c r="G365" t="n">
        <v>1.1</v>
      </c>
      <c r="H365" t="n">
        <v>0</v>
      </c>
      <c r="I365" t="n">
        <v>0</v>
      </c>
      <c r="J365" t="n">
        <v>0</v>
      </c>
      <c r="K365" t="n">
        <v>0</v>
      </c>
      <c r="L365" t="n">
        <v>0</v>
      </c>
      <c r="M365" t="n">
        <v>0</v>
      </c>
      <c r="N365" t="n">
        <v>0</v>
      </c>
      <c r="O365" t="n">
        <v>0</v>
      </c>
      <c r="P365" t="n">
        <v>0</v>
      </c>
      <c r="Q365" t="n">
        <v>0</v>
      </c>
      <c r="R365" s="2" t="inlineStr"/>
    </row>
    <row r="366" ht="15" customHeight="1">
      <c r="A366" t="inlineStr">
        <is>
          <t>A 4750-2024</t>
        </is>
      </c>
      <c r="B366" s="1" t="n">
        <v>45328</v>
      </c>
      <c r="C366" s="1" t="n">
        <v>45882</v>
      </c>
      <c r="D366" t="inlineStr">
        <is>
          <t>SKÅNE LÄN</t>
        </is>
      </c>
      <c r="E366" t="inlineStr">
        <is>
          <t>HÄSSLEHOLM</t>
        </is>
      </c>
      <c r="G366" t="n">
        <v>0.3</v>
      </c>
      <c r="H366" t="n">
        <v>0</v>
      </c>
      <c r="I366" t="n">
        <v>0</v>
      </c>
      <c r="J366" t="n">
        <v>0</v>
      </c>
      <c r="K366" t="n">
        <v>0</v>
      </c>
      <c r="L366" t="n">
        <v>0</v>
      </c>
      <c r="M366" t="n">
        <v>0</v>
      </c>
      <c r="N366" t="n">
        <v>0</v>
      </c>
      <c r="O366" t="n">
        <v>0</v>
      </c>
      <c r="P366" t="n">
        <v>0</v>
      </c>
      <c r="Q366" t="n">
        <v>0</v>
      </c>
      <c r="R366" s="2" t="inlineStr"/>
    </row>
    <row r="367" ht="15" customHeight="1">
      <c r="A367" t="inlineStr">
        <is>
          <t>A 8250-2023</t>
        </is>
      </c>
      <c r="B367" s="1" t="n">
        <v>44974</v>
      </c>
      <c r="C367" s="1" t="n">
        <v>45882</v>
      </c>
      <c r="D367" t="inlineStr">
        <is>
          <t>SKÅNE LÄN</t>
        </is>
      </c>
      <c r="E367" t="inlineStr">
        <is>
          <t>HÄSSLEHOLM</t>
        </is>
      </c>
      <c r="G367" t="n">
        <v>3</v>
      </c>
      <c r="H367" t="n">
        <v>0</v>
      </c>
      <c r="I367" t="n">
        <v>0</v>
      </c>
      <c r="J367" t="n">
        <v>0</v>
      </c>
      <c r="K367" t="n">
        <v>0</v>
      </c>
      <c r="L367" t="n">
        <v>0</v>
      </c>
      <c r="M367" t="n">
        <v>0</v>
      </c>
      <c r="N367" t="n">
        <v>0</v>
      </c>
      <c r="O367" t="n">
        <v>0</v>
      </c>
      <c r="P367" t="n">
        <v>0</v>
      </c>
      <c r="Q367" t="n">
        <v>0</v>
      </c>
      <c r="R367" s="2" t="inlineStr"/>
    </row>
    <row r="368" ht="15" customHeight="1">
      <c r="A368" t="inlineStr">
        <is>
          <t>A 57079-2022</t>
        </is>
      </c>
      <c r="B368" s="1" t="n">
        <v>44895</v>
      </c>
      <c r="C368" s="1" t="n">
        <v>45882</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43629-2023</t>
        </is>
      </c>
      <c r="B369" s="1" t="n">
        <v>45184</v>
      </c>
      <c r="C369" s="1" t="n">
        <v>45882</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41680-2024</t>
        </is>
      </c>
      <c r="B370" s="1" t="n">
        <v>45560</v>
      </c>
      <c r="C370" s="1" t="n">
        <v>45882</v>
      </c>
      <c r="D370" t="inlineStr">
        <is>
          <t>SKÅNE LÄN</t>
        </is>
      </c>
      <c r="E370" t="inlineStr">
        <is>
          <t>HÄSSLEHOLM</t>
        </is>
      </c>
      <c r="G370" t="n">
        <v>0.2</v>
      </c>
      <c r="H370" t="n">
        <v>0</v>
      </c>
      <c r="I370" t="n">
        <v>0</v>
      </c>
      <c r="J370" t="n">
        <v>0</v>
      </c>
      <c r="K370" t="n">
        <v>0</v>
      </c>
      <c r="L370" t="n">
        <v>0</v>
      </c>
      <c r="M370" t="n">
        <v>0</v>
      </c>
      <c r="N370" t="n">
        <v>0</v>
      </c>
      <c r="O370" t="n">
        <v>0</v>
      </c>
      <c r="P370" t="n">
        <v>0</v>
      </c>
      <c r="Q370" t="n">
        <v>0</v>
      </c>
      <c r="R370" s="2" t="inlineStr"/>
    </row>
    <row r="371" ht="15" customHeight="1">
      <c r="A371" t="inlineStr">
        <is>
          <t>A 15698-2023</t>
        </is>
      </c>
      <c r="B371" s="1" t="n">
        <v>45021</v>
      </c>
      <c r="C371" s="1" t="n">
        <v>45882</v>
      </c>
      <c r="D371" t="inlineStr">
        <is>
          <t>SKÅNE LÄN</t>
        </is>
      </c>
      <c r="E371" t="inlineStr">
        <is>
          <t>HÄSSLEHOLM</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20566-2023</t>
        </is>
      </c>
      <c r="B372" s="1" t="n">
        <v>45057</v>
      </c>
      <c r="C372" s="1" t="n">
        <v>45882</v>
      </c>
      <c r="D372" t="inlineStr">
        <is>
          <t>SKÅNE LÄN</t>
        </is>
      </c>
      <c r="E372" t="inlineStr">
        <is>
          <t>HÄSSLEHOLM</t>
        </is>
      </c>
      <c r="G372" t="n">
        <v>5.2</v>
      </c>
      <c r="H372" t="n">
        <v>0</v>
      </c>
      <c r="I372" t="n">
        <v>0</v>
      </c>
      <c r="J372" t="n">
        <v>0</v>
      </c>
      <c r="K372" t="n">
        <v>0</v>
      </c>
      <c r="L372" t="n">
        <v>0</v>
      </c>
      <c r="M372" t="n">
        <v>0</v>
      </c>
      <c r="N372" t="n">
        <v>0</v>
      </c>
      <c r="O372" t="n">
        <v>0</v>
      </c>
      <c r="P372" t="n">
        <v>0</v>
      </c>
      <c r="Q372" t="n">
        <v>0</v>
      </c>
      <c r="R372" s="2" t="inlineStr"/>
    </row>
    <row r="373" ht="15" customHeight="1">
      <c r="A373" t="inlineStr">
        <is>
          <t>A 58891-2022</t>
        </is>
      </c>
      <c r="B373" s="1" t="n">
        <v>44896</v>
      </c>
      <c r="C373" s="1" t="n">
        <v>45882</v>
      </c>
      <c r="D373" t="inlineStr">
        <is>
          <t>SKÅNE LÄN</t>
        </is>
      </c>
      <c r="E373" t="inlineStr">
        <is>
          <t>HÄSSLEHOLM</t>
        </is>
      </c>
      <c r="F373" t="inlineStr">
        <is>
          <t>Kyrkan</t>
        </is>
      </c>
      <c r="G373" t="n">
        <v>1.6</v>
      </c>
      <c r="H373" t="n">
        <v>0</v>
      </c>
      <c r="I373" t="n">
        <v>0</v>
      </c>
      <c r="J373" t="n">
        <v>0</v>
      </c>
      <c r="K373" t="n">
        <v>0</v>
      </c>
      <c r="L373" t="n">
        <v>0</v>
      </c>
      <c r="M373" t="n">
        <v>0</v>
      </c>
      <c r="N373" t="n">
        <v>0</v>
      </c>
      <c r="O373" t="n">
        <v>0</v>
      </c>
      <c r="P373" t="n">
        <v>0</v>
      </c>
      <c r="Q373" t="n">
        <v>0</v>
      </c>
      <c r="R373" s="2" t="inlineStr"/>
    </row>
    <row r="374" ht="15" customHeight="1">
      <c r="A374" t="inlineStr">
        <is>
          <t>A 13990-2022</t>
        </is>
      </c>
      <c r="B374" s="1" t="n">
        <v>44650</v>
      </c>
      <c r="C374" s="1" t="n">
        <v>45882</v>
      </c>
      <c r="D374" t="inlineStr">
        <is>
          <t>SKÅNE LÄN</t>
        </is>
      </c>
      <c r="E374" t="inlineStr">
        <is>
          <t>HÄSSLEHOLM</t>
        </is>
      </c>
      <c r="G374" t="n">
        <v>3.6</v>
      </c>
      <c r="H374" t="n">
        <v>0</v>
      </c>
      <c r="I374" t="n">
        <v>0</v>
      </c>
      <c r="J374" t="n">
        <v>0</v>
      </c>
      <c r="K374" t="n">
        <v>0</v>
      </c>
      <c r="L374" t="n">
        <v>0</v>
      </c>
      <c r="M374" t="n">
        <v>0</v>
      </c>
      <c r="N374" t="n">
        <v>0</v>
      </c>
      <c r="O374" t="n">
        <v>0</v>
      </c>
      <c r="P374" t="n">
        <v>0</v>
      </c>
      <c r="Q374" t="n">
        <v>0</v>
      </c>
      <c r="R374" s="2" t="inlineStr"/>
    </row>
    <row r="375" ht="15" customHeight="1">
      <c r="A375" t="inlineStr">
        <is>
          <t>A 36568-2024</t>
        </is>
      </c>
      <c r="B375" s="1" t="n">
        <v>45537</v>
      </c>
      <c r="C375" s="1" t="n">
        <v>45882</v>
      </c>
      <c r="D375" t="inlineStr">
        <is>
          <t>SKÅNE LÄN</t>
        </is>
      </c>
      <c r="E375" t="inlineStr">
        <is>
          <t>HÄSSLEHOLM</t>
        </is>
      </c>
      <c r="G375" t="n">
        <v>4.3</v>
      </c>
      <c r="H375" t="n">
        <v>0</v>
      </c>
      <c r="I375" t="n">
        <v>0</v>
      </c>
      <c r="J375" t="n">
        <v>0</v>
      </c>
      <c r="K375" t="n">
        <v>0</v>
      </c>
      <c r="L375" t="n">
        <v>0</v>
      </c>
      <c r="M375" t="n">
        <v>0</v>
      </c>
      <c r="N375" t="n">
        <v>0</v>
      </c>
      <c r="O375" t="n">
        <v>0</v>
      </c>
      <c r="P375" t="n">
        <v>0</v>
      </c>
      <c r="Q375" t="n">
        <v>0</v>
      </c>
      <c r="R375" s="2" t="inlineStr"/>
    </row>
    <row r="376" ht="15" customHeight="1">
      <c r="A376" t="inlineStr">
        <is>
          <t>A 34886-2023</t>
        </is>
      </c>
      <c r="B376" s="1" t="n">
        <v>45142.38450231482</v>
      </c>
      <c r="C376" s="1" t="n">
        <v>45882</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9323-2025</t>
        </is>
      </c>
      <c r="B377" s="1" t="n">
        <v>45714.73532407408</v>
      </c>
      <c r="C377" s="1" t="n">
        <v>45882</v>
      </c>
      <c r="D377" t="inlineStr">
        <is>
          <t>SKÅNE LÄN</t>
        </is>
      </c>
      <c r="E377" t="inlineStr">
        <is>
          <t>HÄSSLEHOLM</t>
        </is>
      </c>
      <c r="G377" t="n">
        <v>5.2</v>
      </c>
      <c r="H377" t="n">
        <v>0</v>
      </c>
      <c r="I377" t="n">
        <v>0</v>
      </c>
      <c r="J377" t="n">
        <v>0</v>
      </c>
      <c r="K377" t="n">
        <v>0</v>
      </c>
      <c r="L377" t="n">
        <v>0</v>
      </c>
      <c r="M377" t="n">
        <v>0</v>
      </c>
      <c r="N377" t="n">
        <v>0</v>
      </c>
      <c r="O377" t="n">
        <v>0</v>
      </c>
      <c r="P377" t="n">
        <v>0</v>
      </c>
      <c r="Q377" t="n">
        <v>0</v>
      </c>
      <c r="R377" s="2" t="inlineStr"/>
    </row>
    <row r="378" ht="15" customHeight="1">
      <c r="A378" t="inlineStr">
        <is>
          <t>A 19593-2023</t>
        </is>
      </c>
      <c r="B378" s="1" t="n">
        <v>45050.75895833333</v>
      </c>
      <c r="C378" s="1" t="n">
        <v>45882</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2596-2024</t>
        </is>
      </c>
      <c r="B379" s="1" t="n">
        <v>45313.69969907407</v>
      </c>
      <c r="C379" s="1" t="n">
        <v>45882</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6842-2023</t>
        </is>
      </c>
      <c r="B380" s="1" t="n">
        <v>44967</v>
      </c>
      <c r="C380" s="1" t="n">
        <v>45882</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18109-2025</t>
        </is>
      </c>
      <c r="B381" s="1" t="n">
        <v>45761</v>
      </c>
      <c r="C381" s="1" t="n">
        <v>45882</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48747-2022</t>
        </is>
      </c>
      <c r="B382" s="1" t="n">
        <v>44859</v>
      </c>
      <c r="C382" s="1" t="n">
        <v>45882</v>
      </c>
      <c r="D382" t="inlineStr">
        <is>
          <t>SKÅNE LÄN</t>
        </is>
      </c>
      <c r="E382" t="inlineStr">
        <is>
          <t>HÄSSLEHOLM</t>
        </is>
      </c>
      <c r="G382" t="n">
        <v>1.9</v>
      </c>
      <c r="H382" t="n">
        <v>0</v>
      </c>
      <c r="I382" t="n">
        <v>0</v>
      </c>
      <c r="J382" t="n">
        <v>0</v>
      </c>
      <c r="K382" t="n">
        <v>0</v>
      </c>
      <c r="L382" t="n">
        <v>0</v>
      </c>
      <c r="M382" t="n">
        <v>0</v>
      </c>
      <c r="N382" t="n">
        <v>0</v>
      </c>
      <c r="O382" t="n">
        <v>0</v>
      </c>
      <c r="P382" t="n">
        <v>0</v>
      </c>
      <c r="Q382" t="n">
        <v>0</v>
      </c>
      <c r="R382" s="2" t="inlineStr"/>
    </row>
    <row r="383" ht="15" customHeight="1">
      <c r="A383" t="inlineStr">
        <is>
          <t>A 16017-2023</t>
        </is>
      </c>
      <c r="B383" s="1" t="n">
        <v>45026</v>
      </c>
      <c r="C383" s="1" t="n">
        <v>45882</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50899-2024</t>
        </is>
      </c>
      <c r="B384" s="1" t="n">
        <v>45602.68584490741</v>
      </c>
      <c r="C384" s="1" t="n">
        <v>45882</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524-2024</t>
        </is>
      </c>
      <c r="B385" s="1" t="n">
        <v>45299</v>
      </c>
      <c r="C385" s="1" t="n">
        <v>45882</v>
      </c>
      <c r="D385" t="inlineStr">
        <is>
          <t>SKÅNE LÄN</t>
        </is>
      </c>
      <c r="E385" t="inlineStr">
        <is>
          <t>HÄSSLEHOLM</t>
        </is>
      </c>
      <c r="G385" t="n">
        <v>29.4</v>
      </c>
      <c r="H385" t="n">
        <v>0</v>
      </c>
      <c r="I385" t="n">
        <v>0</v>
      </c>
      <c r="J385" t="n">
        <v>0</v>
      </c>
      <c r="K385" t="n">
        <v>0</v>
      </c>
      <c r="L385" t="n">
        <v>0</v>
      </c>
      <c r="M385" t="n">
        <v>0</v>
      </c>
      <c r="N385" t="n">
        <v>0</v>
      </c>
      <c r="O385" t="n">
        <v>0</v>
      </c>
      <c r="P385" t="n">
        <v>0</v>
      </c>
      <c r="Q385" t="n">
        <v>0</v>
      </c>
      <c r="R385" s="2" t="inlineStr"/>
    </row>
    <row r="386" ht="15" customHeight="1">
      <c r="A386" t="inlineStr">
        <is>
          <t>A 13198-2025</t>
        </is>
      </c>
      <c r="B386" s="1" t="n">
        <v>45735</v>
      </c>
      <c r="C386" s="1" t="n">
        <v>45882</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50564-2023</t>
        </is>
      </c>
      <c r="B387" s="1" t="n">
        <v>45217.37957175926</v>
      </c>
      <c r="C387" s="1" t="n">
        <v>45882</v>
      </c>
      <c r="D387" t="inlineStr">
        <is>
          <t>SKÅNE LÄN</t>
        </is>
      </c>
      <c r="E387" t="inlineStr">
        <is>
          <t>HÄSSLEHOLM</t>
        </is>
      </c>
      <c r="G387" t="n">
        <v>1.2</v>
      </c>
      <c r="H387" t="n">
        <v>0</v>
      </c>
      <c r="I387" t="n">
        <v>0</v>
      </c>
      <c r="J387" t="n">
        <v>0</v>
      </c>
      <c r="K387" t="n">
        <v>0</v>
      </c>
      <c r="L387" t="n">
        <v>0</v>
      </c>
      <c r="M387" t="n">
        <v>0</v>
      </c>
      <c r="N387" t="n">
        <v>0</v>
      </c>
      <c r="O387" t="n">
        <v>0</v>
      </c>
      <c r="P387" t="n">
        <v>0</v>
      </c>
      <c r="Q387" t="n">
        <v>0</v>
      </c>
      <c r="R387" s="2" t="inlineStr"/>
    </row>
    <row r="388" ht="15" customHeight="1">
      <c r="A388" t="inlineStr">
        <is>
          <t>A 43061-2024</t>
        </is>
      </c>
      <c r="B388" s="1" t="n">
        <v>45567</v>
      </c>
      <c r="C388" s="1" t="n">
        <v>45882</v>
      </c>
      <c r="D388" t="inlineStr">
        <is>
          <t>SKÅNE LÄN</t>
        </is>
      </c>
      <c r="E388" t="inlineStr">
        <is>
          <t>HÄSSLEHOLM</t>
        </is>
      </c>
      <c r="G388" t="n">
        <v>4.5</v>
      </c>
      <c r="H388" t="n">
        <v>0</v>
      </c>
      <c r="I388" t="n">
        <v>0</v>
      </c>
      <c r="J388" t="n">
        <v>0</v>
      </c>
      <c r="K388" t="n">
        <v>0</v>
      </c>
      <c r="L388" t="n">
        <v>0</v>
      </c>
      <c r="M388" t="n">
        <v>0</v>
      </c>
      <c r="N388" t="n">
        <v>0</v>
      </c>
      <c r="O388" t="n">
        <v>0</v>
      </c>
      <c r="P388" t="n">
        <v>0</v>
      </c>
      <c r="Q388" t="n">
        <v>0</v>
      </c>
      <c r="R388" s="2" t="inlineStr"/>
    </row>
    <row r="389" ht="15" customHeight="1">
      <c r="A389" t="inlineStr">
        <is>
          <t>A 9394-2025</t>
        </is>
      </c>
      <c r="B389" s="1" t="n">
        <v>45715.36387731481</v>
      </c>
      <c r="C389" s="1" t="n">
        <v>45882</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24904-2025</t>
        </is>
      </c>
      <c r="B390" s="1" t="n">
        <v>45799</v>
      </c>
      <c r="C390" s="1" t="n">
        <v>45882</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39223-2024</t>
        </is>
      </c>
      <c r="B391" s="1" t="n">
        <v>45550</v>
      </c>
      <c r="C391" s="1" t="n">
        <v>45882</v>
      </c>
      <c r="D391" t="inlineStr">
        <is>
          <t>SKÅNE LÄN</t>
        </is>
      </c>
      <c r="E391" t="inlineStr">
        <is>
          <t>HÄSSLEHOLM</t>
        </is>
      </c>
      <c r="G391" t="n">
        <v>3.1</v>
      </c>
      <c r="H391" t="n">
        <v>0</v>
      </c>
      <c r="I391" t="n">
        <v>0</v>
      </c>
      <c r="J391" t="n">
        <v>0</v>
      </c>
      <c r="K391" t="n">
        <v>0</v>
      </c>
      <c r="L391" t="n">
        <v>0</v>
      </c>
      <c r="M391" t="n">
        <v>0</v>
      </c>
      <c r="N391" t="n">
        <v>0</v>
      </c>
      <c r="O391" t="n">
        <v>0</v>
      </c>
      <c r="P391" t="n">
        <v>0</v>
      </c>
      <c r="Q391" t="n">
        <v>0</v>
      </c>
      <c r="R391" s="2" t="inlineStr"/>
    </row>
    <row r="392" ht="15" customHeight="1">
      <c r="A392" t="inlineStr">
        <is>
          <t>A 27297-2023</t>
        </is>
      </c>
      <c r="B392" s="1" t="n">
        <v>45096</v>
      </c>
      <c r="C392" s="1" t="n">
        <v>45882</v>
      </c>
      <c r="D392" t="inlineStr">
        <is>
          <t>SKÅNE LÄN</t>
        </is>
      </c>
      <c r="E392" t="inlineStr">
        <is>
          <t>HÄSSLEHOLM</t>
        </is>
      </c>
      <c r="G392" t="n">
        <v>1.3</v>
      </c>
      <c r="H392" t="n">
        <v>0</v>
      </c>
      <c r="I392" t="n">
        <v>0</v>
      </c>
      <c r="J392" t="n">
        <v>0</v>
      </c>
      <c r="K392" t="n">
        <v>0</v>
      </c>
      <c r="L392" t="n">
        <v>0</v>
      </c>
      <c r="M392" t="n">
        <v>0</v>
      </c>
      <c r="N392" t="n">
        <v>0</v>
      </c>
      <c r="O392" t="n">
        <v>0</v>
      </c>
      <c r="P392" t="n">
        <v>0</v>
      </c>
      <c r="Q392" t="n">
        <v>0</v>
      </c>
      <c r="R392" s="2" t="inlineStr"/>
    </row>
    <row r="393" ht="15" customHeight="1">
      <c r="A393" t="inlineStr">
        <is>
          <t>A 54171-2021</t>
        </is>
      </c>
      <c r="B393" s="1" t="n">
        <v>44470</v>
      </c>
      <c r="C393" s="1" t="n">
        <v>45882</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27304-2023</t>
        </is>
      </c>
      <c r="B394" s="1" t="n">
        <v>45096.65199074074</v>
      </c>
      <c r="C394" s="1" t="n">
        <v>45882</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50616-2023</t>
        </is>
      </c>
      <c r="B395" s="1" t="n">
        <v>45210</v>
      </c>
      <c r="C395" s="1" t="n">
        <v>45882</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45361-2023</t>
        </is>
      </c>
      <c r="B396" s="1" t="n">
        <v>45192.49068287037</v>
      </c>
      <c r="C396" s="1" t="n">
        <v>45882</v>
      </c>
      <c r="D396" t="inlineStr">
        <is>
          <t>SKÅNE LÄN</t>
        </is>
      </c>
      <c r="E396" t="inlineStr">
        <is>
          <t>HÄSSLEHOLM</t>
        </is>
      </c>
      <c r="G396" t="n">
        <v>1.9</v>
      </c>
      <c r="H396" t="n">
        <v>0</v>
      </c>
      <c r="I396" t="n">
        <v>0</v>
      </c>
      <c r="J396" t="n">
        <v>0</v>
      </c>
      <c r="K396" t="n">
        <v>0</v>
      </c>
      <c r="L396" t="n">
        <v>0</v>
      </c>
      <c r="M396" t="n">
        <v>0</v>
      </c>
      <c r="N396" t="n">
        <v>0</v>
      </c>
      <c r="O396" t="n">
        <v>0</v>
      </c>
      <c r="P396" t="n">
        <v>0</v>
      </c>
      <c r="Q396" t="n">
        <v>0</v>
      </c>
      <c r="R396" s="2" t="inlineStr"/>
    </row>
    <row r="397" ht="15" customHeight="1">
      <c r="A397" t="inlineStr">
        <is>
          <t>A 24640-2023</t>
        </is>
      </c>
      <c r="B397" s="1" t="n">
        <v>45084.43181712963</v>
      </c>
      <c r="C397" s="1" t="n">
        <v>45882</v>
      </c>
      <c r="D397" t="inlineStr">
        <is>
          <t>SKÅNE LÄN</t>
        </is>
      </c>
      <c r="E397" t="inlineStr">
        <is>
          <t>HÄSSLEHOLM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22693-2022</t>
        </is>
      </c>
      <c r="B398" s="1" t="n">
        <v>44714.54729166667</v>
      </c>
      <c r="C398" s="1" t="n">
        <v>45882</v>
      </c>
      <c r="D398" t="inlineStr">
        <is>
          <t>SKÅNE LÄN</t>
        </is>
      </c>
      <c r="E398" t="inlineStr">
        <is>
          <t>HÄSSLEHOLM</t>
        </is>
      </c>
      <c r="G398" t="n">
        <v>2.8</v>
      </c>
      <c r="H398" t="n">
        <v>0</v>
      </c>
      <c r="I398" t="n">
        <v>0</v>
      </c>
      <c r="J398" t="n">
        <v>0</v>
      </c>
      <c r="K398" t="n">
        <v>0</v>
      </c>
      <c r="L398" t="n">
        <v>0</v>
      </c>
      <c r="M398" t="n">
        <v>0</v>
      </c>
      <c r="N398" t="n">
        <v>0</v>
      </c>
      <c r="O398" t="n">
        <v>0</v>
      </c>
      <c r="P398" t="n">
        <v>0</v>
      </c>
      <c r="Q398" t="n">
        <v>0</v>
      </c>
      <c r="R398" s="2" t="inlineStr"/>
    </row>
    <row r="399" ht="15" customHeight="1">
      <c r="A399" t="inlineStr">
        <is>
          <t>A 51618-2024</t>
        </is>
      </c>
      <c r="B399" s="1" t="n">
        <v>45604.82615740741</v>
      </c>
      <c r="C399" s="1" t="n">
        <v>45882</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11446-2025</t>
        </is>
      </c>
      <c r="B400" s="1" t="n">
        <v>45726</v>
      </c>
      <c r="C400" s="1" t="n">
        <v>45882</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9747-2024</t>
        </is>
      </c>
      <c r="B401" s="1" t="n">
        <v>45362</v>
      </c>
      <c r="C401" s="1" t="n">
        <v>45882</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49107-2023</t>
        </is>
      </c>
      <c r="B402" s="1" t="n">
        <v>45210.44337962963</v>
      </c>
      <c r="C402" s="1" t="n">
        <v>45882</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16024-2025</t>
        </is>
      </c>
      <c r="B403" s="1" t="n">
        <v>45749.61296296296</v>
      </c>
      <c r="C403" s="1" t="n">
        <v>45882</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15104-2023</t>
        </is>
      </c>
      <c r="B404" s="1" t="n">
        <v>45016.40576388889</v>
      </c>
      <c r="C404" s="1" t="n">
        <v>45882</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8249-2023</t>
        </is>
      </c>
      <c r="B405" s="1" t="n">
        <v>44974</v>
      </c>
      <c r="C405" s="1" t="n">
        <v>45882</v>
      </c>
      <c r="D405" t="inlineStr">
        <is>
          <t>SKÅNE LÄN</t>
        </is>
      </c>
      <c r="E405" t="inlineStr">
        <is>
          <t>HÄSSLEHOLM</t>
        </is>
      </c>
      <c r="G405" t="n">
        <v>5.8</v>
      </c>
      <c r="H405" t="n">
        <v>0</v>
      </c>
      <c r="I405" t="n">
        <v>0</v>
      </c>
      <c r="J405" t="n">
        <v>0</v>
      </c>
      <c r="K405" t="n">
        <v>0</v>
      </c>
      <c r="L405" t="n">
        <v>0</v>
      </c>
      <c r="M405" t="n">
        <v>0</v>
      </c>
      <c r="N405" t="n">
        <v>0</v>
      </c>
      <c r="O405" t="n">
        <v>0</v>
      </c>
      <c r="P405" t="n">
        <v>0</v>
      </c>
      <c r="Q405" t="n">
        <v>0</v>
      </c>
      <c r="R405" s="2" t="inlineStr"/>
    </row>
    <row r="406" ht="15" customHeight="1">
      <c r="A406" t="inlineStr">
        <is>
          <t>A 12507-2022</t>
        </is>
      </c>
      <c r="B406" s="1" t="n">
        <v>44638</v>
      </c>
      <c r="C406" s="1" t="n">
        <v>45882</v>
      </c>
      <c r="D406" t="inlineStr">
        <is>
          <t>SKÅNE LÄN</t>
        </is>
      </c>
      <c r="E406" t="inlineStr">
        <is>
          <t>HÄSSLEHOLM</t>
        </is>
      </c>
      <c r="G406" t="n">
        <v>2.7</v>
      </c>
      <c r="H406" t="n">
        <v>0</v>
      </c>
      <c r="I406" t="n">
        <v>0</v>
      </c>
      <c r="J406" t="n">
        <v>0</v>
      </c>
      <c r="K406" t="n">
        <v>0</v>
      </c>
      <c r="L406" t="n">
        <v>0</v>
      </c>
      <c r="M406" t="n">
        <v>0</v>
      </c>
      <c r="N406" t="n">
        <v>0</v>
      </c>
      <c r="O406" t="n">
        <v>0</v>
      </c>
      <c r="P406" t="n">
        <v>0</v>
      </c>
      <c r="Q406" t="n">
        <v>0</v>
      </c>
      <c r="R406" s="2" t="inlineStr"/>
    </row>
    <row r="407" ht="15" customHeight="1">
      <c r="A407" t="inlineStr">
        <is>
          <t>A 65235-2021</t>
        </is>
      </c>
      <c r="B407" s="1" t="n">
        <v>44515</v>
      </c>
      <c r="C407" s="1" t="n">
        <v>45882</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13549-2025</t>
        </is>
      </c>
      <c r="B408" s="1" t="n">
        <v>45736</v>
      </c>
      <c r="C408" s="1" t="n">
        <v>45882</v>
      </c>
      <c r="D408" t="inlineStr">
        <is>
          <t>SKÅNE LÄN</t>
        </is>
      </c>
      <c r="E408" t="inlineStr">
        <is>
          <t>HÄSSLEHOLM</t>
        </is>
      </c>
      <c r="G408" t="n">
        <v>0.9</v>
      </c>
      <c r="H408" t="n">
        <v>0</v>
      </c>
      <c r="I408" t="n">
        <v>0</v>
      </c>
      <c r="J408" t="n">
        <v>0</v>
      </c>
      <c r="K408" t="n">
        <v>0</v>
      </c>
      <c r="L408" t="n">
        <v>0</v>
      </c>
      <c r="M408" t="n">
        <v>0</v>
      </c>
      <c r="N408" t="n">
        <v>0</v>
      </c>
      <c r="O408" t="n">
        <v>0</v>
      </c>
      <c r="P408" t="n">
        <v>0</v>
      </c>
      <c r="Q408" t="n">
        <v>0</v>
      </c>
      <c r="R408" s="2" t="inlineStr"/>
    </row>
    <row r="409" ht="15" customHeight="1">
      <c r="A409" t="inlineStr">
        <is>
          <t>A 51245-2023</t>
        </is>
      </c>
      <c r="B409" s="1" t="n">
        <v>45212</v>
      </c>
      <c r="C409" s="1" t="n">
        <v>45882</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54374-2020</t>
        </is>
      </c>
      <c r="B410" s="1" t="n">
        <v>44126</v>
      </c>
      <c r="C410" s="1" t="n">
        <v>45882</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47840-2023</t>
        </is>
      </c>
      <c r="B411" s="1" t="n">
        <v>45204</v>
      </c>
      <c r="C411" s="1" t="n">
        <v>45882</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62277-2023</t>
        </is>
      </c>
      <c r="B412" s="1" t="n">
        <v>45266</v>
      </c>
      <c r="C412" s="1" t="n">
        <v>45882</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2597-2024</t>
        </is>
      </c>
      <c r="B413" s="1" t="n">
        <v>45313</v>
      </c>
      <c r="C413" s="1" t="n">
        <v>45882</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34369-2023</t>
        </is>
      </c>
      <c r="B414" s="1" t="n">
        <v>45139.47817129629</v>
      </c>
      <c r="C414" s="1" t="n">
        <v>45882</v>
      </c>
      <c r="D414" t="inlineStr">
        <is>
          <t>SKÅNE LÄN</t>
        </is>
      </c>
      <c r="E414" t="inlineStr">
        <is>
          <t>HÄSSLEHOLM</t>
        </is>
      </c>
      <c r="G414" t="n">
        <v>2</v>
      </c>
      <c r="H414" t="n">
        <v>0</v>
      </c>
      <c r="I414" t="n">
        <v>0</v>
      </c>
      <c r="J414" t="n">
        <v>0</v>
      </c>
      <c r="K414" t="n">
        <v>0</v>
      </c>
      <c r="L414" t="n">
        <v>0</v>
      </c>
      <c r="M414" t="n">
        <v>0</v>
      </c>
      <c r="N414" t="n">
        <v>0</v>
      </c>
      <c r="O414" t="n">
        <v>0</v>
      </c>
      <c r="P414" t="n">
        <v>0</v>
      </c>
      <c r="Q414" t="n">
        <v>0</v>
      </c>
      <c r="R414" s="2" t="inlineStr"/>
    </row>
    <row r="415" ht="15" customHeight="1">
      <c r="A415" t="inlineStr">
        <is>
          <t>A 31934-2024</t>
        </is>
      </c>
      <c r="B415" s="1" t="n">
        <v>45510.41177083334</v>
      </c>
      <c r="C415" s="1" t="n">
        <v>45882</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34834-2023</t>
        </is>
      </c>
      <c r="B416" s="1" t="n">
        <v>45141.7199537037</v>
      </c>
      <c r="C416" s="1" t="n">
        <v>45882</v>
      </c>
      <c r="D416" t="inlineStr">
        <is>
          <t>SKÅNE LÄN</t>
        </is>
      </c>
      <c r="E416" t="inlineStr">
        <is>
          <t>HÄSSLEHOLM</t>
        </is>
      </c>
      <c r="G416" t="n">
        <v>1</v>
      </c>
      <c r="H416" t="n">
        <v>0</v>
      </c>
      <c r="I416" t="n">
        <v>0</v>
      </c>
      <c r="J416" t="n">
        <v>0</v>
      </c>
      <c r="K416" t="n">
        <v>0</v>
      </c>
      <c r="L416" t="n">
        <v>0</v>
      </c>
      <c r="M416" t="n">
        <v>0</v>
      </c>
      <c r="N416" t="n">
        <v>0</v>
      </c>
      <c r="O416" t="n">
        <v>0</v>
      </c>
      <c r="P416" t="n">
        <v>0</v>
      </c>
      <c r="Q416" t="n">
        <v>0</v>
      </c>
      <c r="R416" s="2" t="inlineStr"/>
    </row>
    <row r="417" ht="15" customHeight="1">
      <c r="A417" t="inlineStr">
        <is>
          <t>A 3531-2023</t>
        </is>
      </c>
      <c r="B417" s="1" t="n">
        <v>44950</v>
      </c>
      <c r="C417" s="1" t="n">
        <v>45882</v>
      </c>
      <c r="D417" t="inlineStr">
        <is>
          <t>SKÅNE LÄN</t>
        </is>
      </c>
      <c r="E417" t="inlineStr">
        <is>
          <t>HÄSSLEHOLM</t>
        </is>
      </c>
      <c r="G417" t="n">
        <v>10.1</v>
      </c>
      <c r="H417" t="n">
        <v>0</v>
      </c>
      <c r="I417" t="n">
        <v>0</v>
      </c>
      <c r="J417" t="n">
        <v>0</v>
      </c>
      <c r="K417" t="n">
        <v>0</v>
      </c>
      <c r="L417" t="n">
        <v>0</v>
      </c>
      <c r="M417" t="n">
        <v>0</v>
      </c>
      <c r="N417" t="n">
        <v>0</v>
      </c>
      <c r="O417" t="n">
        <v>0</v>
      </c>
      <c r="P417" t="n">
        <v>0</v>
      </c>
      <c r="Q417" t="n">
        <v>0</v>
      </c>
      <c r="R417" s="2" t="inlineStr"/>
    </row>
    <row r="418" ht="15" customHeight="1">
      <c r="A418" t="inlineStr">
        <is>
          <t>A 15417-2022</t>
        </is>
      </c>
      <c r="B418" s="1" t="n">
        <v>44659</v>
      </c>
      <c r="C418" s="1" t="n">
        <v>45882</v>
      </c>
      <c r="D418" t="inlineStr">
        <is>
          <t>SKÅNE LÄN</t>
        </is>
      </c>
      <c r="E418" t="inlineStr">
        <is>
          <t>HÄSSLEHOLM</t>
        </is>
      </c>
      <c r="F418" t="inlineStr">
        <is>
          <t>Kyrkan</t>
        </is>
      </c>
      <c r="G418" t="n">
        <v>2.9</v>
      </c>
      <c r="H418" t="n">
        <v>0</v>
      </c>
      <c r="I418" t="n">
        <v>0</v>
      </c>
      <c r="J418" t="n">
        <v>0</v>
      </c>
      <c r="K418" t="n">
        <v>0</v>
      </c>
      <c r="L418" t="n">
        <v>0</v>
      </c>
      <c r="M418" t="n">
        <v>0</v>
      </c>
      <c r="N418" t="n">
        <v>0</v>
      </c>
      <c r="O418" t="n">
        <v>0</v>
      </c>
      <c r="P418" t="n">
        <v>0</v>
      </c>
      <c r="Q418" t="n">
        <v>0</v>
      </c>
      <c r="R418" s="2" t="inlineStr"/>
    </row>
    <row r="419" ht="15" customHeight="1">
      <c r="A419" t="inlineStr">
        <is>
          <t>A 48627-2023</t>
        </is>
      </c>
      <c r="B419" s="1" t="n">
        <v>45208.57371527778</v>
      </c>
      <c r="C419" s="1" t="n">
        <v>45882</v>
      </c>
      <c r="D419" t="inlineStr">
        <is>
          <t>SKÅNE LÄN</t>
        </is>
      </c>
      <c r="E419" t="inlineStr">
        <is>
          <t>HÄSSLEHOLM</t>
        </is>
      </c>
      <c r="G419" t="n">
        <v>1.9</v>
      </c>
      <c r="H419" t="n">
        <v>0</v>
      </c>
      <c r="I419" t="n">
        <v>0</v>
      </c>
      <c r="J419" t="n">
        <v>0</v>
      </c>
      <c r="K419" t="n">
        <v>0</v>
      </c>
      <c r="L419" t="n">
        <v>0</v>
      </c>
      <c r="M419" t="n">
        <v>0</v>
      </c>
      <c r="N419" t="n">
        <v>0</v>
      </c>
      <c r="O419" t="n">
        <v>0</v>
      </c>
      <c r="P419" t="n">
        <v>0</v>
      </c>
      <c r="Q419" t="n">
        <v>0</v>
      </c>
      <c r="R419" s="2" t="inlineStr"/>
    </row>
    <row r="420" ht="15" customHeight="1">
      <c r="A420" t="inlineStr">
        <is>
          <t>A 8160-2024</t>
        </is>
      </c>
      <c r="B420" s="1" t="n">
        <v>45351</v>
      </c>
      <c r="C420" s="1" t="n">
        <v>45882</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44262-2021</t>
        </is>
      </c>
      <c r="B421" s="1" t="n">
        <v>44434</v>
      </c>
      <c r="C421" s="1" t="n">
        <v>45882</v>
      </c>
      <c r="D421" t="inlineStr">
        <is>
          <t>SKÅNE LÄN</t>
        </is>
      </c>
      <c r="E421" t="inlineStr">
        <is>
          <t>HÄSSLEHOLM</t>
        </is>
      </c>
      <c r="G421" t="n">
        <v>4.7</v>
      </c>
      <c r="H421" t="n">
        <v>0</v>
      </c>
      <c r="I421" t="n">
        <v>0</v>
      </c>
      <c r="J421" t="n">
        <v>0</v>
      </c>
      <c r="K421" t="n">
        <v>0</v>
      </c>
      <c r="L421" t="n">
        <v>0</v>
      </c>
      <c r="M421" t="n">
        <v>0</v>
      </c>
      <c r="N421" t="n">
        <v>0</v>
      </c>
      <c r="O421" t="n">
        <v>0</v>
      </c>
      <c r="P421" t="n">
        <v>0</v>
      </c>
      <c r="Q421" t="n">
        <v>0</v>
      </c>
      <c r="R421" s="2" t="inlineStr"/>
    </row>
    <row r="422" ht="15" customHeight="1">
      <c r="A422" t="inlineStr">
        <is>
          <t>A 11607-2025</t>
        </is>
      </c>
      <c r="B422" s="1" t="n">
        <v>45727</v>
      </c>
      <c r="C422" s="1" t="n">
        <v>45882</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46813-2024</t>
        </is>
      </c>
      <c r="B423" s="1" t="n">
        <v>45583</v>
      </c>
      <c r="C423" s="1" t="n">
        <v>45882</v>
      </c>
      <c r="D423" t="inlineStr">
        <is>
          <t>SKÅNE LÄN</t>
        </is>
      </c>
      <c r="E423" t="inlineStr">
        <is>
          <t>HÄSSLEHOLM</t>
        </is>
      </c>
      <c r="G423" t="n">
        <v>14.9</v>
      </c>
      <c r="H423" t="n">
        <v>0</v>
      </c>
      <c r="I423" t="n">
        <v>0</v>
      </c>
      <c r="J423" t="n">
        <v>0</v>
      </c>
      <c r="K423" t="n">
        <v>0</v>
      </c>
      <c r="L423" t="n">
        <v>0</v>
      </c>
      <c r="M423" t="n">
        <v>0</v>
      </c>
      <c r="N423" t="n">
        <v>0</v>
      </c>
      <c r="O423" t="n">
        <v>0</v>
      </c>
      <c r="P423" t="n">
        <v>0</v>
      </c>
      <c r="Q423" t="n">
        <v>0</v>
      </c>
      <c r="R423" s="2" t="inlineStr"/>
    </row>
    <row r="424" ht="15" customHeight="1">
      <c r="A424" t="inlineStr">
        <is>
          <t>A 50659-2023</t>
        </is>
      </c>
      <c r="B424" s="1" t="n">
        <v>45217</v>
      </c>
      <c r="C424" s="1" t="n">
        <v>45882</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720-2025</t>
        </is>
      </c>
      <c r="B425" s="1" t="n">
        <v>45665.3744212963</v>
      </c>
      <c r="C425" s="1" t="n">
        <v>45882</v>
      </c>
      <c r="D425" t="inlineStr">
        <is>
          <t>SKÅNE LÄN</t>
        </is>
      </c>
      <c r="E425" t="inlineStr">
        <is>
          <t>HÄSSLEHOLM</t>
        </is>
      </c>
      <c r="G425" t="n">
        <v>1.3</v>
      </c>
      <c r="H425" t="n">
        <v>0</v>
      </c>
      <c r="I425" t="n">
        <v>0</v>
      </c>
      <c r="J425" t="n">
        <v>0</v>
      </c>
      <c r="K425" t="n">
        <v>0</v>
      </c>
      <c r="L425" t="n">
        <v>0</v>
      </c>
      <c r="M425" t="n">
        <v>0</v>
      </c>
      <c r="N425" t="n">
        <v>0</v>
      </c>
      <c r="O425" t="n">
        <v>0</v>
      </c>
      <c r="P425" t="n">
        <v>0</v>
      </c>
      <c r="Q425" t="n">
        <v>0</v>
      </c>
      <c r="R425" s="2" t="inlineStr"/>
    </row>
    <row r="426" ht="15" customHeight="1">
      <c r="A426" t="inlineStr">
        <is>
          <t>A 13808-2021</t>
        </is>
      </c>
      <c r="B426" s="1" t="n">
        <v>44276</v>
      </c>
      <c r="C426" s="1" t="n">
        <v>45882</v>
      </c>
      <c r="D426" t="inlineStr">
        <is>
          <t>SKÅNE LÄN</t>
        </is>
      </c>
      <c r="E426" t="inlineStr">
        <is>
          <t>HÄSSLEHOLM</t>
        </is>
      </c>
      <c r="G426" t="n">
        <v>10.3</v>
      </c>
      <c r="H426" t="n">
        <v>0</v>
      </c>
      <c r="I426" t="n">
        <v>0</v>
      </c>
      <c r="J426" t="n">
        <v>0</v>
      </c>
      <c r="K426" t="n">
        <v>0</v>
      </c>
      <c r="L426" t="n">
        <v>0</v>
      </c>
      <c r="M426" t="n">
        <v>0</v>
      </c>
      <c r="N426" t="n">
        <v>0</v>
      </c>
      <c r="O426" t="n">
        <v>0</v>
      </c>
      <c r="P426" t="n">
        <v>0</v>
      </c>
      <c r="Q426" t="n">
        <v>0</v>
      </c>
      <c r="R426" s="2" t="inlineStr"/>
    </row>
    <row r="427" ht="15" customHeight="1">
      <c r="A427" t="inlineStr">
        <is>
          <t>A 59429-2023</t>
        </is>
      </c>
      <c r="B427" s="1" t="n">
        <v>45254.2875</v>
      </c>
      <c r="C427" s="1" t="n">
        <v>45882</v>
      </c>
      <c r="D427" t="inlineStr">
        <is>
          <t>SKÅNE LÄN</t>
        </is>
      </c>
      <c r="E427" t="inlineStr">
        <is>
          <t>HÄSSLEHOLM</t>
        </is>
      </c>
      <c r="G427" t="n">
        <v>0</v>
      </c>
      <c r="H427" t="n">
        <v>0</v>
      </c>
      <c r="I427" t="n">
        <v>0</v>
      </c>
      <c r="J427" t="n">
        <v>0</v>
      </c>
      <c r="K427" t="n">
        <v>0</v>
      </c>
      <c r="L427" t="n">
        <v>0</v>
      </c>
      <c r="M427" t="n">
        <v>0</v>
      </c>
      <c r="N427" t="n">
        <v>0</v>
      </c>
      <c r="O427" t="n">
        <v>0</v>
      </c>
      <c r="P427" t="n">
        <v>0</v>
      </c>
      <c r="Q427" t="n">
        <v>0</v>
      </c>
      <c r="R427" s="2" t="inlineStr"/>
    </row>
    <row r="428" ht="15" customHeight="1">
      <c r="A428" t="inlineStr">
        <is>
          <t>A 67801-2021</t>
        </is>
      </c>
      <c r="B428" s="1" t="n">
        <v>44525</v>
      </c>
      <c r="C428" s="1" t="n">
        <v>45882</v>
      </c>
      <c r="D428" t="inlineStr">
        <is>
          <t>SKÅNE LÄN</t>
        </is>
      </c>
      <c r="E428" t="inlineStr">
        <is>
          <t>HÄSSLEHOLM</t>
        </is>
      </c>
      <c r="G428" t="n">
        <v>2.2</v>
      </c>
      <c r="H428" t="n">
        <v>0</v>
      </c>
      <c r="I428" t="n">
        <v>0</v>
      </c>
      <c r="J428" t="n">
        <v>0</v>
      </c>
      <c r="K428" t="n">
        <v>0</v>
      </c>
      <c r="L428" t="n">
        <v>0</v>
      </c>
      <c r="M428" t="n">
        <v>0</v>
      </c>
      <c r="N428" t="n">
        <v>0</v>
      </c>
      <c r="O428" t="n">
        <v>0</v>
      </c>
      <c r="P428" t="n">
        <v>0</v>
      </c>
      <c r="Q428" t="n">
        <v>0</v>
      </c>
      <c r="R428" s="2" t="inlineStr"/>
    </row>
    <row r="429" ht="15" customHeight="1">
      <c r="A429" t="inlineStr">
        <is>
          <t>A 2144-2023</t>
        </is>
      </c>
      <c r="B429" s="1" t="n">
        <v>44940.79054398148</v>
      </c>
      <c r="C429" s="1" t="n">
        <v>45882</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12182-2025</t>
        </is>
      </c>
      <c r="B430" s="1" t="n">
        <v>45729</v>
      </c>
      <c r="C430" s="1" t="n">
        <v>45882</v>
      </c>
      <c r="D430" t="inlineStr">
        <is>
          <t>SKÅNE LÄN</t>
        </is>
      </c>
      <c r="E430" t="inlineStr">
        <is>
          <t>HÄSSLEHOLM</t>
        </is>
      </c>
      <c r="G430" t="n">
        <v>1.8</v>
      </c>
      <c r="H430" t="n">
        <v>0</v>
      </c>
      <c r="I430" t="n">
        <v>0</v>
      </c>
      <c r="J430" t="n">
        <v>0</v>
      </c>
      <c r="K430" t="n">
        <v>0</v>
      </c>
      <c r="L430" t="n">
        <v>0</v>
      </c>
      <c r="M430" t="n">
        <v>0</v>
      </c>
      <c r="N430" t="n">
        <v>0</v>
      </c>
      <c r="O430" t="n">
        <v>0</v>
      </c>
      <c r="P430" t="n">
        <v>0</v>
      </c>
      <c r="Q430" t="n">
        <v>0</v>
      </c>
      <c r="R430" s="2" t="inlineStr"/>
    </row>
    <row r="431" ht="15" customHeight="1">
      <c r="A431" t="inlineStr">
        <is>
          <t>A 60959-2022</t>
        </is>
      </c>
      <c r="B431" s="1" t="n">
        <v>44914.64777777778</v>
      </c>
      <c r="C431" s="1" t="n">
        <v>45882</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37141-2021</t>
        </is>
      </c>
      <c r="B432" s="1" t="n">
        <v>44396</v>
      </c>
      <c r="C432" s="1" t="n">
        <v>45882</v>
      </c>
      <c r="D432" t="inlineStr">
        <is>
          <t>SKÅNE LÄN</t>
        </is>
      </c>
      <c r="E432" t="inlineStr">
        <is>
          <t>HÄSSLEHOLM</t>
        </is>
      </c>
      <c r="G432" t="n">
        <v>12.8</v>
      </c>
      <c r="H432" t="n">
        <v>0</v>
      </c>
      <c r="I432" t="n">
        <v>0</v>
      </c>
      <c r="J432" t="n">
        <v>0</v>
      </c>
      <c r="K432" t="n">
        <v>0</v>
      </c>
      <c r="L432" t="n">
        <v>0</v>
      </c>
      <c r="M432" t="n">
        <v>0</v>
      </c>
      <c r="N432" t="n">
        <v>0</v>
      </c>
      <c r="O432" t="n">
        <v>0</v>
      </c>
      <c r="P432" t="n">
        <v>0</v>
      </c>
      <c r="Q432" t="n">
        <v>0</v>
      </c>
      <c r="R432" s="2" t="inlineStr"/>
    </row>
    <row r="433" ht="15" customHeight="1">
      <c r="A433" t="inlineStr">
        <is>
          <t>A 7202-2022</t>
        </is>
      </c>
      <c r="B433" s="1" t="n">
        <v>44606</v>
      </c>
      <c r="C433" s="1" t="n">
        <v>45882</v>
      </c>
      <c r="D433" t="inlineStr">
        <is>
          <t>SKÅNE LÄN</t>
        </is>
      </c>
      <c r="E433" t="inlineStr">
        <is>
          <t>HÄSSLEHOLM</t>
        </is>
      </c>
      <c r="G433" t="n">
        <v>4.7</v>
      </c>
      <c r="H433" t="n">
        <v>0</v>
      </c>
      <c r="I433" t="n">
        <v>0</v>
      </c>
      <c r="J433" t="n">
        <v>0</v>
      </c>
      <c r="K433" t="n">
        <v>0</v>
      </c>
      <c r="L433" t="n">
        <v>0</v>
      </c>
      <c r="M433" t="n">
        <v>0</v>
      </c>
      <c r="N433" t="n">
        <v>0</v>
      </c>
      <c r="O433" t="n">
        <v>0</v>
      </c>
      <c r="P433" t="n">
        <v>0</v>
      </c>
      <c r="Q433" t="n">
        <v>0</v>
      </c>
      <c r="R433" s="2" t="inlineStr"/>
    </row>
    <row r="434" ht="15" customHeight="1">
      <c r="A434" t="inlineStr">
        <is>
          <t>A 42906-2022</t>
        </is>
      </c>
      <c r="B434" s="1" t="n">
        <v>44833</v>
      </c>
      <c r="C434" s="1" t="n">
        <v>45882</v>
      </c>
      <c r="D434" t="inlineStr">
        <is>
          <t>SKÅNE LÄN</t>
        </is>
      </c>
      <c r="E434" t="inlineStr">
        <is>
          <t>HÄSSLEHOLM</t>
        </is>
      </c>
      <c r="G434" t="n">
        <v>1.1</v>
      </c>
      <c r="H434" t="n">
        <v>0</v>
      </c>
      <c r="I434" t="n">
        <v>0</v>
      </c>
      <c r="J434" t="n">
        <v>0</v>
      </c>
      <c r="K434" t="n">
        <v>0</v>
      </c>
      <c r="L434" t="n">
        <v>0</v>
      </c>
      <c r="M434" t="n">
        <v>0</v>
      </c>
      <c r="N434" t="n">
        <v>0</v>
      </c>
      <c r="O434" t="n">
        <v>0</v>
      </c>
      <c r="P434" t="n">
        <v>0</v>
      </c>
      <c r="Q434" t="n">
        <v>0</v>
      </c>
      <c r="R434" s="2" t="inlineStr"/>
    </row>
    <row r="435" ht="15" customHeight="1">
      <c r="A435" t="inlineStr">
        <is>
          <t>A 31931-2024</t>
        </is>
      </c>
      <c r="B435" s="1" t="n">
        <v>45510.40878472223</v>
      </c>
      <c r="C435" s="1" t="n">
        <v>45882</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60848-2022</t>
        </is>
      </c>
      <c r="B436" s="1" t="n">
        <v>44914</v>
      </c>
      <c r="C436" s="1" t="n">
        <v>45882</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15133-2023</t>
        </is>
      </c>
      <c r="B437" s="1" t="n">
        <v>45016</v>
      </c>
      <c r="C437" s="1" t="n">
        <v>45882</v>
      </c>
      <c r="D437" t="inlineStr">
        <is>
          <t>SKÅNE LÄN</t>
        </is>
      </c>
      <c r="E437" t="inlineStr">
        <is>
          <t>HÄSSLEHOLM</t>
        </is>
      </c>
      <c r="G437" t="n">
        <v>7.8</v>
      </c>
      <c r="H437" t="n">
        <v>0</v>
      </c>
      <c r="I437" t="n">
        <v>0</v>
      </c>
      <c r="J437" t="n">
        <v>0</v>
      </c>
      <c r="K437" t="n">
        <v>0</v>
      </c>
      <c r="L437" t="n">
        <v>0</v>
      </c>
      <c r="M437" t="n">
        <v>0</v>
      </c>
      <c r="N437" t="n">
        <v>0</v>
      </c>
      <c r="O437" t="n">
        <v>0</v>
      </c>
      <c r="P437" t="n">
        <v>0</v>
      </c>
      <c r="Q437" t="n">
        <v>0</v>
      </c>
      <c r="R437" s="2" t="inlineStr"/>
    </row>
    <row r="438" ht="15" customHeight="1">
      <c r="A438" t="inlineStr">
        <is>
          <t>A 34883-2023</t>
        </is>
      </c>
      <c r="B438" s="1" t="n">
        <v>45142.37902777778</v>
      </c>
      <c r="C438" s="1" t="n">
        <v>45882</v>
      </c>
      <c r="D438" t="inlineStr">
        <is>
          <t>SKÅNE LÄN</t>
        </is>
      </c>
      <c r="E438" t="inlineStr">
        <is>
          <t>HÄSSLEHOLM</t>
        </is>
      </c>
      <c r="G438" t="n">
        <v>2.5</v>
      </c>
      <c r="H438" t="n">
        <v>0</v>
      </c>
      <c r="I438" t="n">
        <v>0</v>
      </c>
      <c r="J438" t="n">
        <v>0</v>
      </c>
      <c r="K438" t="n">
        <v>0</v>
      </c>
      <c r="L438" t="n">
        <v>0</v>
      </c>
      <c r="M438" t="n">
        <v>0</v>
      </c>
      <c r="N438" t="n">
        <v>0</v>
      </c>
      <c r="O438" t="n">
        <v>0</v>
      </c>
      <c r="P438" t="n">
        <v>0</v>
      </c>
      <c r="Q438" t="n">
        <v>0</v>
      </c>
      <c r="R438" s="2" t="inlineStr"/>
    </row>
    <row r="439" ht="15" customHeight="1">
      <c r="A439" t="inlineStr">
        <is>
          <t>A 6164-2023</t>
        </is>
      </c>
      <c r="B439" s="1" t="n">
        <v>44964.66871527778</v>
      </c>
      <c r="C439" s="1" t="n">
        <v>45882</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20187-2023</t>
        </is>
      </c>
      <c r="B440" s="1" t="n">
        <v>45055.57027777778</v>
      </c>
      <c r="C440" s="1" t="n">
        <v>45882</v>
      </c>
      <c r="D440" t="inlineStr">
        <is>
          <t>SKÅNE LÄN</t>
        </is>
      </c>
      <c r="E440" t="inlineStr">
        <is>
          <t>HÄSSLEHOLM</t>
        </is>
      </c>
      <c r="G440" t="n">
        <v>1.8</v>
      </c>
      <c r="H440" t="n">
        <v>0</v>
      </c>
      <c r="I440" t="n">
        <v>0</v>
      </c>
      <c r="J440" t="n">
        <v>0</v>
      </c>
      <c r="K440" t="n">
        <v>0</v>
      </c>
      <c r="L440" t="n">
        <v>0</v>
      </c>
      <c r="M440" t="n">
        <v>0</v>
      </c>
      <c r="N440" t="n">
        <v>0</v>
      </c>
      <c r="O440" t="n">
        <v>0</v>
      </c>
      <c r="P440" t="n">
        <v>0</v>
      </c>
      <c r="Q440" t="n">
        <v>0</v>
      </c>
      <c r="R440" s="2" t="inlineStr"/>
    </row>
    <row r="441" ht="15" customHeight="1">
      <c r="A441" t="inlineStr">
        <is>
          <t>A 1557-2023</t>
        </is>
      </c>
      <c r="B441" s="1" t="n">
        <v>44937</v>
      </c>
      <c r="C441" s="1" t="n">
        <v>45882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1560-2023</t>
        </is>
      </c>
      <c r="B442" s="1" t="n">
        <v>44937</v>
      </c>
      <c r="C442" s="1" t="n">
        <v>45882</v>
      </c>
      <c r="D442" t="inlineStr">
        <is>
          <t>SKÅNE LÄN</t>
        </is>
      </c>
      <c r="E442" t="inlineStr">
        <is>
          <t>HÄSSLEHOLM</t>
        </is>
      </c>
      <c r="G442" t="n">
        <v>6.8</v>
      </c>
      <c r="H442" t="n">
        <v>0</v>
      </c>
      <c r="I442" t="n">
        <v>0</v>
      </c>
      <c r="J442" t="n">
        <v>0</v>
      </c>
      <c r="K442" t="n">
        <v>0</v>
      </c>
      <c r="L442" t="n">
        <v>0</v>
      </c>
      <c r="M442" t="n">
        <v>0</v>
      </c>
      <c r="N442" t="n">
        <v>0</v>
      </c>
      <c r="O442" t="n">
        <v>0</v>
      </c>
      <c r="P442" t="n">
        <v>0</v>
      </c>
      <c r="Q442" t="n">
        <v>0</v>
      </c>
      <c r="R442" s="2" t="inlineStr"/>
    </row>
    <row r="443" ht="15" customHeight="1">
      <c r="A443" t="inlineStr">
        <is>
          <t>A 58618-2024</t>
        </is>
      </c>
      <c r="B443" s="1" t="n">
        <v>45635.56150462963</v>
      </c>
      <c r="C443" s="1" t="n">
        <v>45882</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21494-2023</t>
        </is>
      </c>
      <c r="B444" s="1" t="n">
        <v>45063</v>
      </c>
      <c r="C444" s="1" t="n">
        <v>45882</v>
      </c>
      <c r="D444" t="inlineStr">
        <is>
          <t>SKÅNE LÄN</t>
        </is>
      </c>
      <c r="E444" t="inlineStr">
        <is>
          <t>HÄSSLEHOLM</t>
        </is>
      </c>
      <c r="G444" t="n">
        <v>3.7</v>
      </c>
      <c r="H444" t="n">
        <v>0</v>
      </c>
      <c r="I444" t="n">
        <v>0</v>
      </c>
      <c r="J444" t="n">
        <v>0</v>
      </c>
      <c r="K444" t="n">
        <v>0</v>
      </c>
      <c r="L444" t="n">
        <v>0</v>
      </c>
      <c r="M444" t="n">
        <v>0</v>
      </c>
      <c r="N444" t="n">
        <v>0</v>
      </c>
      <c r="O444" t="n">
        <v>0</v>
      </c>
      <c r="P444" t="n">
        <v>0</v>
      </c>
      <c r="Q444" t="n">
        <v>0</v>
      </c>
      <c r="R444" s="2" t="inlineStr"/>
    </row>
    <row r="445" ht="15" customHeight="1">
      <c r="A445" t="inlineStr">
        <is>
          <t>A 21495-2023</t>
        </is>
      </c>
      <c r="B445" s="1" t="n">
        <v>45063</v>
      </c>
      <c r="C445" s="1" t="n">
        <v>45882</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62167-2022</t>
        </is>
      </c>
      <c r="B446" s="1" t="n">
        <v>44915</v>
      </c>
      <c r="C446" s="1" t="n">
        <v>45882</v>
      </c>
      <c r="D446" t="inlineStr">
        <is>
          <t>SKÅNE LÄN</t>
        </is>
      </c>
      <c r="E446" t="inlineStr">
        <is>
          <t>HÄSSLEHOLM</t>
        </is>
      </c>
      <c r="F446" t="inlineStr">
        <is>
          <t>Kyrkan</t>
        </is>
      </c>
      <c r="G446" t="n">
        <v>3.1</v>
      </c>
      <c r="H446" t="n">
        <v>0</v>
      </c>
      <c r="I446" t="n">
        <v>0</v>
      </c>
      <c r="J446" t="n">
        <v>0</v>
      </c>
      <c r="K446" t="n">
        <v>0</v>
      </c>
      <c r="L446" t="n">
        <v>0</v>
      </c>
      <c r="M446" t="n">
        <v>0</v>
      </c>
      <c r="N446" t="n">
        <v>0</v>
      </c>
      <c r="O446" t="n">
        <v>0</v>
      </c>
      <c r="P446" t="n">
        <v>0</v>
      </c>
      <c r="Q446" t="n">
        <v>0</v>
      </c>
      <c r="R446" s="2" t="inlineStr"/>
    </row>
    <row r="447" ht="15" customHeight="1">
      <c r="A447" t="inlineStr">
        <is>
          <t>A 62234-2022</t>
        </is>
      </c>
      <c r="B447" s="1" t="n">
        <v>44922</v>
      </c>
      <c r="C447" s="1" t="n">
        <v>45882</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34299-2024</t>
        </is>
      </c>
      <c r="B448" s="1" t="n">
        <v>45524</v>
      </c>
      <c r="C448" s="1" t="n">
        <v>45882</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5476-2021</t>
        </is>
      </c>
      <c r="B449" s="1" t="n">
        <v>44230</v>
      </c>
      <c r="C449" s="1" t="n">
        <v>45882</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45392-2024</t>
        </is>
      </c>
      <c r="B450" s="1" t="n">
        <v>45576.55008101852</v>
      </c>
      <c r="C450" s="1" t="n">
        <v>45882</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6122-2021</t>
        </is>
      </c>
      <c r="B451" s="1" t="n">
        <v>44232.55091435185</v>
      </c>
      <c r="C451" s="1" t="n">
        <v>45882</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16454-2023</t>
        </is>
      </c>
      <c r="B452" s="1" t="n">
        <v>45029.48425925926</v>
      </c>
      <c r="C452" s="1" t="n">
        <v>45882</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11266-2025</t>
        </is>
      </c>
      <c r="B453" s="1" t="n">
        <v>45726</v>
      </c>
      <c r="C453" s="1" t="n">
        <v>45882</v>
      </c>
      <c r="D453" t="inlineStr">
        <is>
          <t>SKÅNE LÄN</t>
        </is>
      </c>
      <c r="E453" t="inlineStr">
        <is>
          <t>HÄSSLEHOLM</t>
        </is>
      </c>
      <c r="G453" t="n">
        <v>0.3</v>
      </c>
      <c r="H453" t="n">
        <v>0</v>
      </c>
      <c r="I453" t="n">
        <v>0</v>
      </c>
      <c r="J453" t="n">
        <v>0</v>
      </c>
      <c r="K453" t="n">
        <v>0</v>
      </c>
      <c r="L453" t="n">
        <v>0</v>
      </c>
      <c r="M453" t="n">
        <v>0</v>
      </c>
      <c r="N453" t="n">
        <v>0</v>
      </c>
      <c r="O453" t="n">
        <v>0</v>
      </c>
      <c r="P453" t="n">
        <v>0</v>
      </c>
      <c r="Q453" t="n">
        <v>0</v>
      </c>
      <c r="R453" s="2" t="inlineStr"/>
    </row>
    <row r="454" ht="15" customHeight="1">
      <c r="A454" t="inlineStr">
        <is>
          <t>A 17335-2024</t>
        </is>
      </c>
      <c r="B454" s="1" t="n">
        <v>45414.5687962963</v>
      </c>
      <c r="C454" s="1" t="n">
        <v>45882</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24246-2023</t>
        </is>
      </c>
      <c r="B455" s="1" t="n">
        <v>45079</v>
      </c>
      <c r="C455" s="1" t="n">
        <v>45882</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24249-2023</t>
        </is>
      </c>
      <c r="B456" s="1" t="n">
        <v>45079.62466435185</v>
      </c>
      <c r="C456" s="1" t="n">
        <v>45882</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11609-2025</t>
        </is>
      </c>
      <c r="B457" s="1" t="n">
        <v>45727.44237268518</v>
      </c>
      <c r="C457" s="1" t="n">
        <v>45882</v>
      </c>
      <c r="D457" t="inlineStr">
        <is>
          <t>SKÅNE LÄN</t>
        </is>
      </c>
      <c r="E457" t="inlineStr">
        <is>
          <t>HÄSSLEHOLM</t>
        </is>
      </c>
      <c r="G457" t="n">
        <v>4.4</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45882</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9697-2023</t>
        </is>
      </c>
      <c r="B459" s="1" t="n">
        <v>44984</v>
      </c>
      <c r="C459" s="1" t="n">
        <v>45882</v>
      </c>
      <c r="D459" t="inlineStr">
        <is>
          <t>SKÅNE LÄN</t>
        </is>
      </c>
      <c r="E459" t="inlineStr">
        <is>
          <t>HÄSSLEHOLM</t>
        </is>
      </c>
      <c r="G459" t="n">
        <v>0.3</v>
      </c>
      <c r="H459" t="n">
        <v>0</v>
      </c>
      <c r="I459" t="n">
        <v>0</v>
      </c>
      <c r="J459" t="n">
        <v>0</v>
      </c>
      <c r="K459" t="n">
        <v>0</v>
      </c>
      <c r="L459" t="n">
        <v>0</v>
      </c>
      <c r="M459" t="n">
        <v>0</v>
      </c>
      <c r="N459" t="n">
        <v>0</v>
      </c>
      <c r="O459" t="n">
        <v>0</v>
      </c>
      <c r="P459" t="n">
        <v>0</v>
      </c>
      <c r="Q459" t="n">
        <v>0</v>
      </c>
      <c r="R459" s="2" t="inlineStr"/>
    </row>
    <row r="460" ht="15" customHeight="1">
      <c r="A460" t="inlineStr">
        <is>
          <t>A 31989-2024</t>
        </is>
      </c>
      <c r="B460" s="1" t="n">
        <v>45510.58085648148</v>
      </c>
      <c r="C460" s="1" t="n">
        <v>45882</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1120-2024</t>
        </is>
      </c>
      <c r="B461" s="1" t="n">
        <v>45302.4452662037</v>
      </c>
      <c r="C461" s="1" t="n">
        <v>45882</v>
      </c>
      <c r="D461" t="inlineStr">
        <is>
          <t>SKÅNE LÄN</t>
        </is>
      </c>
      <c r="E461" t="inlineStr">
        <is>
          <t>HÄSSLEHOLM</t>
        </is>
      </c>
      <c r="G461" t="n">
        <v>2.7</v>
      </c>
      <c r="H461" t="n">
        <v>0</v>
      </c>
      <c r="I461" t="n">
        <v>0</v>
      </c>
      <c r="J461" t="n">
        <v>0</v>
      </c>
      <c r="K461" t="n">
        <v>0</v>
      </c>
      <c r="L461" t="n">
        <v>0</v>
      </c>
      <c r="M461" t="n">
        <v>0</v>
      </c>
      <c r="N461" t="n">
        <v>0</v>
      </c>
      <c r="O461" t="n">
        <v>0</v>
      </c>
      <c r="P461" t="n">
        <v>0</v>
      </c>
      <c r="Q461" t="n">
        <v>0</v>
      </c>
      <c r="R461" s="2" t="inlineStr"/>
    </row>
    <row r="462" ht="15" customHeight="1">
      <c r="A462" t="inlineStr">
        <is>
          <t>A 12843-2023</t>
        </is>
      </c>
      <c r="B462" s="1" t="n">
        <v>45001.48423611111</v>
      </c>
      <c r="C462" s="1" t="n">
        <v>45882</v>
      </c>
      <c r="D462" t="inlineStr">
        <is>
          <t>SKÅNE LÄN</t>
        </is>
      </c>
      <c r="E462" t="inlineStr">
        <is>
          <t>HÄSSLEHOLM</t>
        </is>
      </c>
      <c r="G462" t="n">
        <v>3.9</v>
      </c>
      <c r="H462" t="n">
        <v>0</v>
      </c>
      <c r="I462" t="n">
        <v>0</v>
      </c>
      <c r="J462" t="n">
        <v>0</v>
      </c>
      <c r="K462" t="n">
        <v>0</v>
      </c>
      <c r="L462" t="n">
        <v>0</v>
      </c>
      <c r="M462" t="n">
        <v>0</v>
      </c>
      <c r="N462" t="n">
        <v>0</v>
      </c>
      <c r="O462" t="n">
        <v>0</v>
      </c>
      <c r="P462" t="n">
        <v>0</v>
      </c>
      <c r="Q462" t="n">
        <v>0</v>
      </c>
      <c r="R462" s="2" t="inlineStr"/>
    </row>
    <row r="463" ht="15" customHeight="1">
      <c r="A463" t="inlineStr">
        <is>
          <t>A 60973-2024</t>
        </is>
      </c>
      <c r="B463" s="1" t="n">
        <v>45644</v>
      </c>
      <c r="C463" s="1" t="n">
        <v>45882</v>
      </c>
      <c r="D463" t="inlineStr">
        <is>
          <t>SKÅNE LÄN</t>
        </is>
      </c>
      <c r="E463" t="inlineStr">
        <is>
          <t>HÄSSLEHOLM</t>
        </is>
      </c>
      <c r="G463" t="n">
        <v>3.6</v>
      </c>
      <c r="H463" t="n">
        <v>0</v>
      </c>
      <c r="I463" t="n">
        <v>0</v>
      </c>
      <c r="J463" t="n">
        <v>0</v>
      </c>
      <c r="K463" t="n">
        <v>0</v>
      </c>
      <c r="L463" t="n">
        <v>0</v>
      </c>
      <c r="M463" t="n">
        <v>0</v>
      </c>
      <c r="N463" t="n">
        <v>0</v>
      </c>
      <c r="O463" t="n">
        <v>0</v>
      </c>
      <c r="P463" t="n">
        <v>0</v>
      </c>
      <c r="Q463" t="n">
        <v>0</v>
      </c>
      <c r="R463" s="2" t="inlineStr"/>
    </row>
    <row r="464" ht="15" customHeight="1">
      <c r="A464" t="inlineStr">
        <is>
          <t>A 47647-2024</t>
        </is>
      </c>
      <c r="B464" s="1" t="n">
        <v>45588</v>
      </c>
      <c r="C464" s="1" t="n">
        <v>45882</v>
      </c>
      <c r="D464" t="inlineStr">
        <is>
          <t>SKÅNE LÄN</t>
        </is>
      </c>
      <c r="E464" t="inlineStr">
        <is>
          <t>HÄSSLEHOLM</t>
        </is>
      </c>
      <c r="G464" t="n">
        <v>6.5</v>
      </c>
      <c r="H464" t="n">
        <v>0</v>
      </c>
      <c r="I464" t="n">
        <v>0</v>
      </c>
      <c r="J464" t="n">
        <v>0</v>
      </c>
      <c r="K464" t="n">
        <v>0</v>
      </c>
      <c r="L464" t="n">
        <v>0</v>
      </c>
      <c r="M464" t="n">
        <v>0</v>
      </c>
      <c r="N464" t="n">
        <v>0</v>
      </c>
      <c r="O464" t="n">
        <v>0</v>
      </c>
      <c r="P464" t="n">
        <v>0</v>
      </c>
      <c r="Q464" t="n">
        <v>0</v>
      </c>
      <c r="R464" s="2" t="inlineStr"/>
    </row>
    <row r="465" ht="15" customHeight="1">
      <c r="A465" t="inlineStr">
        <is>
          <t>A 9556-2025</t>
        </is>
      </c>
      <c r="B465" s="1" t="n">
        <v>45714</v>
      </c>
      <c r="C465" s="1" t="n">
        <v>45882</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27478-2023</t>
        </is>
      </c>
      <c r="B466" s="1" t="n">
        <v>45092</v>
      </c>
      <c r="C466" s="1" t="n">
        <v>45882</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45882</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42232-2022</t>
        </is>
      </c>
      <c r="B468" s="1" t="n">
        <v>44830.77591435185</v>
      </c>
      <c r="C468" s="1" t="n">
        <v>45882</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2479-2024</t>
        </is>
      </c>
      <c r="B469" s="1" t="n">
        <v>45313.40148148148</v>
      </c>
      <c r="C469" s="1" t="n">
        <v>45882</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26397-2023</t>
        </is>
      </c>
      <c r="B470" s="1" t="n">
        <v>45087</v>
      </c>
      <c r="C470" s="1" t="n">
        <v>45882</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26641-2023</t>
        </is>
      </c>
      <c r="B471" s="1" t="n">
        <v>45092.89619212963</v>
      </c>
      <c r="C471" s="1" t="n">
        <v>45882</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1119-2024</t>
        </is>
      </c>
      <c r="B472" s="1" t="n">
        <v>45302</v>
      </c>
      <c r="C472" s="1" t="n">
        <v>45882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58888-2024</t>
        </is>
      </c>
      <c r="B473" s="1" t="n">
        <v>45636.45962962963</v>
      </c>
      <c r="C473" s="1" t="n">
        <v>45882</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6327-2021</t>
        </is>
      </c>
      <c r="B474" s="1" t="n">
        <v>44235</v>
      </c>
      <c r="C474" s="1" t="n">
        <v>45882</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16334-2024</t>
        </is>
      </c>
      <c r="B475" s="1" t="n">
        <v>45407.54856481482</v>
      </c>
      <c r="C475" s="1" t="n">
        <v>45882</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3663-2024</t>
        </is>
      </c>
      <c r="B476" s="1" t="n">
        <v>45321.34775462963</v>
      </c>
      <c r="C476" s="1" t="n">
        <v>45882</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37038-2022</t>
        </is>
      </c>
      <c r="B477" s="1" t="n">
        <v>44806.44232638889</v>
      </c>
      <c r="C477" s="1" t="n">
        <v>45882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16397-2022</t>
        </is>
      </c>
      <c r="B478" s="1" t="n">
        <v>44671</v>
      </c>
      <c r="C478" s="1" t="n">
        <v>45882</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16398-2022</t>
        </is>
      </c>
      <c r="B479" s="1" t="n">
        <v>44671</v>
      </c>
      <c r="C479" s="1" t="n">
        <v>45882</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5894-2023</t>
        </is>
      </c>
      <c r="B480" s="1" t="n">
        <v>44963.65148148148</v>
      </c>
      <c r="C480" s="1" t="n">
        <v>45882</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9502-2023</t>
        </is>
      </c>
      <c r="B481" s="1" t="n">
        <v>44981.63278935185</v>
      </c>
      <c r="C481" s="1" t="n">
        <v>45882</v>
      </c>
      <c r="D481" t="inlineStr">
        <is>
          <t>SKÅNE LÄN</t>
        </is>
      </c>
      <c r="E481" t="inlineStr">
        <is>
          <t>HÄSSLEHOLM</t>
        </is>
      </c>
      <c r="G481" t="n">
        <v>0.4</v>
      </c>
      <c r="H481" t="n">
        <v>0</v>
      </c>
      <c r="I481" t="n">
        <v>0</v>
      </c>
      <c r="J481" t="n">
        <v>0</v>
      </c>
      <c r="K481" t="n">
        <v>0</v>
      </c>
      <c r="L481" t="n">
        <v>0</v>
      </c>
      <c r="M481" t="n">
        <v>0</v>
      </c>
      <c r="N481" t="n">
        <v>0</v>
      </c>
      <c r="O481" t="n">
        <v>0</v>
      </c>
      <c r="P481" t="n">
        <v>0</v>
      </c>
      <c r="Q481" t="n">
        <v>0</v>
      </c>
      <c r="R481" s="2" t="inlineStr"/>
    </row>
    <row r="482" ht="15" customHeight="1">
      <c r="A482" t="inlineStr">
        <is>
          <t>A 4512-2024</t>
        </is>
      </c>
      <c r="B482" s="1" t="n">
        <v>45327.6312962963</v>
      </c>
      <c r="C482" s="1" t="n">
        <v>45882</v>
      </c>
      <c r="D482" t="inlineStr">
        <is>
          <t>SKÅNE LÄN</t>
        </is>
      </c>
      <c r="E482" t="inlineStr">
        <is>
          <t>HÄSSLEHOLM</t>
        </is>
      </c>
      <c r="G482" t="n">
        <v>2</v>
      </c>
      <c r="H482" t="n">
        <v>0</v>
      </c>
      <c r="I482" t="n">
        <v>0</v>
      </c>
      <c r="J482" t="n">
        <v>0</v>
      </c>
      <c r="K482" t="n">
        <v>0</v>
      </c>
      <c r="L482" t="n">
        <v>0</v>
      </c>
      <c r="M482" t="n">
        <v>0</v>
      </c>
      <c r="N482" t="n">
        <v>0</v>
      </c>
      <c r="O482" t="n">
        <v>0</v>
      </c>
      <c r="P482" t="n">
        <v>0</v>
      </c>
      <c r="Q482" t="n">
        <v>0</v>
      </c>
      <c r="R482" s="2" t="inlineStr"/>
    </row>
    <row r="483" ht="15" customHeight="1">
      <c r="A483" t="inlineStr">
        <is>
          <t>A 15512-2025</t>
        </is>
      </c>
      <c r="B483" s="1" t="n">
        <v>45747</v>
      </c>
      <c r="C483" s="1" t="n">
        <v>45882</v>
      </c>
      <c r="D483" t="inlineStr">
        <is>
          <t>SKÅNE LÄN</t>
        </is>
      </c>
      <c r="E483" t="inlineStr">
        <is>
          <t>HÄSSLEHOLM</t>
        </is>
      </c>
      <c r="G483" t="n">
        <v>3.5</v>
      </c>
      <c r="H483" t="n">
        <v>0</v>
      </c>
      <c r="I483" t="n">
        <v>0</v>
      </c>
      <c r="J483" t="n">
        <v>0</v>
      </c>
      <c r="K483" t="n">
        <v>0</v>
      </c>
      <c r="L483" t="n">
        <v>0</v>
      </c>
      <c r="M483" t="n">
        <v>0</v>
      </c>
      <c r="N483" t="n">
        <v>0</v>
      </c>
      <c r="O483" t="n">
        <v>0</v>
      </c>
      <c r="P483" t="n">
        <v>0</v>
      </c>
      <c r="Q483" t="n">
        <v>0</v>
      </c>
      <c r="R483" s="2" t="inlineStr"/>
    </row>
    <row r="484" ht="15" customHeight="1">
      <c r="A484" t="inlineStr">
        <is>
          <t>A 48046-2023</t>
        </is>
      </c>
      <c r="B484" s="1" t="n">
        <v>45204.85201388889</v>
      </c>
      <c r="C484" s="1" t="n">
        <v>45882</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57749-2023</t>
        </is>
      </c>
      <c r="B485" s="1" t="n">
        <v>45246</v>
      </c>
      <c r="C485" s="1" t="n">
        <v>45882</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1538-2024</t>
        </is>
      </c>
      <c r="B486" s="1" t="n">
        <v>45306</v>
      </c>
      <c r="C486" s="1" t="n">
        <v>45882</v>
      </c>
      <c r="D486" t="inlineStr">
        <is>
          <t>SKÅNE LÄN</t>
        </is>
      </c>
      <c r="E486" t="inlineStr">
        <is>
          <t>HÄSSLEHOLM</t>
        </is>
      </c>
      <c r="G486" t="n">
        <v>4.8</v>
      </c>
      <c r="H486" t="n">
        <v>0</v>
      </c>
      <c r="I486" t="n">
        <v>0</v>
      </c>
      <c r="J486" t="n">
        <v>0</v>
      </c>
      <c r="K486" t="n">
        <v>0</v>
      </c>
      <c r="L486" t="n">
        <v>0</v>
      </c>
      <c r="M486" t="n">
        <v>0</v>
      </c>
      <c r="N486" t="n">
        <v>0</v>
      </c>
      <c r="O486" t="n">
        <v>0</v>
      </c>
      <c r="P486" t="n">
        <v>0</v>
      </c>
      <c r="Q486" t="n">
        <v>0</v>
      </c>
      <c r="R486" s="2" t="inlineStr"/>
    </row>
    <row r="487" ht="15" customHeight="1">
      <c r="A487" t="inlineStr">
        <is>
          <t>A 3135-2023</t>
        </is>
      </c>
      <c r="B487" s="1" t="n">
        <v>44946.51672453704</v>
      </c>
      <c r="C487" s="1" t="n">
        <v>45882</v>
      </c>
      <c r="D487" t="inlineStr">
        <is>
          <t>SKÅNE LÄN</t>
        </is>
      </c>
      <c r="E487" t="inlineStr">
        <is>
          <t>HÄSSLEHOLM</t>
        </is>
      </c>
      <c r="G487" t="n">
        <v>7.2</v>
      </c>
      <c r="H487" t="n">
        <v>0</v>
      </c>
      <c r="I487" t="n">
        <v>0</v>
      </c>
      <c r="J487" t="n">
        <v>0</v>
      </c>
      <c r="K487" t="n">
        <v>0</v>
      </c>
      <c r="L487" t="n">
        <v>0</v>
      </c>
      <c r="M487" t="n">
        <v>0</v>
      </c>
      <c r="N487" t="n">
        <v>0</v>
      </c>
      <c r="O487" t="n">
        <v>0</v>
      </c>
      <c r="P487" t="n">
        <v>0</v>
      </c>
      <c r="Q487" t="n">
        <v>0</v>
      </c>
      <c r="R487" s="2" t="inlineStr"/>
    </row>
    <row r="488" ht="15" customHeight="1">
      <c r="A488" t="inlineStr">
        <is>
          <t>A 39044-2024</t>
        </is>
      </c>
      <c r="B488" s="1" t="n">
        <v>45548.47707175926</v>
      </c>
      <c r="C488" s="1" t="n">
        <v>45882</v>
      </c>
      <c r="D488" t="inlineStr">
        <is>
          <t>SKÅNE LÄN</t>
        </is>
      </c>
      <c r="E488" t="inlineStr">
        <is>
          <t>HÄSSLEHOLM</t>
        </is>
      </c>
      <c r="G488" t="n">
        <v>2.8</v>
      </c>
      <c r="H488" t="n">
        <v>0</v>
      </c>
      <c r="I488" t="n">
        <v>0</v>
      </c>
      <c r="J488" t="n">
        <v>0</v>
      </c>
      <c r="K488" t="n">
        <v>0</v>
      </c>
      <c r="L488" t="n">
        <v>0</v>
      </c>
      <c r="M488" t="n">
        <v>0</v>
      </c>
      <c r="N488" t="n">
        <v>0</v>
      </c>
      <c r="O488" t="n">
        <v>0</v>
      </c>
      <c r="P488" t="n">
        <v>0</v>
      </c>
      <c r="Q488" t="n">
        <v>0</v>
      </c>
      <c r="R488" s="2" t="inlineStr"/>
    </row>
    <row r="489" ht="15" customHeight="1">
      <c r="A489" t="inlineStr">
        <is>
          <t>A 9393-2025</t>
        </is>
      </c>
      <c r="B489" s="1" t="n">
        <v>45715.36230324074</v>
      </c>
      <c r="C489" s="1" t="n">
        <v>45882</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15897-2025</t>
        </is>
      </c>
      <c r="B490" s="1" t="n">
        <v>45749.41598379629</v>
      </c>
      <c r="C490" s="1" t="n">
        <v>45882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54982-2024</t>
        </is>
      </c>
      <c r="B491" s="1" t="n">
        <v>45620.7580787037</v>
      </c>
      <c r="C491" s="1" t="n">
        <v>45882</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34342-2021</t>
        </is>
      </c>
      <c r="B492" s="1" t="n">
        <v>44379</v>
      </c>
      <c r="C492" s="1" t="n">
        <v>45882</v>
      </c>
      <c r="D492" t="inlineStr">
        <is>
          <t>SKÅNE LÄN</t>
        </is>
      </c>
      <c r="E492" t="inlineStr">
        <is>
          <t>HÄSSLEHOLM</t>
        </is>
      </c>
      <c r="G492" t="n">
        <v>7</v>
      </c>
      <c r="H492" t="n">
        <v>0</v>
      </c>
      <c r="I492" t="n">
        <v>0</v>
      </c>
      <c r="J492" t="n">
        <v>0</v>
      </c>
      <c r="K492" t="n">
        <v>0</v>
      </c>
      <c r="L492" t="n">
        <v>0</v>
      </c>
      <c r="M492" t="n">
        <v>0</v>
      </c>
      <c r="N492" t="n">
        <v>0</v>
      </c>
      <c r="O492" t="n">
        <v>0</v>
      </c>
      <c r="P492" t="n">
        <v>0</v>
      </c>
      <c r="Q492" t="n">
        <v>0</v>
      </c>
      <c r="R492" s="2" t="inlineStr"/>
    </row>
    <row r="493" ht="15" customHeight="1">
      <c r="A493" t="inlineStr">
        <is>
          <t>A 3507-2024</t>
        </is>
      </c>
      <c r="B493" s="1" t="n">
        <v>45320.4906712963</v>
      </c>
      <c r="C493" s="1" t="n">
        <v>45882</v>
      </c>
      <c r="D493" t="inlineStr">
        <is>
          <t>SKÅNE LÄN</t>
        </is>
      </c>
      <c r="E493" t="inlineStr">
        <is>
          <t>HÄSSLEHOLM</t>
        </is>
      </c>
      <c r="G493" t="n">
        <v>6.4</v>
      </c>
      <c r="H493" t="n">
        <v>0</v>
      </c>
      <c r="I493" t="n">
        <v>0</v>
      </c>
      <c r="J493" t="n">
        <v>0</v>
      </c>
      <c r="K493" t="n">
        <v>0</v>
      </c>
      <c r="L493" t="n">
        <v>0</v>
      </c>
      <c r="M493" t="n">
        <v>0</v>
      </c>
      <c r="N493" t="n">
        <v>0</v>
      </c>
      <c r="O493" t="n">
        <v>0</v>
      </c>
      <c r="P493" t="n">
        <v>0</v>
      </c>
      <c r="Q493" t="n">
        <v>0</v>
      </c>
      <c r="R493" s="2" t="inlineStr"/>
    </row>
    <row r="494" ht="15" customHeight="1">
      <c r="A494" t="inlineStr">
        <is>
          <t>A 61182-2024</t>
        </is>
      </c>
      <c r="B494" s="1" t="n">
        <v>45645</v>
      </c>
      <c r="C494" s="1" t="n">
        <v>45882</v>
      </c>
      <c r="D494" t="inlineStr">
        <is>
          <t>SKÅNE LÄN</t>
        </is>
      </c>
      <c r="E494" t="inlineStr">
        <is>
          <t>HÄSSLEHOLM</t>
        </is>
      </c>
      <c r="G494" t="n">
        <v>3.2</v>
      </c>
      <c r="H494" t="n">
        <v>0</v>
      </c>
      <c r="I494" t="n">
        <v>0</v>
      </c>
      <c r="J494" t="n">
        <v>0</v>
      </c>
      <c r="K494" t="n">
        <v>0</v>
      </c>
      <c r="L494" t="n">
        <v>0</v>
      </c>
      <c r="M494" t="n">
        <v>0</v>
      </c>
      <c r="N494" t="n">
        <v>0</v>
      </c>
      <c r="O494" t="n">
        <v>0</v>
      </c>
      <c r="P494" t="n">
        <v>0</v>
      </c>
      <c r="Q494" t="n">
        <v>0</v>
      </c>
      <c r="R494" s="2" t="inlineStr"/>
    </row>
    <row r="495" ht="15" customHeight="1">
      <c r="A495" t="inlineStr">
        <is>
          <t>A 49111-2023</t>
        </is>
      </c>
      <c r="B495" s="1" t="n">
        <v>45210.44464120371</v>
      </c>
      <c r="C495" s="1" t="n">
        <v>45882</v>
      </c>
      <c r="D495" t="inlineStr">
        <is>
          <t>SKÅNE LÄN</t>
        </is>
      </c>
      <c r="E495" t="inlineStr">
        <is>
          <t>HÄSSLEHOLM</t>
        </is>
      </c>
      <c r="G495" t="n">
        <v>0.2</v>
      </c>
      <c r="H495" t="n">
        <v>0</v>
      </c>
      <c r="I495" t="n">
        <v>0</v>
      </c>
      <c r="J495" t="n">
        <v>0</v>
      </c>
      <c r="K495" t="n">
        <v>0</v>
      </c>
      <c r="L495" t="n">
        <v>0</v>
      </c>
      <c r="M495" t="n">
        <v>0</v>
      </c>
      <c r="N495" t="n">
        <v>0</v>
      </c>
      <c r="O495" t="n">
        <v>0</v>
      </c>
      <c r="P495" t="n">
        <v>0</v>
      </c>
      <c r="Q495" t="n">
        <v>0</v>
      </c>
      <c r="R495" s="2" t="inlineStr"/>
    </row>
    <row r="496" ht="15" customHeight="1">
      <c r="A496" t="inlineStr">
        <is>
          <t>A 61178-2022</t>
        </is>
      </c>
      <c r="B496" s="1" t="n">
        <v>44915</v>
      </c>
      <c r="C496" s="1" t="n">
        <v>45882</v>
      </c>
      <c r="D496" t="inlineStr">
        <is>
          <t>SKÅNE LÄN</t>
        </is>
      </c>
      <c r="E496" t="inlineStr">
        <is>
          <t>HÄSSLEHOLM</t>
        </is>
      </c>
      <c r="G496" t="n">
        <v>1.2</v>
      </c>
      <c r="H496" t="n">
        <v>0</v>
      </c>
      <c r="I496" t="n">
        <v>0</v>
      </c>
      <c r="J496" t="n">
        <v>0</v>
      </c>
      <c r="K496" t="n">
        <v>0</v>
      </c>
      <c r="L496" t="n">
        <v>0</v>
      </c>
      <c r="M496" t="n">
        <v>0</v>
      </c>
      <c r="N496" t="n">
        <v>0</v>
      </c>
      <c r="O496" t="n">
        <v>0</v>
      </c>
      <c r="P496" t="n">
        <v>0</v>
      </c>
      <c r="Q496" t="n">
        <v>0</v>
      </c>
      <c r="R496" s="2" t="inlineStr"/>
    </row>
    <row r="497" ht="15" customHeight="1">
      <c r="A497" t="inlineStr">
        <is>
          <t>A 61185-2022</t>
        </is>
      </c>
      <c r="B497" s="1" t="n">
        <v>44915</v>
      </c>
      <c r="C497" s="1" t="n">
        <v>45882</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58915-2023</t>
        </is>
      </c>
      <c r="B498" s="1" t="n">
        <v>45250</v>
      </c>
      <c r="C498" s="1" t="n">
        <v>45882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15508-2023</t>
        </is>
      </c>
      <c r="B499" s="1" t="n">
        <v>45020.50045138889</v>
      </c>
      <c r="C499" s="1" t="n">
        <v>45882</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19020-2024</t>
        </is>
      </c>
      <c r="B500" s="1" t="n">
        <v>45427.66167824074</v>
      </c>
      <c r="C500" s="1" t="n">
        <v>45882</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40734-2024</t>
        </is>
      </c>
      <c r="B501" s="1" t="n">
        <v>45558</v>
      </c>
      <c r="C501" s="1" t="n">
        <v>45882</v>
      </c>
      <c r="D501" t="inlineStr">
        <is>
          <t>SKÅNE LÄN</t>
        </is>
      </c>
      <c r="E501" t="inlineStr">
        <is>
          <t>HÄSSLEHOLM</t>
        </is>
      </c>
      <c r="G501" t="n">
        <v>1.4</v>
      </c>
      <c r="H501" t="n">
        <v>0</v>
      </c>
      <c r="I501" t="n">
        <v>0</v>
      </c>
      <c r="J501" t="n">
        <v>0</v>
      </c>
      <c r="K501" t="n">
        <v>0</v>
      </c>
      <c r="L501" t="n">
        <v>0</v>
      </c>
      <c r="M501" t="n">
        <v>0</v>
      </c>
      <c r="N501" t="n">
        <v>0</v>
      </c>
      <c r="O501" t="n">
        <v>0</v>
      </c>
      <c r="P501" t="n">
        <v>0</v>
      </c>
      <c r="Q501" t="n">
        <v>0</v>
      </c>
      <c r="R501" s="2" t="inlineStr"/>
    </row>
    <row r="502" ht="15" customHeight="1">
      <c r="A502" t="inlineStr">
        <is>
          <t>A 40738-2024</t>
        </is>
      </c>
      <c r="B502" s="1" t="n">
        <v>45558</v>
      </c>
      <c r="C502" s="1" t="n">
        <v>45882</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49199-2024</t>
        </is>
      </c>
      <c r="B503" s="1" t="n">
        <v>45595</v>
      </c>
      <c r="C503" s="1" t="n">
        <v>45882</v>
      </c>
      <c r="D503" t="inlineStr">
        <is>
          <t>SKÅNE LÄN</t>
        </is>
      </c>
      <c r="E503" t="inlineStr">
        <is>
          <t>HÄSSLEHOLM</t>
        </is>
      </c>
      <c r="G503" t="n">
        <v>5.2</v>
      </c>
      <c r="H503" t="n">
        <v>0</v>
      </c>
      <c r="I503" t="n">
        <v>0</v>
      </c>
      <c r="J503" t="n">
        <v>0</v>
      </c>
      <c r="K503" t="n">
        <v>0</v>
      </c>
      <c r="L503" t="n">
        <v>0</v>
      </c>
      <c r="M503" t="n">
        <v>0</v>
      </c>
      <c r="N503" t="n">
        <v>0</v>
      </c>
      <c r="O503" t="n">
        <v>0</v>
      </c>
      <c r="P503" t="n">
        <v>0</v>
      </c>
      <c r="Q503" t="n">
        <v>0</v>
      </c>
      <c r="R503" s="2" t="inlineStr"/>
    </row>
    <row r="504" ht="15" customHeight="1">
      <c r="A504" t="inlineStr">
        <is>
          <t>A 14255-2024</t>
        </is>
      </c>
      <c r="B504" s="1" t="n">
        <v>45393</v>
      </c>
      <c r="C504" s="1" t="n">
        <v>45882</v>
      </c>
      <c r="D504" t="inlineStr">
        <is>
          <t>SKÅNE LÄN</t>
        </is>
      </c>
      <c r="E504" t="inlineStr">
        <is>
          <t>HÄSSLEHOLM</t>
        </is>
      </c>
      <c r="G504" t="n">
        <v>11.9</v>
      </c>
      <c r="H504" t="n">
        <v>0</v>
      </c>
      <c r="I504" t="n">
        <v>0</v>
      </c>
      <c r="J504" t="n">
        <v>0</v>
      </c>
      <c r="K504" t="n">
        <v>0</v>
      </c>
      <c r="L504" t="n">
        <v>0</v>
      </c>
      <c r="M504" t="n">
        <v>0</v>
      </c>
      <c r="N504" t="n">
        <v>0</v>
      </c>
      <c r="O504" t="n">
        <v>0</v>
      </c>
      <c r="P504" t="n">
        <v>0</v>
      </c>
      <c r="Q504" t="n">
        <v>0</v>
      </c>
      <c r="R504" s="2" t="inlineStr"/>
    </row>
    <row r="505" ht="15" customHeight="1">
      <c r="A505" t="inlineStr">
        <is>
          <t>A 6638-2021</t>
        </is>
      </c>
      <c r="B505" s="1" t="n">
        <v>44235</v>
      </c>
      <c r="C505" s="1" t="n">
        <v>45882</v>
      </c>
      <c r="D505" t="inlineStr">
        <is>
          <t>SKÅNE LÄN</t>
        </is>
      </c>
      <c r="E505" t="inlineStr">
        <is>
          <t>HÄSSLEHOLM</t>
        </is>
      </c>
      <c r="G505" t="n">
        <v>112.4</v>
      </c>
      <c r="H505" t="n">
        <v>0</v>
      </c>
      <c r="I505" t="n">
        <v>0</v>
      </c>
      <c r="J505" t="n">
        <v>0</v>
      </c>
      <c r="K505" t="n">
        <v>0</v>
      </c>
      <c r="L505" t="n">
        <v>0</v>
      </c>
      <c r="M505" t="n">
        <v>0</v>
      </c>
      <c r="N505" t="n">
        <v>0</v>
      </c>
      <c r="O505" t="n">
        <v>0</v>
      </c>
      <c r="P505" t="n">
        <v>0</v>
      </c>
      <c r="Q505" t="n">
        <v>0</v>
      </c>
      <c r="R505" s="2" t="inlineStr"/>
    </row>
    <row r="506" ht="15" customHeight="1">
      <c r="A506" t="inlineStr">
        <is>
          <t>A 61934-2023</t>
        </is>
      </c>
      <c r="B506" s="1" t="n">
        <v>45266.54125</v>
      </c>
      <c r="C506" s="1" t="n">
        <v>45882</v>
      </c>
      <c r="D506" t="inlineStr">
        <is>
          <t>SKÅNE LÄN</t>
        </is>
      </c>
      <c r="E506" t="inlineStr">
        <is>
          <t>HÄSSLEHOLM</t>
        </is>
      </c>
      <c r="G506" t="n">
        <v>1.4</v>
      </c>
      <c r="H506" t="n">
        <v>0</v>
      </c>
      <c r="I506" t="n">
        <v>0</v>
      </c>
      <c r="J506" t="n">
        <v>0</v>
      </c>
      <c r="K506" t="n">
        <v>0</v>
      </c>
      <c r="L506" t="n">
        <v>0</v>
      </c>
      <c r="M506" t="n">
        <v>0</v>
      </c>
      <c r="N506" t="n">
        <v>0</v>
      </c>
      <c r="O506" t="n">
        <v>0</v>
      </c>
      <c r="P506" t="n">
        <v>0</v>
      </c>
      <c r="Q506" t="n">
        <v>0</v>
      </c>
      <c r="R506" s="2" t="inlineStr"/>
    </row>
    <row r="507" ht="15" customHeight="1">
      <c r="A507" t="inlineStr">
        <is>
          <t>A 2712-2024</t>
        </is>
      </c>
      <c r="B507" s="1" t="n">
        <v>45314</v>
      </c>
      <c r="C507" s="1" t="n">
        <v>45882</v>
      </c>
      <c r="D507" t="inlineStr">
        <is>
          <t>SKÅNE LÄN</t>
        </is>
      </c>
      <c r="E507" t="inlineStr">
        <is>
          <t>HÄSSLEHOLM</t>
        </is>
      </c>
      <c r="G507" t="n">
        <v>11.3</v>
      </c>
      <c r="H507" t="n">
        <v>0</v>
      </c>
      <c r="I507" t="n">
        <v>0</v>
      </c>
      <c r="J507" t="n">
        <v>0</v>
      </c>
      <c r="K507" t="n">
        <v>0</v>
      </c>
      <c r="L507" t="n">
        <v>0</v>
      </c>
      <c r="M507" t="n">
        <v>0</v>
      </c>
      <c r="N507" t="n">
        <v>0</v>
      </c>
      <c r="O507" t="n">
        <v>0</v>
      </c>
      <c r="P507" t="n">
        <v>0</v>
      </c>
      <c r="Q507" t="n">
        <v>0</v>
      </c>
      <c r="R507" s="2" t="inlineStr"/>
    </row>
    <row r="508" ht="15" customHeight="1">
      <c r="A508" t="inlineStr">
        <is>
          <t>A 12338-2024</t>
        </is>
      </c>
      <c r="B508" s="1" t="n">
        <v>45378.72869212963</v>
      </c>
      <c r="C508" s="1" t="n">
        <v>45882</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56986-2024</t>
        </is>
      </c>
      <c r="B509" s="1" t="n">
        <v>45626</v>
      </c>
      <c r="C509" s="1" t="n">
        <v>45882</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11715-2023</t>
        </is>
      </c>
      <c r="B510" s="1" t="n">
        <v>44992</v>
      </c>
      <c r="C510" s="1" t="n">
        <v>45882</v>
      </c>
      <c r="D510" t="inlineStr">
        <is>
          <t>SKÅNE LÄN</t>
        </is>
      </c>
      <c r="E510" t="inlineStr">
        <is>
          <t>HÄSSLEHOLM</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38888-2023</t>
        </is>
      </c>
      <c r="B511" s="1" t="n">
        <v>45161</v>
      </c>
      <c r="C511" s="1" t="n">
        <v>45882</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46222-2022</t>
        </is>
      </c>
      <c r="B512" s="1" t="n">
        <v>44847.58725694445</v>
      </c>
      <c r="C512" s="1" t="n">
        <v>45882</v>
      </c>
      <c r="D512" t="inlineStr">
        <is>
          <t>SKÅNE LÄN</t>
        </is>
      </c>
      <c r="E512" t="inlineStr">
        <is>
          <t>HÄSSLEHOLM</t>
        </is>
      </c>
      <c r="G512" t="n">
        <v>6.3</v>
      </c>
      <c r="H512" t="n">
        <v>0</v>
      </c>
      <c r="I512" t="n">
        <v>0</v>
      </c>
      <c r="J512" t="n">
        <v>0</v>
      </c>
      <c r="K512" t="n">
        <v>0</v>
      </c>
      <c r="L512" t="n">
        <v>0</v>
      </c>
      <c r="M512" t="n">
        <v>0</v>
      </c>
      <c r="N512" t="n">
        <v>0</v>
      </c>
      <c r="O512" t="n">
        <v>0</v>
      </c>
      <c r="P512" t="n">
        <v>0</v>
      </c>
      <c r="Q512" t="n">
        <v>0</v>
      </c>
      <c r="R512" s="2" t="inlineStr"/>
    </row>
    <row r="513" ht="15" customHeight="1">
      <c r="A513" t="inlineStr">
        <is>
          <t>A 2567-2024</t>
        </is>
      </c>
      <c r="B513" s="1" t="n">
        <v>45313.62460648148</v>
      </c>
      <c r="C513" s="1" t="n">
        <v>45882</v>
      </c>
      <c r="D513" t="inlineStr">
        <is>
          <t>SKÅNE LÄN</t>
        </is>
      </c>
      <c r="E513" t="inlineStr">
        <is>
          <t>HÄSSLEHOLM</t>
        </is>
      </c>
      <c r="G513" t="n">
        <v>1.1</v>
      </c>
      <c r="H513" t="n">
        <v>0</v>
      </c>
      <c r="I513" t="n">
        <v>0</v>
      </c>
      <c r="J513" t="n">
        <v>0</v>
      </c>
      <c r="K513" t="n">
        <v>0</v>
      </c>
      <c r="L513" t="n">
        <v>0</v>
      </c>
      <c r="M513" t="n">
        <v>0</v>
      </c>
      <c r="N513" t="n">
        <v>0</v>
      </c>
      <c r="O513" t="n">
        <v>0</v>
      </c>
      <c r="P513" t="n">
        <v>0</v>
      </c>
      <c r="Q513" t="n">
        <v>0</v>
      </c>
      <c r="R513" s="2" t="inlineStr"/>
    </row>
    <row r="514" ht="15" customHeight="1">
      <c r="A514" t="inlineStr">
        <is>
          <t>A 28632-2024</t>
        </is>
      </c>
      <c r="B514" s="1" t="n">
        <v>45478</v>
      </c>
      <c r="C514" s="1" t="n">
        <v>45882</v>
      </c>
      <c r="D514" t="inlineStr">
        <is>
          <t>SKÅNE LÄN</t>
        </is>
      </c>
      <c r="E514" t="inlineStr">
        <is>
          <t>HÄSSLEHOLM</t>
        </is>
      </c>
      <c r="G514" t="n">
        <v>4</v>
      </c>
      <c r="H514" t="n">
        <v>0</v>
      </c>
      <c r="I514" t="n">
        <v>0</v>
      </c>
      <c r="J514" t="n">
        <v>0</v>
      </c>
      <c r="K514" t="n">
        <v>0</v>
      </c>
      <c r="L514" t="n">
        <v>0</v>
      </c>
      <c r="M514" t="n">
        <v>0</v>
      </c>
      <c r="N514" t="n">
        <v>0</v>
      </c>
      <c r="O514" t="n">
        <v>0</v>
      </c>
      <c r="P514" t="n">
        <v>0</v>
      </c>
      <c r="Q514" t="n">
        <v>0</v>
      </c>
      <c r="R514" s="2" t="inlineStr"/>
    </row>
    <row r="515" ht="15" customHeight="1">
      <c r="A515" t="inlineStr">
        <is>
          <t>A 11708-2025</t>
        </is>
      </c>
      <c r="B515" s="1" t="n">
        <v>45727.58626157408</v>
      </c>
      <c r="C515" s="1" t="n">
        <v>45882</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15055-2023</t>
        </is>
      </c>
      <c r="B516" s="1" t="n">
        <v>45015</v>
      </c>
      <c r="C516" s="1" t="n">
        <v>45882</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59030-2024</t>
        </is>
      </c>
      <c r="B517" s="1" t="n">
        <v>45636.68916666666</v>
      </c>
      <c r="C517" s="1" t="n">
        <v>45882</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48663-2024</t>
        </is>
      </c>
      <c r="B518" s="1" t="n">
        <v>45593.48892361111</v>
      </c>
      <c r="C518" s="1" t="n">
        <v>45882</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34187-2023</t>
        </is>
      </c>
      <c r="B519" s="1" t="n">
        <v>45138</v>
      </c>
      <c r="C519" s="1" t="n">
        <v>45882</v>
      </c>
      <c r="D519" t="inlineStr">
        <is>
          <t>SKÅNE LÄN</t>
        </is>
      </c>
      <c r="E519" t="inlineStr">
        <is>
          <t>HÄSSLEHOLM</t>
        </is>
      </c>
      <c r="G519" t="n">
        <v>0.4</v>
      </c>
      <c r="H519" t="n">
        <v>0</v>
      </c>
      <c r="I519" t="n">
        <v>0</v>
      </c>
      <c r="J519" t="n">
        <v>0</v>
      </c>
      <c r="K519" t="n">
        <v>0</v>
      </c>
      <c r="L519" t="n">
        <v>0</v>
      </c>
      <c r="M519" t="n">
        <v>0</v>
      </c>
      <c r="N519" t="n">
        <v>0</v>
      </c>
      <c r="O519" t="n">
        <v>0</v>
      </c>
      <c r="P519" t="n">
        <v>0</v>
      </c>
      <c r="Q519" t="n">
        <v>0</v>
      </c>
      <c r="R519" s="2" t="inlineStr"/>
    </row>
    <row r="520" ht="15" customHeight="1">
      <c r="A520" t="inlineStr">
        <is>
          <t>A 21028-2021</t>
        </is>
      </c>
      <c r="B520" s="1" t="n">
        <v>44319</v>
      </c>
      <c r="C520" s="1" t="n">
        <v>45882</v>
      </c>
      <c r="D520" t="inlineStr">
        <is>
          <t>SKÅNE LÄN</t>
        </is>
      </c>
      <c r="E520" t="inlineStr">
        <is>
          <t>HÄSSLEHOLM</t>
        </is>
      </c>
      <c r="G520" t="n">
        <v>3.1</v>
      </c>
      <c r="H520" t="n">
        <v>0</v>
      </c>
      <c r="I520" t="n">
        <v>0</v>
      </c>
      <c r="J520" t="n">
        <v>0</v>
      </c>
      <c r="K520" t="n">
        <v>0</v>
      </c>
      <c r="L520" t="n">
        <v>0</v>
      </c>
      <c r="M520" t="n">
        <v>0</v>
      </c>
      <c r="N520" t="n">
        <v>0</v>
      </c>
      <c r="O520" t="n">
        <v>0</v>
      </c>
      <c r="P520" t="n">
        <v>0</v>
      </c>
      <c r="Q520" t="n">
        <v>0</v>
      </c>
      <c r="R520" s="2" t="inlineStr"/>
    </row>
    <row r="521" ht="15" customHeight="1">
      <c r="A521" t="inlineStr">
        <is>
          <t>A 7153-2025</t>
        </is>
      </c>
      <c r="B521" s="1" t="n">
        <v>45702.38512731482</v>
      </c>
      <c r="C521" s="1" t="n">
        <v>45882</v>
      </c>
      <c r="D521" t="inlineStr">
        <is>
          <t>SKÅNE LÄN</t>
        </is>
      </c>
      <c r="E521" t="inlineStr">
        <is>
          <t>HÄSSLEHOLM</t>
        </is>
      </c>
      <c r="G521" t="n">
        <v>2.7</v>
      </c>
      <c r="H521" t="n">
        <v>0</v>
      </c>
      <c r="I521" t="n">
        <v>0</v>
      </c>
      <c r="J521" t="n">
        <v>0</v>
      </c>
      <c r="K521" t="n">
        <v>0</v>
      </c>
      <c r="L521" t="n">
        <v>0</v>
      </c>
      <c r="M521" t="n">
        <v>0</v>
      </c>
      <c r="N521" t="n">
        <v>0</v>
      </c>
      <c r="O521" t="n">
        <v>0</v>
      </c>
      <c r="P521" t="n">
        <v>0</v>
      </c>
      <c r="Q521" t="n">
        <v>0</v>
      </c>
      <c r="R521" s="2" t="inlineStr"/>
    </row>
    <row r="522" ht="15" customHeight="1">
      <c r="A522" t="inlineStr">
        <is>
          <t>A 69357-2021</t>
        </is>
      </c>
      <c r="B522" s="1" t="n">
        <v>44531</v>
      </c>
      <c r="C522" s="1" t="n">
        <v>45882</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3855-2023</t>
        </is>
      </c>
      <c r="B523" s="1" t="n">
        <v>44951.69708333333</v>
      </c>
      <c r="C523" s="1" t="n">
        <v>45882</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33481-2024</t>
        </is>
      </c>
      <c r="B524" s="1" t="n">
        <v>45519</v>
      </c>
      <c r="C524" s="1" t="n">
        <v>45882</v>
      </c>
      <c r="D524" t="inlineStr">
        <is>
          <t>SKÅNE LÄN</t>
        </is>
      </c>
      <c r="E524" t="inlineStr">
        <is>
          <t>HÄSSLEHOLM</t>
        </is>
      </c>
      <c r="G524" t="n">
        <v>3</v>
      </c>
      <c r="H524" t="n">
        <v>0</v>
      </c>
      <c r="I524" t="n">
        <v>0</v>
      </c>
      <c r="J524" t="n">
        <v>0</v>
      </c>
      <c r="K524" t="n">
        <v>0</v>
      </c>
      <c r="L524" t="n">
        <v>0</v>
      </c>
      <c r="M524" t="n">
        <v>0</v>
      </c>
      <c r="N524" t="n">
        <v>0</v>
      </c>
      <c r="O524" t="n">
        <v>0</v>
      </c>
      <c r="P524" t="n">
        <v>0</v>
      </c>
      <c r="Q524" t="n">
        <v>0</v>
      </c>
      <c r="R524" s="2" t="inlineStr"/>
    </row>
    <row r="525" ht="15" customHeight="1">
      <c r="A525" t="inlineStr">
        <is>
          <t>A 2813-2021</t>
        </is>
      </c>
      <c r="B525" s="1" t="n">
        <v>44215</v>
      </c>
      <c r="C525" s="1" t="n">
        <v>45882</v>
      </c>
      <c r="D525" t="inlineStr">
        <is>
          <t>SKÅNE LÄN</t>
        </is>
      </c>
      <c r="E525" t="inlineStr">
        <is>
          <t>HÄSSLEHOLM</t>
        </is>
      </c>
      <c r="G525" t="n">
        <v>7.1</v>
      </c>
      <c r="H525" t="n">
        <v>0</v>
      </c>
      <c r="I525" t="n">
        <v>0</v>
      </c>
      <c r="J525" t="n">
        <v>0</v>
      </c>
      <c r="K525" t="n">
        <v>0</v>
      </c>
      <c r="L525" t="n">
        <v>0</v>
      </c>
      <c r="M525" t="n">
        <v>0</v>
      </c>
      <c r="N525" t="n">
        <v>0</v>
      </c>
      <c r="O525" t="n">
        <v>0</v>
      </c>
      <c r="P525" t="n">
        <v>0</v>
      </c>
      <c r="Q525" t="n">
        <v>0</v>
      </c>
      <c r="R525" s="2" t="inlineStr"/>
    </row>
    <row r="526" ht="15" customHeight="1">
      <c r="A526" t="inlineStr">
        <is>
          <t>A 10594-2025</t>
        </is>
      </c>
      <c r="B526" s="1" t="n">
        <v>45721</v>
      </c>
      <c r="C526" s="1" t="n">
        <v>45882</v>
      </c>
      <c r="D526" t="inlineStr">
        <is>
          <t>SKÅNE LÄN</t>
        </is>
      </c>
      <c r="E526" t="inlineStr">
        <is>
          <t>HÄSSLEHOLM</t>
        </is>
      </c>
      <c r="G526" t="n">
        <v>5.3</v>
      </c>
      <c r="H526" t="n">
        <v>0</v>
      </c>
      <c r="I526" t="n">
        <v>0</v>
      </c>
      <c r="J526" t="n">
        <v>0</v>
      </c>
      <c r="K526" t="n">
        <v>0</v>
      </c>
      <c r="L526" t="n">
        <v>0</v>
      </c>
      <c r="M526" t="n">
        <v>0</v>
      </c>
      <c r="N526" t="n">
        <v>0</v>
      </c>
      <c r="O526" t="n">
        <v>0</v>
      </c>
      <c r="P526" t="n">
        <v>0</v>
      </c>
      <c r="Q526" t="n">
        <v>0</v>
      </c>
      <c r="R526" s="2" t="inlineStr"/>
    </row>
    <row r="527" ht="15" customHeight="1">
      <c r="A527" t="inlineStr">
        <is>
          <t>A 31255-2024</t>
        </is>
      </c>
      <c r="B527" s="1" t="n">
        <v>45503.69114583333</v>
      </c>
      <c r="C527" s="1" t="n">
        <v>45882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1289-2024</t>
        </is>
      </c>
      <c r="B528" s="1" t="n">
        <v>45303.32234953704</v>
      </c>
      <c r="C528" s="1" t="n">
        <v>45882</v>
      </c>
      <c r="D528" t="inlineStr">
        <is>
          <t>SKÅNE LÄN</t>
        </is>
      </c>
      <c r="E528" t="inlineStr">
        <is>
          <t>HÄSSLEHOLM</t>
        </is>
      </c>
      <c r="G528" t="n">
        <v>4.6</v>
      </c>
      <c r="H528" t="n">
        <v>0</v>
      </c>
      <c r="I528" t="n">
        <v>0</v>
      </c>
      <c r="J528" t="n">
        <v>0</v>
      </c>
      <c r="K528" t="n">
        <v>0</v>
      </c>
      <c r="L528" t="n">
        <v>0</v>
      </c>
      <c r="M528" t="n">
        <v>0</v>
      </c>
      <c r="N528" t="n">
        <v>0</v>
      </c>
      <c r="O528" t="n">
        <v>0</v>
      </c>
      <c r="P528" t="n">
        <v>0</v>
      </c>
      <c r="Q528" t="n">
        <v>0</v>
      </c>
      <c r="R528" s="2" t="inlineStr"/>
    </row>
    <row r="529" ht="15" customHeight="1">
      <c r="A529" t="inlineStr">
        <is>
          <t>A 48771-2024</t>
        </is>
      </c>
      <c r="B529" s="1" t="n">
        <v>45593.61284722222</v>
      </c>
      <c r="C529" s="1" t="n">
        <v>45882</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44697-2021</t>
        </is>
      </c>
      <c r="B530" s="1" t="n">
        <v>44438</v>
      </c>
      <c r="C530" s="1" t="n">
        <v>45882</v>
      </c>
      <c r="D530" t="inlineStr">
        <is>
          <t>SKÅNE LÄN</t>
        </is>
      </c>
      <c r="E530" t="inlineStr">
        <is>
          <t>HÄSSLEHOLM</t>
        </is>
      </c>
      <c r="G530" t="n">
        <v>4.8</v>
      </c>
      <c r="H530" t="n">
        <v>0</v>
      </c>
      <c r="I530" t="n">
        <v>0</v>
      </c>
      <c r="J530" t="n">
        <v>0</v>
      </c>
      <c r="K530" t="n">
        <v>0</v>
      </c>
      <c r="L530" t="n">
        <v>0</v>
      </c>
      <c r="M530" t="n">
        <v>0</v>
      </c>
      <c r="N530" t="n">
        <v>0</v>
      </c>
      <c r="O530" t="n">
        <v>0</v>
      </c>
      <c r="P530" t="n">
        <v>0</v>
      </c>
      <c r="Q530" t="n">
        <v>0</v>
      </c>
      <c r="R530" s="2" t="inlineStr"/>
    </row>
    <row r="531" ht="15" customHeight="1">
      <c r="A531" t="inlineStr">
        <is>
          <t>A 8433-2024</t>
        </is>
      </c>
      <c r="B531" s="1" t="n">
        <v>45353.48434027778</v>
      </c>
      <c r="C531" s="1" t="n">
        <v>45882</v>
      </c>
      <c r="D531" t="inlineStr">
        <is>
          <t>SKÅNE LÄN</t>
        </is>
      </c>
      <c r="E531" t="inlineStr">
        <is>
          <t>HÄSSLEHOLM</t>
        </is>
      </c>
      <c r="G531" t="n">
        <v>1.9</v>
      </c>
      <c r="H531" t="n">
        <v>0</v>
      </c>
      <c r="I531" t="n">
        <v>0</v>
      </c>
      <c r="J531" t="n">
        <v>0</v>
      </c>
      <c r="K531" t="n">
        <v>0</v>
      </c>
      <c r="L531" t="n">
        <v>0</v>
      </c>
      <c r="M531" t="n">
        <v>0</v>
      </c>
      <c r="N531" t="n">
        <v>0</v>
      </c>
      <c r="O531" t="n">
        <v>0</v>
      </c>
      <c r="P531" t="n">
        <v>0</v>
      </c>
      <c r="Q531" t="n">
        <v>0</v>
      </c>
      <c r="R531" s="2" t="inlineStr"/>
    </row>
    <row r="532" ht="15" customHeight="1">
      <c r="A532" t="inlineStr">
        <is>
          <t>A 48807-2021</t>
        </is>
      </c>
      <c r="B532" s="1" t="n">
        <v>44452</v>
      </c>
      <c r="C532" s="1" t="n">
        <v>45882</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28457-2024</t>
        </is>
      </c>
      <c r="B533" s="1" t="n">
        <v>45477.68884259259</v>
      </c>
      <c r="C533" s="1" t="n">
        <v>45882</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54176-2022</t>
        </is>
      </c>
      <c r="B534" s="1" t="n">
        <v>44881</v>
      </c>
      <c r="C534" s="1" t="n">
        <v>45882</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7152-2025</t>
        </is>
      </c>
      <c r="B535" s="1" t="n">
        <v>45702.3837037037</v>
      </c>
      <c r="C535" s="1" t="n">
        <v>45882</v>
      </c>
      <c r="D535" t="inlineStr">
        <is>
          <t>SKÅNE LÄN</t>
        </is>
      </c>
      <c r="E535" t="inlineStr">
        <is>
          <t>HÄSSLEHOLM</t>
        </is>
      </c>
      <c r="G535" t="n">
        <v>1.3</v>
      </c>
      <c r="H535" t="n">
        <v>0</v>
      </c>
      <c r="I535" t="n">
        <v>0</v>
      </c>
      <c r="J535" t="n">
        <v>0</v>
      </c>
      <c r="K535" t="n">
        <v>0</v>
      </c>
      <c r="L535" t="n">
        <v>0</v>
      </c>
      <c r="M535" t="n">
        <v>0</v>
      </c>
      <c r="N535" t="n">
        <v>0</v>
      </c>
      <c r="O535" t="n">
        <v>0</v>
      </c>
      <c r="P535" t="n">
        <v>0</v>
      </c>
      <c r="Q535" t="n">
        <v>0</v>
      </c>
      <c r="R535" s="2" t="inlineStr"/>
    </row>
    <row r="536" ht="15" customHeight="1">
      <c r="A536" t="inlineStr">
        <is>
          <t>A 7160-2025</t>
        </is>
      </c>
      <c r="B536" s="1" t="n">
        <v>45702.3875462963</v>
      </c>
      <c r="C536" s="1" t="n">
        <v>45882</v>
      </c>
      <c r="D536" t="inlineStr">
        <is>
          <t>SKÅNE LÄN</t>
        </is>
      </c>
      <c r="E536" t="inlineStr">
        <is>
          <t>HÄSSLEHOLM</t>
        </is>
      </c>
      <c r="G536" t="n">
        <v>2.5</v>
      </c>
      <c r="H536" t="n">
        <v>0</v>
      </c>
      <c r="I536" t="n">
        <v>0</v>
      </c>
      <c r="J536" t="n">
        <v>0</v>
      </c>
      <c r="K536" t="n">
        <v>0</v>
      </c>
      <c r="L536" t="n">
        <v>0</v>
      </c>
      <c r="M536" t="n">
        <v>0</v>
      </c>
      <c r="N536" t="n">
        <v>0</v>
      </c>
      <c r="O536" t="n">
        <v>0</v>
      </c>
      <c r="P536" t="n">
        <v>0</v>
      </c>
      <c r="Q536" t="n">
        <v>0</v>
      </c>
      <c r="R536" s="2" t="inlineStr"/>
    </row>
    <row r="537" ht="15" customHeight="1">
      <c r="A537" t="inlineStr">
        <is>
          <t>A 12344-2023</t>
        </is>
      </c>
      <c r="B537" s="1" t="n">
        <v>44999</v>
      </c>
      <c r="C537" s="1" t="n">
        <v>45882</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27291-2023</t>
        </is>
      </c>
      <c r="B538" s="1" t="n">
        <v>45096</v>
      </c>
      <c r="C538" s="1" t="n">
        <v>45882</v>
      </c>
      <c r="D538" t="inlineStr">
        <is>
          <t>SKÅNE LÄN</t>
        </is>
      </c>
      <c r="E538" t="inlineStr">
        <is>
          <t>HÄSSLEHOLM</t>
        </is>
      </c>
      <c r="G538" t="n">
        <v>3.5</v>
      </c>
      <c r="H538" t="n">
        <v>0</v>
      </c>
      <c r="I538" t="n">
        <v>0</v>
      </c>
      <c r="J538" t="n">
        <v>0</v>
      </c>
      <c r="K538" t="n">
        <v>0</v>
      </c>
      <c r="L538" t="n">
        <v>0</v>
      </c>
      <c r="M538" t="n">
        <v>0</v>
      </c>
      <c r="N538" t="n">
        <v>0</v>
      </c>
      <c r="O538" t="n">
        <v>0</v>
      </c>
      <c r="P538" t="n">
        <v>0</v>
      </c>
      <c r="Q538" t="n">
        <v>0</v>
      </c>
      <c r="R538" s="2" t="inlineStr"/>
    </row>
    <row r="539" ht="15" customHeight="1">
      <c r="A539" t="inlineStr">
        <is>
          <t>A 13309-2025</t>
        </is>
      </c>
      <c r="B539" s="1" t="n">
        <v>45735.58512731481</v>
      </c>
      <c r="C539" s="1" t="n">
        <v>45882</v>
      </c>
      <c r="D539" t="inlineStr">
        <is>
          <t>SKÅNE LÄN</t>
        </is>
      </c>
      <c r="E539" t="inlineStr">
        <is>
          <t>HÄSSLEHOLM</t>
        </is>
      </c>
      <c r="G539" t="n">
        <v>1.2</v>
      </c>
      <c r="H539" t="n">
        <v>0</v>
      </c>
      <c r="I539" t="n">
        <v>0</v>
      </c>
      <c r="J539" t="n">
        <v>0</v>
      </c>
      <c r="K539" t="n">
        <v>0</v>
      </c>
      <c r="L539" t="n">
        <v>0</v>
      </c>
      <c r="M539" t="n">
        <v>0</v>
      </c>
      <c r="N539" t="n">
        <v>0</v>
      </c>
      <c r="O539" t="n">
        <v>0</v>
      </c>
      <c r="P539" t="n">
        <v>0</v>
      </c>
      <c r="Q539" t="n">
        <v>0</v>
      </c>
      <c r="R539" s="2" t="inlineStr"/>
    </row>
    <row r="540" ht="15" customHeight="1">
      <c r="A540" t="inlineStr">
        <is>
          <t>A 61197-2024</t>
        </is>
      </c>
      <c r="B540" s="1" t="n">
        <v>45645.63184027778</v>
      </c>
      <c r="C540" s="1" t="n">
        <v>45882</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51752-2023</t>
        </is>
      </c>
      <c r="B541" s="1" t="n">
        <v>45222</v>
      </c>
      <c r="C541" s="1" t="n">
        <v>45882</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6165-2023</t>
        </is>
      </c>
      <c r="B542" s="1" t="n">
        <v>44964.67114583333</v>
      </c>
      <c r="C542" s="1" t="n">
        <v>45882</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33938-2023</t>
        </is>
      </c>
      <c r="B543" s="1" t="n">
        <v>45124</v>
      </c>
      <c r="C543" s="1" t="n">
        <v>45882</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61533-2022</t>
        </is>
      </c>
      <c r="B544" s="1" t="n">
        <v>44910</v>
      </c>
      <c r="C544" s="1" t="n">
        <v>45882</v>
      </c>
      <c r="D544" t="inlineStr">
        <is>
          <t>SKÅNE LÄN</t>
        </is>
      </c>
      <c r="E544" t="inlineStr">
        <is>
          <t>HÄSSLEHOLM</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677-2024</t>
        </is>
      </c>
      <c r="B545" s="1" t="n">
        <v>45300</v>
      </c>
      <c r="C545" s="1" t="n">
        <v>45882</v>
      </c>
      <c r="D545" t="inlineStr">
        <is>
          <t>SKÅNE LÄN</t>
        </is>
      </c>
      <c r="E545" t="inlineStr">
        <is>
          <t>HÄSSLEHOLM</t>
        </is>
      </c>
      <c r="G545" t="n">
        <v>6.8</v>
      </c>
      <c r="H545" t="n">
        <v>0</v>
      </c>
      <c r="I545" t="n">
        <v>0</v>
      </c>
      <c r="J545" t="n">
        <v>0</v>
      </c>
      <c r="K545" t="n">
        <v>0</v>
      </c>
      <c r="L545" t="n">
        <v>0</v>
      </c>
      <c r="M545" t="n">
        <v>0</v>
      </c>
      <c r="N545" t="n">
        <v>0</v>
      </c>
      <c r="O545" t="n">
        <v>0</v>
      </c>
      <c r="P545" t="n">
        <v>0</v>
      </c>
      <c r="Q545" t="n">
        <v>0</v>
      </c>
      <c r="R545" s="2" t="inlineStr"/>
    </row>
    <row r="546" ht="15" customHeight="1">
      <c r="A546" t="inlineStr">
        <is>
          <t>A 32834-2024</t>
        </is>
      </c>
      <c r="B546" s="1" t="n">
        <v>45516.6025</v>
      </c>
      <c r="C546" s="1" t="n">
        <v>45882</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9397-2025</t>
        </is>
      </c>
      <c r="B547" s="1" t="n">
        <v>45715.37361111111</v>
      </c>
      <c r="C547" s="1" t="n">
        <v>45882</v>
      </c>
      <c r="D547" t="inlineStr">
        <is>
          <t>SKÅNE LÄN</t>
        </is>
      </c>
      <c r="E547" t="inlineStr">
        <is>
          <t>HÄSSLEHOLM</t>
        </is>
      </c>
      <c r="G547" t="n">
        <v>1.2</v>
      </c>
      <c r="H547" t="n">
        <v>0</v>
      </c>
      <c r="I547" t="n">
        <v>0</v>
      </c>
      <c r="J547" t="n">
        <v>0</v>
      </c>
      <c r="K547" t="n">
        <v>0</v>
      </c>
      <c r="L547" t="n">
        <v>0</v>
      </c>
      <c r="M547" t="n">
        <v>0</v>
      </c>
      <c r="N547" t="n">
        <v>0</v>
      </c>
      <c r="O547" t="n">
        <v>0</v>
      </c>
      <c r="P547" t="n">
        <v>0</v>
      </c>
      <c r="Q547" t="n">
        <v>0</v>
      </c>
      <c r="R547" s="2" t="inlineStr"/>
    </row>
    <row r="548" ht="15" customHeight="1">
      <c r="A548" t="inlineStr">
        <is>
          <t>A 59109-2023</t>
        </is>
      </c>
      <c r="B548" s="1" t="n">
        <v>45253.30819444444</v>
      </c>
      <c r="C548" s="1" t="n">
        <v>45882</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49384-2021</t>
        </is>
      </c>
      <c r="B549" s="1" t="n">
        <v>44454</v>
      </c>
      <c r="C549" s="1" t="n">
        <v>45882</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54462-2022</t>
        </is>
      </c>
      <c r="B550" s="1" t="n">
        <v>44882</v>
      </c>
      <c r="C550" s="1" t="n">
        <v>45882</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25611-2024</t>
        </is>
      </c>
      <c r="B551" s="1" t="n">
        <v>45463</v>
      </c>
      <c r="C551" s="1" t="n">
        <v>45882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441-2022</t>
        </is>
      </c>
      <c r="B552" s="1" t="n">
        <v>44565.97125</v>
      </c>
      <c r="C552" s="1" t="n">
        <v>45882</v>
      </c>
      <c r="D552" t="inlineStr">
        <is>
          <t>SKÅNE LÄN</t>
        </is>
      </c>
      <c r="E552" t="inlineStr">
        <is>
          <t>HÄSSLEHOLM</t>
        </is>
      </c>
      <c r="G552" t="n">
        <v>2.1</v>
      </c>
      <c r="H552" t="n">
        <v>0</v>
      </c>
      <c r="I552" t="n">
        <v>0</v>
      </c>
      <c r="J552" t="n">
        <v>0</v>
      </c>
      <c r="K552" t="n">
        <v>0</v>
      </c>
      <c r="L552" t="n">
        <v>0</v>
      </c>
      <c r="M552" t="n">
        <v>0</v>
      </c>
      <c r="N552" t="n">
        <v>0</v>
      </c>
      <c r="O552" t="n">
        <v>0</v>
      </c>
      <c r="P552" t="n">
        <v>0</v>
      </c>
      <c r="Q552" t="n">
        <v>0</v>
      </c>
      <c r="R552" s="2" t="inlineStr"/>
    </row>
    <row r="553" ht="15" customHeight="1">
      <c r="A553" t="inlineStr">
        <is>
          <t>A 7094-2023</t>
        </is>
      </c>
      <c r="B553" s="1" t="n">
        <v>44970.36958333333</v>
      </c>
      <c r="C553" s="1" t="n">
        <v>45882</v>
      </c>
      <c r="D553" t="inlineStr">
        <is>
          <t>SKÅNE LÄN</t>
        </is>
      </c>
      <c r="E553" t="inlineStr">
        <is>
          <t>HÄSSLEHOLM</t>
        </is>
      </c>
      <c r="G553" t="n">
        <v>3.6</v>
      </c>
      <c r="H553" t="n">
        <v>0</v>
      </c>
      <c r="I553" t="n">
        <v>0</v>
      </c>
      <c r="J553" t="n">
        <v>0</v>
      </c>
      <c r="K553" t="n">
        <v>0</v>
      </c>
      <c r="L553" t="n">
        <v>0</v>
      </c>
      <c r="M553" t="n">
        <v>0</v>
      </c>
      <c r="N553" t="n">
        <v>0</v>
      </c>
      <c r="O553" t="n">
        <v>0</v>
      </c>
      <c r="P553" t="n">
        <v>0</v>
      </c>
      <c r="Q553" t="n">
        <v>0</v>
      </c>
      <c r="R553" s="2" t="inlineStr"/>
    </row>
    <row r="554" ht="15" customHeight="1">
      <c r="A554" t="inlineStr">
        <is>
          <t>A 32100-2024</t>
        </is>
      </c>
      <c r="B554" s="1" t="n">
        <v>45511.41451388889</v>
      </c>
      <c r="C554" s="1" t="n">
        <v>45882</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7482-2025</t>
        </is>
      </c>
      <c r="B555" s="1" t="n">
        <v>45702</v>
      </c>
      <c r="C555" s="1" t="n">
        <v>45882</v>
      </c>
      <c r="D555" t="inlineStr">
        <is>
          <t>SKÅNE LÄN</t>
        </is>
      </c>
      <c r="E555" t="inlineStr">
        <is>
          <t>HÄSSLEHOLM</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5887-2025</t>
        </is>
      </c>
      <c r="B556" s="1" t="n">
        <v>45695.37925925926</v>
      </c>
      <c r="C556" s="1" t="n">
        <v>45882</v>
      </c>
      <c r="D556" t="inlineStr">
        <is>
          <t>SKÅNE LÄN</t>
        </is>
      </c>
      <c r="E556" t="inlineStr">
        <is>
          <t>HÄSSLEHOLM</t>
        </is>
      </c>
      <c r="G556" t="n">
        <v>4.8</v>
      </c>
      <c r="H556" t="n">
        <v>0</v>
      </c>
      <c r="I556" t="n">
        <v>0</v>
      </c>
      <c r="J556" t="n">
        <v>0</v>
      </c>
      <c r="K556" t="n">
        <v>0</v>
      </c>
      <c r="L556" t="n">
        <v>0</v>
      </c>
      <c r="M556" t="n">
        <v>0</v>
      </c>
      <c r="N556" t="n">
        <v>0</v>
      </c>
      <c r="O556" t="n">
        <v>0</v>
      </c>
      <c r="P556" t="n">
        <v>0</v>
      </c>
      <c r="Q556" t="n">
        <v>0</v>
      </c>
      <c r="R556" s="2" t="inlineStr"/>
    </row>
    <row r="557" ht="15" customHeight="1">
      <c r="A557" t="inlineStr">
        <is>
          <t>A 10220-2023</t>
        </is>
      </c>
      <c r="B557" s="1" t="n">
        <v>44986.60916666667</v>
      </c>
      <c r="C557" s="1" t="n">
        <v>45882</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7489-2025</t>
        </is>
      </c>
      <c r="B558" s="1" t="n">
        <v>45702</v>
      </c>
      <c r="C558" s="1" t="n">
        <v>45882</v>
      </c>
      <c r="D558" t="inlineStr">
        <is>
          <t>SKÅNE LÄN</t>
        </is>
      </c>
      <c r="E558" t="inlineStr">
        <is>
          <t>HÄSSLEHOLM</t>
        </is>
      </c>
      <c r="F558" t="inlineStr">
        <is>
          <t>Övriga Aktiebolag</t>
        </is>
      </c>
      <c r="G558" t="n">
        <v>2.2</v>
      </c>
      <c r="H558" t="n">
        <v>0</v>
      </c>
      <c r="I558" t="n">
        <v>0</v>
      </c>
      <c r="J558" t="n">
        <v>0</v>
      </c>
      <c r="K558" t="n">
        <v>0</v>
      </c>
      <c r="L558" t="n">
        <v>0</v>
      </c>
      <c r="M558" t="n">
        <v>0</v>
      </c>
      <c r="N558" t="n">
        <v>0</v>
      </c>
      <c r="O558" t="n">
        <v>0</v>
      </c>
      <c r="P558" t="n">
        <v>0</v>
      </c>
      <c r="Q558" t="n">
        <v>0</v>
      </c>
      <c r="R558" s="2" t="inlineStr"/>
    </row>
    <row r="559" ht="15" customHeight="1">
      <c r="A559" t="inlineStr">
        <is>
          <t>A 20872-2025</t>
        </is>
      </c>
      <c r="B559" s="1" t="n">
        <v>45777.34688657407</v>
      </c>
      <c r="C559" s="1" t="n">
        <v>45882</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35810-2023</t>
        </is>
      </c>
      <c r="B560" s="1" t="n">
        <v>45148.44046296296</v>
      </c>
      <c r="C560" s="1" t="n">
        <v>45882</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11260-2021</t>
        </is>
      </c>
      <c r="B561" s="1" t="n">
        <v>44263</v>
      </c>
      <c r="C561" s="1" t="n">
        <v>45882</v>
      </c>
      <c r="D561" t="inlineStr">
        <is>
          <t>SKÅNE LÄN</t>
        </is>
      </c>
      <c r="E561" t="inlineStr">
        <is>
          <t>HÄSSLEHOLM</t>
        </is>
      </c>
      <c r="G561" t="n">
        <v>5.4</v>
      </c>
      <c r="H561" t="n">
        <v>0</v>
      </c>
      <c r="I561" t="n">
        <v>0</v>
      </c>
      <c r="J561" t="n">
        <v>0</v>
      </c>
      <c r="K561" t="n">
        <v>0</v>
      </c>
      <c r="L561" t="n">
        <v>0</v>
      </c>
      <c r="M561" t="n">
        <v>0</v>
      </c>
      <c r="N561" t="n">
        <v>0</v>
      </c>
      <c r="O561" t="n">
        <v>0</v>
      </c>
      <c r="P561" t="n">
        <v>0</v>
      </c>
      <c r="Q561" t="n">
        <v>0</v>
      </c>
      <c r="R561" s="2" t="inlineStr"/>
    </row>
    <row r="562" ht="15" customHeight="1">
      <c r="A562" t="inlineStr">
        <is>
          <t>A 35833-2023</t>
        </is>
      </c>
      <c r="B562" s="1" t="n">
        <v>45148</v>
      </c>
      <c r="C562" s="1" t="n">
        <v>45882</v>
      </c>
      <c r="D562" t="inlineStr">
        <is>
          <t>SKÅNE LÄN</t>
        </is>
      </c>
      <c r="E562" t="inlineStr">
        <is>
          <t>HÄSSLEHOLM</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59556-2023</t>
        </is>
      </c>
      <c r="B563" s="1" t="n">
        <v>45254.56313657408</v>
      </c>
      <c r="C563" s="1" t="n">
        <v>45882</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53077-2022</t>
        </is>
      </c>
      <c r="B564" s="1" t="n">
        <v>44873</v>
      </c>
      <c r="C564" s="1" t="n">
        <v>45882</v>
      </c>
      <c r="D564" t="inlineStr">
        <is>
          <t>SKÅNE LÄN</t>
        </is>
      </c>
      <c r="E564" t="inlineStr">
        <is>
          <t>HÄSSLEHOLM</t>
        </is>
      </c>
      <c r="G564" t="n">
        <v>3</v>
      </c>
      <c r="H564" t="n">
        <v>0</v>
      </c>
      <c r="I564" t="n">
        <v>0</v>
      </c>
      <c r="J564" t="n">
        <v>0</v>
      </c>
      <c r="K564" t="n">
        <v>0</v>
      </c>
      <c r="L564" t="n">
        <v>0</v>
      </c>
      <c r="M564" t="n">
        <v>0</v>
      </c>
      <c r="N564" t="n">
        <v>0</v>
      </c>
      <c r="O564" t="n">
        <v>0</v>
      </c>
      <c r="P564" t="n">
        <v>0</v>
      </c>
      <c r="Q564" t="n">
        <v>0</v>
      </c>
      <c r="R564" s="2" t="inlineStr"/>
    </row>
    <row r="565" ht="15" customHeight="1">
      <c r="A565" t="inlineStr">
        <is>
          <t>A 14157-2021</t>
        </is>
      </c>
      <c r="B565" s="1" t="n">
        <v>44278.43246527778</v>
      </c>
      <c r="C565" s="1" t="n">
        <v>45882</v>
      </c>
      <c r="D565" t="inlineStr">
        <is>
          <t>SKÅNE LÄN</t>
        </is>
      </c>
      <c r="E565" t="inlineStr">
        <is>
          <t>HÄSSLEHOLM</t>
        </is>
      </c>
      <c r="G565" t="n">
        <v>10.5</v>
      </c>
      <c r="H565" t="n">
        <v>0</v>
      </c>
      <c r="I565" t="n">
        <v>0</v>
      </c>
      <c r="J565" t="n">
        <v>0</v>
      </c>
      <c r="K565" t="n">
        <v>0</v>
      </c>
      <c r="L565" t="n">
        <v>0</v>
      </c>
      <c r="M565" t="n">
        <v>0</v>
      </c>
      <c r="N565" t="n">
        <v>0</v>
      </c>
      <c r="O565" t="n">
        <v>0</v>
      </c>
      <c r="P565" t="n">
        <v>0</v>
      </c>
      <c r="Q565" t="n">
        <v>0</v>
      </c>
      <c r="R565" s="2" t="inlineStr"/>
    </row>
    <row r="566" ht="15" customHeight="1">
      <c r="A566" t="inlineStr">
        <is>
          <t>A 29994-2023</t>
        </is>
      </c>
      <c r="B566" s="1" t="n">
        <v>45109.60038194444</v>
      </c>
      <c r="C566" s="1" t="n">
        <v>45882</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20970-2025</t>
        </is>
      </c>
      <c r="B567" s="1" t="n">
        <v>45777.45417824074</v>
      </c>
      <c r="C567" s="1" t="n">
        <v>45882</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54874-2022</t>
        </is>
      </c>
      <c r="B568" s="1" t="n">
        <v>44881</v>
      </c>
      <c r="C568" s="1" t="n">
        <v>45882</v>
      </c>
      <c r="D568" t="inlineStr">
        <is>
          <t>SKÅNE LÄN</t>
        </is>
      </c>
      <c r="E568" t="inlineStr">
        <is>
          <t>HÄSSLEHOLM</t>
        </is>
      </c>
      <c r="G568" t="n">
        <v>8.1</v>
      </c>
      <c r="H568" t="n">
        <v>0</v>
      </c>
      <c r="I568" t="n">
        <v>0</v>
      </c>
      <c r="J568" t="n">
        <v>0</v>
      </c>
      <c r="K568" t="n">
        <v>0</v>
      </c>
      <c r="L568" t="n">
        <v>0</v>
      </c>
      <c r="M568" t="n">
        <v>0</v>
      </c>
      <c r="N568" t="n">
        <v>0</v>
      </c>
      <c r="O568" t="n">
        <v>0</v>
      </c>
      <c r="P568" t="n">
        <v>0</v>
      </c>
      <c r="Q568" t="n">
        <v>0</v>
      </c>
      <c r="R568" s="2" t="inlineStr"/>
    </row>
    <row r="569" ht="15" customHeight="1">
      <c r="A569" t="inlineStr">
        <is>
          <t>A 19744-2023</t>
        </is>
      </c>
      <c r="B569" s="1" t="n">
        <v>45051</v>
      </c>
      <c r="C569" s="1" t="n">
        <v>45882</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14655-2025</t>
        </is>
      </c>
      <c r="B570" s="1" t="n">
        <v>45742.5072337963</v>
      </c>
      <c r="C570" s="1" t="n">
        <v>45882</v>
      </c>
      <c r="D570" t="inlineStr">
        <is>
          <t>SKÅNE LÄN</t>
        </is>
      </c>
      <c r="E570" t="inlineStr">
        <is>
          <t>HÄSSLEHOLM</t>
        </is>
      </c>
      <c r="G570" t="n">
        <v>4.5</v>
      </c>
      <c r="H570" t="n">
        <v>0</v>
      </c>
      <c r="I570" t="n">
        <v>0</v>
      </c>
      <c r="J570" t="n">
        <v>0</v>
      </c>
      <c r="K570" t="n">
        <v>0</v>
      </c>
      <c r="L570" t="n">
        <v>0</v>
      </c>
      <c r="M570" t="n">
        <v>0</v>
      </c>
      <c r="N570" t="n">
        <v>0</v>
      </c>
      <c r="O570" t="n">
        <v>0</v>
      </c>
      <c r="P570" t="n">
        <v>0</v>
      </c>
      <c r="Q570" t="n">
        <v>0</v>
      </c>
      <c r="R570" s="2" t="inlineStr"/>
    </row>
    <row r="571" ht="15" customHeight="1">
      <c r="A571" t="inlineStr">
        <is>
          <t>A 21206-2025</t>
        </is>
      </c>
      <c r="B571" s="1" t="n">
        <v>45779.48318287037</v>
      </c>
      <c r="C571" s="1" t="n">
        <v>45882</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14926-2024</t>
        </is>
      </c>
      <c r="B572" s="1" t="n">
        <v>45398</v>
      </c>
      <c r="C572" s="1" t="n">
        <v>45882</v>
      </c>
      <c r="D572" t="inlineStr">
        <is>
          <t>SKÅNE LÄN</t>
        </is>
      </c>
      <c r="E572" t="inlineStr">
        <is>
          <t>HÄSSLEHOLM</t>
        </is>
      </c>
      <c r="G572" t="n">
        <v>3.4</v>
      </c>
      <c r="H572" t="n">
        <v>0</v>
      </c>
      <c r="I572" t="n">
        <v>0</v>
      </c>
      <c r="J572" t="n">
        <v>0</v>
      </c>
      <c r="K572" t="n">
        <v>0</v>
      </c>
      <c r="L572" t="n">
        <v>0</v>
      </c>
      <c r="M572" t="n">
        <v>0</v>
      </c>
      <c r="N572" t="n">
        <v>0</v>
      </c>
      <c r="O572" t="n">
        <v>0</v>
      </c>
      <c r="P572" t="n">
        <v>0</v>
      </c>
      <c r="Q572" t="n">
        <v>0</v>
      </c>
      <c r="R572" s="2" t="inlineStr"/>
    </row>
    <row r="573" ht="15" customHeight="1">
      <c r="A573" t="inlineStr">
        <is>
          <t>A 17152-2025</t>
        </is>
      </c>
      <c r="B573" s="1" t="n">
        <v>45756.33318287037</v>
      </c>
      <c r="C573" s="1" t="n">
        <v>45882</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34301-2024</t>
        </is>
      </c>
      <c r="B574" s="1" t="n">
        <v>45524</v>
      </c>
      <c r="C574" s="1" t="n">
        <v>45882</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27242-2022</t>
        </is>
      </c>
      <c r="B575" s="1" t="n">
        <v>44741</v>
      </c>
      <c r="C575" s="1" t="n">
        <v>45882</v>
      </c>
      <c r="D575" t="inlineStr">
        <is>
          <t>SKÅNE LÄN</t>
        </is>
      </c>
      <c r="E575" t="inlineStr">
        <is>
          <t>HÄSSLEHOLM</t>
        </is>
      </c>
      <c r="G575" t="n">
        <v>1.9</v>
      </c>
      <c r="H575" t="n">
        <v>0</v>
      </c>
      <c r="I575" t="n">
        <v>0</v>
      </c>
      <c r="J575" t="n">
        <v>0</v>
      </c>
      <c r="K575" t="n">
        <v>0</v>
      </c>
      <c r="L575" t="n">
        <v>0</v>
      </c>
      <c r="M575" t="n">
        <v>0</v>
      </c>
      <c r="N575" t="n">
        <v>0</v>
      </c>
      <c r="O575" t="n">
        <v>0</v>
      </c>
      <c r="P575" t="n">
        <v>0</v>
      </c>
      <c r="Q575" t="n">
        <v>0</v>
      </c>
      <c r="R575" s="2" t="inlineStr"/>
    </row>
    <row r="576" ht="15" customHeight="1">
      <c r="A576" t="inlineStr">
        <is>
          <t>A 60843-2022</t>
        </is>
      </c>
      <c r="B576" s="1" t="n">
        <v>44914</v>
      </c>
      <c r="C576" s="1" t="n">
        <v>45882</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61158-2022</t>
        </is>
      </c>
      <c r="B577" s="1" t="n">
        <v>44915.47112268519</v>
      </c>
      <c r="C577" s="1" t="n">
        <v>45882</v>
      </c>
      <c r="D577" t="inlineStr">
        <is>
          <t>SKÅNE LÄN</t>
        </is>
      </c>
      <c r="E577" t="inlineStr">
        <is>
          <t>HÄSSLEHOLM</t>
        </is>
      </c>
      <c r="G577" t="n">
        <v>8.4</v>
      </c>
      <c r="H577" t="n">
        <v>0</v>
      </c>
      <c r="I577" t="n">
        <v>0</v>
      </c>
      <c r="J577" t="n">
        <v>0</v>
      </c>
      <c r="K577" t="n">
        <v>0</v>
      </c>
      <c r="L577" t="n">
        <v>0</v>
      </c>
      <c r="M577" t="n">
        <v>0</v>
      </c>
      <c r="N577" t="n">
        <v>0</v>
      </c>
      <c r="O577" t="n">
        <v>0</v>
      </c>
      <c r="P577" t="n">
        <v>0</v>
      </c>
      <c r="Q577" t="n">
        <v>0</v>
      </c>
      <c r="R577" s="2" t="inlineStr"/>
    </row>
    <row r="578" ht="15" customHeight="1">
      <c r="A578" t="inlineStr">
        <is>
          <t>A 61186-2022</t>
        </is>
      </c>
      <c r="B578" s="1" t="n">
        <v>44915.50745370371</v>
      </c>
      <c r="C578" s="1" t="n">
        <v>45882</v>
      </c>
      <c r="D578" t="inlineStr">
        <is>
          <t>SKÅNE LÄN</t>
        </is>
      </c>
      <c r="E578" t="inlineStr">
        <is>
          <t>HÄSSLEHOLM</t>
        </is>
      </c>
      <c r="G578" t="n">
        <v>2.9</v>
      </c>
      <c r="H578" t="n">
        <v>0</v>
      </c>
      <c r="I578" t="n">
        <v>0</v>
      </c>
      <c r="J578" t="n">
        <v>0</v>
      </c>
      <c r="K578" t="n">
        <v>0</v>
      </c>
      <c r="L578" t="n">
        <v>0</v>
      </c>
      <c r="M578" t="n">
        <v>0</v>
      </c>
      <c r="N578" t="n">
        <v>0</v>
      </c>
      <c r="O578" t="n">
        <v>0</v>
      </c>
      <c r="P578" t="n">
        <v>0</v>
      </c>
      <c r="Q578" t="n">
        <v>0</v>
      </c>
      <c r="R578" s="2" t="inlineStr"/>
    </row>
    <row r="579" ht="15" customHeight="1">
      <c r="A579" t="inlineStr">
        <is>
          <t>A 62055-2023</t>
        </is>
      </c>
      <c r="B579" s="1" t="n">
        <v>45266.70287037037</v>
      </c>
      <c r="C579" s="1" t="n">
        <v>45882</v>
      </c>
      <c r="D579" t="inlineStr">
        <is>
          <t>SKÅNE LÄN</t>
        </is>
      </c>
      <c r="E579" t="inlineStr">
        <is>
          <t>HÄSSLEHOLM</t>
        </is>
      </c>
      <c r="G579" t="n">
        <v>5.2</v>
      </c>
      <c r="H579" t="n">
        <v>0</v>
      </c>
      <c r="I579" t="n">
        <v>0</v>
      </c>
      <c r="J579" t="n">
        <v>0</v>
      </c>
      <c r="K579" t="n">
        <v>0</v>
      </c>
      <c r="L579" t="n">
        <v>0</v>
      </c>
      <c r="M579" t="n">
        <v>0</v>
      </c>
      <c r="N579" t="n">
        <v>0</v>
      </c>
      <c r="O579" t="n">
        <v>0</v>
      </c>
      <c r="P579" t="n">
        <v>0</v>
      </c>
      <c r="Q579" t="n">
        <v>0</v>
      </c>
      <c r="R579" s="2" t="inlineStr"/>
    </row>
    <row r="580" ht="15" customHeight="1">
      <c r="A580" t="inlineStr">
        <is>
          <t>A 61504-2022</t>
        </is>
      </c>
      <c r="B580" s="1" t="n">
        <v>44910</v>
      </c>
      <c r="C580" s="1" t="n">
        <v>45882</v>
      </c>
      <c r="D580" t="inlineStr">
        <is>
          <t>SKÅNE LÄN</t>
        </is>
      </c>
      <c r="E580" t="inlineStr">
        <is>
          <t>HÄSSLEHOLM</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21091-2025</t>
        </is>
      </c>
      <c r="B581" s="1" t="n">
        <v>45777</v>
      </c>
      <c r="C581" s="1" t="n">
        <v>45882</v>
      </c>
      <c r="D581" t="inlineStr">
        <is>
          <t>SKÅNE LÄN</t>
        </is>
      </c>
      <c r="E581" t="inlineStr">
        <is>
          <t>HÄSSLEHOLM</t>
        </is>
      </c>
      <c r="G581" t="n">
        <v>3.4</v>
      </c>
      <c r="H581" t="n">
        <v>0</v>
      </c>
      <c r="I581" t="n">
        <v>0</v>
      </c>
      <c r="J581" t="n">
        <v>0</v>
      </c>
      <c r="K581" t="n">
        <v>0</v>
      </c>
      <c r="L581" t="n">
        <v>0</v>
      </c>
      <c r="M581" t="n">
        <v>0</v>
      </c>
      <c r="N581" t="n">
        <v>0</v>
      </c>
      <c r="O581" t="n">
        <v>0</v>
      </c>
      <c r="P581" t="n">
        <v>0</v>
      </c>
      <c r="Q581" t="n">
        <v>0</v>
      </c>
      <c r="R581" s="2" t="inlineStr"/>
    </row>
    <row r="582" ht="15" customHeight="1">
      <c r="A582" t="inlineStr">
        <is>
          <t>A 317-2025</t>
        </is>
      </c>
      <c r="B582" s="1" t="n">
        <v>45660</v>
      </c>
      <c r="C582" s="1" t="n">
        <v>45882</v>
      </c>
      <c r="D582" t="inlineStr">
        <is>
          <t>SKÅNE LÄN</t>
        </is>
      </c>
      <c r="E582" t="inlineStr">
        <is>
          <t>HÄSSLEHOLM</t>
        </is>
      </c>
      <c r="G582" t="n">
        <v>1.6</v>
      </c>
      <c r="H582" t="n">
        <v>0</v>
      </c>
      <c r="I582" t="n">
        <v>0</v>
      </c>
      <c r="J582" t="n">
        <v>0</v>
      </c>
      <c r="K582" t="n">
        <v>0</v>
      </c>
      <c r="L582" t="n">
        <v>0</v>
      </c>
      <c r="M582" t="n">
        <v>0</v>
      </c>
      <c r="N582" t="n">
        <v>0</v>
      </c>
      <c r="O582" t="n">
        <v>0</v>
      </c>
      <c r="P582" t="n">
        <v>0</v>
      </c>
      <c r="Q582" t="n">
        <v>0</v>
      </c>
      <c r="R582" s="2" t="inlineStr"/>
    </row>
    <row r="583" ht="15" customHeight="1">
      <c r="A583" t="inlineStr">
        <is>
          <t>A 21638-2025</t>
        </is>
      </c>
      <c r="B583" s="1" t="n">
        <v>45783.43087962963</v>
      </c>
      <c r="C583" s="1" t="n">
        <v>45882</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69109-2020</t>
        </is>
      </c>
      <c r="B584" s="1" t="n">
        <v>44188</v>
      </c>
      <c r="C584" s="1" t="n">
        <v>45882</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19739-2023</t>
        </is>
      </c>
      <c r="B585" s="1" t="n">
        <v>45051</v>
      </c>
      <c r="C585" s="1" t="n">
        <v>45882</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52968-2022</t>
        </is>
      </c>
      <c r="B586" s="1" t="n">
        <v>44875</v>
      </c>
      <c r="C586" s="1" t="n">
        <v>45882</v>
      </c>
      <c r="D586" t="inlineStr">
        <is>
          <t>SKÅNE LÄN</t>
        </is>
      </c>
      <c r="E586" t="inlineStr">
        <is>
          <t>HÄSSLEHOLM</t>
        </is>
      </c>
      <c r="G586" t="n">
        <v>2.6</v>
      </c>
      <c r="H586" t="n">
        <v>0</v>
      </c>
      <c r="I586" t="n">
        <v>0</v>
      </c>
      <c r="J586" t="n">
        <v>0</v>
      </c>
      <c r="K586" t="n">
        <v>0</v>
      </c>
      <c r="L586" t="n">
        <v>0</v>
      </c>
      <c r="M586" t="n">
        <v>0</v>
      </c>
      <c r="N586" t="n">
        <v>0</v>
      </c>
      <c r="O586" t="n">
        <v>0</v>
      </c>
      <c r="P586" t="n">
        <v>0</v>
      </c>
      <c r="Q586" t="n">
        <v>0</v>
      </c>
      <c r="R586" s="2" t="inlineStr"/>
    </row>
    <row r="587" ht="15" customHeight="1">
      <c r="A587" t="inlineStr">
        <is>
          <t>A 39111-2023</t>
        </is>
      </c>
      <c r="B587" s="1" t="n">
        <v>45164.87140046297</v>
      </c>
      <c r="C587" s="1" t="n">
        <v>45882</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60851-2024</t>
        </is>
      </c>
      <c r="B588" s="1" t="n">
        <v>45644.66182870371</v>
      </c>
      <c r="C588" s="1" t="n">
        <v>45882</v>
      </c>
      <c r="D588" t="inlineStr">
        <is>
          <t>SKÅNE LÄN</t>
        </is>
      </c>
      <c r="E588" t="inlineStr">
        <is>
          <t>HÄSSLEHOLM</t>
        </is>
      </c>
      <c r="G588" t="n">
        <v>1.5</v>
      </c>
      <c r="H588" t="n">
        <v>0</v>
      </c>
      <c r="I588" t="n">
        <v>0</v>
      </c>
      <c r="J588" t="n">
        <v>0</v>
      </c>
      <c r="K588" t="n">
        <v>0</v>
      </c>
      <c r="L588" t="n">
        <v>0</v>
      </c>
      <c r="M588" t="n">
        <v>0</v>
      </c>
      <c r="N588" t="n">
        <v>0</v>
      </c>
      <c r="O588" t="n">
        <v>0</v>
      </c>
      <c r="P588" t="n">
        <v>0</v>
      </c>
      <c r="Q588" t="n">
        <v>0</v>
      </c>
      <c r="R588" s="2" t="inlineStr"/>
    </row>
    <row r="589" ht="15" customHeight="1">
      <c r="A589" t="inlineStr">
        <is>
          <t>A 33465-2024</t>
        </is>
      </c>
      <c r="B589" s="1" t="n">
        <v>45519.59619212963</v>
      </c>
      <c r="C589" s="1" t="n">
        <v>45882</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59763-2022</t>
        </is>
      </c>
      <c r="B590" s="1" t="n">
        <v>44900</v>
      </c>
      <c r="C590" s="1" t="n">
        <v>45882</v>
      </c>
      <c r="D590" t="inlineStr">
        <is>
          <t>SKÅNE LÄN</t>
        </is>
      </c>
      <c r="E590" t="inlineStr">
        <is>
          <t>HÄSSLEHOLM</t>
        </is>
      </c>
      <c r="F590" t="inlineStr">
        <is>
          <t>Övriga Aktiebolag</t>
        </is>
      </c>
      <c r="G590" t="n">
        <v>1.2</v>
      </c>
      <c r="H590" t="n">
        <v>0</v>
      </c>
      <c r="I590" t="n">
        <v>0</v>
      </c>
      <c r="J590" t="n">
        <v>0</v>
      </c>
      <c r="K590" t="n">
        <v>0</v>
      </c>
      <c r="L590" t="n">
        <v>0</v>
      </c>
      <c r="M590" t="n">
        <v>0</v>
      </c>
      <c r="N590" t="n">
        <v>0</v>
      </c>
      <c r="O590" t="n">
        <v>0</v>
      </c>
      <c r="P590" t="n">
        <v>0</v>
      </c>
      <c r="Q590" t="n">
        <v>0</v>
      </c>
      <c r="R590" s="2" t="inlineStr"/>
    </row>
    <row r="591" ht="15" customHeight="1">
      <c r="A591" t="inlineStr">
        <is>
          <t>A 3364-2023</t>
        </is>
      </c>
      <c r="B591" s="1" t="n">
        <v>44949</v>
      </c>
      <c r="C591" s="1" t="n">
        <v>45882</v>
      </c>
      <c r="D591" t="inlineStr">
        <is>
          <t>SKÅNE LÄN</t>
        </is>
      </c>
      <c r="E591" t="inlineStr">
        <is>
          <t>HÄSSLEHOLM</t>
        </is>
      </c>
      <c r="G591" t="n">
        <v>5.1</v>
      </c>
      <c r="H591" t="n">
        <v>0</v>
      </c>
      <c r="I591" t="n">
        <v>0</v>
      </c>
      <c r="J591" t="n">
        <v>0</v>
      </c>
      <c r="K591" t="n">
        <v>0</v>
      </c>
      <c r="L591" t="n">
        <v>0</v>
      </c>
      <c r="M591" t="n">
        <v>0</v>
      </c>
      <c r="N591" t="n">
        <v>0</v>
      </c>
      <c r="O591" t="n">
        <v>0</v>
      </c>
      <c r="P591" t="n">
        <v>0</v>
      </c>
      <c r="Q591" t="n">
        <v>0</v>
      </c>
      <c r="R591" s="2" t="inlineStr"/>
    </row>
    <row r="592" ht="15" customHeight="1">
      <c r="A592" t="inlineStr">
        <is>
          <t>A 21625-2025</t>
        </is>
      </c>
      <c r="B592" s="1" t="n">
        <v>45783.41252314814</v>
      </c>
      <c r="C592" s="1" t="n">
        <v>45882</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52642-2021</t>
        </is>
      </c>
      <c r="B593" s="1" t="n">
        <v>44466.64298611111</v>
      </c>
      <c r="C593" s="1" t="n">
        <v>45882</v>
      </c>
      <c r="D593" t="inlineStr">
        <is>
          <t>SKÅNE LÄN</t>
        </is>
      </c>
      <c r="E593" t="inlineStr">
        <is>
          <t>HÄSSLEHOLM</t>
        </is>
      </c>
      <c r="G593" t="n">
        <v>3.7</v>
      </c>
      <c r="H593" t="n">
        <v>0</v>
      </c>
      <c r="I593" t="n">
        <v>0</v>
      </c>
      <c r="J593" t="n">
        <v>0</v>
      </c>
      <c r="K593" t="n">
        <v>0</v>
      </c>
      <c r="L593" t="n">
        <v>0</v>
      </c>
      <c r="M593" t="n">
        <v>0</v>
      </c>
      <c r="N593" t="n">
        <v>0</v>
      </c>
      <c r="O593" t="n">
        <v>0</v>
      </c>
      <c r="P593" t="n">
        <v>0</v>
      </c>
      <c r="Q593" t="n">
        <v>0</v>
      </c>
      <c r="R593" s="2" t="inlineStr"/>
    </row>
    <row r="594" ht="15" customHeight="1">
      <c r="A594" t="inlineStr">
        <is>
          <t>A 50046-2020</t>
        </is>
      </c>
      <c r="B594" s="1" t="n">
        <v>44109</v>
      </c>
      <c r="C594" s="1" t="n">
        <v>45882</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26642-2023</t>
        </is>
      </c>
      <c r="B595" s="1" t="n">
        <v>45092.8975</v>
      </c>
      <c r="C595" s="1" t="n">
        <v>45882</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7818-2024</t>
        </is>
      </c>
      <c r="B596" s="1" t="n">
        <v>45349.68872685185</v>
      </c>
      <c r="C596" s="1" t="n">
        <v>45882</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17413-2025</t>
        </is>
      </c>
      <c r="B597" s="1" t="n">
        <v>45757.37480324074</v>
      </c>
      <c r="C597" s="1" t="n">
        <v>45882</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15562-2024</t>
        </is>
      </c>
      <c r="B598" s="1" t="n">
        <v>45401.64975694445</v>
      </c>
      <c r="C598" s="1" t="n">
        <v>45882</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13149-2024</t>
        </is>
      </c>
      <c r="B599" s="1" t="n">
        <v>45386</v>
      </c>
      <c r="C599" s="1" t="n">
        <v>45882</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29845-2024</t>
        </is>
      </c>
      <c r="B600" s="1" t="n">
        <v>45485.6212037037</v>
      </c>
      <c r="C600" s="1" t="n">
        <v>45882</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30109-2025</t>
        </is>
      </c>
      <c r="B601" s="1" t="n">
        <v>45826</v>
      </c>
      <c r="C601" s="1" t="n">
        <v>45882</v>
      </c>
      <c r="D601" t="inlineStr">
        <is>
          <t>SKÅNE LÄN</t>
        </is>
      </c>
      <c r="E601" t="inlineStr">
        <is>
          <t>HÄSSLEHOLM</t>
        </is>
      </c>
      <c r="G601" t="n">
        <v>2.4</v>
      </c>
      <c r="H601" t="n">
        <v>0</v>
      </c>
      <c r="I601" t="n">
        <v>0</v>
      </c>
      <c r="J601" t="n">
        <v>0</v>
      </c>
      <c r="K601" t="n">
        <v>0</v>
      </c>
      <c r="L601" t="n">
        <v>0</v>
      </c>
      <c r="M601" t="n">
        <v>0</v>
      </c>
      <c r="N601" t="n">
        <v>0</v>
      </c>
      <c r="O601" t="n">
        <v>0</v>
      </c>
      <c r="P601" t="n">
        <v>0</v>
      </c>
      <c r="Q601" t="n">
        <v>0</v>
      </c>
      <c r="R601" s="2" t="inlineStr"/>
    </row>
    <row r="602" ht="15" customHeight="1">
      <c r="A602" t="inlineStr">
        <is>
          <t>A 1703-2025</t>
        </is>
      </c>
      <c r="B602" s="1" t="n">
        <v>45670.80732638889</v>
      </c>
      <c r="C602" s="1" t="n">
        <v>45882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53466-2024</t>
        </is>
      </c>
      <c r="B603" s="1" t="n">
        <v>45614.55304398148</v>
      </c>
      <c r="C603" s="1" t="n">
        <v>45882</v>
      </c>
      <c r="D603" t="inlineStr">
        <is>
          <t>SKÅNE LÄN</t>
        </is>
      </c>
      <c r="E603" t="inlineStr">
        <is>
          <t>HÄSSLEHOLM</t>
        </is>
      </c>
      <c r="G603" t="n">
        <v>1.3</v>
      </c>
      <c r="H603" t="n">
        <v>0</v>
      </c>
      <c r="I603" t="n">
        <v>0</v>
      </c>
      <c r="J603" t="n">
        <v>0</v>
      </c>
      <c r="K603" t="n">
        <v>0</v>
      </c>
      <c r="L603" t="n">
        <v>0</v>
      </c>
      <c r="M603" t="n">
        <v>0</v>
      </c>
      <c r="N603" t="n">
        <v>0</v>
      </c>
      <c r="O603" t="n">
        <v>0</v>
      </c>
      <c r="P603" t="n">
        <v>0</v>
      </c>
      <c r="Q603" t="n">
        <v>0</v>
      </c>
      <c r="R603" s="2" t="inlineStr"/>
    </row>
    <row r="604" ht="15" customHeight="1">
      <c r="A604" t="inlineStr">
        <is>
          <t>A 61533-2024</t>
        </is>
      </c>
      <c r="B604" s="1" t="n">
        <v>45646</v>
      </c>
      <c r="C604" s="1" t="n">
        <v>45882</v>
      </c>
      <c r="D604" t="inlineStr">
        <is>
          <t>SKÅNE LÄN</t>
        </is>
      </c>
      <c r="E604" t="inlineStr">
        <is>
          <t>HÄSSLEHOLM</t>
        </is>
      </c>
      <c r="G604" t="n">
        <v>4.5</v>
      </c>
      <c r="H604" t="n">
        <v>0</v>
      </c>
      <c r="I604" t="n">
        <v>0</v>
      </c>
      <c r="J604" t="n">
        <v>0</v>
      </c>
      <c r="K604" t="n">
        <v>0</v>
      </c>
      <c r="L604" t="n">
        <v>0</v>
      </c>
      <c r="M604" t="n">
        <v>0</v>
      </c>
      <c r="N604" t="n">
        <v>0</v>
      </c>
      <c r="O604" t="n">
        <v>0</v>
      </c>
      <c r="P604" t="n">
        <v>0</v>
      </c>
      <c r="Q604" t="n">
        <v>0</v>
      </c>
      <c r="R604" s="2" t="inlineStr"/>
    </row>
    <row r="605" ht="15" customHeight="1">
      <c r="A605" t="inlineStr">
        <is>
          <t>A 19735-2023</t>
        </is>
      </c>
      <c r="B605" s="1" t="n">
        <v>45051.52199074074</v>
      </c>
      <c r="C605" s="1" t="n">
        <v>45882</v>
      </c>
      <c r="D605" t="inlineStr">
        <is>
          <t>SKÅNE LÄN</t>
        </is>
      </c>
      <c r="E605" t="inlineStr">
        <is>
          <t>HÄSSLEHOLM</t>
        </is>
      </c>
      <c r="G605" t="n">
        <v>4</v>
      </c>
      <c r="H605" t="n">
        <v>0</v>
      </c>
      <c r="I605" t="n">
        <v>0</v>
      </c>
      <c r="J605" t="n">
        <v>0</v>
      </c>
      <c r="K605" t="n">
        <v>0</v>
      </c>
      <c r="L605" t="n">
        <v>0</v>
      </c>
      <c r="M605" t="n">
        <v>0</v>
      </c>
      <c r="N605" t="n">
        <v>0</v>
      </c>
      <c r="O605" t="n">
        <v>0</v>
      </c>
      <c r="P605" t="n">
        <v>0</v>
      </c>
      <c r="Q605" t="n">
        <v>0</v>
      </c>
      <c r="R605" s="2" t="inlineStr"/>
    </row>
    <row r="606" ht="15" customHeight="1">
      <c r="A606" t="inlineStr">
        <is>
          <t>A 2490-2024</t>
        </is>
      </c>
      <c r="B606" s="1" t="n">
        <v>45313.43649305555</v>
      </c>
      <c r="C606" s="1" t="n">
        <v>45882</v>
      </c>
      <c r="D606" t="inlineStr">
        <is>
          <t>SKÅNE LÄN</t>
        </is>
      </c>
      <c r="E606" t="inlineStr">
        <is>
          <t>HÄSSLEHOLM</t>
        </is>
      </c>
      <c r="G606" t="n">
        <v>4</v>
      </c>
      <c r="H606" t="n">
        <v>0</v>
      </c>
      <c r="I606" t="n">
        <v>0</v>
      </c>
      <c r="J606" t="n">
        <v>0</v>
      </c>
      <c r="K606" t="n">
        <v>0</v>
      </c>
      <c r="L606" t="n">
        <v>0</v>
      </c>
      <c r="M606" t="n">
        <v>0</v>
      </c>
      <c r="N606" t="n">
        <v>0</v>
      </c>
      <c r="O606" t="n">
        <v>0</v>
      </c>
      <c r="P606" t="n">
        <v>0</v>
      </c>
      <c r="Q606" t="n">
        <v>0</v>
      </c>
      <c r="R606" s="2" t="inlineStr"/>
    </row>
    <row r="607" ht="15" customHeight="1">
      <c r="A607" t="inlineStr">
        <is>
          <t>A 16016-2025</t>
        </is>
      </c>
      <c r="B607" s="1" t="n">
        <v>45749.60505787037</v>
      </c>
      <c r="C607" s="1" t="n">
        <v>45882</v>
      </c>
      <c r="D607" t="inlineStr">
        <is>
          <t>SKÅNE LÄN</t>
        </is>
      </c>
      <c r="E607" t="inlineStr">
        <is>
          <t>HÄSSLEHOLM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16019-2025</t>
        </is>
      </c>
      <c r="B608" s="1" t="n">
        <v>45749.60795138889</v>
      </c>
      <c r="C608" s="1" t="n">
        <v>45882</v>
      </c>
      <c r="D608" t="inlineStr">
        <is>
          <t>SKÅNE LÄN</t>
        </is>
      </c>
      <c r="E608" t="inlineStr">
        <is>
          <t>HÄSSLEHOLM</t>
        </is>
      </c>
      <c r="G608" t="n">
        <v>1.2</v>
      </c>
      <c r="H608" t="n">
        <v>0</v>
      </c>
      <c r="I608" t="n">
        <v>0</v>
      </c>
      <c r="J608" t="n">
        <v>0</v>
      </c>
      <c r="K608" t="n">
        <v>0</v>
      </c>
      <c r="L608" t="n">
        <v>0</v>
      </c>
      <c r="M608" t="n">
        <v>0</v>
      </c>
      <c r="N608" t="n">
        <v>0</v>
      </c>
      <c r="O608" t="n">
        <v>0</v>
      </c>
      <c r="P608" t="n">
        <v>0</v>
      </c>
      <c r="Q608" t="n">
        <v>0</v>
      </c>
      <c r="R608" s="2" t="inlineStr"/>
    </row>
    <row r="609" ht="15" customHeight="1">
      <c r="A609" t="inlineStr">
        <is>
          <t>A 16860-2025</t>
        </is>
      </c>
      <c r="B609" s="1" t="n">
        <v>45751</v>
      </c>
      <c r="C609" s="1" t="n">
        <v>45882</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61537-2024</t>
        </is>
      </c>
      <c r="B610" s="1" t="n">
        <v>45646</v>
      </c>
      <c r="C610" s="1" t="n">
        <v>45882</v>
      </c>
      <c r="D610" t="inlineStr">
        <is>
          <t>SKÅNE LÄN</t>
        </is>
      </c>
      <c r="E610" t="inlineStr">
        <is>
          <t>HÄSSLEHOLM</t>
        </is>
      </c>
      <c r="G610" t="n">
        <v>3.7</v>
      </c>
      <c r="H610" t="n">
        <v>0</v>
      </c>
      <c r="I610" t="n">
        <v>0</v>
      </c>
      <c r="J610" t="n">
        <v>0</v>
      </c>
      <c r="K610" t="n">
        <v>0</v>
      </c>
      <c r="L610" t="n">
        <v>0</v>
      </c>
      <c r="M610" t="n">
        <v>0</v>
      </c>
      <c r="N610" t="n">
        <v>0</v>
      </c>
      <c r="O610" t="n">
        <v>0</v>
      </c>
      <c r="P610" t="n">
        <v>0</v>
      </c>
      <c r="Q610" t="n">
        <v>0</v>
      </c>
      <c r="R610" s="2" t="inlineStr"/>
    </row>
    <row r="611" ht="15" customHeight="1">
      <c r="A611" t="inlineStr">
        <is>
          <t>A 66321-2021</t>
        </is>
      </c>
      <c r="B611" s="1" t="n">
        <v>44518</v>
      </c>
      <c r="C611" s="1" t="n">
        <v>45882</v>
      </c>
      <c r="D611" t="inlineStr">
        <is>
          <t>SKÅNE LÄN</t>
        </is>
      </c>
      <c r="E611" t="inlineStr">
        <is>
          <t>HÄSSLEHOLM</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16668-2025</t>
        </is>
      </c>
      <c r="B612" s="1" t="n">
        <v>45754.43009259259</v>
      </c>
      <c r="C612" s="1" t="n">
        <v>45882</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34890-2023</t>
        </is>
      </c>
      <c r="B613" s="1" t="n">
        <v>45142.39475694444</v>
      </c>
      <c r="C613" s="1" t="n">
        <v>45882</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23857-2024</t>
        </is>
      </c>
      <c r="B614" s="1" t="n">
        <v>45455</v>
      </c>
      <c r="C614" s="1" t="n">
        <v>45882</v>
      </c>
      <c r="D614" t="inlineStr">
        <is>
          <t>SKÅNE LÄN</t>
        </is>
      </c>
      <c r="E614" t="inlineStr">
        <is>
          <t>HÄSSLEHOLM</t>
        </is>
      </c>
      <c r="G614" t="n">
        <v>3</v>
      </c>
      <c r="H614" t="n">
        <v>0</v>
      </c>
      <c r="I614" t="n">
        <v>0</v>
      </c>
      <c r="J614" t="n">
        <v>0</v>
      </c>
      <c r="K614" t="n">
        <v>0</v>
      </c>
      <c r="L614" t="n">
        <v>0</v>
      </c>
      <c r="M614" t="n">
        <v>0</v>
      </c>
      <c r="N614" t="n">
        <v>0</v>
      </c>
      <c r="O614" t="n">
        <v>0</v>
      </c>
      <c r="P614" t="n">
        <v>0</v>
      </c>
      <c r="Q614" t="n">
        <v>0</v>
      </c>
      <c r="R614" s="2" t="inlineStr"/>
    </row>
    <row r="615" ht="15" customHeight="1">
      <c r="A615" t="inlineStr">
        <is>
          <t>A 31268-2024</t>
        </is>
      </c>
      <c r="B615" s="1" t="n">
        <v>45504</v>
      </c>
      <c r="C615" s="1" t="n">
        <v>45882</v>
      </c>
      <c r="D615" t="inlineStr">
        <is>
          <t>SKÅNE LÄN</t>
        </is>
      </c>
      <c r="E615" t="inlineStr">
        <is>
          <t>HÄSSLEHOLM</t>
        </is>
      </c>
      <c r="G615" t="n">
        <v>1.5</v>
      </c>
      <c r="H615" t="n">
        <v>0</v>
      </c>
      <c r="I615" t="n">
        <v>0</v>
      </c>
      <c r="J615" t="n">
        <v>0</v>
      </c>
      <c r="K615" t="n">
        <v>0</v>
      </c>
      <c r="L615" t="n">
        <v>0</v>
      </c>
      <c r="M615" t="n">
        <v>0</v>
      </c>
      <c r="N615" t="n">
        <v>0</v>
      </c>
      <c r="O615" t="n">
        <v>0</v>
      </c>
      <c r="P615" t="n">
        <v>0</v>
      </c>
      <c r="Q615" t="n">
        <v>0</v>
      </c>
      <c r="R615" s="2" t="inlineStr"/>
    </row>
    <row r="616" ht="15" customHeight="1">
      <c r="A616" t="inlineStr">
        <is>
          <t>A 51287-2022</t>
        </is>
      </c>
      <c r="B616" s="1" t="n">
        <v>44868.83146990741</v>
      </c>
      <c r="C616" s="1" t="n">
        <v>45882</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22024-2025</t>
        </is>
      </c>
      <c r="B617" s="1" t="n">
        <v>45784.85322916666</v>
      </c>
      <c r="C617" s="1" t="n">
        <v>45882</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30092-2025</t>
        </is>
      </c>
      <c r="B618" s="1" t="n">
        <v>45826</v>
      </c>
      <c r="C618" s="1" t="n">
        <v>45882</v>
      </c>
      <c r="D618" t="inlineStr">
        <is>
          <t>SKÅNE LÄN</t>
        </is>
      </c>
      <c r="E618" t="inlineStr">
        <is>
          <t>HÄSSLEHOLM</t>
        </is>
      </c>
      <c r="G618" t="n">
        <v>1.4</v>
      </c>
      <c r="H618" t="n">
        <v>0</v>
      </c>
      <c r="I618" t="n">
        <v>0</v>
      </c>
      <c r="J618" t="n">
        <v>0</v>
      </c>
      <c r="K618" t="n">
        <v>0</v>
      </c>
      <c r="L618" t="n">
        <v>0</v>
      </c>
      <c r="M618" t="n">
        <v>0</v>
      </c>
      <c r="N618" t="n">
        <v>0</v>
      </c>
      <c r="O618" t="n">
        <v>0</v>
      </c>
      <c r="P618" t="n">
        <v>0</v>
      </c>
      <c r="Q618" t="n">
        <v>0</v>
      </c>
      <c r="R618" s="2" t="inlineStr"/>
    </row>
    <row r="619" ht="15" customHeight="1">
      <c r="A619" t="inlineStr">
        <is>
          <t>A 20006-2025</t>
        </is>
      </c>
      <c r="B619" s="1" t="n">
        <v>45772.05032407407</v>
      </c>
      <c r="C619" s="1" t="n">
        <v>45882</v>
      </c>
      <c r="D619" t="inlineStr">
        <is>
          <t>SKÅNE LÄN</t>
        </is>
      </c>
      <c r="E619" t="inlineStr">
        <is>
          <t>HÄSSLEHOLM</t>
        </is>
      </c>
      <c r="G619" t="n">
        <v>3.9</v>
      </c>
      <c r="H619" t="n">
        <v>0</v>
      </c>
      <c r="I619" t="n">
        <v>0</v>
      </c>
      <c r="J619" t="n">
        <v>0</v>
      </c>
      <c r="K619" t="n">
        <v>0</v>
      </c>
      <c r="L619" t="n">
        <v>0</v>
      </c>
      <c r="M619" t="n">
        <v>0</v>
      </c>
      <c r="N619" t="n">
        <v>0</v>
      </c>
      <c r="O619" t="n">
        <v>0</v>
      </c>
      <c r="P619" t="n">
        <v>0</v>
      </c>
      <c r="Q619" t="n">
        <v>0</v>
      </c>
      <c r="R619" s="2" t="inlineStr"/>
    </row>
    <row r="620" ht="15" customHeight="1">
      <c r="A620" t="inlineStr">
        <is>
          <t>A 20494-2024</t>
        </is>
      </c>
      <c r="B620" s="1" t="n">
        <v>45435</v>
      </c>
      <c r="C620" s="1" t="n">
        <v>45882</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55454-2021</t>
        </is>
      </c>
      <c r="B621" s="1" t="n">
        <v>44475</v>
      </c>
      <c r="C621" s="1" t="n">
        <v>45882</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56735-2024</t>
        </is>
      </c>
      <c r="B622" s="1" t="n">
        <v>45628.36234953703</v>
      </c>
      <c r="C622" s="1" t="n">
        <v>45882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29844-2024</t>
        </is>
      </c>
      <c r="B623" s="1" t="n">
        <v>45485</v>
      </c>
      <c r="C623" s="1" t="n">
        <v>45882</v>
      </c>
      <c r="D623" t="inlineStr">
        <is>
          <t>SKÅNE LÄN</t>
        </is>
      </c>
      <c r="E623" t="inlineStr">
        <is>
          <t>HÄSSLEHOLM</t>
        </is>
      </c>
      <c r="G623" t="n">
        <v>1.9</v>
      </c>
      <c r="H623" t="n">
        <v>0</v>
      </c>
      <c r="I623" t="n">
        <v>0</v>
      </c>
      <c r="J623" t="n">
        <v>0</v>
      </c>
      <c r="K623" t="n">
        <v>0</v>
      </c>
      <c r="L623" t="n">
        <v>0</v>
      </c>
      <c r="M623" t="n">
        <v>0</v>
      </c>
      <c r="N623" t="n">
        <v>0</v>
      </c>
      <c r="O623" t="n">
        <v>0</v>
      </c>
      <c r="P623" t="n">
        <v>0</v>
      </c>
      <c r="Q623" t="n">
        <v>0</v>
      </c>
      <c r="R623" s="2" t="inlineStr"/>
    </row>
    <row r="624" ht="15" customHeight="1">
      <c r="A624" t="inlineStr">
        <is>
          <t>A 31572-2022</t>
        </is>
      </c>
      <c r="B624" s="1" t="n">
        <v>44775</v>
      </c>
      <c r="C624" s="1" t="n">
        <v>45882</v>
      </c>
      <c r="D624" t="inlineStr">
        <is>
          <t>SKÅNE LÄN</t>
        </is>
      </c>
      <c r="E624" t="inlineStr">
        <is>
          <t>HÄSSLEHOLM</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28071-2023</t>
        </is>
      </c>
      <c r="B625" s="1" t="n">
        <v>45099.37755787037</v>
      </c>
      <c r="C625" s="1" t="n">
        <v>45882</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4356-2024</t>
        </is>
      </c>
      <c r="B626" s="1" t="n">
        <v>45325.36195601852</v>
      </c>
      <c r="C626" s="1" t="n">
        <v>45882</v>
      </c>
      <c r="D626" t="inlineStr">
        <is>
          <t>SKÅNE LÄN</t>
        </is>
      </c>
      <c r="E626" t="inlineStr">
        <is>
          <t>HÄSSLEHOLM</t>
        </is>
      </c>
      <c r="G626" t="n">
        <v>3.2</v>
      </c>
      <c r="H626" t="n">
        <v>0</v>
      </c>
      <c r="I626" t="n">
        <v>0</v>
      </c>
      <c r="J626" t="n">
        <v>0</v>
      </c>
      <c r="K626" t="n">
        <v>0</v>
      </c>
      <c r="L626" t="n">
        <v>0</v>
      </c>
      <c r="M626" t="n">
        <v>0</v>
      </c>
      <c r="N626" t="n">
        <v>0</v>
      </c>
      <c r="O626" t="n">
        <v>0</v>
      </c>
      <c r="P626" t="n">
        <v>0</v>
      </c>
      <c r="Q626" t="n">
        <v>0</v>
      </c>
      <c r="R626" s="2" t="inlineStr"/>
    </row>
    <row r="627" ht="15" customHeight="1">
      <c r="A627" t="inlineStr">
        <is>
          <t>A 18648-2021</t>
        </is>
      </c>
      <c r="B627" s="1" t="n">
        <v>44306.70583333333</v>
      </c>
      <c r="C627" s="1" t="n">
        <v>45882</v>
      </c>
      <c r="D627" t="inlineStr">
        <is>
          <t>SKÅNE LÄN</t>
        </is>
      </c>
      <c r="E627" t="inlineStr">
        <is>
          <t>HÄSSLEHOLM</t>
        </is>
      </c>
      <c r="G627" t="n">
        <v>2.5</v>
      </c>
      <c r="H627" t="n">
        <v>0</v>
      </c>
      <c r="I627" t="n">
        <v>0</v>
      </c>
      <c r="J627" t="n">
        <v>0</v>
      </c>
      <c r="K627" t="n">
        <v>0</v>
      </c>
      <c r="L627" t="n">
        <v>0</v>
      </c>
      <c r="M627" t="n">
        <v>0</v>
      </c>
      <c r="N627" t="n">
        <v>0</v>
      </c>
      <c r="O627" t="n">
        <v>0</v>
      </c>
      <c r="P627" t="n">
        <v>0</v>
      </c>
      <c r="Q627" t="n">
        <v>0</v>
      </c>
      <c r="R627" s="2" t="inlineStr"/>
    </row>
    <row r="628" ht="15" customHeight="1">
      <c r="A628" t="inlineStr">
        <is>
          <t>A 23946-2023</t>
        </is>
      </c>
      <c r="B628" s="1" t="n">
        <v>45078.61601851852</v>
      </c>
      <c r="C628" s="1" t="n">
        <v>45882</v>
      </c>
      <c r="D628" t="inlineStr">
        <is>
          <t>SKÅNE LÄN</t>
        </is>
      </c>
      <c r="E628" t="inlineStr">
        <is>
          <t>HÄSSLEHOLM</t>
        </is>
      </c>
      <c r="G628" t="n">
        <v>0.2</v>
      </c>
      <c r="H628" t="n">
        <v>0</v>
      </c>
      <c r="I628" t="n">
        <v>0</v>
      </c>
      <c r="J628" t="n">
        <v>0</v>
      </c>
      <c r="K628" t="n">
        <v>0</v>
      </c>
      <c r="L628" t="n">
        <v>0</v>
      </c>
      <c r="M628" t="n">
        <v>0</v>
      </c>
      <c r="N628" t="n">
        <v>0</v>
      </c>
      <c r="O628" t="n">
        <v>0</v>
      </c>
      <c r="P628" t="n">
        <v>0</v>
      </c>
      <c r="Q628" t="n">
        <v>0</v>
      </c>
      <c r="R628" s="2" t="inlineStr"/>
    </row>
    <row r="629" ht="15" customHeight="1">
      <c r="A629" t="inlineStr">
        <is>
          <t>A 22678-2025</t>
        </is>
      </c>
      <c r="B629" s="1" t="n">
        <v>45789.49725694444</v>
      </c>
      <c r="C629" s="1" t="n">
        <v>45882</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41459-2022</t>
        </is>
      </c>
      <c r="B630" s="1" t="n">
        <v>44826.93372685185</v>
      </c>
      <c r="C630" s="1" t="n">
        <v>45882</v>
      </c>
      <c r="D630" t="inlineStr">
        <is>
          <t>SKÅNE LÄN</t>
        </is>
      </c>
      <c r="E630" t="inlineStr">
        <is>
          <t>HÄSSLEHOLM</t>
        </is>
      </c>
      <c r="G630" t="n">
        <v>2.3</v>
      </c>
      <c r="H630" t="n">
        <v>0</v>
      </c>
      <c r="I630" t="n">
        <v>0</v>
      </c>
      <c r="J630" t="n">
        <v>0</v>
      </c>
      <c r="K630" t="n">
        <v>0</v>
      </c>
      <c r="L630" t="n">
        <v>0</v>
      </c>
      <c r="M630" t="n">
        <v>0</v>
      </c>
      <c r="N630" t="n">
        <v>0</v>
      </c>
      <c r="O630" t="n">
        <v>0</v>
      </c>
      <c r="P630" t="n">
        <v>0</v>
      </c>
      <c r="Q630" t="n">
        <v>0</v>
      </c>
      <c r="R630" s="2" t="inlineStr"/>
    </row>
    <row r="631" ht="15" customHeight="1">
      <c r="A631" t="inlineStr">
        <is>
          <t>A 3480-2024</t>
        </is>
      </c>
      <c r="B631" s="1" t="n">
        <v>45320.43998842593</v>
      </c>
      <c r="C631" s="1" t="n">
        <v>45882</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5980-2024</t>
        </is>
      </c>
      <c r="B632" s="1" t="n">
        <v>45335</v>
      </c>
      <c r="C632" s="1" t="n">
        <v>45882</v>
      </c>
      <c r="D632" t="inlineStr">
        <is>
          <t>SKÅNE LÄN</t>
        </is>
      </c>
      <c r="E632" t="inlineStr">
        <is>
          <t>HÄSSLEHOLM</t>
        </is>
      </c>
      <c r="G632" t="n">
        <v>1.2</v>
      </c>
      <c r="H632" t="n">
        <v>0</v>
      </c>
      <c r="I632" t="n">
        <v>0</v>
      </c>
      <c r="J632" t="n">
        <v>0</v>
      </c>
      <c r="K632" t="n">
        <v>0</v>
      </c>
      <c r="L632" t="n">
        <v>0</v>
      </c>
      <c r="M632" t="n">
        <v>0</v>
      </c>
      <c r="N632" t="n">
        <v>0</v>
      </c>
      <c r="O632" t="n">
        <v>0</v>
      </c>
      <c r="P632" t="n">
        <v>0</v>
      </c>
      <c r="Q632" t="n">
        <v>0</v>
      </c>
      <c r="R632" s="2" t="inlineStr"/>
    </row>
    <row r="633" ht="15" customHeight="1">
      <c r="A633" t="inlineStr">
        <is>
          <t>A 55662-2022</t>
        </is>
      </c>
      <c r="B633" s="1" t="n">
        <v>44883</v>
      </c>
      <c r="C633" s="1" t="n">
        <v>45882</v>
      </c>
      <c r="D633" t="inlineStr">
        <is>
          <t>SKÅNE LÄN</t>
        </is>
      </c>
      <c r="E633" t="inlineStr">
        <is>
          <t>HÄSSLEHOLM</t>
        </is>
      </c>
      <c r="F633" t="inlineStr">
        <is>
          <t>Övriga Aktiebolag</t>
        </is>
      </c>
      <c r="G633" t="n">
        <v>2.6</v>
      </c>
      <c r="H633" t="n">
        <v>0</v>
      </c>
      <c r="I633" t="n">
        <v>0</v>
      </c>
      <c r="J633" t="n">
        <v>0</v>
      </c>
      <c r="K633" t="n">
        <v>0</v>
      </c>
      <c r="L633" t="n">
        <v>0</v>
      </c>
      <c r="M633" t="n">
        <v>0</v>
      </c>
      <c r="N633" t="n">
        <v>0</v>
      </c>
      <c r="O633" t="n">
        <v>0</v>
      </c>
      <c r="P633" t="n">
        <v>0</v>
      </c>
      <c r="Q633" t="n">
        <v>0</v>
      </c>
      <c r="R633" s="2" t="inlineStr"/>
    </row>
    <row r="634" ht="15" customHeight="1">
      <c r="A634" t="inlineStr">
        <is>
          <t>A 10802-2024</t>
        </is>
      </c>
      <c r="B634" s="1" t="n">
        <v>45369</v>
      </c>
      <c r="C634" s="1" t="n">
        <v>45882</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45653-2024</t>
        </is>
      </c>
      <c r="B635" s="1" t="n">
        <v>45579.48872685185</v>
      </c>
      <c r="C635" s="1" t="n">
        <v>45882</v>
      </c>
      <c r="D635" t="inlineStr">
        <is>
          <t>SKÅNE LÄN</t>
        </is>
      </c>
      <c r="E635" t="inlineStr">
        <is>
          <t>HÄSSLEHOLM</t>
        </is>
      </c>
      <c r="G635" t="n">
        <v>2.6</v>
      </c>
      <c r="H635" t="n">
        <v>0</v>
      </c>
      <c r="I635" t="n">
        <v>0</v>
      </c>
      <c r="J635" t="n">
        <v>0</v>
      </c>
      <c r="K635" t="n">
        <v>0</v>
      </c>
      <c r="L635" t="n">
        <v>0</v>
      </c>
      <c r="M635" t="n">
        <v>0</v>
      </c>
      <c r="N635" t="n">
        <v>0</v>
      </c>
      <c r="O635" t="n">
        <v>0</v>
      </c>
      <c r="P635" t="n">
        <v>0</v>
      </c>
      <c r="Q635" t="n">
        <v>0</v>
      </c>
      <c r="R635" s="2" t="inlineStr"/>
    </row>
    <row r="636" ht="15" customHeight="1">
      <c r="A636" t="inlineStr">
        <is>
          <t>A 3886-2024</t>
        </is>
      </c>
      <c r="B636" s="1" t="n">
        <v>45322.44539351852</v>
      </c>
      <c r="C636" s="1" t="n">
        <v>45882</v>
      </c>
      <c r="D636" t="inlineStr">
        <is>
          <t>SKÅNE LÄN</t>
        </is>
      </c>
      <c r="E636" t="inlineStr">
        <is>
          <t>HÄSSLEHOLM</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9924-2025</t>
        </is>
      </c>
      <c r="B637" s="1" t="n">
        <v>45717.72505787037</v>
      </c>
      <c r="C637" s="1" t="n">
        <v>45882</v>
      </c>
      <c r="D637" t="inlineStr">
        <is>
          <t>SKÅNE LÄN</t>
        </is>
      </c>
      <c r="E637" t="inlineStr">
        <is>
          <t>HÄSSLEHOLM</t>
        </is>
      </c>
      <c r="G637" t="n">
        <v>1.5</v>
      </c>
      <c r="H637" t="n">
        <v>0</v>
      </c>
      <c r="I637" t="n">
        <v>0</v>
      </c>
      <c r="J637" t="n">
        <v>0</v>
      </c>
      <c r="K637" t="n">
        <v>0</v>
      </c>
      <c r="L637" t="n">
        <v>0</v>
      </c>
      <c r="M637" t="n">
        <v>0</v>
      </c>
      <c r="N637" t="n">
        <v>0</v>
      </c>
      <c r="O637" t="n">
        <v>0</v>
      </c>
      <c r="P637" t="n">
        <v>0</v>
      </c>
      <c r="Q637" t="n">
        <v>0</v>
      </c>
      <c r="R637" s="2" t="inlineStr"/>
    </row>
    <row r="638" ht="15" customHeight="1">
      <c r="A638" t="inlineStr">
        <is>
          <t>A 22587-2025</t>
        </is>
      </c>
      <c r="B638" s="1" t="n">
        <v>45789.39974537037</v>
      </c>
      <c r="C638" s="1" t="n">
        <v>45882</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60920-2024</t>
        </is>
      </c>
      <c r="B639" s="1" t="n">
        <v>45645.34442129629</v>
      </c>
      <c r="C639" s="1" t="n">
        <v>45882</v>
      </c>
      <c r="D639" t="inlineStr">
        <is>
          <t>SKÅNE LÄN</t>
        </is>
      </c>
      <c r="E639" t="inlineStr">
        <is>
          <t>HÄSSLEHOLM</t>
        </is>
      </c>
      <c r="G639" t="n">
        <v>2.6</v>
      </c>
      <c r="H639" t="n">
        <v>0</v>
      </c>
      <c r="I639" t="n">
        <v>0</v>
      </c>
      <c r="J639" t="n">
        <v>0</v>
      </c>
      <c r="K639" t="n">
        <v>0</v>
      </c>
      <c r="L639" t="n">
        <v>0</v>
      </c>
      <c r="M639" t="n">
        <v>0</v>
      </c>
      <c r="N639" t="n">
        <v>0</v>
      </c>
      <c r="O639" t="n">
        <v>0</v>
      </c>
      <c r="P639" t="n">
        <v>0</v>
      </c>
      <c r="Q639" t="n">
        <v>0</v>
      </c>
      <c r="R639" s="2" t="inlineStr"/>
    </row>
    <row r="640" ht="15" customHeight="1">
      <c r="A640" t="inlineStr">
        <is>
          <t>A 40536-2024</t>
        </is>
      </c>
      <c r="B640" s="1" t="n">
        <v>45555.61314814815</v>
      </c>
      <c r="C640" s="1" t="n">
        <v>45882</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9322-2025</t>
        </is>
      </c>
      <c r="B641" s="1" t="n">
        <v>45714.72241898148</v>
      </c>
      <c r="C641" s="1" t="n">
        <v>45882</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56386-2023</t>
        </is>
      </c>
      <c r="B642" s="1" t="n">
        <v>45243</v>
      </c>
      <c r="C642" s="1" t="n">
        <v>45882</v>
      </c>
      <c r="D642" t="inlineStr">
        <is>
          <t>SKÅNE LÄN</t>
        </is>
      </c>
      <c r="E642" t="inlineStr">
        <is>
          <t>HÄSSLEHOLM</t>
        </is>
      </c>
      <c r="G642" t="n">
        <v>2</v>
      </c>
      <c r="H642" t="n">
        <v>0</v>
      </c>
      <c r="I642" t="n">
        <v>0</v>
      </c>
      <c r="J642" t="n">
        <v>0</v>
      </c>
      <c r="K642" t="n">
        <v>0</v>
      </c>
      <c r="L642" t="n">
        <v>0</v>
      </c>
      <c r="M642" t="n">
        <v>0</v>
      </c>
      <c r="N642" t="n">
        <v>0</v>
      </c>
      <c r="O642" t="n">
        <v>0</v>
      </c>
      <c r="P642" t="n">
        <v>0</v>
      </c>
      <c r="Q642" t="n">
        <v>0</v>
      </c>
      <c r="R642" s="2" t="inlineStr"/>
    </row>
    <row r="643" ht="15" customHeight="1">
      <c r="A643" t="inlineStr">
        <is>
          <t>A 29274-2023</t>
        </is>
      </c>
      <c r="B643" s="1" t="n">
        <v>45105</v>
      </c>
      <c r="C643" s="1" t="n">
        <v>45882</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61932-2023</t>
        </is>
      </c>
      <c r="B644" s="1" t="n">
        <v>45266.53761574074</v>
      </c>
      <c r="C644" s="1" t="n">
        <v>45882</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27606-2024</t>
        </is>
      </c>
      <c r="B645" s="1" t="n">
        <v>45474</v>
      </c>
      <c r="C645" s="1" t="n">
        <v>45882</v>
      </c>
      <c r="D645" t="inlineStr">
        <is>
          <t>SKÅNE LÄN</t>
        </is>
      </c>
      <c r="E645" t="inlineStr">
        <is>
          <t>HÄSSLEHOLM</t>
        </is>
      </c>
      <c r="G645" t="n">
        <v>3.6</v>
      </c>
      <c r="H645" t="n">
        <v>0</v>
      </c>
      <c r="I645" t="n">
        <v>0</v>
      </c>
      <c r="J645" t="n">
        <v>0</v>
      </c>
      <c r="K645" t="n">
        <v>0</v>
      </c>
      <c r="L645" t="n">
        <v>0</v>
      </c>
      <c r="M645" t="n">
        <v>0</v>
      </c>
      <c r="N645" t="n">
        <v>0</v>
      </c>
      <c r="O645" t="n">
        <v>0</v>
      </c>
      <c r="P645" t="n">
        <v>0</v>
      </c>
      <c r="Q645" t="n">
        <v>0</v>
      </c>
      <c r="R645" s="2" t="inlineStr"/>
    </row>
    <row r="646" ht="15" customHeight="1">
      <c r="A646" t="inlineStr">
        <is>
          <t>A 29847-2024</t>
        </is>
      </c>
      <c r="B646" s="1" t="n">
        <v>45485.6278587963</v>
      </c>
      <c r="C646" s="1" t="n">
        <v>45882</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50244-2024</t>
        </is>
      </c>
      <c r="B647" s="1" t="n">
        <v>45600.56502314815</v>
      </c>
      <c r="C647" s="1" t="n">
        <v>45882</v>
      </c>
      <c r="D647" t="inlineStr">
        <is>
          <t>SKÅNE LÄN</t>
        </is>
      </c>
      <c r="E647" t="inlineStr">
        <is>
          <t>HÄSSLEHOLM</t>
        </is>
      </c>
      <c r="G647" t="n">
        <v>1.9</v>
      </c>
      <c r="H647" t="n">
        <v>0</v>
      </c>
      <c r="I647" t="n">
        <v>0</v>
      </c>
      <c r="J647" t="n">
        <v>0</v>
      </c>
      <c r="K647" t="n">
        <v>0</v>
      </c>
      <c r="L647" t="n">
        <v>0</v>
      </c>
      <c r="M647" t="n">
        <v>0</v>
      </c>
      <c r="N647" t="n">
        <v>0</v>
      </c>
      <c r="O647" t="n">
        <v>0</v>
      </c>
      <c r="P647" t="n">
        <v>0</v>
      </c>
      <c r="Q647" t="n">
        <v>0</v>
      </c>
      <c r="R647" s="2" t="inlineStr"/>
    </row>
    <row r="648" ht="15" customHeight="1">
      <c r="A648" t="inlineStr">
        <is>
          <t>A 7221-2025</t>
        </is>
      </c>
      <c r="B648" s="1" t="n">
        <v>45701</v>
      </c>
      <c r="C648" s="1" t="n">
        <v>45882</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5532-2025</t>
        </is>
      </c>
      <c r="B649" s="1" t="n">
        <v>45693</v>
      </c>
      <c r="C649" s="1" t="n">
        <v>45882</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260-2024</t>
        </is>
      </c>
      <c r="B650" s="1" t="n">
        <v>45294</v>
      </c>
      <c r="C650" s="1" t="n">
        <v>45882</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22384-2024</t>
        </is>
      </c>
      <c r="B651" s="1" t="n">
        <v>45446.65592592592</v>
      </c>
      <c r="C651" s="1" t="n">
        <v>45882</v>
      </c>
      <c r="D651" t="inlineStr">
        <is>
          <t>SKÅNE LÄN</t>
        </is>
      </c>
      <c r="E651" t="inlineStr">
        <is>
          <t>HÄSSLEHOLM</t>
        </is>
      </c>
      <c r="G651" t="n">
        <v>2.4</v>
      </c>
      <c r="H651" t="n">
        <v>0</v>
      </c>
      <c r="I651" t="n">
        <v>0</v>
      </c>
      <c r="J651" t="n">
        <v>0</v>
      </c>
      <c r="K651" t="n">
        <v>0</v>
      </c>
      <c r="L651" t="n">
        <v>0</v>
      </c>
      <c r="M651" t="n">
        <v>0</v>
      </c>
      <c r="N651" t="n">
        <v>0</v>
      </c>
      <c r="O651" t="n">
        <v>0</v>
      </c>
      <c r="P651" t="n">
        <v>0</v>
      </c>
      <c r="Q651" t="n">
        <v>0</v>
      </c>
      <c r="R651" s="2" t="inlineStr"/>
    </row>
    <row r="652" ht="15" customHeight="1">
      <c r="A652" t="inlineStr">
        <is>
          <t>A 10230-2025</t>
        </is>
      </c>
      <c r="B652" s="1" t="n">
        <v>45720</v>
      </c>
      <c r="C652" s="1" t="n">
        <v>45882</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33266-2024</t>
        </is>
      </c>
      <c r="B653" s="1" t="n">
        <v>45518</v>
      </c>
      <c r="C653" s="1" t="n">
        <v>45882</v>
      </c>
      <c r="D653" t="inlineStr">
        <is>
          <t>SKÅNE LÄN</t>
        </is>
      </c>
      <c r="E653" t="inlineStr">
        <is>
          <t>HÄSSLEHOLM</t>
        </is>
      </c>
      <c r="G653" t="n">
        <v>3.2</v>
      </c>
      <c r="H653" t="n">
        <v>0</v>
      </c>
      <c r="I653" t="n">
        <v>0</v>
      </c>
      <c r="J653" t="n">
        <v>0</v>
      </c>
      <c r="K653" t="n">
        <v>0</v>
      </c>
      <c r="L653" t="n">
        <v>0</v>
      </c>
      <c r="M653" t="n">
        <v>0</v>
      </c>
      <c r="N653" t="n">
        <v>0</v>
      </c>
      <c r="O653" t="n">
        <v>0</v>
      </c>
      <c r="P653" t="n">
        <v>0</v>
      </c>
      <c r="Q653" t="n">
        <v>0</v>
      </c>
      <c r="R653" s="2" t="inlineStr"/>
    </row>
    <row r="654" ht="15" customHeight="1">
      <c r="A654" t="inlineStr">
        <is>
          <t>A 40780-2022</t>
        </is>
      </c>
      <c r="B654" s="1" t="n">
        <v>44820</v>
      </c>
      <c r="C654" s="1" t="n">
        <v>45882</v>
      </c>
      <c r="D654" t="inlineStr">
        <is>
          <t>SKÅNE LÄN</t>
        </is>
      </c>
      <c r="E654" t="inlineStr">
        <is>
          <t>HÄSSLEHOLM</t>
        </is>
      </c>
      <c r="G654" t="n">
        <v>7.4</v>
      </c>
      <c r="H654" t="n">
        <v>0</v>
      </c>
      <c r="I654" t="n">
        <v>0</v>
      </c>
      <c r="J654" t="n">
        <v>0</v>
      </c>
      <c r="K654" t="n">
        <v>0</v>
      </c>
      <c r="L654" t="n">
        <v>0</v>
      </c>
      <c r="M654" t="n">
        <v>0</v>
      </c>
      <c r="N654" t="n">
        <v>0</v>
      </c>
      <c r="O654" t="n">
        <v>0</v>
      </c>
      <c r="P654" t="n">
        <v>0</v>
      </c>
      <c r="Q654" t="n">
        <v>0</v>
      </c>
      <c r="R654" s="2" t="inlineStr"/>
    </row>
    <row r="655" ht="15" customHeight="1">
      <c r="A655" t="inlineStr">
        <is>
          <t>A 48797-2023</t>
        </is>
      </c>
      <c r="B655" s="1" t="n">
        <v>45209.24986111111</v>
      </c>
      <c r="C655" s="1" t="n">
        <v>45882</v>
      </c>
      <c r="D655" t="inlineStr">
        <is>
          <t>SKÅNE LÄN</t>
        </is>
      </c>
      <c r="E655" t="inlineStr">
        <is>
          <t>HÄSSLEHOLM</t>
        </is>
      </c>
      <c r="G655" t="n">
        <v>1.2</v>
      </c>
      <c r="H655" t="n">
        <v>0</v>
      </c>
      <c r="I655" t="n">
        <v>0</v>
      </c>
      <c r="J655" t="n">
        <v>0</v>
      </c>
      <c r="K655" t="n">
        <v>0</v>
      </c>
      <c r="L655" t="n">
        <v>0</v>
      </c>
      <c r="M655" t="n">
        <v>0</v>
      </c>
      <c r="N655" t="n">
        <v>0</v>
      </c>
      <c r="O655" t="n">
        <v>0</v>
      </c>
      <c r="P655" t="n">
        <v>0</v>
      </c>
      <c r="Q655" t="n">
        <v>0</v>
      </c>
      <c r="R655" s="2" t="inlineStr"/>
    </row>
    <row r="656" ht="15" customHeight="1">
      <c r="A656" t="inlineStr">
        <is>
          <t>A 22592-2025</t>
        </is>
      </c>
      <c r="B656" s="1" t="n">
        <v>45789.40502314815</v>
      </c>
      <c r="C656" s="1" t="n">
        <v>45882</v>
      </c>
      <c r="D656" t="inlineStr">
        <is>
          <t>SKÅNE LÄN</t>
        </is>
      </c>
      <c r="E656" t="inlineStr">
        <is>
          <t>HÄSSLEHOLM</t>
        </is>
      </c>
      <c r="G656" t="n">
        <v>7.1</v>
      </c>
      <c r="H656" t="n">
        <v>0</v>
      </c>
      <c r="I656" t="n">
        <v>0</v>
      </c>
      <c r="J656" t="n">
        <v>0</v>
      </c>
      <c r="K656" t="n">
        <v>0</v>
      </c>
      <c r="L656" t="n">
        <v>0</v>
      </c>
      <c r="M656" t="n">
        <v>0</v>
      </c>
      <c r="N656" t="n">
        <v>0</v>
      </c>
      <c r="O656" t="n">
        <v>0</v>
      </c>
      <c r="P656" t="n">
        <v>0</v>
      </c>
      <c r="Q656" t="n">
        <v>0</v>
      </c>
      <c r="R656" s="2" t="inlineStr"/>
    </row>
    <row r="657" ht="15" customHeight="1">
      <c r="A657" t="inlineStr">
        <is>
          <t>A 5316-2023</t>
        </is>
      </c>
      <c r="B657" s="1" t="n">
        <v>44959</v>
      </c>
      <c r="C657" s="1" t="n">
        <v>45882</v>
      </c>
      <c r="D657" t="inlineStr">
        <is>
          <t>SKÅNE LÄN</t>
        </is>
      </c>
      <c r="E657" t="inlineStr">
        <is>
          <t>HÄSSLEHOLM</t>
        </is>
      </c>
      <c r="G657" t="n">
        <v>2.1</v>
      </c>
      <c r="H657" t="n">
        <v>0</v>
      </c>
      <c r="I657" t="n">
        <v>0</v>
      </c>
      <c r="J657" t="n">
        <v>0</v>
      </c>
      <c r="K657" t="n">
        <v>0</v>
      </c>
      <c r="L657" t="n">
        <v>0</v>
      </c>
      <c r="M657" t="n">
        <v>0</v>
      </c>
      <c r="N657" t="n">
        <v>0</v>
      </c>
      <c r="O657" t="n">
        <v>0</v>
      </c>
      <c r="P657" t="n">
        <v>0</v>
      </c>
      <c r="Q657" t="n">
        <v>0</v>
      </c>
      <c r="R657" s="2" t="inlineStr"/>
    </row>
    <row r="658" ht="15" customHeight="1">
      <c r="A658" t="inlineStr">
        <is>
          <t>A 23007-2025</t>
        </is>
      </c>
      <c r="B658" s="1" t="n">
        <v>45790</v>
      </c>
      <c r="C658" s="1" t="n">
        <v>45882</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51571-2023</t>
        </is>
      </c>
      <c r="B659" s="1" t="n">
        <v>45222</v>
      </c>
      <c r="C659" s="1" t="n">
        <v>45882</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17171-2025</t>
        </is>
      </c>
      <c r="B660" s="1" t="n">
        <v>45755</v>
      </c>
      <c r="C660" s="1" t="n">
        <v>45882</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49181-2024</t>
        </is>
      </c>
      <c r="B661" s="1" t="n">
        <v>45595</v>
      </c>
      <c r="C661" s="1" t="n">
        <v>45882</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16930-2024</t>
        </is>
      </c>
      <c r="B662" s="1" t="n">
        <v>45411</v>
      </c>
      <c r="C662" s="1" t="n">
        <v>45882</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27825-2024</t>
        </is>
      </c>
      <c r="B663" s="1" t="n">
        <v>45475</v>
      </c>
      <c r="C663" s="1" t="n">
        <v>45882</v>
      </c>
      <c r="D663" t="inlineStr">
        <is>
          <t>SKÅNE LÄN</t>
        </is>
      </c>
      <c r="E663" t="inlineStr">
        <is>
          <t>HÄSSLEHOLM</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32794-2023</t>
        </is>
      </c>
      <c r="B664" s="1" t="n">
        <v>45124.40446759259</v>
      </c>
      <c r="C664" s="1" t="n">
        <v>45882</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61436-2024</t>
        </is>
      </c>
      <c r="B665" s="1" t="n">
        <v>45646.46329861111</v>
      </c>
      <c r="C665" s="1" t="n">
        <v>45882</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31254-2024</t>
        </is>
      </c>
      <c r="B666" s="1" t="n">
        <v>45503</v>
      </c>
      <c r="C666" s="1" t="n">
        <v>45882</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37300-2023</t>
        </is>
      </c>
      <c r="B667" s="1" t="n">
        <v>45156</v>
      </c>
      <c r="C667" s="1" t="n">
        <v>45882</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37486-2024</t>
        </is>
      </c>
      <c r="B668" s="1" t="n">
        <v>45541</v>
      </c>
      <c r="C668" s="1" t="n">
        <v>45882</v>
      </c>
      <c r="D668" t="inlineStr">
        <is>
          <t>SKÅNE LÄN</t>
        </is>
      </c>
      <c r="E668" t="inlineStr">
        <is>
          <t>HÄSSLEHOLM</t>
        </is>
      </c>
      <c r="G668" t="n">
        <v>8.5</v>
      </c>
      <c r="H668" t="n">
        <v>0</v>
      </c>
      <c r="I668" t="n">
        <v>0</v>
      </c>
      <c r="J668" t="n">
        <v>0</v>
      </c>
      <c r="K668" t="n">
        <v>0</v>
      </c>
      <c r="L668" t="n">
        <v>0</v>
      </c>
      <c r="M668" t="n">
        <v>0</v>
      </c>
      <c r="N668" t="n">
        <v>0</v>
      </c>
      <c r="O668" t="n">
        <v>0</v>
      </c>
      <c r="P668" t="n">
        <v>0</v>
      </c>
      <c r="Q668" t="n">
        <v>0</v>
      </c>
      <c r="R668" s="2" t="inlineStr"/>
    </row>
    <row r="669" ht="15" customHeight="1">
      <c r="A669" t="inlineStr">
        <is>
          <t>A 11753-2025</t>
        </is>
      </c>
      <c r="B669" s="1" t="n">
        <v>45727</v>
      </c>
      <c r="C669" s="1" t="n">
        <v>45882</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35644-2023</t>
        </is>
      </c>
      <c r="B670" s="1" t="n">
        <v>45147</v>
      </c>
      <c r="C670" s="1" t="n">
        <v>45882</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44838-2023</t>
        </is>
      </c>
      <c r="B671" s="1" t="n">
        <v>45190</v>
      </c>
      <c r="C671" s="1" t="n">
        <v>45882</v>
      </c>
      <c r="D671" t="inlineStr">
        <is>
          <t>SKÅNE LÄN</t>
        </is>
      </c>
      <c r="E671" t="inlineStr">
        <is>
          <t>HÄSSLEHOLM</t>
        </is>
      </c>
      <c r="F671" t="inlineStr">
        <is>
          <t>Kommuner</t>
        </is>
      </c>
      <c r="G671" t="n">
        <v>2</v>
      </c>
      <c r="H671" t="n">
        <v>0</v>
      </c>
      <c r="I671" t="n">
        <v>0</v>
      </c>
      <c r="J671" t="n">
        <v>0</v>
      </c>
      <c r="K671" t="n">
        <v>0</v>
      </c>
      <c r="L671" t="n">
        <v>0</v>
      </c>
      <c r="M671" t="n">
        <v>0</v>
      </c>
      <c r="N671" t="n">
        <v>0</v>
      </c>
      <c r="O671" t="n">
        <v>0</v>
      </c>
      <c r="P671" t="n">
        <v>0</v>
      </c>
      <c r="Q671" t="n">
        <v>0</v>
      </c>
      <c r="R671" s="2" t="inlineStr"/>
    </row>
    <row r="672" ht="15" customHeight="1">
      <c r="A672" t="inlineStr">
        <is>
          <t>A 43874-2022</t>
        </is>
      </c>
      <c r="B672" s="1" t="n">
        <v>44838.44738425926</v>
      </c>
      <c r="C672" s="1" t="n">
        <v>45882</v>
      </c>
      <c r="D672" t="inlineStr">
        <is>
          <t>SKÅNE LÄN</t>
        </is>
      </c>
      <c r="E672" t="inlineStr">
        <is>
          <t>HÄSSLEHOLM</t>
        </is>
      </c>
      <c r="G672" t="n">
        <v>2.1</v>
      </c>
      <c r="H672" t="n">
        <v>0</v>
      </c>
      <c r="I672" t="n">
        <v>0</v>
      </c>
      <c r="J672" t="n">
        <v>0</v>
      </c>
      <c r="K672" t="n">
        <v>0</v>
      </c>
      <c r="L672" t="n">
        <v>0</v>
      </c>
      <c r="M672" t="n">
        <v>0</v>
      </c>
      <c r="N672" t="n">
        <v>0</v>
      </c>
      <c r="O672" t="n">
        <v>0</v>
      </c>
      <c r="P672" t="n">
        <v>0</v>
      </c>
      <c r="Q672" t="n">
        <v>0</v>
      </c>
      <c r="R672" s="2" t="inlineStr"/>
    </row>
    <row r="673" ht="15" customHeight="1">
      <c r="A673" t="inlineStr">
        <is>
          <t>A 13954-2023</t>
        </is>
      </c>
      <c r="B673" s="1" t="n">
        <v>45008</v>
      </c>
      <c r="C673" s="1" t="n">
        <v>45882</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64884-2023</t>
        </is>
      </c>
      <c r="B674" s="1" t="n">
        <v>45282.57809027778</v>
      </c>
      <c r="C674" s="1" t="n">
        <v>45882</v>
      </c>
      <c r="D674" t="inlineStr">
        <is>
          <t>SKÅNE LÄN</t>
        </is>
      </c>
      <c r="E674" t="inlineStr">
        <is>
          <t>HÄSSLEHOLM</t>
        </is>
      </c>
      <c r="G674" t="n">
        <v>4.6</v>
      </c>
      <c r="H674" t="n">
        <v>0</v>
      </c>
      <c r="I674" t="n">
        <v>0</v>
      </c>
      <c r="J674" t="n">
        <v>0</v>
      </c>
      <c r="K674" t="n">
        <v>0</v>
      </c>
      <c r="L674" t="n">
        <v>0</v>
      </c>
      <c r="M674" t="n">
        <v>0</v>
      </c>
      <c r="N674" t="n">
        <v>0</v>
      </c>
      <c r="O674" t="n">
        <v>0</v>
      </c>
      <c r="P674" t="n">
        <v>0</v>
      </c>
      <c r="Q674" t="n">
        <v>0</v>
      </c>
      <c r="R674" s="2" t="inlineStr"/>
    </row>
    <row r="675" ht="15" customHeight="1">
      <c r="A675" t="inlineStr">
        <is>
          <t>A 48112-2024</t>
        </is>
      </c>
      <c r="B675" s="1" t="n">
        <v>45589.6295949074</v>
      </c>
      <c r="C675" s="1" t="n">
        <v>45882</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6309-2025</t>
        </is>
      </c>
      <c r="B676" s="1" t="n">
        <v>45698</v>
      </c>
      <c r="C676" s="1" t="n">
        <v>45882</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6310-2025</t>
        </is>
      </c>
      <c r="B677" s="1" t="n">
        <v>45698</v>
      </c>
      <c r="C677" s="1" t="n">
        <v>45882</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13007-2024</t>
        </is>
      </c>
      <c r="B678" s="1" t="n">
        <v>45385.57092592592</v>
      </c>
      <c r="C678" s="1" t="n">
        <v>45882</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40152-2024</t>
        </is>
      </c>
      <c r="B679" s="1" t="n">
        <v>45554</v>
      </c>
      <c r="C679" s="1" t="n">
        <v>45882</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74030-2021</t>
        </is>
      </c>
      <c r="B680" s="1" t="n">
        <v>44553</v>
      </c>
      <c r="C680" s="1" t="n">
        <v>45882</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15072-2024</t>
        </is>
      </c>
      <c r="B681" s="1" t="n">
        <v>45399.5996875</v>
      </c>
      <c r="C681" s="1" t="n">
        <v>45882</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11262-2025</t>
        </is>
      </c>
      <c r="B682" s="1" t="n">
        <v>45726</v>
      </c>
      <c r="C682" s="1" t="n">
        <v>45882</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3123-2023</t>
        </is>
      </c>
      <c r="B683" s="1" t="n">
        <v>44946.4925</v>
      </c>
      <c r="C683" s="1" t="n">
        <v>45882</v>
      </c>
      <c r="D683" t="inlineStr">
        <is>
          <t>SKÅNE LÄN</t>
        </is>
      </c>
      <c r="E683" t="inlineStr">
        <is>
          <t>HÄSSLEHOLM</t>
        </is>
      </c>
      <c r="G683" t="n">
        <v>3.5</v>
      </c>
      <c r="H683" t="n">
        <v>0</v>
      </c>
      <c r="I683" t="n">
        <v>0</v>
      </c>
      <c r="J683" t="n">
        <v>0</v>
      </c>
      <c r="K683" t="n">
        <v>0</v>
      </c>
      <c r="L683" t="n">
        <v>0</v>
      </c>
      <c r="M683" t="n">
        <v>0</v>
      </c>
      <c r="N683" t="n">
        <v>0</v>
      </c>
      <c r="O683" t="n">
        <v>0</v>
      </c>
      <c r="P683" t="n">
        <v>0</v>
      </c>
      <c r="Q683" t="n">
        <v>0</v>
      </c>
      <c r="R683" s="2" t="inlineStr"/>
    </row>
    <row r="684" ht="15" customHeight="1">
      <c r="A684" t="inlineStr">
        <is>
          <t>A 3126-2023</t>
        </is>
      </c>
      <c r="B684" s="1" t="n">
        <v>44946.49570601852</v>
      </c>
      <c r="C684" s="1" t="n">
        <v>45882</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5395-2024</t>
        </is>
      </c>
      <c r="B685" s="1" t="n">
        <v>45331</v>
      </c>
      <c r="C685" s="1" t="n">
        <v>45882</v>
      </c>
      <c r="D685" t="inlineStr">
        <is>
          <t>SKÅNE LÄN</t>
        </is>
      </c>
      <c r="E685" t="inlineStr">
        <is>
          <t>HÄSSLEHOLM</t>
        </is>
      </c>
      <c r="G685" t="n">
        <v>2.6</v>
      </c>
      <c r="H685" t="n">
        <v>0</v>
      </c>
      <c r="I685" t="n">
        <v>0</v>
      </c>
      <c r="J685" t="n">
        <v>0</v>
      </c>
      <c r="K685" t="n">
        <v>0</v>
      </c>
      <c r="L685" t="n">
        <v>0</v>
      </c>
      <c r="M685" t="n">
        <v>0</v>
      </c>
      <c r="N685" t="n">
        <v>0</v>
      </c>
      <c r="O685" t="n">
        <v>0</v>
      </c>
      <c r="P685" t="n">
        <v>0</v>
      </c>
      <c r="Q685" t="n">
        <v>0</v>
      </c>
      <c r="R685" s="2" t="inlineStr"/>
    </row>
    <row r="686" ht="15" customHeight="1">
      <c r="A686" t="inlineStr">
        <is>
          <t>A 2621-2025</t>
        </is>
      </c>
      <c r="B686" s="1" t="n">
        <v>45675.60765046296</v>
      </c>
      <c r="C686" s="1" t="n">
        <v>45882</v>
      </c>
      <c r="D686" t="inlineStr">
        <is>
          <t>SKÅNE LÄN</t>
        </is>
      </c>
      <c r="E686" t="inlineStr">
        <is>
          <t>HÄSSLEHOLM</t>
        </is>
      </c>
      <c r="F686" t="inlineStr">
        <is>
          <t>Kommuner</t>
        </is>
      </c>
      <c r="G686" t="n">
        <v>3</v>
      </c>
      <c r="H686" t="n">
        <v>0</v>
      </c>
      <c r="I686" t="n">
        <v>0</v>
      </c>
      <c r="J686" t="n">
        <v>0</v>
      </c>
      <c r="K686" t="n">
        <v>0</v>
      </c>
      <c r="L686" t="n">
        <v>0</v>
      </c>
      <c r="M686" t="n">
        <v>0</v>
      </c>
      <c r="N686" t="n">
        <v>0</v>
      </c>
      <c r="O686" t="n">
        <v>0</v>
      </c>
      <c r="P686" t="n">
        <v>0</v>
      </c>
      <c r="Q686" t="n">
        <v>0</v>
      </c>
      <c r="R686" s="2" t="inlineStr"/>
    </row>
    <row r="687" ht="15" customHeight="1">
      <c r="A687" t="inlineStr">
        <is>
          <t>A 8737-2025</t>
        </is>
      </c>
      <c r="B687" s="1" t="n">
        <v>45712.54578703704</v>
      </c>
      <c r="C687" s="1" t="n">
        <v>45882</v>
      </c>
      <c r="D687" t="inlineStr">
        <is>
          <t>SKÅNE LÄN</t>
        </is>
      </c>
      <c r="E687" t="inlineStr">
        <is>
          <t>HÄSSLEHOLM</t>
        </is>
      </c>
      <c r="G687" t="n">
        <v>2.7</v>
      </c>
      <c r="H687" t="n">
        <v>0</v>
      </c>
      <c r="I687" t="n">
        <v>0</v>
      </c>
      <c r="J687" t="n">
        <v>0</v>
      </c>
      <c r="K687" t="n">
        <v>0</v>
      </c>
      <c r="L687" t="n">
        <v>0</v>
      </c>
      <c r="M687" t="n">
        <v>0</v>
      </c>
      <c r="N687" t="n">
        <v>0</v>
      </c>
      <c r="O687" t="n">
        <v>0</v>
      </c>
      <c r="P687" t="n">
        <v>0</v>
      </c>
      <c r="Q687" t="n">
        <v>0</v>
      </c>
      <c r="R687" s="2" t="inlineStr"/>
    </row>
    <row r="688" ht="15" customHeight="1">
      <c r="A688" t="inlineStr">
        <is>
          <t>A 37764-2022</t>
        </is>
      </c>
      <c r="B688" s="1" t="n">
        <v>44810</v>
      </c>
      <c r="C688" s="1" t="n">
        <v>45882</v>
      </c>
      <c r="D688" t="inlineStr">
        <is>
          <t>SKÅNE LÄN</t>
        </is>
      </c>
      <c r="E688" t="inlineStr">
        <is>
          <t>HÄSSLEHOLM</t>
        </is>
      </c>
      <c r="F688" t="inlineStr">
        <is>
          <t>Kyrkan</t>
        </is>
      </c>
      <c r="G688" t="n">
        <v>9.4</v>
      </c>
      <c r="H688" t="n">
        <v>0</v>
      </c>
      <c r="I688" t="n">
        <v>0</v>
      </c>
      <c r="J688" t="n">
        <v>0</v>
      </c>
      <c r="K688" t="n">
        <v>0</v>
      </c>
      <c r="L688" t="n">
        <v>0</v>
      </c>
      <c r="M688" t="n">
        <v>0</v>
      </c>
      <c r="N688" t="n">
        <v>0</v>
      </c>
      <c r="O688" t="n">
        <v>0</v>
      </c>
      <c r="P688" t="n">
        <v>0</v>
      </c>
      <c r="Q688" t="n">
        <v>0</v>
      </c>
      <c r="R688" s="2" t="inlineStr"/>
    </row>
    <row r="689" ht="15" customHeight="1">
      <c r="A689" t="inlineStr">
        <is>
          <t>A 51018-2023</t>
        </is>
      </c>
      <c r="B689" s="1" t="n">
        <v>45218</v>
      </c>
      <c r="C689" s="1" t="n">
        <v>45882</v>
      </c>
      <c r="D689" t="inlineStr">
        <is>
          <t>SKÅNE LÄN</t>
        </is>
      </c>
      <c r="E689" t="inlineStr">
        <is>
          <t>HÄSSLEHOLM</t>
        </is>
      </c>
      <c r="G689" t="n">
        <v>3.1</v>
      </c>
      <c r="H689" t="n">
        <v>0</v>
      </c>
      <c r="I689" t="n">
        <v>0</v>
      </c>
      <c r="J689" t="n">
        <v>0</v>
      </c>
      <c r="K689" t="n">
        <v>0</v>
      </c>
      <c r="L689" t="n">
        <v>0</v>
      </c>
      <c r="M689" t="n">
        <v>0</v>
      </c>
      <c r="N689" t="n">
        <v>0</v>
      </c>
      <c r="O689" t="n">
        <v>0</v>
      </c>
      <c r="P689" t="n">
        <v>0</v>
      </c>
      <c r="Q689" t="n">
        <v>0</v>
      </c>
      <c r="R689" s="2" t="inlineStr"/>
    </row>
    <row r="690" ht="15" customHeight="1">
      <c r="A690" t="inlineStr">
        <is>
          <t>A 23005-2025</t>
        </is>
      </c>
      <c r="B690" s="1" t="n">
        <v>45790</v>
      </c>
      <c r="C690" s="1" t="n">
        <v>45882</v>
      </c>
      <c r="D690" t="inlineStr">
        <is>
          <t>SKÅNE LÄN</t>
        </is>
      </c>
      <c r="E690" t="inlineStr">
        <is>
          <t>HÄSSLEHOLM</t>
        </is>
      </c>
      <c r="G690" t="n">
        <v>0.3</v>
      </c>
      <c r="H690" t="n">
        <v>0</v>
      </c>
      <c r="I690" t="n">
        <v>0</v>
      </c>
      <c r="J690" t="n">
        <v>0</v>
      </c>
      <c r="K690" t="n">
        <v>0</v>
      </c>
      <c r="L690" t="n">
        <v>0</v>
      </c>
      <c r="M690" t="n">
        <v>0</v>
      </c>
      <c r="N690" t="n">
        <v>0</v>
      </c>
      <c r="O690" t="n">
        <v>0</v>
      </c>
      <c r="P690" t="n">
        <v>0</v>
      </c>
      <c r="Q690" t="n">
        <v>0</v>
      </c>
      <c r="R690" s="2" t="inlineStr"/>
    </row>
    <row r="691" ht="15" customHeight="1">
      <c r="A691" t="inlineStr">
        <is>
          <t>A 37318-2024</t>
        </is>
      </c>
      <c r="B691" s="1" t="n">
        <v>45540</v>
      </c>
      <c r="C691" s="1" t="n">
        <v>45882</v>
      </c>
      <c r="D691" t="inlineStr">
        <is>
          <t>SKÅNE LÄN</t>
        </is>
      </c>
      <c r="E691" t="inlineStr">
        <is>
          <t>HÄSSLEHOLM</t>
        </is>
      </c>
      <c r="G691" t="n">
        <v>3.9</v>
      </c>
      <c r="H691" t="n">
        <v>0</v>
      </c>
      <c r="I691" t="n">
        <v>0</v>
      </c>
      <c r="J691" t="n">
        <v>0</v>
      </c>
      <c r="K691" t="n">
        <v>0</v>
      </c>
      <c r="L691" t="n">
        <v>0</v>
      </c>
      <c r="M691" t="n">
        <v>0</v>
      </c>
      <c r="N691" t="n">
        <v>0</v>
      </c>
      <c r="O691" t="n">
        <v>0</v>
      </c>
      <c r="P691" t="n">
        <v>0</v>
      </c>
      <c r="Q691" t="n">
        <v>0</v>
      </c>
      <c r="R691" s="2" t="inlineStr"/>
    </row>
    <row r="692" ht="15" customHeight="1">
      <c r="A692" t="inlineStr">
        <is>
          <t>A 60797-2024</t>
        </is>
      </c>
      <c r="B692" s="1" t="n">
        <v>45644</v>
      </c>
      <c r="C692" s="1" t="n">
        <v>45882</v>
      </c>
      <c r="D692" t="inlineStr">
        <is>
          <t>SKÅNE LÄN</t>
        </is>
      </c>
      <c r="E692" t="inlineStr">
        <is>
          <t>HÄSSLEHOLM</t>
        </is>
      </c>
      <c r="G692" t="n">
        <v>3.4</v>
      </c>
      <c r="H692" t="n">
        <v>0</v>
      </c>
      <c r="I692" t="n">
        <v>0</v>
      </c>
      <c r="J692" t="n">
        <v>0</v>
      </c>
      <c r="K692" t="n">
        <v>0</v>
      </c>
      <c r="L692" t="n">
        <v>0</v>
      </c>
      <c r="M692" t="n">
        <v>0</v>
      </c>
      <c r="N692" t="n">
        <v>0</v>
      </c>
      <c r="O692" t="n">
        <v>0</v>
      </c>
      <c r="P692" t="n">
        <v>0</v>
      </c>
      <c r="Q692" t="n">
        <v>0</v>
      </c>
      <c r="R692" s="2" t="inlineStr"/>
    </row>
    <row r="693" ht="15" customHeight="1">
      <c r="A693" t="inlineStr">
        <is>
          <t>A 37324-2024</t>
        </is>
      </c>
      <c r="B693" s="1" t="n">
        <v>45540.50104166667</v>
      </c>
      <c r="C693" s="1" t="n">
        <v>45882</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16474-2025</t>
        </is>
      </c>
      <c r="B694" s="1" t="n">
        <v>45751.56834490741</v>
      </c>
      <c r="C694" s="1" t="n">
        <v>45882</v>
      </c>
      <c r="D694" t="inlineStr">
        <is>
          <t>SKÅNE LÄN</t>
        </is>
      </c>
      <c r="E694" t="inlineStr">
        <is>
          <t>HÄSSLEHOLM</t>
        </is>
      </c>
      <c r="G694" t="n">
        <v>5.9</v>
      </c>
      <c r="H694" t="n">
        <v>0</v>
      </c>
      <c r="I694" t="n">
        <v>0</v>
      </c>
      <c r="J694" t="n">
        <v>0</v>
      </c>
      <c r="K694" t="n">
        <v>0</v>
      </c>
      <c r="L694" t="n">
        <v>0</v>
      </c>
      <c r="M694" t="n">
        <v>0</v>
      </c>
      <c r="N694" t="n">
        <v>0</v>
      </c>
      <c r="O694" t="n">
        <v>0</v>
      </c>
      <c r="P694" t="n">
        <v>0</v>
      </c>
      <c r="Q694" t="n">
        <v>0</v>
      </c>
      <c r="R694" s="2" t="inlineStr"/>
    </row>
    <row r="695" ht="15" customHeight="1">
      <c r="A695" t="inlineStr">
        <is>
          <t>A 56069-2024</t>
        </is>
      </c>
      <c r="B695" s="1" t="n">
        <v>45624.38006944444</v>
      </c>
      <c r="C695" s="1" t="n">
        <v>45882</v>
      </c>
      <c r="D695" t="inlineStr">
        <is>
          <t>SKÅNE LÄN</t>
        </is>
      </c>
      <c r="E695" t="inlineStr">
        <is>
          <t>HÄSSLEHOLM</t>
        </is>
      </c>
      <c r="F695" t="inlineStr">
        <is>
          <t>Övriga Aktiebolag</t>
        </is>
      </c>
      <c r="G695" t="n">
        <v>2.3</v>
      </c>
      <c r="H695" t="n">
        <v>0</v>
      </c>
      <c r="I695" t="n">
        <v>0</v>
      </c>
      <c r="J695" t="n">
        <v>0</v>
      </c>
      <c r="K695" t="n">
        <v>0</v>
      </c>
      <c r="L695" t="n">
        <v>0</v>
      </c>
      <c r="M695" t="n">
        <v>0</v>
      </c>
      <c r="N695" t="n">
        <v>0</v>
      </c>
      <c r="O695" t="n">
        <v>0</v>
      </c>
      <c r="P695" t="n">
        <v>0</v>
      </c>
      <c r="Q695" t="n">
        <v>0</v>
      </c>
      <c r="R695" s="2" t="inlineStr"/>
    </row>
    <row r="696" ht="15" customHeight="1">
      <c r="A696" t="inlineStr">
        <is>
          <t>A 48097-2024</t>
        </is>
      </c>
      <c r="B696" s="1" t="n">
        <v>45589.61413194444</v>
      </c>
      <c r="C696" s="1" t="n">
        <v>45882</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44527-2020</t>
        </is>
      </c>
      <c r="B697" s="1" t="n">
        <v>44085</v>
      </c>
      <c r="C697" s="1" t="n">
        <v>45882</v>
      </c>
      <c r="D697" t="inlineStr">
        <is>
          <t>SKÅNE LÄN</t>
        </is>
      </c>
      <c r="E697" t="inlineStr">
        <is>
          <t>HÄSSLEHOLM</t>
        </is>
      </c>
      <c r="F697" t="inlineStr">
        <is>
          <t>Kommuner</t>
        </is>
      </c>
      <c r="G697" t="n">
        <v>7.7</v>
      </c>
      <c r="H697" t="n">
        <v>0</v>
      </c>
      <c r="I697" t="n">
        <v>0</v>
      </c>
      <c r="J697" t="n">
        <v>0</v>
      </c>
      <c r="K697" t="n">
        <v>0</v>
      </c>
      <c r="L697" t="n">
        <v>0</v>
      </c>
      <c r="M697" t="n">
        <v>0</v>
      </c>
      <c r="N697" t="n">
        <v>0</v>
      </c>
      <c r="O697" t="n">
        <v>0</v>
      </c>
      <c r="P697" t="n">
        <v>0</v>
      </c>
      <c r="Q697" t="n">
        <v>0</v>
      </c>
      <c r="R697" s="2" t="inlineStr"/>
    </row>
    <row r="698" ht="15" customHeight="1">
      <c r="A698" t="inlineStr">
        <is>
          <t>A 60846-2022</t>
        </is>
      </c>
      <c r="B698" s="1" t="n">
        <v>44914</v>
      </c>
      <c r="C698" s="1" t="n">
        <v>45882</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42776-2021</t>
        </is>
      </c>
      <c r="B699" s="1" t="n">
        <v>44428</v>
      </c>
      <c r="C699" s="1" t="n">
        <v>45882</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57656-2022</t>
        </is>
      </c>
      <c r="B700" s="1" t="n">
        <v>44897.4325925926</v>
      </c>
      <c r="C700" s="1" t="n">
        <v>45882</v>
      </c>
      <c r="D700" t="inlineStr">
        <is>
          <t>SKÅNE LÄN</t>
        </is>
      </c>
      <c r="E700" t="inlineStr">
        <is>
          <t>HÄSSLEHOLM</t>
        </is>
      </c>
      <c r="G700" t="n">
        <v>0.6</v>
      </c>
      <c r="H700" t="n">
        <v>0</v>
      </c>
      <c r="I700" t="n">
        <v>0</v>
      </c>
      <c r="J700" t="n">
        <v>0</v>
      </c>
      <c r="K700" t="n">
        <v>0</v>
      </c>
      <c r="L700" t="n">
        <v>0</v>
      </c>
      <c r="M700" t="n">
        <v>0</v>
      </c>
      <c r="N700" t="n">
        <v>0</v>
      </c>
      <c r="O700" t="n">
        <v>0</v>
      </c>
      <c r="P700" t="n">
        <v>0</v>
      </c>
      <c r="Q700" t="n">
        <v>0</v>
      </c>
      <c r="R700" s="2" t="inlineStr"/>
    </row>
    <row r="701" ht="15" customHeight="1">
      <c r="A701" t="inlineStr">
        <is>
          <t>A 32881-2024</t>
        </is>
      </c>
      <c r="B701" s="1" t="n">
        <v>45516</v>
      </c>
      <c r="C701" s="1" t="n">
        <v>45882</v>
      </c>
      <c r="D701" t="inlineStr">
        <is>
          <t>SKÅNE LÄN</t>
        </is>
      </c>
      <c r="E701" t="inlineStr">
        <is>
          <t>HÄSSLEHOLM</t>
        </is>
      </c>
      <c r="G701" t="n">
        <v>6.3</v>
      </c>
      <c r="H701" t="n">
        <v>0</v>
      </c>
      <c r="I701" t="n">
        <v>0</v>
      </c>
      <c r="J701" t="n">
        <v>0</v>
      </c>
      <c r="K701" t="n">
        <v>0</v>
      </c>
      <c r="L701" t="n">
        <v>0</v>
      </c>
      <c r="M701" t="n">
        <v>0</v>
      </c>
      <c r="N701" t="n">
        <v>0</v>
      </c>
      <c r="O701" t="n">
        <v>0</v>
      </c>
      <c r="P701" t="n">
        <v>0</v>
      </c>
      <c r="Q701" t="n">
        <v>0</v>
      </c>
      <c r="R701" s="2" t="inlineStr"/>
    </row>
    <row r="702" ht="15" customHeight="1">
      <c r="A702" t="inlineStr">
        <is>
          <t>A 23860-2024</t>
        </is>
      </c>
      <c r="B702" s="1" t="n">
        <v>45455</v>
      </c>
      <c r="C702" s="1" t="n">
        <v>45882</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1344-2021</t>
        </is>
      </c>
      <c r="B703" s="1" t="n">
        <v>44208</v>
      </c>
      <c r="C703" s="1" t="n">
        <v>45882</v>
      </c>
      <c r="D703" t="inlineStr">
        <is>
          <t>SKÅNE LÄN</t>
        </is>
      </c>
      <c r="E703" t="inlineStr">
        <is>
          <t>HÄSSLEHOLM</t>
        </is>
      </c>
      <c r="G703" t="n">
        <v>1.3</v>
      </c>
      <c r="H703" t="n">
        <v>0</v>
      </c>
      <c r="I703" t="n">
        <v>0</v>
      </c>
      <c r="J703" t="n">
        <v>0</v>
      </c>
      <c r="K703" t="n">
        <v>0</v>
      </c>
      <c r="L703" t="n">
        <v>0</v>
      </c>
      <c r="M703" t="n">
        <v>0</v>
      </c>
      <c r="N703" t="n">
        <v>0</v>
      </c>
      <c r="O703" t="n">
        <v>0</v>
      </c>
      <c r="P703" t="n">
        <v>0</v>
      </c>
      <c r="Q703" t="n">
        <v>0</v>
      </c>
      <c r="R703" s="2" t="inlineStr"/>
    </row>
    <row r="704" ht="15" customHeight="1">
      <c r="A704" t="inlineStr">
        <is>
          <t>A 23864-2024</t>
        </is>
      </c>
      <c r="B704" s="1" t="n">
        <v>45455</v>
      </c>
      <c r="C704" s="1" t="n">
        <v>45882</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7192-2025</t>
        </is>
      </c>
      <c r="B705" s="1" t="n">
        <v>45702.44746527778</v>
      </c>
      <c r="C705" s="1" t="n">
        <v>45882</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11798-2022</t>
        </is>
      </c>
      <c r="B706" s="1" t="n">
        <v>44634.64900462963</v>
      </c>
      <c r="C706" s="1" t="n">
        <v>45882</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14700-2023</t>
        </is>
      </c>
      <c r="B707" s="1" t="n">
        <v>45014.38376157408</v>
      </c>
      <c r="C707" s="1" t="n">
        <v>45882</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56881-2021</t>
        </is>
      </c>
      <c r="B708" s="1" t="n">
        <v>44481</v>
      </c>
      <c r="C708" s="1" t="n">
        <v>45882</v>
      </c>
      <c r="D708" t="inlineStr">
        <is>
          <t>SKÅNE LÄN</t>
        </is>
      </c>
      <c r="E708" t="inlineStr">
        <is>
          <t>HÄSSLEHOLM</t>
        </is>
      </c>
      <c r="G708" t="n">
        <v>0.4</v>
      </c>
      <c r="H708" t="n">
        <v>0</v>
      </c>
      <c r="I708" t="n">
        <v>0</v>
      </c>
      <c r="J708" t="n">
        <v>0</v>
      </c>
      <c r="K708" t="n">
        <v>0</v>
      </c>
      <c r="L708" t="n">
        <v>0</v>
      </c>
      <c r="M708" t="n">
        <v>0</v>
      </c>
      <c r="N708" t="n">
        <v>0</v>
      </c>
      <c r="O708" t="n">
        <v>0</v>
      </c>
      <c r="P708" t="n">
        <v>0</v>
      </c>
      <c r="Q708" t="n">
        <v>0</v>
      </c>
      <c r="R708" s="2" t="inlineStr"/>
    </row>
    <row r="709" ht="15" customHeight="1">
      <c r="A709" t="inlineStr">
        <is>
          <t>A 39915-2023</t>
        </is>
      </c>
      <c r="B709" s="1" t="n">
        <v>45168.4684375</v>
      </c>
      <c r="C709" s="1" t="n">
        <v>45882</v>
      </c>
      <c r="D709" t="inlineStr">
        <is>
          <t>SKÅNE LÄN</t>
        </is>
      </c>
      <c r="E709" t="inlineStr">
        <is>
          <t>HÄSSLEHOLM</t>
        </is>
      </c>
      <c r="G709" t="n">
        <v>0.4</v>
      </c>
      <c r="H709" t="n">
        <v>0</v>
      </c>
      <c r="I709" t="n">
        <v>0</v>
      </c>
      <c r="J709" t="n">
        <v>0</v>
      </c>
      <c r="K709" t="n">
        <v>0</v>
      </c>
      <c r="L709" t="n">
        <v>0</v>
      </c>
      <c r="M709" t="n">
        <v>0</v>
      </c>
      <c r="N709" t="n">
        <v>0</v>
      </c>
      <c r="O709" t="n">
        <v>0</v>
      </c>
      <c r="P709" t="n">
        <v>0</v>
      </c>
      <c r="Q709" t="n">
        <v>0</v>
      </c>
      <c r="R709" s="2" t="inlineStr"/>
    </row>
    <row r="710" ht="15" customHeight="1">
      <c r="A710" t="inlineStr">
        <is>
          <t>A 7681-2025</t>
        </is>
      </c>
      <c r="B710" s="1" t="n">
        <v>45706.36758101852</v>
      </c>
      <c r="C710" s="1" t="n">
        <v>45882</v>
      </c>
      <c r="D710" t="inlineStr">
        <is>
          <t>SKÅNE LÄN</t>
        </is>
      </c>
      <c r="E710" t="inlineStr">
        <is>
          <t>HÄSSLEHOLM</t>
        </is>
      </c>
      <c r="G710" t="n">
        <v>1.9</v>
      </c>
      <c r="H710" t="n">
        <v>0</v>
      </c>
      <c r="I710" t="n">
        <v>0</v>
      </c>
      <c r="J710" t="n">
        <v>0</v>
      </c>
      <c r="K710" t="n">
        <v>0</v>
      </c>
      <c r="L710" t="n">
        <v>0</v>
      </c>
      <c r="M710" t="n">
        <v>0</v>
      </c>
      <c r="N710" t="n">
        <v>0</v>
      </c>
      <c r="O710" t="n">
        <v>0</v>
      </c>
      <c r="P710" t="n">
        <v>0</v>
      </c>
      <c r="Q710" t="n">
        <v>0</v>
      </c>
      <c r="R710" s="2" t="inlineStr"/>
    </row>
    <row r="711" ht="15" customHeight="1">
      <c r="A711" t="inlineStr">
        <is>
          <t>A 13673-2023</t>
        </is>
      </c>
      <c r="B711" s="1" t="n">
        <v>45006.87957175926</v>
      </c>
      <c r="C711" s="1" t="n">
        <v>45882</v>
      </c>
      <c r="D711" t="inlineStr">
        <is>
          <t>SKÅNE LÄN</t>
        </is>
      </c>
      <c r="E711" t="inlineStr">
        <is>
          <t>HÄSSLEHOLM</t>
        </is>
      </c>
      <c r="G711" t="n">
        <v>3.2</v>
      </c>
      <c r="H711" t="n">
        <v>0</v>
      </c>
      <c r="I711" t="n">
        <v>0</v>
      </c>
      <c r="J711" t="n">
        <v>0</v>
      </c>
      <c r="K711" t="n">
        <v>0</v>
      </c>
      <c r="L711" t="n">
        <v>0</v>
      </c>
      <c r="M711" t="n">
        <v>0</v>
      </c>
      <c r="N711" t="n">
        <v>0</v>
      </c>
      <c r="O711" t="n">
        <v>0</v>
      </c>
      <c r="P711" t="n">
        <v>0</v>
      </c>
      <c r="Q711" t="n">
        <v>0</v>
      </c>
      <c r="R711" s="2" t="inlineStr"/>
    </row>
    <row r="712" ht="15" customHeight="1">
      <c r="A712" t="inlineStr">
        <is>
          <t>A 38306-2022</t>
        </is>
      </c>
      <c r="B712" s="1" t="n">
        <v>44812.57515046297</v>
      </c>
      <c r="C712" s="1" t="n">
        <v>45882</v>
      </c>
      <c r="D712" t="inlineStr">
        <is>
          <t>SKÅNE LÄN</t>
        </is>
      </c>
      <c r="E712" t="inlineStr">
        <is>
          <t>HÄSSLEHOLM</t>
        </is>
      </c>
      <c r="G712" t="n">
        <v>2.2</v>
      </c>
      <c r="H712" t="n">
        <v>0</v>
      </c>
      <c r="I712" t="n">
        <v>0</v>
      </c>
      <c r="J712" t="n">
        <v>0</v>
      </c>
      <c r="K712" t="n">
        <v>0</v>
      </c>
      <c r="L712" t="n">
        <v>0</v>
      </c>
      <c r="M712" t="n">
        <v>0</v>
      </c>
      <c r="N712" t="n">
        <v>0</v>
      </c>
      <c r="O712" t="n">
        <v>0</v>
      </c>
      <c r="P712" t="n">
        <v>0</v>
      </c>
      <c r="Q712" t="n">
        <v>0</v>
      </c>
      <c r="R712" s="2" t="inlineStr"/>
    </row>
    <row r="713" ht="15" customHeight="1">
      <c r="A713" t="inlineStr">
        <is>
          <t>A 20058-2023</t>
        </is>
      </c>
      <c r="B713" s="1" t="n">
        <v>45054.68476851852</v>
      </c>
      <c r="C713" s="1" t="n">
        <v>45882</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24032-2025</t>
        </is>
      </c>
      <c r="B714" s="1" t="n">
        <v>45796.478125</v>
      </c>
      <c r="C714" s="1" t="n">
        <v>45882</v>
      </c>
      <c r="D714" t="inlineStr">
        <is>
          <t>SKÅNE LÄN</t>
        </is>
      </c>
      <c r="E714" t="inlineStr">
        <is>
          <t>HÄSSLEHOLM</t>
        </is>
      </c>
      <c r="G714" t="n">
        <v>2.2</v>
      </c>
      <c r="H714" t="n">
        <v>0</v>
      </c>
      <c r="I714" t="n">
        <v>0</v>
      </c>
      <c r="J714" t="n">
        <v>0</v>
      </c>
      <c r="K714" t="n">
        <v>0</v>
      </c>
      <c r="L714" t="n">
        <v>0</v>
      </c>
      <c r="M714" t="n">
        <v>0</v>
      </c>
      <c r="N714" t="n">
        <v>0</v>
      </c>
      <c r="O714" t="n">
        <v>0</v>
      </c>
      <c r="P714" t="n">
        <v>0</v>
      </c>
      <c r="Q714" t="n">
        <v>0</v>
      </c>
      <c r="R714" s="2" t="inlineStr"/>
    </row>
    <row r="715" ht="15" customHeight="1">
      <c r="A715" t="inlineStr">
        <is>
          <t>A 6596-2021</t>
        </is>
      </c>
      <c r="B715" s="1" t="n">
        <v>44236</v>
      </c>
      <c r="C715" s="1" t="n">
        <v>45882</v>
      </c>
      <c r="D715" t="inlineStr">
        <is>
          <t>SKÅNE LÄN</t>
        </is>
      </c>
      <c r="E715" t="inlineStr">
        <is>
          <t>HÄSSLEHOLM</t>
        </is>
      </c>
      <c r="G715" t="n">
        <v>2</v>
      </c>
      <c r="H715" t="n">
        <v>0</v>
      </c>
      <c r="I715" t="n">
        <v>0</v>
      </c>
      <c r="J715" t="n">
        <v>0</v>
      </c>
      <c r="K715" t="n">
        <v>0</v>
      </c>
      <c r="L715" t="n">
        <v>0</v>
      </c>
      <c r="M715" t="n">
        <v>0</v>
      </c>
      <c r="N715" t="n">
        <v>0</v>
      </c>
      <c r="O715" t="n">
        <v>0</v>
      </c>
      <c r="P715" t="n">
        <v>0</v>
      </c>
      <c r="Q715" t="n">
        <v>0</v>
      </c>
      <c r="R715" s="2" t="inlineStr"/>
    </row>
    <row r="716" ht="15" customHeight="1">
      <c r="A716" t="inlineStr">
        <is>
          <t>A 38712-2024</t>
        </is>
      </c>
      <c r="B716" s="1" t="n">
        <v>45547</v>
      </c>
      <c r="C716" s="1" t="n">
        <v>45882</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13310-2025</t>
        </is>
      </c>
      <c r="B717" s="1" t="n">
        <v>45735.58814814815</v>
      </c>
      <c r="C717" s="1" t="n">
        <v>45882</v>
      </c>
      <c r="D717" t="inlineStr">
        <is>
          <t>SKÅNE LÄN</t>
        </is>
      </c>
      <c r="E717" t="inlineStr">
        <is>
          <t>HÄSSLEHOLM</t>
        </is>
      </c>
      <c r="G717" t="n">
        <v>2</v>
      </c>
      <c r="H717" t="n">
        <v>0</v>
      </c>
      <c r="I717" t="n">
        <v>0</v>
      </c>
      <c r="J717" t="n">
        <v>0</v>
      </c>
      <c r="K717" t="n">
        <v>0</v>
      </c>
      <c r="L717" t="n">
        <v>0</v>
      </c>
      <c r="M717" t="n">
        <v>0</v>
      </c>
      <c r="N717" t="n">
        <v>0</v>
      </c>
      <c r="O717" t="n">
        <v>0</v>
      </c>
      <c r="P717" t="n">
        <v>0</v>
      </c>
      <c r="Q717" t="n">
        <v>0</v>
      </c>
      <c r="R717" s="2" t="inlineStr"/>
    </row>
    <row r="718" ht="15" customHeight="1">
      <c r="A718" t="inlineStr">
        <is>
          <t>A 8619-2023</t>
        </is>
      </c>
      <c r="B718" s="1" t="n">
        <v>44977.81979166667</v>
      </c>
      <c r="C718" s="1" t="n">
        <v>45882</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9543-2025</t>
        </is>
      </c>
      <c r="B719" s="1" t="n">
        <v>45715</v>
      </c>
      <c r="C719" s="1" t="n">
        <v>45882</v>
      </c>
      <c r="D719" t="inlineStr">
        <is>
          <t>SKÅNE LÄN</t>
        </is>
      </c>
      <c r="E719" t="inlineStr">
        <is>
          <t>HÄSSLEHOLM</t>
        </is>
      </c>
      <c r="G719" t="n">
        <v>2.6</v>
      </c>
      <c r="H719" t="n">
        <v>0</v>
      </c>
      <c r="I719" t="n">
        <v>0</v>
      </c>
      <c r="J719" t="n">
        <v>0</v>
      </c>
      <c r="K719" t="n">
        <v>0</v>
      </c>
      <c r="L719" t="n">
        <v>0</v>
      </c>
      <c r="M719" t="n">
        <v>0</v>
      </c>
      <c r="N719" t="n">
        <v>0</v>
      </c>
      <c r="O719" t="n">
        <v>0</v>
      </c>
      <c r="P719" t="n">
        <v>0</v>
      </c>
      <c r="Q719" t="n">
        <v>0</v>
      </c>
      <c r="R719" s="2" t="inlineStr"/>
    </row>
    <row r="720" ht="15" customHeight="1">
      <c r="A720" t="inlineStr">
        <is>
          <t>A 19666-2025</t>
        </is>
      </c>
      <c r="B720" s="1" t="n">
        <v>45770.69326388889</v>
      </c>
      <c r="C720" s="1" t="n">
        <v>45882</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3746-2024</t>
        </is>
      </c>
      <c r="B721" s="1" t="n">
        <v>45321.50745370371</v>
      </c>
      <c r="C721" s="1" t="n">
        <v>45882</v>
      </c>
      <c r="D721" t="inlineStr">
        <is>
          <t>SKÅNE LÄN</t>
        </is>
      </c>
      <c r="E721" t="inlineStr">
        <is>
          <t>HÄSSLEHOLM</t>
        </is>
      </c>
      <c r="G721" t="n">
        <v>3.4</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45882</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60789-2024</t>
        </is>
      </c>
      <c r="B723" s="1" t="n">
        <v>45644</v>
      </c>
      <c r="C723" s="1" t="n">
        <v>45882</v>
      </c>
      <c r="D723" t="inlineStr">
        <is>
          <t>SKÅNE LÄN</t>
        </is>
      </c>
      <c r="E723" t="inlineStr">
        <is>
          <t>HÄSSLEHOLM</t>
        </is>
      </c>
      <c r="G723" t="n">
        <v>3</v>
      </c>
      <c r="H723" t="n">
        <v>0</v>
      </c>
      <c r="I723" t="n">
        <v>0</v>
      </c>
      <c r="J723" t="n">
        <v>0</v>
      </c>
      <c r="K723" t="n">
        <v>0</v>
      </c>
      <c r="L723" t="n">
        <v>0</v>
      </c>
      <c r="M723" t="n">
        <v>0</v>
      </c>
      <c r="N723" t="n">
        <v>0</v>
      </c>
      <c r="O723" t="n">
        <v>0</v>
      </c>
      <c r="P723" t="n">
        <v>0</v>
      </c>
      <c r="Q723" t="n">
        <v>0</v>
      </c>
      <c r="R723" s="2" t="inlineStr"/>
    </row>
    <row r="724" ht="15" customHeight="1">
      <c r="A724" t="inlineStr">
        <is>
          <t>A 3349-2023</t>
        </is>
      </c>
      <c r="B724" s="1" t="n">
        <v>44949</v>
      </c>
      <c r="C724" s="1" t="n">
        <v>45882</v>
      </c>
      <c r="D724" t="inlineStr">
        <is>
          <t>SKÅNE LÄN</t>
        </is>
      </c>
      <c r="E724" t="inlineStr">
        <is>
          <t>HÄSSLEHOLM</t>
        </is>
      </c>
      <c r="G724" t="n">
        <v>2.3</v>
      </c>
      <c r="H724" t="n">
        <v>0</v>
      </c>
      <c r="I724" t="n">
        <v>0</v>
      </c>
      <c r="J724" t="n">
        <v>0</v>
      </c>
      <c r="K724" t="n">
        <v>0</v>
      </c>
      <c r="L724" t="n">
        <v>0</v>
      </c>
      <c r="M724" t="n">
        <v>0</v>
      </c>
      <c r="N724" t="n">
        <v>0</v>
      </c>
      <c r="O724" t="n">
        <v>0</v>
      </c>
      <c r="P724" t="n">
        <v>0</v>
      </c>
      <c r="Q724" t="n">
        <v>0</v>
      </c>
      <c r="R724" s="2" t="inlineStr"/>
    </row>
    <row r="725" ht="15" customHeight="1">
      <c r="A725" t="inlineStr">
        <is>
          <t>A 57649-2022</t>
        </is>
      </c>
      <c r="B725" s="1" t="n">
        <v>44897.42755787037</v>
      </c>
      <c r="C725" s="1" t="n">
        <v>45882</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57665-2022</t>
        </is>
      </c>
      <c r="B726" s="1" t="n">
        <v>44897.4494212963</v>
      </c>
      <c r="C726" s="1" t="n">
        <v>45882</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57676-2022</t>
        </is>
      </c>
      <c r="B727" s="1" t="n">
        <v>44897</v>
      </c>
      <c r="C727" s="1" t="n">
        <v>45882</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14145-2023</t>
        </is>
      </c>
      <c r="B728" s="1" t="n">
        <v>45009</v>
      </c>
      <c r="C728" s="1" t="n">
        <v>45882</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8244-2023</t>
        </is>
      </c>
      <c r="B729" s="1" t="n">
        <v>44974</v>
      </c>
      <c r="C729" s="1" t="n">
        <v>45882</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8246-2023</t>
        </is>
      </c>
      <c r="B730" s="1" t="n">
        <v>44974</v>
      </c>
      <c r="C730" s="1" t="n">
        <v>45882</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12584-2025</t>
        </is>
      </c>
      <c r="B731" s="1" t="n">
        <v>45732</v>
      </c>
      <c r="C731" s="1" t="n">
        <v>45882</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25606-2024</t>
        </is>
      </c>
      <c r="B732" s="1" t="n">
        <v>45463.63179398148</v>
      </c>
      <c r="C732" s="1" t="n">
        <v>45882</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5252-2025</t>
        </is>
      </c>
      <c r="B733" s="1" t="n">
        <v>45692.3449537037</v>
      </c>
      <c r="C733" s="1" t="n">
        <v>45882</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14670-2025</t>
        </is>
      </c>
      <c r="B734" s="1" t="n">
        <v>45742.55079861111</v>
      </c>
      <c r="C734" s="1" t="n">
        <v>45882</v>
      </c>
      <c r="D734" t="inlineStr">
        <is>
          <t>SKÅNE LÄN</t>
        </is>
      </c>
      <c r="E734" t="inlineStr">
        <is>
          <t>HÄSSLEHOLM</t>
        </is>
      </c>
      <c r="G734" t="n">
        <v>1.1</v>
      </c>
      <c r="H734" t="n">
        <v>0</v>
      </c>
      <c r="I734" t="n">
        <v>0</v>
      </c>
      <c r="J734" t="n">
        <v>0</v>
      </c>
      <c r="K734" t="n">
        <v>0</v>
      </c>
      <c r="L734" t="n">
        <v>0</v>
      </c>
      <c r="M734" t="n">
        <v>0</v>
      </c>
      <c r="N734" t="n">
        <v>0</v>
      </c>
      <c r="O734" t="n">
        <v>0</v>
      </c>
      <c r="P734" t="n">
        <v>0</v>
      </c>
      <c r="Q734" t="n">
        <v>0</v>
      </c>
      <c r="R734" s="2" t="inlineStr"/>
    </row>
    <row r="735" ht="15" customHeight="1">
      <c r="A735" t="inlineStr">
        <is>
          <t>A 5242-2025</t>
        </is>
      </c>
      <c r="B735" s="1" t="n">
        <v>45692.32883101852</v>
      </c>
      <c r="C735" s="1" t="n">
        <v>45882</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24034-2025</t>
        </is>
      </c>
      <c r="B736" s="1" t="n">
        <v>45796.48251157408</v>
      </c>
      <c r="C736" s="1" t="n">
        <v>45882</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24250-2025</t>
        </is>
      </c>
      <c r="B737" s="1" t="n">
        <v>45797.40260416667</v>
      </c>
      <c r="C737" s="1" t="n">
        <v>45882</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69500-2020</t>
        </is>
      </c>
      <c r="B738" s="1" t="n">
        <v>44194</v>
      </c>
      <c r="C738" s="1" t="n">
        <v>45882</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24029-2025</t>
        </is>
      </c>
      <c r="B739" s="1" t="n">
        <v>45796.47552083333</v>
      </c>
      <c r="C739" s="1" t="n">
        <v>45882</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14939-2023</t>
        </is>
      </c>
      <c r="B740" s="1" t="n">
        <v>45014</v>
      </c>
      <c r="C740" s="1" t="n">
        <v>45882</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13345-2025</t>
        </is>
      </c>
      <c r="B741" s="1" t="n">
        <v>45735.63017361111</v>
      </c>
      <c r="C741" s="1" t="n">
        <v>45882</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24039-2025</t>
        </is>
      </c>
      <c r="B742" s="1" t="n">
        <v>45796.48675925926</v>
      </c>
      <c r="C742" s="1" t="n">
        <v>45882</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16862-2025</t>
        </is>
      </c>
      <c r="B743" s="1" t="n">
        <v>45751</v>
      </c>
      <c r="C743" s="1" t="n">
        <v>45882</v>
      </c>
      <c r="D743" t="inlineStr">
        <is>
          <t>SKÅNE LÄN</t>
        </is>
      </c>
      <c r="E743" t="inlineStr">
        <is>
          <t>HÄSSLEHOLM</t>
        </is>
      </c>
      <c r="G743" t="n">
        <v>2.3</v>
      </c>
      <c r="H743" t="n">
        <v>0</v>
      </c>
      <c r="I743" t="n">
        <v>0</v>
      </c>
      <c r="J743" t="n">
        <v>0</v>
      </c>
      <c r="K743" t="n">
        <v>0</v>
      </c>
      <c r="L743" t="n">
        <v>0</v>
      </c>
      <c r="M743" t="n">
        <v>0</v>
      </c>
      <c r="N743" t="n">
        <v>0</v>
      </c>
      <c r="O743" t="n">
        <v>0</v>
      </c>
      <c r="P743" t="n">
        <v>0</v>
      </c>
      <c r="Q743" t="n">
        <v>0</v>
      </c>
      <c r="R743" s="2" t="inlineStr"/>
    </row>
    <row r="744" ht="15" customHeight="1">
      <c r="A744" t="inlineStr">
        <is>
          <t>A 46185-2022</t>
        </is>
      </c>
      <c r="B744" s="1" t="n">
        <v>44847</v>
      </c>
      <c r="C744" s="1" t="n">
        <v>45882</v>
      </c>
      <c r="D744" t="inlineStr">
        <is>
          <t>SKÅNE LÄN</t>
        </is>
      </c>
      <c r="E744" t="inlineStr">
        <is>
          <t>HÄSSLEHOLM</t>
        </is>
      </c>
      <c r="G744" t="n">
        <v>16.8</v>
      </c>
      <c r="H744" t="n">
        <v>0</v>
      </c>
      <c r="I744" t="n">
        <v>0</v>
      </c>
      <c r="J744" t="n">
        <v>0</v>
      </c>
      <c r="K744" t="n">
        <v>0</v>
      </c>
      <c r="L744" t="n">
        <v>0</v>
      </c>
      <c r="M744" t="n">
        <v>0</v>
      </c>
      <c r="N744" t="n">
        <v>0</v>
      </c>
      <c r="O744" t="n">
        <v>0</v>
      </c>
      <c r="P744" t="n">
        <v>0</v>
      </c>
      <c r="Q744" t="n">
        <v>0</v>
      </c>
      <c r="R744" s="2" t="inlineStr"/>
    </row>
    <row r="745" ht="15" customHeight="1">
      <c r="A745" t="inlineStr">
        <is>
          <t>A 4945-2022</t>
        </is>
      </c>
      <c r="B745" s="1" t="n">
        <v>44593</v>
      </c>
      <c r="C745" s="1" t="n">
        <v>45882</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24047-2025</t>
        </is>
      </c>
      <c r="B746" s="1" t="n">
        <v>45796.49528935185</v>
      </c>
      <c r="C746" s="1" t="n">
        <v>45882</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24675-2025</t>
        </is>
      </c>
      <c r="B747" s="1" t="n">
        <v>45798.653125</v>
      </c>
      <c r="C747" s="1" t="n">
        <v>45882</v>
      </c>
      <c r="D747" t="inlineStr">
        <is>
          <t>SKÅNE LÄN</t>
        </is>
      </c>
      <c r="E747" t="inlineStr">
        <is>
          <t>HÄSSLEHOLM</t>
        </is>
      </c>
      <c r="G747" t="n">
        <v>1.8</v>
      </c>
      <c r="H747" t="n">
        <v>0</v>
      </c>
      <c r="I747" t="n">
        <v>0</v>
      </c>
      <c r="J747" t="n">
        <v>0</v>
      </c>
      <c r="K747" t="n">
        <v>0</v>
      </c>
      <c r="L747" t="n">
        <v>0</v>
      </c>
      <c r="M747" t="n">
        <v>0</v>
      </c>
      <c r="N747" t="n">
        <v>0</v>
      </c>
      <c r="O747" t="n">
        <v>0</v>
      </c>
      <c r="P747" t="n">
        <v>0</v>
      </c>
      <c r="Q747" t="n">
        <v>0</v>
      </c>
      <c r="R747" s="2" t="inlineStr"/>
    </row>
    <row r="748" ht="15" customHeight="1">
      <c r="A748" t="inlineStr">
        <is>
          <t>A 18623-2023</t>
        </is>
      </c>
      <c r="B748" s="1" t="n">
        <v>45043</v>
      </c>
      <c r="C748" s="1" t="n">
        <v>45882</v>
      </c>
      <c r="D748" t="inlineStr">
        <is>
          <t>SKÅNE LÄN</t>
        </is>
      </c>
      <c r="E748" t="inlineStr">
        <is>
          <t>HÄSSLEHOLM</t>
        </is>
      </c>
      <c r="G748" t="n">
        <v>3.2</v>
      </c>
      <c r="H748" t="n">
        <v>0</v>
      </c>
      <c r="I748" t="n">
        <v>0</v>
      </c>
      <c r="J748" t="n">
        <v>0</v>
      </c>
      <c r="K748" t="n">
        <v>0</v>
      </c>
      <c r="L748" t="n">
        <v>0</v>
      </c>
      <c r="M748" t="n">
        <v>0</v>
      </c>
      <c r="N748" t="n">
        <v>0</v>
      </c>
      <c r="O748" t="n">
        <v>0</v>
      </c>
      <c r="P748" t="n">
        <v>0</v>
      </c>
      <c r="Q748" t="n">
        <v>0</v>
      </c>
      <c r="R748" s="2" t="inlineStr"/>
    </row>
    <row r="749" ht="15" customHeight="1">
      <c r="A749" t="inlineStr">
        <is>
          <t>A 1616-2025</t>
        </is>
      </c>
      <c r="B749" s="1" t="n">
        <v>45670</v>
      </c>
      <c r="C749" s="1" t="n">
        <v>45882</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42735-2024</t>
        </is>
      </c>
      <c r="B750" s="1" t="n">
        <v>45566.47274305556</v>
      </c>
      <c r="C750" s="1" t="n">
        <v>45882</v>
      </c>
      <c r="D750" t="inlineStr">
        <is>
          <t>SKÅNE LÄN</t>
        </is>
      </c>
      <c r="E750" t="inlineStr">
        <is>
          <t>HÄSSLEHOLM</t>
        </is>
      </c>
      <c r="G750" t="n">
        <v>3.7</v>
      </c>
      <c r="H750" t="n">
        <v>0</v>
      </c>
      <c r="I750" t="n">
        <v>0</v>
      </c>
      <c r="J750" t="n">
        <v>0</v>
      </c>
      <c r="K750" t="n">
        <v>0</v>
      </c>
      <c r="L750" t="n">
        <v>0</v>
      </c>
      <c r="M750" t="n">
        <v>0</v>
      </c>
      <c r="N750" t="n">
        <v>0</v>
      </c>
      <c r="O750" t="n">
        <v>0</v>
      </c>
      <c r="P750" t="n">
        <v>0</v>
      </c>
      <c r="Q750" t="n">
        <v>0</v>
      </c>
      <c r="R750" s="2" t="inlineStr"/>
    </row>
    <row r="751" ht="15" customHeight="1">
      <c r="A751" t="inlineStr">
        <is>
          <t>A 33873-2021</t>
        </is>
      </c>
      <c r="B751" s="1" t="n">
        <v>44378</v>
      </c>
      <c r="C751" s="1" t="n">
        <v>45882</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55522-2024</t>
        </is>
      </c>
      <c r="B752" s="1" t="n">
        <v>45622</v>
      </c>
      <c r="C752" s="1" t="n">
        <v>45882</v>
      </c>
      <c r="D752" t="inlineStr">
        <is>
          <t>SKÅNE LÄN</t>
        </is>
      </c>
      <c r="E752" t="inlineStr">
        <is>
          <t>HÄSSLEHOLM</t>
        </is>
      </c>
      <c r="G752" t="n">
        <v>5.6</v>
      </c>
      <c r="H752" t="n">
        <v>0</v>
      </c>
      <c r="I752" t="n">
        <v>0</v>
      </c>
      <c r="J752" t="n">
        <v>0</v>
      </c>
      <c r="K752" t="n">
        <v>0</v>
      </c>
      <c r="L752" t="n">
        <v>0</v>
      </c>
      <c r="M752" t="n">
        <v>0</v>
      </c>
      <c r="N752" t="n">
        <v>0</v>
      </c>
      <c r="O752" t="n">
        <v>0</v>
      </c>
      <c r="P752" t="n">
        <v>0</v>
      </c>
      <c r="Q752" t="n">
        <v>0</v>
      </c>
      <c r="R752" s="2" t="inlineStr"/>
    </row>
    <row r="753" ht="15" customHeight="1">
      <c r="A753" t="inlineStr">
        <is>
          <t>A 32826-2024</t>
        </is>
      </c>
      <c r="B753" s="1" t="n">
        <v>45516.59056712963</v>
      </c>
      <c r="C753" s="1" t="n">
        <v>45882</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15053-2023</t>
        </is>
      </c>
      <c r="B754" s="1" t="n">
        <v>45015</v>
      </c>
      <c r="C754" s="1" t="n">
        <v>45882</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9302-2025</t>
        </is>
      </c>
      <c r="B755" s="1" t="n">
        <v>45714.67233796296</v>
      </c>
      <c r="C755" s="1" t="n">
        <v>45882</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47907-2021</t>
        </is>
      </c>
      <c r="B756" s="1" t="n">
        <v>44448</v>
      </c>
      <c r="C756" s="1" t="n">
        <v>45882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45882</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32512-2024</t>
        </is>
      </c>
      <c r="B758" s="1" t="n">
        <v>45513.45613425926</v>
      </c>
      <c r="C758" s="1" t="n">
        <v>45882</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1197-2024</t>
        </is>
      </c>
      <c r="B759" s="1" t="n">
        <v>45302</v>
      </c>
      <c r="C759" s="1" t="n">
        <v>45882</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13712-2025</t>
        </is>
      </c>
      <c r="B760" s="1" t="n">
        <v>45737</v>
      </c>
      <c r="C760" s="1" t="n">
        <v>45882</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49950-2023</t>
        </is>
      </c>
      <c r="B761" s="1" t="n">
        <v>45215</v>
      </c>
      <c r="C761" s="1" t="n">
        <v>45882</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12558-2023</t>
        </is>
      </c>
      <c r="B762" s="1" t="n">
        <v>45000.36103009259</v>
      </c>
      <c r="C762" s="1" t="n">
        <v>45882</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41694-2024</t>
        </is>
      </c>
      <c r="B763" s="1" t="n">
        <v>45560.68341435185</v>
      </c>
      <c r="C763" s="1" t="n">
        <v>45882</v>
      </c>
      <c r="D763" t="inlineStr">
        <is>
          <t>SKÅNE LÄN</t>
        </is>
      </c>
      <c r="E763" t="inlineStr">
        <is>
          <t>HÄSSLEHOLM</t>
        </is>
      </c>
      <c r="G763" t="n">
        <v>0.4</v>
      </c>
      <c r="H763" t="n">
        <v>0</v>
      </c>
      <c r="I763" t="n">
        <v>0</v>
      </c>
      <c r="J763" t="n">
        <v>0</v>
      </c>
      <c r="K763" t="n">
        <v>0</v>
      </c>
      <c r="L763" t="n">
        <v>0</v>
      </c>
      <c r="M763" t="n">
        <v>0</v>
      </c>
      <c r="N763" t="n">
        <v>0</v>
      </c>
      <c r="O763" t="n">
        <v>0</v>
      </c>
      <c r="P763" t="n">
        <v>0</v>
      </c>
      <c r="Q763" t="n">
        <v>0</v>
      </c>
      <c r="R763" s="2" t="inlineStr"/>
    </row>
    <row r="764" ht="15" customHeight="1">
      <c r="A764" t="inlineStr">
        <is>
          <t>A 36795-2023</t>
        </is>
      </c>
      <c r="B764" s="1" t="n">
        <v>45154.38245370371</v>
      </c>
      <c r="C764" s="1" t="n">
        <v>45882</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46942-2024</t>
        </is>
      </c>
      <c r="B765" s="1" t="n">
        <v>45585.6684375</v>
      </c>
      <c r="C765" s="1" t="n">
        <v>45882</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24985-2025</t>
        </is>
      </c>
      <c r="B766" s="1" t="n">
        <v>45799.60256944445</v>
      </c>
      <c r="C766" s="1" t="n">
        <v>45882</v>
      </c>
      <c r="D766" t="inlineStr">
        <is>
          <t>SKÅNE LÄN</t>
        </is>
      </c>
      <c r="E766" t="inlineStr">
        <is>
          <t>HÄSSLEHOLM</t>
        </is>
      </c>
      <c r="G766" t="n">
        <v>2.3</v>
      </c>
      <c r="H766" t="n">
        <v>0</v>
      </c>
      <c r="I766" t="n">
        <v>0</v>
      </c>
      <c r="J766" t="n">
        <v>0</v>
      </c>
      <c r="K766" t="n">
        <v>0</v>
      </c>
      <c r="L766" t="n">
        <v>0</v>
      </c>
      <c r="M766" t="n">
        <v>0</v>
      </c>
      <c r="N766" t="n">
        <v>0</v>
      </c>
      <c r="O766" t="n">
        <v>0</v>
      </c>
      <c r="P766" t="n">
        <v>0</v>
      </c>
      <c r="Q766" t="n">
        <v>0</v>
      </c>
      <c r="R766" s="2" t="inlineStr"/>
    </row>
    <row r="767" ht="15" customHeight="1">
      <c r="A767" t="inlineStr">
        <is>
          <t>A 10562-2025</t>
        </is>
      </c>
      <c r="B767" s="1" t="n">
        <v>45721.52913194444</v>
      </c>
      <c r="C767" s="1" t="n">
        <v>45882</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4119-2024</t>
        </is>
      </c>
      <c r="B768" s="1" t="n">
        <v>45323.67920138889</v>
      </c>
      <c r="C768" s="1" t="n">
        <v>45882</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6835-2023</t>
        </is>
      </c>
      <c r="B769" s="1" t="n">
        <v>44967</v>
      </c>
      <c r="C769" s="1" t="n">
        <v>45882</v>
      </c>
      <c r="D769" t="inlineStr">
        <is>
          <t>SKÅNE LÄN</t>
        </is>
      </c>
      <c r="E769" t="inlineStr">
        <is>
          <t>HÄSSLEHOLM</t>
        </is>
      </c>
      <c r="G769" t="n">
        <v>4.8</v>
      </c>
      <c r="H769" t="n">
        <v>0</v>
      </c>
      <c r="I769" t="n">
        <v>0</v>
      </c>
      <c r="J769" t="n">
        <v>0</v>
      </c>
      <c r="K769" t="n">
        <v>0</v>
      </c>
      <c r="L769" t="n">
        <v>0</v>
      </c>
      <c r="M769" t="n">
        <v>0</v>
      </c>
      <c r="N769" t="n">
        <v>0</v>
      </c>
      <c r="O769" t="n">
        <v>0</v>
      </c>
      <c r="P769" t="n">
        <v>0</v>
      </c>
      <c r="Q769" t="n">
        <v>0</v>
      </c>
      <c r="R769" s="2" t="inlineStr"/>
    </row>
    <row r="770" ht="15" customHeight="1">
      <c r="A770" t="inlineStr">
        <is>
          <t>A 47757-2024</t>
        </is>
      </c>
      <c r="B770" s="1" t="n">
        <v>45588.55075231481</v>
      </c>
      <c r="C770" s="1" t="n">
        <v>45882</v>
      </c>
      <c r="D770" t="inlineStr">
        <is>
          <t>SKÅNE LÄN</t>
        </is>
      </c>
      <c r="E770" t="inlineStr">
        <is>
          <t>HÄSSLEHOLM</t>
        </is>
      </c>
      <c r="G770" t="n">
        <v>5.5</v>
      </c>
      <c r="H770" t="n">
        <v>0</v>
      </c>
      <c r="I770" t="n">
        <v>0</v>
      </c>
      <c r="J770" t="n">
        <v>0</v>
      </c>
      <c r="K770" t="n">
        <v>0</v>
      </c>
      <c r="L770" t="n">
        <v>0</v>
      </c>
      <c r="M770" t="n">
        <v>0</v>
      </c>
      <c r="N770" t="n">
        <v>0</v>
      </c>
      <c r="O770" t="n">
        <v>0</v>
      </c>
      <c r="P770" t="n">
        <v>0</v>
      </c>
      <c r="Q770" t="n">
        <v>0</v>
      </c>
      <c r="R770" s="2" t="inlineStr"/>
    </row>
    <row r="771" ht="15" customHeight="1">
      <c r="A771" t="inlineStr">
        <is>
          <t>A 43696-2024</t>
        </is>
      </c>
      <c r="B771" s="1" t="n">
        <v>45569.58855324074</v>
      </c>
      <c r="C771" s="1" t="n">
        <v>45882</v>
      </c>
      <c r="D771" t="inlineStr">
        <is>
          <t>SKÅNE LÄN</t>
        </is>
      </c>
      <c r="E771" t="inlineStr">
        <is>
          <t>HÄSSLEHOLM</t>
        </is>
      </c>
      <c r="G771" t="n">
        <v>2.9</v>
      </c>
      <c r="H771" t="n">
        <v>0</v>
      </c>
      <c r="I771" t="n">
        <v>0</v>
      </c>
      <c r="J771" t="n">
        <v>0</v>
      </c>
      <c r="K771" t="n">
        <v>0</v>
      </c>
      <c r="L771" t="n">
        <v>0</v>
      </c>
      <c r="M771" t="n">
        <v>0</v>
      </c>
      <c r="N771" t="n">
        <v>0</v>
      </c>
      <c r="O771" t="n">
        <v>0</v>
      </c>
      <c r="P771" t="n">
        <v>0</v>
      </c>
      <c r="Q771" t="n">
        <v>0</v>
      </c>
      <c r="R771" s="2" t="inlineStr"/>
    </row>
    <row r="772" ht="15" customHeight="1">
      <c r="A772" t="inlineStr">
        <is>
          <t>A 16550-2025</t>
        </is>
      </c>
      <c r="B772" s="1" t="n">
        <v>45751.69412037037</v>
      </c>
      <c r="C772" s="1" t="n">
        <v>45882</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26403-2024</t>
        </is>
      </c>
      <c r="B773" s="1" t="n">
        <v>45469.44505787037</v>
      </c>
      <c r="C773" s="1" t="n">
        <v>45882</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36706-2022</t>
        </is>
      </c>
      <c r="B774" s="1" t="n">
        <v>44805.32891203704</v>
      </c>
      <c r="C774" s="1" t="n">
        <v>45882</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22594-2024</t>
        </is>
      </c>
      <c r="B775" s="1" t="n">
        <v>45447.60892361111</v>
      </c>
      <c r="C775" s="1" t="n">
        <v>45882</v>
      </c>
      <c r="D775" t="inlineStr">
        <is>
          <t>SKÅNE LÄN</t>
        </is>
      </c>
      <c r="E775" t="inlineStr">
        <is>
          <t>HÄSSLEHOLM</t>
        </is>
      </c>
      <c r="G775" t="n">
        <v>1.1</v>
      </c>
      <c r="H775" t="n">
        <v>0</v>
      </c>
      <c r="I775" t="n">
        <v>0</v>
      </c>
      <c r="J775" t="n">
        <v>0</v>
      </c>
      <c r="K775" t="n">
        <v>0</v>
      </c>
      <c r="L775" t="n">
        <v>0</v>
      </c>
      <c r="M775" t="n">
        <v>0</v>
      </c>
      <c r="N775" t="n">
        <v>0</v>
      </c>
      <c r="O775" t="n">
        <v>0</v>
      </c>
      <c r="P775" t="n">
        <v>0</v>
      </c>
      <c r="Q775" t="n">
        <v>0</v>
      </c>
      <c r="R775" s="2" t="inlineStr"/>
    </row>
    <row r="776" ht="15" customHeight="1">
      <c r="A776" t="inlineStr">
        <is>
          <t>A 26536-2022</t>
        </is>
      </c>
      <c r="B776" s="1" t="n">
        <v>44739.45496527778</v>
      </c>
      <c r="C776" s="1" t="n">
        <v>45882</v>
      </c>
      <c r="D776" t="inlineStr">
        <is>
          <t>SKÅNE LÄN</t>
        </is>
      </c>
      <c r="E776" t="inlineStr">
        <is>
          <t>HÄSSLEHOLM</t>
        </is>
      </c>
      <c r="G776" t="n">
        <v>3.1</v>
      </c>
      <c r="H776" t="n">
        <v>0</v>
      </c>
      <c r="I776" t="n">
        <v>0</v>
      </c>
      <c r="J776" t="n">
        <v>0</v>
      </c>
      <c r="K776" t="n">
        <v>0</v>
      </c>
      <c r="L776" t="n">
        <v>0</v>
      </c>
      <c r="M776" t="n">
        <v>0</v>
      </c>
      <c r="N776" t="n">
        <v>0</v>
      </c>
      <c r="O776" t="n">
        <v>0</v>
      </c>
      <c r="P776" t="n">
        <v>0</v>
      </c>
      <c r="Q776" t="n">
        <v>0</v>
      </c>
      <c r="R776" s="2" t="inlineStr"/>
    </row>
    <row r="777" ht="15" customHeight="1">
      <c r="A777" t="inlineStr">
        <is>
          <t>A 25213-2023</t>
        </is>
      </c>
      <c r="B777" s="1" t="n">
        <v>45086.60010416667</v>
      </c>
      <c r="C777" s="1" t="n">
        <v>45882</v>
      </c>
      <c r="D777" t="inlineStr">
        <is>
          <t>SKÅNE LÄN</t>
        </is>
      </c>
      <c r="E777" t="inlineStr">
        <is>
          <t>HÄSSLEHOLM</t>
        </is>
      </c>
      <c r="G777" t="n">
        <v>7.2</v>
      </c>
      <c r="H777" t="n">
        <v>0</v>
      </c>
      <c r="I777" t="n">
        <v>0</v>
      </c>
      <c r="J777" t="n">
        <v>0</v>
      </c>
      <c r="K777" t="n">
        <v>0</v>
      </c>
      <c r="L777" t="n">
        <v>0</v>
      </c>
      <c r="M777" t="n">
        <v>0</v>
      </c>
      <c r="N777" t="n">
        <v>0</v>
      </c>
      <c r="O777" t="n">
        <v>0</v>
      </c>
      <c r="P777" t="n">
        <v>0</v>
      </c>
      <c r="Q777" t="n">
        <v>0</v>
      </c>
      <c r="R777" s="2" t="inlineStr"/>
    </row>
    <row r="778" ht="15" customHeight="1">
      <c r="A778" t="inlineStr">
        <is>
          <t>A 24776-2025</t>
        </is>
      </c>
      <c r="B778" s="1" t="n">
        <v>45799.40640046296</v>
      </c>
      <c r="C778" s="1" t="n">
        <v>45882</v>
      </c>
      <c r="D778" t="inlineStr">
        <is>
          <t>SKÅNE LÄN</t>
        </is>
      </c>
      <c r="E778" t="inlineStr">
        <is>
          <t>HÄSSLEHOLM</t>
        </is>
      </c>
      <c r="G778" t="n">
        <v>5.4</v>
      </c>
      <c r="H778" t="n">
        <v>0</v>
      </c>
      <c r="I778" t="n">
        <v>0</v>
      </c>
      <c r="J778" t="n">
        <v>0</v>
      </c>
      <c r="K778" t="n">
        <v>0</v>
      </c>
      <c r="L778" t="n">
        <v>0</v>
      </c>
      <c r="M778" t="n">
        <v>0</v>
      </c>
      <c r="N778" t="n">
        <v>0</v>
      </c>
      <c r="O778" t="n">
        <v>0</v>
      </c>
      <c r="P778" t="n">
        <v>0</v>
      </c>
      <c r="Q778" t="n">
        <v>0</v>
      </c>
      <c r="R778" s="2" t="inlineStr"/>
    </row>
    <row r="779" ht="15" customHeight="1">
      <c r="A779" t="inlineStr">
        <is>
          <t>A 25057-2024</t>
        </is>
      </c>
      <c r="B779" s="1" t="n">
        <v>45462</v>
      </c>
      <c r="C779" s="1" t="n">
        <v>45882</v>
      </c>
      <c r="D779" t="inlineStr">
        <is>
          <t>SKÅNE LÄN</t>
        </is>
      </c>
      <c r="E779" t="inlineStr">
        <is>
          <t>HÄSSLEHOLM</t>
        </is>
      </c>
      <c r="G779" t="n">
        <v>4.3</v>
      </c>
      <c r="H779" t="n">
        <v>0</v>
      </c>
      <c r="I779" t="n">
        <v>0</v>
      </c>
      <c r="J779" t="n">
        <v>0</v>
      </c>
      <c r="K779" t="n">
        <v>0</v>
      </c>
      <c r="L779" t="n">
        <v>0</v>
      </c>
      <c r="M779" t="n">
        <v>0</v>
      </c>
      <c r="N779" t="n">
        <v>0</v>
      </c>
      <c r="O779" t="n">
        <v>0</v>
      </c>
      <c r="P779" t="n">
        <v>0</v>
      </c>
      <c r="Q779" t="n">
        <v>0</v>
      </c>
      <c r="R779" s="2" t="inlineStr"/>
    </row>
    <row r="780" ht="15" customHeight="1">
      <c r="A780" t="inlineStr">
        <is>
          <t>A 24658-2025</t>
        </is>
      </c>
      <c r="B780" s="1" t="n">
        <v>45798.64134259259</v>
      </c>
      <c r="C780" s="1" t="n">
        <v>45882</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18063-2023</t>
        </is>
      </c>
      <c r="B781" s="1" t="n">
        <v>45040.62850694444</v>
      </c>
      <c r="C781" s="1" t="n">
        <v>45882</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33562-2025</t>
        </is>
      </c>
      <c r="B782" s="1" t="n">
        <v>45841.57803240741</v>
      </c>
      <c r="C782" s="1" t="n">
        <v>45882</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25372-2025</t>
        </is>
      </c>
      <c r="B783" s="1" t="n">
        <v>45799</v>
      </c>
      <c r="C783" s="1" t="n">
        <v>45882</v>
      </c>
      <c r="D783" t="inlineStr">
        <is>
          <t>SKÅNE LÄN</t>
        </is>
      </c>
      <c r="E783" t="inlineStr">
        <is>
          <t>HÄSSLEHOLM</t>
        </is>
      </c>
      <c r="G783" t="n">
        <v>3.1</v>
      </c>
      <c r="H783" t="n">
        <v>0</v>
      </c>
      <c r="I783" t="n">
        <v>0</v>
      </c>
      <c r="J783" t="n">
        <v>0</v>
      </c>
      <c r="K783" t="n">
        <v>0</v>
      </c>
      <c r="L783" t="n">
        <v>0</v>
      </c>
      <c r="M783" t="n">
        <v>0</v>
      </c>
      <c r="N783" t="n">
        <v>0</v>
      </c>
      <c r="O783" t="n">
        <v>0</v>
      </c>
      <c r="P783" t="n">
        <v>0</v>
      </c>
      <c r="Q783" t="n">
        <v>0</v>
      </c>
      <c r="R783" s="2" t="inlineStr"/>
    </row>
    <row r="784" ht="15" customHeight="1">
      <c r="A784" t="inlineStr">
        <is>
          <t>A 9399-2025</t>
        </is>
      </c>
      <c r="B784" s="1" t="n">
        <v>45715.37861111111</v>
      </c>
      <c r="C784" s="1" t="n">
        <v>45882</v>
      </c>
      <c r="D784" t="inlineStr">
        <is>
          <t>SKÅNE LÄN</t>
        </is>
      </c>
      <c r="E784" t="inlineStr">
        <is>
          <t>HÄSSLEHOLM</t>
        </is>
      </c>
      <c r="G784" t="n">
        <v>5.2</v>
      </c>
      <c r="H784" t="n">
        <v>0</v>
      </c>
      <c r="I784" t="n">
        <v>0</v>
      </c>
      <c r="J784" t="n">
        <v>0</v>
      </c>
      <c r="K784" t="n">
        <v>0</v>
      </c>
      <c r="L784" t="n">
        <v>0</v>
      </c>
      <c r="M784" t="n">
        <v>0</v>
      </c>
      <c r="N784" t="n">
        <v>0</v>
      </c>
      <c r="O784" t="n">
        <v>0</v>
      </c>
      <c r="P784" t="n">
        <v>0</v>
      </c>
      <c r="Q784" t="n">
        <v>0</v>
      </c>
      <c r="R784" s="2" t="inlineStr"/>
    </row>
    <row r="785" ht="15" customHeight="1">
      <c r="A785" t="inlineStr">
        <is>
          <t>A 61524-2022</t>
        </is>
      </c>
      <c r="B785" s="1" t="n">
        <v>44910</v>
      </c>
      <c r="C785" s="1" t="n">
        <v>45882</v>
      </c>
      <c r="D785" t="inlineStr">
        <is>
          <t>SKÅNE LÄN</t>
        </is>
      </c>
      <c r="E785" t="inlineStr">
        <is>
          <t>HÄSSLEHOLM</t>
        </is>
      </c>
      <c r="F785" t="inlineStr">
        <is>
          <t>Kyrkan</t>
        </is>
      </c>
      <c r="G785" t="n">
        <v>2.1</v>
      </c>
      <c r="H785" t="n">
        <v>0</v>
      </c>
      <c r="I785" t="n">
        <v>0</v>
      </c>
      <c r="J785" t="n">
        <v>0</v>
      </c>
      <c r="K785" t="n">
        <v>0</v>
      </c>
      <c r="L785" t="n">
        <v>0</v>
      </c>
      <c r="M785" t="n">
        <v>0</v>
      </c>
      <c r="N785" t="n">
        <v>0</v>
      </c>
      <c r="O785" t="n">
        <v>0</v>
      </c>
      <c r="P785" t="n">
        <v>0</v>
      </c>
      <c r="Q785" t="n">
        <v>0</v>
      </c>
      <c r="R785" s="2" t="inlineStr"/>
    </row>
    <row r="786" ht="15" customHeight="1">
      <c r="A786" t="inlineStr">
        <is>
          <t>A 61578-2023</t>
        </is>
      </c>
      <c r="B786" s="1" t="n">
        <v>45265.47399305556</v>
      </c>
      <c r="C786" s="1" t="n">
        <v>45882</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7494-2023</t>
        </is>
      </c>
      <c r="B787" s="1" t="n">
        <v>44971.70835648148</v>
      </c>
      <c r="C787" s="1" t="n">
        <v>45882</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10115-2024</t>
        </is>
      </c>
      <c r="B788" s="1" t="n">
        <v>45364.55339120371</v>
      </c>
      <c r="C788" s="1" t="n">
        <v>45882</v>
      </c>
      <c r="D788" t="inlineStr">
        <is>
          <t>SKÅNE LÄN</t>
        </is>
      </c>
      <c r="E788" t="inlineStr">
        <is>
          <t>HÄSSLEHOLM</t>
        </is>
      </c>
      <c r="G788" t="n">
        <v>7</v>
      </c>
      <c r="H788" t="n">
        <v>0</v>
      </c>
      <c r="I788" t="n">
        <v>0</v>
      </c>
      <c r="J788" t="n">
        <v>0</v>
      </c>
      <c r="K788" t="n">
        <v>0</v>
      </c>
      <c r="L788" t="n">
        <v>0</v>
      </c>
      <c r="M788" t="n">
        <v>0</v>
      </c>
      <c r="N788" t="n">
        <v>0</v>
      </c>
      <c r="O788" t="n">
        <v>0</v>
      </c>
      <c r="P788" t="n">
        <v>0</v>
      </c>
      <c r="Q788" t="n">
        <v>0</v>
      </c>
      <c r="R788" s="2" t="inlineStr"/>
    </row>
    <row r="789" ht="15" customHeight="1">
      <c r="A789" t="inlineStr">
        <is>
          <t>A 25542-2024</t>
        </is>
      </c>
      <c r="B789" s="1" t="n">
        <v>45463</v>
      </c>
      <c r="C789" s="1" t="n">
        <v>45882</v>
      </c>
      <c r="D789" t="inlineStr">
        <is>
          <t>SKÅNE LÄN</t>
        </is>
      </c>
      <c r="E789" t="inlineStr">
        <is>
          <t>HÄSSLEHOLM</t>
        </is>
      </c>
      <c r="G789" t="n">
        <v>6.9</v>
      </c>
      <c r="H789" t="n">
        <v>0</v>
      </c>
      <c r="I789" t="n">
        <v>0</v>
      </c>
      <c r="J789" t="n">
        <v>0</v>
      </c>
      <c r="K789" t="n">
        <v>0</v>
      </c>
      <c r="L789" t="n">
        <v>0</v>
      </c>
      <c r="M789" t="n">
        <v>0</v>
      </c>
      <c r="N789" t="n">
        <v>0</v>
      </c>
      <c r="O789" t="n">
        <v>0</v>
      </c>
      <c r="P789" t="n">
        <v>0</v>
      </c>
      <c r="Q789" t="n">
        <v>0</v>
      </c>
      <c r="R789" s="2" t="inlineStr"/>
    </row>
    <row r="790" ht="15" customHeight="1">
      <c r="A790" t="inlineStr">
        <is>
          <t>A 33875-2025</t>
        </is>
      </c>
      <c r="B790" s="1" t="n">
        <v>45842.55300925926</v>
      </c>
      <c r="C790" s="1" t="n">
        <v>45882</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42370-2023</t>
        </is>
      </c>
      <c r="B791" s="1" t="n">
        <v>45180</v>
      </c>
      <c r="C791" s="1" t="n">
        <v>45882</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34174-2025</t>
        </is>
      </c>
      <c r="B792" s="1" t="n">
        <v>45844</v>
      </c>
      <c r="C792" s="1" t="n">
        <v>45882</v>
      </c>
      <c r="D792" t="inlineStr">
        <is>
          <t>SKÅNE LÄN</t>
        </is>
      </c>
      <c r="E792" t="inlineStr">
        <is>
          <t>HÄSSLEHOLM</t>
        </is>
      </c>
      <c r="G792" t="n">
        <v>4.7</v>
      </c>
      <c r="H792" t="n">
        <v>0</v>
      </c>
      <c r="I792" t="n">
        <v>0</v>
      </c>
      <c r="J792" t="n">
        <v>0</v>
      </c>
      <c r="K792" t="n">
        <v>0</v>
      </c>
      <c r="L792" t="n">
        <v>0</v>
      </c>
      <c r="M792" t="n">
        <v>0</v>
      </c>
      <c r="N792" t="n">
        <v>0</v>
      </c>
      <c r="O792" t="n">
        <v>0</v>
      </c>
      <c r="P792" t="n">
        <v>0</v>
      </c>
      <c r="Q792" t="n">
        <v>0</v>
      </c>
      <c r="R792" s="2" t="inlineStr"/>
    </row>
    <row r="793" ht="15" customHeight="1">
      <c r="A793" t="inlineStr">
        <is>
          <t>A 9668-2025</t>
        </is>
      </c>
      <c r="B793" s="1" t="n">
        <v>45716.3278587963</v>
      </c>
      <c r="C793" s="1" t="n">
        <v>45882</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259-2024</t>
        </is>
      </c>
      <c r="B794" s="1" t="n">
        <v>45294</v>
      </c>
      <c r="C794" s="1" t="n">
        <v>45882</v>
      </c>
      <c r="D794" t="inlineStr">
        <is>
          <t>SKÅNE LÄN</t>
        </is>
      </c>
      <c r="E794" t="inlineStr">
        <is>
          <t>HÄSSLEHOLM</t>
        </is>
      </c>
      <c r="G794" t="n">
        <v>8</v>
      </c>
      <c r="H794" t="n">
        <v>0</v>
      </c>
      <c r="I794" t="n">
        <v>0</v>
      </c>
      <c r="J794" t="n">
        <v>0</v>
      </c>
      <c r="K794" t="n">
        <v>0</v>
      </c>
      <c r="L794" t="n">
        <v>0</v>
      </c>
      <c r="M794" t="n">
        <v>0</v>
      </c>
      <c r="N794" t="n">
        <v>0</v>
      </c>
      <c r="O794" t="n">
        <v>0</v>
      </c>
      <c r="P794" t="n">
        <v>0</v>
      </c>
      <c r="Q794" t="n">
        <v>0</v>
      </c>
      <c r="R794" s="2" t="inlineStr"/>
    </row>
    <row r="795" ht="15" customHeight="1">
      <c r="A795" t="inlineStr">
        <is>
          <t>A 34177-2025</t>
        </is>
      </c>
      <c r="B795" s="1" t="n">
        <v>45844</v>
      </c>
      <c r="C795" s="1" t="n">
        <v>45882</v>
      </c>
      <c r="D795" t="inlineStr">
        <is>
          <t>SKÅNE LÄN</t>
        </is>
      </c>
      <c r="E795" t="inlineStr">
        <is>
          <t>HÄSSLEHOLM</t>
        </is>
      </c>
      <c r="G795" t="n">
        <v>3</v>
      </c>
      <c r="H795" t="n">
        <v>0</v>
      </c>
      <c r="I795" t="n">
        <v>0</v>
      </c>
      <c r="J795" t="n">
        <v>0</v>
      </c>
      <c r="K795" t="n">
        <v>0</v>
      </c>
      <c r="L795" t="n">
        <v>0</v>
      </c>
      <c r="M795" t="n">
        <v>0</v>
      </c>
      <c r="N795" t="n">
        <v>0</v>
      </c>
      <c r="O795" t="n">
        <v>0</v>
      </c>
      <c r="P795" t="n">
        <v>0</v>
      </c>
      <c r="Q795" t="n">
        <v>0</v>
      </c>
      <c r="R795" s="2" t="inlineStr"/>
    </row>
    <row r="796" ht="15" customHeight="1">
      <c r="A796" t="inlineStr">
        <is>
          <t>A 29659-2024</t>
        </is>
      </c>
      <c r="B796" s="1" t="n">
        <v>45484.92587962963</v>
      </c>
      <c r="C796" s="1" t="n">
        <v>45882</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27481-2023</t>
        </is>
      </c>
      <c r="B797" s="1" t="n">
        <v>45097</v>
      </c>
      <c r="C797" s="1" t="n">
        <v>45882</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33877-2025</t>
        </is>
      </c>
      <c r="B798" s="1" t="n">
        <v>45842.55564814815</v>
      </c>
      <c r="C798" s="1" t="n">
        <v>45882</v>
      </c>
      <c r="D798" t="inlineStr">
        <is>
          <t>SKÅNE LÄN</t>
        </is>
      </c>
      <c r="E798" t="inlineStr">
        <is>
          <t>HÄSSLEHOLM</t>
        </is>
      </c>
      <c r="G798" t="n">
        <v>3.9</v>
      </c>
      <c r="H798" t="n">
        <v>0</v>
      </c>
      <c r="I798" t="n">
        <v>0</v>
      </c>
      <c r="J798" t="n">
        <v>0</v>
      </c>
      <c r="K798" t="n">
        <v>0</v>
      </c>
      <c r="L798" t="n">
        <v>0</v>
      </c>
      <c r="M798" t="n">
        <v>0</v>
      </c>
      <c r="N798" t="n">
        <v>0</v>
      </c>
      <c r="O798" t="n">
        <v>0</v>
      </c>
      <c r="P798" t="n">
        <v>0</v>
      </c>
      <c r="Q798" t="n">
        <v>0</v>
      </c>
      <c r="R798" s="2" t="inlineStr"/>
    </row>
    <row r="799" ht="15" customHeight="1">
      <c r="A799" t="inlineStr">
        <is>
          <t>A 27837-2024</t>
        </is>
      </c>
      <c r="B799" s="1" t="n">
        <v>45475</v>
      </c>
      <c r="C799" s="1" t="n">
        <v>45882</v>
      </c>
      <c r="D799" t="inlineStr">
        <is>
          <t>SKÅNE LÄN</t>
        </is>
      </c>
      <c r="E799" t="inlineStr">
        <is>
          <t>HÄSSLEHOLM</t>
        </is>
      </c>
      <c r="F799" t="inlineStr">
        <is>
          <t>Kommuner</t>
        </is>
      </c>
      <c r="G799" t="n">
        <v>2.3</v>
      </c>
      <c r="H799" t="n">
        <v>0</v>
      </c>
      <c r="I799" t="n">
        <v>0</v>
      </c>
      <c r="J799" t="n">
        <v>0</v>
      </c>
      <c r="K799" t="n">
        <v>0</v>
      </c>
      <c r="L799" t="n">
        <v>0</v>
      </c>
      <c r="M799" t="n">
        <v>0</v>
      </c>
      <c r="N799" t="n">
        <v>0</v>
      </c>
      <c r="O799" t="n">
        <v>0</v>
      </c>
      <c r="P799" t="n">
        <v>0</v>
      </c>
      <c r="Q799" t="n">
        <v>0</v>
      </c>
      <c r="R799" s="2" t="inlineStr"/>
    </row>
    <row r="800" ht="15" customHeight="1">
      <c r="A800" t="inlineStr">
        <is>
          <t>A 11422-2025</t>
        </is>
      </c>
      <c r="B800" s="1" t="n">
        <v>45726</v>
      </c>
      <c r="C800" s="1" t="n">
        <v>45882</v>
      </c>
      <c r="D800" t="inlineStr">
        <is>
          <t>SKÅNE LÄN</t>
        </is>
      </c>
      <c r="E800" t="inlineStr">
        <is>
          <t>HÄSSLEHOLM</t>
        </is>
      </c>
      <c r="G800" t="n">
        <v>14.9</v>
      </c>
      <c r="H800" t="n">
        <v>0</v>
      </c>
      <c r="I800" t="n">
        <v>0</v>
      </c>
      <c r="J800" t="n">
        <v>0</v>
      </c>
      <c r="K800" t="n">
        <v>0</v>
      </c>
      <c r="L800" t="n">
        <v>0</v>
      </c>
      <c r="M800" t="n">
        <v>0</v>
      </c>
      <c r="N800" t="n">
        <v>0</v>
      </c>
      <c r="O800" t="n">
        <v>0</v>
      </c>
      <c r="P800" t="n">
        <v>0</v>
      </c>
      <c r="Q800" t="n">
        <v>0</v>
      </c>
      <c r="R800" s="2" t="inlineStr"/>
    </row>
    <row r="801" ht="15" customHeight="1">
      <c r="A801" t="inlineStr">
        <is>
          <t>A 1679-2022</t>
        </is>
      </c>
      <c r="B801" s="1" t="n">
        <v>44573</v>
      </c>
      <c r="C801" s="1" t="n">
        <v>45882</v>
      </c>
      <c r="D801" t="inlineStr">
        <is>
          <t>SKÅNE LÄN</t>
        </is>
      </c>
      <c r="E801" t="inlineStr">
        <is>
          <t>HÄSSLEHOLM</t>
        </is>
      </c>
      <c r="F801" t="inlineStr">
        <is>
          <t>Kyrkan</t>
        </is>
      </c>
      <c r="G801" t="n">
        <v>4.3</v>
      </c>
      <c r="H801" t="n">
        <v>0</v>
      </c>
      <c r="I801" t="n">
        <v>0</v>
      </c>
      <c r="J801" t="n">
        <v>0</v>
      </c>
      <c r="K801" t="n">
        <v>0</v>
      </c>
      <c r="L801" t="n">
        <v>0</v>
      </c>
      <c r="M801" t="n">
        <v>0</v>
      </c>
      <c r="N801" t="n">
        <v>0</v>
      </c>
      <c r="O801" t="n">
        <v>0</v>
      </c>
      <c r="P801" t="n">
        <v>0</v>
      </c>
      <c r="Q801" t="n">
        <v>0</v>
      </c>
      <c r="R801" s="2" t="inlineStr"/>
    </row>
    <row r="802" ht="15" customHeight="1">
      <c r="A802" t="inlineStr">
        <is>
          <t>A 49865-2020</t>
        </is>
      </c>
      <c r="B802" s="1" t="n">
        <v>44107</v>
      </c>
      <c r="C802" s="1" t="n">
        <v>45882</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7604-2024</t>
        </is>
      </c>
      <c r="B803" s="1" t="n">
        <v>45348</v>
      </c>
      <c r="C803" s="1" t="n">
        <v>45882</v>
      </c>
      <c r="D803" t="inlineStr">
        <is>
          <t>SKÅNE LÄN</t>
        </is>
      </c>
      <c r="E803" t="inlineStr">
        <is>
          <t>HÄSSLEHOLM</t>
        </is>
      </c>
      <c r="G803" t="n">
        <v>11.1</v>
      </c>
      <c r="H803" t="n">
        <v>0</v>
      </c>
      <c r="I803" t="n">
        <v>0</v>
      </c>
      <c r="J803" t="n">
        <v>0</v>
      </c>
      <c r="K803" t="n">
        <v>0</v>
      </c>
      <c r="L803" t="n">
        <v>0</v>
      </c>
      <c r="M803" t="n">
        <v>0</v>
      </c>
      <c r="N803" t="n">
        <v>0</v>
      </c>
      <c r="O803" t="n">
        <v>0</v>
      </c>
      <c r="P803" t="n">
        <v>0</v>
      </c>
      <c r="Q803" t="n">
        <v>0</v>
      </c>
      <c r="R803" s="2" t="inlineStr"/>
    </row>
    <row r="804" ht="15" customHeight="1">
      <c r="A804" t="inlineStr">
        <is>
          <t>A 21328-2023</t>
        </is>
      </c>
      <c r="B804" s="1" t="n">
        <v>45062</v>
      </c>
      <c r="C804" s="1" t="n">
        <v>45882</v>
      </c>
      <c r="D804" t="inlineStr">
        <is>
          <t>SKÅNE LÄN</t>
        </is>
      </c>
      <c r="E804" t="inlineStr">
        <is>
          <t>HÄSSLEHOLM</t>
        </is>
      </c>
      <c r="G804" t="n">
        <v>2.1</v>
      </c>
      <c r="H804" t="n">
        <v>0</v>
      </c>
      <c r="I804" t="n">
        <v>0</v>
      </c>
      <c r="J804" t="n">
        <v>0</v>
      </c>
      <c r="K804" t="n">
        <v>0</v>
      </c>
      <c r="L804" t="n">
        <v>0</v>
      </c>
      <c r="M804" t="n">
        <v>0</v>
      </c>
      <c r="N804" t="n">
        <v>0</v>
      </c>
      <c r="O804" t="n">
        <v>0</v>
      </c>
      <c r="P804" t="n">
        <v>0</v>
      </c>
      <c r="Q804" t="n">
        <v>0</v>
      </c>
      <c r="R804" s="2" t="inlineStr"/>
    </row>
    <row r="805" ht="15" customHeight="1">
      <c r="A805" t="inlineStr">
        <is>
          <t>A 29853-2024</t>
        </is>
      </c>
      <c r="B805" s="1" t="n">
        <v>45485.65844907407</v>
      </c>
      <c r="C805" s="1" t="n">
        <v>45882</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3925-2021</t>
        </is>
      </c>
      <c r="B806" s="1" t="n">
        <v>44222</v>
      </c>
      <c r="C806" s="1" t="n">
        <v>45882</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29287-2023</t>
        </is>
      </c>
      <c r="B807" s="1" t="n">
        <v>45098</v>
      </c>
      <c r="C807" s="1" t="n">
        <v>45882</v>
      </c>
      <c r="D807" t="inlineStr">
        <is>
          <t>SKÅNE LÄN</t>
        </is>
      </c>
      <c r="E807" t="inlineStr">
        <is>
          <t>HÄSSLEHOLM</t>
        </is>
      </c>
      <c r="G807" t="n">
        <v>5.7</v>
      </c>
      <c r="H807" t="n">
        <v>0</v>
      </c>
      <c r="I807" t="n">
        <v>0</v>
      </c>
      <c r="J807" t="n">
        <v>0</v>
      </c>
      <c r="K807" t="n">
        <v>0</v>
      </c>
      <c r="L807" t="n">
        <v>0</v>
      </c>
      <c r="M807" t="n">
        <v>0</v>
      </c>
      <c r="N807" t="n">
        <v>0</v>
      </c>
      <c r="O807" t="n">
        <v>0</v>
      </c>
      <c r="P807" t="n">
        <v>0</v>
      </c>
      <c r="Q807" t="n">
        <v>0</v>
      </c>
      <c r="R807" s="2" t="inlineStr"/>
    </row>
    <row r="808" ht="15" customHeight="1">
      <c r="A808" t="inlineStr">
        <is>
          <t>A 5992-2022</t>
        </is>
      </c>
      <c r="B808" s="1" t="n">
        <v>44599</v>
      </c>
      <c r="C808" s="1" t="n">
        <v>45882</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11116-2023</t>
        </is>
      </c>
      <c r="B809" s="1" t="n">
        <v>44986</v>
      </c>
      <c r="C809" s="1" t="n">
        <v>45882</v>
      </c>
      <c r="D809" t="inlineStr">
        <is>
          <t>SKÅNE LÄN</t>
        </is>
      </c>
      <c r="E809" t="inlineStr">
        <is>
          <t>HÄSSLEHOLM</t>
        </is>
      </c>
      <c r="F809" t="inlineStr">
        <is>
          <t>Kommuner</t>
        </is>
      </c>
      <c r="G809" t="n">
        <v>15.1</v>
      </c>
      <c r="H809" t="n">
        <v>0</v>
      </c>
      <c r="I809" t="n">
        <v>0</v>
      </c>
      <c r="J809" t="n">
        <v>0</v>
      </c>
      <c r="K809" t="n">
        <v>0</v>
      </c>
      <c r="L809" t="n">
        <v>0</v>
      </c>
      <c r="M809" t="n">
        <v>0</v>
      </c>
      <c r="N809" t="n">
        <v>0</v>
      </c>
      <c r="O809" t="n">
        <v>0</v>
      </c>
      <c r="P809" t="n">
        <v>0</v>
      </c>
      <c r="Q809" t="n">
        <v>0</v>
      </c>
      <c r="R809" s="2" t="inlineStr"/>
    </row>
    <row r="810" ht="15" customHeight="1">
      <c r="A810" t="inlineStr">
        <is>
          <t>A 51565-2023</t>
        </is>
      </c>
      <c r="B810" s="1" t="n">
        <v>45222</v>
      </c>
      <c r="C810" s="1" t="n">
        <v>45882</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12570-2023</t>
        </is>
      </c>
      <c r="B811" s="1" t="n">
        <v>44999</v>
      </c>
      <c r="C811" s="1" t="n">
        <v>45882</v>
      </c>
      <c r="D811" t="inlineStr">
        <is>
          <t>SKÅNE LÄN</t>
        </is>
      </c>
      <c r="E811" t="inlineStr">
        <is>
          <t>HÄSSLEHOLM</t>
        </is>
      </c>
      <c r="G811" t="n">
        <v>3.4</v>
      </c>
      <c r="H811" t="n">
        <v>0</v>
      </c>
      <c r="I811" t="n">
        <v>0</v>
      </c>
      <c r="J811" t="n">
        <v>0</v>
      </c>
      <c r="K811" t="n">
        <v>0</v>
      </c>
      <c r="L811" t="n">
        <v>0</v>
      </c>
      <c r="M811" t="n">
        <v>0</v>
      </c>
      <c r="N811" t="n">
        <v>0</v>
      </c>
      <c r="O811" t="n">
        <v>0</v>
      </c>
      <c r="P811" t="n">
        <v>0</v>
      </c>
      <c r="Q811" t="n">
        <v>0</v>
      </c>
      <c r="R811" s="2" t="inlineStr"/>
    </row>
    <row r="812" ht="15" customHeight="1">
      <c r="A812" t="inlineStr">
        <is>
          <t>A 25324-2024</t>
        </is>
      </c>
      <c r="B812" s="1" t="n">
        <v>45462.804375</v>
      </c>
      <c r="C812" s="1" t="n">
        <v>45882</v>
      </c>
      <c r="D812" t="inlineStr">
        <is>
          <t>SKÅNE LÄN</t>
        </is>
      </c>
      <c r="E812" t="inlineStr">
        <is>
          <t>HÄSSLEHOLM</t>
        </is>
      </c>
      <c r="G812" t="n">
        <v>0.2</v>
      </c>
      <c r="H812" t="n">
        <v>0</v>
      </c>
      <c r="I812" t="n">
        <v>0</v>
      </c>
      <c r="J812" t="n">
        <v>0</v>
      </c>
      <c r="K812" t="n">
        <v>0</v>
      </c>
      <c r="L812" t="n">
        <v>0</v>
      </c>
      <c r="M812" t="n">
        <v>0</v>
      </c>
      <c r="N812" t="n">
        <v>0</v>
      </c>
      <c r="O812" t="n">
        <v>0</v>
      </c>
      <c r="P812" t="n">
        <v>0</v>
      </c>
      <c r="Q812" t="n">
        <v>0</v>
      </c>
      <c r="R812" s="2" t="inlineStr"/>
    </row>
    <row r="813" ht="15" customHeight="1">
      <c r="A813" t="inlineStr">
        <is>
          <t>A 8803-2023</t>
        </is>
      </c>
      <c r="B813" s="1" t="n">
        <v>44978.61712962963</v>
      </c>
      <c r="C813" s="1" t="n">
        <v>45882</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25615-2025</t>
        </is>
      </c>
      <c r="B814" s="1" t="n">
        <v>45803</v>
      </c>
      <c r="C814" s="1" t="n">
        <v>45882</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4809-2025</t>
        </is>
      </c>
      <c r="B815" s="1" t="n">
        <v>45688.60148148148</v>
      </c>
      <c r="C815" s="1" t="n">
        <v>45882</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20435-2021</t>
        </is>
      </c>
      <c r="B816" s="1" t="n">
        <v>44315.5793287037</v>
      </c>
      <c r="C816" s="1" t="n">
        <v>45882</v>
      </c>
      <c r="D816" t="inlineStr">
        <is>
          <t>SKÅNE LÄN</t>
        </is>
      </c>
      <c r="E816" t="inlineStr">
        <is>
          <t>HÄSSLEHOLM</t>
        </is>
      </c>
      <c r="G816" t="n">
        <v>4.8</v>
      </c>
      <c r="H816" t="n">
        <v>0</v>
      </c>
      <c r="I816" t="n">
        <v>0</v>
      </c>
      <c r="J816" t="n">
        <v>0</v>
      </c>
      <c r="K816" t="n">
        <v>0</v>
      </c>
      <c r="L816" t="n">
        <v>0</v>
      </c>
      <c r="M816" t="n">
        <v>0</v>
      </c>
      <c r="N816" t="n">
        <v>0</v>
      </c>
      <c r="O816" t="n">
        <v>0</v>
      </c>
      <c r="P816" t="n">
        <v>0</v>
      </c>
      <c r="Q816" t="n">
        <v>0</v>
      </c>
      <c r="R816" s="2" t="inlineStr"/>
    </row>
    <row r="817" ht="15" customHeight="1">
      <c r="A817" t="inlineStr">
        <is>
          <t>A 25219-2023</t>
        </is>
      </c>
      <c r="B817" s="1" t="n">
        <v>45086.60541666667</v>
      </c>
      <c r="C817" s="1" t="n">
        <v>45882</v>
      </c>
      <c r="D817" t="inlineStr">
        <is>
          <t>SKÅNE LÄN</t>
        </is>
      </c>
      <c r="E817" t="inlineStr">
        <is>
          <t>HÄSSLEHOLM</t>
        </is>
      </c>
      <c r="G817" t="n">
        <v>6.9</v>
      </c>
      <c r="H817" t="n">
        <v>0</v>
      </c>
      <c r="I817" t="n">
        <v>0</v>
      </c>
      <c r="J817" t="n">
        <v>0</v>
      </c>
      <c r="K817" t="n">
        <v>0</v>
      </c>
      <c r="L817" t="n">
        <v>0</v>
      </c>
      <c r="M817" t="n">
        <v>0</v>
      </c>
      <c r="N817" t="n">
        <v>0</v>
      </c>
      <c r="O817" t="n">
        <v>0</v>
      </c>
      <c r="P817" t="n">
        <v>0</v>
      </c>
      <c r="Q817" t="n">
        <v>0</v>
      </c>
      <c r="R817" s="2" t="inlineStr"/>
    </row>
    <row r="818" ht="15" customHeight="1">
      <c r="A818" t="inlineStr">
        <is>
          <t>A 12780-2024</t>
        </is>
      </c>
      <c r="B818" s="1" t="n">
        <v>45384.59726851852</v>
      </c>
      <c r="C818" s="1" t="n">
        <v>45882</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9375-2023</t>
        </is>
      </c>
      <c r="B819" s="1" t="n">
        <v>44981</v>
      </c>
      <c r="C819" s="1" t="n">
        <v>45882</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11412-2025</t>
        </is>
      </c>
      <c r="B820" s="1" t="n">
        <v>45726</v>
      </c>
      <c r="C820" s="1" t="n">
        <v>45882</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25430-2025</t>
        </is>
      </c>
      <c r="B821" s="1" t="n">
        <v>45800.78212962963</v>
      </c>
      <c r="C821" s="1" t="n">
        <v>45882</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11121-2023</t>
        </is>
      </c>
      <c r="B822" s="1" t="n">
        <v>44986</v>
      </c>
      <c r="C822" s="1" t="n">
        <v>45882</v>
      </c>
      <c r="D822" t="inlineStr">
        <is>
          <t>SKÅNE LÄN</t>
        </is>
      </c>
      <c r="E822" t="inlineStr">
        <is>
          <t>HÄSSLEHOLM</t>
        </is>
      </c>
      <c r="F822" t="inlineStr">
        <is>
          <t>Kommuner</t>
        </is>
      </c>
      <c r="G822" t="n">
        <v>5.8</v>
      </c>
      <c r="H822" t="n">
        <v>0</v>
      </c>
      <c r="I822" t="n">
        <v>0</v>
      </c>
      <c r="J822" t="n">
        <v>0</v>
      </c>
      <c r="K822" t="n">
        <v>0</v>
      </c>
      <c r="L822" t="n">
        <v>0</v>
      </c>
      <c r="M822" t="n">
        <v>0</v>
      </c>
      <c r="N822" t="n">
        <v>0</v>
      </c>
      <c r="O822" t="n">
        <v>0</v>
      </c>
      <c r="P822" t="n">
        <v>0</v>
      </c>
      <c r="Q822" t="n">
        <v>0</v>
      </c>
      <c r="R822" s="2" t="inlineStr"/>
    </row>
    <row r="823" ht="15" customHeight="1">
      <c r="A823" t="inlineStr">
        <is>
          <t>A 33879-2025</t>
        </is>
      </c>
      <c r="B823" s="1" t="n">
        <v>45842.55766203703</v>
      </c>
      <c r="C823" s="1" t="n">
        <v>45882</v>
      </c>
      <c r="D823" t="inlineStr">
        <is>
          <t>SKÅNE LÄN</t>
        </is>
      </c>
      <c r="E823" t="inlineStr">
        <is>
          <t>HÄSSLEHOLM</t>
        </is>
      </c>
      <c r="G823" t="n">
        <v>6.1</v>
      </c>
      <c r="H823" t="n">
        <v>0</v>
      </c>
      <c r="I823" t="n">
        <v>0</v>
      </c>
      <c r="J823" t="n">
        <v>0</v>
      </c>
      <c r="K823" t="n">
        <v>0</v>
      </c>
      <c r="L823" t="n">
        <v>0</v>
      </c>
      <c r="M823" t="n">
        <v>0</v>
      </c>
      <c r="N823" t="n">
        <v>0</v>
      </c>
      <c r="O823" t="n">
        <v>0</v>
      </c>
      <c r="P823" t="n">
        <v>0</v>
      </c>
      <c r="Q823" t="n">
        <v>0</v>
      </c>
      <c r="R823" s="2" t="inlineStr"/>
    </row>
    <row r="824" ht="15" customHeight="1">
      <c r="A824" t="inlineStr">
        <is>
          <t>A 16121-2025</t>
        </is>
      </c>
      <c r="B824" s="1" t="n">
        <v>45750.40384259259</v>
      </c>
      <c r="C824" s="1" t="n">
        <v>45882</v>
      </c>
      <c r="D824" t="inlineStr">
        <is>
          <t>SKÅNE LÄN</t>
        </is>
      </c>
      <c r="E824" t="inlineStr">
        <is>
          <t>HÄSSLEHOLM</t>
        </is>
      </c>
      <c r="G824" t="n">
        <v>1.6</v>
      </c>
      <c r="H824" t="n">
        <v>0</v>
      </c>
      <c r="I824" t="n">
        <v>0</v>
      </c>
      <c r="J824" t="n">
        <v>0</v>
      </c>
      <c r="K824" t="n">
        <v>0</v>
      </c>
      <c r="L824" t="n">
        <v>0</v>
      </c>
      <c r="M824" t="n">
        <v>0</v>
      </c>
      <c r="N824" t="n">
        <v>0</v>
      </c>
      <c r="O824" t="n">
        <v>0</v>
      </c>
      <c r="P824" t="n">
        <v>0</v>
      </c>
      <c r="Q824" t="n">
        <v>0</v>
      </c>
      <c r="R824" s="2" t="inlineStr"/>
    </row>
    <row r="825" ht="15" customHeight="1">
      <c r="A825" t="inlineStr">
        <is>
          <t>A 26857-2025</t>
        </is>
      </c>
      <c r="B825" s="1" t="n">
        <v>45810</v>
      </c>
      <c r="C825" s="1" t="n">
        <v>45882</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9678-2025</t>
        </is>
      </c>
      <c r="B826" s="1" t="n">
        <v>45716.34403935185</v>
      </c>
      <c r="C826" s="1" t="n">
        <v>45882</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11466-2025</t>
        </is>
      </c>
      <c r="B827" s="1" t="n">
        <v>45726</v>
      </c>
      <c r="C827" s="1" t="n">
        <v>45882</v>
      </c>
      <c r="D827" t="inlineStr">
        <is>
          <t>SKÅNE LÄN</t>
        </is>
      </c>
      <c r="E827" t="inlineStr">
        <is>
          <t>HÄSSLEHOLM</t>
        </is>
      </c>
      <c r="G827" t="n">
        <v>3.2</v>
      </c>
      <c r="H827" t="n">
        <v>0</v>
      </c>
      <c r="I827" t="n">
        <v>0</v>
      </c>
      <c r="J827" t="n">
        <v>0</v>
      </c>
      <c r="K827" t="n">
        <v>0</v>
      </c>
      <c r="L827" t="n">
        <v>0</v>
      </c>
      <c r="M827" t="n">
        <v>0</v>
      </c>
      <c r="N827" t="n">
        <v>0</v>
      </c>
      <c r="O827" t="n">
        <v>0</v>
      </c>
      <c r="P827" t="n">
        <v>0</v>
      </c>
      <c r="Q827" t="n">
        <v>0</v>
      </c>
      <c r="R827" s="2" t="inlineStr"/>
    </row>
    <row r="828" ht="15" customHeight="1">
      <c r="A828" t="inlineStr">
        <is>
          <t>A 7306-2025</t>
        </is>
      </c>
      <c r="B828" s="1" t="n">
        <v>45702</v>
      </c>
      <c r="C828" s="1" t="n">
        <v>45882</v>
      </c>
      <c r="D828" t="inlineStr">
        <is>
          <t>SKÅNE LÄN</t>
        </is>
      </c>
      <c r="E828" t="inlineStr">
        <is>
          <t>HÄSSLEHOLM</t>
        </is>
      </c>
      <c r="F828" t="inlineStr">
        <is>
          <t>Övriga Aktiebolag</t>
        </is>
      </c>
      <c r="G828" t="n">
        <v>3.3</v>
      </c>
      <c r="H828" t="n">
        <v>0</v>
      </c>
      <c r="I828" t="n">
        <v>0</v>
      </c>
      <c r="J828" t="n">
        <v>0</v>
      </c>
      <c r="K828" t="n">
        <v>0</v>
      </c>
      <c r="L828" t="n">
        <v>0</v>
      </c>
      <c r="M828" t="n">
        <v>0</v>
      </c>
      <c r="N828" t="n">
        <v>0</v>
      </c>
      <c r="O828" t="n">
        <v>0</v>
      </c>
      <c r="P828" t="n">
        <v>0</v>
      </c>
      <c r="Q828" t="n">
        <v>0</v>
      </c>
      <c r="R828" s="2" t="inlineStr"/>
    </row>
    <row r="829" ht="15" customHeight="1">
      <c r="A829" t="inlineStr">
        <is>
          <t>A 7308-2025</t>
        </is>
      </c>
      <c r="B829" s="1" t="n">
        <v>45702</v>
      </c>
      <c r="C829" s="1" t="n">
        <v>45882</v>
      </c>
      <c r="D829" t="inlineStr">
        <is>
          <t>SKÅNE LÄN</t>
        </is>
      </c>
      <c r="E829" t="inlineStr">
        <is>
          <t>HÄSSLEHOLM</t>
        </is>
      </c>
      <c r="F829" t="inlineStr">
        <is>
          <t>Övriga Aktiebolag</t>
        </is>
      </c>
      <c r="G829" t="n">
        <v>4.8</v>
      </c>
      <c r="H829" t="n">
        <v>0</v>
      </c>
      <c r="I829" t="n">
        <v>0</v>
      </c>
      <c r="J829" t="n">
        <v>0</v>
      </c>
      <c r="K829" t="n">
        <v>0</v>
      </c>
      <c r="L829" t="n">
        <v>0</v>
      </c>
      <c r="M829" t="n">
        <v>0</v>
      </c>
      <c r="N829" t="n">
        <v>0</v>
      </c>
      <c r="O829" t="n">
        <v>0</v>
      </c>
      <c r="P829" t="n">
        <v>0</v>
      </c>
      <c r="Q829" t="n">
        <v>0</v>
      </c>
      <c r="R829" s="2" t="inlineStr"/>
    </row>
    <row r="830" ht="15" customHeight="1">
      <c r="A830" t="inlineStr">
        <is>
          <t>A 7309-2025</t>
        </is>
      </c>
      <c r="B830" s="1" t="n">
        <v>45702</v>
      </c>
      <c r="C830" s="1" t="n">
        <v>45882</v>
      </c>
      <c r="D830" t="inlineStr">
        <is>
          <t>SKÅNE LÄN</t>
        </is>
      </c>
      <c r="E830" t="inlineStr">
        <is>
          <t>HÄSSLEHOLM</t>
        </is>
      </c>
      <c r="F830" t="inlineStr">
        <is>
          <t>Övriga Aktiebolag</t>
        </is>
      </c>
      <c r="G830" t="n">
        <v>0.6</v>
      </c>
      <c r="H830" t="n">
        <v>0</v>
      </c>
      <c r="I830" t="n">
        <v>0</v>
      </c>
      <c r="J830" t="n">
        <v>0</v>
      </c>
      <c r="K830" t="n">
        <v>0</v>
      </c>
      <c r="L830" t="n">
        <v>0</v>
      </c>
      <c r="M830" t="n">
        <v>0</v>
      </c>
      <c r="N830" t="n">
        <v>0</v>
      </c>
      <c r="O830" t="n">
        <v>0</v>
      </c>
      <c r="P830" t="n">
        <v>0</v>
      </c>
      <c r="Q830" t="n">
        <v>0</v>
      </c>
      <c r="R830" s="2" t="inlineStr"/>
    </row>
    <row r="831" ht="15" customHeight="1">
      <c r="A831" t="inlineStr">
        <is>
          <t>A 25431-2025</t>
        </is>
      </c>
      <c r="B831" s="1" t="n">
        <v>45800.78340277778</v>
      </c>
      <c r="C831" s="1" t="n">
        <v>45882</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25432-2025</t>
        </is>
      </c>
      <c r="B832" s="1" t="n">
        <v>45800.7847800926</v>
      </c>
      <c r="C832" s="1" t="n">
        <v>45882</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11470-2025</t>
        </is>
      </c>
      <c r="B833" s="1" t="n">
        <v>45726</v>
      </c>
      <c r="C833" s="1" t="n">
        <v>45882</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30006-2023</t>
        </is>
      </c>
      <c r="B834" s="1" t="n">
        <v>45109.79962962963</v>
      </c>
      <c r="C834" s="1" t="n">
        <v>45882</v>
      </c>
      <c r="D834" t="inlineStr">
        <is>
          <t>SKÅNE LÄN</t>
        </is>
      </c>
      <c r="E834" t="inlineStr">
        <is>
          <t>HÄSSLEHOLM</t>
        </is>
      </c>
      <c r="G834" t="n">
        <v>1.7</v>
      </c>
      <c r="H834" t="n">
        <v>0</v>
      </c>
      <c r="I834" t="n">
        <v>0</v>
      </c>
      <c r="J834" t="n">
        <v>0</v>
      </c>
      <c r="K834" t="n">
        <v>0</v>
      </c>
      <c r="L834" t="n">
        <v>0</v>
      </c>
      <c r="M834" t="n">
        <v>0</v>
      </c>
      <c r="N834" t="n">
        <v>0</v>
      </c>
      <c r="O834" t="n">
        <v>0</v>
      </c>
      <c r="P834" t="n">
        <v>0</v>
      </c>
      <c r="Q834" t="n">
        <v>0</v>
      </c>
      <c r="R834" s="2" t="inlineStr"/>
    </row>
    <row r="835" ht="15" customHeight="1">
      <c r="A835" t="inlineStr">
        <is>
          <t>A 33950-2025</t>
        </is>
      </c>
      <c r="B835" s="1" t="n">
        <v>45842</v>
      </c>
      <c r="C835" s="1" t="n">
        <v>45882</v>
      </c>
      <c r="D835" t="inlineStr">
        <is>
          <t>SKÅNE LÄN</t>
        </is>
      </c>
      <c r="E835" t="inlineStr">
        <is>
          <t>HÄSSLEHOLM</t>
        </is>
      </c>
      <c r="G835" t="n">
        <v>5.7</v>
      </c>
      <c r="H835" t="n">
        <v>0</v>
      </c>
      <c r="I835" t="n">
        <v>0</v>
      </c>
      <c r="J835" t="n">
        <v>0</v>
      </c>
      <c r="K835" t="n">
        <v>0</v>
      </c>
      <c r="L835" t="n">
        <v>0</v>
      </c>
      <c r="M835" t="n">
        <v>0</v>
      </c>
      <c r="N835" t="n">
        <v>0</v>
      </c>
      <c r="O835" t="n">
        <v>0</v>
      </c>
      <c r="P835" t="n">
        <v>0</v>
      </c>
      <c r="Q835" t="n">
        <v>0</v>
      </c>
      <c r="R835" s="2" t="inlineStr"/>
    </row>
    <row r="836" ht="15" customHeight="1">
      <c r="A836" t="inlineStr">
        <is>
          <t>A 49167-2022</t>
        </is>
      </c>
      <c r="B836" s="1" t="n">
        <v>44860</v>
      </c>
      <c r="C836" s="1" t="n">
        <v>45882</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33948-2025</t>
        </is>
      </c>
      <c r="B837" s="1" t="n">
        <v>45842.65945601852</v>
      </c>
      <c r="C837" s="1" t="n">
        <v>45882</v>
      </c>
      <c r="D837" t="inlineStr">
        <is>
          <t>SKÅNE LÄN</t>
        </is>
      </c>
      <c r="E837" t="inlineStr">
        <is>
          <t>HÄSSLEHOLM</t>
        </is>
      </c>
      <c r="G837" t="n">
        <v>8.5</v>
      </c>
      <c r="H837" t="n">
        <v>0</v>
      </c>
      <c r="I837" t="n">
        <v>0</v>
      </c>
      <c r="J837" t="n">
        <v>0</v>
      </c>
      <c r="K837" t="n">
        <v>0</v>
      </c>
      <c r="L837" t="n">
        <v>0</v>
      </c>
      <c r="M837" t="n">
        <v>0</v>
      </c>
      <c r="N837" t="n">
        <v>0</v>
      </c>
      <c r="O837" t="n">
        <v>0</v>
      </c>
      <c r="P837" t="n">
        <v>0</v>
      </c>
      <c r="Q837" t="n">
        <v>0</v>
      </c>
      <c r="R837" s="2" t="inlineStr"/>
    </row>
    <row r="838" ht="15" customHeight="1">
      <c r="A838" t="inlineStr">
        <is>
          <t>A 57963-2023</t>
        </is>
      </c>
      <c r="B838" s="1" t="n">
        <v>45247.57732638889</v>
      </c>
      <c r="C838" s="1" t="n">
        <v>45882</v>
      </c>
      <c r="D838" t="inlineStr">
        <is>
          <t>SKÅNE LÄN</t>
        </is>
      </c>
      <c r="E838" t="inlineStr">
        <is>
          <t>HÄSSLEHOLM</t>
        </is>
      </c>
      <c r="G838" t="n">
        <v>4.6</v>
      </c>
      <c r="H838" t="n">
        <v>0</v>
      </c>
      <c r="I838" t="n">
        <v>0</v>
      </c>
      <c r="J838" t="n">
        <v>0</v>
      </c>
      <c r="K838" t="n">
        <v>0</v>
      </c>
      <c r="L838" t="n">
        <v>0</v>
      </c>
      <c r="M838" t="n">
        <v>0</v>
      </c>
      <c r="N838" t="n">
        <v>0</v>
      </c>
      <c r="O838" t="n">
        <v>0</v>
      </c>
      <c r="P838" t="n">
        <v>0</v>
      </c>
      <c r="Q838" t="n">
        <v>0</v>
      </c>
      <c r="R838" s="2" t="inlineStr"/>
    </row>
    <row r="839" ht="15" customHeight="1">
      <c r="A839" t="inlineStr">
        <is>
          <t>A 57033-2022</t>
        </is>
      </c>
      <c r="B839" s="1" t="n">
        <v>44895.31270833333</v>
      </c>
      <c r="C839" s="1" t="n">
        <v>45882</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35845-2022</t>
        </is>
      </c>
      <c r="B840" s="1" t="n">
        <v>44802</v>
      </c>
      <c r="C840" s="1" t="n">
        <v>45882</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22140-2023</t>
        </is>
      </c>
      <c r="B841" s="1" t="n">
        <v>45065</v>
      </c>
      <c r="C841" s="1" t="n">
        <v>45882</v>
      </c>
      <c r="D841" t="inlineStr">
        <is>
          <t>SKÅNE LÄN</t>
        </is>
      </c>
      <c r="E841" t="inlineStr">
        <is>
          <t>HÄSSLEHOLM</t>
        </is>
      </c>
      <c r="G841" t="n">
        <v>6.7</v>
      </c>
      <c r="H841" t="n">
        <v>0</v>
      </c>
      <c r="I841" t="n">
        <v>0</v>
      </c>
      <c r="J841" t="n">
        <v>0</v>
      </c>
      <c r="K841" t="n">
        <v>0</v>
      </c>
      <c r="L841" t="n">
        <v>0</v>
      </c>
      <c r="M841" t="n">
        <v>0</v>
      </c>
      <c r="N841" t="n">
        <v>0</v>
      </c>
      <c r="O841" t="n">
        <v>0</v>
      </c>
      <c r="P841" t="n">
        <v>0</v>
      </c>
      <c r="Q841" t="n">
        <v>0</v>
      </c>
      <c r="R841" s="2" t="inlineStr"/>
    </row>
    <row r="842" ht="15" customHeight="1">
      <c r="A842" t="inlineStr">
        <is>
          <t>A 7653-2024</t>
        </is>
      </c>
      <c r="B842" s="1" t="n">
        <v>45348.69043981482</v>
      </c>
      <c r="C842" s="1" t="n">
        <v>45882</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24679-2023</t>
        </is>
      </c>
      <c r="B843" s="1" t="n">
        <v>45084</v>
      </c>
      <c r="C843" s="1" t="n">
        <v>45882</v>
      </c>
      <c r="D843" t="inlineStr">
        <is>
          <t>SKÅNE LÄN</t>
        </is>
      </c>
      <c r="E843" t="inlineStr">
        <is>
          <t>HÄSSLEHOLM</t>
        </is>
      </c>
      <c r="G843" t="n">
        <v>7.1</v>
      </c>
      <c r="H843" t="n">
        <v>0</v>
      </c>
      <c r="I843" t="n">
        <v>0</v>
      </c>
      <c r="J843" t="n">
        <v>0</v>
      </c>
      <c r="K843" t="n">
        <v>0</v>
      </c>
      <c r="L843" t="n">
        <v>0</v>
      </c>
      <c r="M843" t="n">
        <v>0</v>
      </c>
      <c r="N843" t="n">
        <v>0</v>
      </c>
      <c r="O843" t="n">
        <v>0</v>
      </c>
      <c r="P843" t="n">
        <v>0</v>
      </c>
      <c r="Q843" t="n">
        <v>0</v>
      </c>
      <c r="R843" s="2" t="inlineStr"/>
    </row>
    <row r="844" ht="15" customHeight="1">
      <c r="A844" t="inlineStr">
        <is>
          <t>A 58250-2024</t>
        </is>
      </c>
      <c r="B844" s="1" t="n">
        <v>45632.55643518519</v>
      </c>
      <c r="C844" s="1" t="n">
        <v>45882</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54671-2022</t>
        </is>
      </c>
      <c r="B845" s="1" t="n">
        <v>44883</v>
      </c>
      <c r="C845" s="1" t="n">
        <v>45882</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26232-2025</t>
        </is>
      </c>
      <c r="B846" s="1" t="n">
        <v>45805.56642361111</v>
      </c>
      <c r="C846" s="1" t="n">
        <v>45882</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40739-2024</t>
        </is>
      </c>
      <c r="B847" s="1" t="n">
        <v>45558</v>
      </c>
      <c r="C847" s="1" t="n">
        <v>45882</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49219-2021</t>
        </is>
      </c>
      <c r="B848" s="1" t="n">
        <v>44454</v>
      </c>
      <c r="C848" s="1" t="n">
        <v>45882</v>
      </c>
      <c r="D848" t="inlineStr">
        <is>
          <t>SKÅNE LÄN</t>
        </is>
      </c>
      <c r="E848" t="inlineStr">
        <is>
          <t>HÄSSLEHOLM</t>
        </is>
      </c>
      <c r="G848" t="n">
        <v>7.8</v>
      </c>
      <c r="H848" t="n">
        <v>0</v>
      </c>
      <c r="I848" t="n">
        <v>0</v>
      </c>
      <c r="J848" t="n">
        <v>0</v>
      </c>
      <c r="K848" t="n">
        <v>0</v>
      </c>
      <c r="L848" t="n">
        <v>0</v>
      </c>
      <c r="M848" t="n">
        <v>0</v>
      </c>
      <c r="N848" t="n">
        <v>0</v>
      </c>
      <c r="O848" t="n">
        <v>0</v>
      </c>
      <c r="P848" t="n">
        <v>0</v>
      </c>
      <c r="Q848" t="n">
        <v>0</v>
      </c>
      <c r="R848" s="2" t="inlineStr"/>
    </row>
    <row r="849" ht="15" customHeight="1">
      <c r="A849" t="inlineStr">
        <is>
          <t>A 13932-2023</t>
        </is>
      </c>
      <c r="B849" s="1" t="n">
        <v>45008.43935185186</v>
      </c>
      <c r="C849" s="1" t="n">
        <v>45882</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35889-2023</t>
        </is>
      </c>
      <c r="B850" s="1" t="n">
        <v>45148</v>
      </c>
      <c r="C850" s="1" t="n">
        <v>45882</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35894-2023</t>
        </is>
      </c>
      <c r="B851" s="1" t="n">
        <v>45148</v>
      </c>
      <c r="C851" s="1" t="n">
        <v>45882</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45299-2024</t>
        </is>
      </c>
      <c r="B852" s="1" t="n">
        <v>45576.40599537037</v>
      </c>
      <c r="C852" s="1" t="n">
        <v>45882</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25176-2024</t>
        </is>
      </c>
      <c r="B853" s="1" t="n">
        <v>45462.54582175926</v>
      </c>
      <c r="C853" s="1" t="n">
        <v>45882</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7771-2021</t>
        </is>
      </c>
      <c r="B854" s="1" t="n">
        <v>44242</v>
      </c>
      <c r="C854" s="1" t="n">
        <v>45882</v>
      </c>
      <c r="D854" t="inlineStr">
        <is>
          <t>SKÅNE LÄN</t>
        </is>
      </c>
      <c r="E854" t="inlineStr">
        <is>
          <t>HÄSSLEHOLM</t>
        </is>
      </c>
      <c r="G854" t="n">
        <v>4.2</v>
      </c>
      <c r="H854" t="n">
        <v>0</v>
      </c>
      <c r="I854" t="n">
        <v>0</v>
      </c>
      <c r="J854" t="n">
        <v>0</v>
      </c>
      <c r="K854" t="n">
        <v>0</v>
      </c>
      <c r="L854" t="n">
        <v>0</v>
      </c>
      <c r="M854" t="n">
        <v>0</v>
      </c>
      <c r="N854" t="n">
        <v>0</v>
      </c>
      <c r="O854" t="n">
        <v>0</v>
      </c>
      <c r="P854" t="n">
        <v>0</v>
      </c>
      <c r="Q854" t="n">
        <v>0</v>
      </c>
      <c r="R854" s="2" t="inlineStr"/>
    </row>
    <row r="855" ht="15" customHeight="1">
      <c r="A855" t="inlineStr">
        <is>
          <t>A 44741-2023</t>
        </is>
      </c>
      <c r="B855" s="1" t="n">
        <v>45190.38804398148</v>
      </c>
      <c r="C855" s="1" t="n">
        <v>45882</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7476-2025</t>
        </is>
      </c>
      <c r="B856" s="1" t="n">
        <v>45702</v>
      </c>
      <c r="C856" s="1" t="n">
        <v>45882</v>
      </c>
      <c r="D856" t="inlineStr">
        <is>
          <t>SKÅNE LÄN</t>
        </is>
      </c>
      <c r="E856" t="inlineStr">
        <is>
          <t>HÄSSLEHOLM</t>
        </is>
      </c>
      <c r="F856" t="inlineStr">
        <is>
          <t>Övriga Aktiebolag</t>
        </is>
      </c>
      <c r="G856" t="n">
        <v>2.1</v>
      </c>
      <c r="H856" t="n">
        <v>0</v>
      </c>
      <c r="I856" t="n">
        <v>0</v>
      </c>
      <c r="J856" t="n">
        <v>0</v>
      </c>
      <c r="K856" t="n">
        <v>0</v>
      </c>
      <c r="L856" t="n">
        <v>0</v>
      </c>
      <c r="M856" t="n">
        <v>0</v>
      </c>
      <c r="N856" t="n">
        <v>0</v>
      </c>
      <c r="O856" t="n">
        <v>0</v>
      </c>
      <c r="P856" t="n">
        <v>0</v>
      </c>
      <c r="Q856" t="n">
        <v>0</v>
      </c>
      <c r="R856" s="2" t="inlineStr"/>
    </row>
    <row r="857" ht="15" customHeight="1">
      <c r="A857" t="inlineStr">
        <is>
          <t>A 7513-2025</t>
        </is>
      </c>
      <c r="B857" s="1" t="n">
        <v>45702</v>
      </c>
      <c r="C857" s="1" t="n">
        <v>45882</v>
      </c>
      <c r="D857" t="inlineStr">
        <is>
          <t>SKÅNE LÄN</t>
        </is>
      </c>
      <c r="E857" t="inlineStr">
        <is>
          <t>HÄSSLEHOLM</t>
        </is>
      </c>
      <c r="F857" t="inlineStr">
        <is>
          <t>Övriga Aktiebolag</t>
        </is>
      </c>
      <c r="G857" t="n">
        <v>2.4</v>
      </c>
      <c r="H857" t="n">
        <v>0</v>
      </c>
      <c r="I857" t="n">
        <v>0</v>
      </c>
      <c r="J857" t="n">
        <v>0</v>
      </c>
      <c r="K857" t="n">
        <v>0</v>
      </c>
      <c r="L857" t="n">
        <v>0</v>
      </c>
      <c r="M857" t="n">
        <v>0</v>
      </c>
      <c r="N857" t="n">
        <v>0</v>
      </c>
      <c r="O857" t="n">
        <v>0</v>
      </c>
      <c r="P857" t="n">
        <v>0</v>
      </c>
      <c r="Q857" t="n">
        <v>0</v>
      </c>
      <c r="R857" s="2" t="inlineStr"/>
    </row>
    <row r="858" ht="15" customHeight="1">
      <c r="A858" t="inlineStr">
        <is>
          <t>A 31161-2024</t>
        </is>
      </c>
      <c r="B858" s="1" t="n">
        <v>45503</v>
      </c>
      <c r="C858" s="1" t="n">
        <v>45882</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5890-2023</t>
        </is>
      </c>
      <c r="B859" s="1" t="n">
        <v>44963.64527777778</v>
      </c>
      <c r="C859" s="1" t="n">
        <v>45882</v>
      </c>
      <c r="D859" t="inlineStr">
        <is>
          <t>SKÅNE LÄN</t>
        </is>
      </c>
      <c r="E859" t="inlineStr">
        <is>
          <t>HÄSSLEHOLM</t>
        </is>
      </c>
      <c r="G859" t="n">
        <v>1.6</v>
      </c>
      <c r="H859" t="n">
        <v>0</v>
      </c>
      <c r="I859" t="n">
        <v>0</v>
      </c>
      <c r="J859" t="n">
        <v>0</v>
      </c>
      <c r="K859" t="n">
        <v>0</v>
      </c>
      <c r="L859" t="n">
        <v>0</v>
      </c>
      <c r="M859" t="n">
        <v>0</v>
      </c>
      <c r="N859" t="n">
        <v>0</v>
      </c>
      <c r="O859" t="n">
        <v>0</v>
      </c>
      <c r="P859" t="n">
        <v>0</v>
      </c>
      <c r="Q859" t="n">
        <v>0</v>
      </c>
      <c r="R859" s="2" t="inlineStr"/>
    </row>
    <row r="860" ht="15" customHeight="1">
      <c r="A860" t="inlineStr">
        <is>
          <t>A 12936-2025</t>
        </is>
      </c>
      <c r="B860" s="1" t="n">
        <v>45734</v>
      </c>
      <c r="C860" s="1" t="n">
        <v>45882</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56062-2024</t>
        </is>
      </c>
      <c r="B861" s="1" t="n">
        <v>45624.37105324074</v>
      </c>
      <c r="C861" s="1" t="n">
        <v>45882</v>
      </c>
      <c r="D861" t="inlineStr">
        <is>
          <t>SKÅNE LÄN</t>
        </is>
      </c>
      <c r="E861" t="inlineStr">
        <is>
          <t>HÄSSLEHOLM</t>
        </is>
      </c>
      <c r="F861" t="inlineStr">
        <is>
          <t>Övriga Aktiebolag</t>
        </is>
      </c>
      <c r="G861" t="n">
        <v>0.6</v>
      </c>
      <c r="H861" t="n">
        <v>0</v>
      </c>
      <c r="I861" t="n">
        <v>0</v>
      </c>
      <c r="J861" t="n">
        <v>0</v>
      </c>
      <c r="K861" t="n">
        <v>0</v>
      </c>
      <c r="L861" t="n">
        <v>0</v>
      </c>
      <c r="M861" t="n">
        <v>0</v>
      </c>
      <c r="N861" t="n">
        <v>0</v>
      </c>
      <c r="O861" t="n">
        <v>0</v>
      </c>
      <c r="P861" t="n">
        <v>0</v>
      </c>
      <c r="Q861" t="n">
        <v>0</v>
      </c>
      <c r="R861" s="2" t="inlineStr"/>
    </row>
    <row r="862" ht="15" customHeight="1">
      <c r="A862" t="inlineStr">
        <is>
          <t>A 22157-2024</t>
        </is>
      </c>
      <c r="B862" s="1" t="n">
        <v>45445.85290509259</v>
      </c>
      <c r="C862" s="1" t="n">
        <v>45882</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26244-2025</t>
        </is>
      </c>
      <c r="B863" s="1" t="n">
        <v>45805.57364583333</v>
      </c>
      <c r="C863" s="1" t="n">
        <v>45882</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13316-2023</t>
        </is>
      </c>
      <c r="B864" s="1" t="n">
        <v>45005.39013888889</v>
      </c>
      <c r="C864" s="1" t="n">
        <v>45882</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13358-2023</t>
        </is>
      </c>
      <c r="B865" s="1" t="n">
        <v>45005</v>
      </c>
      <c r="C865" s="1" t="n">
        <v>45882</v>
      </c>
      <c r="D865" t="inlineStr">
        <is>
          <t>SKÅNE LÄN</t>
        </is>
      </c>
      <c r="E865" t="inlineStr">
        <is>
          <t>HÄSSLEHOLM</t>
        </is>
      </c>
      <c r="F865" t="inlineStr">
        <is>
          <t>Övriga Aktiebolag</t>
        </is>
      </c>
      <c r="G865" t="n">
        <v>0.5</v>
      </c>
      <c r="H865" t="n">
        <v>0</v>
      </c>
      <c r="I865" t="n">
        <v>0</v>
      </c>
      <c r="J865" t="n">
        <v>0</v>
      </c>
      <c r="K865" t="n">
        <v>0</v>
      </c>
      <c r="L865" t="n">
        <v>0</v>
      </c>
      <c r="M865" t="n">
        <v>0</v>
      </c>
      <c r="N865" t="n">
        <v>0</v>
      </c>
      <c r="O865" t="n">
        <v>0</v>
      </c>
      <c r="P865" t="n">
        <v>0</v>
      </c>
      <c r="Q865" t="n">
        <v>0</v>
      </c>
      <c r="R865" s="2" t="inlineStr"/>
    </row>
    <row r="866" ht="15" customHeight="1">
      <c r="A866" t="inlineStr">
        <is>
          <t>A 41209-2023</t>
        </is>
      </c>
      <c r="B866" s="1" t="n">
        <v>45174.43481481481</v>
      </c>
      <c r="C866" s="1" t="n">
        <v>45882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3245-2022</t>
        </is>
      </c>
      <c r="B867" s="1" t="n">
        <v>44583.39136574074</v>
      </c>
      <c r="C867" s="1" t="n">
        <v>45882</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57275-2023</t>
        </is>
      </c>
      <c r="B868" s="1" t="n">
        <v>45245.58886574074</v>
      </c>
      <c r="C868" s="1" t="n">
        <v>45882</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38228-2021</t>
        </is>
      </c>
      <c r="B869" s="1" t="n">
        <v>44405</v>
      </c>
      <c r="C869" s="1" t="n">
        <v>45882</v>
      </c>
      <c r="D869" t="inlineStr">
        <is>
          <t>SKÅNE LÄN</t>
        </is>
      </c>
      <c r="E869" t="inlineStr">
        <is>
          <t>HÄSSLEHOLM</t>
        </is>
      </c>
      <c r="G869" t="n">
        <v>2.8</v>
      </c>
      <c r="H869" t="n">
        <v>0</v>
      </c>
      <c r="I869" t="n">
        <v>0</v>
      </c>
      <c r="J869" t="n">
        <v>0</v>
      </c>
      <c r="K869" t="n">
        <v>0</v>
      </c>
      <c r="L869" t="n">
        <v>0</v>
      </c>
      <c r="M869" t="n">
        <v>0</v>
      </c>
      <c r="N869" t="n">
        <v>0</v>
      </c>
      <c r="O869" t="n">
        <v>0</v>
      </c>
      <c r="P869" t="n">
        <v>0</v>
      </c>
      <c r="Q869" t="n">
        <v>0</v>
      </c>
      <c r="R869" s="2" t="inlineStr"/>
    </row>
    <row r="870" ht="15" customHeight="1">
      <c r="A870" t="inlineStr">
        <is>
          <t>A 3248-2022</t>
        </is>
      </c>
      <c r="B870" s="1" t="n">
        <v>44583</v>
      </c>
      <c r="C870" s="1" t="n">
        <v>45882</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53302-2022</t>
        </is>
      </c>
      <c r="B871" s="1" t="n">
        <v>44877</v>
      </c>
      <c r="C871" s="1" t="n">
        <v>45882</v>
      </c>
      <c r="D871" t="inlineStr">
        <is>
          <t>SKÅNE LÄN</t>
        </is>
      </c>
      <c r="E871" t="inlineStr">
        <is>
          <t>HÄSSLEHOLM</t>
        </is>
      </c>
      <c r="G871" t="n">
        <v>0.1</v>
      </c>
      <c r="H871" t="n">
        <v>0</v>
      </c>
      <c r="I871" t="n">
        <v>0</v>
      </c>
      <c r="J871" t="n">
        <v>0</v>
      </c>
      <c r="K871" t="n">
        <v>0</v>
      </c>
      <c r="L871" t="n">
        <v>0</v>
      </c>
      <c r="M871" t="n">
        <v>0</v>
      </c>
      <c r="N871" t="n">
        <v>0</v>
      </c>
      <c r="O871" t="n">
        <v>0</v>
      </c>
      <c r="P871" t="n">
        <v>0</v>
      </c>
      <c r="Q871" t="n">
        <v>0</v>
      </c>
      <c r="R871" s="2" t="inlineStr"/>
    </row>
    <row r="872" ht="15" customHeight="1">
      <c r="A872" t="inlineStr">
        <is>
          <t>A 27991-2024</t>
        </is>
      </c>
      <c r="B872" s="1" t="n">
        <v>45476</v>
      </c>
      <c r="C872" s="1" t="n">
        <v>45882</v>
      </c>
      <c r="D872" t="inlineStr">
        <is>
          <t>SKÅNE LÄN</t>
        </is>
      </c>
      <c r="E872" t="inlineStr">
        <is>
          <t>HÄSSLEHOLM</t>
        </is>
      </c>
      <c r="G872" t="n">
        <v>5.8</v>
      </c>
      <c r="H872" t="n">
        <v>0</v>
      </c>
      <c r="I872" t="n">
        <v>0</v>
      </c>
      <c r="J872" t="n">
        <v>0</v>
      </c>
      <c r="K872" t="n">
        <v>0</v>
      </c>
      <c r="L872" t="n">
        <v>0</v>
      </c>
      <c r="M872" t="n">
        <v>0</v>
      </c>
      <c r="N872" t="n">
        <v>0</v>
      </c>
      <c r="O872" t="n">
        <v>0</v>
      </c>
      <c r="P872" t="n">
        <v>0</v>
      </c>
      <c r="Q872" t="n">
        <v>0</v>
      </c>
      <c r="R872" s="2" t="inlineStr"/>
    </row>
    <row r="873" ht="15" customHeight="1">
      <c r="A873" t="inlineStr">
        <is>
          <t>A 25538-2024</t>
        </is>
      </c>
      <c r="B873" s="1" t="n">
        <v>45463</v>
      </c>
      <c r="C873" s="1" t="n">
        <v>45882</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31946-2023</t>
        </is>
      </c>
      <c r="B874" s="1" t="n">
        <v>45119.35158564815</v>
      </c>
      <c r="C874" s="1" t="n">
        <v>45882</v>
      </c>
      <c r="D874" t="inlineStr">
        <is>
          <t>SKÅNE LÄN</t>
        </is>
      </c>
      <c r="E874" t="inlineStr">
        <is>
          <t>HÄSSLEHOLM</t>
        </is>
      </c>
      <c r="G874" t="n">
        <v>0.3</v>
      </c>
      <c r="H874" t="n">
        <v>0</v>
      </c>
      <c r="I874" t="n">
        <v>0</v>
      </c>
      <c r="J874" t="n">
        <v>0</v>
      </c>
      <c r="K874" t="n">
        <v>0</v>
      </c>
      <c r="L874" t="n">
        <v>0</v>
      </c>
      <c r="M874" t="n">
        <v>0</v>
      </c>
      <c r="N874" t="n">
        <v>0</v>
      </c>
      <c r="O874" t="n">
        <v>0</v>
      </c>
      <c r="P874" t="n">
        <v>0</v>
      </c>
      <c r="Q874" t="n">
        <v>0</v>
      </c>
      <c r="R874" s="2" t="inlineStr"/>
    </row>
    <row r="875" ht="15" customHeight="1">
      <c r="A875" t="inlineStr">
        <is>
          <t>A 32958-2023</t>
        </is>
      </c>
      <c r="B875" s="1" t="n">
        <v>45125.52142361111</v>
      </c>
      <c r="C875" s="1" t="n">
        <v>45882</v>
      </c>
      <c r="D875" t="inlineStr">
        <is>
          <t>SKÅNE LÄN</t>
        </is>
      </c>
      <c r="E875" t="inlineStr">
        <is>
          <t>HÄSSLEHOLM</t>
        </is>
      </c>
      <c r="G875" t="n">
        <v>7.9</v>
      </c>
      <c r="H875" t="n">
        <v>0</v>
      </c>
      <c r="I875" t="n">
        <v>0</v>
      </c>
      <c r="J875" t="n">
        <v>0</v>
      </c>
      <c r="K875" t="n">
        <v>0</v>
      </c>
      <c r="L875" t="n">
        <v>0</v>
      </c>
      <c r="M875" t="n">
        <v>0</v>
      </c>
      <c r="N875" t="n">
        <v>0</v>
      </c>
      <c r="O875" t="n">
        <v>0</v>
      </c>
      <c r="P875" t="n">
        <v>0</v>
      </c>
      <c r="Q875" t="n">
        <v>0</v>
      </c>
      <c r="R875" s="2" t="inlineStr"/>
    </row>
    <row r="876" ht="15" customHeight="1">
      <c r="A876" t="inlineStr">
        <is>
          <t>A 36733-2023</t>
        </is>
      </c>
      <c r="B876" s="1" t="n">
        <v>45153.69989583334</v>
      </c>
      <c r="C876" s="1" t="n">
        <v>45882</v>
      </c>
      <c r="D876" t="inlineStr">
        <is>
          <t>SKÅNE LÄN</t>
        </is>
      </c>
      <c r="E876" t="inlineStr">
        <is>
          <t>HÄSSLEHOLM</t>
        </is>
      </c>
      <c r="G876" t="n">
        <v>4.8</v>
      </c>
      <c r="H876" t="n">
        <v>0</v>
      </c>
      <c r="I876" t="n">
        <v>0</v>
      </c>
      <c r="J876" t="n">
        <v>0</v>
      </c>
      <c r="K876" t="n">
        <v>0</v>
      </c>
      <c r="L876" t="n">
        <v>0</v>
      </c>
      <c r="M876" t="n">
        <v>0</v>
      </c>
      <c r="N876" t="n">
        <v>0</v>
      </c>
      <c r="O876" t="n">
        <v>0</v>
      </c>
      <c r="P876" t="n">
        <v>0</v>
      </c>
      <c r="Q876" t="n">
        <v>0</v>
      </c>
      <c r="R876" s="2" t="inlineStr"/>
    </row>
    <row r="877" ht="15" customHeight="1">
      <c r="A877" t="inlineStr">
        <is>
          <t>A 48798-2023</t>
        </is>
      </c>
      <c r="B877" s="1" t="n">
        <v>45209.25318287037</v>
      </c>
      <c r="C877" s="1" t="n">
        <v>45882</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48844-2023</t>
        </is>
      </c>
      <c r="B878" s="1" t="n">
        <v>45209</v>
      </c>
      <c r="C878" s="1" t="n">
        <v>45882</v>
      </c>
      <c r="D878" t="inlineStr">
        <is>
          <t>SKÅNE LÄN</t>
        </is>
      </c>
      <c r="E878" t="inlineStr">
        <is>
          <t>HÄSSLEHOLM</t>
        </is>
      </c>
      <c r="G878" t="n">
        <v>4</v>
      </c>
      <c r="H878" t="n">
        <v>0</v>
      </c>
      <c r="I878" t="n">
        <v>0</v>
      </c>
      <c r="J878" t="n">
        <v>0</v>
      </c>
      <c r="K878" t="n">
        <v>0</v>
      </c>
      <c r="L878" t="n">
        <v>0</v>
      </c>
      <c r="M878" t="n">
        <v>0</v>
      </c>
      <c r="N878" t="n">
        <v>0</v>
      </c>
      <c r="O878" t="n">
        <v>0</v>
      </c>
      <c r="P878" t="n">
        <v>0</v>
      </c>
      <c r="Q878" t="n">
        <v>0</v>
      </c>
      <c r="R878" s="2" t="inlineStr"/>
    </row>
    <row r="879" ht="15" customHeight="1">
      <c r="A879" t="inlineStr">
        <is>
          <t>A 48877-2024</t>
        </is>
      </c>
      <c r="B879" s="1" t="n">
        <v>45594.31729166667</v>
      </c>
      <c r="C879" s="1" t="n">
        <v>45882</v>
      </c>
      <c r="D879" t="inlineStr">
        <is>
          <t>SKÅNE LÄN</t>
        </is>
      </c>
      <c r="E879" t="inlineStr">
        <is>
          <t>HÄSSLEHOLM</t>
        </is>
      </c>
      <c r="G879" t="n">
        <v>1.8</v>
      </c>
      <c r="H879" t="n">
        <v>0</v>
      </c>
      <c r="I879" t="n">
        <v>0</v>
      </c>
      <c r="J879" t="n">
        <v>0</v>
      </c>
      <c r="K879" t="n">
        <v>0</v>
      </c>
      <c r="L879" t="n">
        <v>0</v>
      </c>
      <c r="M879" t="n">
        <v>0</v>
      </c>
      <c r="N879" t="n">
        <v>0</v>
      </c>
      <c r="O879" t="n">
        <v>0</v>
      </c>
      <c r="P879" t="n">
        <v>0</v>
      </c>
      <c r="Q879" t="n">
        <v>0</v>
      </c>
      <c r="R879" s="2" t="inlineStr"/>
    </row>
    <row r="880" ht="15" customHeight="1">
      <c r="A880" t="inlineStr">
        <is>
          <t>A 45984-2021</t>
        </is>
      </c>
      <c r="B880" s="1" t="n">
        <v>44441</v>
      </c>
      <c r="C880" s="1" t="n">
        <v>45882</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8378-2023</t>
        </is>
      </c>
      <c r="B881" s="1" t="n">
        <v>44971</v>
      </c>
      <c r="C881" s="1" t="n">
        <v>45882</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45398-2024</t>
        </is>
      </c>
      <c r="B882" s="1" t="n">
        <v>45576.56260416667</v>
      </c>
      <c r="C882" s="1" t="n">
        <v>45882</v>
      </c>
      <c r="D882" t="inlineStr">
        <is>
          <t>SKÅNE LÄN</t>
        </is>
      </c>
      <c r="E882" t="inlineStr">
        <is>
          <t>HÄSSLEHOLM</t>
        </is>
      </c>
      <c r="G882" t="n">
        <v>4.2</v>
      </c>
      <c r="H882" t="n">
        <v>0</v>
      </c>
      <c r="I882" t="n">
        <v>0</v>
      </c>
      <c r="J882" t="n">
        <v>0</v>
      </c>
      <c r="K882" t="n">
        <v>0</v>
      </c>
      <c r="L882" t="n">
        <v>0</v>
      </c>
      <c r="M882" t="n">
        <v>0</v>
      </c>
      <c r="N882" t="n">
        <v>0</v>
      </c>
      <c r="O882" t="n">
        <v>0</v>
      </c>
      <c r="P882" t="n">
        <v>0</v>
      </c>
      <c r="Q882" t="n">
        <v>0</v>
      </c>
      <c r="R882" s="2" t="inlineStr"/>
    </row>
    <row r="883" ht="15" customHeight="1">
      <c r="A883" t="inlineStr">
        <is>
          <t>A 4140-2023</t>
        </is>
      </c>
      <c r="B883" s="1" t="n">
        <v>44953</v>
      </c>
      <c r="C883" s="1" t="n">
        <v>45882</v>
      </c>
      <c r="D883" t="inlineStr">
        <is>
          <t>SKÅNE LÄN</t>
        </is>
      </c>
      <c r="E883" t="inlineStr">
        <is>
          <t>HÄSSLEHOLM</t>
        </is>
      </c>
      <c r="G883" t="n">
        <v>10.6</v>
      </c>
      <c r="H883" t="n">
        <v>0</v>
      </c>
      <c r="I883" t="n">
        <v>0</v>
      </c>
      <c r="J883" t="n">
        <v>0</v>
      </c>
      <c r="K883" t="n">
        <v>0</v>
      </c>
      <c r="L883" t="n">
        <v>0</v>
      </c>
      <c r="M883" t="n">
        <v>0</v>
      </c>
      <c r="N883" t="n">
        <v>0</v>
      </c>
      <c r="O883" t="n">
        <v>0</v>
      </c>
      <c r="P883" t="n">
        <v>0</v>
      </c>
      <c r="Q883" t="n">
        <v>0</v>
      </c>
      <c r="R883" s="2" t="inlineStr"/>
    </row>
    <row r="884" ht="15" customHeight="1">
      <c r="A884" t="inlineStr">
        <is>
          <t>A 60509-2023</t>
        </is>
      </c>
      <c r="B884" s="1" t="n">
        <v>45259</v>
      </c>
      <c r="C884" s="1" t="n">
        <v>45882</v>
      </c>
      <c r="D884" t="inlineStr">
        <is>
          <t>SKÅNE LÄN</t>
        </is>
      </c>
      <c r="E884" t="inlineStr">
        <is>
          <t>HÄSSLEHOLM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50000-2023</t>
        </is>
      </c>
      <c r="B885" s="1" t="n">
        <v>45215.4434837963</v>
      </c>
      <c r="C885" s="1" t="n">
        <v>45882</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417-2022</t>
        </is>
      </c>
      <c r="B886" s="1" t="n">
        <v>44565.84615740741</v>
      </c>
      <c r="C886" s="1" t="n">
        <v>45882</v>
      </c>
      <c r="D886" t="inlineStr">
        <is>
          <t>SKÅNE LÄN</t>
        </is>
      </c>
      <c r="E886" t="inlineStr">
        <is>
          <t>HÄSSLEHOLM</t>
        </is>
      </c>
      <c r="G886" t="n">
        <v>0</v>
      </c>
      <c r="H886" t="n">
        <v>0</v>
      </c>
      <c r="I886" t="n">
        <v>0</v>
      </c>
      <c r="J886" t="n">
        <v>0</v>
      </c>
      <c r="K886" t="n">
        <v>0</v>
      </c>
      <c r="L886" t="n">
        <v>0</v>
      </c>
      <c r="M886" t="n">
        <v>0</v>
      </c>
      <c r="N886" t="n">
        <v>0</v>
      </c>
      <c r="O886" t="n">
        <v>0</v>
      </c>
      <c r="P886" t="n">
        <v>0</v>
      </c>
      <c r="Q886" t="n">
        <v>0</v>
      </c>
      <c r="R886" s="2" t="inlineStr"/>
    </row>
    <row r="887" ht="15" customHeight="1">
      <c r="A887" t="inlineStr">
        <is>
          <t>A 1562-2023</t>
        </is>
      </c>
      <c r="B887" s="1" t="n">
        <v>44937.60450231482</v>
      </c>
      <c r="C887" s="1" t="n">
        <v>45882</v>
      </c>
      <c r="D887" t="inlineStr">
        <is>
          <t>SKÅNE LÄN</t>
        </is>
      </c>
      <c r="E887" t="inlineStr">
        <is>
          <t>HÄSSLEHOLM</t>
        </is>
      </c>
      <c r="G887" t="n">
        <v>2.7</v>
      </c>
      <c r="H887" t="n">
        <v>0</v>
      </c>
      <c r="I887" t="n">
        <v>0</v>
      </c>
      <c r="J887" t="n">
        <v>0</v>
      </c>
      <c r="K887" t="n">
        <v>0</v>
      </c>
      <c r="L887" t="n">
        <v>0</v>
      </c>
      <c r="M887" t="n">
        <v>0</v>
      </c>
      <c r="N887" t="n">
        <v>0</v>
      </c>
      <c r="O887" t="n">
        <v>0</v>
      </c>
      <c r="P887" t="n">
        <v>0</v>
      </c>
      <c r="Q887" t="n">
        <v>0</v>
      </c>
      <c r="R887" s="2" t="inlineStr"/>
    </row>
    <row r="888" ht="15" customHeight="1">
      <c r="A888" t="inlineStr">
        <is>
          <t>A 45220-2023</t>
        </is>
      </c>
      <c r="B888" s="1" t="n">
        <v>45191</v>
      </c>
      <c r="C888" s="1" t="n">
        <v>45882</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32967-2023</t>
        </is>
      </c>
      <c r="B889" s="1" t="n">
        <v>45125</v>
      </c>
      <c r="C889" s="1" t="n">
        <v>45882</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32968-2023</t>
        </is>
      </c>
      <c r="B890" s="1" t="n">
        <v>45125</v>
      </c>
      <c r="C890" s="1" t="n">
        <v>45882</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10277-2023</t>
        </is>
      </c>
      <c r="B891" s="1" t="n">
        <v>44986</v>
      </c>
      <c r="C891" s="1" t="n">
        <v>45882</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10290-2023</t>
        </is>
      </c>
      <c r="B892" s="1" t="n">
        <v>44986</v>
      </c>
      <c r="C892" s="1" t="n">
        <v>45882</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51040-2024</t>
        </is>
      </c>
      <c r="B893" s="1" t="n">
        <v>45603.43222222223</v>
      </c>
      <c r="C893" s="1" t="n">
        <v>45882</v>
      </c>
      <c r="D893" t="inlineStr">
        <is>
          <t>SKÅNE LÄN</t>
        </is>
      </c>
      <c r="E893" t="inlineStr">
        <is>
          <t>HÄSSLEHOLM</t>
        </is>
      </c>
      <c r="G893" t="n">
        <v>2.7</v>
      </c>
      <c r="H893" t="n">
        <v>0</v>
      </c>
      <c r="I893" t="n">
        <v>0</v>
      </c>
      <c r="J893" t="n">
        <v>0</v>
      </c>
      <c r="K893" t="n">
        <v>0</v>
      </c>
      <c r="L893" t="n">
        <v>0</v>
      </c>
      <c r="M893" t="n">
        <v>0</v>
      </c>
      <c r="N893" t="n">
        <v>0</v>
      </c>
      <c r="O893" t="n">
        <v>0</v>
      </c>
      <c r="P893" t="n">
        <v>0</v>
      </c>
      <c r="Q893" t="n">
        <v>0</v>
      </c>
      <c r="R893" s="2" t="inlineStr"/>
    </row>
    <row r="894" ht="15" customHeight="1">
      <c r="A894" t="inlineStr">
        <is>
          <t>A 49824-2024</t>
        </is>
      </c>
      <c r="B894" s="1" t="n">
        <v>45597</v>
      </c>
      <c r="C894" s="1" t="n">
        <v>45882</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50249-2024</t>
        </is>
      </c>
      <c r="B895" s="1" t="n">
        <v>45600.56866898148</v>
      </c>
      <c r="C895" s="1" t="n">
        <v>45882</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54326-2022</t>
        </is>
      </c>
      <c r="B896" s="1" t="n">
        <v>44882.42965277778</v>
      </c>
      <c r="C896" s="1" t="n">
        <v>45882</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54174-2022</t>
        </is>
      </c>
      <c r="B897" s="1" t="n">
        <v>44881</v>
      </c>
      <c r="C897" s="1" t="n">
        <v>45882</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38376-2022</t>
        </is>
      </c>
      <c r="B898" s="1" t="n">
        <v>44812</v>
      </c>
      <c r="C898" s="1" t="n">
        <v>45882</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54659-2023</t>
        </is>
      </c>
      <c r="B899" s="1" t="n">
        <v>45235</v>
      </c>
      <c r="C899" s="1" t="n">
        <v>45882</v>
      </c>
      <c r="D899" t="inlineStr">
        <is>
          <t>SKÅNE LÄN</t>
        </is>
      </c>
      <c r="E899" t="inlineStr">
        <is>
          <t>HÄSSLEHOLM</t>
        </is>
      </c>
      <c r="G899" t="n">
        <v>5</v>
      </c>
      <c r="H899" t="n">
        <v>0</v>
      </c>
      <c r="I899" t="n">
        <v>0</v>
      </c>
      <c r="J899" t="n">
        <v>0</v>
      </c>
      <c r="K899" t="n">
        <v>0</v>
      </c>
      <c r="L899" t="n">
        <v>0</v>
      </c>
      <c r="M899" t="n">
        <v>0</v>
      </c>
      <c r="N899" t="n">
        <v>0</v>
      </c>
      <c r="O899" t="n">
        <v>0</v>
      </c>
      <c r="P899" t="n">
        <v>0</v>
      </c>
      <c r="Q899" t="n">
        <v>0</v>
      </c>
      <c r="R899" s="2" t="inlineStr"/>
    </row>
    <row r="900" ht="15" customHeight="1">
      <c r="A900" t="inlineStr">
        <is>
          <t>A 35237-2023</t>
        </is>
      </c>
      <c r="B900" s="1" t="n">
        <v>45145.74532407407</v>
      </c>
      <c r="C900" s="1" t="n">
        <v>45882</v>
      </c>
      <c r="D900" t="inlineStr">
        <is>
          <t>SKÅNE LÄN</t>
        </is>
      </c>
      <c r="E900" t="inlineStr">
        <is>
          <t>HÄSSLEHOLM</t>
        </is>
      </c>
      <c r="G900" t="n">
        <v>1.3</v>
      </c>
      <c r="H900" t="n">
        <v>0</v>
      </c>
      <c r="I900" t="n">
        <v>0</v>
      </c>
      <c r="J900" t="n">
        <v>0</v>
      </c>
      <c r="K900" t="n">
        <v>0</v>
      </c>
      <c r="L900" t="n">
        <v>0</v>
      </c>
      <c r="M900" t="n">
        <v>0</v>
      </c>
      <c r="N900" t="n">
        <v>0</v>
      </c>
      <c r="O900" t="n">
        <v>0</v>
      </c>
      <c r="P900" t="n">
        <v>0</v>
      </c>
      <c r="Q900" t="n">
        <v>0</v>
      </c>
      <c r="R900" s="2" t="inlineStr"/>
    </row>
    <row r="901" ht="15" customHeight="1">
      <c r="A901" t="inlineStr">
        <is>
          <t>A 15036-2024</t>
        </is>
      </c>
      <c r="B901" s="1" t="n">
        <v>45399.48100694444</v>
      </c>
      <c r="C901" s="1" t="n">
        <v>45882</v>
      </c>
      <c r="D901" t="inlineStr">
        <is>
          <t>SKÅNE LÄN</t>
        </is>
      </c>
      <c r="E901" t="inlineStr">
        <is>
          <t>HÄSSLEHOLM</t>
        </is>
      </c>
      <c r="G901" t="n">
        <v>1.6</v>
      </c>
      <c r="H901" t="n">
        <v>0</v>
      </c>
      <c r="I901" t="n">
        <v>0</v>
      </c>
      <c r="J901" t="n">
        <v>0</v>
      </c>
      <c r="K901" t="n">
        <v>0</v>
      </c>
      <c r="L901" t="n">
        <v>0</v>
      </c>
      <c r="M901" t="n">
        <v>0</v>
      </c>
      <c r="N901" t="n">
        <v>0</v>
      </c>
      <c r="O901" t="n">
        <v>0</v>
      </c>
      <c r="P901" t="n">
        <v>0</v>
      </c>
      <c r="Q901" t="n">
        <v>0</v>
      </c>
      <c r="R901" s="2" t="inlineStr"/>
    </row>
    <row r="902" ht="15" customHeight="1">
      <c r="A902" t="inlineStr">
        <is>
          <t>A 32008-2024</t>
        </is>
      </c>
      <c r="B902" s="1" t="n">
        <v>45510</v>
      </c>
      <c r="C902" s="1" t="n">
        <v>45882</v>
      </c>
      <c r="D902" t="inlineStr">
        <is>
          <t>SKÅNE LÄN</t>
        </is>
      </c>
      <c r="E902" t="inlineStr">
        <is>
          <t>HÄSSLEHOLM</t>
        </is>
      </c>
      <c r="G902" t="n">
        <v>5.1</v>
      </c>
      <c r="H902" t="n">
        <v>0</v>
      </c>
      <c r="I902" t="n">
        <v>0</v>
      </c>
      <c r="J902" t="n">
        <v>0</v>
      </c>
      <c r="K902" t="n">
        <v>0</v>
      </c>
      <c r="L902" t="n">
        <v>0</v>
      </c>
      <c r="M902" t="n">
        <v>0</v>
      </c>
      <c r="N902" t="n">
        <v>0</v>
      </c>
      <c r="O902" t="n">
        <v>0</v>
      </c>
      <c r="P902" t="n">
        <v>0</v>
      </c>
      <c r="Q902" t="n">
        <v>0</v>
      </c>
      <c r="R902" s="2" t="inlineStr"/>
    </row>
    <row r="903" ht="15" customHeight="1">
      <c r="A903" t="inlineStr">
        <is>
          <t>A 9709-2023</t>
        </is>
      </c>
      <c r="B903" s="1" t="n">
        <v>44984.48376157408</v>
      </c>
      <c r="C903" s="1" t="n">
        <v>45882</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9615-2025</t>
        </is>
      </c>
      <c r="B904" s="1" t="n">
        <v>45715</v>
      </c>
      <c r="C904" s="1" t="n">
        <v>45882</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8524-2024</t>
        </is>
      </c>
      <c r="B905" s="1" t="n">
        <v>45355.48570601852</v>
      </c>
      <c r="C905" s="1" t="n">
        <v>45882</v>
      </c>
      <c r="D905" t="inlineStr">
        <is>
          <t>SKÅNE LÄN</t>
        </is>
      </c>
      <c r="E905" t="inlineStr">
        <is>
          <t>HÄSSLEHOLM</t>
        </is>
      </c>
      <c r="G905" t="n">
        <v>4</v>
      </c>
      <c r="H905" t="n">
        <v>0</v>
      </c>
      <c r="I905" t="n">
        <v>0</v>
      </c>
      <c r="J905" t="n">
        <v>0</v>
      </c>
      <c r="K905" t="n">
        <v>0</v>
      </c>
      <c r="L905" t="n">
        <v>0</v>
      </c>
      <c r="M905" t="n">
        <v>0</v>
      </c>
      <c r="N905" t="n">
        <v>0</v>
      </c>
      <c r="O905" t="n">
        <v>0</v>
      </c>
      <c r="P905" t="n">
        <v>0</v>
      </c>
      <c r="Q905" t="n">
        <v>0</v>
      </c>
      <c r="R905" s="2" t="inlineStr"/>
    </row>
    <row r="906" ht="15" customHeight="1">
      <c r="A906" t="inlineStr">
        <is>
          <t>A 57967-2023</t>
        </is>
      </c>
      <c r="B906" s="1" t="n">
        <v>45247.57984953704</v>
      </c>
      <c r="C906" s="1" t="n">
        <v>45882</v>
      </c>
      <c r="D906" t="inlineStr">
        <is>
          <t>SKÅNE LÄN</t>
        </is>
      </c>
      <c r="E906" t="inlineStr">
        <is>
          <t>HÄSSLEHOLM</t>
        </is>
      </c>
      <c r="G906" t="n">
        <v>8.6</v>
      </c>
      <c r="H906" t="n">
        <v>0</v>
      </c>
      <c r="I906" t="n">
        <v>0</v>
      </c>
      <c r="J906" t="n">
        <v>0</v>
      </c>
      <c r="K906" t="n">
        <v>0</v>
      </c>
      <c r="L906" t="n">
        <v>0</v>
      </c>
      <c r="M906" t="n">
        <v>0</v>
      </c>
      <c r="N906" t="n">
        <v>0</v>
      </c>
      <c r="O906" t="n">
        <v>0</v>
      </c>
      <c r="P906" t="n">
        <v>0</v>
      </c>
      <c r="Q906" t="n">
        <v>0</v>
      </c>
      <c r="R906" s="2" t="inlineStr"/>
    </row>
    <row r="907" ht="15" customHeight="1">
      <c r="A907" t="inlineStr">
        <is>
          <t>A 23987-2024</t>
        </is>
      </c>
      <c r="B907" s="1" t="n">
        <v>45456</v>
      </c>
      <c r="C907" s="1" t="n">
        <v>45882</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62041-2022</t>
        </is>
      </c>
      <c r="B908" s="1" t="n">
        <v>44918.55743055556</v>
      </c>
      <c r="C908" s="1" t="n">
        <v>45882</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4042-2023</t>
        </is>
      </c>
      <c r="B909" s="1" t="n">
        <v>44952.59950231481</v>
      </c>
      <c r="C909" s="1" t="n">
        <v>45882</v>
      </c>
      <c r="D909" t="inlineStr">
        <is>
          <t>SKÅNE LÄN</t>
        </is>
      </c>
      <c r="E909" t="inlineStr">
        <is>
          <t>HÄSSLEHOLM</t>
        </is>
      </c>
      <c r="G909" t="n">
        <v>2.7</v>
      </c>
      <c r="H909" t="n">
        <v>0</v>
      </c>
      <c r="I909" t="n">
        <v>0</v>
      </c>
      <c r="J909" t="n">
        <v>0</v>
      </c>
      <c r="K909" t="n">
        <v>0</v>
      </c>
      <c r="L909" t="n">
        <v>0</v>
      </c>
      <c r="M909" t="n">
        <v>0</v>
      </c>
      <c r="N909" t="n">
        <v>0</v>
      </c>
      <c r="O909" t="n">
        <v>0</v>
      </c>
      <c r="P909" t="n">
        <v>0</v>
      </c>
      <c r="Q909" t="n">
        <v>0</v>
      </c>
      <c r="R909" s="2" t="inlineStr"/>
    </row>
    <row r="910" ht="15" customHeight="1">
      <c r="A910" t="inlineStr">
        <is>
          <t>A 34869-2025</t>
        </is>
      </c>
      <c r="B910" s="1" t="n">
        <v>45849</v>
      </c>
      <c r="C910" s="1" t="n">
        <v>45882</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38358-2024</t>
        </is>
      </c>
      <c r="B911" s="1" t="n">
        <v>45545.79068287037</v>
      </c>
      <c r="C911" s="1" t="n">
        <v>45882</v>
      </c>
      <c r="D911" t="inlineStr">
        <is>
          <t>SKÅNE LÄN</t>
        </is>
      </c>
      <c r="E911" t="inlineStr">
        <is>
          <t>HÄSSLEHOLM</t>
        </is>
      </c>
      <c r="G911" t="n">
        <v>9</v>
      </c>
      <c r="H911" t="n">
        <v>0</v>
      </c>
      <c r="I911" t="n">
        <v>0</v>
      </c>
      <c r="J911" t="n">
        <v>0</v>
      </c>
      <c r="K911" t="n">
        <v>0</v>
      </c>
      <c r="L911" t="n">
        <v>0</v>
      </c>
      <c r="M911" t="n">
        <v>0</v>
      </c>
      <c r="N911" t="n">
        <v>0</v>
      </c>
      <c r="O911" t="n">
        <v>0</v>
      </c>
      <c r="P911" t="n">
        <v>0</v>
      </c>
      <c r="Q911" t="n">
        <v>0</v>
      </c>
      <c r="R911" s="2" t="inlineStr"/>
    </row>
    <row r="912" ht="15" customHeight="1">
      <c r="A912" t="inlineStr">
        <is>
          <t>A 12468-2024</t>
        </is>
      </c>
      <c r="B912" s="1" t="n">
        <v>45379</v>
      </c>
      <c r="C912" s="1" t="n">
        <v>45882</v>
      </c>
      <c r="D912" t="inlineStr">
        <is>
          <t>SKÅNE LÄN</t>
        </is>
      </c>
      <c r="E912" t="inlineStr">
        <is>
          <t>HÄSSLEHOLM</t>
        </is>
      </c>
      <c r="G912" t="n">
        <v>15.5</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45882</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45882</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1553-2023</t>
        </is>
      </c>
      <c r="B915" s="1" t="n">
        <v>44937</v>
      </c>
      <c r="C915" s="1" t="n">
        <v>45882</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22690-2022</t>
        </is>
      </c>
      <c r="B916" s="1" t="n">
        <v>44714.5421875</v>
      </c>
      <c r="C916" s="1" t="n">
        <v>45882</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27393-2025</t>
        </is>
      </c>
      <c r="B917" s="1" t="n">
        <v>45812.68295138889</v>
      </c>
      <c r="C917" s="1" t="n">
        <v>45882</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31391-2023</t>
        </is>
      </c>
      <c r="B918" s="1" t="n">
        <v>45114.56143518518</v>
      </c>
      <c r="C918" s="1" t="n">
        <v>45882</v>
      </c>
      <c r="D918" t="inlineStr">
        <is>
          <t>SKÅNE LÄN</t>
        </is>
      </c>
      <c r="E918" t="inlineStr">
        <is>
          <t>HÄSSLEHOLM</t>
        </is>
      </c>
      <c r="G918" t="n">
        <v>3.1</v>
      </c>
      <c r="H918" t="n">
        <v>0</v>
      </c>
      <c r="I918" t="n">
        <v>0</v>
      </c>
      <c r="J918" t="n">
        <v>0</v>
      </c>
      <c r="K918" t="n">
        <v>0</v>
      </c>
      <c r="L918" t="n">
        <v>0</v>
      </c>
      <c r="M918" t="n">
        <v>0</v>
      </c>
      <c r="N918" t="n">
        <v>0</v>
      </c>
      <c r="O918" t="n">
        <v>0</v>
      </c>
      <c r="P918" t="n">
        <v>0</v>
      </c>
      <c r="Q918" t="n">
        <v>0</v>
      </c>
      <c r="R918" s="2" t="inlineStr"/>
    </row>
    <row r="919" ht="15" customHeight="1">
      <c r="A919" t="inlineStr">
        <is>
          <t>A 53897-2023</t>
        </is>
      </c>
      <c r="B919" s="1" t="n">
        <v>45231.53934027778</v>
      </c>
      <c r="C919" s="1" t="n">
        <v>45882</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23723-2023</t>
        </is>
      </c>
      <c r="B920" s="1" t="n">
        <v>45077</v>
      </c>
      <c r="C920" s="1" t="n">
        <v>45882</v>
      </c>
      <c r="D920" t="inlineStr">
        <is>
          <t>SKÅNE LÄN</t>
        </is>
      </c>
      <c r="E920" t="inlineStr">
        <is>
          <t>HÄSSLEHOLM</t>
        </is>
      </c>
      <c r="G920" t="n">
        <v>3.9</v>
      </c>
      <c r="H920" t="n">
        <v>0</v>
      </c>
      <c r="I920" t="n">
        <v>0</v>
      </c>
      <c r="J920" t="n">
        <v>0</v>
      </c>
      <c r="K920" t="n">
        <v>0</v>
      </c>
      <c r="L920" t="n">
        <v>0</v>
      </c>
      <c r="M920" t="n">
        <v>0</v>
      </c>
      <c r="N920" t="n">
        <v>0</v>
      </c>
      <c r="O920" t="n">
        <v>0</v>
      </c>
      <c r="P920" t="n">
        <v>0</v>
      </c>
      <c r="Q920" t="n">
        <v>0</v>
      </c>
      <c r="R920" s="2" t="inlineStr"/>
    </row>
    <row r="921" ht="15" customHeight="1">
      <c r="A921" t="inlineStr">
        <is>
          <t>A 1170-2025</t>
        </is>
      </c>
      <c r="B921" s="1" t="n">
        <v>45667.29226851852</v>
      </c>
      <c r="C921" s="1" t="n">
        <v>45882</v>
      </c>
      <c r="D921" t="inlineStr">
        <is>
          <t>SKÅNE LÄN</t>
        </is>
      </c>
      <c r="E921" t="inlineStr">
        <is>
          <t>HÄSSLEHOLM</t>
        </is>
      </c>
      <c r="G921" t="n">
        <v>4.3</v>
      </c>
      <c r="H921" t="n">
        <v>0</v>
      </c>
      <c r="I921" t="n">
        <v>0</v>
      </c>
      <c r="J921" t="n">
        <v>0</v>
      </c>
      <c r="K921" t="n">
        <v>0</v>
      </c>
      <c r="L921" t="n">
        <v>0</v>
      </c>
      <c r="M921" t="n">
        <v>0</v>
      </c>
      <c r="N921" t="n">
        <v>0</v>
      </c>
      <c r="O921" t="n">
        <v>0</v>
      </c>
      <c r="P921" t="n">
        <v>0</v>
      </c>
      <c r="Q921" t="n">
        <v>0</v>
      </c>
      <c r="R921" s="2" t="inlineStr"/>
    </row>
    <row r="922" ht="15" customHeight="1">
      <c r="A922" t="inlineStr">
        <is>
          <t>A 22132-2024</t>
        </is>
      </c>
      <c r="B922" s="1" t="n">
        <v>45444.37234953704</v>
      </c>
      <c r="C922" s="1" t="n">
        <v>45882</v>
      </c>
      <c r="D922" t="inlineStr">
        <is>
          <t>SKÅNE LÄN</t>
        </is>
      </c>
      <c r="E922" t="inlineStr">
        <is>
          <t>HÄSSLEHOLM</t>
        </is>
      </c>
      <c r="G922" t="n">
        <v>3.1</v>
      </c>
      <c r="H922" t="n">
        <v>0</v>
      </c>
      <c r="I922" t="n">
        <v>0</v>
      </c>
      <c r="J922" t="n">
        <v>0</v>
      </c>
      <c r="K922" t="n">
        <v>0</v>
      </c>
      <c r="L922" t="n">
        <v>0</v>
      </c>
      <c r="M922" t="n">
        <v>0</v>
      </c>
      <c r="N922" t="n">
        <v>0</v>
      </c>
      <c r="O922" t="n">
        <v>0</v>
      </c>
      <c r="P922" t="n">
        <v>0</v>
      </c>
      <c r="Q922" t="n">
        <v>0</v>
      </c>
      <c r="R922" s="2" t="inlineStr"/>
    </row>
    <row r="923" ht="15" customHeight="1">
      <c r="A923" t="inlineStr">
        <is>
          <t>A 16368-2025</t>
        </is>
      </c>
      <c r="B923" s="1" t="n">
        <v>45751</v>
      </c>
      <c r="C923" s="1" t="n">
        <v>45882</v>
      </c>
      <c r="D923" t="inlineStr">
        <is>
          <t>SKÅNE LÄN</t>
        </is>
      </c>
      <c r="E923" t="inlineStr">
        <is>
          <t>HÄSSLEHOLM</t>
        </is>
      </c>
      <c r="G923" t="n">
        <v>5</v>
      </c>
      <c r="H923" t="n">
        <v>0</v>
      </c>
      <c r="I923" t="n">
        <v>0</v>
      </c>
      <c r="J923" t="n">
        <v>0</v>
      </c>
      <c r="K923" t="n">
        <v>0</v>
      </c>
      <c r="L923" t="n">
        <v>0</v>
      </c>
      <c r="M923" t="n">
        <v>0</v>
      </c>
      <c r="N923" t="n">
        <v>0</v>
      </c>
      <c r="O923" t="n">
        <v>0</v>
      </c>
      <c r="P923" t="n">
        <v>0</v>
      </c>
      <c r="Q923" t="n">
        <v>0</v>
      </c>
      <c r="R923" s="2" t="inlineStr"/>
    </row>
    <row r="924" ht="15" customHeight="1">
      <c r="A924" t="inlineStr">
        <is>
          <t>A 31933-2024</t>
        </is>
      </c>
      <c r="B924" s="1" t="n">
        <v>45510.41123842593</v>
      </c>
      <c r="C924" s="1" t="n">
        <v>45882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27349-2025</t>
        </is>
      </c>
      <c r="B925" s="1" t="n">
        <v>45812</v>
      </c>
      <c r="C925" s="1" t="n">
        <v>45882</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31581-2023</t>
        </is>
      </c>
      <c r="B926" s="1" t="n">
        <v>45117.45165509259</v>
      </c>
      <c r="C926" s="1" t="n">
        <v>45882</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25726-2025</t>
        </is>
      </c>
      <c r="B927" s="1" t="n">
        <v>45803</v>
      </c>
      <c r="C927" s="1" t="n">
        <v>45882</v>
      </c>
      <c r="D927" t="inlineStr">
        <is>
          <t>SKÅNE LÄN</t>
        </is>
      </c>
      <c r="E927" t="inlineStr">
        <is>
          <t>HÄSSLEHOLM</t>
        </is>
      </c>
      <c r="G927" t="n">
        <v>5.5</v>
      </c>
      <c r="H927" t="n">
        <v>0</v>
      </c>
      <c r="I927" t="n">
        <v>0</v>
      </c>
      <c r="J927" t="n">
        <v>0</v>
      </c>
      <c r="K927" t="n">
        <v>0</v>
      </c>
      <c r="L927" t="n">
        <v>0</v>
      </c>
      <c r="M927" t="n">
        <v>0</v>
      </c>
      <c r="N927" t="n">
        <v>0</v>
      </c>
      <c r="O927" t="n">
        <v>0</v>
      </c>
      <c r="P927" t="n">
        <v>0</v>
      </c>
      <c r="Q927" t="n">
        <v>0</v>
      </c>
      <c r="R927" s="2" t="inlineStr"/>
    </row>
    <row r="928" ht="15" customHeight="1">
      <c r="A928" t="inlineStr">
        <is>
          <t>A 32210-2024</t>
        </is>
      </c>
      <c r="B928" s="1" t="n">
        <v>45511.67777777778</v>
      </c>
      <c r="C928" s="1" t="n">
        <v>45882</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67974-2020</t>
        </is>
      </c>
      <c r="B929" s="1" t="n">
        <v>44182</v>
      </c>
      <c r="C929" s="1" t="n">
        <v>45882</v>
      </c>
      <c r="D929" t="inlineStr">
        <is>
          <t>SKÅNE LÄN</t>
        </is>
      </c>
      <c r="E929" t="inlineStr">
        <is>
          <t>HÄSSLEHOLM</t>
        </is>
      </c>
      <c r="G929" t="n">
        <v>9</v>
      </c>
      <c r="H929" t="n">
        <v>0</v>
      </c>
      <c r="I929" t="n">
        <v>0</v>
      </c>
      <c r="J929" t="n">
        <v>0</v>
      </c>
      <c r="K929" t="n">
        <v>0</v>
      </c>
      <c r="L929" t="n">
        <v>0</v>
      </c>
      <c r="M929" t="n">
        <v>0</v>
      </c>
      <c r="N929" t="n">
        <v>0</v>
      </c>
      <c r="O929" t="n">
        <v>0</v>
      </c>
      <c r="P929" t="n">
        <v>0</v>
      </c>
      <c r="Q929" t="n">
        <v>0</v>
      </c>
      <c r="R929" s="2" t="inlineStr"/>
    </row>
    <row r="930" ht="15" customHeight="1">
      <c r="A930" t="inlineStr">
        <is>
          <t>A 55303-2024</t>
        </is>
      </c>
      <c r="B930" s="1" t="n">
        <v>45621.6434837963</v>
      </c>
      <c r="C930" s="1" t="n">
        <v>45882</v>
      </c>
      <c r="D930" t="inlineStr">
        <is>
          <t>SKÅNE LÄN</t>
        </is>
      </c>
      <c r="E930" t="inlineStr">
        <is>
          <t>HÄSSLEHOLM</t>
        </is>
      </c>
      <c r="G930" t="n">
        <v>3.3</v>
      </c>
      <c r="H930" t="n">
        <v>0</v>
      </c>
      <c r="I930" t="n">
        <v>0</v>
      </c>
      <c r="J930" t="n">
        <v>0</v>
      </c>
      <c r="K930" t="n">
        <v>0</v>
      </c>
      <c r="L930" t="n">
        <v>0</v>
      </c>
      <c r="M930" t="n">
        <v>0</v>
      </c>
      <c r="N930" t="n">
        <v>0</v>
      </c>
      <c r="O930" t="n">
        <v>0</v>
      </c>
      <c r="P930" t="n">
        <v>0</v>
      </c>
      <c r="Q930" t="n">
        <v>0</v>
      </c>
      <c r="R930" s="2" t="inlineStr"/>
    </row>
    <row r="931" ht="15" customHeight="1">
      <c r="A931" t="inlineStr">
        <is>
          <t>A 35259-2025</t>
        </is>
      </c>
      <c r="B931" s="1" t="n">
        <v>45853.76912037037</v>
      </c>
      <c r="C931" s="1" t="n">
        <v>45882</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2743-2023</t>
        </is>
      </c>
      <c r="B932" s="1" t="n">
        <v>44944</v>
      </c>
      <c r="C932" s="1" t="n">
        <v>45882</v>
      </c>
      <c r="D932" t="inlineStr">
        <is>
          <t>SKÅNE LÄN</t>
        </is>
      </c>
      <c r="E932" t="inlineStr">
        <is>
          <t>HÄSSLEHOLM</t>
        </is>
      </c>
      <c r="F932" t="inlineStr">
        <is>
          <t>Sveaskog</t>
        </is>
      </c>
      <c r="G932" t="n">
        <v>1.9</v>
      </c>
      <c r="H932" t="n">
        <v>0</v>
      </c>
      <c r="I932" t="n">
        <v>0</v>
      </c>
      <c r="J932" t="n">
        <v>0</v>
      </c>
      <c r="K932" t="n">
        <v>0</v>
      </c>
      <c r="L932" t="n">
        <v>0</v>
      </c>
      <c r="M932" t="n">
        <v>0</v>
      </c>
      <c r="N932" t="n">
        <v>0</v>
      </c>
      <c r="O932" t="n">
        <v>0</v>
      </c>
      <c r="P932" t="n">
        <v>0</v>
      </c>
      <c r="Q932" t="n">
        <v>0</v>
      </c>
      <c r="R932" s="2" t="inlineStr"/>
    </row>
    <row r="933" ht="15" customHeight="1">
      <c r="A933" t="inlineStr">
        <is>
          <t>A 8749-2024</t>
        </is>
      </c>
      <c r="B933" s="1" t="n">
        <v>45356.50387731481</v>
      </c>
      <c r="C933" s="1" t="n">
        <v>45882</v>
      </c>
      <c r="D933" t="inlineStr">
        <is>
          <t>SKÅNE LÄN</t>
        </is>
      </c>
      <c r="E933" t="inlineStr">
        <is>
          <t>HÄSSLEHOLM</t>
        </is>
      </c>
      <c r="G933" t="n">
        <v>2.9</v>
      </c>
      <c r="H933" t="n">
        <v>0</v>
      </c>
      <c r="I933" t="n">
        <v>0</v>
      </c>
      <c r="J933" t="n">
        <v>0</v>
      </c>
      <c r="K933" t="n">
        <v>0</v>
      </c>
      <c r="L933" t="n">
        <v>0</v>
      </c>
      <c r="M933" t="n">
        <v>0</v>
      </c>
      <c r="N933" t="n">
        <v>0</v>
      </c>
      <c r="O933" t="n">
        <v>0</v>
      </c>
      <c r="P933" t="n">
        <v>0</v>
      </c>
      <c r="Q933" t="n">
        <v>0</v>
      </c>
      <c r="R933" s="2" t="inlineStr"/>
    </row>
    <row r="934" ht="15" customHeight="1">
      <c r="A934" t="inlineStr">
        <is>
          <t>A 8752-2024</t>
        </is>
      </c>
      <c r="B934" s="1" t="n">
        <v>45356</v>
      </c>
      <c r="C934" s="1" t="n">
        <v>45882</v>
      </c>
      <c r="D934" t="inlineStr">
        <is>
          <t>SKÅNE LÄN</t>
        </is>
      </c>
      <c r="E934" t="inlineStr">
        <is>
          <t>HÄSSLEHOLM</t>
        </is>
      </c>
      <c r="G934" t="n">
        <v>3.4</v>
      </c>
      <c r="H934" t="n">
        <v>0</v>
      </c>
      <c r="I934" t="n">
        <v>0</v>
      </c>
      <c r="J934" t="n">
        <v>0</v>
      </c>
      <c r="K934" t="n">
        <v>0</v>
      </c>
      <c r="L934" t="n">
        <v>0</v>
      </c>
      <c r="M934" t="n">
        <v>0</v>
      </c>
      <c r="N934" t="n">
        <v>0</v>
      </c>
      <c r="O934" t="n">
        <v>0</v>
      </c>
      <c r="P934" t="n">
        <v>0</v>
      </c>
      <c r="Q934" t="n">
        <v>0</v>
      </c>
      <c r="R934" s="2" t="inlineStr"/>
    </row>
    <row r="935" ht="15" customHeight="1">
      <c r="A935" t="inlineStr">
        <is>
          <t>A 8759-2024</t>
        </is>
      </c>
      <c r="B935" s="1" t="n">
        <v>45356.52271990741</v>
      </c>
      <c r="C935" s="1" t="n">
        <v>45882</v>
      </c>
      <c r="D935" t="inlineStr">
        <is>
          <t>SKÅNE LÄN</t>
        </is>
      </c>
      <c r="E935" t="inlineStr">
        <is>
          <t>HÄSSLEHOLM</t>
        </is>
      </c>
      <c r="G935" t="n">
        <v>5.7</v>
      </c>
      <c r="H935" t="n">
        <v>0</v>
      </c>
      <c r="I935" t="n">
        <v>0</v>
      </c>
      <c r="J935" t="n">
        <v>0</v>
      </c>
      <c r="K935" t="n">
        <v>0</v>
      </c>
      <c r="L935" t="n">
        <v>0</v>
      </c>
      <c r="M935" t="n">
        <v>0</v>
      </c>
      <c r="N935" t="n">
        <v>0</v>
      </c>
      <c r="O935" t="n">
        <v>0</v>
      </c>
      <c r="P935" t="n">
        <v>0</v>
      </c>
      <c r="Q935" t="n">
        <v>0</v>
      </c>
      <c r="R935" s="2" t="inlineStr"/>
    </row>
    <row r="936" ht="15" customHeight="1">
      <c r="A936" t="inlineStr">
        <is>
          <t>A 48624-2021</t>
        </is>
      </c>
      <c r="B936" s="1" t="n">
        <v>44452</v>
      </c>
      <c r="C936" s="1" t="n">
        <v>45882</v>
      </c>
      <c r="D936" t="inlineStr">
        <is>
          <t>SKÅNE LÄN</t>
        </is>
      </c>
      <c r="E936" t="inlineStr">
        <is>
          <t>HÄSSLEHOLM</t>
        </is>
      </c>
      <c r="G936" t="n">
        <v>2.2</v>
      </c>
      <c r="H936" t="n">
        <v>0</v>
      </c>
      <c r="I936" t="n">
        <v>0</v>
      </c>
      <c r="J936" t="n">
        <v>0</v>
      </c>
      <c r="K936" t="n">
        <v>0</v>
      </c>
      <c r="L936" t="n">
        <v>0</v>
      </c>
      <c r="M936" t="n">
        <v>0</v>
      </c>
      <c r="N936" t="n">
        <v>0</v>
      </c>
      <c r="O936" t="n">
        <v>0</v>
      </c>
      <c r="P936" t="n">
        <v>0</v>
      </c>
      <c r="Q936" t="n">
        <v>0</v>
      </c>
      <c r="R936" s="2" t="inlineStr"/>
    </row>
    <row r="937" ht="15" customHeight="1">
      <c r="A937" t="inlineStr">
        <is>
          <t>A 28240-2025</t>
        </is>
      </c>
      <c r="B937" s="1" t="n">
        <v>45817</v>
      </c>
      <c r="C937" s="1" t="n">
        <v>45882</v>
      </c>
      <c r="D937" t="inlineStr">
        <is>
          <t>SKÅNE LÄN</t>
        </is>
      </c>
      <c r="E937" t="inlineStr">
        <is>
          <t>HÄSSLEHOLM</t>
        </is>
      </c>
      <c r="G937" t="n">
        <v>7.7</v>
      </c>
      <c r="H937" t="n">
        <v>0</v>
      </c>
      <c r="I937" t="n">
        <v>0</v>
      </c>
      <c r="J937" t="n">
        <v>0</v>
      </c>
      <c r="K937" t="n">
        <v>0</v>
      </c>
      <c r="L937" t="n">
        <v>0</v>
      </c>
      <c r="M937" t="n">
        <v>0</v>
      </c>
      <c r="N937" t="n">
        <v>0</v>
      </c>
      <c r="O937" t="n">
        <v>0</v>
      </c>
      <c r="P937" t="n">
        <v>0</v>
      </c>
      <c r="Q937" t="n">
        <v>0</v>
      </c>
      <c r="R937" s="2" t="inlineStr"/>
    </row>
    <row r="938" ht="15" customHeight="1">
      <c r="A938" t="inlineStr">
        <is>
          <t>A 40202-2022</t>
        </is>
      </c>
      <c r="B938" s="1" t="n">
        <v>44820.60614583334</v>
      </c>
      <c r="C938" s="1" t="n">
        <v>45882</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27940-2025</t>
        </is>
      </c>
      <c r="B939" s="1" t="n">
        <v>45817.50439814815</v>
      </c>
      <c r="C939" s="1" t="n">
        <v>45882</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59434-2023</t>
        </is>
      </c>
      <c r="B940" s="1" t="n">
        <v>45254.30440972222</v>
      </c>
      <c r="C940" s="1" t="n">
        <v>45882</v>
      </c>
      <c r="D940" t="inlineStr">
        <is>
          <t>SKÅNE LÄN</t>
        </is>
      </c>
      <c r="E940" t="inlineStr">
        <is>
          <t>HÄSSLEHOLM</t>
        </is>
      </c>
      <c r="G940" t="n">
        <v>3.6</v>
      </c>
      <c r="H940" t="n">
        <v>0</v>
      </c>
      <c r="I940" t="n">
        <v>0</v>
      </c>
      <c r="J940" t="n">
        <v>0</v>
      </c>
      <c r="K940" t="n">
        <v>0</v>
      </c>
      <c r="L940" t="n">
        <v>0</v>
      </c>
      <c r="M940" t="n">
        <v>0</v>
      </c>
      <c r="N940" t="n">
        <v>0</v>
      </c>
      <c r="O940" t="n">
        <v>0</v>
      </c>
      <c r="P940" t="n">
        <v>0</v>
      </c>
      <c r="Q940" t="n">
        <v>0</v>
      </c>
      <c r="R940" s="2" t="inlineStr"/>
    </row>
    <row r="941" ht="15" customHeight="1">
      <c r="A941" t="inlineStr">
        <is>
          <t>A 4382-2023</t>
        </is>
      </c>
      <c r="B941" s="1" t="n">
        <v>44955.61152777778</v>
      </c>
      <c r="C941" s="1" t="n">
        <v>45882</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27934-2025</t>
        </is>
      </c>
      <c r="B942" s="1" t="n">
        <v>45817.49761574074</v>
      </c>
      <c r="C942" s="1" t="n">
        <v>45882</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2290-2024</t>
        </is>
      </c>
      <c r="B943" s="1" t="n">
        <v>45310</v>
      </c>
      <c r="C943" s="1" t="n">
        <v>45882</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52608-2023</t>
        </is>
      </c>
      <c r="B944" s="1" t="n">
        <v>45219</v>
      </c>
      <c r="C944" s="1" t="n">
        <v>45882</v>
      </c>
      <c r="D944" t="inlineStr">
        <is>
          <t>SKÅNE LÄN</t>
        </is>
      </c>
      <c r="E944" t="inlineStr">
        <is>
          <t>HÄSSLEHOLM</t>
        </is>
      </c>
      <c r="F944" t="inlineStr">
        <is>
          <t>Övriga Aktiebolag</t>
        </is>
      </c>
      <c r="G944" t="n">
        <v>2.1</v>
      </c>
      <c r="H944" t="n">
        <v>0</v>
      </c>
      <c r="I944" t="n">
        <v>0</v>
      </c>
      <c r="J944" t="n">
        <v>0</v>
      </c>
      <c r="K944" t="n">
        <v>0</v>
      </c>
      <c r="L944" t="n">
        <v>0</v>
      </c>
      <c r="M944" t="n">
        <v>0</v>
      </c>
      <c r="N944" t="n">
        <v>0</v>
      </c>
      <c r="O944" t="n">
        <v>0</v>
      </c>
      <c r="P944" t="n">
        <v>0</v>
      </c>
      <c r="Q944" t="n">
        <v>0</v>
      </c>
      <c r="R944" s="2" t="inlineStr"/>
    </row>
    <row r="945" ht="15" customHeight="1">
      <c r="A945" t="inlineStr">
        <is>
          <t>A 33067-2024</t>
        </is>
      </c>
      <c r="B945" s="1" t="n">
        <v>45517.6520949074</v>
      </c>
      <c r="C945" s="1" t="n">
        <v>45882</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28251-2025</t>
        </is>
      </c>
      <c r="B946" s="1" t="n">
        <v>45817</v>
      </c>
      <c r="C946" s="1" t="n">
        <v>45882</v>
      </c>
      <c r="D946" t="inlineStr">
        <is>
          <t>SKÅNE LÄN</t>
        </is>
      </c>
      <c r="E946" t="inlineStr">
        <is>
          <t>HÄSSLEHOLM</t>
        </is>
      </c>
      <c r="G946" t="n">
        <v>7.2</v>
      </c>
      <c r="H946" t="n">
        <v>0</v>
      </c>
      <c r="I946" t="n">
        <v>0</v>
      </c>
      <c r="J946" t="n">
        <v>0</v>
      </c>
      <c r="K946" t="n">
        <v>0</v>
      </c>
      <c r="L946" t="n">
        <v>0</v>
      </c>
      <c r="M946" t="n">
        <v>0</v>
      </c>
      <c r="N946" t="n">
        <v>0</v>
      </c>
      <c r="O946" t="n">
        <v>0</v>
      </c>
      <c r="P946" t="n">
        <v>0</v>
      </c>
      <c r="Q946" t="n">
        <v>0</v>
      </c>
      <c r="R946" s="2" t="inlineStr"/>
    </row>
    <row r="947" ht="15" customHeight="1">
      <c r="A947" t="inlineStr">
        <is>
          <t>A 28122-2025</t>
        </is>
      </c>
      <c r="B947" s="1" t="n">
        <v>45817</v>
      </c>
      <c r="C947" s="1" t="n">
        <v>45882</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28236-2022</t>
        </is>
      </c>
      <c r="B948" s="1" t="n">
        <v>44746</v>
      </c>
      <c r="C948" s="1" t="n">
        <v>45882</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27887-2025</t>
        </is>
      </c>
      <c r="B949" s="1" t="n">
        <v>45817.45994212963</v>
      </c>
      <c r="C949" s="1" t="n">
        <v>45882</v>
      </c>
      <c r="D949" t="inlineStr">
        <is>
          <t>SKÅNE LÄN</t>
        </is>
      </c>
      <c r="E949" t="inlineStr">
        <is>
          <t>HÄSSLEHOLM</t>
        </is>
      </c>
      <c r="G949" t="n">
        <v>4.8</v>
      </c>
      <c r="H949" t="n">
        <v>0</v>
      </c>
      <c r="I949" t="n">
        <v>0</v>
      </c>
      <c r="J949" t="n">
        <v>0</v>
      </c>
      <c r="K949" t="n">
        <v>0</v>
      </c>
      <c r="L949" t="n">
        <v>0</v>
      </c>
      <c r="M949" t="n">
        <v>0</v>
      </c>
      <c r="N949" t="n">
        <v>0</v>
      </c>
      <c r="O949" t="n">
        <v>0</v>
      </c>
      <c r="P949" t="n">
        <v>0</v>
      </c>
      <c r="Q949" t="n">
        <v>0</v>
      </c>
      <c r="R949" s="2" t="inlineStr"/>
    </row>
    <row r="950" ht="15" customHeight="1">
      <c r="A950" t="inlineStr">
        <is>
          <t>A 61625-2022</t>
        </is>
      </c>
      <c r="B950" s="1" t="n">
        <v>44916</v>
      </c>
      <c r="C950" s="1" t="n">
        <v>45882</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27954-2022</t>
        </is>
      </c>
      <c r="B951" s="1" t="n">
        <v>44743</v>
      </c>
      <c r="C951" s="1" t="n">
        <v>45882</v>
      </c>
      <c r="D951" t="inlineStr">
        <is>
          <t>SKÅNE LÄN</t>
        </is>
      </c>
      <c r="E951" t="inlineStr">
        <is>
          <t>HÄSSLEHOLM</t>
        </is>
      </c>
      <c r="G951" t="n">
        <v>9.4</v>
      </c>
      <c r="H951" t="n">
        <v>0</v>
      </c>
      <c r="I951" t="n">
        <v>0</v>
      </c>
      <c r="J951" t="n">
        <v>0</v>
      </c>
      <c r="K951" t="n">
        <v>0</v>
      </c>
      <c r="L951" t="n">
        <v>0</v>
      </c>
      <c r="M951" t="n">
        <v>0</v>
      </c>
      <c r="N951" t="n">
        <v>0</v>
      </c>
      <c r="O951" t="n">
        <v>0</v>
      </c>
      <c r="P951" t="n">
        <v>0</v>
      </c>
      <c r="Q951" t="n">
        <v>0</v>
      </c>
      <c r="R951" s="2" t="inlineStr"/>
    </row>
    <row r="952" ht="15" customHeight="1">
      <c r="A952" t="inlineStr">
        <is>
          <t>A 20493-2024</t>
        </is>
      </c>
      <c r="B952" s="1" t="n">
        <v>45435</v>
      </c>
      <c r="C952" s="1" t="n">
        <v>45882</v>
      </c>
      <c r="D952" t="inlineStr">
        <is>
          <t>SKÅNE LÄN</t>
        </is>
      </c>
      <c r="E952" t="inlineStr">
        <is>
          <t>HÄSSLEHOLM</t>
        </is>
      </c>
      <c r="G952" t="n">
        <v>1.2</v>
      </c>
      <c r="H952" t="n">
        <v>0</v>
      </c>
      <c r="I952" t="n">
        <v>0</v>
      </c>
      <c r="J952" t="n">
        <v>0</v>
      </c>
      <c r="K952" t="n">
        <v>0</v>
      </c>
      <c r="L952" t="n">
        <v>0</v>
      </c>
      <c r="M952" t="n">
        <v>0</v>
      </c>
      <c r="N952" t="n">
        <v>0</v>
      </c>
      <c r="O952" t="n">
        <v>0</v>
      </c>
      <c r="P952" t="n">
        <v>0</v>
      </c>
      <c r="Q952" t="n">
        <v>0</v>
      </c>
      <c r="R952" s="2" t="inlineStr"/>
    </row>
    <row r="953" ht="15" customHeight="1">
      <c r="A953" t="inlineStr">
        <is>
          <t>A 38829-2024</t>
        </is>
      </c>
      <c r="B953" s="1" t="n">
        <v>45547.57247685185</v>
      </c>
      <c r="C953" s="1" t="n">
        <v>45882</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41873-2023</t>
        </is>
      </c>
      <c r="B954" s="1" t="n">
        <v>45176</v>
      </c>
      <c r="C954" s="1" t="n">
        <v>45882</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41998-2021</t>
        </is>
      </c>
      <c r="B955" s="1" t="n">
        <v>44425</v>
      </c>
      <c r="C955" s="1" t="n">
        <v>45882</v>
      </c>
      <c r="D955" t="inlineStr">
        <is>
          <t>SKÅNE LÄN</t>
        </is>
      </c>
      <c r="E955" t="inlineStr">
        <is>
          <t>HÄSSLEHOLM</t>
        </is>
      </c>
      <c r="G955" t="n">
        <v>1.3</v>
      </c>
      <c r="H955" t="n">
        <v>0</v>
      </c>
      <c r="I955" t="n">
        <v>0</v>
      </c>
      <c r="J955" t="n">
        <v>0</v>
      </c>
      <c r="K955" t="n">
        <v>0</v>
      </c>
      <c r="L955" t="n">
        <v>0</v>
      </c>
      <c r="M955" t="n">
        <v>0</v>
      </c>
      <c r="N955" t="n">
        <v>0</v>
      </c>
      <c r="O955" t="n">
        <v>0</v>
      </c>
      <c r="P955" t="n">
        <v>0</v>
      </c>
      <c r="Q955" t="n">
        <v>0</v>
      </c>
      <c r="R955" s="2" t="inlineStr"/>
    </row>
    <row r="956" ht="15" customHeight="1">
      <c r="A956" t="inlineStr">
        <is>
          <t>A 35712-2024</t>
        </is>
      </c>
      <c r="B956" s="1" t="n">
        <v>45532</v>
      </c>
      <c r="C956" s="1" t="n">
        <v>45882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61691-2021</t>
        </is>
      </c>
      <c r="B957" s="1" t="n">
        <v>44501</v>
      </c>
      <c r="C957" s="1" t="n">
        <v>45882</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13890-2024</t>
        </is>
      </c>
      <c r="B958" s="1" t="n">
        <v>45391</v>
      </c>
      <c r="C958" s="1" t="n">
        <v>45882</v>
      </c>
      <c r="D958" t="inlineStr">
        <is>
          <t>SKÅNE LÄN</t>
        </is>
      </c>
      <c r="E958" t="inlineStr">
        <is>
          <t>HÄSSLEHOLM</t>
        </is>
      </c>
      <c r="F958" t="inlineStr">
        <is>
          <t>Kommuner</t>
        </is>
      </c>
      <c r="G958" t="n">
        <v>1.4</v>
      </c>
      <c r="H958" t="n">
        <v>0</v>
      </c>
      <c r="I958" t="n">
        <v>0</v>
      </c>
      <c r="J958" t="n">
        <v>0</v>
      </c>
      <c r="K958" t="n">
        <v>0</v>
      </c>
      <c r="L958" t="n">
        <v>0</v>
      </c>
      <c r="M958" t="n">
        <v>0</v>
      </c>
      <c r="N958" t="n">
        <v>0</v>
      </c>
      <c r="O958" t="n">
        <v>0</v>
      </c>
      <c r="P958" t="n">
        <v>0</v>
      </c>
      <c r="Q958" t="n">
        <v>0</v>
      </c>
      <c r="R958" s="2" t="inlineStr"/>
    </row>
    <row r="959" ht="15" customHeight="1">
      <c r="A959" t="inlineStr">
        <is>
          <t>A 55218-2023</t>
        </is>
      </c>
      <c r="B959" s="1" t="n">
        <v>45237</v>
      </c>
      <c r="C959" s="1" t="n">
        <v>45882</v>
      </c>
      <c r="D959" t="inlineStr">
        <is>
          <t>SKÅNE LÄN</t>
        </is>
      </c>
      <c r="E959" t="inlineStr">
        <is>
          <t>HÄSSLEHOLM</t>
        </is>
      </c>
      <c r="G959" t="n">
        <v>2</v>
      </c>
      <c r="H959" t="n">
        <v>0</v>
      </c>
      <c r="I959" t="n">
        <v>0</v>
      </c>
      <c r="J959" t="n">
        <v>0</v>
      </c>
      <c r="K959" t="n">
        <v>0</v>
      </c>
      <c r="L959" t="n">
        <v>0</v>
      </c>
      <c r="M959" t="n">
        <v>0</v>
      </c>
      <c r="N959" t="n">
        <v>0</v>
      </c>
      <c r="O959" t="n">
        <v>0</v>
      </c>
      <c r="P959" t="n">
        <v>0</v>
      </c>
      <c r="Q959" t="n">
        <v>0</v>
      </c>
      <c r="R959" s="2" t="inlineStr"/>
    </row>
    <row r="960" ht="15" customHeight="1">
      <c r="A960" t="inlineStr">
        <is>
          <t>A 28095-2025</t>
        </is>
      </c>
      <c r="B960" s="1" t="n">
        <v>45817</v>
      </c>
      <c r="C960" s="1" t="n">
        <v>45882</v>
      </c>
      <c r="D960" t="inlineStr">
        <is>
          <t>SKÅNE LÄN</t>
        </is>
      </c>
      <c r="E960" t="inlineStr">
        <is>
          <t>HÄSSLEHOLM</t>
        </is>
      </c>
      <c r="G960" t="n">
        <v>2.5</v>
      </c>
      <c r="H960" t="n">
        <v>0</v>
      </c>
      <c r="I960" t="n">
        <v>0</v>
      </c>
      <c r="J960" t="n">
        <v>0</v>
      </c>
      <c r="K960" t="n">
        <v>0</v>
      </c>
      <c r="L960" t="n">
        <v>0</v>
      </c>
      <c r="M960" t="n">
        <v>0</v>
      </c>
      <c r="N960" t="n">
        <v>0</v>
      </c>
      <c r="O960" t="n">
        <v>0</v>
      </c>
      <c r="P960" t="n">
        <v>0</v>
      </c>
      <c r="Q960" t="n">
        <v>0</v>
      </c>
      <c r="R960" s="2" t="inlineStr"/>
    </row>
    <row r="961" ht="15" customHeight="1">
      <c r="A961" t="inlineStr">
        <is>
          <t>A 46288-2023</t>
        </is>
      </c>
      <c r="B961" s="1" t="n">
        <v>45197.30221064815</v>
      </c>
      <c r="C961" s="1" t="n">
        <v>45882</v>
      </c>
      <c r="D961" t="inlineStr">
        <is>
          <t>SKÅNE LÄN</t>
        </is>
      </c>
      <c r="E961" t="inlineStr">
        <is>
          <t>HÄSSLEHOLM</t>
        </is>
      </c>
      <c r="G961" t="n">
        <v>3</v>
      </c>
      <c r="H961" t="n">
        <v>0</v>
      </c>
      <c r="I961" t="n">
        <v>0</v>
      </c>
      <c r="J961" t="n">
        <v>0</v>
      </c>
      <c r="K961" t="n">
        <v>0</v>
      </c>
      <c r="L961" t="n">
        <v>0</v>
      </c>
      <c r="M961" t="n">
        <v>0</v>
      </c>
      <c r="N961" t="n">
        <v>0</v>
      </c>
      <c r="O961" t="n">
        <v>0</v>
      </c>
      <c r="P961" t="n">
        <v>0</v>
      </c>
      <c r="Q961" t="n">
        <v>0</v>
      </c>
      <c r="R961" s="2" t="inlineStr"/>
    </row>
    <row r="962" ht="15" customHeight="1">
      <c r="A962" t="inlineStr">
        <is>
          <t>A 49106-2023</t>
        </is>
      </c>
      <c r="B962" s="1" t="n">
        <v>45210</v>
      </c>
      <c r="C962" s="1" t="n">
        <v>45882</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10409-2024</t>
        </is>
      </c>
      <c r="B963" s="1" t="n">
        <v>45365.6978125</v>
      </c>
      <c r="C963" s="1" t="n">
        <v>45882</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49827-2022</t>
        </is>
      </c>
      <c r="B964" s="1" t="n">
        <v>44859</v>
      </c>
      <c r="C964" s="1" t="n">
        <v>45882</v>
      </c>
      <c r="D964" t="inlineStr">
        <is>
          <t>SKÅNE LÄN</t>
        </is>
      </c>
      <c r="E964" t="inlineStr">
        <is>
          <t>HÄSSLEHOLM</t>
        </is>
      </c>
      <c r="G964" t="n">
        <v>6.1</v>
      </c>
      <c r="H964" t="n">
        <v>0</v>
      </c>
      <c r="I964" t="n">
        <v>0</v>
      </c>
      <c r="J964" t="n">
        <v>0</v>
      </c>
      <c r="K964" t="n">
        <v>0</v>
      </c>
      <c r="L964" t="n">
        <v>0</v>
      </c>
      <c r="M964" t="n">
        <v>0</v>
      </c>
      <c r="N964" t="n">
        <v>0</v>
      </c>
      <c r="O964" t="n">
        <v>0</v>
      </c>
      <c r="P964" t="n">
        <v>0</v>
      </c>
      <c r="Q964" t="n">
        <v>0</v>
      </c>
      <c r="R964" s="2" t="inlineStr"/>
    </row>
    <row r="965" ht="15" customHeight="1">
      <c r="A965" t="inlineStr">
        <is>
          <t>A 47248-2023</t>
        </is>
      </c>
      <c r="B965" s="1" t="n">
        <v>45202</v>
      </c>
      <c r="C965" s="1" t="n">
        <v>45882</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57647-2024</t>
        </is>
      </c>
      <c r="B966" s="1" t="n">
        <v>45630</v>
      </c>
      <c r="C966" s="1" t="n">
        <v>45882</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45061.46186342592</v>
      </c>
      <c r="C967" s="1" t="n">
        <v>45882</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20564-2023</t>
        </is>
      </c>
      <c r="B968" s="1" t="n">
        <v>45057</v>
      </c>
      <c r="C968" s="1" t="n">
        <v>45882</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9541-2025</t>
        </is>
      </c>
      <c r="B969" s="1" t="n">
        <v>45714</v>
      </c>
      <c r="C969" s="1" t="n">
        <v>45882</v>
      </c>
      <c r="D969" t="inlineStr">
        <is>
          <t>SKÅNE LÄN</t>
        </is>
      </c>
      <c r="E969" t="inlineStr">
        <is>
          <t>HÄSSLEHOLM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46641-2023</t>
        </is>
      </c>
      <c r="B970" s="1" t="n">
        <v>45198.44523148148</v>
      </c>
      <c r="C970" s="1" t="n">
        <v>45882</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8239-2025</t>
        </is>
      </c>
      <c r="B971" s="1" t="n">
        <v>45708.47984953703</v>
      </c>
      <c r="C971" s="1" t="n">
        <v>45882</v>
      </c>
      <c r="D971" t="inlineStr">
        <is>
          <t>SKÅNE LÄN</t>
        </is>
      </c>
      <c r="E971" t="inlineStr">
        <is>
          <t>HÄSSLEHOLM</t>
        </is>
      </c>
      <c r="G971" t="n">
        <v>2.7</v>
      </c>
      <c r="H971" t="n">
        <v>0</v>
      </c>
      <c r="I971" t="n">
        <v>0</v>
      </c>
      <c r="J971" t="n">
        <v>0</v>
      </c>
      <c r="K971" t="n">
        <v>0</v>
      </c>
      <c r="L971" t="n">
        <v>0</v>
      </c>
      <c r="M971" t="n">
        <v>0</v>
      </c>
      <c r="N971" t="n">
        <v>0</v>
      </c>
      <c r="O971" t="n">
        <v>0</v>
      </c>
      <c r="P971" t="n">
        <v>0</v>
      </c>
      <c r="Q971" t="n">
        <v>0</v>
      </c>
      <c r="R971" s="2" t="inlineStr"/>
    </row>
    <row r="972" ht="15" customHeight="1">
      <c r="A972" t="inlineStr">
        <is>
          <t>A 46645-2023</t>
        </is>
      </c>
      <c r="B972" s="1" t="n">
        <v>45198.44686342592</v>
      </c>
      <c r="C972" s="1" t="n">
        <v>45882</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31986-2023</t>
        </is>
      </c>
      <c r="B973" s="1" t="n">
        <v>45119</v>
      </c>
      <c r="C973" s="1" t="n">
        <v>45882</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29170-2025</t>
        </is>
      </c>
      <c r="B974" s="1" t="n">
        <v>45821.69766203704</v>
      </c>
      <c r="C974" s="1" t="n">
        <v>45882</v>
      </c>
      <c r="D974" t="inlineStr">
        <is>
          <t>SKÅNE LÄN</t>
        </is>
      </c>
      <c r="E974" t="inlineStr">
        <is>
          <t>HÄSSLEHOLM</t>
        </is>
      </c>
      <c r="G974" t="n">
        <v>3.1</v>
      </c>
      <c r="H974" t="n">
        <v>0</v>
      </c>
      <c r="I974" t="n">
        <v>0</v>
      </c>
      <c r="J974" t="n">
        <v>0</v>
      </c>
      <c r="K974" t="n">
        <v>0</v>
      </c>
      <c r="L974" t="n">
        <v>0</v>
      </c>
      <c r="M974" t="n">
        <v>0</v>
      </c>
      <c r="N974" t="n">
        <v>0</v>
      </c>
      <c r="O974" t="n">
        <v>0</v>
      </c>
      <c r="P974" t="n">
        <v>0</v>
      </c>
      <c r="Q974" t="n">
        <v>0</v>
      </c>
      <c r="R974" s="2" t="inlineStr"/>
    </row>
    <row r="975" ht="15" customHeight="1">
      <c r="A975" t="inlineStr">
        <is>
          <t>A 62044-2022</t>
        </is>
      </c>
      <c r="B975" s="1" t="n">
        <v>44918.55976851852</v>
      </c>
      <c r="C975" s="1" t="n">
        <v>45882</v>
      </c>
      <c r="D975" t="inlineStr">
        <is>
          <t>SKÅNE LÄN</t>
        </is>
      </c>
      <c r="E975" t="inlineStr">
        <is>
          <t>HÄSSLEHOLM</t>
        </is>
      </c>
      <c r="G975" t="n">
        <v>2.1</v>
      </c>
      <c r="H975" t="n">
        <v>0</v>
      </c>
      <c r="I975" t="n">
        <v>0</v>
      </c>
      <c r="J975" t="n">
        <v>0</v>
      </c>
      <c r="K975" t="n">
        <v>0</v>
      </c>
      <c r="L975" t="n">
        <v>0</v>
      </c>
      <c r="M975" t="n">
        <v>0</v>
      </c>
      <c r="N975" t="n">
        <v>0</v>
      </c>
      <c r="O975" t="n">
        <v>0</v>
      </c>
      <c r="P975" t="n">
        <v>0</v>
      </c>
      <c r="Q975" t="n">
        <v>0</v>
      </c>
      <c r="R975" s="2" t="inlineStr"/>
    </row>
    <row r="976" ht="15" customHeight="1">
      <c r="A976" t="inlineStr">
        <is>
          <t>A 54171-2022</t>
        </is>
      </c>
      <c r="B976" s="1" t="n">
        <v>44881</v>
      </c>
      <c r="C976" s="1" t="n">
        <v>45882</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6619-2024</t>
        </is>
      </c>
      <c r="B977" s="1" t="n">
        <v>45341.6021412037</v>
      </c>
      <c r="C977" s="1" t="n">
        <v>45882</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57277-2023</t>
        </is>
      </c>
      <c r="B978" s="1" t="n">
        <v>45245.59104166667</v>
      </c>
      <c r="C978" s="1" t="n">
        <v>45882</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29171-2025</t>
        </is>
      </c>
      <c r="B979" s="1" t="n">
        <v>45821.69863425926</v>
      </c>
      <c r="C979" s="1" t="n">
        <v>45882</v>
      </c>
      <c r="D979" t="inlineStr">
        <is>
          <t>SKÅNE LÄN</t>
        </is>
      </c>
      <c r="E979" t="inlineStr">
        <is>
          <t>HÄSSLEHOLM</t>
        </is>
      </c>
      <c r="G979" t="n">
        <v>2.6</v>
      </c>
      <c r="H979" t="n">
        <v>0</v>
      </c>
      <c r="I979" t="n">
        <v>0</v>
      </c>
      <c r="J979" t="n">
        <v>0</v>
      </c>
      <c r="K979" t="n">
        <v>0</v>
      </c>
      <c r="L979" t="n">
        <v>0</v>
      </c>
      <c r="M979" t="n">
        <v>0</v>
      </c>
      <c r="N979" t="n">
        <v>0</v>
      </c>
      <c r="O979" t="n">
        <v>0</v>
      </c>
      <c r="P979" t="n">
        <v>0</v>
      </c>
      <c r="Q979" t="n">
        <v>0</v>
      </c>
      <c r="R979" s="2" t="inlineStr"/>
    </row>
    <row r="980" ht="15" customHeight="1">
      <c r="A980" t="inlineStr">
        <is>
          <t>A 29168-2025</t>
        </is>
      </c>
      <c r="B980" s="1" t="n">
        <v>45821.69547453704</v>
      </c>
      <c r="C980" s="1" t="n">
        <v>45882</v>
      </c>
      <c r="D980" t="inlineStr">
        <is>
          <t>SKÅNE LÄN</t>
        </is>
      </c>
      <c r="E980" t="inlineStr">
        <is>
          <t>HÄSSLEHOLM</t>
        </is>
      </c>
      <c r="G980" t="n">
        <v>1.7</v>
      </c>
      <c r="H980" t="n">
        <v>0</v>
      </c>
      <c r="I980" t="n">
        <v>0</v>
      </c>
      <c r="J980" t="n">
        <v>0</v>
      </c>
      <c r="K980" t="n">
        <v>0</v>
      </c>
      <c r="L980" t="n">
        <v>0</v>
      </c>
      <c r="M980" t="n">
        <v>0</v>
      </c>
      <c r="N980" t="n">
        <v>0</v>
      </c>
      <c r="O980" t="n">
        <v>0</v>
      </c>
      <c r="P980" t="n">
        <v>0</v>
      </c>
      <c r="Q980" t="n">
        <v>0</v>
      </c>
      <c r="R980" s="2" t="inlineStr"/>
    </row>
    <row r="981" ht="15" customHeight="1">
      <c r="A981" t="inlineStr">
        <is>
          <t>A 36085-2025</t>
        </is>
      </c>
      <c r="B981" s="1" t="n">
        <v>45866.46190972222</v>
      </c>
      <c r="C981" s="1" t="n">
        <v>45882</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25323-2024</t>
        </is>
      </c>
      <c r="B982" s="1" t="n">
        <v>45462.79613425926</v>
      </c>
      <c r="C982" s="1" t="n">
        <v>45882</v>
      </c>
      <c r="D982" t="inlineStr">
        <is>
          <t>SKÅNE LÄN</t>
        </is>
      </c>
      <c r="E982" t="inlineStr">
        <is>
          <t>HÄSSLEHOLM</t>
        </is>
      </c>
      <c r="G982" t="n">
        <v>6.1</v>
      </c>
      <c r="H982" t="n">
        <v>0</v>
      </c>
      <c r="I982" t="n">
        <v>0</v>
      </c>
      <c r="J982" t="n">
        <v>0</v>
      </c>
      <c r="K982" t="n">
        <v>0</v>
      </c>
      <c r="L982" t="n">
        <v>0</v>
      </c>
      <c r="M982" t="n">
        <v>0</v>
      </c>
      <c r="N982" t="n">
        <v>0</v>
      </c>
      <c r="O982" t="n">
        <v>0</v>
      </c>
      <c r="P982" t="n">
        <v>0</v>
      </c>
      <c r="Q982" t="n">
        <v>0</v>
      </c>
      <c r="R982" s="2" t="inlineStr"/>
    </row>
    <row r="983" ht="15" customHeight="1">
      <c r="A983" t="inlineStr">
        <is>
          <t>A 52341-2023</t>
        </is>
      </c>
      <c r="B983" s="1" t="n">
        <v>45224.67006944444</v>
      </c>
      <c r="C983" s="1" t="n">
        <v>45882</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49389-2020</t>
        </is>
      </c>
      <c r="B984" s="1" t="n">
        <v>44105</v>
      </c>
      <c r="C984" s="1" t="n">
        <v>45882</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35150-2023</t>
        </is>
      </c>
      <c r="B985" s="1" t="n">
        <v>45145</v>
      </c>
      <c r="C985" s="1" t="n">
        <v>45882</v>
      </c>
      <c r="D985" t="inlineStr">
        <is>
          <t>SKÅNE LÄN</t>
        </is>
      </c>
      <c r="E985" t="inlineStr">
        <is>
          <t>HÄSSLEHOLM</t>
        </is>
      </c>
      <c r="G985" t="n">
        <v>4.9</v>
      </c>
      <c r="H985" t="n">
        <v>0</v>
      </c>
      <c r="I985" t="n">
        <v>0</v>
      </c>
      <c r="J985" t="n">
        <v>0</v>
      </c>
      <c r="K985" t="n">
        <v>0</v>
      </c>
      <c r="L985" t="n">
        <v>0</v>
      </c>
      <c r="M985" t="n">
        <v>0</v>
      </c>
      <c r="N985" t="n">
        <v>0</v>
      </c>
      <c r="O985" t="n">
        <v>0</v>
      </c>
      <c r="P985" t="n">
        <v>0</v>
      </c>
      <c r="Q985" t="n">
        <v>0</v>
      </c>
      <c r="R985" s="2" t="inlineStr"/>
    </row>
    <row r="986" ht="15" customHeight="1">
      <c r="A986" t="inlineStr">
        <is>
          <t>A 18041-2023</t>
        </is>
      </c>
      <c r="B986" s="1" t="n">
        <v>45040</v>
      </c>
      <c r="C986" s="1" t="n">
        <v>45882</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27464-2022</t>
        </is>
      </c>
      <c r="B987" s="1" t="n">
        <v>44742.58704861111</v>
      </c>
      <c r="C987" s="1" t="n">
        <v>45882</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49250-2022</t>
        </is>
      </c>
      <c r="B988" s="1" t="n">
        <v>44858</v>
      </c>
      <c r="C988" s="1" t="n">
        <v>45882</v>
      </c>
      <c r="D988" t="inlineStr">
        <is>
          <t>SKÅNE LÄN</t>
        </is>
      </c>
      <c r="E988" t="inlineStr">
        <is>
          <t>HÄSSLEHOLM</t>
        </is>
      </c>
      <c r="F988" t="inlineStr">
        <is>
          <t>Kyrkan</t>
        </is>
      </c>
      <c r="G988" t="n">
        <v>1.5</v>
      </c>
      <c r="H988" t="n">
        <v>0</v>
      </c>
      <c r="I988" t="n">
        <v>0</v>
      </c>
      <c r="J988" t="n">
        <v>0</v>
      </c>
      <c r="K988" t="n">
        <v>0</v>
      </c>
      <c r="L988" t="n">
        <v>0</v>
      </c>
      <c r="M988" t="n">
        <v>0</v>
      </c>
      <c r="N988" t="n">
        <v>0</v>
      </c>
      <c r="O988" t="n">
        <v>0</v>
      </c>
      <c r="P988" t="n">
        <v>0</v>
      </c>
      <c r="Q988" t="n">
        <v>0</v>
      </c>
      <c r="R988" s="2" t="inlineStr"/>
    </row>
    <row r="989" ht="15" customHeight="1">
      <c r="A989" t="inlineStr">
        <is>
          <t>A 36130-2025</t>
        </is>
      </c>
      <c r="B989" s="1" t="n">
        <v>45866.62273148148</v>
      </c>
      <c r="C989" s="1" t="n">
        <v>45882</v>
      </c>
      <c r="D989" t="inlineStr">
        <is>
          <t>SKÅNE LÄN</t>
        </is>
      </c>
      <c r="E989" t="inlineStr">
        <is>
          <t>HÄSSLEHOLM</t>
        </is>
      </c>
      <c r="G989" t="n">
        <v>4.7</v>
      </c>
      <c r="H989" t="n">
        <v>0</v>
      </c>
      <c r="I989" t="n">
        <v>0</v>
      </c>
      <c r="J989" t="n">
        <v>0</v>
      </c>
      <c r="K989" t="n">
        <v>0</v>
      </c>
      <c r="L989" t="n">
        <v>0</v>
      </c>
      <c r="M989" t="n">
        <v>0</v>
      </c>
      <c r="N989" t="n">
        <v>0</v>
      </c>
      <c r="O989" t="n">
        <v>0</v>
      </c>
      <c r="P989" t="n">
        <v>0</v>
      </c>
      <c r="Q989" t="n">
        <v>0</v>
      </c>
      <c r="R989" s="2" t="inlineStr"/>
    </row>
    <row r="990" ht="15" customHeight="1">
      <c r="A990" t="inlineStr">
        <is>
          <t>A 6798-2025</t>
        </is>
      </c>
      <c r="B990" s="1" t="n">
        <v>45700.668125</v>
      </c>
      <c r="C990" s="1" t="n">
        <v>45882</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27197-2021</t>
        </is>
      </c>
      <c r="B991" s="1" t="n">
        <v>44350</v>
      </c>
      <c r="C991" s="1" t="n">
        <v>45882</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10752-2025</t>
        </is>
      </c>
      <c r="B992" s="1" t="n">
        <v>45722</v>
      </c>
      <c r="C992" s="1" t="n">
        <v>45882</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45222-2023</t>
        </is>
      </c>
      <c r="B993" s="1" t="n">
        <v>45191</v>
      </c>
      <c r="C993" s="1" t="n">
        <v>45882</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35890-2023</t>
        </is>
      </c>
      <c r="B994" s="1" t="n">
        <v>45148</v>
      </c>
      <c r="C994" s="1" t="n">
        <v>45882</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35895-2023</t>
        </is>
      </c>
      <c r="B995" s="1" t="n">
        <v>45148</v>
      </c>
      <c r="C995" s="1" t="n">
        <v>45882</v>
      </c>
      <c r="D995" t="inlineStr">
        <is>
          <t>SKÅNE LÄN</t>
        </is>
      </c>
      <c r="E995" t="inlineStr">
        <is>
          <t>HÄSSLEHOLM</t>
        </is>
      </c>
      <c r="G995" t="n">
        <v>0.4</v>
      </c>
      <c r="H995" t="n">
        <v>0</v>
      </c>
      <c r="I995" t="n">
        <v>0</v>
      </c>
      <c r="J995" t="n">
        <v>0</v>
      </c>
      <c r="K995" t="n">
        <v>0</v>
      </c>
      <c r="L995" t="n">
        <v>0</v>
      </c>
      <c r="M995" t="n">
        <v>0</v>
      </c>
      <c r="N995" t="n">
        <v>0</v>
      </c>
      <c r="O995" t="n">
        <v>0</v>
      </c>
      <c r="P995" t="n">
        <v>0</v>
      </c>
      <c r="Q995" t="n">
        <v>0</v>
      </c>
      <c r="R995" s="2" t="inlineStr"/>
    </row>
    <row r="996" ht="15" customHeight="1">
      <c r="A996" t="inlineStr">
        <is>
          <t>A 61569-2023</t>
        </is>
      </c>
      <c r="B996" s="1" t="n">
        <v>45265</v>
      </c>
      <c r="C996" s="1" t="n">
        <v>45882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52235-2021</t>
        </is>
      </c>
      <c r="B997" s="1" t="n">
        <v>44463.60085648148</v>
      </c>
      <c r="C997" s="1" t="n">
        <v>45882</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36259-2025</t>
        </is>
      </c>
      <c r="B998" s="1" t="n">
        <v>45867.59799768519</v>
      </c>
      <c r="C998" s="1" t="n">
        <v>45882</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30010-2025</t>
        </is>
      </c>
      <c r="B999" s="1" t="n">
        <v>45826</v>
      </c>
      <c r="C999" s="1" t="n">
        <v>45882</v>
      </c>
      <c r="D999" t="inlineStr">
        <is>
          <t>SKÅNE LÄN</t>
        </is>
      </c>
      <c r="E999" t="inlineStr">
        <is>
          <t>HÄSSLEHOLM</t>
        </is>
      </c>
      <c r="G999" t="n">
        <v>4.5</v>
      </c>
      <c r="H999" t="n">
        <v>0</v>
      </c>
      <c r="I999" t="n">
        <v>0</v>
      </c>
      <c r="J999" t="n">
        <v>0</v>
      </c>
      <c r="K999" t="n">
        <v>0</v>
      </c>
      <c r="L999" t="n">
        <v>0</v>
      </c>
      <c r="M999" t="n">
        <v>0</v>
      </c>
      <c r="N999" t="n">
        <v>0</v>
      </c>
      <c r="O999" t="n">
        <v>0</v>
      </c>
      <c r="P999" t="n">
        <v>0</v>
      </c>
      <c r="Q999" t="n">
        <v>0</v>
      </c>
      <c r="R999" s="2" t="inlineStr"/>
    </row>
    <row r="1000" ht="15" customHeight="1">
      <c r="A1000" t="inlineStr">
        <is>
          <t>A 36358-2025</t>
        </is>
      </c>
      <c r="B1000" s="1" t="n">
        <v>45867</v>
      </c>
      <c r="C1000" s="1" t="n">
        <v>45882</v>
      </c>
      <c r="D1000" t="inlineStr">
        <is>
          <t>SKÅNE LÄN</t>
        </is>
      </c>
      <c r="E1000" t="inlineStr">
        <is>
          <t>HÄSSLEHOLM</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14008-2023</t>
        </is>
      </c>
      <c r="B1001" s="1" t="n">
        <v>45008.56725694444</v>
      </c>
      <c r="C1001" s="1" t="n">
        <v>45882</v>
      </c>
      <c r="D1001" t="inlineStr">
        <is>
          <t>SKÅNE LÄN</t>
        </is>
      </c>
      <c r="E1001" t="inlineStr">
        <is>
          <t>HÄSSLEHOLM</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54471-2023</t>
        </is>
      </c>
      <c r="B1002" s="1" t="n">
        <v>45233.4640162037</v>
      </c>
      <c r="C1002" s="1" t="n">
        <v>45882</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36359-2025</t>
        </is>
      </c>
      <c r="B1003" s="1" t="n">
        <v>45867</v>
      </c>
      <c r="C1003" s="1" t="n">
        <v>45882</v>
      </c>
      <c r="D1003" t="inlineStr">
        <is>
          <t>SKÅNE LÄN</t>
        </is>
      </c>
      <c r="E1003" t="inlineStr">
        <is>
          <t>HÄSSLEHOLM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315-2022</t>
        </is>
      </c>
      <c r="B1004" s="1" t="n">
        <v>44565.55630787037</v>
      </c>
      <c r="C1004" s="1" t="n">
        <v>45882</v>
      </c>
      <c r="D1004" t="inlineStr">
        <is>
          <t>SKÅNE LÄN</t>
        </is>
      </c>
      <c r="E1004" t="inlineStr">
        <is>
          <t>HÄSSLEHOLM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42372-2024</t>
        </is>
      </c>
      <c r="B1005" s="1" t="n">
        <v>45564.5127199074</v>
      </c>
      <c r="C1005" s="1" t="n">
        <v>45882</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36361-2025</t>
        </is>
      </c>
      <c r="B1006" s="1" t="n">
        <v>45867</v>
      </c>
      <c r="C1006" s="1" t="n">
        <v>45882</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50607-2023</t>
        </is>
      </c>
      <c r="B1007" s="1" t="n">
        <v>45210</v>
      </c>
      <c r="C1007" s="1" t="n">
        <v>45882</v>
      </c>
      <c r="D1007" t="inlineStr">
        <is>
          <t>SKÅNE LÄN</t>
        </is>
      </c>
      <c r="E1007" t="inlineStr">
        <is>
          <t>HÄSSLEHOLM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38148-2022</t>
        </is>
      </c>
      <c r="B1008" s="1" t="n">
        <v>44811</v>
      </c>
      <c r="C1008" s="1" t="n">
        <v>45882</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31944-2023</t>
        </is>
      </c>
      <c r="B1009" s="1" t="n">
        <v>45119.34895833334</v>
      </c>
      <c r="C1009" s="1" t="n">
        <v>45882</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1706-2025</t>
        </is>
      </c>
      <c r="B1010" s="1" t="n">
        <v>45670</v>
      </c>
      <c r="C1010" s="1" t="n">
        <v>45882</v>
      </c>
      <c r="D1010" t="inlineStr">
        <is>
          <t>SKÅNE LÄN</t>
        </is>
      </c>
      <c r="E1010" t="inlineStr">
        <is>
          <t>HÄSSLEHOLM</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6180-2021</t>
        </is>
      </c>
      <c r="B1011" s="1" t="n">
        <v>44232</v>
      </c>
      <c r="C1011" s="1" t="n">
        <v>45882</v>
      </c>
      <c r="D1011" t="inlineStr">
        <is>
          <t>SKÅNE LÄN</t>
        </is>
      </c>
      <c r="E1011" t="inlineStr">
        <is>
          <t>HÄSSLEHOLM</t>
        </is>
      </c>
      <c r="F1011" t="inlineStr">
        <is>
          <t>Kyrkan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17138-2025</t>
        </is>
      </c>
      <c r="B1012" s="1" t="n">
        <v>45755.80378472222</v>
      </c>
      <c r="C1012" s="1" t="n">
        <v>45882</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57695-2023</t>
        </is>
      </c>
      <c r="B1013" s="1" t="n">
        <v>45246</v>
      </c>
      <c r="C1013" s="1" t="n">
        <v>45882</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12162-2023</t>
        </is>
      </c>
      <c r="B1014" s="1" t="n">
        <v>44998.49619212963</v>
      </c>
      <c r="C1014" s="1" t="n">
        <v>45882</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55056-2021</t>
        </is>
      </c>
      <c r="B1015" s="1" t="n">
        <v>44474.62072916667</v>
      </c>
      <c r="C1015" s="1" t="n">
        <v>45882</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13347-2025</t>
        </is>
      </c>
      <c r="B1016" s="1" t="n">
        <v>45735.63175925926</v>
      </c>
      <c r="C1016" s="1" t="n">
        <v>45882</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4916-2024</t>
        </is>
      </c>
      <c r="B1017" s="1" t="n">
        <v>45329</v>
      </c>
      <c r="C1017" s="1" t="n">
        <v>45882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13544-2025</t>
        </is>
      </c>
      <c r="B1018" s="1" t="n">
        <v>45736</v>
      </c>
      <c r="C1018" s="1" t="n">
        <v>45882</v>
      </c>
      <c r="D1018" t="inlineStr">
        <is>
          <t>SKÅNE LÄN</t>
        </is>
      </c>
      <c r="E1018" t="inlineStr">
        <is>
          <t>HÄSSLEHOLM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27175-2024</t>
        </is>
      </c>
      <c r="B1019" s="1" t="n">
        <v>45471.57111111111</v>
      </c>
      <c r="C1019" s="1" t="n">
        <v>45882</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8755-2024</t>
        </is>
      </c>
      <c r="B1020" s="1" t="n">
        <v>45356</v>
      </c>
      <c r="C1020" s="1" t="n">
        <v>45882</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8760-2024</t>
        </is>
      </c>
      <c r="B1021" s="1" t="n">
        <v>45356.53420138889</v>
      </c>
      <c r="C1021" s="1" t="n">
        <v>45882</v>
      </c>
      <c r="D1021" t="inlineStr">
        <is>
          <t>SKÅNE LÄN</t>
        </is>
      </c>
      <c r="E1021" t="inlineStr">
        <is>
          <t>HÄSSLEHOLM</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54658-2023</t>
        </is>
      </c>
      <c r="B1022" s="1" t="n">
        <v>45235</v>
      </c>
      <c r="C1022" s="1" t="n">
        <v>45882</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33257-2024</t>
        </is>
      </c>
      <c r="B1023" s="1" t="n">
        <v>45518</v>
      </c>
      <c r="C1023" s="1" t="n">
        <v>45882</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53055-2021</t>
        </is>
      </c>
      <c r="B1024" s="1" t="n">
        <v>44467</v>
      </c>
      <c r="C1024" s="1" t="n">
        <v>45882</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23666-2023</t>
        </is>
      </c>
      <c r="B1025" s="1" t="n">
        <v>45077</v>
      </c>
      <c r="C1025" s="1" t="n">
        <v>45882</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3726-2024</t>
        </is>
      </c>
      <c r="B1026" s="1" t="n">
        <v>45321</v>
      </c>
      <c r="C1026" s="1" t="n">
        <v>45882</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31159-2025</t>
        </is>
      </c>
      <c r="B1027" s="1" t="n">
        <v>45832.65322916667</v>
      </c>
      <c r="C1027" s="1" t="n">
        <v>45882</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53085-2022</t>
        </is>
      </c>
      <c r="B1028" s="1" t="n">
        <v>44873</v>
      </c>
      <c r="C1028" s="1" t="n">
        <v>45882</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28211-2022</t>
        </is>
      </c>
      <c r="B1029" s="1" t="n">
        <v>44746</v>
      </c>
      <c r="C1029" s="1" t="n">
        <v>45882</v>
      </c>
      <c r="D1029" t="inlineStr">
        <is>
          <t>SKÅNE LÄN</t>
        </is>
      </c>
      <c r="E1029" t="inlineStr">
        <is>
          <t>HÄSSLEHOLM</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32154-2024</t>
        </is>
      </c>
      <c r="B1030" s="1" t="n">
        <v>45511</v>
      </c>
      <c r="C1030" s="1" t="n">
        <v>45882</v>
      </c>
      <c r="D1030" t="inlineStr">
        <is>
          <t>SKÅNE LÄN</t>
        </is>
      </c>
      <c r="E1030" t="inlineStr">
        <is>
          <t>HÄSSLEHOLM</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15990-2023</t>
        </is>
      </c>
      <c r="B1031" s="1" t="n">
        <v>45023.39584490741</v>
      </c>
      <c r="C1031" s="1" t="n">
        <v>45882</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26207-2021</t>
        </is>
      </c>
      <c r="B1032" s="1" t="n">
        <v>44347</v>
      </c>
      <c r="C1032" s="1" t="n">
        <v>45882</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58883-2024</t>
        </is>
      </c>
      <c r="B1033" s="1" t="n">
        <v>45636.44962962963</v>
      </c>
      <c r="C1033" s="1" t="n">
        <v>45882</v>
      </c>
      <c r="D1033" t="inlineStr">
        <is>
          <t>SKÅNE LÄN</t>
        </is>
      </c>
      <c r="E1033" t="inlineStr">
        <is>
          <t>HÄSSLEHOLM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62199-2022</t>
        </is>
      </c>
      <c r="B1034" s="1" t="n">
        <v>44915</v>
      </c>
      <c r="C1034" s="1" t="n">
        <v>45882</v>
      </c>
      <c r="D1034" t="inlineStr">
        <is>
          <t>SKÅNE LÄN</t>
        </is>
      </c>
      <c r="E1034" t="inlineStr">
        <is>
          <t>HÄSSLEHOLM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9098-2022</t>
        </is>
      </c>
      <c r="B1035" s="1" t="n">
        <v>44615</v>
      </c>
      <c r="C1035" s="1" t="n">
        <v>45882</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19151-2023</t>
        </is>
      </c>
      <c r="B1036" s="1" t="n">
        <v>45044</v>
      </c>
      <c r="C1036" s="1" t="n">
        <v>45882</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2688-2024</t>
        </is>
      </c>
      <c r="B1037" s="1" t="n">
        <v>45314</v>
      </c>
      <c r="C1037" s="1" t="n">
        <v>45882</v>
      </c>
      <c r="D1037" t="inlineStr">
        <is>
          <t>SKÅNE LÄN</t>
        </is>
      </c>
      <c r="E1037" t="inlineStr">
        <is>
          <t>HÄSSLEHOLM</t>
        </is>
      </c>
      <c r="F1037" t="inlineStr">
        <is>
          <t>Övriga Aktiebolag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24865-2024</t>
        </is>
      </c>
      <c r="B1038" s="1" t="n">
        <v>45461.48974537037</v>
      </c>
      <c r="C1038" s="1" t="n">
        <v>45882</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36938-2025</t>
        </is>
      </c>
      <c r="B1039" s="1" t="n">
        <v>45874.58476851852</v>
      </c>
      <c r="C1039" s="1" t="n">
        <v>45882</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28599-2024</t>
        </is>
      </c>
      <c r="B1040" s="1" t="n">
        <v>45478.4247800926</v>
      </c>
      <c r="C1040" s="1" t="n">
        <v>45882</v>
      </c>
      <c r="D1040" t="inlineStr">
        <is>
          <t>SKÅNE LÄN</t>
        </is>
      </c>
      <c r="E1040" t="inlineStr">
        <is>
          <t>HÄSSLEHOLM</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29850-2024</t>
        </is>
      </c>
      <c r="B1041" s="1" t="n">
        <v>45485.64620370371</v>
      </c>
      <c r="C1041" s="1" t="n">
        <v>45882</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58272-2024</t>
        </is>
      </c>
      <c r="B1042" s="1" t="n">
        <v>45632.57025462963</v>
      </c>
      <c r="C1042" s="1" t="n">
        <v>45882</v>
      </c>
      <c r="D1042" t="inlineStr">
        <is>
          <t>SKÅNE LÄN</t>
        </is>
      </c>
      <c r="E1042" t="inlineStr">
        <is>
          <t>HÄSSLEHOLM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30007-2023</t>
        </is>
      </c>
      <c r="B1043" s="1" t="n">
        <v>45109.80349537037</v>
      </c>
      <c r="C1043" s="1" t="n">
        <v>45882</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18580-2023</t>
        </is>
      </c>
      <c r="B1044" s="1" t="n">
        <v>45043.37037037037</v>
      </c>
      <c r="C1044" s="1" t="n">
        <v>45882</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4187-2023</t>
        </is>
      </c>
      <c r="B1045" s="1" t="n">
        <v>44953</v>
      </c>
      <c r="C1045" s="1" t="n">
        <v>45882</v>
      </c>
      <c r="D1045" t="inlineStr">
        <is>
          <t>SKÅNE LÄN</t>
        </is>
      </c>
      <c r="E1045" t="inlineStr">
        <is>
          <t>HÄSSLEHOLM</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42231-2022</t>
        </is>
      </c>
      <c r="B1046" s="1" t="n">
        <v>44830.77003472222</v>
      </c>
      <c r="C1046" s="1" t="n">
        <v>45882</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37271-2025</t>
        </is>
      </c>
      <c r="B1047" s="1" t="n">
        <v>45876.47828703704</v>
      </c>
      <c r="C1047" s="1" t="n">
        <v>45882</v>
      </c>
      <c r="D1047" t="inlineStr">
        <is>
          <t>SKÅNE LÄN</t>
        </is>
      </c>
      <c r="E1047" t="inlineStr">
        <is>
          <t>HÄSSLEHOLM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9555-2025</t>
        </is>
      </c>
      <c r="B1048" s="1" t="n">
        <v>45714</v>
      </c>
      <c r="C1048" s="1" t="n">
        <v>45882</v>
      </c>
      <c r="D1048" t="inlineStr">
        <is>
          <t>SKÅNE LÄN</t>
        </is>
      </c>
      <c r="E1048" t="inlineStr">
        <is>
          <t>HÄSSLEHOLM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9611-2025</t>
        </is>
      </c>
      <c r="B1049" s="1" t="n">
        <v>45715</v>
      </c>
      <c r="C1049" s="1" t="n">
        <v>45882</v>
      </c>
      <c r="D1049" t="inlineStr">
        <is>
          <t>SKÅNE LÄN</t>
        </is>
      </c>
      <c r="E1049" t="inlineStr">
        <is>
          <t>HÄSSLEHOLM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24906-2022</t>
        </is>
      </c>
      <c r="B1050" s="1" t="n">
        <v>44728</v>
      </c>
      <c r="C1050" s="1" t="n">
        <v>45882</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3890-2024</t>
        </is>
      </c>
      <c r="B1051" s="1" t="n">
        <v>45322.45366898148</v>
      </c>
      <c r="C1051" s="1" t="n">
        <v>45882</v>
      </c>
      <c r="D1051" t="inlineStr">
        <is>
          <t>SKÅNE LÄN</t>
        </is>
      </c>
      <c r="E1051" t="inlineStr">
        <is>
          <t>HÄSSLEHOLM</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15800-2025</t>
        </is>
      </c>
      <c r="B1052" s="1" t="n">
        <v>45748.64831018518</v>
      </c>
      <c r="C1052" s="1" t="n">
        <v>45882</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59390-2021</t>
        </is>
      </c>
      <c r="B1053" s="1" t="n">
        <v>44490</v>
      </c>
      <c r="C1053" s="1" t="n">
        <v>45882</v>
      </c>
      <c r="D1053" t="inlineStr">
        <is>
          <t>SKÅNE LÄN</t>
        </is>
      </c>
      <c r="E1053" t="inlineStr">
        <is>
          <t>HÄSSLEHOLM</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37286-2025</t>
        </is>
      </c>
      <c r="B1054" s="1" t="n">
        <v>45876.50116898148</v>
      </c>
      <c r="C1054" s="1" t="n">
        <v>45882</v>
      </c>
      <c r="D1054" t="inlineStr">
        <is>
          <t>SKÅNE LÄN</t>
        </is>
      </c>
      <c r="E1054" t="inlineStr">
        <is>
          <t>HÄSSLEHOLM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13897-2024</t>
        </is>
      </c>
      <c r="B1055" s="1" t="n">
        <v>45391</v>
      </c>
      <c r="C1055" s="1" t="n">
        <v>45882</v>
      </c>
      <c r="D1055" t="inlineStr">
        <is>
          <t>SKÅNE LÄN</t>
        </is>
      </c>
      <c r="E1055" t="inlineStr">
        <is>
          <t>HÄSSLEHOLM</t>
        </is>
      </c>
      <c r="F1055" t="inlineStr">
        <is>
          <t>Kommuner</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56355-2023</t>
        </is>
      </c>
      <c r="B1056" s="1" t="n">
        <v>45243.3702662037</v>
      </c>
      <c r="C1056" s="1" t="n">
        <v>45882</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3452-2023</t>
        </is>
      </c>
      <c r="B1057" s="1" t="n">
        <v>44949</v>
      </c>
      <c r="C1057" s="1" t="n">
        <v>45882</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50525-2024</t>
        </is>
      </c>
      <c r="B1058" s="1" t="n">
        <v>45601</v>
      </c>
      <c r="C1058" s="1" t="n">
        <v>45882</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260-2024</t>
        </is>
      </c>
      <c r="B1059" s="1" t="n">
        <v>45294</v>
      </c>
      <c r="C1059" s="1" t="n">
        <v>45882</v>
      </c>
      <c r="D1059" t="inlineStr">
        <is>
          <t>SKÅNE LÄN</t>
        </is>
      </c>
      <c r="E1059" t="inlineStr">
        <is>
          <t>HÄSSLEHOLM</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5016-2024</t>
        </is>
      </c>
      <c r="B1060" s="1" t="n">
        <v>45329</v>
      </c>
      <c r="C1060" s="1" t="n">
        <v>45882</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11603-2025</t>
        </is>
      </c>
      <c r="B1061" s="1" t="n">
        <v>45727</v>
      </c>
      <c r="C1061" s="1" t="n">
        <v>45882</v>
      </c>
      <c r="D1061" t="inlineStr">
        <is>
          <t>SKÅNE LÄN</t>
        </is>
      </c>
      <c r="E1061" t="inlineStr">
        <is>
          <t>HÄSSLEHOLM</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29649-2025</t>
        </is>
      </c>
      <c r="B1062" s="1" t="n">
        <v>45825.47446759259</v>
      </c>
      <c r="C1062" s="1" t="n">
        <v>45882</v>
      </c>
      <c r="D1062" t="inlineStr">
        <is>
          <t>SKÅNE LÄN</t>
        </is>
      </c>
      <c r="E1062" t="inlineStr">
        <is>
          <t>HÄSSLEHOLM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59246-2024</t>
        </is>
      </c>
      <c r="B1063" s="1" t="n">
        <v>45636</v>
      </c>
      <c r="C1063" s="1" t="n">
        <v>45882</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20800-2023</t>
        </is>
      </c>
      <c r="B1064" s="1" t="n">
        <v>45058.61640046296</v>
      </c>
      <c r="C1064" s="1" t="n">
        <v>45882</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11019-2025</t>
        </is>
      </c>
      <c r="B1065" s="1" t="n">
        <v>45723</v>
      </c>
      <c r="C1065" s="1" t="n">
        <v>45882</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25206-2023</t>
        </is>
      </c>
      <c r="B1066" s="1" t="n">
        <v>45086.59318287037</v>
      </c>
      <c r="C1066" s="1" t="n">
        <v>45882</v>
      </c>
      <c r="D1066" t="inlineStr">
        <is>
          <t>SKÅNE LÄN</t>
        </is>
      </c>
      <c r="E1066" t="inlineStr">
        <is>
          <t>HÄSSLEHOLM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25221-2023</t>
        </is>
      </c>
      <c r="B1067" s="1" t="n">
        <v>45086.60842592592</v>
      </c>
      <c r="C1067" s="1" t="n">
        <v>45882</v>
      </c>
      <c r="D1067" t="inlineStr">
        <is>
          <t>SKÅNE LÄN</t>
        </is>
      </c>
      <c r="E1067" t="inlineStr">
        <is>
          <t>HÄSSLEHOLM</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57272-2023</t>
        </is>
      </c>
      <c r="B1068" s="1" t="n">
        <v>45245</v>
      </c>
      <c r="C1068" s="1" t="n">
        <v>45882</v>
      </c>
      <c r="D1068" t="inlineStr">
        <is>
          <t>SKÅNE LÄN</t>
        </is>
      </c>
      <c r="E1068" t="inlineStr">
        <is>
          <t>HÄSSLEHOLM</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13856-2025</t>
        </is>
      </c>
      <c r="B1069" s="1" t="n">
        <v>45737.57289351852</v>
      </c>
      <c r="C1069" s="1" t="n">
        <v>45882</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9239-2025</t>
        </is>
      </c>
      <c r="B1070" s="1" t="n">
        <v>45714</v>
      </c>
      <c r="C1070" s="1" t="n">
        <v>45882</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32585-2025</t>
        </is>
      </c>
      <c r="B1071" s="1" t="n">
        <v>45838.60021990741</v>
      </c>
      <c r="C1071" s="1" t="n">
        <v>45882</v>
      </c>
      <c r="D1071" t="inlineStr">
        <is>
          <t>SKÅNE LÄN</t>
        </is>
      </c>
      <c r="E1071" t="inlineStr">
        <is>
          <t>HÄSSLEHOLM</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32592-2025</t>
        </is>
      </c>
      <c r="B1072" s="1" t="n">
        <v>45838.61020833333</v>
      </c>
      <c r="C1072" s="1" t="n">
        <v>45882</v>
      </c>
      <c r="D1072" t="inlineStr">
        <is>
          <t>SKÅNE LÄN</t>
        </is>
      </c>
      <c r="E1072" t="inlineStr">
        <is>
          <t>HÄSSLEHOLM</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54359-2020</t>
        </is>
      </c>
      <c r="B1073" s="1" t="n">
        <v>44126</v>
      </c>
      <c r="C1073" s="1" t="n">
        <v>45882</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48889-2024</t>
        </is>
      </c>
      <c r="B1074" s="1" t="n">
        <v>45594.33754629629</v>
      </c>
      <c r="C1074" s="1" t="n">
        <v>45882</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8209-2025</t>
        </is>
      </c>
      <c r="B1075" s="1" t="n">
        <v>45708.44244212963</v>
      </c>
      <c r="C1075" s="1" t="n">
        <v>45882</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8263-2025</t>
        </is>
      </c>
      <c r="B1076" s="1" t="n">
        <v>45708.50398148148</v>
      </c>
      <c r="C1076" s="1" t="n">
        <v>45882</v>
      </c>
      <c r="D1076" t="inlineStr">
        <is>
          <t>SKÅNE LÄN</t>
        </is>
      </c>
      <c r="E1076" t="inlineStr">
        <is>
          <t>HÄSSLEHOLM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29275-2023</t>
        </is>
      </c>
      <c r="B1077" s="1" t="n">
        <v>45105</v>
      </c>
      <c r="C1077" s="1" t="n">
        <v>45882</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13018-2024</t>
        </is>
      </c>
      <c r="B1078" s="1" t="n">
        <v>45385.58274305556</v>
      </c>
      <c r="C1078" s="1" t="n">
        <v>45882</v>
      </c>
      <c r="D1078" t="inlineStr">
        <is>
          <t>SKÅNE LÄN</t>
        </is>
      </c>
      <c r="E1078" t="inlineStr">
        <is>
          <t>HÄSSLEHOLM</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11681-2023</t>
        </is>
      </c>
      <c r="B1079" s="1" t="n">
        <v>44992</v>
      </c>
      <c r="C1079" s="1" t="n">
        <v>45882</v>
      </c>
      <c r="D1079" t="inlineStr">
        <is>
          <t>SKÅNE LÄN</t>
        </is>
      </c>
      <c r="E1079" t="inlineStr">
        <is>
          <t>HÄSSLEHOLM</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33927-2021</t>
        </is>
      </c>
      <c r="B1080" s="1" t="n">
        <v>44378</v>
      </c>
      <c r="C1080" s="1" t="n">
        <v>45882</v>
      </c>
      <c r="D1080" t="inlineStr">
        <is>
          <t>SKÅNE LÄN</t>
        </is>
      </c>
      <c r="E1080" t="inlineStr">
        <is>
          <t>HÄSSLEHOLM</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7305-2025</t>
        </is>
      </c>
      <c r="B1081" s="1" t="n">
        <v>45702</v>
      </c>
      <c r="C1081" s="1" t="n">
        <v>45882</v>
      </c>
      <c r="D1081" t="inlineStr">
        <is>
          <t>SKÅNE LÄN</t>
        </is>
      </c>
      <c r="E1081" t="inlineStr">
        <is>
          <t>HÄSSLEHOLM</t>
        </is>
      </c>
      <c r="F1081" t="inlineStr">
        <is>
          <t>Övriga Aktiebolag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5116-2023</t>
        </is>
      </c>
      <c r="B1082" s="1" t="n">
        <v>44958.67546296296</v>
      </c>
      <c r="C1082" s="1" t="n">
        <v>45882</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22595-2024</t>
        </is>
      </c>
      <c r="B1083" s="1" t="n">
        <v>45447.61053240741</v>
      </c>
      <c r="C1083" s="1" t="n">
        <v>45882</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42364-2023</t>
        </is>
      </c>
      <c r="B1084" s="1" t="n">
        <v>45180.54754629629</v>
      </c>
      <c r="C1084" s="1" t="n">
        <v>45882</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54408-2024</t>
        </is>
      </c>
      <c r="B1085" s="1" t="n">
        <v>45617.47263888889</v>
      </c>
      <c r="C1085" s="1" t="n">
        <v>45882</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60704-2023</t>
        </is>
      </c>
      <c r="B1086" s="1" t="n">
        <v>45260.51340277777</v>
      </c>
      <c r="C1086" s="1" t="n">
        <v>45882</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5780-2024</t>
        </is>
      </c>
      <c r="B1087" s="1" t="n">
        <v>45335.41983796296</v>
      </c>
      <c r="C1087" s="1" t="n">
        <v>45882</v>
      </c>
      <c r="D1087" t="inlineStr">
        <is>
          <t>SKÅNE LÄN</t>
        </is>
      </c>
      <c r="E1087" t="inlineStr">
        <is>
          <t>HÄSSLEHOLM</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20279-2025</t>
        </is>
      </c>
      <c r="B1088" s="1" t="n">
        <v>45774.38643518519</v>
      </c>
      <c r="C1088" s="1" t="n">
        <v>45882</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59431-2023</t>
        </is>
      </c>
      <c r="B1089" s="1" t="n">
        <v>45254.29207175926</v>
      </c>
      <c r="C1089" s="1" t="n">
        <v>45882</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59433-2023</t>
        </is>
      </c>
      <c r="B1090" s="1" t="n">
        <v>45254.29768518519</v>
      </c>
      <c r="C1090" s="1" t="n">
        <v>45882</v>
      </c>
      <c r="D1090" t="inlineStr">
        <is>
          <t>SKÅNE LÄN</t>
        </is>
      </c>
      <c r="E1090" t="inlineStr">
        <is>
          <t>HÄSSLEHOLM</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55416-2021</t>
        </is>
      </c>
      <c r="B1091" s="1" t="n">
        <v>44475</v>
      </c>
      <c r="C1091" s="1" t="n">
        <v>45882</v>
      </c>
      <c r="D1091" t="inlineStr">
        <is>
          <t>SKÅNE LÄN</t>
        </is>
      </c>
      <c r="E1091" t="inlineStr">
        <is>
          <t>HÄSSLEHOLM</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4579-2025</t>
        </is>
      </c>
      <c r="B1092" s="1" t="n">
        <v>45687.5009375</v>
      </c>
      <c r="C1092" s="1" t="n">
        <v>45882</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21141-2024</t>
        </is>
      </c>
      <c r="B1093" s="1" t="n">
        <v>45440.39012731481</v>
      </c>
      <c r="C1093" s="1" t="n">
        <v>45882</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49379-2021</t>
        </is>
      </c>
      <c r="B1094" s="1" t="n">
        <v>44454</v>
      </c>
      <c r="C1094" s="1" t="n">
        <v>45882</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36240-2023</t>
        </is>
      </c>
      <c r="B1095" s="1" t="n">
        <v>45150.89295138889</v>
      </c>
      <c r="C1095" s="1" t="n">
        <v>45882</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13851-2025</t>
        </is>
      </c>
      <c r="B1096" s="1" t="n">
        <v>45737.56777777777</v>
      </c>
      <c r="C1096" s="1" t="n">
        <v>45882</v>
      </c>
      <c r="D1096" t="inlineStr">
        <is>
          <t>SKÅNE LÄN</t>
        </is>
      </c>
      <c r="E1096" t="inlineStr">
        <is>
          <t>HÄSSLEHOLM</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12469-2023</t>
        </is>
      </c>
      <c r="B1097" s="1" t="n">
        <v>44999.62109953703</v>
      </c>
      <c r="C1097" s="1" t="n">
        <v>45882</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45400-2022</t>
        </is>
      </c>
      <c r="B1098" s="1" t="n">
        <v>44844.713125</v>
      </c>
      <c r="C1098" s="1" t="n">
        <v>45882</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40319-2020</t>
        </is>
      </c>
      <c r="B1099" s="1" t="n">
        <v>44068</v>
      </c>
      <c r="C1099" s="1" t="n">
        <v>45882</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13961-2023</t>
        </is>
      </c>
      <c r="B1100" s="1" t="n">
        <v>45008</v>
      </c>
      <c r="C1100" s="1" t="n">
        <v>45882</v>
      </c>
      <c r="D1100" t="inlineStr">
        <is>
          <t>SKÅNE LÄN</t>
        </is>
      </c>
      <c r="E1100" t="inlineStr">
        <is>
          <t>HÄSSLEHOLM</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7581-2023</t>
        </is>
      </c>
      <c r="B1101" s="1" t="n">
        <v>44972.39556712963</v>
      </c>
      <c r="C1101" s="1" t="n">
        <v>45882</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48191-2021</t>
        </is>
      </c>
      <c r="B1102" s="1" t="n">
        <v>44449</v>
      </c>
      <c r="C1102" s="1" t="n">
        <v>45882</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5282-2023</t>
        </is>
      </c>
      <c r="B1103" s="1" t="n">
        <v>44959.50471064815</v>
      </c>
      <c r="C1103" s="1" t="n">
        <v>45882</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52548-2023</t>
        </is>
      </c>
      <c r="B1104" s="1" t="n">
        <v>45218</v>
      </c>
      <c r="C1104" s="1" t="n">
        <v>45882</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12503-2022</t>
        </is>
      </c>
      <c r="B1105" s="1" t="n">
        <v>44638</v>
      </c>
      <c r="C1105" s="1" t="n">
        <v>45882</v>
      </c>
      <c r="D1105" t="inlineStr">
        <is>
          <t>SKÅNE LÄN</t>
        </is>
      </c>
      <c r="E1105" t="inlineStr">
        <is>
          <t>HÄSSLEHOLM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9485-2023</t>
        </is>
      </c>
      <c r="B1106" s="1" t="n">
        <v>44981.60901620371</v>
      </c>
      <c r="C1106" s="1" t="n">
        <v>45882</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54777-2022</t>
        </is>
      </c>
      <c r="B1107" s="1" t="n">
        <v>44883</v>
      </c>
      <c r="C1107" s="1" t="n">
        <v>45882</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61929-2023</t>
        </is>
      </c>
      <c r="B1108" s="1" t="n">
        <v>45266</v>
      </c>
      <c r="C1108" s="1" t="n">
        <v>45882</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13555-2025</t>
        </is>
      </c>
      <c r="B1109" s="1" t="n">
        <v>45736</v>
      </c>
      <c r="C1109" s="1" t="n">
        <v>45882</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4734-2025</t>
        </is>
      </c>
      <c r="B1110" s="1" t="n">
        <v>45688.44030092593</v>
      </c>
      <c r="C1110" s="1" t="n">
        <v>45882</v>
      </c>
      <c r="D1110" t="inlineStr">
        <is>
          <t>SKÅNE LÄN</t>
        </is>
      </c>
      <c r="E1110" t="inlineStr">
        <is>
          <t>HÄSSLEHOLM</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44940-2023</t>
        </is>
      </c>
      <c r="B1111" s="1" t="n">
        <v>45190.68653935185</v>
      </c>
      <c r="C1111" s="1" t="n">
        <v>45882</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25533-2024</t>
        </is>
      </c>
      <c r="B1112" s="1" t="n">
        <v>45463</v>
      </c>
      <c r="C1112" s="1" t="n">
        <v>45882</v>
      </c>
      <c r="D1112" t="inlineStr">
        <is>
          <t>SKÅNE LÄN</t>
        </is>
      </c>
      <c r="E1112" t="inlineStr">
        <is>
          <t>HÄSSLEHOLM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61498-2022</t>
        </is>
      </c>
      <c r="B1113" s="1" t="n">
        <v>44910</v>
      </c>
      <c r="C1113" s="1" t="n">
        <v>45882</v>
      </c>
      <c r="D1113" t="inlineStr">
        <is>
          <t>SKÅNE LÄN</t>
        </is>
      </c>
      <c r="E1113" t="inlineStr">
        <is>
          <t>HÄSSLEHOLM</t>
        </is>
      </c>
      <c r="F1113" t="inlineStr">
        <is>
          <t>Kyrkan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22696-2023</t>
        </is>
      </c>
      <c r="B1114" s="1" t="n">
        <v>45071.69464120371</v>
      </c>
      <c r="C1114" s="1" t="n">
        <v>45882</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52337-2023</t>
        </is>
      </c>
      <c r="B1115" s="1" t="n">
        <v>45224.66359953704</v>
      </c>
      <c r="C1115" s="1" t="n">
        <v>45882</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23955-2023</t>
        </is>
      </c>
      <c r="B1116" s="1" t="n">
        <v>45078.62217592593</v>
      </c>
      <c r="C1116" s="1" t="n">
        <v>45882</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10897-2023</t>
        </is>
      </c>
      <c r="B1117" s="1" t="n">
        <v>44985</v>
      </c>
      <c r="C1117" s="1" t="n">
        <v>45882</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50571-2023</t>
        </is>
      </c>
      <c r="B1118" s="1" t="n">
        <v>45217.38359953704</v>
      </c>
      <c r="C1118" s="1" t="n">
        <v>45882</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18908-2023</t>
        </is>
      </c>
      <c r="B1119" s="1" t="n">
        <v>45044</v>
      </c>
      <c r="C1119" s="1" t="n">
        <v>45882</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10028-2024</t>
        </is>
      </c>
      <c r="B1120" s="1" t="n">
        <v>45363.97292824074</v>
      </c>
      <c r="C1120" s="1" t="n">
        <v>45882</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13084-2025</t>
        </is>
      </c>
      <c r="B1121" s="1" t="n">
        <v>45734</v>
      </c>
      <c r="C1121" s="1" t="n">
        <v>45882</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16285-2025</t>
        </is>
      </c>
      <c r="B1122" s="1" t="n">
        <v>45751.30045138889</v>
      </c>
      <c r="C1122" s="1" t="n">
        <v>45882</v>
      </c>
      <c r="D1122" t="inlineStr">
        <is>
          <t>SKÅNE LÄN</t>
        </is>
      </c>
      <c r="E1122" t="inlineStr">
        <is>
          <t>HÄSSLEHOLM</t>
        </is>
      </c>
      <c r="G1122" t="n">
        <v>2</v>
      </c>
      <c r="H1122" t="n">
        <v>0</v>
      </c>
      <c r="I1122" t="n">
        <v>0</v>
      </c>
      <c r="J1122" t="n">
        <v>0</v>
      </c>
      <c r="K1122" t="n">
        <v>0</v>
      </c>
      <c r="L1122" t="n">
        <v>0</v>
      </c>
      <c r="M1122" t="n">
        <v>0</v>
      </c>
      <c r="N1122" t="n">
        <v>0</v>
      </c>
      <c r="O1122" t="n">
        <v>0</v>
      </c>
      <c r="P1122" t="n">
        <v>0</v>
      </c>
      <c r="Q1122" t="n">
        <v>0</v>
      </c>
      <c r="R1122" s="2" t="inlineStr"/>
    </row>
    <row r="1123">
      <c r="A1123" t="inlineStr">
        <is>
          <t>A 46000-2021</t>
        </is>
      </c>
      <c r="B1123" s="1" t="n">
        <v>44441</v>
      </c>
      <c r="C1123" s="1" t="n">
        <v>45882</v>
      </c>
      <c r="D1123" t="inlineStr">
        <is>
          <t>SKÅNE LÄN</t>
        </is>
      </c>
      <c r="E1123" t="inlineStr">
        <is>
          <t>HÄSSLEHOLM</t>
        </is>
      </c>
      <c r="G1123" t="n">
        <v>1.6</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2025-08-13T08:27:38Z</dcterms:created>
  <dcterms:modified xmlns:dcterms="http://purl.org/dc/terms/" xmlns:xsi="http://www.w3.org/2001/XMLSchema-instance" xsi:type="dcterms:W3CDTF">2025-08-13T08:27:39Z</dcterms:modified>
</cp:coreProperties>
</file>