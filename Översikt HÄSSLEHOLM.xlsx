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46092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46092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46092</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46092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46092</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46092</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46092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46092</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46092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46092</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46092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46092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46092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4595-2025</t>
        </is>
      </c>
      <c r="B15" s="1" t="n">
        <v>45687</v>
      </c>
      <c r="C15" s="1" t="n">
        <v>46092</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28736-2025</t>
        </is>
      </c>
      <c r="B16" s="1" t="n">
        <v>45820.3816087963</v>
      </c>
      <c r="C16" s="1" t="n">
        <v>46092</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46092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46092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57533-2025</t>
        </is>
      </c>
      <c r="B19" s="1" t="n">
        <v>45980.63923611111</v>
      </c>
      <c r="C19" s="1" t="n">
        <v>46092</v>
      </c>
      <c r="D19" t="inlineStr">
        <is>
          <t>SKÅNE LÄN</t>
        </is>
      </c>
      <c r="E19" t="inlineStr">
        <is>
          <t>HÄSSLEHOLM</t>
        </is>
      </c>
      <c r="G19" t="n">
        <v>0.9</v>
      </c>
      <c r="H19" t="n">
        <v>0</v>
      </c>
      <c r="I19" t="n">
        <v>1</v>
      </c>
      <c r="J19" t="n">
        <v>0</v>
      </c>
      <c r="K19" t="n">
        <v>0</v>
      </c>
      <c r="L19" t="n">
        <v>0</v>
      </c>
      <c r="M19" t="n">
        <v>0</v>
      </c>
      <c r="N19" t="n">
        <v>0</v>
      </c>
      <c r="O19" t="n">
        <v>0</v>
      </c>
      <c r="P19" t="n">
        <v>0</v>
      </c>
      <c r="Q19" t="n">
        <v>1</v>
      </c>
      <c r="R19" s="2" t="inlineStr">
        <is>
          <t>Strutbräken</t>
        </is>
      </c>
      <c r="S19">
        <f>HYPERLINK("https://klasma.github.io/Logging_1293/artfynd/A 57533-2025 artfynd.xlsx", "A 57533-2025")</f>
        <v/>
      </c>
      <c r="T19">
        <f>HYPERLINK("https://klasma.github.io/Logging_1293/kartor/A 57533-2025 karta.png", "A 57533-2025")</f>
        <v/>
      </c>
      <c r="V19">
        <f>HYPERLINK("https://klasma.github.io/Logging_1293/klagomål/A 57533-2025 FSC-klagomål.docx", "A 57533-2025")</f>
        <v/>
      </c>
      <c r="W19">
        <f>HYPERLINK("https://klasma.github.io/Logging_1293/klagomålsmail/A 57533-2025 FSC-klagomål mail.docx", "A 57533-2025")</f>
        <v/>
      </c>
      <c r="X19">
        <f>HYPERLINK("https://klasma.github.io/Logging_1293/tillsyn/A 57533-2025 tillsynsbegäran.docx", "A 57533-2025")</f>
        <v/>
      </c>
      <c r="Y19">
        <f>HYPERLINK("https://klasma.github.io/Logging_1293/tillsynsmail/A 57533-2025 tillsynsbegäran mail.docx", "A 57533-2025")</f>
        <v/>
      </c>
    </row>
    <row r="20" ht="15" customHeight="1">
      <c r="A20" t="inlineStr">
        <is>
          <t>A 6634-2024</t>
        </is>
      </c>
      <c r="B20" s="1" t="n">
        <v>45341</v>
      </c>
      <c r="C20" s="1" t="n">
        <v>46092</v>
      </c>
      <c r="D20" t="inlineStr">
        <is>
          <t>SKÅNE LÄN</t>
        </is>
      </c>
      <c r="E20" t="inlineStr">
        <is>
          <t>HÄSSLEHOLM</t>
        </is>
      </c>
      <c r="G20" t="n">
        <v>1.9</v>
      </c>
      <c r="H20" t="n">
        <v>0</v>
      </c>
      <c r="I20" t="n">
        <v>0</v>
      </c>
      <c r="J20" t="n">
        <v>0</v>
      </c>
      <c r="K20" t="n">
        <v>1</v>
      </c>
      <c r="L20" t="n">
        <v>0</v>
      </c>
      <c r="M20" t="n">
        <v>0</v>
      </c>
      <c r="N20" t="n">
        <v>0</v>
      </c>
      <c r="O20" t="n">
        <v>1</v>
      </c>
      <c r="P20" t="n">
        <v>1</v>
      </c>
      <c r="Q20" t="n">
        <v>1</v>
      </c>
      <c r="R20" s="2" t="inlineStr">
        <is>
          <t>Revig blodrot</t>
        </is>
      </c>
      <c r="S20">
        <f>HYPERLINK("https://klasma.github.io/Logging_1293/artfynd/A 6634-2024 artfynd.xlsx", "A 6634-2024")</f>
        <v/>
      </c>
      <c r="T20">
        <f>HYPERLINK("https://klasma.github.io/Logging_1293/kartor/A 6634-2024 karta.png", "A 6634-2024")</f>
        <v/>
      </c>
      <c r="V20">
        <f>HYPERLINK("https://klasma.github.io/Logging_1293/klagomål/A 6634-2024 FSC-klagomål.docx", "A 6634-2024")</f>
        <v/>
      </c>
      <c r="W20">
        <f>HYPERLINK("https://klasma.github.io/Logging_1293/klagomålsmail/A 6634-2024 FSC-klagomål mail.docx", "A 6634-2024")</f>
        <v/>
      </c>
      <c r="X20">
        <f>HYPERLINK("https://klasma.github.io/Logging_1293/tillsyn/A 6634-2024 tillsynsbegäran.docx", "A 6634-2024")</f>
        <v/>
      </c>
      <c r="Y20">
        <f>HYPERLINK("https://klasma.github.io/Logging_1293/tillsynsmail/A 6634-2024 tillsynsbegäran mail.docx", "A 6634-2024")</f>
        <v/>
      </c>
    </row>
    <row r="21" ht="15" customHeight="1">
      <c r="A21" t="inlineStr">
        <is>
          <t>A 60925-2024</t>
        </is>
      </c>
      <c r="B21" s="1" t="n">
        <v>45645.3550462963</v>
      </c>
      <c r="C21" s="1" t="n">
        <v>46092</v>
      </c>
      <c r="D21" t="inlineStr">
        <is>
          <t>SKÅNE LÄN</t>
        </is>
      </c>
      <c r="E21" t="inlineStr">
        <is>
          <t>HÄSSLEHOLM</t>
        </is>
      </c>
      <c r="G21" t="n">
        <v>1.8</v>
      </c>
      <c r="H21" t="n">
        <v>0</v>
      </c>
      <c r="I21" t="n">
        <v>0</v>
      </c>
      <c r="J21" t="n">
        <v>0</v>
      </c>
      <c r="K21" t="n">
        <v>0</v>
      </c>
      <c r="L21" t="n">
        <v>1</v>
      </c>
      <c r="M21" t="n">
        <v>0</v>
      </c>
      <c r="N21" t="n">
        <v>0</v>
      </c>
      <c r="O21" t="n">
        <v>1</v>
      </c>
      <c r="P21" t="n">
        <v>1</v>
      </c>
      <c r="Q21" t="n">
        <v>1</v>
      </c>
      <c r="R21" s="2" t="inlineStr">
        <is>
          <t>Ask</t>
        </is>
      </c>
      <c r="S21">
        <f>HYPERLINK("https://klasma.github.io/Logging_1293/artfynd/A 60925-2024 artfynd.xlsx", "A 60925-2024")</f>
        <v/>
      </c>
      <c r="T21">
        <f>HYPERLINK("https://klasma.github.io/Logging_1293/kartor/A 60925-2024 karta.png", "A 60925-2024")</f>
        <v/>
      </c>
      <c r="V21">
        <f>HYPERLINK("https://klasma.github.io/Logging_1293/klagomål/A 60925-2024 FSC-klagomål.docx", "A 60925-2024")</f>
        <v/>
      </c>
      <c r="W21">
        <f>HYPERLINK("https://klasma.github.io/Logging_1293/klagomålsmail/A 60925-2024 FSC-klagomål mail.docx", "A 60925-2024")</f>
        <v/>
      </c>
      <c r="X21">
        <f>HYPERLINK("https://klasma.github.io/Logging_1293/tillsyn/A 60925-2024 tillsynsbegäran.docx", "A 60925-2024")</f>
        <v/>
      </c>
      <c r="Y21">
        <f>HYPERLINK("https://klasma.github.io/Logging_1293/tillsynsmail/A 60925-2024 tillsynsbegäran mail.docx", "A 60925-2024")</f>
        <v/>
      </c>
    </row>
    <row r="22" ht="15" customHeight="1">
      <c r="A22" t="inlineStr">
        <is>
          <t>A 40613-2025</t>
        </is>
      </c>
      <c r="B22" s="1" t="n">
        <v>45896</v>
      </c>
      <c r="C22" s="1" t="n">
        <v>46092</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54523-2024</t>
        </is>
      </c>
      <c r="B23" s="1" t="n">
        <v>45617</v>
      </c>
      <c r="C23" s="1" t="n">
        <v>46092</v>
      </c>
      <c r="D23" t="inlineStr">
        <is>
          <t>SKÅNE LÄN</t>
        </is>
      </c>
      <c r="E23" t="inlineStr">
        <is>
          <t>HÄSSLEHOLM</t>
        </is>
      </c>
      <c r="G23" t="n">
        <v>4.5</v>
      </c>
      <c r="H23" t="n">
        <v>1</v>
      </c>
      <c r="I23" t="n">
        <v>0</v>
      </c>
      <c r="J23" t="n">
        <v>0</v>
      </c>
      <c r="K23" t="n">
        <v>0</v>
      </c>
      <c r="L23" t="n">
        <v>0</v>
      </c>
      <c r="M23" t="n">
        <v>0</v>
      </c>
      <c r="N23" t="n">
        <v>0</v>
      </c>
      <c r="O23" t="n">
        <v>0</v>
      </c>
      <c r="P23" t="n">
        <v>0</v>
      </c>
      <c r="Q23" t="n">
        <v>1</v>
      </c>
      <c r="R23" s="2" t="inlineStr">
        <is>
          <t>Grönvit nattviol</t>
        </is>
      </c>
      <c r="S23">
        <f>HYPERLINK("https://klasma.github.io/Logging_1293/artfynd/A 54523-2024 artfynd.xlsx", "A 54523-2024")</f>
        <v/>
      </c>
      <c r="T23">
        <f>HYPERLINK("https://klasma.github.io/Logging_1293/kartor/A 54523-2024 karta.png", "A 54523-2024")</f>
        <v/>
      </c>
      <c r="V23">
        <f>HYPERLINK("https://klasma.github.io/Logging_1293/klagomål/A 54523-2024 FSC-klagomål.docx", "A 54523-2024")</f>
        <v/>
      </c>
      <c r="W23">
        <f>HYPERLINK("https://klasma.github.io/Logging_1293/klagomålsmail/A 54523-2024 FSC-klagomål mail.docx", "A 54523-2024")</f>
        <v/>
      </c>
      <c r="X23">
        <f>HYPERLINK("https://klasma.github.io/Logging_1293/tillsyn/A 54523-2024 tillsynsbegäran.docx", "A 54523-2024")</f>
        <v/>
      </c>
      <c r="Y23">
        <f>HYPERLINK("https://klasma.github.io/Logging_1293/tillsynsmail/A 54523-2024 tillsynsbegäran mail.docx", "A 54523-2024")</f>
        <v/>
      </c>
    </row>
    <row r="24" ht="15" customHeight="1">
      <c r="A24" t="inlineStr">
        <is>
          <t>A 9289-2025</t>
        </is>
      </c>
      <c r="B24" s="1" t="n">
        <v>45714</v>
      </c>
      <c r="C24" s="1" t="n">
        <v>46092</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27390-2025</t>
        </is>
      </c>
      <c r="B25" s="1" t="n">
        <v>45812.67840277778</v>
      </c>
      <c r="C25" s="1" t="n">
        <v>46092</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36690-2025</t>
        </is>
      </c>
      <c r="B26" s="1" t="n">
        <v>45873.42915509259</v>
      </c>
      <c r="C26" s="1" t="n">
        <v>46092</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7862-2024</t>
        </is>
      </c>
      <c r="B27" s="1" t="n">
        <v>45348</v>
      </c>
      <c r="C27" s="1" t="n">
        <v>46092</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46092</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46092</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46092</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46092</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46092</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46092</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46092</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46092</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46092</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46092</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46092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46092</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46092</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46092</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46092</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46092</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46092</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46092</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46092</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46092</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46092</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46092</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46092</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46092</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46092</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46092</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46092</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46092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46092</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46092</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46092</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46092</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46092</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46092</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46092</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46092</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7249-2022</t>
        </is>
      </c>
      <c r="B64" s="1" t="n">
        <v>44606</v>
      </c>
      <c r="C64" s="1" t="n">
        <v>46092</v>
      </c>
      <c r="D64" t="inlineStr">
        <is>
          <t>SKÅNE LÄN</t>
        </is>
      </c>
      <c r="E64" t="inlineStr">
        <is>
          <t>HÄSSLEHOLM</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46092</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46092</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46092</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46092</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46092</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46092</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46092</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46092</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46092</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46092</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46092</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46092</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46092</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46092</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46092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46092</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46092</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46092</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46092</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46092</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46092</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46092</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46092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46092</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46092</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46092</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46092</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46092</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46092</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46092</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46092</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46092</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46092</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46092</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46092</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46092</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46092</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46092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46092</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46092</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46092</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46092</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46092</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46092</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46092</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46092</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46092</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46092</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46092</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46092</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46092</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46092</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46092</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46092</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46092</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46092</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46092</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46092</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46092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46092</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1535-2022</t>
        </is>
      </c>
      <c r="B125" s="1" t="n">
        <v>44573</v>
      </c>
      <c r="C125" s="1" t="n">
        <v>46092</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64607-2021</t>
        </is>
      </c>
      <c r="B126" s="1" t="n">
        <v>44511</v>
      </c>
      <c r="C126" s="1" t="n">
        <v>46092</v>
      </c>
      <c r="D126" t="inlineStr">
        <is>
          <t>SKÅNE LÄN</t>
        </is>
      </c>
      <c r="E126" t="inlineStr">
        <is>
          <t>HÄSSLEHOLM</t>
        </is>
      </c>
      <c r="G126" t="n">
        <v>1.5</v>
      </c>
      <c r="H126" t="n">
        <v>0</v>
      </c>
      <c r="I126" t="n">
        <v>0</v>
      </c>
      <c r="J126" t="n">
        <v>0</v>
      </c>
      <c r="K126" t="n">
        <v>0</v>
      </c>
      <c r="L126" t="n">
        <v>0</v>
      </c>
      <c r="M126" t="n">
        <v>0</v>
      </c>
      <c r="N126" t="n">
        <v>0</v>
      </c>
      <c r="O126" t="n">
        <v>0</v>
      </c>
      <c r="P126" t="n">
        <v>0</v>
      </c>
      <c r="Q126" t="n">
        <v>0</v>
      </c>
      <c r="R126" s="2" t="inlineStr"/>
    </row>
    <row r="127" ht="15" customHeight="1">
      <c r="A127" t="inlineStr">
        <is>
          <t>A 13982-2021</t>
        </is>
      </c>
      <c r="B127" s="1" t="n">
        <v>44277.57800925926</v>
      </c>
      <c r="C127" s="1" t="n">
        <v>46092</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46092</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46092</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2631-2022</t>
        </is>
      </c>
      <c r="B130" s="1" t="n">
        <v>44580</v>
      </c>
      <c r="C130" s="1" t="n">
        <v>46092</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46092</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46092</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46092</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46092</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46092</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46092</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46092</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46092</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47112-2021</t>
        </is>
      </c>
      <c r="B139" s="1" t="n">
        <v>44446</v>
      </c>
      <c r="C139" s="1" t="n">
        <v>46092</v>
      </c>
      <c r="D139" t="inlineStr">
        <is>
          <t>SKÅNE LÄN</t>
        </is>
      </c>
      <c r="E139" t="inlineStr">
        <is>
          <t>HÄSSLEHOLM</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46092</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46092</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46092</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74297-2021</t>
        </is>
      </c>
      <c r="B143" s="1" t="n">
        <v>44558</v>
      </c>
      <c r="C143" s="1" t="n">
        <v>46092</v>
      </c>
      <c r="D143" t="inlineStr">
        <is>
          <t>SKÅNE LÄN</t>
        </is>
      </c>
      <c r="E143" t="inlineStr">
        <is>
          <t>HÄSSLEHOLM</t>
        </is>
      </c>
      <c r="F143" t="inlineStr">
        <is>
          <t>Kyrkan</t>
        </is>
      </c>
      <c r="G143" t="n">
        <v>3.8</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46092</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46092</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46092</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46092</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46092</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46092</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46092</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46092</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46092</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46092</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46092</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46092</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46092</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46092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46092</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46092</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46092</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46092</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51893-2021</t>
        </is>
      </c>
      <c r="B162" s="1" t="n">
        <v>44462</v>
      </c>
      <c r="C162" s="1" t="n">
        <v>46092</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46092</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45357-2022</t>
        </is>
      </c>
      <c r="B164" s="1" t="n">
        <v>44844.61952546296</v>
      </c>
      <c r="C164" s="1" t="n">
        <v>46092</v>
      </c>
      <c r="D164" t="inlineStr">
        <is>
          <t>SKÅNE LÄN</t>
        </is>
      </c>
      <c r="E164" t="inlineStr">
        <is>
          <t>HÄSSLEHOLM</t>
        </is>
      </c>
      <c r="G164" t="n">
        <v>5.8</v>
      </c>
      <c r="H164" t="n">
        <v>0</v>
      </c>
      <c r="I164" t="n">
        <v>0</v>
      </c>
      <c r="J164" t="n">
        <v>0</v>
      </c>
      <c r="K164" t="n">
        <v>0</v>
      </c>
      <c r="L164" t="n">
        <v>0</v>
      </c>
      <c r="M164" t="n">
        <v>0</v>
      </c>
      <c r="N164" t="n">
        <v>0</v>
      </c>
      <c r="O164" t="n">
        <v>0</v>
      </c>
      <c r="P164" t="n">
        <v>0</v>
      </c>
      <c r="Q164" t="n">
        <v>0</v>
      </c>
      <c r="R164" s="2" t="inlineStr"/>
    </row>
    <row r="165" ht="15" customHeight="1">
      <c r="A165" t="inlineStr">
        <is>
          <t>A 45989-2021</t>
        </is>
      </c>
      <c r="B165" s="1" t="n">
        <v>44441.74627314815</v>
      </c>
      <c r="C165" s="1" t="n">
        <v>46092</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13811-2021</t>
        </is>
      </c>
      <c r="B166" s="1" t="n">
        <v>44276</v>
      </c>
      <c r="C166" s="1" t="n">
        <v>46092</v>
      </c>
      <c r="D166" t="inlineStr">
        <is>
          <t>SKÅNE LÄN</t>
        </is>
      </c>
      <c r="E166" t="inlineStr">
        <is>
          <t>HÄSSLEHOLM</t>
        </is>
      </c>
      <c r="G166" t="n">
        <v>8</v>
      </c>
      <c r="H166" t="n">
        <v>0</v>
      </c>
      <c r="I166" t="n">
        <v>0</v>
      </c>
      <c r="J166" t="n">
        <v>0</v>
      </c>
      <c r="K166" t="n">
        <v>0</v>
      </c>
      <c r="L166" t="n">
        <v>0</v>
      </c>
      <c r="M166" t="n">
        <v>0</v>
      </c>
      <c r="N166" t="n">
        <v>0</v>
      </c>
      <c r="O166" t="n">
        <v>0</v>
      </c>
      <c r="P166" t="n">
        <v>0</v>
      </c>
      <c r="Q166" t="n">
        <v>0</v>
      </c>
      <c r="R166" s="2" t="inlineStr"/>
    </row>
    <row r="167" ht="15" customHeight="1">
      <c r="A167" t="inlineStr">
        <is>
          <t>A 7904-2022</t>
        </is>
      </c>
      <c r="B167" s="1" t="n">
        <v>44607</v>
      </c>
      <c r="C167" s="1" t="n">
        <v>46092</v>
      </c>
      <c r="D167" t="inlineStr">
        <is>
          <t>SKÅNE LÄN</t>
        </is>
      </c>
      <c r="E167" t="inlineStr">
        <is>
          <t>HÄSSLEHOLM</t>
        </is>
      </c>
      <c r="F167" t="inlineStr">
        <is>
          <t>Kyrkan</t>
        </is>
      </c>
      <c r="G167" t="n">
        <v>3.9</v>
      </c>
      <c r="H167" t="n">
        <v>0</v>
      </c>
      <c r="I167" t="n">
        <v>0</v>
      </c>
      <c r="J167" t="n">
        <v>0</v>
      </c>
      <c r="K167" t="n">
        <v>0</v>
      </c>
      <c r="L167" t="n">
        <v>0</v>
      </c>
      <c r="M167" t="n">
        <v>0</v>
      </c>
      <c r="N167" t="n">
        <v>0</v>
      </c>
      <c r="O167" t="n">
        <v>0</v>
      </c>
      <c r="P167" t="n">
        <v>0</v>
      </c>
      <c r="Q167" t="n">
        <v>0</v>
      </c>
      <c r="R167" s="2" t="inlineStr"/>
    </row>
    <row r="168" ht="15" customHeight="1">
      <c r="A168" t="inlineStr">
        <is>
          <t>A 7250-2022</t>
        </is>
      </c>
      <c r="B168" s="1" t="n">
        <v>44606</v>
      </c>
      <c r="C168" s="1" t="n">
        <v>46092</v>
      </c>
      <c r="D168" t="inlineStr">
        <is>
          <t>SKÅNE LÄN</t>
        </is>
      </c>
      <c r="E168" t="inlineStr">
        <is>
          <t>HÄSSLEHOLM</t>
        </is>
      </c>
      <c r="F168" t="inlineStr">
        <is>
          <t>Övriga Aktiebolag</t>
        </is>
      </c>
      <c r="G168" t="n">
        <v>2.6</v>
      </c>
      <c r="H168" t="n">
        <v>0</v>
      </c>
      <c r="I168" t="n">
        <v>0</v>
      </c>
      <c r="J168" t="n">
        <v>0</v>
      </c>
      <c r="K168" t="n">
        <v>0</v>
      </c>
      <c r="L168" t="n">
        <v>0</v>
      </c>
      <c r="M168" t="n">
        <v>0</v>
      </c>
      <c r="N168" t="n">
        <v>0</v>
      </c>
      <c r="O168" t="n">
        <v>0</v>
      </c>
      <c r="P168" t="n">
        <v>0</v>
      </c>
      <c r="Q168" t="n">
        <v>0</v>
      </c>
      <c r="R168" s="2" t="inlineStr"/>
    </row>
    <row r="169" ht="15" customHeight="1">
      <c r="A169" t="inlineStr">
        <is>
          <t>A 51895-2021</t>
        </is>
      </c>
      <c r="B169" s="1" t="n">
        <v>44462</v>
      </c>
      <c r="C169" s="1" t="n">
        <v>46092</v>
      </c>
      <c r="D169" t="inlineStr">
        <is>
          <t>SKÅNE LÄN</t>
        </is>
      </c>
      <c r="E169" t="inlineStr">
        <is>
          <t>HÄSSLEHOLM</t>
        </is>
      </c>
      <c r="G169" t="n">
        <v>5.7</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46092</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6048-2022</t>
        </is>
      </c>
      <c r="B171" s="1" t="n">
        <v>44599.5174537037</v>
      </c>
      <c r="C171" s="1" t="n">
        <v>46092</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53576-2022</t>
        </is>
      </c>
      <c r="B172" s="1" t="n">
        <v>44875</v>
      </c>
      <c r="C172" s="1" t="n">
        <v>46092</v>
      </c>
      <c r="D172" t="inlineStr">
        <is>
          <t>SKÅNE LÄN</t>
        </is>
      </c>
      <c r="E172" t="inlineStr">
        <is>
          <t>HÄSSLEHOLM</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46092</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46092</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7262-2022</t>
        </is>
      </c>
      <c r="B175" s="1" t="n">
        <v>44606</v>
      </c>
      <c r="C175" s="1" t="n">
        <v>46092</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64826-2021</t>
        </is>
      </c>
      <c r="B176" s="1" t="n">
        <v>44512.55935185185</v>
      </c>
      <c r="C176" s="1" t="n">
        <v>46092</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23967-2022</t>
        </is>
      </c>
      <c r="B177" s="1" t="n">
        <v>44722.74079861111</v>
      </c>
      <c r="C177" s="1" t="n">
        <v>46092</v>
      </c>
      <c r="D177" t="inlineStr">
        <is>
          <t>SKÅNE LÄN</t>
        </is>
      </c>
      <c r="E177" t="inlineStr">
        <is>
          <t>HÄSSLEHOLM</t>
        </is>
      </c>
      <c r="F177" t="inlineStr">
        <is>
          <t>Kyrkan</t>
        </is>
      </c>
      <c r="G177" t="n">
        <v>12.4</v>
      </c>
      <c r="H177" t="n">
        <v>0</v>
      </c>
      <c r="I177" t="n">
        <v>0</v>
      </c>
      <c r="J177" t="n">
        <v>0</v>
      </c>
      <c r="K177" t="n">
        <v>0</v>
      </c>
      <c r="L177" t="n">
        <v>0</v>
      </c>
      <c r="M177" t="n">
        <v>0</v>
      </c>
      <c r="N177" t="n">
        <v>0</v>
      </c>
      <c r="O177" t="n">
        <v>0</v>
      </c>
      <c r="P177" t="n">
        <v>0</v>
      </c>
      <c r="Q177" t="n">
        <v>0</v>
      </c>
      <c r="R177" s="2" t="inlineStr"/>
    </row>
    <row r="178" ht="15" customHeight="1">
      <c r="A178" t="inlineStr">
        <is>
          <t>A 8177-2022</t>
        </is>
      </c>
      <c r="B178" s="1" t="n">
        <v>44607</v>
      </c>
      <c r="C178" s="1" t="n">
        <v>46092</v>
      </c>
      <c r="D178" t="inlineStr">
        <is>
          <t>SKÅNE LÄN</t>
        </is>
      </c>
      <c r="E178" t="inlineStr">
        <is>
          <t>HÄSSLEHOLM</t>
        </is>
      </c>
      <c r="F178" t="inlineStr">
        <is>
          <t>Kyrkan</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46092</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56527-2021</t>
        </is>
      </c>
      <c r="B180" s="1" t="n">
        <v>44480</v>
      </c>
      <c r="C180" s="1" t="n">
        <v>46092</v>
      </c>
      <c r="D180" t="inlineStr">
        <is>
          <t>SKÅNE LÄN</t>
        </is>
      </c>
      <c r="E180" t="inlineStr">
        <is>
          <t>HÄSSLEHOLM</t>
        </is>
      </c>
      <c r="F180" t="inlineStr">
        <is>
          <t>Kyrkan</t>
        </is>
      </c>
      <c r="G180" t="n">
        <v>2.7</v>
      </c>
      <c r="H180" t="n">
        <v>0</v>
      </c>
      <c r="I180" t="n">
        <v>0</v>
      </c>
      <c r="J180" t="n">
        <v>0</v>
      </c>
      <c r="K180" t="n">
        <v>0</v>
      </c>
      <c r="L180" t="n">
        <v>0</v>
      </c>
      <c r="M180" t="n">
        <v>0</v>
      </c>
      <c r="N180" t="n">
        <v>0</v>
      </c>
      <c r="O180" t="n">
        <v>0</v>
      </c>
      <c r="P180" t="n">
        <v>0</v>
      </c>
      <c r="Q180" t="n">
        <v>0</v>
      </c>
      <c r="R180" s="2" t="inlineStr"/>
    </row>
    <row r="181" ht="15" customHeight="1">
      <c r="A181" t="inlineStr">
        <is>
          <t>A 25788-2021</t>
        </is>
      </c>
      <c r="B181" s="1" t="n">
        <v>44343</v>
      </c>
      <c r="C181" s="1" t="n">
        <v>46092</v>
      </c>
      <c r="D181" t="inlineStr">
        <is>
          <t>SKÅNE LÄN</t>
        </is>
      </c>
      <c r="E181" t="inlineStr">
        <is>
          <t>HÄSSLEHOLM</t>
        </is>
      </c>
      <c r="G181" t="n">
        <v>4.8</v>
      </c>
      <c r="H181" t="n">
        <v>0</v>
      </c>
      <c r="I181" t="n">
        <v>0</v>
      </c>
      <c r="J181" t="n">
        <v>0</v>
      </c>
      <c r="K181" t="n">
        <v>0</v>
      </c>
      <c r="L181" t="n">
        <v>0</v>
      </c>
      <c r="M181" t="n">
        <v>0</v>
      </c>
      <c r="N181" t="n">
        <v>0</v>
      </c>
      <c r="O181" t="n">
        <v>0</v>
      </c>
      <c r="P181" t="n">
        <v>0</v>
      </c>
      <c r="Q181" t="n">
        <v>0</v>
      </c>
      <c r="R181" s="2" t="inlineStr"/>
    </row>
    <row r="182" ht="15" customHeight="1">
      <c r="A182" t="inlineStr">
        <is>
          <t>A 25955-2022</t>
        </is>
      </c>
      <c r="B182" s="1" t="n">
        <v>44734</v>
      </c>
      <c r="C182" s="1" t="n">
        <v>46092</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3992-2022</t>
        </is>
      </c>
      <c r="B183" s="1" t="n">
        <v>44587</v>
      </c>
      <c r="C183" s="1" t="n">
        <v>46092</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20657-2022</t>
        </is>
      </c>
      <c r="B184" s="1" t="n">
        <v>44700</v>
      </c>
      <c r="C184" s="1" t="n">
        <v>46092</v>
      </c>
      <c r="D184" t="inlineStr">
        <is>
          <t>SKÅNE LÄN</t>
        </is>
      </c>
      <c r="E184" t="inlineStr">
        <is>
          <t>HÄSSLEHOLM</t>
        </is>
      </c>
      <c r="G184" t="n">
        <v>3.8</v>
      </c>
      <c r="H184" t="n">
        <v>0</v>
      </c>
      <c r="I184" t="n">
        <v>0</v>
      </c>
      <c r="J184" t="n">
        <v>0</v>
      </c>
      <c r="K184" t="n">
        <v>0</v>
      </c>
      <c r="L184" t="n">
        <v>0</v>
      </c>
      <c r="M184" t="n">
        <v>0</v>
      </c>
      <c r="N184" t="n">
        <v>0</v>
      </c>
      <c r="O184" t="n">
        <v>0</v>
      </c>
      <c r="P184" t="n">
        <v>0</v>
      </c>
      <c r="Q184" t="n">
        <v>0</v>
      </c>
      <c r="R184" s="2" t="inlineStr"/>
    </row>
    <row r="185" ht="15" customHeight="1">
      <c r="A185" t="inlineStr">
        <is>
          <t>A 30344-2022</t>
        </is>
      </c>
      <c r="B185" s="1" t="n">
        <v>44760.50783564815</v>
      </c>
      <c r="C185" s="1" t="n">
        <v>46092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23950-2023</t>
        </is>
      </c>
      <c r="B186" s="1" t="n">
        <v>45078.61771990741</v>
      </c>
      <c r="C186" s="1" t="n">
        <v>46092</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23952-2023</t>
        </is>
      </c>
      <c r="B187" s="1" t="n">
        <v>45078.62064814815</v>
      </c>
      <c r="C187" s="1" t="n">
        <v>46092</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35974-2022</t>
        </is>
      </c>
      <c r="B188" s="1" t="n">
        <v>44802</v>
      </c>
      <c r="C188" s="1" t="n">
        <v>46092</v>
      </c>
      <c r="D188" t="inlineStr">
        <is>
          <t>SKÅNE LÄN</t>
        </is>
      </c>
      <c r="E188" t="inlineStr">
        <is>
          <t>HÄSSLEHOLM</t>
        </is>
      </c>
      <c r="G188" t="n">
        <v>3.8</v>
      </c>
      <c r="H188" t="n">
        <v>0</v>
      </c>
      <c r="I188" t="n">
        <v>0</v>
      </c>
      <c r="J188" t="n">
        <v>0</v>
      </c>
      <c r="K188" t="n">
        <v>0</v>
      </c>
      <c r="L188" t="n">
        <v>0</v>
      </c>
      <c r="M188" t="n">
        <v>0</v>
      </c>
      <c r="N188" t="n">
        <v>0</v>
      </c>
      <c r="O188" t="n">
        <v>0</v>
      </c>
      <c r="P188" t="n">
        <v>0</v>
      </c>
      <c r="Q188" t="n">
        <v>0</v>
      </c>
      <c r="R188" s="2" t="inlineStr"/>
    </row>
    <row r="189" ht="15" customHeight="1">
      <c r="A189" t="inlineStr">
        <is>
          <t>A 23956-2023</t>
        </is>
      </c>
      <c r="B189" s="1" t="n">
        <v>45078.62302083334</v>
      </c>
      <c r="C189" s="1" t="n">
        <v>46092</v>
      </c>
      <c r="D189" t="inlineStr">
        <is>
          <t>SKÅNE LÄN</t>
        </is>
      </c>
      <c r="E189" t="inlineStr">
        <is>
          <t>HÄSSLEHOLM</t>
        </is>
      </c>
      <c r="G189" t="n">
        <v>0.1</v>
      </c>
      <c r="H189" t="n">
        <v>0</v>
      </c>
      <c r="I189" t="n">
        <v>0</v>
      </c>
      <c r="J189" t="n">
        <v>0</v>
      </c>
      <c r="K189" t="n">
        <v>0</v>
      </c>
      <c r="L189" t="n">
        <v>0</v>
      </c>
      <c r="M189" t="n">
        <v>0</v>
      </c>
      <c r="N189" t="n">
        <v>0</v>
      </c>
      <c r="O189" t="n">
        <v>0</v>
      </c>
      <c r="P189" t="n">
        <v>0</v>
      </c>
      <c r="Q189" t="n">
        <v>0</v>
      </c>
      <c r="R189" s="2" t="inlineStr"/>
    </row>
    <row r="190" ht="15" customHeight="1">
      <c r="A190" t="inlineStr">
        <is>
          <t>A 3500-2024</t>
        </is>
      </c>
      <c r="B190" s="1" t="n">
        <v>45320</v>
      </c>
      <c r="C190" s="1" t="n">
        <v>46092</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1619-2022</t>
        </is>
      </c>
      <c r="B191" s="1" t="n">
        <v>44573</v>
      </c>
      <c r="C191" s="1" t="n">
        <v>46092</v>
      </c>
      <c r="D191" t="inlineStr">
        <is>
          <t>SKÅNE LÄN</t>
        </is>
      </c>
      <c r="E191" t="inlineStr">
        <is>
          <t>HÄSSLEHOLM</t>
        </is>
      </c>
      <c r="G191" t="n">
        <v>1.8</v>
      </c>
      <c r="H191" t="n">
        <v>0</v>
      </c>
      <c r="I191" t="n">
        <v>0</v>
      </c>
      <c r="J191" t="n">
        <v>0</v>
      </c>
      <c r="K191" t="n">
        <v>0</v>
      </c>
      <c r="L191" t="n">
        <v>0</v>
      </c>
      <c r="M191" t="n">
        <v>0</v>
      </c>
      <c r="N191" t="n">
        <v>0</v>
      </c>
      <c r="O191" t="n">
        <v>0</v>
      </c>
      <c r="P191" t="n">
        <v>0</v>
      </c>
      <c r="Q191" t="n">
        <v>0</v>
      </c>
      <c r="R191" s="2" t="inlineStr"/>
    </row>
    <row r="192" ht="15" customHeight="1">
      <c r="A192" t="inlineStr">
        <is>
          <t>A 58815-2023</t>
        </is>
      </c>
      <c r="B192" s="1" t="n">
        <v>45247</v>
      </c>
      <c r="C192" s="1" t="n">
        <v>46092</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41874-2024</t>
        </is>
      </c>
      <c r="B193" s="1" t="n">
        <v>45561</v>
      </c>
      <c r="C193" s="1" t="n">
        <v>46092</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33597-2023</t>
        </is>
      </c>
      <c r="B194" s="1" t="n">
        <v>45132</v>
      </c>
      <c r="C194" s="1" t="n">
        <v>46092</v>
      </c>
      <c r="D194" t="inlineStr">
        <is>
          <t>SKÅNE LÄN</t>
        </is>
      </c>
      <c r="E194" t="inlineStr">
        <is>
          <t>HÄSSLEHOLM</t>
        </is>
      </c>
      <c r="G194" t="n">
        <v>3.9</v>
      </c>
      <c r="H194" t="n">
        <v>0</v>
      </c>
      <c r="I194" t="n">
        <v>0</v>
      </c>
      <c r="J194" t="n">
        <v>0</v>
      </c>
      <c r="K194" t="n">
        <v>0</v>
      </c>
      <c r="L194" t="n">
        <v>0</v>
      </c>
      <c r="M194" t="n">
        <v>0</v>
      </c>
      <c r="N194" t="n">
        <v>0</v>
      </c>
      <c r="O194" t="n">
        <v>0</v>
      </c>
      <c r="P194" t="n">
        <v>0</v>
      </c>
      <c r="Q194" t="n">
        <v>0</v>
      </c>
      <c r="R194" s="2" t="inlineStr"/>
    </row>
    <row r="195" ht="15" customHeight="1">
      <c r="A195" t="inlineStr">
        <is>
          <t>A 33599-2023</t>
        </is>
      </c>
      <c r="B195" s="1" t="n">
        <v>45132</v>
      </c>
      <c r="C195" s="1" t="n">
        <v>46092</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27173-2024</t>
        </is>
      </c>
      <c r="B196" s="1" t="n">
        <v>45471.57048611111</v>
      </c>
      <c r="C196" s="1" t="n">
        <v>46092</v>
      </c>
      <c r="D196" t="inlineStr">
        <is>
          <t>SKÅNE LÄN</t>
        </is>
      </c>
      <c r="E196" t="inlineStr">
        <is>
          <t>HÄSSLEHOLM</t>
        </is>
      </c>
      <c r="G196" t="n">
        <v>1.8</v>
      </c>
      <c r="H196" t="n">
        <v>0</v>
      </c>
      <c r="I196" t="n">
        <v>0</v>
      </c>
      <c r="J196" t="n">
        <v>0</v>
      </c>
      <c r="K196" t="n">
        <v>0</v>
      </c>
      <c r="L196" t="n">
        <v>0</v>
      </c>
      <c r="M196" t="n">
        <v>0</v>
      </c>
      <c r="N196" t="n">
        <v>0</v>
      </c>
      <c r="O196" t="n">
        <v>0</v>
      </c>
      <c r="P196" t="n">
        <v>0</v>
      </c>
      <c r="Q196" t="n">
        <v>0</v>
      </c>
      <c r="R196" s="2" t="inlineStr"/>
    </row>
    <row r="197" ht="15" customHeight="1">
      <c r="A197" t="inlineStr">
        <is>
          <t>A 7890-2024</t>
        </is>
      </c>
      <c r="B197" s="1" t="n">
        <v>45350.40780092592</v>
      </c>
      <c r="C197" s="1" t="n">
        <v>46092</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55284-2023</t>
        </is>
      </c>
      <c r="B198" s="1" t="n">
        <v>45237.74259259259</v>
      </c>
      <c r="C198" s="1" t="n">
        <v>46092</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46092</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10020-2024</t>
        </is>
      </c>
      <c r="B200" s="1" t="n">
        <v>45363.96944444445</v>
      </c>
      <c r="C200" s="1" t="n">
        <v>46092</v>
      </c>
      <c r="D200" t="inlineStr">
        <is>
          <t>SKÅNE LÄN</t>
        </is>
      </c>
      <c r="E200" t="inlineStr">
        <is>
          <t>HÄSSLEHOLM</t>
        </is>
      </c>
      <c r="G200" t="n">
        <v>5.3</v>
      </c>
      <c r="H200" t="n">
        <v>0</v>
      </c>
      <c r="I200" t="n">
        <v>0</v>
      </c>
      <c r="J200" t="n">
        <v>0</v>
      </c>
      <c r="K200" t="n">
        <v>0</v>
      </c>
      <c r="L200" t="n">
        <v>0</v>
      </c>
      <c r="M200" t="n">
        <v>0</v>
      </c>
      <c r="N200" t="n">
        <v>0</v>
      </c>
      <c r="O200" t="n">
        <v>0</v>
      </c>
      <c r="P200" t="n">
        <v>0</v>
      </c>
      <c r="Q200" t="n">
        <v>0</v>
      </c>
      <c r="R200" s="2" t="inlineStr"/>
    </row>
    <row r="201" ht="15" customHeight="1">
      <c r="A201" t="inlineStr">
        <is>
          <t>A 14702-2025</t>
        </is>
      </c>
      <c r="B201" s="1" t="n">
        <v>45742.60403935185</v>
      </c>
      <c r="C201" s="1" t="n">
        <v>46092</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16388-2025</t>
        </is>
      </c>
      <c r="B202" s="1" t="n">
        <v>45751.42787037037</v>
      </c>
      <c r="C202" s="1" t="n">
        <v>46092</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24241-2023</t>
        </is>
      </c>
      <c r="B203" s="1" t="n">
        <v>45079.61476851852</v>
      </c>
      <c r="C203" s="1" t="n">
        <v>46092</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21310-2022</t>
        </is>
      </c>
      <c r="B204" s="1" t="n">
        <v>44705</v>
      </c>
      <c r="C204" s="1" t="n">
        <v>46092</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21867-2023</t>
        </is>
      </c>
      <c r="B205" s="1" t="n">
        <v>45063</v>
      </c>
      <c r="C205" s="1" t="n">
        <v>46092</v>
      </c>
      <c r="D205" t="inlineStr">
        <is>
          <t>SKÅNE LÄN</t>
        </is>
      </c>
      <c r="E205" t="inlineStr">
        <is>
          <t>HÄSSLEHOLM</t>
        </is>
      </c>
      <c r="G205" t="n">
        <v>7.6</v>
      </c>
      <c r="H205" t="n">
        <v>0</v>
      </c>
      <c r="I205" t="n">
        <v>0</v>
      </c>
      <c r="J205" t="n">
        <v>0</v>
      </c>
      <c r="K205" t="n">
        <v>0</v>
      </c>
      <c r="L205" t="n">
        <v>0</v>
      </c>
      <c r="M205" t="n">
        <v>0</v>
      </c>
      <c r="N205" t="n">
        <v>0</v>
      </c>
      <c r="O205" t="n">
        <v>0</v>
      </c>
      <c r="P205" t="n">
        <v>0</v>
      </c>
      <c r="Q205" t="n">
        <v>0</v>
      </c>
      <c r="R205" s="2" t="inlineStr"/>
    </row>
    <row r="206" ht="15" customHeight="1">
      <c r="A206" t="inlineStr">
        <is>
          <t>A 5284-2023</t>
        </is>
      </c>
      <c r="B206" s="1" t="n">
        <v>44959.50608796296</v>
      </c>
      <c r="C206" s="1" t="n">
        <v>46092</v>
      </c>
      <c r="D206" t="inlineStr">
        <is>
          <t>SKÅNE LÄN</t>
        </is>
      </c>
      <c r="E206" t="inlineStr">
        <is>
          <t>HÄSSLEHOLM</t>
        </is>
      </c>
      <c r="G206" t="n">
        <v>0.4</v>
      </c>
      <c r="H206" t="n">
        <v>0</v>
      </c>
      <c r="I206" t="n">
        <v>0</v>
      </c>
      <c r="J206" t="n">
        <v>0</v>
      </c>
      <c r="K206" t="n">
        <v>0</v>
      </c>
      <c r="L206" t="n">
        <v>0</v>
      </c>
      <c r="M206" t="n">
        <v>0</v>
      </c>
      <c r="N206" t="n">
        <v>0</v>
      </c>
      <c r="O206" t="n">
        <v>0</v>
      </c>
      <c r="P206" t="n">
        <v>0</v>
      </c>
      <c r="Q206" t="n">
        <v>0</v>
      </c>
      <c r="R206" s="2" t="inlineStr"/>
    </row>
    <row r="207" ht="15" customHeight="1">
      <c r="A207" t="inlineStr">
        <is>
          <t>A 5285-2023</t>
        </is>
      </c>
      <c r="B207" s="1" t="n">
        <v>44959.50783564815</v>
      </c>
      <c r="C207" s="1" t="n">
        <v>46092</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20566-2023</t>
        </is>
      </c>
      <c r="B208" s="1" t="n">
        <v>45057</v>
      </c>
      <c r="C208" s="1" t="n">
        <v>46092</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34886-2023</t>
        </is>
      </c>
      <c r="B209" s="1" t="n">
        <v>45142.38450231482</v>
      </c>
      <c r="C209" s="1" t="n">
        <v>46092</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2596-2024</t>
        </is>
      </c>
      <c r="B210" s="1" t="n">
        <v>45313.69969907407</v>
      </c>
      <c r="C210" s="1" t="n">
        <v>46092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34888-2023</t>
        </is>
      </c>
      <c r="B211" s="1" t="n">
        <v>45142.388125</v>
      </c>
      <c r="C211" s="1" t="n">
        <v>46092</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6842-2023</t>
        </is>
      </c>
      <c r="B212" s="1" t="n">
        <v>44967</v>
      </c>
      <c r="C212" s="1" t="n">
        <v>46092</v>
      </c>
      <c r="D212" t="inlineStr">
        <is>
          <t>SKÅNE LÄN</t>
        </is>
      </c>
      <c r="E212" t="inlineStr">
        <is>
          <t>HÄSSLEHOLM</t>
        </is>
      </c>
      <c r="G212" t="n">
        <v>1.9</v>
      </c>
      <c r="H212" t="n">
        <v>0</v>
      </c>
      <c r="I212" t="n">
        <v>0</v>
      </c>
      <c r="J212" t="n">
        <v>0</v>
      </c>
      <c r="K212" t="n">
        <v>0</v>
      </c>
      <c r="L212" t="n">
        <v>0</v>
      </c>
      <c r="M212" t="n">
        <v>0</v>
      </c>
      <c r="N212" t="n">
        <v>0</v>
      </c>
      <c r="O212" t="n">
        <v>0</v>
      </c>
      <c r="P212" t="n">
        <v>0</v>
      </c>
      <c r="Q212" t="n">
        <v>0</v>
      </c>
      <c r="R212" s="2" t="inlineStr"/>
    </row>
    <row r="213" ht="15" customHeight="1">
      <c r="A213" t="inlineStr">
        <is>
          <t>A 20666-2023</t>
        </is>
      </c>
      <c r="B213" s="1" t="n">
        <v>45058.35664351852</v>
      </c>
      <c r="C213" s="1" t="n">
        <v>46092</v>
      </c>
      <c r="D213" t="inlineStr">
        <is>
          <t>SKÅNE LÄN</t>
        </is>
      </c>
      <c r="E213" t="inlineStr">
        <is>
          <t>HÄSSLEHOLM</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70087-2021</t>
        </is>
      </c>
      <c r="B214" s="1" t="n">
        <v>44533</v>
      </c>
      <c r="C214" s="1" t="n">
        <v>46092</v>
      </c>
      <c r="D214" t="inlineStr">
        <is>
          <t>SKÅNE LÄN</t>
        </is>
      </c>
      <c r="E214" t="inlineStr">
        <is>
          <t>HÄSSLEHOLM</t>
        </is>
      </c>
      <c r="G214" t="n">
        <v>5</v>
      </c>
      <c r="H214" t="n">
        <v>0</v>
      </c>
      <c r="I214" t="n">
        <v>0</v>
      </c>
      <c r="J214" t="n">
        <v>0</v>
      </c>
      <c r="K214" t="n">
        <v>0</v>
      </c>
      <c r="L214" t="n">
        <v>0</v>
      </c>
      <c r="M214" t="n">
        <v>0</v>
      </c>
      <c r="N214" t="n">
        <v>0</v>
      </c>
      <c r="O214" t="n">
        <v>0</v>
      </c>
      <c r="P214" t="n">
        <v>0</v>
      </c>
      <c r="Q214" t="n">
        <v>0</v>
      </c>
      <c r="R214" s="2" t="inlineStr"/>
    </row>
    <row r="215" ht="15" customHeight="1">
      <c r="A215" t="inlineStr">
        <is>
          <t>A 48747-2022</t>
        </is>
      </c>
      <c r="B215" s="1" t="n">
        <v>44859</v>
      </c>
      <c r="C215" s="1" t="n">
        <v>46092</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59028-2023</t>
        </is>
      </c>
      <c r="B216" s="1" t="n">
        <v>45252.67900462963</v>
      </c>
      <c r="C216" s="1" t="n">
        <v>46092</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54435-2024</t>
        </is>
      </c>
      <c r="B217" s="1" t="n">
        <v>45617.49494212963</v>
      </c>
      <c r="C217" s="1" t="n">
        <v>46092</v>
      </c>
      <c r="D217" t="inlineStr">
        <is>
          <t>SKÅNE LÄN</t>
        </is>
      </c>
      <c r="E217" t="inlineStr">
        <is>
          <t>HÄSSLEHOLM</t>
        </is>
      </c>
      <c r="G217" t="n">
        <v>2.3</v>
      </c>
      <c r="H217" t="n">
        <v>0</v>
      </c>
      <c r="I217" t="n">
        <v>0</v>
      </c>
      <c r="J217" t="n">
        <v>0</v>
      </c>
      <c r="K217" t="n">
        <v>0</v>
      </c>
      <c r="L217" t="n">
        <v>0</v>
      </c>
      <c r="M217" t="n">
        <v>0</v>
      </c>
      <c r="N217" t="n">
        <v>0</v>
      </c>
      <c r="O217" t="n">
        <v>0</v>
      </c>
      <c r="P217" t="n">
        <v>0</v>
      </c>
      <c r="Q217" t="n">
        <v>0</v>
      </c>
      <c r="R217" s="2" t="inlineStr"/>
    </row>
    <row r="218" ht="15" customHeight="1">
      <c r="A218" t="inlineStr">
        <is>
          <t>A 58886-2024</t>
        </is>
      </c>
      <c r="B218" s="1" t="n">
        <v>45636.45380787037</v>
      </c>
      <c r="C218" s="1" t="n">
        <v>46092</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13087-2023</t>
        </is>
      </c>
      <c r="B219" s="1" t="n">
        <v>45001</v>
      </c>
      <c r="C219" s="1" t="n">
        <v>46092</v>
      </c>
      <c r="D219" t="inlineStr">
        <is>
          <t>SKÅNE LÄN</t>
        </is>
      </c>
      <c r="E219" t="inlineStr">
        <is>
          <t>HÄSSLEHOLM</t>
        </is>
      </c>
      <c r="G219" t="n">
        <v>3.8</v>
      </c>
      <c r="H219" t="n">
        <v>0</v>
      </c>
      <c r="I219" t="n">
        <v>0</v>
      </c>
      <c r="J219" t="n">
        <v>0</v>
      </c>
      <c r="K219" t="n">
        <v>0</v>
      </c>
      <c r="L219" t="n">
        <v>0</v>
      </c>
      <c r="M219" t="n">
        <v>0</v>
      </c>
      <c r="N219" t="n">
        <v>0</v>
      </c>
      <c r="O219" t="n">
        <v>0</v>
      </c>
      <c r="P219" t="n">
        <v>0</v>
      </c>
      <c r="Q219" t="n">
        <v>0</v>
      </c>
      <c r="R219" s="2" t="inlineStr"/>
    </row>
    <row r="220" ht="15" customHeight="1">
      <c r="A220" t="inlineStr">
        <is>
          <t>A 8250-2023</t>
        </is>
      </c>
      <c r="B220" s="1" t="n">
        <v>44974</v>
      </c>
      <c r="C220" s="1" t="n">
        <v>46092</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57079-2022</t>
        </is>
      </c>
      <c r="B221" s="1" t="n">
        <v>44895</v>
      </c>
      <c r="C221" s="1" t="n">
        <v>46092</v>
      </c>
      <c r="D221" t="inlineStr">
        <is>
          <t>SKÅNE LÄN</t>
        </is>
      </c>
      <c r="E221" t="inlineStr">
        <is>
          <t>HÄSSLEHOLM</t>
        </is>
      </c>
      <c r="G221" t="n">
        <v>2.6</v>
      </c>
      <c r="H221" t="n">
        <v>0</v>
      </c>
      <c r="I221" t="n">
        <v>0</v>
      </c>
      <c r="J221" t="n">
        <v>0</v>
      </c>
      <c r="K221" t="n">
        <v>0</v>
      </c>
      <c r="L221" t="n">
        <v>0</v>
      </c>
      <c r="M221" t="n">
        <v>0</v>
      </c>
      <c r="N221" t="n">
        <v>0</v>
      </c>
      <c r="O221" t="n">
        <v>0</v>
      </c>
      <c r="P221" t="n">
        <v>0</v>
      </c>
      <c r="Q221" t="n">
        <v>0</v>
      </c>
      <c r="R221" s="2" t="inlineStr"/>
    </row>
    <row r="222" ht="15" customHeight="1">
      <c r="A222" t="inlineStr">
        <is>
          <t>A 50899-2024</t>
        </is>
      </c>
      <c r="B222" s="1" t="n">
        <v>45602.68584490741</v>
      </c>
      <c r="C222" s="1" t="n">
        <v>46092</v>
      </c>
      <c r="D222" t="inlineStr">
        <is>
          <t>SKÅNE LÄN</t>
        </is>
      </c>
      <c r="E222" t="inlineStr">
        <is>
          <t>HÄSSLEHOLM</t>
        </is>
      </c>
      <c r="G222" t="n">
        <v>1.7</v>
      </c>
      <c r="H222" t="n">
        <v>0</v>
      </c>
      <c r="I222" t="n">
        <v>0</v>
      </c>
      <c r="J222" t="n">
        <v>0</v>
      </c>
      <c r="K222" t="n">
        <v>0</v>
      </c>
      <c r="L222" t="n">
        <v>0</v>
      </c>
      <c r="M222" t="n">
        <v>0</v>
      </c>
      <c r="N222" t="n">
        <v>0</v>
      </c>
      <c r="O222" t="n">
        <v>0</v>
      </c>
      <c r="P222" t="n">
        <v>0</v>
      </c>
      <c r="Q222" t="n">
        <v>0</v>
      </c>
      <c r="R222" s="2" t="inlineStr"/>
    </row>
    <row r="223" ht="15" customHeight="1">
      <c r="A223" t="inlineStr">
        <is>
          <t>A 15698-2023</t>
        </is>
      </c>
      <c r="B223" s="1" t="n">
        <v>45021</v>
      </c>
      <c r="C223" s="1" t="n">
        <v>46092</v>
      </c>
      <c r="D223" t="inlineStr">
        <is>
          <t>SKÅNE LÄN</t>
        </is>
      </c>
      <c r="E223" t="inlineStr">
        <is>
          <t>HÄSSLEHOLM</t>
        </is>
      </c>
      <c r="F223" t="inlineStr">
        <is>
          <t>Kommuner</t>
        </is>
      </c>
      <c r="G223" t="n">
        <v>5.5</v>
      </c>
      <c r="H223" t="n">
        <v>0</v>
      </c>
      <c r="I223" t="n">
        <v>0</v>
      </c>
      <c r="J223" t="n">
        <v>0</v>
      </c>
      <c r="K223" t="n">
        <v>0</v>
      </c>
      <c r="L223" t="n">
        <v>0</v>
      </c>
      <c r="M223" t="n">
        <v>0</v>
      </c>
      <c r="N223" t="n">
        <v>0</v>
      </c>
      <c r="O223" t="n">
        <v>0</v>
      </c>
      <c r="P223" t="n">
        <v>0</v>
      </c>
      <c r="Q223" t="n">
        <v>0</v>
      </c>
      <c r="R223" s="2" t="inlineStr"/>
    </row>
    <row r="224" ht="15" customHeight="1">
      <c r="A224" t="inlineStr">
        <is>
          <t>A 49107-2023</t>
        </is>
      </c>
      <c r="B224" s="1" t="n">
        <v>45210.44337962963</v>
      </c>
      <c r="C224" s="1" t="n">
        <v>46092</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53466-2024</t>
        </is>
      </c>
      <c r="B225" s="1" t="n">
        <v>45614.55304398148</v>
      </c>
      <c r="C225" s="1" t="n">
        <v>46092</v>
      </c>
      <c r="D225" t="inlineStr">
        <is>
          <t>SKÅNE LÄN</t>
        </is>
      </c>
      <c r="E225" t="inlineStr">
        <is>
          <t>HÄSSLEHOLM</t>
        </is>
      </c>
      <c r="G225" t="n">
        <v>1.3</v>
      </c>
      <c r="H225" t="n">
        <v>0</v>
      </c>
      <c r="I225" t="n">
        <v>0</v>
      </c>
      <c r="J225" t="n">
        <v>0</v>
      </c>
      <c r="K225" t="n">
        <v>0</v>
      </c>
      <c r="L225" t="n">
        <v>0</v>
      </c>
      <c r="M225" t="n">
        <v>0</v>
      </c>
      <c r="N225" t="n">
        <v>0</v>
      </c>
      <c r="O225" t="n">
        <v>0</v>
      </c>
      <c r="P225" t="n">
        <v>0</v>
      </c>
      <c r="Q225" t="n">
        <v>0</v>
      </c>
      <c r="R225" s="2" t="inlineStr"/>
    </row>
    <row r="226" ht="15" customHeight="1">
      <c r="A226" t="inlineStr">
        <is>
          <t>A 61533-2024</t>
        </is>
      </c>
      <c r="B226" s="1" t="n">
        <v>45646</v>
      </c>
      <c r="C226" s="1" t="n">
        <v>46092</v>
      </c>
      <c r="D226" t="inlineStr">
        <is>
          <t>SKÅNE LÄN</t>
        </is>
      </c>
      <c r="E226" t="inlineStr">
        <is>
          <t>HÄSSLEHOLM</t>
        </is>
      </c>
      <c r="G226" t="n">
        <v>4.5</v>
      </c>
      <c r="H226" t="n">
        <v>0</v>
      </c>
      <c r="I226" t="n">
        <v>0</v>
      </c>
      <c r="J226" t="n">
        <v>0</v>
      </c>
      <c r="K226" t="n">
        <v>0</v>
      </c>
      <c r="L226" t="n">
        <v>0</v>
      </c>
      <c r="M226" t="n">
        <v>0</v>
      </c>
      <c r="N226" t="n">
        <v>0</v>
      </c>
      <c r="O226" t="n">
        <v>0</v>
      </c>
      <c r="P226" t="n">
        <v>0</v>
      </c>
      <c r="Q226" t="n">
        <v>0</v>
      </c>
      <c r="R226" s="2" t="inlineStr"/>
    </row>
    <row r="227" ht="15" customHeight="1">
      <c r="A227" t="inlineStr">
        <is>
          <t>A 19735-2023</t>
        </is>
      </c>
      <c r="B227" s="1" t="n">
        <v>45051.52199074074</v>
      </c>
      <c r="C227" s="1" t="n">
        <v>46092</v>
      </c>
      <c r="D227" t="inlineStr">
        <is>
          <t>SKÅNE LÄN</t>
        </is>
      </c>
      <c r="E227" t="inlineStr">
        <is>
          <t>HÄSSLEHOLM</t>
        </is>
      </c>
      <c r="G227" t="n">
        <v>4</v>
      </c>
      <c r="H227" t="n">
        <v>0</v>
      </c>
      <c r="I227" t="n">
        <v>0</v>
      </c>
      <c r="J227" t="n">
        <v>0</v>
      </c>
      <c r="K227" t="n">
        <v>0</v>
      </c>
      <c r="L227" t="n">
        <v>0</v>
      </c>
      <c r="M227" t="n">
        <v>0</v>
      </c>
      <c r="N227" t="n">
        <v>0</v>
      </c>
      <c r="O227" t="n">
        <v>0</v>
      </c>
      <c r="P227" t="n">
        <v>0</v>
      </c>
      <c r="Q227" t="n">
        <v>0</v>
      </c>
      <c r="R227" s="2" t="inlineStr"/>
    </row>
    <row r="228" ht="15" customHeight="1">
      <c r="A228" t="inlineStr">
        <is>
          <t>A 2490-2024</t>
        </is>
      </c>
      <c r="B228" s="1" t="n">
        <v>45313.43649305555</v>
      </c>
      <c r="C228" s="1" t="n">
        <v>46092</v>
      </c>
      <c r="D228" t="inlineStr">
        <is>
          <t>SKÅNE LÄN</t>
        </is>
      </c>
      <c r="E228" t="inlineStr">
        <is>
          <t>HÄSSLEHOLM</t>
        </is>
      </c>
      <c r="G228" t="n">
        <v>4</v>
      </c>
      <c r="H228" t="n">
        <v>0</v>
      </c>
      <c r="I228" t="n">
        <v>0</v>
      </c>
      <c r="J228" t="n">
        <v>0</v>
      </c>
      <c r="K228" t="n">
        <v>0</v>
      </c>
      <c r="L228" t="n">
        <v>0</v>
      </c>
      <c r="M228" t="n">
        <v>0</v>
      </c>
      <c r="N228" t="n">
        <v>0</v>
      </c>
      <c r="O228" t="n">
        <v>0</v>
      </c>
      <c r="P228" t="n">
        <v>0</v>
      </c>
      <c r="Q228" t="n">
        <v>0</v>
      </c>
      <c r="R228" s="2" t="inlineStr"/>
    </row>
    <row r="229" ht="15" customHeight="1">
      <c r="A229" t="inlineStr">
        <is>
          <t>A 61537-2024</t>
        </is>
      </c>
      <c r="B229" s="1" t="n">
        <v>45646</v>
      </c>
      <c r="C229" s="1" t="n">
        <v>46092</v>
      </c>
      <c r="D229" t="inlineStr">
        <is>
          <t>SKÅNE LÄN</t>
        </is>
      </c>
      <c r="E229" t="inlineStr">
        <is>
          <t>HÄSSLEHOLM</t>
        </is>
      </c>
      <c r="G229" t="n">
        <v>3.7</v>
      </c>
      <c r="H229" t="n">
        <v>0</v>
      </c>
      <c r="I229" t="n">
        <v>0</v>
      </c>
      <c r="J229" t="n">
        <v>0</v>
      </c>
      <c r="K229" t="n">
        <v>0</v>
      </c>
      <c r="L229" t="n">
        <v>0</v>
      </c>
      <c r="M229" t="n">
        <v>0</v>
      </c>
      <c r="N229" t="n">
        <v>0</v>
      </c>
      <c r="O229" t="n">
        <v>0</v>
      </c>
      <c r="P229" t="n">
        <v>0</v>
      </c>
      <c r="Q229" t="n">
        <v>0</v>
      </c>
      <c r="R229" s="2" t="inlineStr"/>
    </row>
    <row r="230" ht="15" customHeight="1">
      <c r="A230" t="inlineStr">
        <is>
          <t>A 13198-2025</t>
        </is>
      </c>
      <c r="B230" s="1" t="n">
        <v>45735</v>
      </c>
      <c r="C230" s="1" t="n">
        <v>46092</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9239-2025</t>
        </is>
      </c>
      <c r="B231" s="1" t="n">
        <v>45714</v>
      </c>
      <c r="C231" s="1" t="n">
        <v>46092</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34890-2023</t>
        </is>
      </c>
      <c r="B232" s="1" t="n">
        <v>45142.39475694444</v>
      </c>
      <c r="C232" s="1" t="n">
        <v>46092</v>
      </c>
      <c r="D232" t="inlineStr">
        <is>
          <t>SKÅNE LÄN</t>
        </is>
      </c>
      <c r="E232" t="inlineStr">
        <is>
          <t>HÄSSLEHOLM</t>
        </is>
      </c>
      <c r="G232" t="n">
        <v>4</v>
      </c>
      <c r="H232" t="n">
        <v>0</v>
      </c>
      <c r="I232" t="n">
        <v>0</v>
      </c>
      <c r="J232" t="n">
        <v>0</v>
      </c>
      <c r="K232" t="n">
        <v>0</v>
      </c>
      <c r="L232" t="n">
        <v>0</v>
      </c>
      <c r="M232" t="n">
        <v>0</v>
      </c>
      <c r="N232" t="n">
        <v>0</v>
      </c>
      <c r="O232" t="n">
        <v>0</v>
      </c>
      <c r="P232" t="n">
        <v>0</v>
      </c>
      <c r="Q232" t="n">
        <v>0</v>
      </c>
      <c r="R232" s="2" t="inlineStr"/>
    </row>
    <row r="233" ht="15" customHeight="1">
      <c r="A233" t="inlineStr">
        <is>
          <t>A 22024-2025</t>
        </is>
      </c>
      <c r="B233" s="1" t="n">
        <v>45784.85322916666</v>
      </c>
      <c r="C233" s="1" t="n">
        <v>46092</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65235-2021</t>
        </is>
      </c>
      <c r="B234" s="1" t="n">
        <v>44515</v>
      </c>
      <c r="C234" s="1" t="n">
        <v>46092</v>
      </c>
      <c r="D234" t="inlineStr">
        <is>
          <t>SKÅNE LÄN</t>
        </is>
      </c>
      <c r="E234" t="inlineStr">
        <is>
          <t>HÄSSLEHOLM</t>
        </is>
      </c>
      <c r="G234" t="n">
        <v>2.5</v>
      </c>
      <c r="H234" t="n">
        <v>0</v>
      </c>
      <c r="I234" t="n">
        <v>0</v>
      </c>
      <c r="J234" t="n">
        <v>0</v>
      </c>
      <c r="K234" t="n">
        <v>0</v>
      </c>
      <c r="L234" t="n">
        <v>0</v>
      </c>
      <c r="M234" t="n">
        <v>0</v>
      </c>
      <c r="N234" t="n">
        <v>0</v>
      </c>
      <c r="O234" t="n">
        <v>0</v>
      </c>
      <c r="P234" t="n">
        <v>0</v>
      </c>
      <c r="Q234" t="n">
        <v>0</v>
      </c>
      <c r="R234" s="2" t="inlineStr"/>
    </row>
    <row r="235" ht="15" customHeight="1">
      <c r="A235" t="inlineStr">
        <is>
          <t>A 13549-2025</t>
        </is>
      </c>
      <c r="B235" s="1" t="n">
        <v>45736</v>
      </c>
      <c r="C235" s="1" t="n">
        <v>46092</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51245-2023</t>
        </is>
      </c>
      <c r="B236" s="1" t="n">
        <v>45212</v>
      </c>
      <c r="C236" s="1" t="n">
        <v>46092</v>
      </c>
      <c r="D236" t="inlineStr">
        <is>
          <t>SKÅNE LÄN</t>
        </is>
      </c>
      <c r="E236" t="inlineStr">
        <is>
          <t>HÄSSLEHOLM</t>
        </is>
      </c>
      <c r="G236" t="n">
        <v>2.1</v>
      </c>
      <c r="H236" t="n">
        <v>0</v>
      </c>
      <c r="I236" t="n">
        <v>0</v>
      </c>
      <c r="J236" t="n">
        <v>0</v>
      </c>
      <c r="K236" t="n">
        <v>0</v>
      </c>
      <c r="L236" t="n">
        <v>0</v>
      </c>
      <c r="M236" t="n">
        <v>0</v>
      </c>
      <c r="N236" t="n">
        <v>0</v>
      </c>
      <c r="O236" t="n">
        <v>0</v>
      </c>
      <c r="P236" t="n">
        <v>0</v>
      </c>
      <c r="Q236" t="n">
        <v>0</v>
      </c>
      <c r="R236" s="2" t="inlineStr"/>
    </row>
    <row r="237" ht="15" customHeight="1">
      <c r="A237" t="inlineStr">
        <is>
          <t>A 20006-2025</t>
        </is>
      </c>
      <c r="B237" s="1" t="n">
        <v>45772.05032407407</v>
      </c>
      <c r="C237" s="1" t="n">
        <v>46092</v>
      </c>
      <c r="D237" t="inlineStr">
        <is>
          <t>SKÅNE LÄN</t>
        </is>
      </c>
      <c r="E237" t="inlineStr">
        <is>
          <t>HÄSSLEHOLM</t>
        </is>
      </c>
      <c r="G237" t="n">
        <v>3.9</v>
      </c>
      <c r="H237" t="n">
        <v>0</v>
      </c>
      <c r="I237" t="n">
        <v>0</v>
      </c>
      <c r="J237" t="n">
        <v>0</v>
      </c>
      <c r="K237" t="n">
        <v>0</v>
      </c>
      <c r="L237" t="n">
        <v>0</v>
      </c>
      <c r="M237" t="n">
        <v>0</v>
      </c>
      <c r="N237" t="n">
        <v>0</v>
      </c>
      <c r="O237" t="n">
        <v>0</v>
      </c>
      <c r="P237" t="n">
        <v>0</v>
      </c>
      <c r="Q237" t="n">
        <v>0</v>
      </c>
      <c r="R237" s="2" t="inlineStr"/>
    </row>
    <row r="238" ht="15" customHeight="1">
      <c r="A238" t="inlineStr">
        <is>
          <t>A 56735-2024</t>
        </is>
      </c>
      <c r="B238" s="1" t="n">
        <v>45628.36234953703</v>
      </c>
      <c r="C238" s="1" t="n">
        <v>46092</v>
      </c>
      <c r="D238" t="inlineStr">
        <is>
          <t>SKÅNE LÄN</t>
        </is>
      </c>
      <c r="E238" t="inlineStr">
        <is>
          <t>HÄSSLEHOLM</t>
        </is>
      </c>
      <c r="G238" t="n">
        <v>0.7</v>
      </c>
      <c r="H238" t="n">
        <v>0</v>
      </c>
      <c r="I238" t="n">
        <v>0</v>
      </c>
      <c r="J238" t="n">
        <v>0</v>
      </c>
      <c r="K238" t="n">
        <v>0</v>
      </c>
      <c r="L238" t="n">
        <v>0</v>
      </c>
      <c r="M238" t="n">
        <v>0</v>
      </c>
      <c r="N238" t="n">
        <v>0</v>
      </c>
      <c r="O238" t="n">
        <v>0</v>
      </c>
      <c r="P238" t="n">
        <v>0</v>
      </c>
      <c r="Q238" t="n">
        <v>0</v>
      </c>
      <c r="R238" s="2" t="inlineStr"/>
    </row>
    <row r="239" ht="15" customHeight="1">
      <c r="A239" t="inlineStr">
        <is>
          <t>A 29844-2024</t>
        </is>
      </c>
      <c r="B239" s="1" t="n">
        <v>45485</v>
      </c>
      <c r="C239" s="1" t="n">
        <v>46092</v>
      </c>
      <c r="D239" t="inlineStr">
        <is>
          <t>SKÅNE LÄN</t>
        </is>
      </c>
      <c r="E239" t="inlineStr">
        <is>
          <t>HÄSSLEHOLM</t>
        </is>
      </c>
      <c r="G239" t="n">
        <v>1.9</v>
      </c>
      <c r="H239" t="n">
        <v>0</v>
      </c>
      <c r="I239" t="n">
        <v>0</v>
      </c>
      <c r="J239" t="n">
        <v>0</v>
      </c>
      <c r="K239" t="n">
        <v>0</v>
      </c>
      <c r="L239" t="n">
        <v>0</v>
      </c>
      <c r="M239" t="n">
        <v>0</v>
      </c>
      <c r="N239" t="n">
        <v>0</v>
      </c>
      <c r="O239" t="n">
        <v>0</v>
      </c>
      <c r="P239" t="n">
        <v>0</v>
      </c>
      <c r="Q239" t="n">
        <v>0</v>
      </c>
      <c r="R239" s="2" t="inlineStr"/>
    </row>
    <row r="240" ht="15" customHeight="1">
      <c r="A240" t="inlineStr">
        <is>
          <t>A 50616-2023</t>
        </is>
      </c>
      <c r="B240" s="1" t="n">
        <v>45210</v>
      </c>
      <c r="C240" s="1" t="n">
        <v>46092</v>
      </c>
      <c r="D240" t="inlineStr">
        <is>
          <t>SKÅNE LÄN</t>
        </is>
      </c>
      <c r="E240" t="inlineStr">
        <is>
          <t>HÄSSLEHOLM</t>
        </is>
      </c>
      <c r="G240" t="n">
        <v>1.1</v>
      </c>
      <c r="H240" t="n">
        <v>0</v>
      </c>
      <c r="I240" t="n">
        <v>0</v>
      </c>
      <c r="J240" t="n">
        <v>0</v>
      </c>
      <c r="K240" t="n">
        <v>0</v>
      </c>
      <c r="L240" t="n">
        <v>0</v>
      </c>
      <c r="M240" t="n">
        <v>0</v>
      </c>
      <c r="N240" t="n">
        <v>0</v>
      </c>
      <c r="O240" t="n">
        <v>0</v>
      </c>
      <c r="P240" t="n">
        <v>0</v>
      </c>
      <c r="Q240" t="n">
        <v>0</v>
      </c>
      <c r="R240" s="2" t="inlineStr"/>
    </row>
    <row r="241" ht="15" customHeight="1">
      <c r="A241" t="inlineStr">
        <is>
          <t>A 45361-2023</t>
        </is>
      </c>
      <c r="B241" s="1" t="n">
        <v>45192.49068287037</v>
      </c>
      <c r="C241" s="1" t="n">
        <v>46092</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31934-2024</t>
        </is>
      </c>
      <c r="B242" s="1" t="n">
        <v>45510.41177083334</v>
      </c>
      <c r="C242" s="1" t="n">
        <v>46092</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55662-2022</t>
        </is>
      </c>
      <c r="B243" s="1" t="n">
        <v>44883</v>
      </c>
      <c r="C243" s="1" t="n">
        <v>46092</v>
      </c>
      <c r="D243" t="inlineStr">
        <is>
          <t>SKÅNE LÄN</t>
        </is>
      </c>
      <c r="E243" t="inlineStr">
        <is>
          <t>HÄSSLEHOLM</t>
        </is>
      </c>
      <c r="F243" t="inlineStr">
        <is>
          <t>Övriga Aktiebolag</t>
        </is>
      </c>
      <c r="G243" t="n">
        <v>2.6</v>
      </c>
      <c r="H243" t="n">
        <v>0</v>
      </c>
      <c r="I243" t="n">
        <v>0</v>
      </c>
      <c r="J243" t="n">
        <v>0</v>
      </c>
      <c r="K243" t="n">
        <v>0</v>
      </c>
      <c r="L243" t="n">
        <v>0</v>
      </c>
      <c r="M243" t="n">
        <v>0</v>
      </c>
      <c r="N243" t="n">
        <v>0</v>
      </c>
      <c r="O243" t="n">
        <v>0</v>
      </c>
      <c r="P243" t="n">
        <v>0</v>
      </c>
      <c r="Q243" t="n">
        <v>0</v>
      </c>
      <c r="R243" s="2" t="inlineStr"/>
    </row>
    <row r="244" ht="15" customHeight="1">
      <c r="A244" t="inlineStr">
        <is>
          <t>A 3886-2024</t>
        </is>
      </c>
      <c r="B244" s="1" t="n">
        <v>45322.44539351852</v>
      </c>
      <c r="C244" s="1" t="n">
        <v>46092</v>
      </c>
      <c r="D244" t="inlineStr">
        <is>
          <t>SKÅNE LÄN</t>
        </is>
      </c>
      <c r="E244" t="inlineStr">
        <is>
          <t>HÄSSLEHOLM</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9924-2025</t>
        </is>
      </c>
      <c r="B245" s="1" t="n">
        <v>45717.72505787037</v>
      </c>
      <c r="C245" s="1" t="n">
        <v>46092</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22587-2025</t>
        </is>
      </c>
      <c r="B246" s="1" t="n">
        <v>45789.39974537037</v>
      </c>
      <c r="C246" s="1" t="n">
        <v>46092</v>
      </c>
      <c r="D246" t="inlineStr">
        <is>
          <t>SKÅNE LÄN</t>
        </is>
      </c>
      <c r="E246" t="inlineStr">
        <is>
          <t>HÄSSLEHOLM</t>
        </is>
      </c>
      <c r="G246" t="n">
        <v>5.7</v>
      </c>
      <c r="H246" t="n">
        <v>0</v>
      </c>
      <c r="I246" t="n">
        <v>0</v>
      </c>
      <c r="J246" t="n">
        <v>0</v>
      </c>
      <c r="K246" t="n">
        <v>0</v>
      </c>
      <c r="L246" t="n">
        <v>0</v>
      </c>
      <c r="M246" t="n">
        <v>0</v>
      </c>
      <c r="N246" t="n">
        <v>0</v>
      </c>
      <c r="O246" t="n">
        <v>0</v>
      </c>
      <c r="P246" t="n">
        <v>0</v>
      </c>
      <c r="Q246" t="n">
        <v>0</v>
      </c>
      <c r="R246" s="2" t="inlineStr"/>
    </row>
    <row r="247" ht="15" customHeight="1">
      <c r="A247" t="inlineStr">
        <is>
          <t>A 59429-2023</t>
        </is>
      </c>
      <c r="B247" s="1" t="n">
        <v>45254.2875</v>
      </c>
      <c r="C247" s="1" t="n">
        <v>46092</v>
      </c>
      <c r="D247" t="inlineStr">
        <is>
          <t>SKÅNE LÄN</t>
        </is>
      </c>
      <c r="E247" t="inlineStr">
        <is>
          <t>HÄSSLEHOLM</t>
        </is>
      </c>
      <c r="G247" t="n">
        <v>0</v>
      </c>
      <c r="H247" t="n">
        <v>0</v>
      </c>
      <c r="I247" t="n">
        <v>0</v>
      </c>
      <c r="J247" t="n">
        <v>0</v>
      </c>
      <c r="K247" t="n">
        <v>0</v>
      </c>
      <c r="L247" t="n">
        <v>0</v>
      </c>
      <c r="M247" t="n">
        <v>0</v>
      </c>
      <c r="N247" t="n">
        <v>0</v>
      </c>
      <c r="O247" t="n">
        <v>0</v>
      </c>
      <c r="P247" t="n">
        <v>0</v>
      </c>
      <c r="Q247" t="n">
        <v>0</v>
      </c>
      <c r="R247" s="2" t="inlineStr"/>
    </row>
    <row r="248" ht="15" customHeight="1">
      <c r="A248" t="inlineStr">
        <is>
          <t>A 60920-2024</t>
        </is>
      </c>
      <c r="B248" s="1" t="n">
        <v>45645.34442129629</v>
      </c>
      <c r="C248" s="1" t="n">
        <v>46092</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40536-2024</t>
        </is>
      </c>
      <c r="B249" s="1" t="n">
        <v>45555.61314814815</v>
      </c>
      <c r="C249" s="1" t="n">
        <v>46092</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56386-2023</t>
        </is>
      </c>
      <c r="B250" s="1" t="n">
        <v>45243</v>
      </c>
      <c r="C250" s="1" t="n">
        <v>46092</v>
      </c>
      <c r="D250" t="inlineStr">
        <is>
          <t>SKÅNE LÄN</t>
        </is>
      </c>
      <c r="E250" t="inlineStr">
        <is>
          <t>HÄSSLEHOLM</t>
        </is>
      </c>
      <c r="G250" t="n">
        <v>2</v>
      </c>
      <c r="H250" t="n">
        <v>0</v>
      </c>
      <c r="I250" t="n">
        <v>0</v>
      </c>
      <c r="J250" t="n">
        <v>0</v>
      </c>
      <c r="K250" t="n">
        <v>0</v>
      </c>
      <c r="L250" t="n">
        <v>0</v>
      </c>
      <c r="M250" t="n">
        <v>0</v>
      </c>
      <c r="N250" t="n">
        <v>0</v>
      </c>
      <c r="O250" t="n">
        <v>0</v>
      </c>
      <c r="P250" t="n">
        <v>0</v>
      </c>
      <c r="Q250" t="n">
        <v>0</v>
      </c>
      <c r="R250" s="2" t="inlineStr"/>
    </row>
    <row r="251" ht="15" customHeight="1">
      <c r="A251" t="inlineStr">
        <is>
          <t>A 29274-2023</t>
        </is>
      </c>
      <c r="B251" s="1" t="n">
        <v>45105</v>
      </c>
      <c r="C251" s="1" t="n">
        <v>46092</v>
      </c>
      <c r="D251" t="inlineStr">
        <is>
          <t>SKÅNE LÄN</t>
        </is>
      </c>
      <c r="E251" t="inlineStr">
        <is>
          <t>HÄSSLEHOLM</t>
        </is>
      </c>
      <c r="G251" t="n">
        <v>3.4</v>
      </c>
      <c r="H251" t="n">
        <v>0</v>
      </c>
      <c r="I251" t="n">
        <v>0</v>
      </c>
      <c r="J251" t="n">
        <v>0</v>
      </c>
      <c r="K251" t="n">
        <v>0</v>
      </c>
      <c r="L251" t="n">
        <v>0</v>
      </c>
      <c r="M251" t="n">
        <v>0</v>
      </c>
      <c r="N251" t="n">
        <v>0</v>
      </c>
      <c r="O251" t="n">
        <v>0</v>
      </c>
      <c r="P251" t="n">
        <v>0</v>
      </c>
      <c r="Q251" t="n">
        <v>0</v>
      </c>
      <c r="R251" s="2" t="inlineStr"/>
    </row>
    <row r="252" ht="15" customHeight="1">
      <c r="A252" t="inlineStr">
        <is>
          <t>A 61932-2023</t>
        </is>
      </c>
      <c r="B252" s="1" t="n">
        <v>45266.53761574074</v>
      </c>
      <c r="C252" s="1" t="n">
        <v>46092</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27606-2024</t>
        </is>
      </c>
      <c r="B253" s="1" t="n">
        <v>45474</v>
      </c>
      <c r="C253" s="1" t="n">
        <v>46092</v>
      </c>
      <c r="D253" t="inlineStr">
        <is>
          <t>SKÅNE LÄN</t>
        </is>
      </c>
      <c r="E253" t="inlineStr">
        <is>
          <t>HÄSSLEHOLM</t>
        </is>
      </c>
      <c r="G253" t="n">
        <v>3.6</v>
      </c>
      <c r="H253" t="n">
        <v>0</v>
      </c>
      <c r="I253" t="n">
        <v>0</v>
      </c>
      <c r="J253" t="n">
        <v>0</v>
      </c>
      <c r="K253" t="n">
        <v>0</v>
      </c>
      <c r="L253" t="n">
        <v>0</v>
      </c>
      <c r="M253" t="n">
        <v>0</v>
      </c>
      <c r="N253" t="n">
        <v>0</v>
      </c>
      <c r="O253" t="n">
        <v>0</v>
      </c>
      <c r="P253" t="n">
        <v>0</v>
      </c>
      <c r="Q253" t="n">
        <v>0</v>
      </c>
      <c r="R253" s="2" t="inlineStr"/>
    </row>
    <row r="254" ht="15" customHeight="1">
      <c r="A254" t="inlineStr">
        <is>
          <t>A 50244-2024</t>
        </is>
      </c>
      <c r="B254" s="1" t="n">
        <v>45600.56502314815</v>
      </c>
      <c r="C254" s="1" t="n">
        <v>46092</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7221-2025</t>
        </is>
      </c>
      <c r="B255" s="1" t="n">
        <v>45701</v>
      </c>
      <c r="C255" s="1" t="n">
        <v>46092</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5532-2025</t>
        </is>
      </c>
      <c r="B256" s="1" t="n">
        <v>45693</v>
      </c>
      <c r="C256" s="1" t="n">
        <v>46092</v>
      </c>
      <c r="D256" t="inlineStr">
        <is>
          <t>SKÅNE LÄN</t>
        </is>
      </c>
      <c r="E256" t="inlineStr">
        <is>
          <t>HÄSSLEHOLM</t>
        </is>
      </c>
      <c r="G256" t="n">
        <v>2.4</v>
      </c>
      <c r="H256" t="n">
        <v>0</v>
      </c>
      <c r="I256" t="n">
        <v>0</v>
      </c>
      <c r="J256" t="n">
        <v>0</v>
      </c>
      <c r="K256" t="n">
        <v>0</v>
      </c>
      <c r="L256" t="n">
        <v>0</v>
      </c>
      <c r="M256" t="n">
        <v>0</v>
      </c>
      <c r="N256" t="n">
        <v>0</v>
      </c>
      <c r="O256" t="n">
        <v>0</v>
      </c>
      <c r="P256" t="n">
        <v>0</v>
      </c>
      <c r="Q256" t="n">
        <v>0</v>
      </c>
      <c r="R256" s="2" t="inlineStr"/>
    </row>
    <row r="257" ht="15" customHeight="1">
      <c r="A257" t="inlineStr">
        <is>
          <t>A 60959-2022</t>
        </is>
      </c>
      <c r="B257" s="1" t="n">
        <v>44914.64777777778</v>
      </c>
      <c r="C257" s="1" t="n">
        <v>46092</v>
      </c>
      <c r="D257" t="inlineStr">
        <is>
          <t>SKÅNE LÄN</t>
        </is>
      </c>
      <c r="E257" t="inlineStr">
        <is>
          <t>HÄSSLEHOLM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26403-2024</t>
        </is>
      </c>
      <c r="B258" s="1" t="n">
        <v>45469.44505787037</v>
      </c>
      <c r="C258" s="1" t="n">
        <v>46092</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26403-2024</t>
        </is>
      </c>
      <c r="B259" s="1" t="n">
        <v>45469.44505787037</v>
      </c>
      <c r="C259" s="1" t="n">
        <v>46092</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9556-2025</t>
        </is>
      </c>
      <c r="B260" s="1" t="n">
        <v>45714</v>
      </c>
      <c r="C260" s="1" t="n">
        <v>46092</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55458-2025</t>
        </is>
      </c>
      <c r="B261" s="1" t="n">
        <v>45971</v>
      </c>
      <c r="C261" s="1" t="n">
        <v>46092</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42906-2022</t>
        </is>
      </c>
      <c r="B262" s="1" t="n">
        <v>44833</v>
      </c>
      <c r="C262" s="1" t="n">
        <v>46092</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31931-2024</t>
        </is>
      </c>
      <c r="B263" s="1" t="n">
        <v>45510.40878472223</v>
      </c>
      <c r="C263" s="1" t="n">
        <v>46092</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15133-2023</t>
        </is>
      </c>
      <c r="B264" s="1" t="n">
        <v>45016</v>
      </c>
      <c r="C264" s="1" t="n">
        <v>46092</v>
      </c>
      <c r="D264" t="inlineStr">
        <is>
          <t>SKÅNE LÄN</t>
        </is>
      </c>
      <c r="E264" t="inlineStr">
        <is>
          <t>HÄSSLEHOLM</t>
        </is>
      </c>
      <c r="G264" t="n">
        <v>7.8</v>
      </c>
      <c r="H264" t="n">
        <v>0</v>
      </c>
      <c r="I264" t="n">
        <v>0</v>
      </c>
      <c r="J264" t="n">
        <v>0</v>
      </c>
      <c r="K264" t="n">
        <v>0</v>
      </c>
      <c r="L264" t="n">
        <v>0</v>
      </c>
      <c r="M264" t="n">
        <v>0</v>
      </c>
      <c r="N264" t="n">
        <v>0</v>
      </c>
      <c r="O264" t="n">
        <v>0</v>
      </c>
      <c r="P264" t="n">
        <v>0</v>
      </c>
      <c r="Q264" t="n">
        <v>0</v>
      </c>
      <c r="R264" s="2" t="inlineStr"/>
    </row>
    <row r="265" ht="15" customHeight="1">
      <c r="A265" t="inlineStr">
        <is>
          <t>A 10230-2025</t>
        </is>
      </c>
      <c r="B265" s="1" t="n">
        <v>45720</v>
      </c>
      <c r="C265" s="1" t="n">
        <v>46092</v>
      </c>
      <c r="D265" t="inlineStr">
        <is>
          <t>SKÅNE LÄN</t>
        </is>
      </c>
      <c r="E265" t="inlineStr">
        <is>
          <t>HÄSSLEHOLM</t>
        </is>
      </c>
      <c r="G265" t="n">
        <v>1.5</v>
      </c>
      <c r="H265" t="n">
        <v>0</v>
      </c>
      <c r="I265" t="n">
        <v>0</v>
      </c>
      <c r="J265" t="n">
        <v>0</v>
      </c>
      <c r="K265" t="n">
        <v>0</v>
      </c>
      <c r="L265" t="n">
        <v>0</v>
      </c>
      <c r="M265" t="n">
        <v>0</v>
      </c>
      <c r="N265" t="n">
        <v>0</v>
      </c>
      <c r="O265" t="n">
        <v>0</v>
      </c>
      <c r="P265" t="n">
        <v>0</v>
      </c>
      <c r="Q265" t="n">
        <v>0</v>
      </c>
      <c r="R265" s="2" t="inlineStr"/>
    </row>
    <row r="266" ht="15" customHeight="1">
      <c r="A266" t="inlineStr">
        <is>
          <t>A 33266-2024</t>
        </is>
      </c>
      <c r="B266" s="1" t="n">
        <v>45518</v>
      </c>
      <c r="C266" s="1" t="n">
        <v>46092</v>
      </c>
      <c r="D266" t="inlineStr">
        <is>
          <t>SKÅNE LÄN</t>
        </is>
      </c>
      <c r="E266" t="inlineStr">
        <is>
          <t>HÄSSLEHOLM</t>
        </is>
      </c>
      <c r="G266" t="n">
        <v>3.2</v>
      </c>
      <c r="H266" t="n">
        <v>0</v>
      </c>
      <c r="I266" t="n">
        <v>0</v>
      </c>
      <c r="J266" t="n">
        <v>0</v>
      </c>
      <c r="K266" t="n">
        <v>0</v>
      </c>
      <c r="L266" t="n">
        <v>0</v>
      </c>
      <c r="M266" t="n">
        <v>0</v>
      </c>
      <c r="N266" t="n">
        <v>0</v>
      </c>
      <c r="O266" t="n">
        <v>0</v>
      </c>
      <c r="P266" t="n">
        <v>0</v>
      </c>
      <c r="Q266" t="n">
        <v>0</v>
      </c>
      <c r="R266" s="2" t="inlineStr"/>
    </row>
    <row r="267" ht="15" customHeight="1">
      <c r="A267" t="inlineStr">
        <is>
          <t>A 55455-2025</t>
        </is>
      </c>
      <c r="B267" s="1" t="n">
        <v>45971</v>
      </c>
      <c r="C267" s="1" t="n">
        <v>46092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34883-2023</t>
        </is>
      </c>
      <c r="B268" s="1" t="n">
        <v>45142.37902777778</v>
      </c>
      <c r="C268" s="1" t="n">
        <v>46092</v>
      </c>
      <c r="D268" t="inlineStr">
        <is>
          <t>SKÅNE LÄN</t>
        </is>
      </c>
      <c r="E268" t="inlineStr">
        <is>
          <t>HÄSSLEHOLM</t>
        </is>
      </c>
      <c r="G268" t="n">
        <v>2.5</v>
      </c>
      <c r="H268" t="n">
        <v>0</v>
      </c>
      <c r="I268" t="n">
        <v>0</v>
      </c>
      <c r="J268" t="n">
        <v>0</v>
      </c>
      <c r="K268" t="n">
        <v>0</v>
      </c>
      <c r="L268" t="n">
        <v>0</v>
      </c>
      <c r="M268" t="n">
        <v>0</v>
      </c>
      <c r="N268" t="n">
        <v>0</v>
      </c>
      <c r="O268" t="n">
        <v>0</v>
      </c>
      <c r="P268" t="n">
        <v>0</v>
      </c>
      <c r="Q268" t="n">
        <v>0</v>
      </c>
      <c r="R268" s="2" t="inlineStr"/>
    </row>
    <row r="269" ht="15" customHeight="1">
      <c r="A269" t="inlineStr">
        <is>
          <t>A 16860-2025</t>
        </is>
      </c>
      <c r="B269" s="1" t="n">
        <v>45751</v>
      </c>
      <c r="C269" s="1" t="n">
        <v>46092</v>
      </c>
      <c r="D269" t="inlineStr">
        <is>
          <t>SKÅNE LÄN</t>
        </is>
      </c>
      <c r="E269" t="inlineStr">
        <is>
          <t>HÄSSLEHOLM</t>
        </is>
      </c>
      <c r="G269" t="n">
        <v>1.3</v>
      </c>
      <c r="H269" t="n">
        <v>0</v>
      </c>
      <c r="I269" t="n">
        <v>0</v>
      </c>
      <c r="J269" t="n">
        <v>0</v>
      </c>
      <c r="K269" t="n">
        <v>0</v>
      </c>
      <c r="L269" t="n">
        <v>0</v>
      </c>
      <c r="M269" t="n">
        <v>0</v>
      </c>
      <c r="N269" t="n">
        <v>0</v>
      </c>
      <c r="O269" t="n">
        <v>0</v>
      </c>
      <c r="P269" t="n">
        <v>0</v>
      </c>
      <c r="Q269" t="n">
        <v>0</v>
      </c>
      <c r="R269" s="2" t="inlineStr"/>
    </row>
    <row r="270" ht="15" customHeight="1">
      <c r="A270" t="inlineStr">
        <is>
          <t>A 20187-2023</t>
        </is>
      </c>
      <c r="B270" s="1" t="n">
        <v>45055.57027777778</v>
      </c>
      <c r="C270" s="1" t="n">
        <v>46092</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48797-2023</t>
        </is>
      </c>
      <c r="B271" s="1" t="n">
        <v>45209.24986111111</v>
      </c>
      <c r="C271" s="1" t="n">
        <v>46092</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22592-2025</t>
        </is>
      </c>
      <c r="B272" s="1" t="n">
        <v>45789.40502314815</v>
      </c>
      <c r="C272" s="1" t="n">
        <v>46092</v>
      </c>
      <c r="D272" t="inlineStr">
        <is>
          <t>SKÅNE LÄN</t>
        </is>
      </c>
      <c r="E272" t="inlineStr">
        <is>
          <t>HÄSSLEHOLM</t>
        </is>
      </c>
      <c r="G272" t="n">
        <v>7.1</v>
      </c>
      <c r="H272" t="n">
        <v>0</v>
      </c>
      <c r="I272" t="n">
        <v>0</v>
      </c>
      <c r="J272" t="n">
        <v>0</v>
      </c>
      <c r="K272" t="n">
        <v>0</v>
      </c>
      <c r="L272" t="n">
        <v>0</v>
      </c>
      <c r="M272" t="n">
        <v>0</v>
      </c>
      <c r="N272" t="n">
        <v>0</v>
      </c>
      <c r="O272" t="n">
        <v>0</v>
      </c>
      <c r="P272" t="n">
        <v>0</v>
      </c>
      <c r="Q272" t="n">
        <v>0</v>
      </c>
      <c r="R272" s="2" t="inlineStr"/>
    </row>
    <row r="273" ht="15" customHeight="1">
      <c r="A273" t="inlineStr">
        <is>
          <t>A 58618-2024</t>
        </is>
      </c>
      <c r="B273" s="1" t="n">
        <v>45635.56150462963</v>
      </c>
      <c r="C273" s="1" t="n">
        <v>46092</v>
      </c>
      <c r="D273" t="inlineStr">
        <is>
          <t>SKÅNE LÄN</t>
        </is>
      </c>
      <c r="E273" t="inlineStr">
        <is>
          <t>HÄSSLEHOLM</t>
        </is>
      </c>
      <c r="G273" t="n">
        <v>2.3</v>
      </c>
      <c r="H273" t="n">
        <v>0</v>
      </c>
      <c r="I273" t="n">
        <v>0</v>
      </c>
      <c r="J273" t="n">
        <v>0</v>
      </c>
      <c r="K273" t="n">
        <v>0</v>
      </c>
      <c r="L273" t="n">
        <v>0</v>
      </c>
      <c r="M273" t="n">
        <v>0</v>
      </c>
      <c r="N273" t="n">
        <v>0</v>
      </c>
      <c r="O273" t="n">
        <v>0</v>
      </c>
      <c r="P273" t="n">
        <v>0</v>
      </c>
      <c r="Q273" t="n">
        <v>0</v>
      </c>
      <c r="R273" s="2" t="inlineStr"/>
    </row>
    <row r="274" ht="15" customHeight="1">
      <c r="A274" t="inlineStr">
        <is>
          <t>A 11266-2025</t>
        </is>
      </c>
      <c r="B274" s="1" t="n">
        <v>45726</v>
      </c>
      <c r="C274" s="1" t="n">
        <v>46092</v>
      </c>
      <c r="D274" t="inlineStr">
        <is>
          <t>SKÅNE LÄN</t>
        </is>
      </c>
      <c r="E274" t="inlineStr">
        <is>
          <t>HÄSSLEHOLM</t>
        </is>
      </c>
      <c r="G274" t="n">
        <v>0.3</v>
      </c>
      <c r="H274" t="n">
        <v>0</v>
      </c>
      <c r="I274" t="n">
        <v>0</v>
      </c>
      <c r="J274" t="n">
        <v>0</v>
      </c>
      <c r="K274" t="n">
        <v>0</v>
      </c>
      <c r="L274" t="n">
        <v>0</v>
      </c>
      <c r="M274" t="n">
        <v>0</v>
      </c>
      <c r="N274" t="n">
        <v>0</v>
      </c>
      <c r="O274" t="n">
        <v>0</v>
      </c>
      <c r="P274" t="n">
        <v>0</v>
      </c>
      <c r="Q274" t="n">
        <v>0</v>
      </c>
      <c r="R274" s="2" t="inlineStr"/>
    </row>
    <row r="275" ht="15" customHeight="1">
      <c r="A275" t="inlineStr">
        <is>
          <t>A 56667-2025</t>
        </is>
      </c>
      <c r="B275" s="1" t="n">
        <v>45975.68508101852</v>
      </c>
      <c r="C275" s="1" t="n">
        <v>46092</v>
      </c>
      <c r="D275" t="inlineStr">
        <is>
          <t>SKÅNE LÄN</t>
        </is>
      </c>
      <c r="E275" t="inlineStr">
        <is>
          <t>HÄSSLEHOLM</t>
        </is>
      </c>
      <c r="G275" t="n">
        <v>4.4</v>
      </c>
      <c r="H275" t="n">
        <v>0</v>
      </c>
      <c r="I275" t="n">
        <v>0</v>
      </c>
      <c r="J275" t="n">
        <v>0</v>
      </c>
      <c r="K275" t="n">
        <v>0</v>
      </c>
      <c r="L275" t="n">
        <v>0</v>
      </c>
      <c r="M275" t="n">
        <v>0</v>
      </c>
      <c r="N275" t="n">
        <v>0</v>
      </c>
      <c r="O275" t="n">
        <v>0</v>
      </c>
      <c r="P275" t="n">
        <v>0</v>
      </c>
      <c r="Q275" t="n">
        <v>0</v>
      </c>
      <c r="R275" s="2" t="inlineStr"/>
    </row>
    <row r="276" ht="15" customHeight="1">
      <c r="A276" t="inlineStr">
        <is>
          <t>A 32794-2021</t>
        </is>
      </c>
      <c r="B276" s="1" t="n">
        <v>44375</v>
      </c>
      <c r="C276" s="1" t="n">
        <v>46092</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12843-2023</t>
        </is>
      </c>
      <c r="B277" s="1" t="n">
        <v>45001.48423611111</v>
      </c>
      <c r="C277" s="1" t="n">
        <v>46092</v>
      </c>
      <c r="D277" t="inlineStr">
        <is>
          <t>SKÅNE LÄN</t>
        </is>
      </c>
      <c r="E277" t="inlineStr">
        <is>
          <t>HÄSSLEHOLM</t>
        </is>
      </c>
      <c r="G277" t="n">
        <v>3.9</v>
      </c>
      <c r="H277" t="n">
        <v>0</v>
      </c>
      <c r="I277" t="n">
        <v>0</v>
      </c>
      <c r="J277" t="n">
        <v>0</v>
      </c>
      <c r="K277" t="n">
        <v>0</v>
      </c>
      <c r="L277" t="n">
        <v>0</v>
      </c>
      <c r="M277" t="n">
        <v>0</v>
      </c>
      <c r="N277" t="n">
        <v>0</v>
      </c>
      <c r="O277" t="n">
        <v>0</v>
      </c>
      <c r="P277" t="n">
        <v>0</v>
      </c>
      <c r="Q277" t="n">
        <v>0</v>
      </c>
      <c r="R277" s="2" t="inlineStr"/>
    </row>
    <row r="278" ht="15" customHeight="1">
      <c r="A278" t="inlineStr">
        <is>
          <t>A 56797-2025</t>
        </is>
      </c>
      <c r="B278" s="1" t="n">
        <v>45978.43273148148</v>
      </c>
      <c r="C278" s="1" t="n">
        <v>46092</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47647-2024</t>
        </is>
      </c>
      <c r="B279" s="1" t="n">
        <v>45588</v>
      </c>
      <c r="C279" s="1" t="n">
        <v>46092</v>
      </c>
      <c r="D279" t="inlineStr">
        <is>
          <t>SKÅNE LÄN</t>
        </is>
      </c>
      <c r="E279" t="inlineStr">
        <is>
          <t>HÄSSLEHOLM</t>
        </is>
      </c>
      <c r="G279" t="n">
        <v>6.5</v>
      </c>
      <c r="H279" t="n">
        <v>0</v>
      </c>
      <c r="I279" t="n">
        <v>0</v>
      </c>
      <c r="J279" t="n">
        <v>0</v>
      </c>
      <c r="K279" t="n">
        <v>0</v>
      </c>
      <c r="L279" t="n">
        <v>0</v>
      </c>
      <c r="M279" t="n">
        <v>0</v>
      </c>
      <c r="N279" t="n">
        <v>0</v>
      </c>
      <c r="O279" t="n">
        <v>0</v>
      </c>
      <c r="P279" t="n">
        <v>0</v>
      </c>
      <c r="Q279" t="n">
        <v>0</v>
      </c>
      <c r="R279" s="2" t="inlineStr"/>
    </row>
    <row r="280" ht="15" customHeight="1">
      <c r="A280" t="inlineStr">
        <is>
          <t>A 23007-2025</t>
        </is>
      </c>
      <c r="B280" s="1" t="n">
        <v>45790</v>
      </c>
      <c r="C280" s="1" t="n">
        <v>46092</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56798-2025</t>
        </is>
      </c>
      <c r="B281" s="1" t="n">
        <v>45978.43378472222</v>
      </c>
      <c r="C281" s="1" t="n">
        <v>46092</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17171-2025</t>
        </is>
      </c>
      <c r="B282" s="1" t="n">
        <v>45755</v>
      </c>
      <c r="C282" s="1" t="n">
        <v>46092</v>
      </c>
      <c r="D282" t="inlineStr">
        <is>
          <t>SKÅNE LÄN</t>
        </is>
      </c>
      <c r="E282" t="inlineStr">
        <is>
          <t>HÄSSLEHOLM</t>
        </is>
      </c>
      <c r="G282" t="n">
        <v>1.5</v>
      </c>
      <c r="H282" t="n">
        <v>0</v>
      </c>
      <c r="I282" t="n">
        <v>0</v>
      </c>
      <c r="J282" t="n">
        <v>0</v>
      </c>
      <c r="K282" t="n">
        <v>0</v>
      </c>
      <c r="L282" t="n">
        <v>0</v>
      </c>
      <c r="M282" t="n">
        <v>0</v>
      </c>
      <c r="N282" t="n">
        <v>0</v>
      </c>
      <c r="O282" t="n">
        <v>0</v>
      </c>
      <c r="P282" t="n">
        <v>0</v>
      </c>
      <c r="Q282" t="n">
        <v>0</v>
      </c>
      <c r="R282" s="2" t="inlineStr"/>
    </row>
    <row r="283" ht="15" customHeight="1">
      <c r="A283" t="inlineStr">
        <is>
          <t>A 16930-2024</t>
        </is>
      </c>
      <c r="B283" s="1" t="n">
        <v>45411</v>
      </c>
      <c r="C283" s="1" t="n">
        <v>46092</v>
      </c>
      <c r="D283" t="inlineStr">
        <is>
          <t>SKÅNE LÄN</t>
        </is>
      </c>
      <c r="E283" t="inlineStr">
        <is>
          <t>HÄSSLEHOLM</t>
        </is>
      </c>
      <c r="G283" t="n">
        <v>1</v>
      </c>
      <c r="H283" t="n">
        <v>0</v>
      </c>
      <c r="I283" t="n">
        <v>0</v>
      </c>
      <c r="J283" t="n">
        <v>0</v>
      </c>
      <c r="K283" t="n">
        <v>0</v>
      </c>
      <c r="L283" t="n">
        <v>0</v>
      </c>
      <c r="M283" t="n">
        <v>0</v>
      </c>
      <c r="N283" t="n">
        <v>0</v>
      </c>
      <c r="O283" t="n">
        <v>0</v>
      </c>
      <c r="P283" t="n">
        <v>0</v>
      </c>
      <c r="Q283" t="n">
        <v>0</v>
      </c>
      <c r="R283" s="2" t="inlineStr"/>
    </row>
    <row r="284" ht="15" customHeight="1">
      <c r="A284" t="inlineStr">
        <is>
          <t>A 27825-2024</t>
        </is>
      </c>
      <c r="B284" s="1" t="n">
        <v>45475</v>
      </c>
      <c r="C284" s="1" t="n">
        <v>46092</v>
      </c>
      <c r="D284" t="inlineStr">
        <is>
          <t>SKÅNE LÄN</t>
        </is>
      </c>
      <c r="E284" t="inlineStr">
        <is>
          <t>HÄSSLEHOLM</t>
        </is>
      </c>
      <c r="F284" t="inlineStr">
        <is>
          <t>Kommuner</t>
        </is>
      </c>
      <c r="G284" t="n">
        <v>1.1</v>
      </c>
      <c r="H284" t="n">
        <v>0</v>
      </c>
      <c r="I284" t="n">
        <v>0</v>
      </c>
      <c r="J284" t="n">
        <v>0</v>
      </c>
      <c r="K284" t="n">
        <v>0</v>
      </c>
      <c r="L284" t="n">
        <v>0</v>
      </c>
      <c r="M284" t="n">
        <v>0</v>
      </c>
      <c r="N284" t="n">
        <v>0</v>
      </c>
      <c r="O284" t="n">
        <v>0</v>
      </c>
      <c r="P284" t="n">
        <v>0</v>
      </c>
      <c r="Q284" t="n">
        <v>0</v>
      </c>
      <c r="R284" s="2" t="inlineStr"/>
    </row>
    <row r="285" ht="15" customHeight="1">
      <c r="A285" t="inlineStr">
        <is>
          <t>A 2479-2024</t>
        </is>
      </c>
      <c r="B285" s="1" t="n">
        <v>45313.40148148148</v>
      </c>
      <c r="C285" s="1" t="n">
        <v>46092</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26397-2023</t>
        </is>
      </c>
      <c r="B286" s="1" t="n">
        <v>45087</v>
      </c>
      <c r="C286" s="1" t="n">
        <v>46092</v>
      </c>
      <c r="D286" t="inlineStr">
        <is>
          <t>SKÅNE LÄN</t>
        </is>
      </c>
      <c r="E286" t="inlineStr">
        <is>
          <t>HÄSSLEHOLM</t>
        </is>
      </c>
      <c r="G286" t="n">
        <v>1.7</v>
      </c>
      <c r="H286" t="n">
        <v>0</v>
      </c>
      <c r="I286" t="n">
        <v>0</v>
      </c>
      <c r="J286" t="n">
        <v>0</v>
      </c>
      <c r="K286" t="n">
        <v>0</v>
      </c>
      <c r="L286" t="n">
        <v>0</v>
      </c>
      <c r="M286" t="n">
        <v>0</v>
      </c>
      <c r="N286" t="n">
        <v>0</v>
      </c>
      <c r="O286" t="n">
        <v>0</v>
      </c>
      <c r="P286" t="n">
        <v>0</v>
      </c>
      <c r="Q286" t="n">
        <v>0</v>
      </c>
      <c r="R286" s="2" t="inlineStr"/>
    </row>
    <row r="287" ht="15" customHeight="1">
      <c r="A287" t="inlineStr">
        <is>
          <t>A 31254-2024</t>
        </is>
      </c>
      <c r="B287" s="1" t="n">
        <v>45503</v>
      </c>
      <c r="C287" s="1" t="n">
        <v>46092</v>
      </c>
      <c r="D287" t="inlineStr">
        <is>
          <t>SKÅNE LÄN</t>
        </is>
      </c>
      <c r="E287" t="inlineStr">
        <is>
          <t>HÄSSLEHOLM</t>
        </is>
      </c>
      <c r="G287" t="n">
        <v>2.2</v>
      </c>
      <c r="H287" t="n">
        <v>0</v>
      </c>
      <c r="I287" t="n">
        <v>0</v>
      </c>
      <c r="J287" t="n">
        <v>0</v>
      </c>
      <c r="K287" t="n">
        <v>0</v>
      </c>
      <c r="L287" t="n">
        <v>0</v>
      </c>
      <c r="M287" t="n">
        <v>0</v>
      </c>
      <c r="N287" t="n">
        <v>0</v>
      </c>
      <c r="O287" t="n">
        <v>0</v>
      </c>
      <c r="P287" t="n">
        <v>0</v>
      </c>
      <c r="Q287" t="n">
        <v>0</v>
      </c>
      <c r="R287" s="2" t="inlineStr"/>
    </row>
    <row r="288" ht="15" customHeight="1">
      <c r="A288" t="inlineStr">
        <is>
          <t>A 1119-2024</t>
        </is>
      </c>
      <c r="B288" s="1" t="n">
        <v>45302</v>
      </c>
      <c r="C288" s="1" t="n">
        <v>46092</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37486-2024</t>
        </is>
      </c>
      <c r="B289" s="1" t="n">
        <v>45541</v>
      </c>
      <c r="C289" s="1" t="n">
        <v>46092</v>
      </c>
      <c r="D289" t="inlineStr">
        <is>
          <t>SKÅNE LÄN</t>
        </is>
      </c>
      <c r="E289" t="inlineStr">
        <is>
          <t>HÄSSLEHOLM</t>
        </is>
      </c>
      <c r="G289" t="n">
        <v>8.5</v>
      </c>
      <c r="H289" t="n">
        <v>0</v>
      </c>
      <c r="I289" t="n">
        <v>0</v>
      </c>
      <c r="J289" t="n">
        <v>0</v>
      </c>
      <c r="K289" t="n">
        <v>0</v>
      </c>
      <c r="L289" t="n">
        <v>0</v>
      </c>
      <c r="M289" t="n">
        <v>0</v>
      </c>
      <c r="N289" t="n">
        <v>0</v>
      </c>
      <c r="O289" t="n">
        <v>0</v>
      </c>
      <c r="P289" t="n">
        <v>0</v>
      </c>
      <c r="Q289" t="n">
        <v>0</v>
      </c>
      <c r="R289" s="2" t="inlineStr"/>
    </row>
    <row r="290" ht="15" customHeight="1">
      <c r="A290" t="inlineStr">
        <is>
          <t>A 44838-2023</t>
        </is>
      </c>
      <c r="B290" s="1" t="n">
        <v>45190</v>
      </c>
      <c r="C290" s="1" t="n">
        <v>46092</v>
      </c>
      <c r="D290" t="inlineStr">
        <is>
          <t>SKÅNE LÄN</t>
        </is>
      </c>
      <c r="E290" t="inlineStr">
        <is>
          <t>HÄSSLEHOLM</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58888-2024</t>
        </is>
      </c>
      <c r="B291" s="1" t="n">
        <v>45636.45962962963</v>
      </c>
      <c r="C291" s="1" t="n">
        <v>46092</v>
      </c>
      <c r="D291" t="inlineStr">
        <is>
          <t>SKÅNE LÄN</t>
        </is>
      </c>
      <c r="E291" t="inlineStr">
        <is>
          <t>HÄSSLEHOLM</t>
        </is>
      </c>
      <c r="G291" t="n">
        <v>0.8</v>
      </c>
      <c r="H291" t="n">
        <v>0</v>
      </c>
      <c r="I291" t="n">
        <v>0</v>
      </c>
      <c r="J291" t="n">
        <v>0</v>
      </c>
      <c r="K291" t="n">
        <v>0</v>
      </c>
      <c r="L291" t="n">
        <v>0</v>
      </c>
      <c r="M291" t="n">
        <v>0</v>
      </c>
      <c r="N291" t="n">
        <v>0</v>
      </c>
      <c r="O291" t="n">
        <v>0</v>
      </c>
      <c r="P291" t="n">
        <v>0</v>
      </c>
      <c r="Q291" t="n">
        <v>0</v>
      </c>
      <c r="R291" s="2" t="inlineStr"/>
    </row>
    <row r="292" ht="15" customHeight="1">
      <c r="A292" t="inlineStr">
        <is>
          <t>A 13954-2023</t>
        </is>
      </c>
      <c r="B292" s="1" t="n">
        <v>45008</v>
      </c>
      <c r="C292" s="1" t="n">
        <v>46092</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16334-2024</t>
        </is>
      </c>
      <c r="B293" s="1" t="n">
        <v>45407.54856481482</v>
      </c>
      <c r="C293" s="1" t="n">
        <v>46092</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56767-2025</t>
        </is>
      </c>
      <c r="B294" s="1" t="n">
        <v>45978.38178240741</v>
      </c>
      <c r="C294" s="1" t="n">
        <v>46092</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56769-2025</t>
        </is>
      </c>
      <c r="B295" s="1" t="n">
        <v>45978.38429398148</v>
      </c>
      <c r="C295" s="1" t="n">
        <v>46092</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56794-2025</t>
        </is>
      </c>
      <c r="B296" s="1" t="n">
        <v>45978.43039351852</v>
      </c>
      <c r="C296" s="1" t="n">
        <v>46092</v>
      </c>
      <c r="D296" t="inlineStr">
        <is>
          <t>SKÅNE LÄN</t>
        </is>
      </c>
      <c r="E296" t="inlineStr">
        <is>
          <t>HÄSSLEHOLM</t>
        </is>
      </c>
      <c r="G296" t="n">
        <v>2.3</v>
      </c>
      <c r="H296" t="n">
        <v>0</v>
      </c>
      <c r="I296" t="n">
        <v>0</v>
      </c>
      <c r="J296" t="n">
        <v>0</v>
      </c>
      <c r="K296" t="n">
        <v>0</v>
      </c>
      <c r="L296" t="n">
        <v>0</v>
      </c>
      <c r="M296" t="n">
        <v>0</v>
      </c>
      <c r="N296" t="n">
        <v>0</v>
      </c>
      <c r="O296" t="n">
        <v>0</v>
      </c>
      <c r="P296" t="n">
        <v>0</v>
      </c>
      <c r="Q296" t="n">
        <v>0</v>
      </c>
      <c r="R296" s="2" t="inlineStr"/>
    </row>
    <row r="297" ht="15" customHeight="1">
      <c r="A297" t="inlineStr">
        <is>
          <t>A 3663-2024</t>
        </is>
      </c>
      <c r="B297" s="1" t="n">
        <v>45321.34775462963</v>
      </c>
      <c r="C297" s="1" t="n">
        <v>46092</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55569-2025</t>
        </is>
      </c>
      <c r="B298" s="1" t="n">
        <v>45971</v>
      </c>
      <c r="C298" s="1" t="n">
        <v>46092</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13007-2024</t>
        </is>
      </c>
      <c r="B299" s="1" t="n">
        <v>45385.57092592592</v>
      </c>
      <c r="C299" s="1" t="n">
        <v>46092</v>
      </c>
      <c r="D299" t="inlineStr">
        <is>
          <t>SKÅNE LÄN</t>
        </is>
      </c>
      <c r="E299" t="inlineStr">
        <is>
          <t>HÄSSLEHOLM</t>
        </is>
      </c>
      <c r="G299" t="n">
        <v>1.4</v>
      </c>
      <c r="H299" t="n">
        <v>0</v>
      </c>
      <c r="I299" t="n">
        <v>0</v>
      </c>
      <c r="J299" t="n">
        <v>0</v>
      </c>
      <c r="K299" t="n">
        <v>0</v>
      </c>
      <c r="L299" t="n">
        <v>0</v>
      </c>
      <c r="M299" t="n">
        <v>0</v>
      </c>
      <c r="N299" t="n">
        <v>0</v>
      </c>
      <c r="O299" t="n">
        <v>0</v>
      </c>
      <c r="P299" t="n">
        <v>0</v>
      </c>
      <c r="Q299" t="n">
        <v>0</v>
      </c>
      <c r="R299" s="2" t="inlineStr"/>
    </row>
    <row r="300" ht="15" customHeight="1">
      <c r="A300" t="inlineStr">
        <is>
          <t>A 1560-2023</t>
        </is>
      </c>
      <c r="B300" s="1" t="n">
        <v>44937</v>
      </c>
      <c r="C300" s="1" t="n">
        <v>46092</v>
      </c>
      <c r="D300" t="inlineStr">
        <is>
          <t>SKÅNE LÄN</t>
        </is>
      </c>
      <c r="E300" t="inlineStr">
        <is>
          <t>HÄSSLEHOLM</t>
        </is>
      </c>
      <c r="G300" t="n">
        <v>6.8</v>
      </c>
      <c r="H300" t="n">
        <v>0</v>
      </c>
      <c r="I300" t="n">
        <v>0</v>
      </c>
      <c r="J300" t="n">
        <v>0</v>
      </c>
      <c r="K300" t="n">
        <v>0</v>
      </c>
      <c r="L300" t="n">
        <v>0</v>
      </c>
      <c r="M300" t="n">
        <v>0</v>
      </c>
      <c r="N300" t="n">
        <v>0</v>
      </c>
      <c r="O300" t="n">
        <v>0</v>
      </c>
      <c r="P300" t="n">
        <v>0</v>
      </c>
      <c r="Q300" t="n">
        <v>0</v>
      </c>
      <c r="R300" s="2" t="inlineStr"/>
    </row>
    <row r="301" ht="15" customHeight="1">
      <c r="A301" t="inlineStr">
        <is>
          <t>A 57817-2025</t>
        </is>
      </c>
      <c r="B301" s="1" t="n">
        <v>45981.59475694445</v>
      </c>
      <c r="C301" s="1" t="n">
        <v>46092</v>
      </c>
      <c r="D301" t="inlineStr">
        <is>
          <t>SKÅNE LÄN</t>
        </is>
      </c>
      <c r="E301" t="inlineStr">
        <is>
          <t>HÄSSLEHOLM</t>
        </is>
      </c>
      <c r="G301" t="n">
        <v>3.8</v>
      </c>
      <c r="H301" t="n">
        <v>0</v>
      </c>
      <c r="I301" t="n">
        <v>0</v>
      </c>
      <c r="J301" t="n">
        <v>0</v>
      </c>
      <c r="K301" t="n">
        <v>0</v>
      </c>
      <c r="L301" t="n">
        <v>0</v>
      </c>
      <c r="M301" t="n">
        <v>0</v>
      </c>
      <c r="N301" t="n">
        <v>0</v>
      </c>
      <c r="O301" t="n">
        <v>0</v>
      </c>
      <c r="P301" t="n">
        <v>0</v>
      </c>
      <c r="Q301" t="n">
        <v>0</v>
      </c>
      <c r="R301" s="2" t="inlineStr"/>
    </row>
    <row r="302" ht="15" customHeight="1">
      <c r="A302" t="inlineStr">
        <is>
          <t>A 40152-2024</t>
        </is>
      </c>
      <c r="B302" s="1" t="n">
        <v>45554</v>
      </c>
      <c r="C302" s="1" t="n">
        <v>46092</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74030-2021</t>
        </is>
      </c>
      <c r="B303" s="1" t="n">
        <v>44553</v>
      </c>
      <c r="C303" s="1" t="n">
        <v>46092</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15072-2024</t>
        </is>
      </c>
      <c r="B304" s="1" t="n">
        <v>45399.5996875</v>
      </c>
      <c r="C304" s="1" t="n">
        <v>46092</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28599-2024</t>
        </is>
      </c>
      <c r="B305" s="1" t="n">
        <v>45478.4247800926</v>
      </c>
      <c r="C305" s="1" t="n">
        <v>46092</v>
      </c>
      <c r="D305" t="inlineStr">
        <is>
          <t>SKÅNE LÄN</t>
        </is>
      </c>
      <c r="E305" t="inlineStr">
        <is>
          <t>HÄSSLEHOLM</t>
        </is>
      </c>
      <c r="G305" t="n">
        <v>8.6</v>
      </c>
      <c r="H305" t="n">
        <v>0</v>
      </c>
      <c r="I305" t="n">
        <v>0</v>
      </c>
      <c r="J305" t="n">
        <v>0</v>
      </c>
      <c r="K305" t="n">
        <v>0</v>
      </c>
      <c r="L305" t="n">
        <v>0</v>
      </c>
      <c r="M305" t="n">
        <v>0</v>
      </c>
      <c r="N305" t="n">
        <v>0</v>
      </c>
      <c r="O305" t="n">
        <v>0</v>
      </c>
      <c r="P305" t="n">
        <v>0</v>
      </c>
      <c r="Q305" t="n">
        <v>0</v>
      </c>
      <c r="R305" s="2" t="inlineStr"/>
    </row>
    <row r="306" ht="15" customHeight="1">
      <c r="A306" t="inlineStr">
        <is>
          <t>A 30092-2025</t>
        </is>
      </c>
      <c r="B306" s="1" t="n">
        <v>45826</v>
      </c>
      <c r="C306" s="1" t="n">
        <v>46092</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9393-2025</t>
        </is>
      </c>
      <c r="B307" s="1" t="n">
        <v>45715.36230324074</v>
      </c>
      <c r="C307" s="1" t="n">
        <v>46092</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30109-2025</t>
        </is>
      </c>
      <c r="B308" s="1" t="n">
        <v>45826</v>
      </c>
      <c r="C308" s="1" t="n">
        <v>46092</v>
      </c>
      <c r="D308" t="inlineStr">
        <is>
          <t>SKÅNE LÄN</t>
        </is>
      </c>
      <c r="E308" t="inlineStr">
        <is>
          <t>HÄSSLEHOLM</t>
        </is>
      </c>
      <c r="G308" t="n">
        <v>2.4</v>
      </c>
      <c r="H308" t="n">
        <v>0</v>
      </c>
      <c r="I308" t="n">
        <v>0</v>
      </c>
      <c r="J308" t="n">
        <v>0</v>
      </c>
      <c r="K308" t="n">
        <v>0</v>
      </c>
      <c r="L308" t="n">
        <v>0</v>
      </c>
      <c r="M308" t="n">
        <v>0</v>
      </c>
      <c r="N308" t="n">
        <v>0</v>
      </c>
      <c r="O308" t="n">
        <v>0</v>
      </c>
      <c r="P308" t="n">
        <v>0</v>
      </c>
      <c r="Q308" t="n">
        <v>0</v>
      </c>
      <c r="R308" s="2" t="inlineStr"/>
    </row>
    <row r="309" ht="15" customHeight="1">
      <c r="A309" t="inlineStr">
        <is>
          <t>A 15897-2025</t>
        </is>
      </c>
      <c r="B309" s="1" t="n">
        <v>45749.41598379629</v>
      </c>
      <c r="C309" s="1" t="n">
        <v>46092</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54982-2024</t>
        </is>
      </c>
      <c r="B310" s="1" t="n">
        <v>45620.7580787037</v>
      </c>
      <c r="C310" s="1" t="n">
        <v>46092</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11262-2025</t>
        </is>
      </c>
      <c r="B311" s="1" t="n">
        <v>45726</v>
      </c>
      <c r="C311" s="1" t="n">
        <v>46092</v>
      </c>
      <c r="D311" t="inlineStr">
        <is>
          <t>SKÅNE LÄN</t>
        </is>
      </c>
      <c r="E311" t="inlineStr">
        <is>
          <t>HÄSSLEHOLM</t>
        </is>
      </c>
      <c r="G311" t="n">
        <v>1.9</v>
      </c>
      <c r="H311" t="n">
        <v>0</v>
      </c>
      <c r="I311" t="n">
        <v>0</v>
      </c>
      <c r="J311" t="n">
        <v>0</v>
      </c>
      <c r="K311" t="n">
        <v>0</v>
      </c>
      <c r="L311" t="n">
        <v>0</v>
      </c>
      <c r="M311" t="n">
        <v>0</v>
      </c>
      <c r="N311" t="n">
        <v>0</v>
      </c>
      <c r="O311" t="n">
        <v>0</v>
      </c>
      <c r="P311" t="n">
        <v>0</v>
      </c>
      <c r="Q311" t="n">
        <v>0</v>
      </c>
      <c r="R311" s="2" t="inlineStr"/>
    </row>
    <row r="312" ht="15" customHeight="1">
      <c r="A312" t="inlineStr">
        <is>
          <t>A 61182-2024</t>
        </is>
      </c>
      <c r="B312" s="1" t="n">
        <v>45645</v>
      </c>
      <c r="C312" s="1" t="n">
        <v>46092</v>
      </c>
      <c r="D312" t="inlineStr">
        <is>
          <t>SKÅNE LÄN</t>
        </is>
      </c>
      <c r="E312" t="inlineStr">
        <is>
          <t>HÄSSLEHOLM</t>
        </is>
      </c>
      <c r="G312" t="n">
        <v>3.2</v>
      </c>
      <c r="H312" t="n">
        <v>0</v>
      </c>
      <c r="I312" t="n">
        <v>0</v>
      </c>
      <c r="J312" t="n">
        <v>0</v>
      </c>
      <c r="K312" t="n">
        <v>0</v>
      </c>
      <c r="L312" t="n">
        <v>0</v>
      </c>
      <c r="M312" t="n">
        <v>0</v>
      </c>
      <c r="N312" t="n">
        <v>0</v>
      </c>
      <c r="O312" t="n">
        <v>0</v>
      </c>
      <c r="P312" t="n">
        <v>0</v>
      </c>
      <c r="Q312" t="n">
        <v>0</v>
      </c>
      <c r="R312" s="2" t="inlineStr"/>
    </row>
    <row r="313" ht="15" customHeight="1">
      <c r="A313" t="inlineStr">
        <is>
          <t>A 39366-2025</t>
        </is>
      </c>
      <c r="B313" s="1" t="n">
        <v>45889</v>
      </c>
      <c r="C313" s="1" t="n">
        <v>46092</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58241-2025</t>
        </is>
      </c>
      <c r="B314" s="1" t="n">
        <v>45985.38797453704</v>
      </c>
      <c r="C314" s="1" t="n">
        <v>46092</v>
      </c>
      <c r="D314" t="inlineStr">
        <is>
          <t>SKÅNE LÄN</t>
        </is>
      </c>
      <c r="E314" t="inlineStr">
        <is>
          <t>HÄSSLEHOLM</t>
        </is>
      </c>
      <c r="G314" t="n">
        <v>3.6</v>
      </c>
      <c r="H314" t="n">
        <v>0</v>
      </c>
      <c r="I314" t="n">
        <v>0</v>
      </c>
      <c r="J314" t="n">
        <v>0</v>
      </c>
      <c r="K314" t="n">
        <v>0</v>
      </c>
      <c r="L314" t="n">
        <v>0</v>
      </c>
      <c r="M314" t="n">
        <v>0</v>
      </c>
      <c r="N314" t="n">
        <v>0</v>
      </c>
      <c r="O314" t="n">
        <v>0</v>
      </c>
      <c r="P314" t="n">
        <v>0</v>
      </c>
      <c r="Q314" t="n">
        <v>0</v>
      </c>
      <c r="R314" s="2" t="inlineStr"/>
    </row>
    <row r="315" ht="15" customHeight="1">
      <c r="A315" t="inlineStr">
        <is>
          <t>A 16121-2025</t>
        </is>
      </c>
      <c r="B315" s="1" t="n">
        <v>45750.40384259259</v>
      </c>
      <c r="C315" s="1" t="n">
        <v>46092</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11446-2025</t>
        </is>
      </c>
      <c r="B316" s="1" t="n">
        <v>45726</v>
      </c>
      <c r="C316" s="1" t="n">
        <v>46092</v>
      </c>
      <c r="D316" t="inlineStr">
        <is>
          <t>SKÅNE LÄN</t>
        </is>
      </c>
      <c r="E316" t="inlineStr">
        <is>
          <t>HÄSSLEHOLM</t>
        </is>
      </c>
      <c r="G316" t="n">
        <v>1.9</v>
      </c>
      <c r="H316" t="n">
        <v>0</v>
      </c>
      <c r="I316" t="n">
        <v>0</v>
      </c>
      <c r="J316" t="n">
        <v>0</v>
      </c>
      <c r="K316" t="n">
        <v>0</v>
      </c>
      <c r="L316" t="n">
        <v>0</v>
      </c>
      <c r="M316" t="n">
        <v>0</v>
      </c>
      <c r="N316" t="n">
        <v>0</v>
      </c>
      <c r="O316" t="n">
        <v>0</v>
      </c>
      <c r="P316" t="n">
        <v>0</v>
      </c>
      <c r="Q316" t="n">
        <v>0</v>
      </c>
      <c r="R316" s="2" t="inlineStr"/>
    </row>
    <row r="317" ht="15" customHeight="1">
      <c r="A317" t="inlineStr">
        <is>
          <t>A 14255-2024</t>
        </is>
      </c>
      <c r="B317" s="1" t="n">
        <v>45393</v>
      </c>
      <c r="C317" s="1" t="n">
        <v>46092</v>
      </c>
      <c r="D317" t="inlineStr">
        <is>
          <t>SKÅNE LÄN</t>
        </is>
      </c>
      <c r="E317" t="inlineStr">
        <is>
          <t>HÄSSLEHOLM</t>
        </is>
      </c>
      <c r="G317" t="n">
        <v>11.9</v>
      </c>
      <c r="H317" t="n">
        <v>0</v>
      </c>
      <c r="I317" t="n">
        <v>0</v>
      </c>
      <c r="J317" t="n">
        <v>0</v>
      </c>
      <c r="K317" t="n">
        <v>0</v>
      </c>
      <c r="L317" t="n">
        <v>0</v>
      </c>
      <c r="M317" t="n">
        <v>0</v>
      </c>
      <c r="N317" t="n">
        <v>0</v>
      </c>
      <c r="O317" t="n">
        <v>0</v>
      </c>
      <c r="P317" t="n">
        <v>0</v>
      </c>
      <c r="Q317" t="n">
        <v>0</v>
      </c>
      <c r="R317" s="2" t="inlineStr"/>
    </row>
    <row r="318" ht="15" customHeight="1">
      <c r="A318" t="inlineStr">
        <is>
          <t>A 5395-2024</t>
        </is>
      </c>
      <c r="B318" s="1" t="n">
        <v>45331</v>
      </c>
      <c r="C318" s="1" t="n">
        <v>46092</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2621-2025</t>
        </is>
      </c>
      <c r="B319" s="1" t="n">
        <v>45675.60765046296</v>
      </c>
      <c r="C319" s="1" t="n">
        <v>46092</v>
      </c>
      <c r="D319" t="inlineStr">
        <is>
          <t>SKÅNE LÄN</t>
        </is>
      </c>
      <c r="E319" t="inlineStr">
        <is>
          <t>HÄSSLEHOLM</t>
        </is>
      </c>
      <c r="F319" t="inlineStr">
        <is>
          <t>Kommuner</t>
        </is>
      </c>
      <c r="G319" t="n">
        <v>3</v>
      </c>
      <c r="H319" t="n">
        <v>0</v>
      </c>
      <c r="I319" t="n">
        <v>0</v>
      </c>
      <c r="J319" t="n">
        <v>0</v>
      </c>
      <c r="K319" t="n">
        <v>0</v>
      </c>
      <c r="L319" t="n">
        <v>0</v>
      </c>
      <c r="M319" t="n">
        <v>0</v>
      </c>
      <c r="N319" t="n">
        <v>0</v>
      </c>
      <c r="O319" t="n">
        <v>0</v>
      </c>
      <c r="P319" t="n">
        <v>0</v>
      </c>
      <c r="Q319" t="n">
        <v>0</v>
      </c>
      <c r="R319" s="2" t="inlineStr"/>
    </row>
    <row r="320" ht="15" customHeight="1">
      <c r="A320" t="inlineStr">
        <is>
          <t>A 8737-2025</t>
        </is>
      </c>
      <c r="B320" s="1" t="n">
        <v>45712.54578703704</v>
      </c>
      <c r="C320" s="1" t="n">
        <v>46092</v>
      </c>
      <c r="D320" t="inlineStr">
        <is>
          <t>SKÅNE LÄN</t>
        </is>
      </c>
      <c r="E320" t="inlineStr">
        <is>
          <t>HÄSSLEHOLM</t>
        </is>
      </c>
      <c r="G320" t="n">
        <v>2.7</v>
      </c>
      <c r="H320" t="n">
        <v>0</v>
      </c>
      <c r="I320" t="n">
        <v>0</v>
      </c>
      <c r="J320" t="n">
        <v>0</v>
      </c>
      <c r="K320" t="n">
        <v>0</v>
      </c>
      <c r="L320" t="n">
        <v>0</v>
      </c>
      <c r="M320" t="n">
        <v>0</v>
      </c>
      <c r="N320" t="n">
        <v>0</v>
      </c>
      <c r="O320" t="n">
        <v>0</v>
      </c>
      <c r="P320" t="n">
        <v>0</v>
      </c>
      <c r="Q320" t="n">
        <v>0</v>
      </c>
      <c r="R320" s="2" t="inlineStr"/>
    </row>
    <row r="321" ht="15" customHeight="1">
      <c r="A321" t="inlineStr">
        <is>
          <t>A 4734-2025</t>
        </is>
      </c>
      <c r="B321" s="1" t="n">
        <v>45688.44030092593</v>
      </c>
      <c r="C321" s="1" t="n">
        <v>46092</v>
      </c>
      <c r="D321" t="inlineStr">
        <is>
          <t>SKÅNE LÄN</t>
        </is>
      </c>
      <c r="E321" t="inlineStr">
        <is>
          <t>HÄSSLEHOLM</t>
        </is>
      </c>
      <c r="G321" t="n">
        <v>19.6</v>
      </c>
      <c r="H321" t="n">
        <v>0</v>
      </c>
      <c r="I321" t="n">
        <v>0</v>
      </c>
      <c r="J321" t="n">
        <v>0</v>
      </c>
      <c r="K321" t="n">
        <v>0</v>
      </c>
      <c r="L321" t="n">
        <v>0</v>
      </c>
      <c r="M321" t="n">
        <v>0</v>
      </c>
      <c r="N321" t="n">
        <v>0</v>
      </c>
      <c r="O321" t="n">
        <v>0</v>
      </c>
      <c r="P321" t="n">
        <v>0</v>
      </c>
      <c r="Q321" t="n">
        <v>0</v>
      </c>
      <c r="R321" s="2" t="inlineStr"/>
    </row>
    <row r="322" ht="15" customHeight="1">
      <c r="A322" t="inlineStr">
        <is>
          <t>A 24776-2025</t>
        </is>
      </c>
      <c r="B322" s="1" t="n">
        <v>45799.40640046296</v>
      </c>
      <c r="C322" s="1" t="n">
        <v>46092</v>
      </c>
      <c r="D322" t="inlineStr">
        <is>
          <t>SKÅNE LÄN</t>
        </is>
      </c>
      <c r="E322" t="inlineStr">
        <is>
          <t>HÄSSLEHOLM</t>
        </is>
      </c>
      <c r="G322" t="n">
        <v>5.4</v>
      </c>
      <c r="H322" t="n">
        <v>0</v>
      </c>
      <c r="I322" t="n">
        <v>0</v>
      </c>
      <c r="J322" t="n">
        <v>0</v>
      </c>
      <c r="K322" t="n">
        <v>0</v>
      </c>
      <c r="L322" t="n">
        <v>0</v>
      </c>
      <c r="M322" t="n">
        <v>0</v>
      </c>
      <c r="N322" t="n">
        <v>0</v>
      </c>
      <c r="O322" t="n">
        <v>0</v>
      </c>
      <c r="P322" t="n">
        <v>0</v>
      </c>
      <c r="Q322" t="n">
        <v>0</v>
      </c>
      <c r="R322" s="2" t="inlineStr"/>
    </row>
    <row r="323" ht="15" customHeight="1">
      <c r="A323" t="inlineStr">
        <is>
          <t>A 37764-2022</t>
        </is>
      </c>
      <c r="B323" s="1" t="n">
        <v>44810</v>
      </c>
      <c r="C323" s="1" t="n">
        <v>46092</v>
      </c>
      <c r="D323" t="inlineStr">
        <is>
          <t>SKÅNE LÄN</t>
        </is>
      </c>
      <c r="E323" t="inlineStr">
        <is>
          <t>HÄSSLEHOLM</t>
        </is>
      </c>
      <c r="F323" t="inlineStr">
        <is>
          <t>Kyrkan</t>
        </is>
      </c>
      <c r="G323" t="n">
        <v>9.4</v>
      </c>
      <c r="H323" t="n">
        <v>0</v>
      </c>
      <c r="I323" t="n">
        <v>0</v>
      </c>
      <c r="J323" t="n">
        <v>0</v>
      </c>
      <c r="K323" t="n">
        <v>0</v>
      </c>
      <c r="L323" t="n">
        <v>0</v>
      </c>
      <c r="M323" t="n">
        <v>0</v>
      </c>
      <c r="N323" t="n">
        <v>0</v>
      </c>
      <c r="O323" t="n">
        <v>0</v>
      </c>
      <c r="P323" t="n">
        <v>0</v>
      </c>
      <c r="Q323" t="n">
        <v>0</v>
      </c>
      <c r="R323" s="2" t="inlineStr"/>
    </row>
    <row r="324" ht="15" customHeight="1">
      <c r="A324" t="inlineStr">
        <is>
          <t>A 39453-2025</t>
        </is>
      </c>
      <c r="B324" s="1" t="n">
        <v>45889</v>
      </c>
      <c r="C324" s="1" t="n">
        <v>46092</v>
      </c>
      <c r="D324" t="inlineStr">
        <is>
          <t>SKÅNE LÄN</t>
        </is>
      </c>
      <c r="E324" t="inlineStr">
        <is>
          <t>HÄSSLEHOLM</t>
        </is>
      </c>
      <c r="G324" t="n">
        <v>2.5</v>
      </c>
      <c r="H324" t="n">
        <v>0</v>
      </c>
      <c r="I324" t="n">
        <v>0</v>
      </c>
      <c r="J324" t="n">
        <v>0</v>
      </c>
      <c r="K324" t="n">
        <v>0</v>
      </c>
      <c r="L324" t="n">
        <v>0</v>
      </c>
      <c r="M324" t="n">
        <v>0</v>
      </c>
      <c r="N324" t="n">
        <v>0</v>
      </c>
      <c r="O324" t="n">
        <v>0</v>
      </c>
      <c r="P324" t="n">
        <v>0</v>
      </c>
      <c r="Q324" t="n">
        <v>0</v>
      </c>
      <c r="R324" s="2" t="inlineStr"/>
    </row>
    <row r="325" ht="15" customHeight="1">
      <c r="A325" t="inlineStr">
        <is>
          <t>A 12338-2024</t>
        </is>
      </c>
      <c r="B325" s="1" t="n">
        <v>45378.72869212963</v>
      </c>
      <c r="C325" s="1" t="n">
        <v>46092</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51018-2023</t>
        </is>
      </c>
      <c r="B326" s="1" t="n">
        <v>45218</v>
      </c>
      <c r="C326" s="1" t="n">
        <v>46092</v>
      </c>
      <c r="D326" t="inlineStr">
        <is>
          <t>SKÅNE LÄN</t>
        </is>
      </c>
      <c r="E326" t="inlineStr">
        <is>
          <t>HÄSSLEHOLM</t>
        </is>
      </c>
      <c r="G326" t="n">
        <v>3.1</v>
      </c>
      <c r="H326" t="n">
        <v>0</v>
      </c>
      <c r="I326" t="n">
        <v>0</v>
      </c>
      <c r="J326" t="n">
        <v>0</v>
      </c>
      <c r="K326" t="n">
        <v>0</v>
      </c>
      <c r="L326" t="n">
        <v>0</v>
      </c>
      <c r="M326" t="n">
        <v>0</v>
      </c>
      <c r="N326" t="n">
        <v>0</v>
      </c>
      <c r="O326" t="n">
        <v>0</v>
      </c>
      <c r="P326" t="n">
        <v>0</v>
      </c>
      <c r="Q326" t="n">
        <v>0</v>
      </c>
      <c r="R326" s="2" t="inlineStr"/>
    </row>
    <row r="327" ht="15" customHeight="1">
      <c r="A327" t="inlineStr">
        <is>
          <t>A 23005-2025</t>
        </is>
      </c>
      <c r="B327" s="1" t="n">
        <v>45790</v>
      </c>
      <c r="C327" s="1" t="n">
        <v>46092</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60797-2024</t>
        </is>
      </c>
      <c r="B328" s="1" t="n">
        <v>45644</v>
      </c>
      <c r="C328" s="1" t="n">
        <v>46092</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39934-2025</t>
        </is>
      </c>
      <c r="B329" s="1" t="n">
        <v>45891.71465277778</v>
      </c>
      <c r="C329" s="1" t="n">
        <v>46092</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56069-2024</t>
        </is>
      </c>
      <c r="B330" s="1" t="n">
        <v>45624.38006944444</v>
      </c>
      <c r="C330" s="1" t="n">
        <v>46092</v>
      </c>
      <c r="D330" t="inlineStr">
        <is>
          <t>SKÅNE LÄN</t>
        </is>
      </c>
      <c r="E330" t="inlineStr">
        <is>
          <t>HÄSSLEHOLM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11753-2025</t>
        </is>
      </c>
      <c r="B331" s="1" t="n">
        <v>45727</v>
      </c>
      <c r="C331" s="1" t="n">
        <v>46092</v>
      </c>
      <c r="D331" t="inlineStr">
        <is>
          <t>SKÅNE LÄN</t>
        </is>
      </c>
      <c r="E331" t="inlineStr">
        <is>
          <t>HÄSSLEHOLM</t>
        </is>
      </c>
      <c r="G331" t="n">
        <v>2.7</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46092</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58933-2025</t>
        </is>
      </c>
      <c r="B333" s="1" t="n">
        <v>45987.56107638889</v>
      </c>
      <c r="C333" s="1" t="n">
        <v>46092</v>
      </c>
      <c r="D333" t="inlineStr">
        <is>
          <t>SKÅNE LÄN</t>
        </is>
      </c>
      <c r="E333" t="inlineStr">
        <is>
          <t>HÄSSLEHOLM</t>
        </is>
      </c>
      <c r="G333" t="n">
        <v>2.3</v>
      </c>
      <c r="H333" t="n">
        <v>0</v>
      </c>
      <c r="I333" t="n">
        <v>0</v>
      </c>
      <c r="J333" t="n">
        <v>0</v>
      </c>
      <c r="K333" t="n">
        <v>0</v>
      </c>
      <c r="L333" t="n">
        <v>0</v>
      </c>
      <c r="M333" t="n">
        <v>0</v>
      </c>
      <c r="N333" t="n">
        <v>0</v>
      </c>
      <c r="O333" t="n">
        <v>0</v>
      </c>
      <c r="P333" t="n">
        <v>0</v>
      </c>
      <c r="Q333" t="n">
        <v>0</v>
      </c>
      <c r="R333" s="2" t="inlineStr"/>
    </row>
    <row r="334" ht="15" customHeight="1">
      <c r="A334" t="inlineStr">
        <is>
          <t>A 39937-2025</t>
        </is>
      </c>
      <c r="B334" s="1" t="n">
        <v>45891.73162037037</v>
      </c>
      <c r="C334" s="1" t="n">
        <v>46092</v>
      </c>
      <c r="D334" t="inlineStr">
        <is>
          <t>SKÅNE LÄN</t>
        </is>
      </c>
      <c r="E334" t="inlineStr">
        <is>
          <t>HÄSSLEHOLM</t>
        </is>
      </c>
      <c r="G334" t="n">
        <v>4.5</v>
      </c>
      <c r="H334" t="n">
        <v>0</v>
      </c>
      <c r="I334" t="n">
        <v>0</v>
      </c>
      <c r="J334" t="n">
        <v>0</v>
      </c>
      <c r="K334" t="n">
        <v>0</v>
      </c>
      <c r="L334" t="n">
        <v>0</v>
      </c>
      <c r="M334" t="n">
        <v>0</v>
      </c>
      <c r="N334" t="n">
        <v>0</v>
      </c>
      <c r="O334" t="n">
        <v>0</v>
      </c>
      <c r="P334" t="n">
        <v>0</v>
      </c>
      <c r="Q334" t="n">
        <v>0</v>
      </c>
      <c r="R334" s="2" t="inlineStr"/>
    </row>
    <row r="335" ht="15" customHeight="1">
      <c r="A335" t="inlineStr">
        <is>
          <t>A 15055-2023</t>
        </is>
      </c>
      <c r="B335" s="1" t="n">
        <v>45015</v>
      </c>
      <c r="C335" s="1" t="n">
        <v>46092</v>
      </c>
      <c r="D335" t="inlineStr">
        <is>
          <t>SKÅNE LÄN</t>
        </is>
      </c>
      <c r="E335" t="inlineStr">
        <is>
          <t>HÄSSLEHOLM</t>
        </is>
      </c>
      <c r="G335" t="n">
        <v>1.9</v>
      </c>
      <c r="H335" t="n">
        <v>0</v>
      </c>
      <c r="I335" t="n">
        <v>0</v>
      </c>
      <c r="J335" t="n">
        <v>0</v>
      </c>
      <c r="K335" t="n">
        <v>0</v>
      </c>
      <c r="L335" t="n">
        <v>0</v>
      </c>
      <c r="M335" t="n">
        <v>0</v>
      </c>
      <c r="N335" t="n">
        <v>0</v>
      </c>
      <c r="O335" t="n">
        <v>0</v>
      </c>
      <c r="P335" t="n">
        <v>0</v>
      </c>
      <c r="Q335" t="n">
        <v>0</v>
      </c>
      <c r="R335" s="2" t="inlineStr"/>
    </row>
    <row r="336" ht="15" customHeight="1">
      <c r="A336" t="inlineStr">
        <is>
          <t>A 34187-2023</t>
        </is>
      </c>
      <c r="B336" s="1" t="n">
        <v>45138</v>
      </c>
      <c r="C336" s="1" t="n">
        <v>46092</v>
      </c>
      <c r="D336" t="inlineStr">
        <is>
          <t>SKÅNE LÄN</t>
        </is>
      </c>
      <c r="E336" t="inlineStr">
        <is>
          <t>HÄSSLEHOLM</t>
        </is>
      </c>
      <c r="G336" t="n">
        <v>0.4</v>
      </c>
      <c r="H336" t="n">
        <v>0</v>
      </c>
      <c r="I336" t="n">
        <v>0</v>
      </c>
      <c r="J336" t="n">
        <v>0</v>
      </c>
      <c r="K336" t="n">
        <v>0</v>
      </c>
      <c r="L336" t="n">
        <v>0</v>
      </c>
      <c r="M336" t="n">
        <v>0</v>
      </c>
      <c r="N336" t="n">
        <v>0</v>
      </c>
      <c r="O336" t="n">
        <v>0</v>
      </c>
      <c r="P336" t="n">
        <v>0</v>
      </c>
      <c r="Q336" t="n">
        <v>0</v>
      </c>
      <c r="R336" s="2" t="inlineStr"/>
    </row>
    <row r="337" ht="15" customHeight="1">
      <c r="A337" t="inlineStr">
        <is>
          <t>A 31255-2024</t>
        </is>
      </c>
      <c r="B337" s="1" t="n">
        <v>45503.69114583333</v>
      </c>
      <c r="C337" s="1" t="n">
        <v>46092</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9555-2025</t>
        </is>
      </c>
      <c r="B338" s="1" t="n">
        <v>45714</v>
      </c>
      <c r="C338" s="1" t="n">
        <v>46092</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44697-2021</t>
        </is>
      </c>
      <c r="B339" s="1" t="n">
        <v>44438</v>
      </c>
      <c r="C339" s="1" t="n">
        <v>46092</v>
      </c>
      <c r="D339" t="inlineStr">
        <is>
          <t>SKÅNE LÄN</t>
        </is>
      </c>
      <c r="E339" t="inlineStr">
        <is>
          <t>HÄSSLEHOLM</t>
        </is>
      </c>
      <c r="G339" t="n">
        <v>4.8</v>
      </c>
      <c r="H339" t="n">
        <v>0</v>
      </c>
      <c r="I339" t="n">
        <v>0</v>
      </c>
      <c r="J339" t="n">
        <v>0</v>
      </c>
      <c r="K339" t="n">
        <v>0</v>
      </c>
      <c r="L339" t="n">
        <v>0</v>
      </c>
      <c r="M339" t="n">
        <v>0</v>
      </c>
      <c r="N339" t="n">
        <v>0</v>
      </c>
      <c r="O339" t="n">
        <v>0</v>
      </c>
      <c r="P339" t="n">
        <v>0</v>
      </c>
      <c r="Q339" t="n">
        <v>0</v>
      </c>
      <c r="R339" s="2" t="inlineStr"/>
    </row>
    <row r="340" ht="15" customHeight="1">
      <c r="A340" t="inlineStr">
        <is>
          <t>A 40241-2025</t>
        </is>
      </c>
      <c r="B340" s="1" t="n">
        <v>45894.87251157407</v>
      </c>
      <c r="C340" s="1" t="n">
        <v>46092</v>
      </c>
      <c r="D340" t="inlineStr">
        <is>
          <t>SKÅNE LÄN</t>
        </is>
      </c>
      <c r="E340" t="inlineStr">
        <is>
          <t>HÄSSLEHOLM</t>
        </is>
      </c>
      <c r="G340" t="n">
        <v>3.8</v>
      </c>
      <c r="H340" t="n">
        <v>0</v>
      </c>
      <c r="I340" t="n">
        <v>0</v>
      </c>
      <c r="J340" t="n">
        <v>0</v>
      </c>
      <c r="K340" t="n">
        <v>0</v>
      </c>
      <c r="L340" t="n">
        <v>0</v>
      </c>
      <c r="M340" t="n">
        <v>0</v>
      </c>
      <c r="N340" t="n">
        <v>0</v>
      </c>
      <c r="O340" t="n">
        <v>0</v>
      </c>
      <c r="P340" t="n">
        <v>0</v>
      </c>
      <c r="Q340" t="n">
        <v>0</v>
      </c>
      <c r="R340" s="2" t="inlineStr"/>
    </row>
    <row r="341" ht="15" customHeight="1">
      <c r="A341" t="inlineStr">
        <is>
          <t>A 8433-2024</t>
        </is>
      </c>
      <c r="B341" s="1" t="n">
        <v>45353.48434027778</v>
      </c>
      <c r="C341" s="1" t="n">
        <v>46092</v>
      </c>
      <c r="D341" t="inlineStr">
        <is>
          <t>SKÅNE LÄN</t>
        </is>
      </c>
      <c r="E341" t="inlineStr">
        <is>
          <t>HÄSSLEHOLM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48807-2021</t>
        </is>
      </c>
      <c r="B342" s="1" t="n">
        <v>44452</v>
      </c>
      <c r="C342" s="1" t="n">
        <v>46092</v>
      </c>
      <c r="D342" t="inlineStr">
        <is>
          <t>SKÅNE LÄN</t>
        </is>
      </c>
      <c r="E342" t="inlineStr">
        <is>
          <t>HÄSSLEHOLM</t>
        </is>
      </c>
      <c r="G342" t="n">
        <v>1.1</v>
      </c>
      <c r="H342" t="n">
        <v>0</v>
      </c>
      <c r="I342" t="n">
        <v>0</v>
      </c>
      <c r="J342" t="n">
        <v>0</v>
      </c>
      <c r="K342" t="n">
        <v>0</v>
      </c>
      <c r="L342" t="n">
        <v>0</v>
      </c>
      <c r="M342" t="n">
        <v>0</v>
      </c>
      <c r="N342" t="n">
        <v>0</v>
      </c>
      <c r="O342" t="n">
        <v>0</v>
      </c>
      <c r="P342" t="n">
        <v>0</v>
      </c>
      <c r="Q342" t="n">
        <v>0</v>
      </c>
      <c r="R342" s="2" t="inlineStr"/>
    </row>
    <row r="343" ht="15" customHeight="1">
      <c r="A343" t="inlineStr">
        <is>
          <t>A 28457-2024</t>
        </is>
      </c>
      <c r="B343" s="1" t="n">
        <v>45477.68884259259</v>
      </c>
      <c r="C343" s="1" t="n">
        <v>46092</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13309-2025</t>
        </is>
      </c>
      <c r="B344" s="1" t="n">
        <v>45735.58512731481</v>
      </c>
      <c r="C344" s="1" t="n">
        <v>46092</v>
      </c>
      <c r="D344" t="inlineStr">
        <is>
          <t>SKÅNE LÄN</t>
        </is>
      </c>
      <c r="E344" t="inlineStr">
        <is>
          <t>HÄSSLEHOLM</t>
        </is>
      </c>
      <c r="G344" t="n">
        <v>1.2</v>
      </c>
      <c r="H344" t="n">
        <v>0</v>
      </c>
      <c r="I344" t="n">
        <v>0</v>
      </c>
      <c r="J344" t="n">
        <v>0</v>
      </c>
      <c r="K344" t="n">
        <v>0</v>
      </c>
      <c r="L344" t="n">
        <v>0</v>
      </c>
      <c r="M344" t="n">
        <v>0</v>
      </c>
      <c r="N344" t="n">
        <v>0</v>
      </c>
      <c r="O344" t="n">
        <v>0</v>
      </c>
      <c r="P344" t="n">
        <v>0</v>
      </c>
      <c r="Q344" t="n">
        <v>0</v>
      </c>
      <c r="R344" s="2" t="inlineStr"/>
    </row>
    <row r="345" ht="15" customHeight="1">
      <c r="A345" t="inlineStr">
        <is>
          <t>A 51752-2023</t>
        </is>
      </c>
      <c r="B345" s="1" t="n">
        <v>45222</v>
      </c>
      <c r="C345" s="1" t="n">
        <v>46092</v>
      </c>
      <c r="D345" t="inlineStr">
        <is>
          <t>SKÅNE LÄN</t>
        </is>
      </c>
      <c r="E345" t="inlineStr">
        <is>
          <t>HÄSSLEHOLM</t>
        </is>
      </c>
      <c r="G345" t="n">
        <v>1.8</v>
      </c>
      <c r="H345" t="n">
        <v>0</v>
      </c>
      <c r="I345" t="n">
        <v>0</v>
      </c>
      <c r="J345" t="n">
        <v>0</v>
      </c>
      <c r="K345" t="n">
        <v>0</v>
      </c>
      <c r="L345" t="n">
        <v>0</v>
      </c>
      <c r="M345" t="n">
        <v>0</v>
      </c>
      <c r="N345" t="n">
        <v>0</v>
      </c>
      <c r="O345" t="n">
        <v>0</v>
      </c>
      <c r="P345" t="n">
        <v>0</v>
      </c>
      <c r="Q345" t="n">
        <v>0</v>
      </c>
      <c r="R345" s="2" t="inlineStr"/>
    </row>
    <row r="346" ht="15" customHeight="1">
      <c r="A346" t="inlineStr">
        <is>
          <t>A 32834-2024</t>
        </is>
      </c>
      <c r="B346" s="1" t="n">
        <v>45516.6025</v>
      </c>
      <c r="C346" s="1" t="n">
        <v>46092</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59722-2025</t>
        </is>
      </c>
      <c r="B347" s="1" t="n">
        <v>45992.5474537037</v>
      </c>
      <c r="C347" s="1" t="n">
        <v>46092</v>
      </c>
      <c r="D347" t="inlineStr">
        <is>
          <t>SKÅNE LÄN</t>
        </is>
      </c>
      <c r="E347" t="inlineStr">
        <is>
          <t>HÄSSLEHOLM</t>
        </is>
      </c>
      <c r="G347" t="n">
        <v>1.6</v>
      </c>
      <c r="H347" t="n">
        <v>0</v>
      </c>
      <c r="I347" t="n">
        <v>0</v>
      </c>
      <c r="J347" t="n">
        <v>0</v>
      </c>
      <c r="K347" t="n">
        <v>0</v>
      </c>
      <c r="L347" t="n">
        <v>0</v>
      </c>
      <c r="M347" t="n">
        <v>0</v>
      </c>
      <c r="N347" t="n">
        <v>0</v>
      </c>
      <c r="O347" t="n">
        <v>0</v>
      </c>
      <c r="P347" t="n">
        <v>0</v>
      </c>
      <c r="Q347" t="n">
        <v>0</v>
      </c>
      <c r="R347" s="2" t="inlineStr"/>
    </row>
    <row r="348" ht="15" customHeight="1">
      <c r="A348" t="inlineStr">
        <is>
          <t>A 9397-2025</t>
        </is>
      </c>
      <c r="B348" s="1" t="n">
        <v>45715.37361111111</v>
      </c>
      <c r="C348" s="1" t="n">
        <v>46092</v>
      </c>
      <c r="D348" t="inlineStr">
        <is>
          <t>SKÅNE LÄN</t>
        </is>
      </c>
      <c r="E348" t="inlineStr">
        <is>
          <t>HÄSSLEHOLM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1616-2025</t>
        </is>
      </c>
      <c r="B349" s="1" t="n">
        <v>45670</v>
      </c>
      <c r="C349" s="1" t="n">
        <v>46092</v>
      </c>
      <c r="D349" t="inlineStr">
        <is>
          <t>SKÅNE LÄN</t>
        </is>
      </c>
      <c r="E349" t="inlineStr">
        <is>
          <t>HÄSSLEHOLM</t>
        </is>
      </c>
      <c r="G349" t="n">
        <v>3.6</v>
      </c>
      <c r="H349" t="n">
        <v>0</v>
      </c>
      <c r="I349" t="n">
        <v>0</v>
      </c>
      <c r="J349" t="n">
        <v>0</v>
      </c>
      <c r="K349" t="n">
        <v>0</v>
      </c>
      <c r="L349" t="n">
        <v>0</v>
      </c>
      <c r="M349" t="n">
        <v>0</v>
      </c>
      <c r="N349" t="n">
        <v>0</v>
      </c>
      <c r="O349" t="n">
        <v>0</v>
      </c>
      <c r="P349" t="n">
        <v>0</v>
      </c>
      <c r="Q349" t="n">
        <v>0</v>
      </c>
      <c r="R349" s="2" t="inlineStr"/>
    </row>
    <row r="350" ht="15" customHeight="1">
      <c r="A350" t="inlineStr">
        <is>
          <t>A 59109-2023</t>
        </is>
      </c>
      <c r="B350" s="1" t="n">
        <v>45253.30819444444</v>
      </c>
      <c r="C350" s="1" t="n">
        <v>46092</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49384-2021</t>
        </is>
      </c>
      <c r="B351" s="1" t="n">
        <v>44454</v>
      </c>
      <c r="C351" s="1" t="n">
        <v>46092</v>
      </c>
      <c r="D351" t="inlineStr">
        <is>
          <t>SKÅNE LÄN</t>
        </is>
      </c>
      <c r="E351" t="inlineStr">
        <is>
          <t>HÄSSLEHOLM</t>
        </is>
      </c>
      <c r="G351" t="n">
        <v>2.6</v>
      </c>
      <c r="H351" t="n">
        <v>0</v>
      </c>
      <c r="I351" t="n">
        <v>0</v>
      </c>
      <c r="J351" t="n">
        <v>0</v>
      </c>
      <c r="K351" t="n">
        <v>0</v>
      </c>
      <c r="L351" t="n">
        <v>0</v>
      </c>
      <c r="M351" t="n">
        <v>0</v>
      </c>
      <c r="N351" t="n">
        <v>0</v>
      </c>
      <c r="O351" t="n">
        <v>0</v>
      </c>
      <c r="P351" t="n">
        <v>0</v>
      </c>
      <c r="Q351" t="n">
        <v>0</v>
      </c>
      <c r="R351" s="2" t="inlineStr"/>
    </row>
    <row r="352" ht="15" customHeight="1">
      <c r="A352" t="inlineStr">
        <is>
          <t>A 54462-2022</t>
        </is>
      </c>
      <c r="B352" s="1" t="n">
        <v>44882</v>
      </c>
      <c r="C352" s="1" t="n">
        <v>46092</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25611-2024</t>
        </is>
      </c>
      <c r="B353" s="1" t="n">
        <v>45463</v>
      </c>
      <c r="C353" s="1" t="n">
        <v>46092</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53055-2021</t>
        </is>
      </c>
      <c r="B354" s="1" t="n">
        <v>44467</v>
      </c>
      <c r="C354" s="1" t="n">
        <v>46092</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7094-2023</t>
        </is>
      </c>
      <c r="B355" s="1" t="n">
        <v>44970.36958333333</v>
      </c>
      <c r="C355" s="1" t="n">
        <v>46092</v>
      </c>
      <c r="D355" t="inlineStr">
        <is>
          <t>SKÅNE LÄN</t>
        </is>
      </c>
      <c r="E355" t="inlineStr">
        <is>
          <t>HÄSSLEHOLM</t>
        </is>
      </c>
      <c r="G355" t="n">
        <v>3.6</v>
      </c>
      <c r="H355" t="n">
        <v>0</v>
      </c>
      <c r="I355" t="n">
        <v>0</v>
      </c>
      <c r="J355" t="n">
        <v>0</v>
      </c>
      <c r="K355" t="n">
        <v>0</v>
      </c>
      <c r="L355" t="n">
        <v>0</v>
      </c>
      <c r="M355" t="n">
        <v>0</v>
      </c>
      <c r="N355" t="n">
        <v>0</v>
      </c>
      <c r="O355" t="n">
        <v>0</v>
      </c>
      <c r="P355" t="n">
        <v>0</v>
      </c>
      <c r="Q355" t="n">
        <v>0</v>
      </c>
      <c r="R355" s="2" t="inlineStr"/>
    </row>
    <row r="356" ht="15" customHeight="1">
      <c r="A356" t="inlineStr">
        <is>
          <t>A 32100-2024</t>
        </is>
      </c>
      <c r="B356" s="1" t="n">
        <v>45511.41451388889</v>
      </c>
      <c r="C356" s="1" t="n">
        <v>46092</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10220-2023</t>
        </is>
      </c>
      <c r="B357" s="1" t="n">
        <v>44986.60916666667</v>
      </c>
      <c r="C357" s="1" t="n">
        <v>46092</v>
      </c>
      <c r="D357" t="inlineStr">
        <is>
          <t>SKÅNE LÄN</t>
        </is>
      </c>
      <c r="E357" t="inlineStr">
        <is>
          <t>HÄSSLEHOLM</t>
        </is>
      </c>
      <c r="G357" t="n">
        <v>1.7</v>
      </c>
      <c r="H357" t="n">
        <v>0</v>
      </c>
      <c r="I357" t="n">
        <v>0</v>
      </c>
      <c r="J357" t="n">
        <v>0</v>
      </c>
      <c r="K357" t="n">
        <v>0</v>
      </c>
      <c r="L357" t="n">
        <v>0</v>
      </c>
      <c r="M357" t="n">
        <v>0</v>
      </c>
      <c r="N357" t="n">
        <v>0</v>
      </c>
      <c r="O357" t="n">
        <v>0</v>
      </c>
      <c r="P357" t="n">
        <v>0</v>
      </c>
      <c r="Q357" t="n">
        <v>0</v>
      </c>
      <c r="R357" s="2" t="inlineStr"/>
    </row>
    <row r="358" ht="15" customHeight="1">
      <c r="A358" t="inlineStr">
        <is>
          <t>A 35810-2023</t>
        </is>
      </c>
      <c r="B358" s="1" t="n">
        <v>45148.44046296296</v>
      </c>
      <c r="C358" s="1" t="n">
        <v>46092</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35833-2023</t>
        </is>
      </c>
      <c r="B359" s="1" t="n">
        <v>45148</v>
      </c>
      <c r="C359" s="1" t="n">
        <v>46092</v>
      </c>
      <c r="D359" t="inlineStr">
        <is>
          <t>SKÅNE LÄN</t>
        </is>
      </c>
      <c r="E359" t="inlineStr">
        <is>
          <t>HÄSSLEHOLM</t>
        </is>
      </c>
      <c r="F359" t="inlineStr">
        <is>
          <t>Kommuner</t>
        </is>
      </c>
      <c r="G359" t="n">
        <v>2</v>
      </c>
      <c r="H359" t="n">
        <v>0</v>
      </c>
      <c r="I359" t="n">
        <v>0</v>
      </c>
      <c r="J359" t="n">
        <v>0</v>
      </c>
      <c r="K359" t="n">
        <v>0</v>
      </c>
      <c r="L359" t="n">
        <v>0</v>
      </c>
      <c r="M359" t="n">
        <v>0</v>
      </c>
      <c r="N359" t="n">
        <v>0</v>
      </c>
      <c r="O359" t="n">
        <v>0</v>
      </c>
      <c r="P359" t="n">
        <v>0</v>
      </c>
      <c r="Q359" t="n">
        <v>0</v>
      </c>
      <c r="R359" s="2" t="inlineStr"/>
    </row>
    <row r="360" ht="15" customHeight="1">
      <c r="A360" t="inlineStr">
        <is>
          <t>A 59556-2023</t>
        </is>
      </c>
      <c r="B360" s="1" t="n">
        <v>45254.56313657408</v>
      </c>
      <c r="C360" s="1" t="n">
        <v>46092</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53077-2022</t>
        </is>
      </c>
      <c r="B361" s="1" t="n">
        <v>44873</v>
      </c>
      <c r="C361" s="1" t="n">
        <v>46092</v>
      </c>
      <c r="D361" t="inlineStr">
        <is>
          <t>SKÅNE LÄN</t>
        </is>
      </c>
      <c r="E361" t="inlineStr">
        <is>
          <t>HÄSSLEHOLM</t>
        </is>
      </c>
      <c r="G361" t="n">
        <v>3</v>
      </c>
      <c r="H361" t="n">
        <v>0</v>
      </c>
      <c r="I361" t="n">
        <v>0</v>
      </c>
      <c r="J361" t="n">
        <v>0</v>
      </c>
      <c r="K361" t="n">
        <v>0</v>
      </c>
      <c r="L361" t="n">
        <v>0</v>
      </c>
      <c r="M361" t="n">
        <v>0</v>
      </c>
      <c r="N361" t="n">
        <v>0</v>
      </c>
      <c r="O361" t="n">
        <v>0</v>
      </c>
      <c r="P361" t="n">
        <v>0</v>
      </c>
      <c r="Q361" t="n">
        <v>0</v>
      </c>
      <c r="R361" s="2" t="inlineStr"/>
    </row>
    <row r="362" ht="15" customHeight="1">
      <c r="A362" t="inlineStr">
        <is>
          <t>A 19744-2023</t>
        </is>
      </c>
      <c r="B362" s="1" t="n">
        <v>45051</v>
      </c>
      <c r="C362" s="1" t="n">
        <v>46092</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14655-2025</t>
        </is>
      </c>
      <c r="B363" s="1" t="n">
        <v>45742.5072337963</v>
      </c>
      <c r="C363" s="1" t="n">
        <v>46092</v>
      </c>
      <c r="D363" t="inlineStr">
        <is>
          <t>SKÅNE LÄN</t>
        </is>
      </c>
      <c r="E363" t="inlineStr">
        <is>
          <t>HÄSSLEHOLM</t>
        </is>
      </c>
      <c r="G363" t="n">
        <v>4.5</v>
      </c>
      <c r="H363" t="n">
        <v>0</v>
      </c>
      <c r="I363" t="n">
        <v>0</v>
      </c>
      <c r="J363" t="n">
        <v>0</v>
      </c>
      <c r="K363" t="n">
        <v>0</v>
      </c>
      <c r="L363" t="n">
        <v>0</v>
      </c>
      <c r="M363" t="n">
        <v>0</v>
      </c>
      <c r="N363" t="n">
        <v>0</v>
      </c>
      <c r="O363" t="n">
        <v>0</v>
      </c>
      <c r="P363" t="n">
        <v>0</v>
      </c>
      <c r="Q363" t="n">
        <v>0</v>
      </c>
      <c r="R363" s="2" t="inlineStr"/>
    </row>
    <row r="364" ht="15" customHeight="1">
      <c r="A364" t="inlineStr">
        <is>
          <t>A 14926-2024</t>
        </is>
      </c>
      <c r="B364" s="1" t="n">
        <v>45398</v>
      </c>
      <c r="C364" s="1" t="n">
        <v>46092</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60843-2022</t>
        </is>
      </c>
      <c r="B365" s="1" t="n">
        <v>44914</v>
      </c>
      <c r="C365" s="1" t="n">
        <v>46092</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61504-2022</t>
        </is>
      </c>
      <c r="B366" s="1" t="n">
        <v>44910</v>
      </c>
      <c r="C366" s="1" t="n">
        <v>46092</v>
      </c>
      <c r="D366" t="inlineStr">
        <is>
          <t>SKÅNE LÄN</t>
        </is>
      </c>
      <c r="E366" t="inlineStr">
        <is>
          <t>HÄSSLEHOLM</t>
        </is>
      </c>
      <c r="F366" t="inlineStr">
        <is>
          <t>Kyrkan</t>
        </is>
      </c>
      <c r="G366" t="n">
        <v>2.9</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46092</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19739-2023</t>
        </is>
      </c>
      <c r="B368" s="1" t="n">
        <v>45051</v>
      </c>
      <c r="C368" s="1" t="n">
        <v>46092</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41401-2025</t>
        </is>
      </c>
      <c r="B369" s="1" t="n">
        <v>45901</v>
      </c>
      <c r="C369" s="1" t="n">
        <v>46092</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52968-2022</t>
        </is>
      </c>
      <c r="B370" s="1" t="n">
        <v>44875</v>
      </c>
      <c r="C370" s="1" t="n">
        <v>46092</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59763-2022</t>
        </is>
      </c>
      <c r="B371" s="1" t="n">
        <v>44900</v>
      </c>
      <c r="C371" s="1" t="n">
        <v>46092</v>
      </c>
      <c r="D371" t="inlineStr">
        <is>
          <t>SKÅNE LÄN</t>
        </is>
      </c>
      <c r="E371" t="inlineStr">
        <is>
          <t>HÄSSLEHOLM</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3364-2023</t>
        </is>
      </c>
      <c r="B372" s="1" t="n">
        <v>44949</v>
      </c>
      <c r="C372" s="1" t="n">
        <v>46092</v>
      </c>
      <c r="D372" t="inlineStr">
        <is>
          <t>SKÅNE LÄN</t>
        </is>
      </c>
      <c r="E372" t="inlineStr">
        <is>
          <t>HÄSSLEHOLM</t>
        </is>
      </c>
      <c r="G372" t="n">
        <v>5.1</v>
      </c>
      <c r="H372" t="n">
        <v>0</v>
      </c>
      <c r="I372" t="n">
        <v>0</v>
      </c>
      <c r="J372" t="n">
        <v>0</v>
      </c>
      <c r="K372" t="n">
        <v>0</v>
      </c>
      <c r="L372" t="n">
        <v>0</v>
      </c>
      <c r="M372" t="n">
        <v>0</v>
      </c>
      <c r="N372" t="n">
        <v>0</v>
      </c>
      <c r="O372" t="n">
        <v>0</v>
      </c>
      <c r="P372" t="n">
        <v>0</v>
      </c>
      <c r="Q372" t="n">
        <v>0</v>
      </c>
      <c r="R372" s="2" t="inlineStr"/>
    </row>
    <row r="373" ht="15" customHeight="1">
      <c r="A373" t="inlineStr">
        <is>
          <t>A 52642-2021</t>
        </is>
      </c>
      <c r="B373" s="1" t="n">
        <v>44466.64298611111</v>
      </c>
      <c r="C373" s="1" t="n">
        <v>46092</v>
      </c>
      <c r="D373" t="inlineStr">
        <is>
          <t>SKÅNE LÄN</t>
        </is>
      </c>
      <c r="E373" t="inlineStr">
        <is>
          <t>HÄSSLEHOLM</t>
        </is>
      </c>
      <c r="G373" t="n">
        <v>3.7</v>
      </c>
      <c r="H373" t="n">
        <v>0</v>
      </c>
      <c r="I373" t="n">
        <v>0</v>
      </c>
      <c r="J373" t="n">
        <v>0</v>
      </c>
      <c r="K373" t="n">
        <v>0</v>
      </c>
      <c r="L373" t="n">
        <v>0</v>
      </c>
      <c r="M373" t="n">
        <v>0</v>
      </c>
      <c r="N373" t="n">
        <v>0</v>
      </c>
      <c r="O373" t="n">
        <v>0</v>
      </c>
      <c r="P373" t="n">
        <v>0</v>
      </c>
      <c r="Q373" t="n">
        <v>0</v>
      </c>
      <c r="R373" s="2" t="inlineStr"/>
    </row>
    <row r="374" ht="15" customHeight="1">
      <c r="A374" t="inlineStr">
        <is>
          <t>A 61322-2025</t>
        </is>
      </c>
      <c r="B374" s="1" t="n">
        <v>46000</v>
      </c>
      <c r="C374" s="1" t="n">
        <v>46092</v>
      </c>
      <c r="D374" t="inlineStr">
        <is>
          <t>SKÅNE LÄN</t>
        </is>
      </c>
      <c r="E374" t="inlineStr">
        <is>
          <t>HÄSSLEHOLM</t>
        </is>
      </c>
      <c r="G374" t="n">
        <v>2.2</v>
      </c>
      <c r="H374" t="n">
        <v>0</v>
      </c>
      <c r="I374" t="n">
        <v>0</v>
      </c>
      <c r="J374" t="n">
        <v>0</v>
      </c>
      <c r="K374" t="n">
        <v>0</v>
      </c>
      <c r="L374" t="n">
        <v>0</v>
      </c>
      <c r="M374" t="n">
        <v>0</v>
      </c>
      <c r="N374" t="n">
        <v>0</v>
      </c>
      <c r="O374" t="n">
        <v>0</v>
      </c>
      <c r="P374" t="n">
        <v>0</v>
      </c>
      <c r="Q374" t="n">
        <v>0</v>
      </c>
      <c r="R374" s="2" t="inlineStr"/>
    </row>
    <row r="375" ht="15" customHeight="1">
      <c r="A375" t="inlineStr">
        <is>
          <t>A 7681-2025</t>
        </is>
      </c>
      <c r="B375" s="1" t="n">
        <v>45706.36758101852</v>
      </c>
      <c r="C375" s="1" t="n">
        <v>46092</v>
      </c>
      <c r="D375" t="inlineStr">
        <is>
          <t>SKÅNE LÄN</t>
        </is>
      </c>
      <c r="E375" t="inlineStr">
        <is>
          <t>HÄSSLEHOLM</t>
        </is>
      </c>
      <c r="G375" t="n">
        <v>1.9</v>
      </c>
      <c r="H375" t="n">
        <v>0</v>
      </c>
      <c r="I375" t="n">
        <v>0</v>
      </c>
      <c r="J375" t="n">
        <v>0</v>
      </c>
      <c r="K375" t="n">
        <v>0</v>
      </c>
      <c r="L375" t="n">
        <v>0</v>
      </c>
      <c r="M375" t="n">
        <v>0</v>
      </c>
      <c r="N375" t="n">
        <v>0</v>
      </c>
      <c r="O375" t="n">
        <v>0</v>
      </c>
      <c r="P375" t="n">
        <v>0</v>
      </c>
      <c r="Q375" t="n">
        <v>0</v>
      </c>
      <c r="R375" s="2" t="inlineStr"/>
    </row>
    <row r="376" ht="15" customHeight="1">
      <c r="A376" t="inlineStr">
        <is>
          <t>A 15562-2024</t>
        </is>
      </c>
      <c r="B376" s="1" t="n">
        <v>45401.64975694445</v>
      </c>
      <c r="C376" s="1" t="n">
        <v>46092</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24032-2025</t>
        </is>
      </c>
      <c r="B377" s="1" t="n">
        <v>45796.478125</v>
      </c>
      <c r="C377" s="1" t="n">
        <v>46092</v>
      </c>
      <c r="D377" t="inlineStr">
        <is>
          <t>SKÅNE LÄN</t>
        </is>
      </c>
      <c r="E377" t="inlineStr">
        <is>
          <t>HÄSSLEHOLM</t>
        </is>
      </c>
      <c r="G377" t="n">
        <v>2.2</v>
      </c>
      <c r="H377" t="n">
        <v>0</v>
      </c>
      <c r="I377" t="n">
        <v>0</v>
      </c>
      <c r="J377" t="n">
        <v>0</v>
      </c>
      <c r="K377" t="n">
        <v>0</v>
      </c>
      <c r="L377" t="n">
        <v>0</v>
      </c>
      <c r="M377" t="n">
        <v>0</v>
      </c>
      <c r="N377" t="n">
        <v>0</v>
      </c>
      <c r="O377" t="n">
        <v>0</v>
      </c>
      <c r="P377" t="n">
        <v>0</v>
      </c>
      <c r="Q377" t="n">
        <v>0</v>
      </c>
      <c r="R377" s="2" t="inlineStr"/>
    </row>
    <row r="378" ht="15" customHeight="1">
      <c r="A378" t="inlineStr">
        <is>
          <t>A 60789-2024</t>
        </is>
      </c>
      <c r="B378" s="1" t="n">
        <v>45644</v>
      </c>
      <c r="C378" s="1" t="n">
        <v>46092</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5252-2025</t>
        </is>
      </c>
      <c r="B379" s="1" t="n">
        <v>45692.3449537037</v>
      </c>
      <c r="C379" s="1" t="n">
        <v>46092</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5242-2025</t>
        </is>
      </c>
      <c r="B380" s="1" t="n">
        <v>45692.32883101852</v>
      </c>
      <c r="C380" s="1" t="n">
        <v>46092</v>
      </c>
      <c r="D380" t="inlineStr">
        <is>
          <t>SKÅNE LÄN</t>
        </is>
      </c>
      <c r="E380" t="inlineStr">
        <is>
          <t>HÄSSLEHOLM</t>
        </is>
      </c>
      <c r="G380" t="n">
        <v>1.1</v>
      </c>
      <c r="H380" t="n">
        <v>0</v>
      </c>
      <c r="I380" t="n">
        <v>0</v>
      </c>
      <c r="J380" t="n">
        <v>0</v>
      </c>
      <c r="K380" t="n">
        <v>0</v>
      </c>
      <c r="L380" t="n">
        <v>0</v>
      </c>
      <c r="M380" t="n">
        <v>0</v>
      </c>
      <c r="N380" t="n">
        <v>0</v>
      </c>
      <c r="O380" t="n">
        <v>0</v>
      </c>
      <c r="P380" t="n">
        <v>0</v>
      </c>
      <c r="Q380" t="n">
        <v>0</v>
      </c>
      <c r="R380" s="2" t="inlineStr"/>
    </row>
    <row r="381" ht="15" customHeight="1">
      <c r="A381" t="inlineStr">
        <is>
          <t>A 24034-2025</t>
        </is>
      </c>
      <c r="B381" s="1" t="n">
        <v>45796.48251157408</v>
      </c>
      <c r="C381" s="1" t="n">
        <v>46092</v>
      </c>
      <c r="D381" t="inlineStr">
        <is>
          <t>SKÅNE LÄN</t>
        </is>
      </c>
      <c r="E381" t="inlineStr">
        <is>
          <t>HÄSSLEHOLM</t>
        </is>
      </c>
      <c r="G381" t="n">
        <v>0.9</v>
      </c>
      <c r="H381" t="n">
        <v>0</v>
      </c>
      <c r="I381" t="n">
        <v>0</v>
      </c>
      <c r="J381" t="n">
        <v>0</v>
      </c>
      <c r="K381" t="n">
        <v>0</v>
      </c>
      <c r="L381" t="n">
        <v>0</v>
      </c>
      <c r="M381" t="n">
        <v>0</v>
      </c>
      <c r="N381" t="n">
        <v>0</v>
      </c>
      <c r="O381" t="n">
        <v>0</v>
      </c>
      <c r="P381" t="n">
        <v>0</v>
      </c>
      <c r="Q381" t="n">
        <v>0</v>
      </c>
      <c r="R381" s="2" t="inlineStr"/>
    </row>
    <row r="382" ht="15" customHeight="1">
      <c r="A382" t="inlineStr">
        <is>
          <t>A 61474-2025</t>
        </is>
      </c>
      <c r="B382" s="1" t="n">
        <v>46001.61886574074</v>
      </c>
      <c r="C382" s="1" t="n">
        <v>46092</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24250-2025</t>
        </is>
      </c>
      <c r="B383" s="1" t="n">
        <v>45797.40260416667</v>
      </c>
      <c r="C383" s="1" t="n">
        <v>46092</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24029-2025</t>
        </is>
      </c>
      <c r="B384" s="1" t="n">
        <v>45796.47552083333</v>
      </c>
      <c r="C384" s="1" t="n">
        <v>46092</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24039-2025</t>
        </is>
      </c>
      <c r="B385" s="1" t="n">
        <v>45796.48675925926</v>
      </c>
      <c r="C385" s="1" t="n">
        <v>46092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24047-2025</t>
        </is>
      </c>
      <c r="B386" s="1" t="n">
        <v>45796.49528935185</v>
      </c>
      <c r="C386" s="1" t="n">
        <v>46092</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24675-2025</t>
        </is>
      </c>
      <c r="B387" s="1" t="n">
        <v>45798.653125</v>
      </c>
      <c r="C387" s="1" t="n">
        <v>46092</v>
      </c>
      <c r="D387" t="inlineStr">
        <is>
          <t>SKÅNE LÄN</t>
        </is>
      </c>
      <c r="E387" t="inlineStr">
        <is>
          <t>HÄSSLEHOLM</t>
        </is>
      </c>
      <c r="G387" t="n">
        <v>1.8</v>
      </c>
      <c r="H387" t="n">
        <v>0</v>
      </c>
      <c r="I387" t="n">
        <v>0</v>
      </c>
      <c r="J387" t="n">
        <v>0</v>
      </c>
      <c r="K387" t="n">
        <v>0</v>
      </c>
      <c r="L387" t="n">
        <v>0</v>
      </c>
      <c r="M387" t="n">
        <v>0</v>
      </c>
      <c r="N387" t="n">
        <v>0</v>
      </c>
      <c r="O387" t="n">
        <v>0</v>
      </c>
      <c r="P387" t="n">
        <v>0</v>
      </c>
      <c r="Q387" t="n">
        <v>0</v>
      </c>
      <c r="R387" s="2" t="inlineStr"/>
    </row>
    <row r="388" ht="15" customHeight="1">
      <c r="A388" t="inlineStr">
        <is>
          <t>A 42735-2024</t>
        </is>
      </c>
      <c r="B388" s="1" t="n">
        <v>45566.47274305556</v>
      </c>
      <c r="C388" s="1" t="n">
        <v>46092</v>
      </c>
      <c r="D388" t="inlineStr">
        <is>
          <t>SKÅNE LÄN</t>
        </is>
      </c>
      <c r="E388" t="inlineStr">
        <is>
          <t>HÄSSLEHOLM</t>
        </is>
      </c>
      <c r="G388" t="n">
        <v>3.7</v>
      </c>
      <c r="H388" t="n">
        <v>0</v>
      </c>
      <c r="I388" t="n">
        <v>0</v>
      </c>
      <c r="J388" t="n">
        <v>0</v>
      </c>
      <c r="K388" t="n">
        <v>0</v>
      </c>
      <c r="L388" t="n">
        <v>0</v>
      </c>
      <c r="M388" t="n">
        <v>0</v>
      </c>
      <c r="N388" t="n">
        <v>0</v>
      </c>
      <c r="O388" t="n">
        <v>0</v>
      </c>
      <c r="P388" t="n">
        <v>0</v>
      </c>
      <c r="Q388" t="n">
        <v>0</v>
      </c>
      <c r="R388" s="2" t="inlineStr"/>
    </row>
    <row r="389" ht="15" customHeight="1">
      <c r="A389" t="inlineStr">
        <is>
          <t>A 55522-2024</t>
        </is>
      </c>
      <c r="B389" s="1" t="n">
        <v>45622</v>
      </c>
      <c r="C389" s="1" t="n">
        <v>46092</v>
      </c>
      <c r="D389" t="inlineStr">
        <is>
          <t>SKÅNE LÄN</t>
        </is>
      </c>
      <c r="E389" t="inlineStr">
        <is>
          <t>HÄSSLEHOLM</t>
        </is>
      </c>
      <c r="G389" t="n">
        <v>5.6</v>
      </c>
      <c r="H389" t="n">
        <v>0</v>
      </c>
      <c r="I389" t="n">
        <v>0</v>
      </c>
      <c r="J389" t="n">
        <v>0</v>
      </c>
      <c r="K389" t="n">
        <v>0</v>
      </c>
      <c r="L389" t="n">
        <v>0</v>
      </c>
      <c r="M389" t="n">
        <v>0</v>
      </c>
      <c r="N389" t="n">
        <v>0</v>
      </c>
      <c r="O389" t="n">
        <v>0</v>
      </c>
      <c r="P389" t="n">
        <v>0</v>
      </c>
      <c r="Q389" t="n">
        <v>0</v>
      </c>
      <c r="R389" s="2" t="inlineStr"/>
    </row>
    <row r="390" ht="15" customHeight="1">
      <c r="A390" t="inlineStr">
        <is>
          <t>A 28071-2023</t>
        </is>
      </c>
      <c r="B390" s="1" t="n">
        <v>45099.37755787037</v>
      </c>
      <c r="C390" s="1" t="n">
        <v>46092</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32826-2024</t>
        </is>
      </c>
      <c r="B391" s="1" t="n">
        <v>45516.59056712963</v>
      </c>
      <c r="C391" s="1" t="n">
        <v>46092</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18648-2021</t>
        </is>
      </c>
      <c r="B392" s="1" t="n">
        <v>44306.70583333333</v>
      </c>
      <c r="C392" s="1" t="n">
        <v>46092</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32512-2024</t>
        </is>
      </c>
      <c r="B393" s="1" t="n">
        <v>45513.45613425926</v>
      </c>
      <c r="C393" s="1" t="n">
        <v>46092</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23946-2023</t>
        </is>
      </c>
      <c r="B394" s="1" t="n">
        <v>45078.61601851852</v>
      </c>
      <c r="C394" s="1" t="n">
        <v>46092</v>
      </c>
      <c r="D394" t="inlineStr">
        <is>
          <t>SKÅNE LÄN</t>
        </is>
      </c>
      <c r="E394" t="inlineStr">
        <is>
          <t>HÄSSLEHOLM</t>
        </is>
      </c>
      <c r="G394" t="n">
        <v>0.2</v>
      </c>
      <c r="H394" t="n">
        <v>0</v>
      </c>
      <c r="I394" t="n">
        <v>0</v>
      </c>
      <c r="J394" t="n">
        <v>0</v>
      </c>
      <c r="K394" t="n">
        <v>0</v>
      </c>
      <c r="L394" t="n">
        <v>0</v>
      </c>
      <c r="M394" t="n">
        <v>0</v>
      </c>
      <c r="N394" t="n">
        <v>0</v>
      </c>
      <c r="O394" t="n">
        <v>0</v>
      </c>
      <c r="P394" t="n">
        <v>0</v>
      </c>
      <c r="Q394" t="n">
        <v>0</v>
      </c>
      <c r="R394" s="2" t="inlineStr"/>
    </row>
    <row r="395" ht="15" customHeight="1">
      <c r="A395" t="inlineStr">
        <is>
          <t>A 24985-2025</t>
        </is>
      </c>
      <c r="B395" s="1" t="n">
        <v>45799.60256944445</v>
      </c>
      <c r="C395" s="1" t="n">
        <v>46092</v>
      </c>
      <c r="D395" t="inlineStr">
        <is>
          <t>SKÅNE LÄN</t>
        </is>
      </c>
      <c r="E395" t="inlineStr">
        <is>
          <t>HÄSSLEHOLM</t>
        </is>
      </c>
      <c r="G395" t="n">
        <v>2.3</v>
      </c>
      <c r="H395" t="n">
        <v>0</v>
      </c>
      <c r="I395" t="n">
        <v>0</v>
      </c>
      <c r="J395" t="n">
        <v>0</v>
      </c>
      <c r="K395" t="n">
        <v>0</v>
      </c>
      <c r="L395" t="n">
        <v>0</v>
      </c>
      <c r="M395" t="n">
        <v>0</v>
      </c>
      <c r="N395" t="n">
        <v>0</v>
      </c>
      <c r="O395" t="n">
        <v>0</v>
      </c>
      <c r="P395" t="n">
        <v>0</v>
      </c>
      <c r="Q395" t="n">
        <v>0</v>
      </c>
      <c r="R395" s="2" t="inlineStr"/>
    </row>
    <row r="396" ht="15" customHeight="1">
      <c r="A396" t="inlineStr">
        <is>
          <t>A 10562-2025</t>
        </is>
      </c>
      <c r="B396" s="1" t="n">
        <v>45721.52913194444</v>
      </c>
      <c r="C396" s="1" t="n">
        <v>46092</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42520-2025</t>
        </is>
      </c>
      <c r="B397" s="1" t="n">
        <v>45905.54846064815</v>
      </c>
      <c r="C397" s="1" t="n">
        <v>46092</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41459-2022</t>
        </is>
      </c>
      <c r="B398" s="1" t="n">
        <v>44826.93372685185</v>
      </c>
      <c r="C398" s="1" t="n">
        <v>46092</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62376-2025</t>
        </is>
      </c>
      <c r="B399" s="1" t="n">
        <v>46006</v>
      </c>
      <c r="C399" s="1" t="n">
        <v>46092</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62271-2025</t>
        </is>
      </c>
      <c r="B400" s="1" t="n">
        <v>46006.62256944444</v>
      </c>
      <c r="C400" s="1" t="n">
        <v>46092</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62264-2025</t>
        </is>
      </c>
      <c r="B401" s="1" t="n">
        <v>46006.61644675926</v>
      </c>
      <c r="C401" s="1" t="n">
        <v>46092</v>
      </c>
      <c r="D401" t="inlineStr">
        <is>
          <t>SKÅNE LÄN</t>
        </is>
      </c>
      <c r="E401" t="inlineStr">
        <is>
          <t>HÄSSLEHOLM</t>
        </is>
      </c>
      <c r="G401" t="n">
        <v>7.5</v>
      </c>
      <c r="H401" t="n">
        <v>0</v>
      </c>
      <c r="I401" t="n">
        <v>0</v>
      </c>
      <c r="J401" t="n">
        <v>0</v>
      </c>
      <c r="K401" t="n">
        <v>0</v>
      </c>
      <c r="L401" t="n">
        <v>0</v>
      </c>
      <c r="M401" t="n">
        <v>0</v>
      </c>
      <c r="N401" t="n">
        <v>0</v>
      </c>
      <c r="O401" t="n">
        <v>0</v>
      </c>
      <c r="P401" t="n">
        <v>0</v>
      </c>
      <c r="Q401" t="n">
        <v>0</v>
      </c>
      <c r="R401" s="2" t="inlineStr"/>
    </row>
    <row r="402" ht="15" customHeight="1">
      <c r="A402" t="inlineStr">
        <is>
          <t>A 24658-2025</t>
        </is>
      </c>
      <c r="B402" s="1" t="n">
        <v>45798.64134259259</v>
      </c>
      <c r="C402" s="1" t="n">
        <v>46092</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29847-2024</t>
        </is>
      </c>
      <c r="B403" s="1" t="n">
        <v>45485.6278587963</v>
      </c>
      <c r="C403" s="1" t="n">
        <v>46092</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46813-2024</t>
        </is>
      </c>
      <c r="B404" s="1" t="n">
        <v>45583</v>
      </c>
      <c r="C404" s="1" t="n">
        <v>46092</v>
      </c>
      <c r="D404" t="inlineStr">
        <is>
          <t>SKÅNE LÄN</t>
        </is>
      </c>
      <c r="E404" t="inlineStr">
        <is>
          <t>HÄSSLEHOLM</t>
        </is>
      </c>
      <c r="G404" t="n">
        <v>14.9</v>
      </c>
      <c r="H404" t="n">
        <v>0</v>
      </c>
      <c r="I404" t="n">
        <v>0</v>
      </c>
      <c r="J404" t="n">
        <v>0</v>
      </c>
      <c r="K404" t="n">
        <v>0</v>
      </c>
      <c r="L404" t="n">
        <v>0</v>
      </c>
      <c r="M404" t="n">
        <v>0</v>
      </c>
      <c r="N404" t="n">
        <v>0</v>
      </c>
      <c r="O404" t="n">
        <v>0</v>
      </c>
      <c r="P404" t="n">
        <v>0</v>
      </c>
      <c r="Q404" t="n">
        <v>0</v>
      </c>
      <c r="R404" s="2" t="inlineStr"/>
    </row>
    <row r="405" ht="15" customHeight="1">
      <c r="A405" t="inlineStr">
        <is>
          <t>A 25372-2025</t>
        </is>
      </c>
      <c r="B405" s="1" t="n">
        <v>45799</v>
      </c>
      <c r="C405" s="1" t="n">
        <v>46092</v>
      </c>
      <c r="D405" t="inlineStr">
        <is>
          <t>SKÅNE LÄN</t>
        </is>
      </c>
      <c r="E405" t="inlineStr">
        <is>
          <t>HÄSSLEHOLM</t>
        </is>
      </c>
      <c r="G405" t="n">
        <v>3.1</v>
      </c>
      <c r="H405" t="n">
        <v>0</v>
      </c>
      <c r="I405" t="n">
        <v>0</v>
      </c>
      <c r="J405" t="n">
        <v>0</v>
      </c>
      <c r="K405" t="n">
        <v>0</v>
      </c>
      <c r="L405" t="n">
        <v>0</v>
      </c>
      <c r="M405" t="n">
        <v>0</v>
      </c>
      <c r="N405" t="n">
        <v>0</v>
      </c>
      <c r="O405" t="n">
        <v>0</v>
      </c>
      <c r="P405" t="n">
        <v>0</v>
      </c>
      <c r="Q405" t="n">
        <v>0</v>
      </c>
      <c r="R405" s="2" t="inlineStr"/>
    </row>
    <row r="406" ht="15" customHeight="1">
      <c r="A406" t="inlineStr">
        <is>
          <t>A 9399-2025</t>
        </is>
      </c>
      <c r="B406" s="1" t="n">
        <v>45715.37861111111</v>
      </c>
      <c r="C406" s="1" t="n">
        <v>46092</v>
      </c>
      <c r="D406" t="inlineStr">
        <is>
          <t>SKÅNE LÄN</t>
        </is>
      </c>
      <c r="E406" t="inlineStr">
        <is>
          <t>HÄSSLEHOLM</t>
        </is>
      </c>
      <c r="G406" t="n">
        <v>5.2</v>
      </c>
      <c r="H406" t="n">
        <v>0</v>
      </c>
      <c r="I406" t="n">
        <v>0</v>
      </c>
      <c r="J406" t="n">
        <v>0</v>
      </c>
      <c r="K406" t="n">
        <v>0</v>
      </c>
      <c r="L406" t="n">
        <v>0</v>
      </c>
      <c r="M406" t="n">
        <v>0</v>
      </c>
      <c r="N406" t="n">
        <v>0</v>
      </c>
      <c r="O406" t="n">
        <v>0</v>
      </c>
      <c r="P406" t="n">
        <v>0</v>
      </c>
      <c r="Q406" t="n">
        <v>0</v>
      </c>
      <c r="R406" s="2" t="inlineStr"/>
    </row>
    <row r="407" ht="15" customHeight="1">
      <c r="A407" t="inlineStr">
        <is>
          <t>A 22384-2024</t>
        </is>
      </c>
      <c r="B407" s="1" t="n">
        <v>45446.65592592592</v>
      </c>
      <c r="C407" s="1" t="n">
        <v>46092</v>
      </c>
      <c r="D407" t="inlineStr">
        <is>
          <t>SKÅNE LÄN</t>
        </is>
      </c>
      <c r="E407" t="inlineStr">
        <is>
          <t>HÄSSLEHOLM</t>
        </is>
      </c>
      <c r="G407" t="n">
        <v>2.4</v>
      </c>
      <c r="H407" t="n">
        <v>0</v>
      </c>
      <c r="I407" t="n">
        <v>0</v>
      </c>
      <c r="J407" t="n">
        <v>0</v>
      </c>
      <c r="K407" t="n">
        <v>0</v>
      </c>
      <c r="L407" t="n">
        <v>0</v>
      </c>
      <c r="M407" t="n">
        <v>0</v>
      </c>
      <c r="N407" t="n">
        <v>0</v>
      </c>
      <c r="O407" t="n">
        <v>0</v>
      </c>
      <c r="P407" t="n">
        <v>0</v>
      </c>
      <c r="Q407" t="n">
        <v>0</v>
      </c>
      <c r="R407" s="2" t="inlineStr"/>
    </row>
    <row r="408" ht="15" customHeight="1">
      <c r="A408" t="inlineStr">
        <is>
          <t>A 5759-2026</t>
        </is>
      </c>
      <c r="B408" s="1" t="n">
        <v>46051.61814814815</v>
      </c>
      <c r="C408" s="1" t="n">
        <v>46092</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5497-2026</t>
        </is>
      </c>
      <c r="B409" s="1" t="n">
        <v>46050.61875</v>
      </c>
      <c r="C409" s="1" t="n">
        <v>46092</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51571-2023</t>
        </is>
      </c>
      <c r="B410" s="1" t="n">
        <v>45222</v>
      </c>
      <c r="C410" s="1" t="n">
        <v>46092</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54798-2025</t>
        </is>
      </c>
      <c r="B411" s="1" t="n">
        <v>45966</v>
      </c>
      <c r="C411" s="1" t="n">
        <v>46092</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49181-2024</t>
        </is>
      </c>
      <c r="B412" s="1" t="n">
        <v>45595</v>
      </c>
      <c r="C412" s="1" t="n">
        <v>46092</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5757-2026</t>
        </is>
      </c>
      <c r="B413" s="1" t="n">
        <v>46051.61309027778</v>
      </c>
      <c r="C413" s="1" t="n">
        <v>46092</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43516-2025</t>
        </is>
      </c>
      <c r="B414" s="1" t="n">
        <v>45911</v>
      </c>
      <c r="C414" s="1" t="n">
        <v>46092</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32794-2023</t>
        </is>
      </c>
      <c r="B415" s="1" t="n">
        <v>45124.40446759259</v>
      </c>
      <c r="C415" s="1" t="n">
        <v>46092</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61436-2024</t>
        </is>
      </c>
      <c r="B416" s="1" t="n">
        <v>45646.46329861111</v>
      </c>
      <c r="C416" s="1" t="n">
        <v>46092</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259-2024</t>
        </is>
      </c>
      <c r="B417" s="1" t="n">
        <v>45294</v>
      </c>
      <c r="C417" s="1" t="n">
        <v>46092</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43332-2025</t>
        </is>
      </c>
      <c r="B418" s="1" t="n">
        <v>45910.70217592592</v>
      </c>
      <c r="C418" s="1" t="n">
        <v>46092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29659-2024</t>
        </is>
      </c>
      <c r="B419" s="1" t="n">
        <v>45484.92587962963</v>
      </c>
      <c r="C419" s="1" t="n">
        <v>46092</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37300-2023</t>
        </is>
      </c>
      <c r="B420" s="1" t="n">
        <v>45156</v>
      </c>
      <c r="C420" s="1" t="n">
        <v>46092</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5503-2026</t>
        </is>
      </c>
      <c r="B421" s="1" t="n">
        <v>46050.62509259259</v>
      </c>
      <c r="C421" s="1" t="n">
        <v>46092</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5516-2026</t>
        </is>
      </c>
      <c r="B422" s="1" t="n">
        <v>46050.64197916666</v>
      </c>
      <c r="C422" s="1" t="n">
        <v>46092</v>
      </c>
      <c r="D422" t="inlineStr">
        <is>
          <t>SKÅNE LÄN</t>
        </is>
      </c>
      <c r="E422" t="inlineStr">
        <is>
          <t>HÄSSLEHOLM</t>
        </is>
      </c>
      <c r="G422" t="n">
        <v>1.9</v>
      </c>
      <c r="H422" t="n">
        <v>0</v>
      </c>
      <c r="I422" t="n">
        <v>0</v>
      </c>
      <c r="J422" t="n">
        <v>0</v>
      </c>
      <c r="K422" t="n">
        <v>0</v>
      </c>
      <c r="L422" t="n">
        <v>0</v>
      </c>
      <c r="M422" t="n">
        <v>0</v>
      </c>
      <c r="N422" t="n">
        <v>0</v>
      </c>
      <c r="O422" t="n">
        <v>0</v>
      </c>
      <c r="P422" t="n">
        <v>0</v>
      </c>
      <c r="Q422" t="n">
        <v>0</v>
      </c>
      <c r="R422" s="2" t="inlineStr"/>
    </row>
    <row r="423" ht="15" customHeight="1">
      <c r="A423" t="inlineStr">
        <is>
          <t>A 35644-2023</t>
        </is>
      </c>
      <c r="B423" s="1" t="n">
        <v>45147</v>
      </c>
      <c r="C423" s="1" t="n">
        <v>46092</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62417-2025</t>
        </is>
      </c>
      <c r="B424" s="1" t="n">
        <v>46007</v>
      </c>
      <c r="C424" s="1" t="n">
        <v>46092</v>
      </c>
      <c r="D424" t="inlineStr">
        <is>
          <t>SKÅNE LÄN</t>
        </is>
      </c>
      <c r="E424" t="inlineStr">
        <is>
          <t>HÄSSLEHOLM</t>
        </is>
      </c>
      <c r="G424" t="n">
        <v>2</v>
      </c>
      <c r="H424" t="n">
        <v>0</v>
      </c>
      <c r="I424" t="n">
        <v>0</v>
      </c>
      <c r="J424" t="n">
        <v>0</v>
      </c>
      <c r="K424" t="n">
        <v>0</v>
      </c>
      <c r="L424" t="n">
        <v>0</v>
      </c>
      <c r="M424" t="n">
        <v>0</v>
      </c>
      <c r="N424" t="n">
        <v>0</v>
      </c>
      <c r="O424" t="n">
        <v>0</v>
      </c>
      <c r="P424" t="n">
        <v>0</v>
      </c>
      <c r="Q424" t="n">
        <v>0</v>
      </c>
      <c r="R424" s="2" t="inlineStr"/>
    </row>
    <row r="425" ht="15" customHeight="1">
      <c r="A425" t="inlineStr">
        <is>
          <t>A 43333-2025</t>
        </is>
      </c>
      <c r="B425" s="1" t="n">
        <v>45910</v>
      </c>
      <c r="C425" s="1" t="n">
        <v>46092</v>
      </c>
      <c r="D425" t="inlineStr">
        <is>
          <t>SKÅNE LÄN</t>
        </is>
      </c>
      <c r="E425" t="inlineStr">
        <is>
          <t>HÄSSLEHOLM</t>
        </is>
      </c>
      <c r="G425" t="n">
        <v>10.1</v>
      </c>
      <c r="H425" t="n">
        <v>0</v>
      </c>
      <c r="I425" t="n">
        <v>0</v>
      </c>
      <c r="J425" t="n">
        <v>0</v>
      </c>
      <c r="K425" t="n">
        <v>0</v>
      </c>
      <c r="L425" t="n">
        <v>0</v>
      </c>
      <c r="M425" t="n">
        <v>0</v>
      </c>
      <c r="N425" t="n">
        <v>0</v>
      </c>
      <c r="O425" t="n">
        <v>0</v>
      </c>
      <c r="P425" t="n">
        <v>0</v>
      </c>
      <c r="Q425" t="n">
        <v>0</v>
      </c>
      <c r="R425" s="2" t="inlineStr"/>
    </row>
    <row r="426" ht="15" customHeight="1">
      <c r="A426" t="inlineStr">
        <is>
          <t>A 27837-2024</t>
        </is>
      </c>
      <c r="B426" s="1" t="n">
        <v>45475</v>
      </c>
      <c r="C426" s="1" t="n">
        <v>46092</v>
      </c>
      <c r="D426" t="inlineStr">
        <is>
          <t>SKÅNE LÄN</t>
        </is>
      </c>
      <c r="E426" t="inlineStr">
        <is>
          <t>HÄSSLEHOLM</t>
        </is>
      </c>
      <c r="F426" t="inlineStr">
        <is>
          <t>Kommuner</t>
        </is>
      </c>
      <c r="G426" t="n">
        <v>2.3</v>
      </c>
      <c r="H426" t="n">
        <v>0</v>
      </c>
      <c r="I426" t="n">
        <v>0</v>
      </c>
      <c r="J426" t="n">
        <v>0</v>
      </c>
      <c r="K426" t="n">
        <v>0</v>
      </c>
      <c r="L426" t="n">
        <v>0</v>
      </c>
      <c r="M426" t="n">
        <v>0</v>
      </c>
      <c r="N426" t="n">
        <v>0</v>
      </c>
      <c r="O426" t="n">
        <v>0</v>
      </c>
      <c r="P426" t="n">
        <v>0</v>
      </c>
      <c r="Q426" t="n">
        <v>0</v>
      </c>
      <c r="R426" s="2" t="inlineStr"/>
    </row>
    <row r="427" ht="15" customHeight="1">
      <c r="A427" t="inlineStr">
        <is>
          <t>A 3123-2023</t>
        </is>
      </c>
      <c r="B427" s="1" t="n">
        <v>44946.4925</v>
      </c>
      <c r="C427" s="1" t="n">
        <v>46092</v>
      </c>
      <c r="D427" t="inlineStr">
        <is>
          <t>SKÅNE LÄN</t>
        </is>
      </c>
      <c r="E427" t="inlineStr">
        <is>
          <t>HÄSSLEHOLM</t>
        </is>
      </c>
      <c r="G427" t="n">
        <v>3.5</v>
      </c>
      <c r="H427" t="n">
        <v>0</v>
      </c>
      <c r="I427" t="n">
        <v>0</v>
      </c>
      <c r="J427" t="n">
        <v>0</v>
      </c>
      <c r="K427" t="n">
        <v>0</v>
      </c>
      <c r="L427" t="n">
        <v>0</v>
      </c>
      <c r="M427" t="n">
        <v>0</v>
      </c>
      <c r="N427" t="n">
        <v>0</v>
      </c>
      <c r="O427" t="n">
        <v>0</v>
      </c>
      <c r="P427" t="n">
        <v>0</v>
      </c>
      <c r="Q427" t="n">
        <v>0</v>
      </c>
      <c r="R427" s="2" t="inlineStr"/>
    </row>
    <row r="428" ht="15" customHeight="1">
      <c r="A428" t="inlineStr">
        <is>
          <t>A 3126-2023</t>
        </is>
      </c>
      <c r="B428" s="1" t="n">
        <v>44946.49570601852</v>
      </c>
      <c r="C428" s="1" t="n">
        <v>46092</v>
      </c>
      <c r="D428" t="inlineStr">
        <is>
          <t>SKÅNE LÄN</t>
        </is>
      </c>
      <c r="E428" t="inlineStr">
        <is>
          <t>HÄSSLEHOLM</t>
        </is>
      </c>
      <c r="G428" t="n">
        <v>2.2</v>
      </c>
      <c r="H428" t="n">
        <v>0</v>
      </c>
      <c r="I428" t="n">
        <v>0</v>
      </c>
      <c r="J428" t="n">
        <v>0</v>
      </c>
      <c r="K428" t="n">
        <v>0</v>
      </c>
      <c r="L428" t="n">
        <v>0</v>
      </c>
      <c r="M428" t="n">
        <v>0</v>
      </c>
      <c r="N428" t="n">
        <v>0</v>
      </c>
      <c r="O428" t="n">
        <v>0</v>
      </c>
      <c r="P428" t="n">
        <v>0</v>
      </c>
      <c r="Q428" t="n">
        <v>0</v>
      </c>
      <c r="R428" s="2" t="inlineStr"/>
    </row>
    <row r="429" ht="15" customHeight="1">
      <c r="A429" t="inlineStr">
        <is>
          <t>A 43869-2025</t>
        </is>
      </c>
      <c r="B429" s="1" t="n">
        <v>45912.66452546296</v>
      </c>
      <c r="C429" s="1" t="n">
        <v>46092</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6299-2026</t>
        </is>
      </c>
      <c r="B430" s="1" t="n">
        <v>46055.56623842593</v>
      </c>
      <c r="C430" s="1" t="n">
        <v>46092</v>
      </c>
      <c r="D430" t="inlineStr">
        <is>
          <t>SKÅNE LÄN</t>
        </is>
      </c>
      <c r="E430" t="inlineStr">
        <is>
          <t>HÄSSLEHOLM</t>
        </is>
      </c>
      <c r="G430" t="n">
        <v>5.2</v>
      </c>
      <c r="H430" t="n">
        <v>0</v>
      </c>
      <c r="I430" t="n">
        <v>0</v>
      </c>
      <c r="J430" t="n">
        <v>0</v>
      </c>
      <c r="K430" t="n">
        <v>0</v>
      </c>
      <c r="L430" t="n">
        <v>0</v>
      </c>
      <c r="M430" t="n">
        <v>0</v>
      </c>
      <c r="N430" t="n">
        <v>0</v>
      </c>
      <c r="O430" t="n">
        <v>0</v>
      </c>
      <c r="P430" t="n">
        <v>0</v>
      </c>
      <c r="Q430" t="n">
        <v>0</v>
      </c>
      <c r="R430" s="2" t="inlineStr"/>
    </row>
    <row r="431" ht="15" customHeight="1">
      <c r="A431" t="inlineStr">
        <is>
          <t>A 1679-2022</t>
        </is>
      </c>
      <c r="B431" s="1" t="n">
        <v>44573</v>
      </c>
      <c r="C431" s="1" t="n">
        <v>46092</v>
      </c>
      <c r="D431" t="inlineStr">
        <is>
          <t>SKÅNE LÄN</t>
        </is>
      </c>
      <c r="E431" t="inlineStr">
        <is>
          <t>HÄSSLEHOLM</t>
        </is>
      </c>
      <c r="F431" t="inlineStr">
        <is>
          <t>Kyrkan</t>
        </is>
      </c>
      <c r="G431" t="n">
        <v>4.3</v>
      </c>
      <c r="H431" t="n">
        <v>0</v>
      </c>
      <c r="I431" t="n">
        <v>0</v>
      </c>
      <c r="J431" t="n">
        <v>0</v>
      </c>
      <c r="K431" t="n">
        <v>0</v>
      </c>
      <c r="L431" t="n">
        <v>0</v>
      </c>
      <c r="M431" t="n">
        <v>0</v>
      </c>
      <c r="N431" t="n">
        <v>0</v>
      </c>
      <c r="O431" t="n">
        <v>0</v>
      </c>
      <c r="P431" t="n">
        <v>0</v>
      </c>
      <c r="Q431" t="n">
        <v>0</v>
      </c>
      <c r="R431" s="2" t="inlineStr"/>
    </row>
    <row r="432" ht="15" customHeight="1">
      <c r="A432" t="inlineStr">
        <is>
          <t>A 43741-2025</t>
        </is>
      </c>
      <c r="B432" s="1" t="n">
        <v>45912.45541666666</v>
      </c>
      <c r="C432" s="1" t="n">
        <v>46092</v>
      </c>
      <c r="D432" t="inlineStr">
        <is>
          <t>SKÅNE LÄN</t>
        </is>
      </c>
      <c r="E432" t="inlineStr">
        <is>
          <t>HÄSSLEHOLM</t>
        </is>
      </c>
      <c r="G432" t="n">
        <v>4.3</v>
      </c>
      <c r="H432" t="n">
        <v>0</v>
      </c>
      <c r="I432" t="n">
        <v>0</v>
      </c>
      <c r="J432" t="n">
        <v>0</v>
      </c>
      <c r="K432" t="n">
        <v>0</v>
      </c>
      <c r="L432" t="n">
        <v>0</v>
      </c>
      <c r="M432" t="n">
        <v>0</v>
      </c>
      <c r="N432" t="n">
        <v>0</v>
      </c>
      <c r="O432" t="n">
        <v>0</v>
      </c>
      <c r="P432" t="n">
        <v>0</v>
      </c>
      <c r="Q432" t="n">
        <v>0</v>
      </c>
      <c r="R432" s="2" t="inlineStr"/>
    </row>
    <row r="433" ht="15" customHeight="1">
      <c r="A433" t="inlineStr">
        <is>
          <t>A 37318-2024</t>
        </is>
      </c>
      <c r="B433" s="1" t="n">
        <v>45540</v>
      </c>
      <c r="C433" s="1" t="n">
        <v>46092</v>
      </c>
      <c r="D433" t="inlineStr">
        <is>
          <t>SKÅNE LÄN</t>
        </is>
      </c>
      <c r="E433" t="inlineStr">
        <is>
          <t>HÄSSLEHOLM</t>
        </is>
      </c>
      <c r="G433" t="n">
        <v>3.9</v>
      </c>
      <c r="H433" t="n">
        <v>0</v>
      </c>
      <c r="I433" t="n">
        <v>0</v>
      </c>
      <c r="J433" t="n">
        <v>0</v>
      </c>
      <c r="K433" t="n">
        <v>0</v>
      </c>
      <c r="L433" t="n">
        <v>0</v>
      </c>
      <c r="M433" t="n">
        <v>0</v>
      </c>
      <c r="N433" t="n">
        <v>0</v>
      </c>
      <c r="O433" t="n">
        <v>0</v>
      </c>
      <c r="P433" t="n">
        <v>0</v>
      </c>
      <c r="Q433" t="n">
        <v>0</v>
      </c>
      <c r="R433" s="2" t="inlineStr"/>
    </row>
    <row r="434" ht="15" customHeight="1">
      <c r="A434" t="inlineStr">
        <is>
          <t>A 37324-2024</t>
        </is>
      </c>
      <c r="B434" s="1" t="n">
        <v>45540.50104166667</v>
      </c>
      <c r="C434" s="1" t="n">
        <v>46092</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57656-2022</t>
        </is>
      </c>
      <c r="B435" s="1" t="n">
        <v>44897.4325925926</v>
      </c>
      <c r="C435" s="1" t="n">
        <v>46092</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27349-2025</t>
        </is>
      </c>
      <c r="B436" s="1" t="n">
        <v>45812</v>
      </c>
      <c r="C436" s="1" t="n">
        <v>46092</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32881-2024</t>
        </is>
      </c>
      <c r="B437" s="1" t="n">
        <v>45516</v>
      </c>
      <c r="C437" s="1" t="n">
        <v>46092</v>
      </c>
      <c r="D437" t="inlineStr">
        <is>
          <t>SKÅNE LÄN</t>
        </is>
      </c>
      <c r="E437" t="inlineStr">
        <is>
          <t>HÄSSLEHOLM</t>
        </is>
      </c>
      <c r="G437" t="n">
        <v>6.3</v>
      </c>
      <c r="H437" t="n">
        <v>0</v>
      </c>
      <c r="I437" t="n">
        <v>0</v>
      </c>
      <c r="J437" t="n">
        <v>0</v>
      </c>
      <c r="K437" t="n">
        <v>0</v>
      </c>
      <c r="L437" t="n">
        <v>0</v>
      </c>
      <c r="M437" t="n">
        <v>0</v>
      </c>
      <c r="N437" t="n">
        <v>0</v>
      </c>
      <c r="O437" t="n">
        <v>0</v>
      </c>
      <c r="P437" t="n">
        <v>0</v>
      </c>
      <c r="Q437" t="n">
        <v>0</v>
      </c>
      <c r="R437" s="2" t="inlineStr"/>
    </row>
    <row r="438" ht="15" customHeight="1">
      <c r="A438" t="inlineStr">
        <is>
          <t>A 23860-2024</t>
        </is>
      </c>
      <c r="B438" s="1" t="n">
        <v>45455</v>
      </c>
      <c r="C438" s="1" t="n">
        <v>46092</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23864-2024</t>
        </is>
      </c>
      <c r="B439" s="1" t="n">
        <v>45455</v>
      </c>
      <c r="C439" s="1" t="n">
        <v>46092</v>
      </c>
      <c r="D439" t="inlineStr">
        <is>
          <t>SKÅNE LÄN</t>
        </is>
      </c>
      <c r="E439" t="inlineStr">
        <is>
          <t>HÄSSLEHOLM</t>
        </is>
      </c>
      <c r="G439" t="n">
        <v>6.2</v>
      </c>
      <c r="H439" t="n">
        <v>0</v>
      </c>
      <c r="I439" t="n">
        <v>0</v>
      </c>
      <c r="J439" t="n">
        <v>0</v>
      </c>
      <c r="K439" t="n">
        <v>0</v>
      </c>
      <c r="L439" t="n">
        <v>0</v>
      </c>
      <c r="M439" t="n">
        <v>0</v>
      </c>
      <c r="N439" t="n">
        <v>0</v>
      </c>
      <c r="O439" t="n">
        <v>0</v>
      </c>
      <c r="P439" t="n">
        <v>0</v>
      </c>
      <c r="Q439" t="n">
        <v>0</v>
      </c>
      <c r="R439" s="2" t="inlineStr"/>
    </row>
    <row r="440" ht="15" customHeight="1">
      <c r="A440" t="inlineStr">
        <is>
          <t>A 43738-2025</t>
        </is>
      </c>
      <c r="B440" s="1" t="n">
        <v>45912.45037037037</v>
      </c>
      <c r="C440" s="1" t="n">
        <v>46092</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63415-2025</t>
        </is>
      </c>
      <c r="B441" s="1" t="n">
        <v>46013.32163194445</v>
      </c>
      <c r="C441" s="1" t="n">
        <v>46092</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63416-2025</t>
        </is>
      </c>
      <c r="B442" s="1" t="n">
        <v>46013.3232175926</v>
      </c>
      <c r="C442" s="1" t="n">
        <v>46092</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7192-2025</t>
        </is>
      </c>
      <c r="B443" s="1" t="n">
        <v>45702.44746527778</v>
      </c>
      <c r="C443" s="1" t="n">
        <v>46092</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63510-2025</t>
        </is>
      </c>
      <c r="B444" s="1" t="n">
        <v>46013.49172453704</v>
      </c>
      <c r="C444" s="1" t="n">
        <v>46092</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51565-2023</t>
        </is>
      </c>
      <c r="B445" s="1" t="n">
        <v>45222</v>
      </c>
      <c r="C445" s="1" t="n">
        <v>46092</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6295-2026</t>
        </is>
      </c>
      <c r="B446" s="1" t="n">
        <v>46055.56115740741</v>
      </c>
      <c r="C446" s="1" t="n">
        <v>46092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6309-2026</t>
        </is>
      </c>
      <c r="B447" s="1" t="n">
        <v>46055.57369212963</v>
      </c>
      <c r="C447" s="1" t="n">
        <v>46092</v>
      </c>
      <c r="D447" t="inlineStr">
        <is>
          <t>SKÅNE LÄN</t>
        </is>
      </c>
      <c r="E447" t="inlineStr">
        <is>
          <t>HÄSSLEHOLM</t>
        </is>
      </c>
      <c r="G447" t="n">
        <v>3.5</v>
      </c>
      <c r="H447" t="n">
        <v>0</v>
      </c>
      <c r="I447" t="n">
        <v>0</v>
      </c>
      <c r="J447" t="n">
        <v>0</v>
      </c>
      <c r="K447" t="n">
        <v>0</v>
      </c>
      <c r="L447" t="n">
        <v>0</v>
      </c>
      <c r="M447" t="n">
        <v>0</v>
      </c>
      <c r="N447" t="n">
        <v>0</v>
      </c>
      <c r="O447" t="n">
        <v>0</v>
      </c>
      <c r="P447" t="n">
        <v>0</v>
      </c>
      <c r="Q447" t="n">
        <v>0</v>
      </c>
      <c r="R447" s="2" t="inlineStr"/>
    </row>
    <row r="448" ht="15" customHeight="1">
      <c r="A448" t="inlineStr">
        <is>
          <t>A 6363-2026</t>
        </is>
      </c>
      <c r="B448" s="1" t="n">
        <v>46055.62319444444</v>
      </c>
      <c r="C448" s="1" t="n">
        <v>46092</v>
      </c>
      <c r="D448" t="inlineStr">
        <is>
          <t>SKÅNE LÄN</t>
        </is>
      </c>
      <c r="E448" t="inlineStr">
        <is>
          <t>HÄSSLEHOLM</t>
        </is>
      </c>
      <c r="G448" t="n">
        <v>4.4</v>
      </c>
      <c r="H448" t="n">
        <v>0</v>
      </c>
      <c r="I448" t="n">
        <v>0</v>
      </c>
      <c r="J448" t="n">
        <v>0</v>
      </c>
      <c r="K448" t="n">
        <v>0</v>
      </c>
      <c r="L448" t="n">
        <v>0</v>
      </c>
      <c r="M448" t="n">
        <v>0</v>
      </c>
      <c r="N448" t="n">
        <v>0</v>
      </c>
      <c r="O448" t="n">
        <v>0</v>
      </c>
      <c r="P448" t="n">
        <v>0</v>
      </c>
      <c r="Q448" t="n">
        <v>0</v>
      </c>
      <c r="R448" s="2" t="inlineStr"/>
    </row>
    <row r="449" ht="15" customHeight="1">
      <c r="A449" t="inlineStr">
        <is>
          <t>A 44624-2025</t>
        </is>
      </c>
      <c r="B449" s="1" t="n">
        <v>45917.47152777778</v>
      </c>
      <c r="C449" s="1" t="n">
        <v>46092</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11798-2022</t>
        </is>
      </c>
      <c r="B450" s="1" t="n">
        <v>44634.64900462963</v>
      </c>
      <c r="C450" s="1" t="n">
        <v>46092</v>
      </c>
      <c r="D450" t="inlineStr">
        <is>
          <t>SKÅNE LÄN</t>
        </is>
      </c>
      <c r="E450" t="inlineStr">
        <is>
          <t>HÄSSLEHOLM</t>
        </is>
      </c>
      <c r="G450" t="n">
        <v>2.8</v>
      </c>
      <c r="H450" t="n">
        <v>0</v>
      </c>
      <c r="I450" t="n">
        <v>0</v>
      </c>
      <c r="J450" t="n">
        <v>0</v>
      </c>
      <c r="K450" t="n">
        <v>0</v>
      </c>
      <c r="L450" t="n">
        <v>0</v>
      </c>
      <c r="M450" t="n">
        <v>0</v>
      </c>
      <c r="N450" t="n">
        <v>0</v>
      </c>
      <c r="O450" t="n">
        <v>0</v>
      </c>
      <c r="P450" t="n">
        <v>0</v>
      </c>
      <c r="Q450" t="n">
        <v>0</v>
      </c>
      <c r="R450" s="2" t="inlineStr"/>
    </row>
    <row r="451" ht="15" customHeight="1">
      <c r="A451" t="inlineStr">
        <is>
          <t>A 63354-2025</t>
        </is>
      </c>
      <c r="B451" s="1" t="n">
        <v>46010.66957175926</v>
      </c>
      <c r="C451" s="1" t="n">
        <v>46092</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56881-2021</t>
        </is>
      </c>
      <c r="B452" s="1" t="n">
        <v>44481</v>
      </c>
      <c r="C452" s="1" t="n">
        <v>46092</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63473-2025</t>
        </is>
      </c>
      <c r="B453" s="1" t="n">
        <v>46013.44364583334</v>
      </c>
      <c r="C453" s="1" t="n">
        <v>46092</v>
      </c>
      <c r="D453" t="inlineStr">
        <is>
          <t>SKÅNE LÄN</t>
        </is>
      </c>
      <c r="E453" t="inlineStr">
        <is>
          <t>HÄSSLEHOLM</t>
        </is>
      </c>
      <c r="F453" t="inlineStr">
        <is>
          <t>Kommuner</t>
        </is>
      </c>
      <c r="G453" t="n">
        <v>5.9</v>
      </c>
      <c r="H453" t="n">
        <v>0</v>
      </c>
      <c r="I453" t="n">
        <v>0</v>
      </c>
      <c r="J453" t="n">
        <v>0</v>
      </c>
      <c r="K453" t="n">
        <v>0</v>
      </c>
      <c r="L453" t="n">
        <v>0</v>
      </c>
      <c r="M453" t="n">
        <v>0</v>
      </c>
      <c r="N453" t="n">
        <v>0</v>
      </c>
      <c r="O453" t="n">
        <v>0</v>
      </c>
      <c r="P453" t="n">
        <v>0</v>
      </c>
      <c r="Q453" t="n">
        <v>0</v>
      </c>
      <c r="R453" s="2" t="inlineStr"/>
    </row>
    <row r="454" ht="15" customHeight="1">
      <c r="A454" t="inlineStr">
        <is>
          <t>A 63487-2025</t>
        </is>
      </c>
      <c r="B454" s="1" t="n">
        <v>46013.46878472222</v>
      </c>
      <c r="C454" s="1" t="n">
        <v>46092</v>
      </c>
      <c r="D454" t="inlineStr">
        <is>
          <t>SKÅNE LÄN</t>
        </is>
      </c>
      <c r="E454" t="inlineStr">
        <is>
          <t>HÄSSLEHOLM</t>
        </is>
      </c>
      <c r="F454" t="inlineStr">
        <is>
          <t>Kommuner</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44611-2025</t>
        </is>
      </c>
      <c r="B455" s="1" t="n">
        <v>45917.45109953704</v>
      </c>
      <c r="C455" s="1" t="n">
        <v>46092</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44330-2025</t>
        </is>
      </c>
      <c r="B456" s="1" t="n">
        <v>45916.42120370371</v>
      </c>
      <c r="C456" s="1" t="n">
        <v>46092</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44523-2025</t>
        </is>
      </c>
      <c r="B457" s="1" t="n">
        <v>45916</v>
      </c>
      <c r="C457" s="1" t="n">
        <v>46092</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63414-2025</t>
        </is>
      </c>
      <c r="B458" s="1" t="n">
        <v>46013.32008101852</v>
      </c>
      <c r="C458" s="1" t="n">
        <v>46092</v>
      </c>
      <c r="D458" t="inlineStr">
        <is>
          <t>SKÅNE LÄN</t>
        </is>
      </c>
      <c r="E458" t="inlineStr">
        <is>
          <t>HÄSSLEHOLM</t>
        </is>
      </c>
      <c r="G458" t="n">
        <v>1.3</v>
      </c>
      <c r="H458" t="n">
        <v>0</v>
      </c>
      <c r="I458" t="n">
        <v>0</v>
      </c>
      <c r="J458" t="n">
        <v>0</v>
      </c>
      <c r="K458" t="n">
        <v>0</v>
      </c>
      <c r="L458" t="n">
        <v>0</v>
      </c>
      <c r="M458" t="n">
        <v>0</v>
      </c>
      <c r="N458" t="n">
        <v>0</v>
      </c>
      <c r="O458" t="n">
        <v>0</v>
      </c>
      <c r="P458" t="n">
        <v>0</v>
      </c>
      <c r="Q458" t="n">
        <v>0</v>
      </c>
      <c r="R458" s="2" t="inlineStr"/>
    </row>
    <row r="459" ht="15" customHeight="1">
      <c r="A459" t="inlineStr">
        <is>
          <t>A 13673-2023</t>
        </is>
      </c>
      <c r="B459" s="1" t="n">
        <v>45006.87957175926</v>
      </c>
      <c r="C459" s="1" t="n">
        <v>46092</v>
      </c>
      <c r="D459" t="inlineStr">
        <is>
          <t>SKÅNE LÄN</t>
        </is>
      </c>
      <c r="E459" t="inlineStr">
        <is>
          <t>HÄSSLEHOLM</t>
        </is>
      </c>
      <c r="G459" t="n">
        <v>3.2</v>
      </c>
      <c r="H459" t="n">
        <v>0</v>
      </c>
      <c r="I459" t="n">
        <v>0</v>
      </c>
      <c r="J459" t="n">
        <v>0</v>
      </c>
      <c r="K459" t="n">
        <v>0</v>
      </c>
      <c r="L459" t="n">
        <v>0</v>
      </c>
      <c r="M459" t="n">
        <v>0</v>
      </c>
      <c r="N459" t="n">
        <v>0</v>
      </c>
      <c r="O459" t="n">
        <v>0</v>
      </c>
      <c r="P459" t="n">
        <v>0</v>
      </c>
      <c r="Q459" t="n">
        <v>0</v>
      </c>
      <c r="R459" s="2" t="inlineStr"/>
    </row>
    <row r="460" ht="15" customHeight="1">
      <c r="A460" t="inlineStr">
        <is>
          <t>A 63476-2025</t>
        </is>
      </c>
      <c r="B460" s="1" t="n">
        <v>46013.44621527778</v>
      </c>
      <c r="C460" s="1" t="n">
        <v>46092</v>
      </c>
      <c r="D460" t="inlineStr">
        <is>
          <t>SKÅNE LÄN</t>
        </is>
      </c>
      <c r="E460" t="inlineStr">
        <is>
          <t>HÄSSLEHOLM</t>
        </is>
      </c>
      <c r="F460" t="inlineStr">
        <is>
          <t>Kommuner</t>
        </is>
      </c>
      <c r="G460" t="n">
        <v>0.6</v>
      </c>
      <c r="H460" t="n">
        <v>0</v>
      </c>
      <c r="I460" t="n">
        <v>0</v>
      </c>
      <c r="J460" t="n">
        <v>0</v>
      </c>
      <c r="K460" t="n">
        <v>0</v>
      </c>
      <c r="L460" t="n">
        <v>0</v>
      </c>
      <c r="M460" t="n">
        <v>0</v>
      </c>
      <c r="N460" t="n">
        <v>0</v>
      </c>
      <c r="O460" t="n">
        <v>0</v>
      </c>
      <c r="P460" t="n">
        <v>0</v>
      </c>
      <c r="Q460" t="n">
        <v>0</v>
      </c>
      <c r="R460" s="2" t="inlineStr"/>
    </row>
    <row r="461" ht="15" customHeight="1">
      <c r="A461" t="inlineStr">
        <is>
          <t>A 63284-2025</t>
        </is>
      </c>
      <c r="B461" s="1" t="n">
        <v>46010</v>
      </c>
      <c r="C461" s="1" t="n">
        <v>46092</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44515-2025</t>
        </is>
      </c>
      <c r="B462" s="1" t="n">
        <v>45916.7062037037</v>
      </c>
      <c r="C462" s="1" t="n">
        <v>46092</v>
      </c>
      <c r="D462" t="inlineStr">
        <is>
          <t>SKÅNE LÄN</t>
        </is>
      </c>
      <c r="E462" t="inlineStr">
        <is>
          <t>HÄSSLEHOLM</t>
        </is>
      </c>
      <c r="G462" t="n">
        <v>1.5</v>
      </c>
      <c r="H462" t="n">
        <v>0</v>
      </c>
      <c r="I462" t="n">
        <v>0</v>
      </c>
      <c r="J462" t="n">
        <v>0</v>
      </c>
      <c r="K462" t="n">
        <v>0</v>
      </c>
      <c r="L462" t="n">
        <v>0</v>
      </c>
      <c r="M462" t="n">
        <v>0</v>
      </c>
      <c r="N462" t="n">
        <v>0</v>
      </c>
      <c r="O462" t="n">
        <v>0</v>
      </c>
      <c r="P462" t="n">
        <v>0</v>
      </c>
      <c r="Q462" t="n">
        <v>0</v>
      </c>
      <c r="R462" s="2" t="inlineStr"/>
    </row>
    <row r="463" ht="15" customHeight="1">
      <c r="A463" t="inlineStr">
        <is>
          <t>A 38306-2022</t>
        </is>
      </c>
      <c r="B463" s="1" t="n">
        <v>44812.57515046297</v>
      </c>
      <c r="C463" s="1" t="n">
        <v>46092</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44616-2025</t>
        </is>
      </c>
      <c r="B464" s="1" t="n">
        <v>45917.45572916666</v>
      </c>
      <c r="C464" s="1" t="n">
        <v>46092</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6449-2026</t>
        </is>
      </c>
      <c r="B465" s="1" t="n">
        <v>46055.87239583334</v>
      </c>
      <c r="C465" s="1" t="n">
        <v>46092</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38712-2024</t>
        </is>
      </c>
      <c r="B466" s="1" t="n">
        <v>45547</v>
      </c>
      <c r="C466" s="1" t="n">
        <v>46092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47422-2025</t>
        </is>
      </c>
      <c r="B467" s="1" t="n">
        <v>45930</v>
      </c>
      <c r="C467" s="1" t="n">
        <v>46092</v>
      </c>
      <c r="D467" t="inlineStr">
        <is>
          <t>SKÅNE LÄN</t>
        </is>
      </c>
      <c r="E467" t="inlineStr">
        <is>
          <t>HÄSSLEHOLM</t>
        </is>
      </c>
      <c r="G467" t="n">
        <v>3.5</v>
      </c>
      <c r="H467" t="n">
        <v>0</v>
      </c>
      <c r="I467" t="n">
        <v>0</v>
      </c>
      <c r="J467" t="n">
        <v>0</v>
      </c>
      <c r="K467" t="n">
        <v>0</v>
      </c>
      <c r="L467" t="n">
        <v>0</v>
      </c>
      <c r="M467" t="n">
        <v>0</v>
      </c>
      <c r="N467" t="n">
        <v>0</v>
      </c>
      <c r="O467" t="n">
        <v>0</v>
      </c>
      <c r="P467" t="n">
        <v>0</v>
      </c>
      <c r="Q467" t="n">
        <v>0</v>
      </c>
      <c r="R467" s="2" t="inlineStr"/>
    </row>
    <row r="468" ht="15" customHeight="1">
      <c r="A468" t="inlineStr">
        <is>
          <t>A 44614-2025</t>
        </is>
      </c>
      <c r="B468" s="1" t="n">
        <v>45917.45422453704</v>
      </c>
      <c r="C468" s="1" t="n">
        <v>46092</v>
      </c>
      <c r="D468" t="inlineStr">
        <is>
          <t>SKÅNE LÄN</t>
        </is>
      </c>
      <c r="E468" t="inlineStr">
        <is>
          <t>HÄSSLEHOLM</t>
        </is>
      </c>
      <c r="G468" t="n">
        <v>5.4</v>
      </c>
      <c r="H468" t="n">
        <v>0</v>
      </c>
      <c r="I468" t="n">
        <v>0</v>
      </c>
      <c r="J468" t="n">
        <v>0</v>
      </c>
      <c r="K468" t="n">
        <v>0</v>
      </c>
      <c r="L468" t="n">
        <v>0</v>
      </c>
      <c r="M468" t="n">
        <v>0</v>
      </c>
      <c r="N468" t="n">
        <v>0</v>
      </c>
      <c r="O468" t="n">
        <v>0</v>
      </c>
      <c r="P468" t="n">
        <v>0</v>
      </c>
      <c r="Q468" t="n">
        <v>0</v>
      </c>
      <c r="R468" s="2" t="inlineStr"/>
    </row>
    <row r="469" ht="15" customHeight="1">
      <c r="A469" t="inlineStr">
        <is>
          <t>A 13310-2025</t>
        </is>
      </c>
      <c r="B469" s="1" t="n">
        <v>45735.58814814815</v>
      </c>
      <c r="C469" s="1" t="n">
        <v>46092</v>
      </c>
      <c r="D469" t="inlineStr">
        <is>
          <t>SKÅNE LÄN</t>
        </is>
      </c>
      <c r="E469" t="inlineStr">
        <is>
          <t>HÄSSLEHOLM</t>
        </is>
      </c>
      <c r="G469" t="n">
        <v>2</v>
      </c>
      <c r="H469" t="n">
        <v>0</v>
      </c>
      <c r="I469" t="n">
        <v>0</v>
      </c>
      <c r="J469" t="n">
        <v>0</v>
      </c>
      <c r="K469" t="n">
        <v>0</v>
      </c>
      <c r="L469" t="n">
        <v>0</v>
      </c>
      <c r="M469" t="n">
        <v>0</v>
      </c>
      <c r="N469" t="n">
        <v>0</v>
      </c>
      <c r="O469" t="n">
        <v>0</v>
      </c>
      <c r="P469" t="n">
        <v>0</v>
      </c>
      <c r="Q469" t="n">
        <v>0</v>
      </c>
      <c r="R469" s="2" t="inlineStr"/>
    </row>
    <row r="470" ht="15" customHeight="1">
      <c r="A470" t="inlineStr">
        <is>
          <t>A 47432-2025</t>
        </is>
      </c>
      <c r="B470" s="1" t="n">
        <v>45930</v>
      </c>
      <c r="C470" s="1" t="n">
        <v>46092</v>
      </c>
      <c r="D470" t="inlineStr">
        <is>
          <t>SKÅNE LÄN</t>
        </is>
      </c>
      <c r="E470" t="inlineStr">
        <is>
          <t>HÄSSLEHOLM</t>
        </is>
      </c>
      <c r="G470" t="n">
        <v>3.1</v>
      </c>
      <c r="H470" t="n">
        <v>0</v>
      </c>
      <c r="I470" t="n">
        <v>0</v>
      </c>
      <c r="J470" t="n">
        <v>0</v>
      </c>
      <c r="K470" t="n">
        <v>0</v>
      </c>
      <c r="L470" t="n">
        <v>0</v>
      </c>
      <c r="M470" t="n">
        <v>0</v>
      </c>
      <c r="N470" t="n">
        <v>0</v>
      </c>
      <c r="O470" t="n">
        <v>0</v>
      </c>
      <c r="P470" t="n">
        <v>0</v>
      </c>
      <c r="Q470" t="n">
        <v>0</v>
      </c>
      <c r="R470" s="2" t="inlineStr"/>
    </row>
    <row r="471" ht="15" customHeight="1">
      <c r="A471" t="inlineStr">
        <is>
          <t>A 47450-2025</t>
        </is>
      </c>
      <c r="B471" s="1" t="n">
        <v>45930</v>
      </c>
      <c r="C471" s="1" t="n">
        <v>46092</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45176-2025</t>
        </is>
      </c>
      <c r="B472" s="1" t="n">
        <v>45919.52307870371</v>
      </c>
      <c r="C472" s="1" t="n">
        <v>46092</v>
      </c>
      <c r="D472" t="inlineStr">
        <is>
          <t>SKÅNE LÄN</t>
        </is>
      </c>
      <c r="E472" t="inlineStr">
        <is>
          <t>HÄSSLEHOLM</t>
        </is>
      </c>
      <c r="G472" t="n">
        <v>2.6</v>
      </c>
      <c r="H472" t="n">
        <v>0</v>
      </c>
      <c r="I472" t="n">
        <v>0</v>
      </c>
      <c r="J472" t="n">
        <v>0</v>
      </c>
      <c r="K472" t="n">
        <v>0</v>
      </c>
      <c r="L472" t="n">
        <v>0</v>
      </c>
      <c r="M472" t="n">
        <v>0</v>
      </c>
      <c r="N472" t="n">
        <v>0</v>
      </c>
      <c r="O472" t="n">
        <v>0</v>
      </c>
      <c r="P472" t="n">
        <v>0</v>
      </c>
      <c r="Q472" t="n">
        <v>0</v>
      </c>
      <c r="R472" s="2" t="inlineStr"/>
    </row>
    <row r="473" ht="15" customHeight="1">
      <c r="A473" t="inlineStr">
        <is>
          <t>A 6877-2026</t>
        </is>
      </c>
      <c r="B473" s="1" t="n">
        <v>46057.45768518518</v>
      </c>
      <c r="C473" s="1" t="n">
        <v>46092</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45221-2025</t>
        </is>
      </c>
      <c r="B474" s="1" t="n">
        <v>45919.57760416667</v>
      </c>
      <c r="C474" s="1" t="n">
        <v>46092</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63710-2025</t>
        </is>
      </c>
      <c r="B475" s="1" t="n">
        <v>46014.62143518519</v>
      </c>
      <c r="C475" s="1" t="n">
        <v>46092</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3746-2024</t>
        </is>
      </c>
      <c r="B476" s="1" t="n">
        <v>45321.50745370371</v>
      </c>
      <c r="C476" s="1" t="n">
        <v>46092</v>
      </c>
      <c r="D476" t="inlineStr">
        <is>
          <t>SKÅNE LÄN</t>
        </is>
      </c>
      <c r="E476" t="inlineStr">
        <is>
          <t>HÄSSLEHOLM</t>
        </is>
      </c>
      <c r="G476" t="n">
        <v>3.4</v>
      </c>
      <c r="H476" t="n">
        <v>0</v>
      </c>
      <c r="I476" t="n">
        <v>0</v>
      </c>
      <c r="J476" t="n">
        <v>0</v>
      </c>
      <c r="K476" t="n">
        <v>0</v>
      </c>
      <c r="L476" t="n">
        <v>0</v>
      </c>
      <c r="M476" t="n">
        <v>0</v>
      </c>
      <c r="N476" t="n">
        <v>0</v>
      </c>
      <c r="O476" t="n">
        <v>0</v>
      </c>
      <c r="P476" t="n">
        <v>0</v>
      </c>
      <c r="Q476" t="n">
        <v>0</v>
      </c>
      <c r="R476" s="2" t="inlineStr"/>
    </row>
    <row r="477" ht="15" customHeight="1">
      <c r="A477" t="inlineStr">
        <is>
          <t>A 45273-2025</t>
        </is>
      </c>
      <c r="B477" s="1" t="n">
        <v>45919.70486111111</v>
      </c>
      <c r="C477" s="1" t="n">
        <v>46092</v>
      </c>
      <c r="D477" t="inlineStr">
        <is>
          <t>SKÅNE LÄN</t>
        </is>
      </c>
      <c r="E477" t="inlineStr">
        <is>
          <t>HÄSSLEHOLM</t>
        </is>
      </c>
      <c r="G477" t="n">
        <v>4.4</v>
      </c>
      <c r="H477" t="n">
        <v>0</v>
      </c>
      <c r="I477" t="n">
        <v>0</v>
      </c>
      <c r="J477" t="n">
        <v>0</v>
      </c>
      <c r="K477" t="n">
        <v>0</v>
      </c>
      <c r="L477" t="n">
        <v>0</v>
      </c>
      <c r="M477" t="n">
        <v>0</v>
      </c>
      <c r="N477" t="n">
        <v>0</v>
      </c>
      <c r="O477" t="n">
        <v>0</v>
      </c>
      <c r="P477" t="n">
        <v>0</v>
      </c>
      <c r="Q477" t="n">
        <v>0</v>
      </c>
      <c r="R477" s="2" t="inlineStr"/>
    </row>
    <row r="478" ht="15" customHeight="1">
      <c r="A478" t="inlineStr">
        <is>
          <t>A 45084-2025</t>
        </is>
      </c>
      <c r="B478" s="1" t="n">
        <v>45918</v>
      </c>
      <c r="C478" s="1" t="n">
        <v>46092</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57649-2022</t>
        </is>
      </c>
      <c r="B479" s="1" t="n">
        <v>44897.42755787037</v>
      </c>
      <c r="C479" s="1" t="n">
        <v>46092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57665-2022</t>
        </is>
      </c>
      <c r="B480" s="1" t="n">
        <v>44897.4494212963</v>
      </c>
      <c r="C480" s="1" t="n">
        <v>46092</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57676-2022</t>
        </is>
      </c>
      <c r="B481" s="1" t="n">
        <v>44897</v>
      </c>
      <c r="C481" s="1" t="n">
        <v>46092</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14145-2023</t>
        </is>
      </c>
      <c r="B482" s="1" t="n">
        <v>45009</v>
      </c>
      <c r="C482" s="1" t="n">
        <v>46092</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63712-2025</t>
        </is>
      </c>
      <c r="B483" s="1" t="n">
        <v>46014.63092592593</v>
      </c>
      <c r="C483" s="1" t="n">
        <v>46092</v>
      </c>
      <c r="D483" t="inlineStr">
        <is>
          <t>SKÅNE LÄN</t>
        </is>
      </c>
      <c r="E483" t="inlineStr">
        <is>
          <t>HÄSSLEHOLM</t>
        </is>
      </c>
      <c r="G483" t="n">
        <v>3.9</v>
      </c>
      <c r="H483" t="n">
        <v>0</v>
      </c>
      <c r="I483" t="n">
        <v>0</v>
      </c>
      <c r="J483" t="n">
        <v>0</v>
      </c>
      <c r="K483" t="n">
        <v>0</v>
      </c>
      <c r="L483" t="n">
        <v>0</v>
      </c>
      <c r="M483" t="n">
        <v>0</v>
      </c>
      <c r="N483" t="n">
        <v>0</v>
      </c>
      <c r="O483" t="n">
        <v>0</v>
      </c>
      <c r="P483" t="n">
        <v>0</v>
      </c>
      <c r="Q483" t="n">
        <v>0</v>
      </c>
      <c r="R483" s="2" t="inlineStr"/>
    </row>
    <row r="484" ht="15" customHeight="1">
      <c r="A484" t="inlineStr">
        <is>
          <t>A 8244-2023</t>
        </is>
      </c>
      <c r="B484" s="1" t="n">
        <v>44974</v>
      </c>
      <c r="C484" s="1" t="n">
        <v>46092</v>
      </c>
      <c r="D484" t="inlineStr">
        <is>
          <t>SKÅNE LÄN</t>
        </is>
      </c>
      <c r="E484" t="inlineStr">
        <is>
          <t>HÄSSLEHOLM</t>
        </is>
      </c>
      <c r="G484" t="n">
        <v>1.2</v>
      </c>
      <c r="H484" t="n">
        <v>0</v>
      </c>
      <c r="I484" t="n">
        <v>0</v>
      </c>
      <c r="J484" t="n">
        <v>0</v>
      </c>
      <c r="K484" t="n">
        <v>0</v>
      </c>
      <c r="L484" t="n">
        <v>0</v>
      </c>
      <c r="M484" t="n">
        <v>0</v>
      </c>
      <c r="N484" t="n">
        <v>0</v>
      </c>
      <c r="O484" t="n">
        <v>0</v>
      </c>
      <c r="P484" t="n">
        <v>0</v>
      </c>
      <c r="Q484" t="n">
        <v>0</v>
      </c>
      <c r="R484" s="2" t="inlineStr"/>
    </row>
    <row r="485" ht="15" customHeight="1">
      <c r="A485" t="inlineStr">
        <is>
          <t>A 8246-2023</t>
        </is>
      </c>
      <c r="B485" s="1" t="n">
        <v>44974</v>
      </c>
      <c r="C485" s="1" t="n">
        <v>46092</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63709-2025</t>
        </is>
      </c>
      <c r="B486" s="1" t="n">
        <v>46014.61700231482</v>
      </c>
      <c r="C486" s="1" t="n">
        <v>46092</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12584-2025</t>
        </is>
      </c>
      <c r="B487" s="1" t="n">
        <v>45732</v>
      </c>
      <c r="C487" s="1" t="n">
        <v>46092</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25606-2024</t>
        </is>
      </c>
      <c r="B488" s="1" t="n">
        <v>45463.63179398148</v>
      </c>
      <c r="C488" s="1" t="n">
        <v>46092</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8160-2024</t>
        </is>
      </c>
      <c r="B489" s="1" t="n">
        <v>45351</v>
      </c>
      <c r="C489" s="1" t="n">
        <v>46092</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45496-2025</t>
        </is>
      </c>
      <c r="B490" s="1" t="n">
        <v>45922</v>
      </c>
      <c r="C490" s="1" t="n">
        <v>46092</v>
      </c>
      <c r="D490" t="inlineStr">
        <is>
          <t>SKÅNE LÄN</t>
        </is>
      </c>
      <c r="E490" t="inlineStr">
        <is>
          <t>HÄSSLEHOLM</t>
        </is>
      </c>
      <c r="G490" t="n">
        <v>1.3</v>
      </c>
      <c r="H490" t="n">
        <v>0</v>
      </c>
      <c r="I490" t="n">
        <v>0</v>
      </c>
      <c r="J490" t="n">
        <v>0</v>
      </c>
      <c r="K490" t="n">
        <v>0</v>
      </c>
      <c r="L490" t="n">
        <v>0</v>
      </c>
      <c r="M490" t="n">
        <v>0</v>
      </c>
      <c r="N490" t="n">
        <v>0</v>
      </c>
      <c r="O490" t="n">
        <v>0</v>
      </c>
      <c r="P490" t="n">
        <v>0</v>
      </c>
      <c r="Q490" t="n">
        <v>0</v>
      </c>
      <c r="R490" s="2" t="inlineStr"/>
    </row>
    <row r="491" ht="15" customHeight="1">
      <c r="A491" t="inlineStr">
        <is>
          <t>A 41680-2024</t>
        </is>
      </c>
      <c r="B491" s="1" t="n">
        <v>45560</v>
      </c>
      <c r="C491" s="1" t="n">
        <v>46092</v>
      </c>
      <c r="D491" t="inlineStr">
        <is>
          <t>SKÅNE LÄN</t>
        </is>
      </c>
      <c r="E491" t="inlineStr">
        <is>
          <t>HÄSSLEHOLM</t>
        </is>
      </c>
      <c r="G491" t="n">
        <v>0.2</v>
      </c>
      <c r="H491" t="n">
        <v>0</v>
      </c>
      <c r="I491" t="n">
        <v>0</v>
      </c>
      <c r="J491" t="n">
        <v>0</v>
      </c>
      <c r="K491" t="n">
        <v>0</v>
      </c>
      <c r="L491" t="n">
        <v>0</v>
      </c>
      <c r="M491" t="n">
        <v>0</v>
      </c>
      <c r="N491" t="n">
        <v>0</v>
      </c>
      <c r="O491" t="n">
        <v>0</v>
      </c>
      <c r="P491" t="n">
        <v>0</v>
      </c>
      <c r="Q491" t="n">
        <v>0</v>
      </c>
      <c r="R491" s="2" t="inlineStr"/>
    </row>
    <row r="492" ht="15" customHeight="1">
      <c r="A492" t="inlineStr">
        <is>
          <t>A 45495-2025</t>
        </is>
      </c>
      <c r="B492" s="1" t="n">
        <v>45922.56369212963</v>
      </c>
      <c r="C492" s="1" t="n">
        <v>46092</v>
      </c>
      <c r="D492" t="inlineStr">
        <is>
          <t>SKÅNE LÄN</t>
        </is>
      </c>
      <c r="E492" t="inlineStr">
        <is>
          <t>HÄSSLEHOLM</t>
        </is>
      </c>
      <c r="G492" t="n">
        <v>1.8</v>
      </c>
      <c r="H492" t="n">
        <v>0</v>
      </c>
      <c r="I492" t="n">
        <v>0</v>
      </c>
      <c r="J492" t="n">
        <v>0</v>
      </c>
      <c r="K492" t="n">
        <v>0</v>
      </c>
      <c r="L492" t="n">
        <v>0</v>
      </c>
      <c r="M492" t="n">
        <v>0</v>
      </c>
      <c r="N492" t="n">
        <v>0</v>
      </c>
      <c r="O492" t="n">
        <v>0</v>
      </c>
      <c r="P492" t="n">
        <v>0</v>
      </c>
      <c r="Q492" t="n">
        <v>0</v>
      </c>
      <c r="R492" s="2" t="inlineStr"/>
    </row>
    <row r="493" ht="15" customHeight="1">
      <c r="A493" t="inlineStr">
        <is>
          <t>A 7244-2026</t>
        </is>
      </c>
      <c r="B493" s="1" t="n">
        <v>46058.58646990741</v>
      </c>
      <c r="C493" s="1" t="n">
        <v>46092</v>
      </c>
      <c r="D493" t="inlineStr">
        <is>
          <t>SKÅNE LÄN</t>
        </is>
      </c>
      <c r="E493" t="inlineStr">
        <is>
          <t>HÄSSLEHOLM</t>
        </is>
      </c>
      <c r="G493" t="n">
        <v>7</v>
      </c>
      <c r="H493" t="n">
        <v>0</v>
      </c>
      <c r="I493" t="n">
        <v>0</v>
      </c>
      <c r="J493" t="n">
        <v>0</v>
      </c>
      <c r="K493" t="n">
        <v>0</v>
      </c>
      <c r="L493" t="n">
        <v>0</v>
      </c>
      <c r="M493" t="n">
        <v>0</v>
      </c>
      <c r="N493" t="n">
        <v>0</v>
      </c>
      <c r="O493" t="n">
        <v>0</v>
      </c>
      <c r="P493" t="n">
        <v>0</v>
      </c>
      <c r="Q493" t="n">
        <v>0</v>
      </c>
      <c r="R493" s="2" t="inlineStr"/>
    </row>
    <row r="494" ht="15" customHeight="1">
      <c r="A494" t="inlineStr">
        <is>
          <t>A 45314-2025</t>
        </is>
      </c>
      <c r="B494" s="1" t="n">
        <v>45921.81738425926</v>
      </c>
      <c r="C494" s="1" t="n">
        <v>46092</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45763-2025</t>
        </is>
      </c>
      <c r="B495" s="1" t="n">
        <v>45923.51778935185</v>
      </c>
      <c r="C495" s="1" t="n">
        <v>46092</v>
      </c>
      <c r="D495" t="inlineStr">
        <is>
          <t>SKÅNE LÄN</t>
        </is>
      </c>
      <c r="E495" t="inlineStr">
        <is>
          <t>HÄSSLEHOLM</t>
        </is>
      </c>
      <c r="G495" t="n">
        <v>4.8</v>
      </c>
      <c r="H495" t="n">
        <v>0</v>
      </c>
      <c r="I495" t="n">
        <v>0</v>
      </c>
      <c r="J495" t="n">
        <v>0</v>
      </c>
      <c r="K495" t="n">
        <v>0</v>
      </c>
      <c r="L495" t="n">
        <v>0</v>
      </c>
      <c r="M495" t="n">
        <v>0</v>
      </c>
      <c r="N495" t="n">
        <v>0</v>
      </c>
      <c r="O495" t="n">
        <v>0</v>
      </c>
      <c r="P495" t="n">
        <v>0</v>
      </c>
      <c r="Q495" t="n">
        <v>0</v>
      </c>
      <c r="R495" s="2" t="inlineStr"/>
    </row>
    <row r="496" ht="15" customHeight="1">
      <c r="A496" t="inlineStr">
        <is>
          <t>A 45764-2025</t>
        </is>
      </c>
      <c r="B496" s="1" t="n">
        <v>45923.52037037037</v>
      </c>
      <c r="C496" s="1" t="n">
        <v>46092</v>
      </c>
      <c r="D496" t="inlineStr">
        <is>
          <t>SKÅNE LÄN</t>
        </is>
      </c>
      <c r="E496" t="inlineStr">
        <is>
          <t>HÄSSLEHOLM</t>
        </is>
      </c>
      <c r="G496" t="n">
        <v>6.3</v>
      </c>
      <c r="H496" t="n">
        <v>0</v>
      </c>
      <c r="I496" t="n">
        <v>0</v>
      </c>
      <c r="J496" t="n">
        <v>0</v>
      </c>
      <c r="K496" t="n">
        <v>0</v>
      </c>
      <c r="L496" t="n">
        <v>0</v>
      </c>
      <c r="M496" t="n">
        <v>0</v>
      </c>
      <c r="N496" t="n">
        <v>0</v>
      </c>
      <c r="O496" t="n">
        <v>0</v>
      </c>
      <c r="P496" t="n">
        <v>0</v>
      </c>
      <c r="Q496" t="n">
        <v>0</v>
      </c>
      <c r="R496" s="2" t="inlineStr"/>
    </row>
    <row r="497" ht="15" customHeight="1">
      <c r="A497" t="inlineStr">
        <is>
          <t>A 14939-2023</t>
        </is>
      </c>
      <c r="B497" s="1" t="n">
        <v>45014</v>
      </c>
      <c r="C497" s="1" t="n">
        <v>46092</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13345-2025</t>
        </is>
      </c>
      <c r="B498" s="1" t="n">
        <v>45735.63017361111</v>
      </c>
      <c r="C498" s="1" t="n">
        <v>46092</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25615-2025</t>
        </is>
      </c>
      <c r="B499" s="1" t="n">
        <v>45803</v>
      </c>
      <c r="C499" s="1" t="n">
        <v>46092</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45443-2025</t>
        </is>
      </c>
      <c r="B500" s="1" t="n">
        <v>45920</v>
      </c>
      <c r="C500" s="1" t="n">
        <v>46092</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4945-2022</t>
        </is>
      </c>
      <c r="B501" s="1" t="n">
        <v>44593</v>
      </c>
      <c r="C501" s="1" t="n">
        <v>46092</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6316-2026</t>
        </is>
      </c>
      <c r="B502" s="1" t="n">
        <v>46055</v>
      </c>
      <c r="C502" s="1" t="n">
        <v>46092</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6328-2026</t>
        </is>
      </c>
      <c r="B503" s="1" t="n">
        <v>46055</v>
      </c>
      <c r="C503" s="1" t="n">
        <v>46092</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11412-2025</t>
        </is>
      </c>
      <c r="B504" s="1" t="n">
        <v>45726</v>
      </c>
      <c r="C504" s="1" t="n">
        <v>46092</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25430-2025</t>
        </is>
      </c>
      <c r="B505" s="1" t="n">
        <v>45800.78212962963</v>
      </c>
      <c r="C505" s="1" t="n">
        <v>46092</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45458-2025</t>
        </is>
      </c>
      <c r="B506" s="1" t="n">
        <v>45920</v>
      </c>
      <c r="C506" s="1" t="n">
        <v>46092</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45465-2025</t>
        </is>
      </c>
      <c r="B507" s="1" t="n">
        <v>45920</v>
      </c>
      <c r="C507" s="1" t="n">
        <v>46092</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45414-2025</t>
        </is>
      </c>
      <c r="B508" s="1" t="n">
        <v>45920</v>
      </c>
      <c r="C508" s="1" t="n">
        <v>46092</v>
      </c>
      <c r="D508" t="inlineStr">
        <is>
          <t>SKÅNE LÄN</t>
        </is>
      </c>
      <c r="E508" t="inlineStr">
        <is>
          <t>HÄSSLEHOLM</t>
        </is>
      </c>
      <c r="G508" t="n">
        <v>14.7</v>
      </c>
      <c r="H508" t="n">
        <v>0</v>
      </c>
      <c r="I508" t="n">
        <v>0</v>
      </c>
      <c r="J508" t="n">
        <v>0</v>
      </c>
      <c r="K508" t="n">
        <v>0</v>
      </c>
      <c r="L508" t="n">
        <v>0</v>
      </c>
      <c r="M508" t="n">
        <v>0</v>
      </c>
      <c r="N508" t="n">
        <v>0</v>
      </c>
      <c r="O508" t="n">
        <v>0</v>
      </c>
      <c r="P508" t="n">
        <v>0</v>
      </c>
      <c r="Q508" t="n">
        <v>0</v>
      </c>
      <c r="R508" s="2" t="inlineStr"/>
    </row>
    <row r="509" ht="15" customHeight="1">
      <c r="A509" t="inlineStr">
        <is>
          <t>A 45683-2025</t>
        </is>
      </c>
      <c r="B509" s="1" t="n">
        <v>45923.37590277778</v>
      </c>
      <c r="C509" s="1" t="n">
        <v>46092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45516-2025</t>
        </is>
      </c>
      <c r="B510" s="1" t="n">
        <v>45922</v>
      </c>
      <c r="C510" s="1" t="n">
        <v>46092</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12558-2023</t>
        </is>
      </c>
      <c r="B511" s="1" t="n">
        <v>45000.36103009259</v>
      </c>
      <c r="C511" s="1" t="n">
        <v>46092</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11466-2025</t>
        </is>
      </c>
      <c r="B512" s="1" t="n">
        <v>45726</v>
      </c>
      <c r="C512" s="1" t="n">
        <v>46092</v>
      </c>
      <c r="D512" t="inlineStr">
        <is>
          <t>SKÅNE LÄN</t>
        </is>
      </c>
      <c r="E512" t="inlineStr">
        <is>
          <t>HÄSSLEHOLM</t>
        </is>
      </c>
      <c r="G512" t="n">
        <v>3.2</v>
      </c>
      <c r="H512" t="n">
        <v>0</v>
      </c>
      <c r="I512" t="n">
        <v>0</v>
      </c>
      <c r="J512" t="n">
        <v>0</v>
      </c>
      <c r="K512" t="n">
        <v>0</v>
      </c>
      <c r="L512" t="n">
        <v>0</v>
      </c>
      <c r="M512" t="n">
        <v>0</v>
      </c>
      <c r="N512" t="n">
        <v>0</v>
      </c>
      <c r="O512" t="n">
        <v>0</v>
      </c>
      <c r="P512" t="n">
        <v>0</v>
      </c>
      <c r="Q512" t="n">
        <v>0</v>
      </c>
      <c r="R512" s="2" t="inlineStr"/>
    </row>
    <row r="513" ht="15" customHeight="1">
      <c r="A513" t="inlineStr">
        <is>
          <t>A 7721-2026</t>
        </is>
      </c>
      <c r="B513" s="1" t="n">
        <v>46059</v>
      </c>
      <c r="C513" s="1" t="n">
        <v>46092</v>
      </c>
      <c r="D513" t="inlineStr">
        <is>
          <t>SKÅNE LÄN</t>
        </is>
      </c>
      <c r="E513" t="inlineStr">
        <is>
          <t>HÄSSLEHOLM</t>
        </is>
      </c>
      <c r="G513" t="n">
        <v>3.3</v>
      </c>
      <c r="H513" t="n">
        <v>0</v>
      </c>
      <c r="I513" t="n">
        <v>0</v>
      </c>
      <c r="J513" t="n">
        <v>0</v>
      </c>
      <c r="K513" t="n">
        <v>0</v>
      </c>
      <c r="L513" t="n">
        <v>0</v>
      </c>
      <c r="M513" t="n">
        <v>0</v>
      </c>
      <c r="N513" t="n">
        <v>0</v>
      </c>
      <c r="O513" t="n">
        <v>0</v>
      </c>
      <c r="P513" t="n">
        <v>0</v>
      </c>
      <c r="Q513" t="n">
        <v>0</v>
      </c>
      <c r="R513" s="2" t="inlineStr"/>
    </row>
    <row r="514" ht="15" customHeight="1">
      <c r="A514" t="inlineStr">
        <is>
          <t>A 45514-2025</t>
        </is>
      </c>
      <c r="B514" s="1" t="n">
        <v>45922</v>
      </c>
      <c r="C514" s="1" t="n">
        <v>46092</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11121-2023</t>
        </is>
      </c>
      <c r="B515" s="1" t="n">
        <v>44986</v>
      </c>
      <c r="C515" s="1" t="n">
        <v>46092</v>
      </c>
      <c r="D515" t="inlineStr">
        <is>
          <t>SKÅNE LÄN</t>
        </is>
      </c>
      <c r="E515" t="inlineStr">
        <is>
          <t>HÄSSLEHOLM</t>
        </is>
      </c>
      <c r="F515" t="inlineStr">
        <is>
          <t>Kommuner</t>
        </is>
      </c>
      <c r="G515" t="n">
        <v>5.8</v>
      </c>
      <c r="H515" t="n">
        <v>0</v>
      </c>
      <c r="I515" t="n">
        <v>0</v>
      </c>
      <c r="J515" t="n">
        <v>0</v>
      </c>
      <c r="K515" t="n">
        <v>0</v>
      </c>
      <c r="L515" t="n">
        <v>0</v>
      </c>
      <c r="M515" t="n">
        <v>0</v>
      </c>
      <c r="N515" t="n">
        <v>0</v>
      </c>
      <c r="O515" t="n">
        <v>0</v>
      </c>
      <c r="P515" t="n">
        <v>0</v>
      </c>
      <c r="Q515" t="n">
        <v>0</v>
      </c>
      <c r="R515" s="2" t="inlineStr"/>
    </row>
    <row r="516" ht="15" customHeight="1">
      <c r="A516" t="inlineStr">
        <is>
          <t>A 11116-2023</t>
        </is>
      </c>
      <c r="B516" s="1" t="n">
        <v>44986</v>
      </c>
      <c r="C516" s="1" t="n">
        <v>46092</v>
      </c>
      <c r="D516" t="inlineStr">
        <is>
          <t>SKÅNE LÄN</t>
        </is>
      </c>
      <c r="E516" t="inlineStr">
        <is>
          <t>HÄSSLEHOLM</t>
        </is>
      </c>
      <c r="F516" t="inlineStr">
        <is>
          <t>Kommuner</t>
        </is>
      </c>
      <c r="G516" t="n">
        <v>15.1</v>
      </c>
      <c r="H516" t="n">
        <v>0</v>
      </c>
      <c r="I516" t="n">
        <v>0</v>
      </c>
      <c r="J516" t="n">
        <v>0</v>
      </c>
      <c r="K516" t="n">
        <v>0</v>
      </c>
      <c r="L516" t="n">
        <v>0</v>
      </c>
      <c r="M516" t="n">
        <v>0</v>
      </c>
      <c r="N516" t="n">
        <v>0</v>
      </c>
      <c r="O516" t="n">
        <v>0</v>
      </c>
      <c r="P516" t="n">
        <v>0</v>
      </c>
      <c r="Q516" t="n">
        <v>0</v>
      </c>
      <c r="R516" s="2" t="inlineStr"/>
    </row>
    <row r="517" ht="15" customHeight="1">
      <c r="A517" t="inlineStr">
        <is>
          <t>A 45762-2025</t>
        </is>
      </c>
      <c r="B517" s="1" t="n">
        <v>45923.51548611111</v>
      </c>
      <c r="C517" s="1" t="n">
        <v>46092</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4119-2024</t>
        </is>
      </c>
      <c r="B518" s="1" t="n">
        <v>45323.67920138889</v>
      </c>
      <c r="C518" s="1" t="n">
        <v>46092</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6835-2023</t>
        </is>
      </c>
      <c r="B519" s="1" t="n">
        <v>44967</v>
      </c>
      <c r="C519" s="1" t="n">
        <v>46092</v>
      </c>
      <c r="D519" t="inlineStr">
        <is>
          <t>SKÅNE LÄN</t>
        </is>
      </c>
      <c r="E519" t="inlineStr">
        <is>
          <t>HÄSSLEHOLM</t>
        </is>
      </c>
      <c r="G519" t="n">
        <v>4.8</v>
      </c>
      <c r="H519" t="n">
        <v>0</v>
      </c>
      <c r="I519" t="n">
        <v>0</v>
      </c>
      <c r="J519" t="n">
        <v>0</v>
      </c>
      <c r="K519" t="n">
        <v>0</v>
      </c>
      <c r="L519" t="n">
        <v>0</v>
      </c>
      <c r="M519" t="n">
        <v>0</v>
      </c>
      <c r="N519" t="n">
        <v>0</v>
      </c>
      <c r="O519" t="n">
        <v>0</v>
      </c>
      <c r="P519" t="n">
        <v>0</v>
      </c>
      <c r="Q519" t="n">
        <v>0</v>
      </c>
      <c r="R519" s="2" t="inlineStr"/>
    </row>
    <row r="520" ht="15" customHeight="1">
      <c r="A520" t="inlineStr">
        <is>
          <t>A 47757-2024</t>
        </is>
      </c>
      <c r="B520" s="1" t="n">
        <v>45588.55075231481</v>
      </c>
      <c r="C520" s="1" t="n">
        <v>46092</v>
      </c>
      <c r="D520" t="inlineStr">
        <is>
          <t>SKÅNE LÄN</t>
        </is>
      </c>
      <c r="E520" t="inlineStr">
        <is>
          <t>HÄSSLEHOLM</t>
        </is>
      </c>
      <c r="G520" t="n">
        <v>5.5</v>
      </c>
      <c r="H520" t="n">
        <v>0</v>
      </c>
      <c r="I520" t="n">
        <v>0</v>
      </c>
      <c r="J520" t="n">
        <v>0</v>
      </c>
      <c r="K520" t="n">
        <v>0</v>
      </c>
      <c r="L520" t="n">
        <v>0</v>
      </c>
      <c r="M520" t="n">
        <v>0</v>
      </c>
      <c r="N520" t="n">
        <v>0</v>
      </c>
      <c r="O520" t="n">
        <v>0</v>
      </c>
      <c r="P520" t="n">
        <v>0</v>
      </c>
      <c r="Q520" t="n">
        <v>0</v>
      </c>
      <c r="R520" s="2" t="inlineStr"/>
    </row>
    <row r="521" ht="15" customHeight="1">
      <c r="A521" t="inlineStr">
        <is>
          <t>A 16550-2025</t>
        </is>
      </c>
      <c r="B521" s="1" t="n">
        <v>45751.69412037037</v>
      </c>
      <c r="C521" s="1" t="n">
        <v>46092</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26536-2022</t>
        </is>
      </c>
      <c r="B522" s="1" t="n">
        <v>44739.45496527778</v>
      </c>
      <c r="C522" s="1" t="n">
        <v>46092</v>
      </c>
      <c r="D522" t="inlineStr">
        <is>
          <t>SKÅNE LÄN</t>
        </is>
      </c>
      <c r="E522" t="inlineStr">
        <is>
          <t>HÄSSLEHOLM</t>
        </is>
      </c>
      <c r="G522" t="n">
        <v>3.1</v>
      </c>
      <c r="H522" t="n">
        <v>0</v>
      </c>
      <c r="I522" t="n">
        <v>0</v>
      </c>
      <c r="J522" t="n">
        <v>0</v>
      </c>
      <c r="K522" t="n">
        <v>0</v>
      </c>
      <c r="L522" t="n">
        <v>0</v>
      </c>
      <c r="M522" t="n">
        <v>0</v>
      </c>
      <c r="N522" t="n">
        <v>0</v>
      </c>
      <c r="O522" t="n">
        <v>0</v>
      </c>
      <c r="P522" t="n">
        <v>0</v>
      </c>
      <c r="Q522" t="n">
        <v>0</v>
      </c>
      <c r="R522" s="2" t="inlineStr"/>
    </row>
    <row r="523" ht="15" customHeight="1">
      <c r="A523" t="inlineStr">
        <is>
          <t>A 9668-2025</t>
        </is>
      </c>
      <c r="B523" s="1" t="n">
        <v>45716</v>
      </c>
      <c r="C523" s="1" t="n">
        <v>46092</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25431-2025</t>
        </is>
      </c>
      <c r="B524" s="1" t="n">
        <v>45800.78340277778</v>
      </c>
      <c r="C524" s="1" t="n">
        <v>46092</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25432-2025</t>
        </is>
      </c>
      <c r="B525" s="1" t="n">
        <v>45800.7847800926</v>
      </c>
      <c r="C525" s="1" t="n">
        <v>46092</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11470-2025</t>
        </is>
      </c>
      <c r="B526" s="1" t="n">
        <v>45726</v>
      </c>
      <c r="C526" s="1" t="n">
        <v>46092</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25057-2024</t>
        </is>
      </c>
      <c r="B527" s="1" t="n">
        <v>45462</v>
      </c>
      <c r="C527" s="1" t="n">
        <v>46092</v>
      </c>
      <c r="D527" t="inlineStr">
        <is>
          <t>SKÅNE LÄN</t>
        </is>
      </c>
      <c r="E527" t="inlineStr">
        <is>
          <t>HÄSSLEHOLM</t>
        </is>
      </c>
      <c r="G527" t="n">
        <v>4.3</v>
      </c>
      <c r="H527" t="n">
        <v>0</v>
      </c>
      <c r="I527" t="n">
        <v>0</v>
      </c>
      <c r="J527" t="n">
        <v>0</v>
      </c>
      <c r="K527" t="n">
        <v>0</v>
      </c>
      <c r="L527" t="n">
        <v>0</v>
      </c>
      <c r="M527" t="n">
        <v>0</v>
      </c>
      <c r="N527" t="n">
        <v>0</v>
      </c>
      <c r="O527" t="n">
        <v>0</v>
      </c>
      <c r="P527" t="n">
        <v>0</v>
      </c>
      <c r="Q527" t="n">
        <v>0</v>
      </c>
      <c r="R527" s="2" t="inlineStr"/>
    </row>
    <row r="528" ht="15" customHeight="1">
      <c r="A528" t="inlineStr">
        <is>
          <t>A 9678-2025</t>
        </is>
      </c>
      <c r="B528" s="1" t="n">
        <v>45716</v>
      </c>
      <c r="C528" s="1" t="n">
        <v>46092</v>
      </c>
      <c r="D528" t="inlineStr">
        <is>
          <t>SKÅNE LÄN</t>
        </is>
      </c>
      <c r="E528" t="inlineStr">
        <is>
          <t>HÄSSLEHOLM</t>
        </is>
      </c>
      <c r="G528" t="n">
        <v>2.1</v>
      </c>
      <c r="H528" t="n">
        <v>0</v>
      </c>
      <c r="I528" t="n">
        <v>0</v>
      </c>
      <c r="J528" t="n">
        <v>0</v>
      </c>
      <c r="K528" t="n">
        <v>0</v>
      </c>
      <c r="L528" t="n">
        <v>0</v>
      </c>
      <c r="M528" t="n">
        <v>0</v>
      </c>
      <c r="N528" t="n">
        <v>0</v>
      </c>
      <c r="O528" t="n">
        <v>0</v>
      </c>
      <c r="P528" t="n">
        <v>0</v>
      </c>
      <c r="Q528" t="n">
        <v>0</v>
      </c>
      <c r="R528" s="2" t="inlineStr"/>
    </row>
    <row r="529" ht="15" customHeight="1">
      <c r="A529" t="inlineStr">
        <is>
          <t>A 7494-2023</t>
        </is>
      </c>
      <c r="B529" s="1" t="n">
        <v>44971.70835648148</v>
      </c>
      <c r="C529" s="1" t="n">
        <v>46092</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10115-2024</t>
        </is>
      </c>
      <c r="B530" s="1" t="n">
        <v>45364.55339120371</v>
      </c>
      <c r="C530" s="1" t="n">
        <v>46092</v>
      </c>
      <c r="D530" t="inlineStr">
        <is>
          <t>SKÅNE LÄN</t>
        </is>
      </c>
      <c r="E530" t="inlineStr">
        <is>
          <t>HÄSSLEHOLM</t>
        </is>
      </c>
      <c r="G530" t="n">
        <v>7</v>
      </c>
      <c r="H530" t="n">
        <v>0</v>
      </c>
      <c r="I530" t="n">
        <v>0</v>
      </c>
      <c r="J530" t="n">
        <v>0</v>
      </c>
      <c r="K530" t="n">
        <v>0</v>
      </c>
      <c r="L530" t="n">
        <v>0</v>
      </c>
      <c r="M530" t="n">
        <v>0</v>
      </c>
      <c r="N530" t="n">
        <v>0</v>
      </c>
      <c r="O530" t="n">
        <v>0</v>
      </c>
      <c r="P530" t="n">
        <v>0</v>
      </c>
      <c r="Q530" t="n">
        <v>0</v>
      </c>
      <c r="R530" s="2" t="inlineStr"/>
    </row>
    <row r="531" ht="15" customHeight="1">
      <c r="A531" t="inlineStr">
        <is>
          <t>A 7785-2026</t>
        </is>
      </c>
      <c r="B531" s="1" t="n">
        <v>46062.58422453704</v>
      </c>
      <c r="C531" s="1" t="n">
        <v>46092</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8538-2026</t>
        </is>
      </c>
      <c r="B532" s="1" t="n">
        <v>46064</v>
      </c>
      <c r="C532" s="1" t="n">
        <v>46092</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46786-2025</t>
        </is>
      </c>
      <c r="B533" s="1" t="n">
        <v>45926.64484953704</v>
      </c>
      <c r="C533" s="1" t="n">
        <v>46092</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47126-2025</t>
        </is>
      </c>
      <c r="B534" s="1" t="n">
        <v>45929.685625</v>
      </c>
      <c r="C534" s="1" t="n">
        <v>46092</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47127-2025</t>
        </is>
      </c>
      <c r="B535" s="1" t="n">
        <v>45929.6893287037</v>
      </c>
      <c r="C535" s="1" t="n">
        <v>46092</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21328-2023</t>
        </is>
      </c>
      <c r="B536" s="1" t="n">
        <v>45062</v>
      </c>
      <c r="C536" s="1" t="n">
        <v>46092</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26232-2025</t>
        </is>
      </c>
      <c r="B537" s="1" t="n">
        <v>45805.56642361111</v>
      </c>
      <c r="C537" s="1" t="n">
        <v>46092</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8539-2026</t>
        </is>
      </c>
      <c r="B538" s="1" t="n">
        <v>46064</v>
      </c>
      <c r="C538" s="1" t="n">
        <v>46092</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47394-2025</t>
        </is>
      </c>
      <c r="B539" s="1" t="n">
        <v>45930</v>
      </c>
      <c r="C539" s="1" t="n">
        <v>46092</v>
      </c>
      <c r="D539" t="inlineStr">
        <is>
          <t>SKÅNE LÄN</t>
        </is>
      </c>
      <c r="E539" t="inlineStr">
        <is>
          <t>HÄSSLEHOLM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12570-2023</t>
        </is>
      </c>
      <c r="B540" s="1" t="n">
        <v>44999</v>
      </c>
      <c r="C540" s="1" t="n">
        <v>46092</v>
      </c>
      <c r="D540" t="inlineStr">
        <is>
          <t>SKÅNE LÄN</t>
        </is>
      </c>
      <c r="E540" t="inlineStr">
        <is>
          <t>HÄSSLEHOLM</t>
        </is>
      </c>
      <c r="G540" t="n">
        <v>3.4</v>
      </c>
      <c r="H540" t="n">
        <v>0</v>
      </c>
      <c r="I540" t="n">
        <v>0</v>
      </c>
      <c r="J540" t="n">
        <v>0</v>
      </c>
      <c r="K540" t="n">
        <v>0</v>
      </c>
      <c r="L540" t="n">
        <v>0</v>
      </c>
      <c r="M540" t="n">
        <v>0</v>
      </c>
      <c r="N540" t="n">
        <v>0</v>
      </c>
      <c r="O540" t="n">
        <v>0</v>
      </c>
      <c r="P540" t="n">
        <v>0</v>
      </c>
      <c r="Q540" t="n">
        <v>0</v>
      </c>
      <c r="R540" s="2" t="inlineStr"/>
    </row>
    <row r="541" ht="15" customHeight="1">
      <c r="A541" t="inlineStr">
        <is>
          <t>A 46761-2025</t>
        </is>
      </c>
      <c r="B541" s="1" t="n">
        <v>45926.62289351852</v>
      </c>
      <c r="C541" s="1" t="n">
        <v>46092</v>
      </c>
      <c r="D541" t="inlineStr">
        <is>
          <t>SKÅNE LÄN</t>
        </is>
      </c>
      <c r="E541" t="inlineStr">
        <is>
          <t>HÄSSLEHOLM</t>
        </is>
      </c>
      <c r="G541" t="n">
        <v>1.6</v>
      </c>
      <c r="H541" t="n">
        <v>0</v>
      </c>
      <c r="I541" t="n">
        <v>0</v>
      </c>
      <c r="J541" t="n">
        <v>0</v>
      </c>
      <c r="K541" t="n">
        <v>0</v>
      </c>
      <c r="L541" t="n">
        <v>0</v>
      </c>
      <c r="M541" t="n">
        <v>0</v>
      </c>
      <c r="N541" t="n">
        <v>0</v>
      </c>
      <c r="O541" t="n">
        <v>0</v>
      </c>
      <c r="P541" t="n">
        <v>0</v>
      </c>
      <c r="Q541" t="n">
        <v>0</v>
      </c>
      <c r="R541" s="2" t="inlineStr"/>
    </row>
    <row r="542" ht="15" customHeight="1">
      <c r="A542" t="inlineStr">
        <is>
          <t>A 26244-2025</t>
        </is>
      </c>
      <c r="B542" s="1" t="n">
        <v>45805.57364583333</v>
      </c>
      <c r="C542" s="1" t="n">
        <v>46092</v>
      </c>
      <c r="D542" t="inlineStr">
        <is>
          <t>SKÅNE LÄN</t>
        </is>
      </c>
      <c r="E542" t="inlineStr">
        <is>
          <t>HÄSSLEHOLM</t>
        </is>
      </c>
      <c r="G542" t="n">
        <v>1.4</v>
      </c>
      <c r="H542" t="n">
        <v>0</v>
      </c>
      <c r="I542" t="n">
        <v>0</v>
      </c>
      <c r="J542" t="n">
        <v>0</v>
      </c>
      <c r="K542" t="n">
        <v>0</v>
      </c>
      <c r="L542" t="n">
        <v>0</v>
      </c>
      <c r="M542" t="n">
        <v>0</v>
      </c>
      <c r="N542" t="n">
        <v>0</v>
      </c>
      <c r="O542" t="n">
        <v>0</v>
      </c>
      <c r="P542" t="n">
        <v>0</v>
      </c>
      <c r="Q542" t="n">
        <v>0</v>
      </c>
      <c r="R542" s="2" t="inlineStr"/>
    </row>
    <row r="543" ht="15" customHeight="1">
      <c r="A543" t="inlineStr">
        <is>
          <t>A 20435-2021</t>
        </is>
      </c>
      <c r="B543" s="1" t="n">
        <v>44315.5793287037</v>
      </c>
      <c r="C543" s="1" t="n">
        <v>46092</v>
      </c>
      <c r="D543" t="inlineStr">
        <is>
          <t>SKÅNE LÄN</t>
        </is>
      </c>
      <c r="E543" t="inlineStr">
        <is>
          <t>HÄSSLEHOLM</t>
        </is>
      </c>
      <c r="G543" t="n">
        <v>4.8</v>
      </c>
      <c r="H543" t="n">
        <v>0</v>
      </c>
      <c r="I543" t="n">
        <v>0</v>
      </c>
      <c r="J543" t="n">
        <v>0</v>
      </c>
      <c r="K543" t="n">
        <v>0</v>
      </c>
      <c r="L543" t="n">
        <v>0</v>
      </c>
      <c r="M543" t="n">
        <v>0</v>
      </c>
      <c r="N543" t="n">
        <v>0</v>
      </c>
      <c r="O543" t="n">
        <v>0</v>
      </c>
      <c r="P543" t="n">
        <v>0</v>
      </c>
      <c r="Q543" t="n">
        <v>0</v>
      </c>
      <c r="R543" s="2" t="inlineStr"/>
    </row>
    <row r="544" ht="15" customHeight="1">
      <c r="A544" t="inlineStr">
        <is>
          <t>A 25219-2023</t>
        </is>
      </c>
      <c r="B544" s="1" t="n">
        <v>45086.60541666667</v>
      </c>
      <c r="C544" s="1" t="n">
        <v>46092</v>
      </c>
      <c r="D544" t="inlineStr">
        <is>
          <t>SKÅNE LÄN</t>
        </is>
      </c>
      <c r="E544" t="inlineStr">
        <is>
          <t>HÄSSLEHOLM</t>
        </is>
      </c>
      <c r="G544" t="n">
        <v>6.9</v>
      </c>
      <c r="H544" t="n">
        <v>0</v>
      </c>
      <c r="I544" t="n">
        <v>0</v>
      </c>
      <c r="J544" t="n">
        <v>0</v>
      </c>
      <c r="K544" t="n">
        <v>0</v>
      </c>
      <c r="L544" t="n">
        <v>0</v>
      </c>
      <c r="M544" t="n">
        <v>0</v>
      </c>
      <c r="N544" t="n">
        <v>0</v>
      </c>
      <c r="O544" t="n">
        <v>0</v>
      </c>
      <c r="P544" t="n">
        <v>0</v>
      </c>
      <c r="Q544" t="n">
        <v>0</v>
      </c>
      <c r="R544" s="2" t="inlineStr"/>
    </row>
    <row r="545" ht="15" customHeight="1">
      <c r="A545" t="inlineStr">
        <is>
          <t>A 46855-2025</t>
        </is>
      </c>
      <c r="B545" s="1" t="n">
        <v>45928.88497685185</v>
      </c>
      <c r="C545" s="1" t="n">
        <v>46092</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46605-2025</t>
        </is>
      </c>
      <c r="B546" s="1" t="n">
        <v>45926.41214120371</v>
      </c>
      <c r="C546" s="1" t="n">
        <v>46092</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8674-2026</t>
        </is>
      </c>
      <c r="B547" s="1" t="n">
        <v>46066.4059837963</v>
      </c>
      <c r="C547" s="1" t="n">
        <v>46092</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7306-2025</t>
        </is>
      </c>
      <c r="B548" s="1" t="n">
        <v>45702</v>
      </c>
      <c r="C548" s="1" t="n">
        <v>46092</v>
      </c>
      <c r="D548" t="inlineStr">
        <is>
          <t>SKÅNE LÄN</t>
        </is>
      </c>
      <c r="E548" t="inlineStr">
        <is>
          <t>HÄSSLEHOLM</t>
        </is>
      </c>
      <c r="F548" t="inlineStr">
        <is>
          <t>Övriga Aktiebolag</t>
        </is>
      </c>
      <c r="G548" t="n">
        <v>3.3</v>
      </c>
      <c r="H548" t="n">
        <v>0</v>
      </c>
      <c r="I548" t="n">
        <v>0</v>
      </c>
      <c r="J548" t="n">
        <v>0</v>
      </c>
      <c r="K548" t="n">
        <v>0</v>
      </c>
      <c r="L548" t="n">
        <v>0</v>
      </c>
      <c r="M548" t="n">
        <v>0</v>
      </c>
      <c r="N548" t="n">
        <v>0</v>
      </c>
      <c r="O548" t="n">
        <v>0</v>
      </c>
      <c r="P548" t="n">
        <v>0</v>
      </c>
      <c r="Q548" t="n">
        <v>0</v>
      </c>
      <c r="R548" s="2" t="inlineStr"/>
    </row>
    <row r="549" ht="15" customHeight="1">
      <c r="A549" t="inlineStr">
        <is>
          <t>A 7308-2025</t>
        </is>
      </c>
      <c r="B549" s="1" t="n">
        <v>45702</v>
      </c>
      <c r="C549" s="1" t="n">
        <v>46092</v>
      </c>
      <c r="D549" t="inlineStr">
        <is>
          <t>SKÅNE LÄN</t>
        </is>
      </c>
      <c r="E549" t="inlineStr">
        <is>
          <t>HÄSSLEHOLM</t>
        </is>
      </c>
      <c r="F549" t="inlineStr">
        <is>
          <t>Övriga Aktiebolag</t>
        </is>
      </c>
      <c r="G549" t="n">
        <v>4.8</v>
      </c>
      <c r="H549" t="n">
        <v>0</v>
      </c>
      <c r="I549" t="n">
        <v>0</v>
      </c>
      <c r="J549" t="n">
        <v>0</v>
      </c>
      <c r="K549" t="n">
        <v>0</v>
      </c>
      <c r="L549" t="n">
        <v>0</v>
      </c>
      <c r="M549" t="n">
        <v>0</v>
      </c>
      <c r="N549" t="n">
        <v>0</v>
      </c>
      <c r="O549" t="n">
        <v>0</v>
      </c>
      <c r="P549" t="n">
        <v>0</v>
      </c>
      <c r="Q549" t="n">
        <v>0</v>
      </c>
      <c r="R549" s="2" t="inlineStr"/>
    </row>
    <row r="550" ht="15" customHeight="1">
      <c r="A550" t="inlineStr">
        <is>
          <t>A 58250-2024</t>
        </is>
      </c>
      <c r="B550" s="1" t="n">
        <v>45632.55643518519</v>
      </c>
      <c r="C550" s="1" t="n">
        <v>46092</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54671-2022</t>
        </is>
      </c>
      <c r="B551" s="1" t="n">
        <v>44883</v>
      </c>
      <c r="C551" s="1" t="n">
        <v>46092</v>
      </c>
      <c r="D551" t="inlineStr">
        <is>
          <t>SKÅNE LÄN</t>
        </is>
      </c>
      <c r="E551" t="inlineStr">
        <is>
          <t>HÄSSLEHOLM</t>
        </is>
      </c>
      <c r="G551" t="n">
        <v>1.4</v>
      </c>
      <c r="H551" t="n">
        <v>0</v>
      </c>
      <c r="I551" t="n">
        <v>0</v>
      </c>
      <c r="J551" t="n">
        <v>0</v>
      </c>
      <c r="K551" t="n">
        <v>0</v>
      </c>
      <c r="L551" t="n">
        <v>0</v>
      </c>
      <c r="M551" t="n">
        <v>0</v>
      </c>
      <c r="N551" t="n">
        <v>0</v>
      </c>
      <c r="O551" t="n">
        <v>0</v>
      </c>
      <c r="P551" t="n">
        <v>0</v>
      </c>
      <c r="Q551" t="n">
        <v>0</v>
      </c>
      <c r="R551" s="2" t="inlineStr"/>
    </row>
    <row r="552" ht="15" customHeight="1">
      <c r="A552" t="inlineStr">
        <is>
          <t>A 25726-2025</t>
        </is>
      </c>
      <c r="B552" s="1" t="n">
        <v>45803</v>
      </c>
      <c r="C552" s="1" t="n">
        <v>46092</v>
      </c>
      <c r="D552" t="inlineStr">
        <is>
          <t>SKÅNE LÄN</t>
        </is>
      </c>
      <c r="E552" t="inlineStr">
        <is>
          <t>HÄSSLEHOLM</t>
        </is>
      </c>
      <c r="G552" t="n">
        <v>5.5</v>
      </c>
      <c r="H552" t="n">
        <v>0</v>
      </c>
      <c r="I552" t="n">
        <v>0</v>
      </c>
      <c r="J552" t="n">
        <v>0</v>
      </c>
      <c r="K552" t="n">
        <v>0</v>
      </c>
      <c r="L552" t="n">
        <v>0</v>
      </c>
      <c r="M552" t="n">
        <v>0</v>
      </c>
      <c r="N552" t="n">
        <v>0</v>
      </c>
      <c r="O552" t="n">
        <v>0</v>
      </c>
      <c r="P552" t="n">
        <v>0</v>
      </c>
      <c r="Q552" t="n">
        <v>0</v>
      </c>
      <c r="R552" s="2" t="inlineStr"/>
    </row>
    <row r="553" ht="15" customHeight="1">
      <c r="A553" t="inlineStr">
        <is>
          <t>A 40739-2024</t>
        </is>
      </c>
      <c r="B553" s="1" t="n">
        <v>45558</v>
      </c>
      <c r="C553" s="1" t="n">
        <v>46092</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47259-2025</t>
        </is>
      </c>
      <c r="B554" s="1" t="n">
        <v>45930</v>
      </c>
      <c r="C554" s="1" t="n">
        <v>46092</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13932-2023</t>
        </is>
      </c>
      <c r="B555" s="1" t="n">
        <v>45008.43935185186</v>
      </c>
      <c r="C555" s="1" t="n">
        <v>46092</v>
      </c>
      <c r="D555" t="inlineStr">
        <is>
          <t>SKÅNE LÄN</t>
        </is>
      </c>
      <c r="E555" t="inlineStr">
        <is>
          <t>HÄSSLEHOLM</t>
        </is>
      </c>
      <c r="G555" t="n">
        <v>3.3</v>
      </c>
      <c r="H555" t="n">
        <v>0</v>
      </c>
      <c r="I555" t="n">
        <v>0</v>
      </c>
      <c r="J555" t="n">
        <v>0</v>
      </c>
      <c r="K555" t="n">
        <v>0</v>
      </c>
      <c r="L555" t="n">
        <v>0</v>
      </c>
      <c r="M555" t="n">
        <v>0</v>
      </c>
      <c r="N555" t="n">
        <v>0</v>
      </c>
      <c r="O555" t="n">
        <v>0</v>
      </c>
      <c r="P555" t="n">
        <v>0</v>
      </c>
      <c r="Q555" t="n">
        <v>0</v>
      </c>
      <c r="R555" s="2" t="inlineStr"/>
    </row>
    <row r="556" ht="15" customHeight="1">
      <c r="A556" t="inlineStr">
        <is>
          <t>A 54426-2025</t>
        </is>
      </c>
      <c r="B556" s="1" t="n">
        <v>45965</v>
      </c>
      <c r="C556" s="1" t="n">
        <v>46092</v>
      </c>
      <c r="D556" t="inlineStr">
        <is>
          <t>SKÅNE LÄN</t>
        </is>
      </c>
      <c r="E556" t="inlineStr">
        <is>
          <t>HÄSSLEHOLM</t>
        </is>
      </c>
      <c r="G556" t="n">
        <v>3.7</v>
      </c>
      <c r="H556" t="n">
        <v>0</v>
      </c>
      <c r="I556" t="n">
        <v>0</v>
      </c>
      <c r="J556" t="n">
        <v>0</v>
      </c>
      <c r="K556" t="n">
        <v>0</v>
      </c>
      <c r="L556" t="n">
        <v>0</v>
      </c>
      <c r="M556" t="n">
        <v>0</v>
      </c>
      <c r="N556" t="n">
        <v>0</v>
      </c>
      <c r="O556" t="n">
        <v>0</v>
      </c>
      <c r="P556" t="n">
        <v>0</v>
      </c>
      <c r="Q556" t="n">
        <v>0</v>
      </c>
      <c r="R556" s="2" t="inlineStr"/>
    </row>
    <row r="557" ht="15" customHeight="1">
      <c r="A557" t="inlineStr">
        <is>
          <t>A 47473-2025</t>
        </is>
      </c>
      <c r="B557" s="1" t="n">
        <v>45930.67763888889</v>
      </c>
      <c r="C557" s="1" t="n">
        <v>46092</v>
      </c>
      <c r="D557" t="inlineStr">
        <is>
          <t>SKÅNE LÄN</t>
        </is>
      </c>
      <c r="E557" t="inlineStr">
        <is>
          <t>HÄSSLEHOLM</t>
        </is>
      </c>
      <c r="G557" t="n">
        <v>4.7</v>
      </c>
      <c r="H557" t="n">
        <v>0</v>
      </c>
      <c r="I557" t="n">
        <v>0</v>
      </c>
      <c r="J557" t="n">
        <v>0</v>
      </c>
      <c r="K557" t="n">
        <v>0</v>
      </c>
      <c r="L557" t="n">
        <v>0</v>
      </c>
      <c r="M557" t="n">
        <v>0</v>
      </c>
      <c r="N557" t="n">
        <v>0</v>
      </c>
      <c r="O557" t="n">
        <v>0</v>
      </c>
      <c r="P557" t="n">
        <v>0</v>
      </c>
      <c r="Q557" t="n">
        <v>0</v>
      </c>
      <c r="R557" s="2" t="inlineStr"/>
    </row>
    <row r="558" ht="15" customHeight="1">
      <c r="A558" t="inlineStr">
        <is>
          <t>A 47466-2025</t>
        </is>
      </c>
      <c r="B558" s="1" t="n">
        <v>45930.66677083333</v>
      </c>
      <c r="C558" s="1" t="n">
        <v>46092</v>
      </c>
      <c r="D558" t="inlineStr">
        <is>
          <t>SKÅNE LÄN</t>
        </is>
      </c>
      <c r="E558" t="inlineStr">
        <is>
          <t>HÄSSLEHOLM</t>
        </is>
      </c>
      <c r="G558" t="n">
        <v>1.8</v>
      </c>
      <c r="H558" t="n">
        <v>0</v>
      </c>
      <c r="I558" t="n">
        <v>0</v>
      </c>
      <c r="J558" t="n">
        <v>0</v>
      </c>
      <c r="K558" t="n">
        <v>0</v>
      </c>
      <c r="L558" t="n">
        <v>0</v>
      </c>
      <c r="M558" t="n">
        <v>0</v>
      </c>
      <c r="N558" t="n">
        <v>0</v>
      </c>
      <c r="O558" t="n">
        <v>0</v>
      </c>
      <c r="P558" t="n">
        <v>0</v>
      </c>
      <c r="Q558" t="n">
        <v>0</v>
      </c>
      <c r="R558" s="2" t="inlineStr"/>
    </row>
    <row r="559" ht="15" customHeight="1">
      <c r="A559" t="inlineStr">
        <is>
          <t>A 35889-2023</t>
        </is>
      </c>
      <c r="B559" s="1" t="n">
        <v>45148</v>
      </c>
      <c r="C559" s="1" t="n">
        <v>46092</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35894-2023</t>
        </is>
      </c>
      <c r="B560" s="1" t="n">
        <v>45148</v>
      </c>
      <c r="C560" s="1" t="n">
        <v>46092</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8852-2026</t>
        </is>
      </c>
      <c r="B561" s="1" t="n">
        <v>46066.66105324074</v>
      </c>
      <c r="C561" s="1" t="n">
        <v>46092</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45299-2024</t>
        </is>
      </c>
      <c r="B562" s="1" t="n">
        <v>45576.40599537037</v>
      </c>
      <c r="C562" s="1" t="n">
        <v>46092</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25176-2024</t>
        </is>
      </c>
      <c r="B563" s="1" t="n">
        <v>45462.54582175926</v>
      </c>
      <c r="C563" s="1" t="n">
        <v>46092</v>
      </c>
      <c r="D563" t="inlineStr">
        <is>
          <t>SKÅNE LÄN</t>
        </is>
      </c>
      <c r="E563" t="inlineStr">
        <is>
          <t>HÄSSLEHOLM</t>
        </is>
      </c>
      <c r="G563" t="n">
        <v>3.8</v>
      </c>
      <c r="H563" t="n">
        <v>0</v>
      </c>
      <c r="I563" t="n">
        <v>0</v>
      </c>
      <c r="J563" t="n">
        <v>0</v>
      </c>
      <c r="K563" t="n">
        <v>0</v>
      </c>
      <c r="L563" t="n">
        <v>0</v>
      </c>
      <c r="M563" t="n">
        <v>0</v>
      </c>
      <c r="N563" t="n">
        <v>0</v>
      </c>
      <c r="O563" t="n">
        <v>0</v>
      </c>
      <c r="P563" t="n">
        <v>0</v>
      </c>
      <c r="Q563" t="n">
        <v>0</v>
      </c>
      <c r="R563" s="2" t="inlineStr"/>
    </row>
    <row r="564" ht="15" customHeight="1">
      <c r="A564" t="inlineStr">
        <is>
          <t>A 44741-2023</t>
        </is>
      </c>
      <c r="B564" s="1" t="n">
        <v>45190.38804398148</v>
      </c>
      <c r="C564" s="1" t="n">
        <v>46092</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7476-2025</t>
        </is>
      </c>
      <c r="B565" s="1" t="n">
        <v>45702</v>
      </c>
      <c r="C565" s="1" t="n">
        <v>46092</v>
      </c>
      <c r="D565" t="inlineStr">
        <is>
          <t>SKÅNE LÄN</t>
        </is>
      </c>
      <c r="E565" t="inlineStr">
        <is>
          <t>HÄSSLEHOLM</t>
        </is>
      </c>
      <c r="F565" t="inlineStr">
        <is>
          <t>Övriga Aktiebolag</t>
        </is>
      </c>
      <c r="G565" t="n">
        <v>2.1</v>
      </c>
      <c r="H565" t="n">
        <v>0</v>
      </c>
      <c r="I565" t="n">
        <v>0</v>
      </c>
      <c r="J565" t="n">
        <v>0</v>
      </c>
      <c r="K565" t="n">
        <v>0</v>
      </c>
      <c r="L565" t="n">
        <v>0</v>
      </c>
      <c r="M565" t="n">
        <v>0</v>
      </c>
      <c r="N565" t="n">
        <v>0</v>
      </c>
      <c r="O565" t="n">
        <v>0</v>
      </c>
      <c r="P565" t="n">
        <v>0</v>
      </c>
      <c r="Q565" t="n">
        <v>0</v>
      </c>
      <c r="R565" s="2" t="inlineStr"/>
    </row>
    <row r="566" ht="15" customHeight="1">
      <c r="A566" t="inlineStr">
        <is>
          <t>A 7513-2025</t>
        </is>
      </c>
      <c r="B566" s="1" t="n">
        <v>45702</v>
      </c>
      <c r="C566" s="1" t="n">
        <v>46092</v>
      </c>
      <c r="D566" t="inlineStr">
        <is>
          <t>SKÅNE LÄN</t>
        </is>
      </c>
      <c r="E566" t="inlineStr">
        <is>
          <t>HÄSSLEHOLM</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48184-2025</t>
        </is>
      </c>
      <c r="B567" s="1" t="n">
        <v>45933.46131944445</v>
      </c>
      <c r="C567" s="1" t="n">
        <v>46092</v>
      </c>
      <c r="D567" t="inlineStr">
        <is>
          <t>SKÅNE LÄN</t>
        </is>
      </c>
      <c r="E567" t="inlineStr">
        <is>
          <t>HÄSSLEHOLM</t>
        </is>
      </c>
      <c r="G567" t="n">
        <v>3</v>
      </c>
      <c r="H567" t="n">
        <v>0</v>
      </c>
      <c r="I567" t="n">
        <v>0</v>
      </c>
      <c r="J567" t="n">
        <v>0</v>
      </c>
      <c r="K567" t="n">
        <v>0</v>
      </c>
      <c r="L567" t="n">
        <v>0</v>
      </c>
      <c r="M567" t="n">
        <v>0</v>
      </c>
      <c r="N567" t="n">
        <v>0</v>
      </c>
      <c r="O567" t="n">
        <v>0</v>
      </c>
      <c r="P567" t="n">
        <v>0</v>
      </c>
      <c r="Q567" t="n">
        <v>0</v>
      </c>
      <c r="R567" s="2" t="inlineStr"/>
    </row>
    <row r="568" ht="15" customHeight="1">
      <c r="A568" t="inlineStr">
        <is>
          <t>A 48185-2025</t>
        </is>
      </c>
      <c r="B568" s="1" t="n">
        <v>45933.46434027778</v>
      </c>
      <c r="C568" s="1" t="n">
        <v>46092</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31161-2024</t>
        </is>
      </c>
      <c r="B569" s="1" t="n">
        <v>45503</v>
      </c>
      <c r="C569" s="1" t="n">
        <v>46092</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706-2026</t>
        </is>
      </c>
      <c r="B570" s="1" t="n">
        <v>46029.61739583333</v>
      </c>
      <c r="C570" s="1" t="n">
        <v>46092</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47352-2025</t>
        </is>
      </c>
      <c r="B571" s="1" t="n">
        <v>45930</v>
      </c>
      <c r="C571" s="1" t="n">
        <v>46092</v>
      </c>
      <c r="D571" t="inlineStr">
        <is>
          <t>SKÅNE LÄN</t>
        </is>
      </c>
      <c r="E571" t="inlineStr">
        <is>
          <t>HÄSSLEHOLM</t>
        </is>
      </c>
      <c r="G571" t="n">
        <v>16.6</v>
      </c>
      <c r="H571" t="n">
        <v>0</v>
      </c>
      <c r="I571" t="n">
        <v>0</v>
      </c>
      <c r="J571" t="n">
        <v>0</v>
      </c>
      <c r="K571" t="n">
        <v>0</v>
      </c>
      <c r="L571" t="n">
        <v>0</v>
      </c>
      <c r="M571" t="n">
        <v>0</v>
      </c>
      <c r="N571" t="n">
        <v>0</v>
      </c>
      <c r="O571" t="n">
        <v>0</v>
      </c>
      <c r="P571" t="n">
        <v>0</v>
      </c>
      <c r="Q571" t="n">
        <v>0</v>
      </c>
      <c r="R571" s="2" t="inlineStr"/>
    </row>
    <row r="572" ht="15" customHeight="1">
      <c r="A572" t="inlineStr">
        <is>
          <t>A 22157-2024</t>
        </is>
      </c>
      <c r="B572" s="1" t="n">
        <v>45445.85290509259</v>
      </c>
      <c r="C572" s="1" t="n">
        <v>46092</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13316-2023</t>
        </is>
      </c>
      <c r="B573" s="1" t="n">
        <v>45005.39013888889</v>
      </c>
      <c r="C573" s="1" t="n">
        <v>46092</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13358-2023</t>
        </is>
      </c>
      <c r="B574" s="1" t="n">
        <v>45005</v>
      </c>
      <c r="C574" s="1" t="n">
        <v>46092</v>
      </c>
      <c r="D574" t="inlineStr">
        <is>
          <t>SKÅNE LÄN</t>
        </is>
      </c>
      <c r="E574" t="inlineStr">
        <is>
          <t>HÄSSLEHOLM</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3245-2022</t>
        </is>
      </c>
      <c r="B575" s="1" t="n">
        <v>44583.39136574074</v>
      </c>
      <c r="C575" s="1" t="n">
        <v>46092</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38358-2024</t>
        </is>
      </c>
      <c r="B576" s="1" t="n">
        <v>45545.79068287037</v>
      </c>
      <c r="C576" s="1" t="n">
        <v>46092</v>
      </c>
      <c r="D576" t="inlineStr">
        <is>
          <t>SKÅNE LÄN</t>
        </is>
      </c>
      <c r="E576" t="inlineStr">
        <is>
          <t>HÄSSLEHOLM</t>
        </is>
      </c>
      <c r="G576" t="n">
        <v>9</v>
      </c>
      <c r="H576" t="n">
        <v>0</v>
      </c>
      <c r="I576" t="n">
        <v>0</v>
      </c>
      <c r="J576" t="n">
        <v>0</v>
      </c>
      <c r="K576" t="n">
        <v>0</v>
      </c>
      <c r="L576" t="n">
        <v>0</v>
      </c>
      <c r="M576" t="n">
        <v>0</v>
      </c>
      <c r="N576" t="n">
        <v>0</v>
      </c>
      <c r="O576" t="n">
        <v>0</v>
      </c>
      <c r="P576" t="n">
        <v>0</v>
      </c>
      <c r="Q576" t="n">
        <v>0</v>
      </c>
      <c r="R576" s="2" t="inlineStr"/>
    </row>
    <row r="577" ht="15" customHeight="1">
      <c r="A577" t="inlineStr">
        <is>
          <t>A 27393-2025</t>
        </is>
      </c>
      <c r="B577" s="1" t="n">
        <v>45812.68295138889</v>
      </c>
      <c r="C577" s="1" t="n">
        <v>46092</v>
      </c>
      <c r="D577" t="inlineStr">
        <is>
          <t>SKÅNE LÄN</t>
        </is>
      </c>
      <c r="E577" t="inlineStr">
        <is>
          <t>HÄSSLEHOLM</t>
        </is>
      </c>
      <c r="G577" t="n">
        <v>1</v>
      </c>
      <c r="H577" t="n">
        <v>0</v>
      </c>
      <c r="I577" t="n">
        <v>0</v>
      </c>
      <c r="J577" t="n">
        <v>0</v>
      </c>
      <c r="K577" t="n">
        <v>0</v>
      </c>
      <c r="L577" t="n">
        <v>0</v>
      </c>
      <c r="M577" t="n">
        <v>0</v>
      </c>
      <c r="N577" t="n">
        <v>0</v>
      </c>
      <c r="O577" t="n">
        <v>0</v>
      </c>
      <c r="P577" t="n">
        <v>0</v>
      </c>
      <c r="Q577" t="n">
        <v>0</v>
      </c>
      <c r="R577" s="2" t="inlineStr"/>
    </row>
    <row r="578" ht="15" customHeight="1">
      <c r="A578" t="inlineStr">
        <is>
          <t>A 16368-2025</t>
        </is>
      </c>
      <c r="B578" s="1" t="n">
        <v>45751</v>
      </c>
      <c r="C578" s="1" t="n">
        <v>46092</v>
      </c>
      <c r="D578" t="inlineStr">
        <is>
          <t>SKÅNE LÄN</t>
        </is>
      </c>
      <c r="E578" t="inlineStr">
        <is>
          <t>HÄSSLEHOLM</t>
        </is>
      </c>
      <c r="G578" t="n">
        <v>5</v>
      </c>
      <c r="H578" t="n">
        <v>0</v>
      </c>
      <c r="I578" t="n">
        <v>0</v>
      </c>
      <c r="J578" t="n">
        <v>0</v>
      </c>
      <c r="K578" t="n">
        <v>0</v>
      </c>
      <c r="L578" t="n">
        <v>0</v>
      </c>
      <c r="M578" t="n">
        <v>0</v>
      </c>
      <c r="N578" t="n">
        <v>0</v>
      </c>
      <c r="O578" t="n">
        <v>0</v>
      </c>
      <c r="P578" t="n">
        <v>0</v>
      </c>
      <c r="Q578" t="n">
        <v>0</v>
      </c>
      <c r="R578" s="2" t="inlineStr"/>
    </row>
    <row r="579" ht="15" customHeight="1">
      <c r="A579" t="inlineStr">
        <is>
          <t>A 38228-2021</t>
        </is>
      </c>
      <c r="B579" s="1" t="n">
        <v>44405</v>
      </c>
      <c r="C579" s="1" t="n">
        <v>46092</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28240-2025</t>
        </is>
      </c>
      <c r="B580" s="1" t="n">
        <v>45817</v>
      </c>
      <c r="C580" s="1" t="n">
        <v>46092</v>
      </c>
      <c r="D580" t="inlineStr">
        <is>
          <t>SKÅNE LÄN</t>
        </is>
      </c>
      <c r="E580" t="inlineStr">
        <is>
          <t>HÄSSLEHOLM</t>
        </is>
      </c>
      <c r="G580" t="n">
        <v>7.7</v>
      </c>
      <c r="H580" t="n">
        <v>0</v>
      </c>
      <c r="I580" t="n">
        <v>0</v>
      </c>
      <c r="J580" t="n">
        <v>0</v>
      </c>
      <c r="K580" t="n">
        <v>0</v>
      </c>
      <c r="L580" t="n">
        <v>0</v>
      </c>
      <c r="M580" t="n">
        <v>0</v>
      </c>
      <c r="N580" t="n">
        <v>0</v>
      </c>
      <c r="O580" t="n">
        <v>0</v>
      </c>
      <c r="P580" t="n">
        <v>0</v>
      </c>
      <c r="Q580" t="n">
        <v>0</v>
      </c>
      <c r="R580" s="2" t="inlineStr"/>
    </row>
    <row r="581" ht="15" customHeight="1">
      <c r="A581" t="inlineStr">
        <is>
          <t>A 27940-2025</t>
        </is>
      </c>
      <c r="B581" s="1" t="n">
        <v>45817.50439814815</v>
      </c>
      <c r="C581" s="1" t="n">
        <v>46092</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27934-2025</t>
        </is>
      </c>
      <c r="B582" s="1" t="n">
        <v>45817.49761574074</v>
      </c>
      <c r="C582" s="1" t="n">
        <v>46092</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28251-2025</t>
        </is>
      </c>
      <c r="B583" s="1" t="n">
        <v>45817</v>
      </c>
      <c r="C583" s="1" t="n">
        <v>46092</v>
      </c>
      <c r="D583" t="inlineStr">
        <is>
          <t>SKÅNE LÄN</t>
        </is>
      </c>
      <c r="E583" t="inlineStr">
        <is>
          <t>HÄSSLEHOLM</t>
        </is>
      </c>
      <c r="G583" t="n">
        <v>7.2</v>
      </c>
      <c r="H583" t="n">
        <v>0</v>
      </c>
      <c r="I583" t="n">
        <v>0</v>
      </c>
      <c r="J583" t="n">
        <v>0</v>
      </c>
      <c r="K583" t="n">
        <v>0</v>
      </c>
      <c r="L583" t="n">
        <v>0</v>
      </c>
      <c r="M583" t="n">
        <v>0</v>
      </c>
      <c r="N583" t="n">
        <v>0</v>
      </c>
      <c r="O583" t="n">
        <v>0</v>
      </c>
      <c r="P583" t="n">
        <v>0</v>
      </c>
      <c r="Q583" t="n">
        <v>0</v>
      </c>
      <c r="R583" s="2" t="inlineStr"/>
    </row>
    <row r="584" ht="15" customHeight="1">
      <c r="A584" t="inlineStr">
        <is>
          <t>A 28122-2025</t>
        </is>
      </c>
      <c r="B584" s="1" t="n">
        <v>45817</v>
      </c>
      <c r="C584" s="1" t="n">
        <v>46092</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46092</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27887-2025</t>
        </is>
      </c>
      <c r="B586" s="1" t="n">
        <v>45817.45994212963</v>
      </c>
      <c r="C586" s="1" t="n">
        <v>46092</v>
      </c>
      <c r="D586" t="inlineStr">
        <is>
          <t>SKÅNE LÄN</t>
        </is>
      </c>
      <c r="E586" t="inlineStr">
        <is>
          <t>HÄSSLEHOLM</t>
        </is>
      </c>
      <c r="G586" t="n">
        <v>4.8</v>
      </c>
      <c r="H586" t="n">
        <v>0</v>
      </c>
      <c r="I586" t="n">
        <v>0</v>
      </c>
      <c r="J586" t="n">
        <v>0</v>
      </c>
      <c r="K586" t="n">
        <v>0</v>
      </c>
      <c r="L586" t="n">
        <v>0</v>
      </c>
      <c r="M586" t="n">
        <v>0</v>
      </c>
      <c r="N586" t="n">
        <v>0</v>
      </c>
      <c r="O586" t="n">
        <v>0</v>
      </c>
      <c r="P586" t="n">
        <v>0</v>
      </c>
      <c r="Q586" t="n">
        <v>0</v>
      </c>
      <c r="R586" s="2" t="inlineStr"/>
    </row>
    <row r="587" ht="15" customHeight="1">
      <c r="A587" t="inlineStr">
        <is>
          <t>A 28095-2025</t>
        </is>
      </c>
      <c r="B587" s="1" t="n">
        <v>45817</v>
      </c>
      <c r="C587" s="1" t="n">
        <v>46092</v>
      </c>
      <c r="D587" t="inlineStr">
        <is>
          <t>SKÅNE LÄN</t>
        </is>
      </c>
      <c r="E587" t="inlineStr">
        <is>
          <t>HÄSSLEHOLM</t>
        </is>
      </c>
      <c r="G587" t="n">
        <v>2.5</v>
      </c>
      <c r="H587" t="n">
        <v>0</v>
      </c>
      <c r="I587" t="n">
        <v>0</v>
      </c>
      <c r="J587" t="n">
        <v>0</v>
      </c>
      <c r="K587" t="n">
        <v>0</v>
      </c>
      <c r="L587" t="n">
        <v>0</v>
      </c>
      <c r="M587" t="n">
        <v>0</v>
      </c>
      <c r="N587" t="n">
        <v>0</v>
      </c>
      <c r="O587" t="n">
        <v>0</v>
      </c>
      <c r="P587" t="n">
        <v>0</v>
      </c>
      <c r="Q587" t="n">
        <v>0</v>
      </c>
      <c r="R587" s="2" t="inlineStr"/>
    </row>
    <row r="588" ht="15" customHeight="1">
      <c r="A588" t="inlineStr">
        <is>
          <t>A 25538-2024</t>
        </is>
      </c>
      <c r="B588" s="1" t="n">
        <v>45463</v>
      </c>
      <c r="C588" s="1" t="n">
        <v>46092</v>
      </c>
      <c r="D588" t="inlineStr">
        <is>
          <t>SKÅNE LÄN</t>
        </is>
      </c>
      <c r="E588" t="inlineStr">
        <is>
          <t>HÄSSLEHOLM</t>
        </is>
      </c>
      <c r="G588" t="n">
        <v>1.6</v>
      </c>
      <c r="H588" t="n">
        <v>0</v>
      </c>
      <c r="I588" t="n">
        <v>0</v>
      </c>
      <c r="J588" t="n">
        <v>0</v>
      </c>
      <c r="K588" t="n">
        <v>0</v>
      </c>
      <c r="L588" t="n">
        <v>0</v>
      </c>
      <c r="M588" t="n">
        <v>0</v>
      </c>
      <c r="N588" t="n">
        <v>0</v>
      </c>
      <c r="O588" t="n">
        <v>0</v>
      </c>
      <c r="P588" t="n">
        <v>0</v>
      </c>
      <c r="Q588" t="n">
        <v>0</v>
      </c>
      <c r="R588" s="2" t="inlineStr"/>
    </row>
    <row r="589" ht="15" customHeight="1">
      <c r="A589" t="inlineStr">
        <is>
          <t>A 36733-2023</t>
        </is>
      </c>
      <c r="B589" s="1" t="n">
        <v>45153.69989583334</v>
      </c>
      <c r="C589" s="1" t="n">
        <v>46092</v>
      </c>
      <c r="D589" t="inlineStr">
        <is>
          <t>SKÅNE LÄN</t>
        </is>
      </c>
      <c r="E589" t="inlineStr">
        <is>
          <t>HÄSSLEHOLM</t>
        </is>
      </c>
      <c r="G589" t="n">
        <v>4.8</v>
      </c>
      <c r="H589" t="n">
        <v>0</v>
      </c>
      <c r="I589" t="n">
        <v>0</v>
      </c>
      <c r="J589" t="n">
        <v>0</v>
      </c>
      <c r="K589" t="n">
        <v>0</v>
      </c>
      <c r="L589" t="n">
        <v>0</v>
      </c>
      <c r="M589" t="n">
        <v>0</v>
      </c>
      <c r="N589" t="n">
        <v>0</v>
      </c>
      <c r="O589" t="n">
        <v>0</v>
      </c>
      <c r="P589" t="n">
        <v>0</v>
      </c>
      <c r="Q589" t="n">
        <v>0</v>
      </c>
      <c r="R589" s="2" t="inlineStr"/>
    </row>
    <row r="590" ht="15" customHeight="1">
      <c r="A590" t="inlineStr">
        <is>
          <t>A 48722-2025</t>
        </is>
      </c>
      <c r="B590" s="1" t="n">
        <v>45935</v>
      </c>
      <c r="C590" s="1" t="n">
        <v>46092</v>
      </c>
      <c r="D590" t="inlineStr">
        <is>
          <t>SKÅNE LÄN</t>
        </is>
      </c>
      <c r="E590" t="inlineStr">
        <is>
          <t>HÄSSLEHOLM</t>
        </is>
      </c>
      <c r="G590" t="n">
        <v>4.3</v>
      </c>
      <c r="H590" t="n">
        <v>0</v>
      </c>
      <c r="I590" t="n">
        <v>0</v>
      </c>
      <c r="J590" t="n">
        <v>0</v>
      </c>
      <c r="K590" t="n">
        <v>0</v>
      </c>
      <c r="L590" t="n">
        <v>0</v>
      </c>
      <c r="M590" t="n">
        <v>0</v>
      </c>
      <c r="N590" t="n">
        <v>0</v>
      </c>
      <c r="O590" t="n">
        <v>0</v>
      </c>
      <c r="P590" t="n">
        <v>0</v>
      </c>
      <c r="Q590" t="n">
        <v>0</v>
      </c>
      <c r="R590" s="2" t="inlineStr"/>
    </row>
    <row r="591" ht="15" customHeight="1">
      <c r="A591" t="inlineStr">
        <is>
          <t>A 60509-2023</t>
        </is>
      </c>
      <c r="B591" s="1" t="n">
        <v>45259</v>
      </c>
      <c r="C591" s="1" t="n">
        <v>46092</v>
      </c>
      <c r="D591" t="inlineStr">
        <is>
          <t>SKÅNE LÄN</t>
        </is>
      </c>
      <c r="E591" t="inlineStr">
        <is>
          <t>HÄSSLEHOLM</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49827-2022</t>
        </is>
      </c>
      <c r="B592" s="1" t="n">
        <v>44859</v>
      </c>
      <c r="C592" s="1" t="n">
        <v>46092</v>
      </c>
      <c r="D592" t="inlineStr">
        <is>
          <t>SKÅNE LÄN</t>
        </is>
      </c>
      <c r="E592" t="inlineStr">
        <is>
          <t>HÄSSLEHOLM</t>
        </is>
      </c>
      <c r="G592" t="n">
        <v>6.1</v>
      </c>
      <c r="H592" t="n">
        <v>0</v>
      </c>
      <c r="I592" t="n">
        <v>0</v>
      </c>
      <c r="J592" t="n">
        <v>0</v>
      </c>
      <c r="K592" t="n">
        <v>0</v>
      </c>
      <c r="L592" t="n">
        <v>0</v>
      </c>
      <c r="M592" t="n">
        <v>0</v>
      </c>
      <c r="N592" t="n">
        <v>0</v>
      </c>
      <c r="O592" t="n">
        <v>0</v>
      </c>
      <c r="P592" t="n">
        <v>0</v>
      </c>
      <c r="Q592" t="n">
        <v>0</v>
      </c>
      <c r="R592" s="2" t="inlineStr"/>
    </row>
    <row r="593" ht="15" customHeight="1">
      <c r="A593" t="inlineStr">
        <is>
          <t>A 1562-2023</t>
        </is>
      </c>
      <c r="B593" s="1" t="n">
        <v>44937.60450231482</v>
      </c>
      <c r="C593" s="1" t="n">
        <v>46092</v>
      </c>
      <c r="D593" t="inlineStr">
        <is>
          <t>SKÅNE LÄN</t>
        </is>
      </c>
      <c r="E593" t="inlineStr">
        <is>
          <t>HÄSSLEHOLM</t>
        </is>
      </c>
      <c r="G593" t="n">
        <v>2.7</v>
      </c>
      <c r="H593" t="n">
        <v>0</v>
      </c>
      <c r="I593" t="n">
        <v>0</v>
      </c>
      <c r="J593" t="n">
        <v>0</v>
      </c>
      <c r="K593" t="n">
        <v>0</v>
      </c>
      <c r="L593" t="n">
        <v>0</v>
      </c>
      <c r="M593" t="n">
        <v>0</v>
      </c>
      <c r="N593" t="n">
        <v>0</v>
      </c>
      <c r="O593" t="n">
        <v>0</v>
      </c>
      <c r="P593" t="n">
        <v>0</v>
      </c>
      <c r="Q593" t="n">
        <v>0</v>
      </c>
      <c r="R593" s="2" t="inlineStr"/>
    </row>
    <row r="594" ht="15" customHeight="1">
      <c r="A594" t="inlineStr">
        <is>
          <t>A 45220-2023</t>
        </is>
      </c>
      <c r="B594" s="1" t="n">
        <v>45191</v>
      </c>
      <c r="C594" s="1" t="n">
        <v>46092</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32967-2023</t>
        </is>
      </c>
      <c r="B595" s="1" t="n">
        <v>45125</v>
      </c>
      <c r="C595" s="1" t="n">
        <v>46092</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32968-2023</t>
        </is>
      </c>
      <c r="B596" s="1" t="n">
        <v>45125</v>
      </c>
      <c r="C596" s="1" t="n">
        <v>46092</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10277-2023</t>
        </is>
      </c>
      <c r="B597" s="1" t="n">
        <v>44986</v>
      </c>
      <c r="C597" s="1" t="n">
        <v>46092</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10290-2023</t>
        </is>
      </c>
      <c r="B598" s="1" t="n">
        <v>44986</v>
      </c>
      <c r="C598" s="1" t="n">
        <v>46092</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29170-2025</t>
        </is>
      </c>
      <c r="B599" s="1" t="n">
        <v>45821.69766203704</v>
      </c>
      <c r="C599" s="1" t="n">
        <v>46092</v>
      </c>
      <c r="D599" t="inlineStr">
        <is>
          <t>SKÅNE LÄN</t>
        </is>
      </c>
      <c r="E599" t="inlineStr">
        <is>
          <t>HÄSSLEHOLM</t>
        </is>
      </c>
      <c r="G599" t="n">
        <v>3.1</v>
      </c>
      <c r="H599" t="n">
        <v>0</v>
      </c>
      <c r="I599" t="n">
        <v>0</v>
      </c>
      <c r="J599" t="n">
        <v>0</v>
      </c>
      <c r="K599" t="n">
        <v>0</v>
      </c>
      <c r="L599" t="n">
        <v>0</v>
      </c>
      <c r="M599" t="n">
        <v>0</v>
      </c>
      <c r="N599" t="n">
        <v>0</v>
      </c>
      <c r="O599" t="n">
        <v>0</v>
      </c>
      <c r="P599" t="n">
        <v>0</v>
      </c>
      <c r="Q599" t="n">
        <v>0</v>
      </c>
      <c r="R599" s="2" t="inlineStr"/>
    </row>
    <row r="600" ht="15" customHeight="1">
      <c r="A600" t="inlineStr">
        <is>
          <t>A 931-2026</t>
        </is>
      </c>
      <c r="B600" s="1" t="n">
        <v>46030.51495370371</v>
      </c>
      <c r="C600" s="1" t="n">
        <v>46092</v>
      </c>
      <c r="D600" t="inlineStr">
        <is>
          <t>SKÅNE LÄN</t>
        </is>
      </c>
      <c r="E600" t="inlineStr">
        <is>
          <t>HÄSSLEHOLM</t>
        </is>
      </c>
      <c r="F600" t="inlineStr">
        <is>
          <t>Övriga Aktiebolag</t>
        </is>
      </c>
      <c r="G600" t="n">
        <v>2.3</v>
      </c>
      <c r="H600" t="n">
        <v>0</v>
      </c>
      <c r="I600" t="n">
        <v>0</v>
      </c>
      <c r="J600" t="n">
        <v>0</v>
      </c>
      <c r="K600" t="n">
        <v>0</v>
      </c>
      <c r="L600" t="n">
        <v>0</v>
      </c>
      <c r="M600" t="n">
        <v>0</v>
      </c>
      <c r="N600" t="n">
        <v>0</v>
      </c>
      <c r="O600" t="n">
        <v>0</v>
      </c>
      <c r="P600" t="n">
        <v>0</v>
      </c>
      <c r="Q600" t="n">
        <v>0</v>
      </c>
      <c r="R600" s="2" t="inlineStr"/>
    </row>
    <row r="601" ht="15" customHeight="1">
      <c r="A601" t="inlineStr">
        <is>
          <t>A 35237-2023</t>
        </is>
      </c>
      <c r="B601" s="1" t="n">
        <v>45145.74532407407</v>
      </c>
      <c r="C601" s="1" t="n">
        <v>46092</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49135-2025</t>
        </is>
      </c>
      <c r="B602" s="1" t="n">
        <v>45938.00990740741</v>
      </c>
      <c r="C602" s="1" t="n">
        <v>46092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49136-2025</t>
        </is>
      </c>
      <c r="B603" s="1" t="n">
        <v>45938.01277777777</v>
      </c>
      <c r="C603" s="1" t="n">
        <v>46092</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49137-2025</t>
        </is>
      </c>
      <c r="B604" s="1" t="n">
        <v>45938.05672453704</v>
      </c>
      <c r="C604" s="1" t="n">
        <v>46092</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29171-2025</t>
        </is>
      </c>
      <c r="B605" s="1" t="n">
        <v>45821.69863425926</v>
      </c>
      <c r="C605" s="1" t="n">
        <v>46092</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29168-2025</t>
        </is>
      </c>
      <c r="B606" s="1" t="n">
        <v>45821.69547453704</v>
      </c>
      <c r="C606" s="1" t="n">
        <v>46092</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1645-2026</t>
        </is>
      </c>
      <c r="B607" s="1" t="n">
        <v>46034.5069212963</v>
      </c>
      <c r="C607" s="1" t="n">
        <v>46092</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57967-2023</t>
        </is>
      </c>
      <c r="B608" s="1" t="n">
        <v>45247.57984953704</v>
      </c>
      <c r="C608" s="1" t="n">
        <v>46092</v>
      </c>
      <c r="D608" t="inlineStr">
        <is>
          <t>SKÅNE LÄN</t>
        </is>
      </c>
      <c r="E608" t="inlineStr">
        <is>
          <t>HÄSSLEHOLM</t>
        </is>
      </c>
      <c r="G608" t="n">
        <v>8.6</v>
      </c>
      <c r="H608" t="n">
        <v>0</v>
      </c>
      <c r="I608" t="n">
        <v>0</v>
      </c>
      <c r="J608" t="n">
        <v>0</v>
      </c>
      <c r="K608" t="n">
        <v>0</v>
      </c>
      <c r="L608" t="n">
        <v>0</v>
      </c>
      <c r="M608" t="n">
        <v>0</v>
      </c>
      <c r="N608" t="n">
        <v>0</v>
      </c>
      <c r="O608" t="n">
        <v>0</v>
      </c>
      <c r="P608" t="n">
        <v>0</v>
      </c>
      <c r="Q608" t="n">
        <v>0</v>
      </c>
      <c r="R608" s="2" t="inlineStr"/>
    </row>
    <row r="609" ht="15" customHeight="1">
      <c r="A609" t="inlineStr">
        <is>
          <t>A 62041-2022</t>
        </is>
      </c>
      <c r="B609" s="1" t="n">
        <v>44918.55743055556</v>
      </c>
      <c r="C609" s="1" t="n">
        <v>46092</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1659-2026</t>
        </is>
      </c>
      <c r="B610" s="1" t="n">
        <v>46034.55335648148</v>
      </c>
      <c r="C610" s="1" t="n">
        <v>46092</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2306-2026</t>
        </is>
      </c>
      <c r="B611" s="1" t="n">
        <v>46034</v>
      </c>
      <c r="C611" s="1" t="n">
        <v>46092</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12468-2024</t>
        </is>
      </c>
      <c r="B612" s="1" t="n">
        <v>45379</v>
      </c>
      <c r="C612" s="1" t="n">
        <v>46092</v>
      </c>
      <c r="D612" t="inlineStr">
        <is>
          <t>SKÅNE LÄN</t>
        </is>
      </c>
      <c r="E612" t="inlineStr">
        <is>
          <t>HÄSSLEHOLM</t>
        </is>
      </c>
      <c r="G612" t="n">
        <v>15.5</v>
      </c>
      <c r="H612" t="n">
        <v>0</v>
      </c>
      <c r="I612" t="n">
        <v>0</v>
      </c>
      <c r="J612" t="n">
        <v>0</v>
      </c>
      <c r="K612" t="n">
        <v>0</v>
      </c>
      <c r="L612" t="n">
        <v>0</v>
      </c>
      <c r="M612" t="n">
        <v>0</v>
      </c>
      <c r="N612" t="n">
        <v>0</v>
      </c>
      <c r="O612" t="n">
        <v>0</v>
      </c>
      <c r="P612" t="n">
        <v>0</v>
      </c>
      <c r="Q612" t="n">
        <v>0</v>
      </c>
      <c r="R612" s="2" t="inlineStr"/>
    </row>
    <row r="613" ht="15" customHeight="1">
      <c r="A613" t="inlineStr">
        <is>
          <t>A 10051-2026</t>
        </is>
      </c>
      <c r="B613" s="1" t="n">
        <v>46073</v>
      </c>
      <c r="C613" s="1" t="n">
        <v>46092</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1553-2023</t>
        </is>
      </c>
      <c r="B614" s="1" t="n">
        <v>44937</v>
      </c>
      <c r="C614" s="1" t="n">
        <v>46092</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8367-2026</t>
        </is>
      </c>
      <c r="B615" s="1" t="n">
        <v>46064</v>
      </c>
      <c r="C615" s="1" t="n">
        <v>46092</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22690-2022</t>
        </is>
      </c>
      <c r="B616" s="1" t="n">
        <v>44714.5421875</v>
      </c>
      <c r="C616" s="1" t="n">
        <v>46092</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30010-2025</t>
        </is>
      </c>
      <c r="B617" s="1" t="n">
        <v>45826</v>
      </c>
      <c r="C617" s="1" t="n">
        <v>46092</v>
      </c>
      <c r="D617" t="inlineStr">
        <is>
          <t>SKÅNE LÄN</t>
        </is>
      </c>
      <c r="E617" t="inlineStr">
        <is>
          <t>HÄSSLEHOLM</t>
        </is>
      </c>
      <c r="G617" t="n">
        <v>4.5</v>
      </c>
      <c r="H617" t="n">
        <v>0</v>
      </c>
      <c r="I617" t="n">
        <v>0</v>
      </c>
      <c r="J617" t="n">
        <v>0</v>
      </c>
      <c r="K617" t="n">
        <v>0</v>
      </c>
      <c r="L617" t="n">
        <v>0</v>
      </c>
      <c r="M617" t="n">
        <v>0</v>
      </c>
      <c r="N617" t="n">
        <v>0</v>
      </c>
      <c r="O617" t="n">
        <v>0</v>
      </c>
      <c r="P617" t="n">
        <v>0</v>
      </c>
      <c r="Q617" t="n">
        <v>0</v>
      </c>
      <c r="R617" s="2" t="inlineStr"/>
    </row>
    <row r="618" ht="15" customHeight="1">
      <c r="A618" t="inlineStr">
        <is>
          <t>A 1640-2026</t>
        </is>
      </c>
      <c r="B618" s="1" t="n">
        <v>46034.4961574074</v>
      </c>
      <c r="C618" s="1" t="n">
        <v>46092</v>
      </c>
      <c r="D618" t="inlineStr">
        <is>
          <t>SKÅNE LÄN</t>
        </is>
      </c>
      <c r="E618" t="inlineStr">
        <is>
          <t>HÄSSLEHOLM</t>
        </is>
      </c>
      <c r="G618" t="n">
        <v>1.7</v>
      </c>
      <c r="H618" t="n">
        <v>0</v>
      </c>
      <c r="I618" t="n">
        <v>0</v>
      </c>
      <c r="J618" t="n">
        <v>0</v>
      </c>
      <c r="K618" t="n">
        <v>0</v>
      </c>
      <c r="L618" t="n">
        <v>0</v>
      </c>
      <c r="M618" t="n">
        <v>0</v>
      </c>
      <c r="N618" t="n">
        <v>0</v>
      </c>
      <c r="O618" t="n">
        <v>0</v>
      </c>
      <c r="P618" t="n">
        <v>0</v>
      </c>
      <c r="Q618" t="n">
        <v>0</v>
      </c>
      <c r="R618" s="2" t="inlineStr"/>
    </row>
    <row r="619" ht="15" customHeight="1">
      <c r="A619" t="inlineStr">
        <is>
          <t>A 1656-2026</t>
        </is>
      </c>
      <c r="B619" s="1" t="n">
        <v>46034.54035879629</v>
      </c>
      <c r="C619" s="1" t="n">
        <v>46092</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53897-2023</t>
        </is>
      </c>
      <c r="B620" s="1" t="n">
        <v>45231.53934027778</v>
      </c>
      <c r="C620" s="1" t="n">
        <v>46092</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1170-2025</t>
        </is>
      </c>
      <c r="B621" s="1" t="n">
        <v>45667.29226851852</v>
      </c>
      <c r="C621" s="1" t="n">
        <v>46092</v>
      </c>
      <c r="D621" t="inlineStr">
        <is>
          <t>SKÅNE LÄN</t>
        </is>
      </c>
      <c r="E621" t="inlineStr">
        <is>
          <t>HÄSSLEHOLM</t>
        </is>
      </c>
      <c r="G621" t="n">
        <v>4.3</v>
      </c>
      <c r="H621" t="n">
        <v>0</v>
      </c>
      <c r="I621" t="n">
        <v>0</v>
      </c>
      <c r="J621" t="n">
        <v>0</v>
      </c>
      <c r="K621" t="n">
        <v>0</v>
      </c>
      <c r="L621" t="n">
        <v>0</v>
      </c>
      <c r="M621" t="n">
        <v>0</v>
      </c>
      <c r="N621" t="n">
        <v>0</v>
      </c>
      <c r="O621" t="n">
        <v>0</v>
      </c>
      <c r="P621" t="n">
        <v>0</v>
      </c>
      <c r="Q621" t="n">
        <v>0</v>
      </c>
      <c r="R621" s="2" t="inlineStr"/>
    </row>
    <row r="622" ht="15" customHeight="1">
      <c r="A622" t="inlineStr">
        <is>
          <t>A 49845-2025</t>
        </is>
      </c>
      <c r="B622" s="1" t="n">
        <v>45940.48015046296</v>
      </c>
      <c r="C622" s="1" t="n">
        <v>46092</v>
      </c>
      <c r="D622" t="inlineStr">
        <is>
          <t>SKÅNE LÄN</t>
        </is>
      </c>
      <c r="E622" t="inlineStr">
        <is>
          <t>HÄSSLEHOLM</t>
        </is>
      </c>
      <c r="G622" t="n">
        <v>1.1</v>
      </c>
      <c r="H622" t="n">
        <v>0</v>
      </c>
      <c r="I622" t="n">
        <v>0</v>
      </c>
      <c r="J622" t="n">
        <v>0</v>
      </c>
      <c r="K622" t="n">
        <v>0</v>
      </c>
      <c r="L622" t="n">
        <v>0</v>
      </c>
      <c r="M622" t="n">
        <v>0</v>
      </c>
      <c r="N622" t="n">
        <v>0</v>
      </c>
      <c r="O622" t="n">
        <v>0</v>
      </c>
      <c r="P622" t="n">
        <v>0</v>
      </c>
      <c r="Q622" t="n">
        <v>0</v>
      </c>
      <c r="R622" s="2" t="inlineStr"/>
    </row>
    <row r="623" ht="15" customHeight="1">
      <c r="A623" t="inlineStr">
        <is>
          <t>A 22132-2024</t>
        </is>
      </c>
      <c r="B623" s="1" t="n">
        <v>45444.37234953704</v>
      </c>
      <c r="C623" s="1" t="n">
        <v>46092</v>
      </c>
      <c r="D623" t="inlineStr">
        <is>
          <t>SKÅNE LÄN</t>
        </is>
      </c>
      <c r="E623" t="inlineStr">
        <is>
          <t>HÄSSLEHOLM</t>
        </is>
      </c>
      <c r="G623" t="n">
        <v>3.1</v>
      </c>
      <c r="H623" t="n">
        <v>0</v>
      </c>
      <c r="I623" t="n">
        <v>0</v>
      </c>
      <c r="J623" t="n">
        <v>0</v>
      </c>
      <c r="K623" t="n">
        <v>0</v>
      </c>
      <c r="L623" t="n">
        <v>0</v>
      </c>
      <c r="M623" t="n">
        <v>0</v>
      </c>
      <c r="N623" t="n">
        <v>0</v>
      </c>
      <c r="O623" t="n">
        <v>0</v>
      </c>
      <c r="P623" t="n">
        <v>0</v>
      </c>
      <c r="Q623" t="n">
        <v>0</v>
      </c>
      <c r="R623" s="2" t="inlineStr"/>
    </row>
    <row r="624" ht="15" customHeight="1">
      <c r="A624" t="inlineStr">
        <is>
          <t>A 58632-2025</t>
        </is>
      </c>
      <c r="B624" s="1" t="n">
        <v>45986</v>
      </c>
      <c r="C624" s="1" t="n">
        <v>46092</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2617-2026</t>
        </is>
      </c>
      <c r="B625" s="1" t="n">
        <v>46035</v>
      </c>
      <c r="C625" s="1" t="n">
        <v>46092</v>
      </c>
      <c r="D625" t="inlineStr">
        <is>
          <t>SKÅNE LÄN</t>
        </is>
      </c>
      <c r="E625" t="inlineStr">
        <is>
          <t>HÄSSLEHOLM</t>
        </is>
      </c>
      <c r="F625" t="inlineStr">
        <is>
          <t>Kyrkan</t>
        </is>
      </c>
      <c r="G625" t="n">
        <v>5.5</v>
      </c>
      <c r="H625" t="n">
        <v>0</v>
      </c>
      <c r="I625" t="n">
        <v>0</v>
      </c>
      <c r="J625" t="n">
        <v>0</v>
      </c>
      <c r="K625" t="n">
        <v>0</v>
      </c>
      <c r="L625" t="n">
        <v>0</v>
      </c>
      <c r="M625" t="n">
        <v>0</v>
      </c>
      <c r="N625" t="n">
        <v>0</v>
      </c>
      <c r="O625" t="n">
        <v>0</v>
      </c>
      <c r="P625" t="n">
        <v>0</v>
      </c>
      <c r="Q625" t="n">
        <v>0</v>
      </c>
      <c r="R625" s="2" t="inlineStr"/>
    </row>
    <row r="626" ht="15" customHeight="1">
      <c r="A626" t="inlineStr">
        <is>
          <t>A 1886-2025</t>
        </is>
      </c>
      <c r="B626" s="1" t="n">
        <v>45671</v>
      </c>
      <c r="C626" s="1" t="n">
        <v>46092</v>
      </c>
      <c r="D626" t="inlineStr">
        <is>
          <t>SKÅNE LÄN</t>
        </is>
      </c>
      <c r="E626" t="inlineStr">
        <is>
          <t>HÄSSLEHOLM</t>
        </is>
      </c>
      <c r="G626" t="n">
        <v>1.1</v>
      </c>
      <c r="H626" t="n">
        <v>0</v>
      </c>
      <c r="I626" t="n">
        <v>0</v>
      </c>
      <c r="J626" t="n">
        <v>0</v>
      </c>
      <c r="K626" t="n">
        <v>0</v>
      </c>
      <c r="L626" t="n">
        <v>0</v>
      </c>
      <c r="M626" t="n">
        <v>0</v>
      </c>
      <c r="N626" t="n">
        <v>0</v>
      </c>
      <c r="O626" t="n">
        <v>0</v>
      </c>
      <c r="P626" t="n">
        <v>0</v>
      </c>
      <c r="Q626" t="n">
        <v>0</v>
      </c>
      <c r="R626" s="2" t="inlineStr"/>
    </row>
    <row r="627" ht="15" customHeight="1">
      <c r="A627" t="inlineStr">
        <is>
          <t>A 15536-2025</t>
        </is>
      </c>
      <c r="B627" s="1" t="n">
        <v>45747</v>
      </c>
      <c r="C627" s="1" t="n">
        <v>46092</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2618-2026</t>
        </is>
      </c>
      <c r="B628" s="1" t="n">
        <v>46035</v>
      </c>
      <c r="C628" s="1" t="n">
        <v>46092</v>
      </c>
      <c r="D628" t="inlineStr">
        <is>
          <t>SKÅNE LÄN</t>
        </is>
      </c>
      <c r="E628" t="inlineStr">
        <is>
          <t>HÄSSLEHOLM</t>
        </is>
      </c>
      <c r="F628" t="inlineStr">
        <is>
          <t>Kyrkan</t>
        </is>
      </c>
      <c r="G628" t="n">
        <v>4.8</v>
      </c>
      <c r="H628" t="n">
        <v>0</v>
      </c>
      <c r="I628" t="n">
        <v>0</v>
      </c>
      <c r="J628" t="n">
        <v>0</v>
      </c>
      <c r="K628" t="n">
        <v>0</v>
      </c>
      <c r="L628" t="n">
        <v>0</v>
      </c>
      <c r="M628" t="n">
        <v>0</v>
      </c>
      <c r="N628" t="n">
        <v>0</v>
      </c>
      <c r="O628" t="n">
        <v>0</v>
      </c>
      <c r="P628" t="n">
        <v>0</v>
      </c>
      <c r="Q628" t="n">
        <v>0</v>
      </c>
      <c r="R628" s="2" t="inlineStr"/>
    </row>
    <row r="629" ht="15" customHeight="1">
      <c r="A629" t="inlineStr">
        <is>
          <t>A 24904-2025</t>
        </is>
      </c>
      <c r="B629" s="1" t="n">
        <v>45799</v>
      </c>
      <c r="C629" s="1" t="n">
        <v>46092</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32210-2024</t>
        </is>
      </c>
      <c r="B630" s="1" t="n">
        <v>45511.67777777778</v>
      </c>
      <c r="C630" s="1" t="n">
        <v>46092</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2743-2023</t>
        </is>
      </c>
      <c r="B631" s="1" t="n">
        <v>44944</v>
      </c>
      <c r="C631" s="1" t="n">
        <v>46092</v>
      </c>
      <c r="D631" t="inlineStr">
        <is>
          <t>SKÅNE LÄN</t>
        </is>
      </c>
      <c r="E631" t="inlineStr">
        <is>
          <t>HÄSSLEHOLM</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8749-2024</t>
        </is>
      </c>
      <c r="B632" s="1" t="n">
        <v>45356.50387731481</v>
      </c>
      <c r="C632" s="1" t="n">
        <v>46092</v>
      </c>
      <c r="D632" t="inlineStr">
        <is>
          <t>SKÅNE LÄN</t>
        </is>
      </c>
      <c r="E632" t="inlineStr">
        <is>
          <t>HÄSSLEHOLM</t>
        </is>
      </c>
      <c r="G632" t="n">
        <v>2.9</v>
      </c>
      <c r="H632" t="n">
        <v>0</v>
      </c>
      <c r="I632" t="n">
        <v>0</v>
      </c>
      <c r="J632" t="n">
        <v>0</v>
      </c>
      <c r="K632" t="n">
        <v>0</v>
      </c>
      <c r="L632" t="n">
        <v>0</v>
      </c>
      <c r="M632" t="n">
        <v>0</v>
      </c>
      <c r="N632" t="n">
        <v>0</v>
      </c>
      <c r="O632" t="n">
        <v>0</v>
      </c>
      <c r="P632" t="n">
        <v>0</v>
      </c>
      <c r="Q632" t="n">
        <v>0</v>
      </c>
      <c r="R632" s="2" t="inlineStr"/>
    </row>
    <row r="633" ht="15" customHeight="1">
      <c r="A633" t="inlineStr">
        <is>
          <t>A 8752-2024</t>
        </is>
      </c>
      <c r="B633" s="1" t="n">
        <v>45356</v>
      </c>
      <c r="C633" s="1" t="n">
        <v>46092</v>
      </c>
      <c r="D633" t="inlineStr">
        <is>
          <t>SKÅNE LÄN</t>
        </is>
      </c>
      <c r="E633" t="inlineStr">
        <is>
          <t>HÄSSLEHOLM</t>
        </is>
      </c>
      <c r="G633" t="n">
        <v>3.4</v>
      </c>
      <c r="H633" t="n">
        <v>0</v>
      </c>
      <c r="I633" t="n">
        <v>0</v>
      </c>
      <c r="J633" t="n">
        <v>0</v>
      </c>
      <c r="K633" t="n">
        <v>0</v>
      </c>
      <c r="L633" t="n">
        <v>0</v>
      </c>
      <c r="M633" t="n">
        <v>0</v>
      </c>
      <c r="N633" t="n">
        <v>0</v>
      </c>
      <c r="O633" t="n">
        <v>0</v>
      </c>
      <c r="P633" t="n">
        <v>0</v>
      </c>
      <c r="Q633" t="n">
        <v>0</v>
      </c>
      <c r="R633" s="2" t="inlineStr"/>
    </row>
    <row r="634" ht="15" customHeight="1">
      <c r="A634" t="inlineStr">
        <is>
          <t>A 8759-2024</t>
        </is>
      </c>
      <c r="B634" s="1" t="n">
        <v>45356.52271990741</v>
      </c>
      <c r="C634" s="1" t="n">
        <v>46092</v>
      </c>
      <c r="D634" t="inlineStr">
        <is>
          <t>SKÅNE LÄN</t>
        </is>
      </c>
      <c r="E634" t="inlineStr">
        <is>
          <t>HÄSSLEHOLM</t>
        </is>
      </c>
      <c r="G634" t="n">
        <v>5.7</v>
      </c>
      <c r="H634" t="n">
        <v>0</v>
      </c>
      <c r="I634" t="n">
        <v>0</v>
      </c>
      <c r="J634" t="n">
        <v>0</v>
      </c>
      <c r="K634" t="n">
        <v>0</v>
      </c>
      <c r="L634" t="n">
        <v>0</v>
      </c>
      <c r="M634" t="n">
        <v>0</v>
      </c>
      <c r="N634" t="n">
        <v>0</v>
      </c>
      <c r="O634" t="n">
        <v>0</v>
      </c>
      <c r="P634" t="n">
        <v>0</v>
      </c>
      <c r="Q634" t="n">
        <v>0</v>
      </c>
      <c r="R634" s="2" t="inlineStr"/>
    </row>
    <row r="635" ht="15" customHeight="1">
      <c r="A635" t="inlineStr">
        <is>
          <t>A 48624-2021</t>
        </is>
      </c>
      <c r="B635" s="1" t="n">
        <v>44452</v>
      </c>
      <c r="C635" s="1" t="n">
        <v>46092</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49824-2024</t>
        </is>
      </c>
      <c r="B636" s="1" t="n">
        <v>45597</v>
      </c>
      <c r="C636" s="1" t="n">
        <v>46092</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50676-2025</t>
        </is>
      </c>
      <c r="B637" s="1" t="n">
        <v>45945</v>
      </c>
      <c r="C637" s="1" t="n">
        <v>46092</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50678-2025</t>
        </is>
      </c>
      <c r="B638" s="1" t="n">
        <v>45945</v>
      </c>
      <c r="C638" s="1" t="n">
        <v>46092</v>
      </c>
      <c r="D638" t="inlineStr">
        <is>
          <t>SKÅNE LÄN</t>
        </is>
      </c>
      <c r="E638" t="inlineStr">
        <is>
          <t>HÄSSLEHOLM</t>
        </is>
      </c>
      <c r="G638" t="n">
        <v>1.2</v>
      </c>
      <c r="H638" t="n">
        <v>0</v>
      </c>
      <c r="I638" t="n">
        <v>0</v>
      </c>
      <c r="J638" t="n">
        <v>0</v>
      </c>
      <c r="K638" t="n">
        <v>0</v>
      </c>
      <c r="L638" t="n">
        <v>0</v>
      </c>
      <c r="M638" t="n">
        <v>0</v>
      </c>
      <c r="N638" t="n">
        <v>0</v>
      </c>
      <c r="O638" t="n">
        <v>0</v>
      </c>
      <c r="P638" t="n">
        <v>0</v>
      </c>
      <c r="Q638" t="n">
        <v>0</v>
      </c>
      <c r="R638" s="2" t="inlineStr"/>
    </row>
    <row r="639" ht="15" customHeight="1">
      <c r="A639" t="inlineStr">
        <is>
          <t>A 50677-2025</t>
        </is>
      </c>
      <c r="B639" s="1" t="n">
        <v>45945</v>
      </c>
      <c r="C639" s="1" t="n">
        <v>46092</v>
      </c>
      <c r="D639" t="inlineStr">
        <is>
          <t>SKÅNE LÄN</t>
        </is>
      </c>
      <c r="E639" t="inlineStr">
        <is>
          <t>HÄSSLEHOLM</t>
        </is>
      </c>
      <c r="G639" t="n">
        <v>2.3</v>
      </c>
      <c r="H639" t="n">
        <v>0</v>
      </c>
      <c r="I639" t="n">
        <v>0</v>
      </c>
      <c r="J639" t="n">
        <v>0</v>
      </c>
      <c r="K639" t="n">
        <v>0</v>
      </c>
      <c r="L639" t="n">
        <v>0</v>
      </c>
      <c r="M639" t="n">
        <v>0</v>
      </c>
      <c r="N639" t="n">
        <v>0</v>
      </c>
      <c r="O639" t="n">
        <v>0</v>
      </c>
      <c r="P639" t="n">
        <v>0</v>
      </c>
      <c r="Q639" t="n">
        <v>0</v>
      </c>
      <c r="R639" s="2" t="inlineStr"/>
    </row>
    <row r="640" ht="15" customHeight="1">
      <c r="A640" t="inlineStr">
        <is>
          <t>A 59434-2023</t>
        </is>
      </c>
      <c r="B640" s="1" t="n">
        <v>45254.30440972222</v>
      </c>
      <c r="C640" s="1" t="n">
        <v>46092</v>
      </c>
      <c r="D640" t="inlineStr">
        <is>
          <t>SKÅNE LÄN</t>
        </is>
      </c>
      <c r="E640" t="inlineStr">
        <is>
          <t>HÄSSLEHOLM</t>
        </is>
      </c>
      <c r="G640" t="n">
        <v>3.6</v>
      </c>
      <c r="H640" t="n">
        <v>0</v>
      </c>
      <c r="I640" t="n">
        <v>0</v>
      </c>
      <c r="J640" t="n">
        <v>0</v>
      </c>
      <c r="K640" t="n">
        <v>0</v>
      </c>
      <c r="L640" t="n">
        <v>0</v>
      </c>
      <c r="M640" t="n">
        <v>0</v>
      </c>
      <c r="N640" t="n">
        <v>0</v>
      </c>
      <c r="O640" t="n">
        <v>0</v>
      </c>
      <c r="P640" t="n">
        <v>0</v>
      </c>
      <c r="Q640" t="n">
        <v>0</v>
      </c>
      <c r="R640" s="2" t="inlineStr"/>
    </row>
    <row r="641" ht="15" customHeight="1">
      <c r="A641" t="inlineStr">
        <is>
          <t>A 50834-2025</t>
        </is>
      </c>
      <c r="B641" s="1" t="n">
        <v>45946.55746527778</v>
      </c>
      <c r="C641" s="1" t="n">
        <v>46092</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2290-2024</t>
        </is>
      </c>
      <c r="B642" s="1" t="n">
        <v>45310</v>
      </c>
      <c r="C642" s="1" t="n">
        <v>46092</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31159-2025</t>
        </is>
      </c>
      <c r="B643" s="1" t="n">
        <v>45832.65322916667</v>
      </c>
      <c r="C643" s="1" t="n">
        <v>46092</v>
      </c>
      <c r="D643" t="inlineStr">
        <is>
          <t>SKÅNE LÄN</t>
        </is>
      </c>
      <c r="E643" t="inlineStr">
        <is>
          <t>HÄSSLEHOLM</t>
        </is>
      </c>
      <c r="G643" t="n">
        <v>1</v>
      </c>
      <c r="H643" t="n">
        <v>0</v>
      </c>
      <c r="I643" t="n">
        <v>0</v>
      </c>
      <c r="J643" t="n">
        <v>0</v>
      </c>
      <c r="K643" t="n">
        <v>0</v>
      </c>
      <c r="L643" t="n">
        <v>0</v>
      </c>
      <c r="M643" t="n">
        <v>0</v>
      </c>
      <c r="N643" t="n">
        <v>0</v>
      </c>
      <c r="O643" t="n">
        <v>0</v>
      </c>
      <c r="P643" t="n">
        <v>0</v>
      </c>
      <c r="Q643" t="n">
        <v>0</v>
      </c>
      <c r="R643" s="2" t="inlineStr"/>
    </row>
    <row r="644" ht="15" customHeight="1">
      <c r="A644" t="inlineStr">
        <is>
          <t>A 32154-2024</t>
        </is>
      </c>
      <c r="B644" s="1" t="n">
        <v>45511</v>
      </c>
      <c r="C644" s="1" t="n">
        <v>46092</v>
      </c>
      <c r="D644" t="inlineStr">
        <is>
          <t>SKÅNE LÄN</t>
        </is>
      </c>
      <c r="E644" t="inlineStr">
        <is>
          <t>HÄSSLEHOLM</t>
        </is>
      </c>
      <c r="G644" t="n">
        <v>6.4</v>
      </c>
      <c r="H644" t="n">
        <v>0</v>
      </c>
      <c r="I644" t="n">
        <v>0</v>
      </c>
      <c r="J644" t="n">
        <v>0</v>
      </c>
      <c r="K644" t="n">
        <v>0</v>
      </c>
      <c r="L644" t="n">
        <v>0</v>
      </c>
      <c r="M644" t="n">
        <v>0</v>
      </c>
      <c r="N644" t="n">
        <v>0</v>
      </c>
      <c r="O644" t="n">
        <v>0</v>
      </c>
      <c r="P644" t="n">
        <v>0</v>
      </c>
      <c r="Q644" t="n">
        <v>0</v>
      </c>
      <c r="R644" s="2" t="inlineStr"/>
    </row>
    <row r="645" ht="15" customHeight="1">
      <c r="A645" t="inlineStr">
        <is>
          <t>A 33067-2024</t>
        </is>
      </c>
      <c r="B645" s="1" t="n">
        <v>45517.6520949074</v>
      </c>
      <c r="C645" s="1" t="n">
        <v>46092</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51024-2025</t>
        </is>
      </c>
      <c r="B646" s="1" t="n">
        <v>45947.395</v>
      </c>
      <c r="C646" s="1" t="n">
        <v>46092</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28236-2022</t>
        </is>
      </c>
      <c r="B647" s="1" t="n">
        <v>44746</v>
      </c>
      <c r="C647" s="1" t="n">
        <v>46092</v>
      </c>
      <c r="D647" t="inlineStr">
        <is>
          <t>SKÅNE LÄN</t>
        </is>
      </c>
      <c r="E647" t="inlineStr">
        <is>
          <t>HÄSSLEHOLM</t>
        </is>
      </c>
      <c r="G647" t="n">
        <v>3.5</v>
      </c>
      <c r="H647" t="n">
        <v>0</v>
      </c>
      <c r="I647" t="n">
        <v>0</v>
      </c>
      <c r="J647" t="n">
        <v>0</v>
      </c>
      <c r="K647" t="n">
        <v>0</v>
      </c>
      <c r="L647" t="n">
        <v>0</v>
      </c>
      <c r="M647" t="n">
        <v>0</v>
      </c>
      <c r="N647" t="n">
        <v>0</v>
      </c>
      <c r="O647" t="n">
        <v>0</v>
      </c>
      <c r="P647" t="n">
        <v>0</v>
      </c>
      <c r="Q647" t="n">
        <v>0</v>
      </c>
      <c r="R647" s="2" t="inlineStr"/>
    </row>
    <row r="648" ht="15" customHeight="1">
      <c r="A648" t="inlineStr">
        <is>
          <t>A 50839-2025</t>
        </is>
      </c>
      <c r="B648" s="1" t="n">
        <v>45946</v>
      </c>
      <c r="C648" s="1" t="n">
        <v>46092</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61625-2022</t>
        </is>
      </c>
      <c r="B649" s="1" t="n">
        <v>44916</v>
      </c>
      <c r="C649" s="1" t="n">
        <v>46092</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50829-2025</t>
        </is>
      </c>
      <c r="B650" s="1" t="n">
        <v>45946.55309027778</v>
      </c>
      <c r="C650" s="1" t="n">
        <v>46092</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38829-2024</t>
        </is>
      </c>
      <c r="B651" s="1" t="n">
        <v>45547.57247685185</v>
      </c>
      <c r="C651" s="1" t="n">
        <v>46092</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13890-2024</t>
        </is>
      </c>
      <c r="B652" s="1" t="n">
        <v>45391</v>
      </c>
      <c r="C652" s="1" t="n">
        <v>46092</v>
      </c>
      <c r="D652" t="inlineStr">
        <is>
          <t>SKÅNE LÄN</t>
        </is>
      </c>
      <c r="E652" t="inlineStr">
        <is>
          <t>HÄSSLEHOLM</t>
        </is>
      </c>
      <c r="F652" t="inlineStr">
        <is>
          <t>Kommuner</t>
        </is>
      </c>
      <c r="G652" t="n">
        <v>1.4</v>
      </c>
      <c r="H652" t="n">
        <v>0</v>
      </c>
      <c r="I652" t="n">
        <v>0</v>
      </c>
      <c r="J652" t="n">
        <v>0</v>
      </c>
      <c r="K652" t="n">
        <v>0</v>
      </c>
      <c r="L652" t="n">
        <v>0</v>
      </c>
      <c r="M652" t="n">
        <v>0</v>
      </c>
      <c r="N652" t="n">
        <v>0</v>
      </c>
      <c r="O652" t="n">
        <v>0</v>
      </c>
      <c r="P652" t="n">
        <v>0</v>
      </c>
      <c r="Q652" t="n">
        <v>0</v>
      </c>
      <c r="R652" s="2" t="inlineStr"/>
    </row>
    <row r="653" ht="15" customHeight="1">
      <c r="A653" t="inlineStr">
        <is>
          <t>A 55218-2023</t>
        </is>
      </c>
      <c r="B653" s="1" t="n">
        <v>45237</v>
      </c>
      <c r="C653" s="1" t="n">
        <v>46092</v>
      </c>
      <c r="D653" t="inlineStr">
        <is>
          <t>SKÅNE LÄN</t>
        </is>
      </c>
      <c r="E653" t="inlineStr">
        <is>
          <t>HÄSSLEHOLM</t>
        </is>
      </c>
      <c r="G653" t="n">
        <v>2</v>
      </c>
      <c r="H653" t="n">
        <v>0</v>
      </c>
      <c r="I653" t="n">
        <v>0</v>
      </c>
      <c r="J653" t="n">
        <v>0</v>
      </c>
      <c r="K653" t="n">
        <v>0</v>
      </c>
      <c r="L653" t="n">
        <v>0</v>
      </c>
      <c r="M653" t="n">
        <v>0</v>
      </c>
      <c r="N653" t="n">
        <v>0</v>
      </c>
      <c r="O653" t="n">
        <v>0</v>
      </c>
      <c r="P653" t="n">
        <v>0</v>
      </c>
      <c r="Q653" t="n">
        <v>0</v>
      </c>
      <c r="R653" s="2" t="inlineStr"/>
    </row>
    <row r="654" ht="15" customHeight="1">
      <c r="A654" t="inlineStr">
        <is>
          <t>A 51097-2025</t>
        </is>
      </c>
      <c r="B654" s="1" t="n">
        <v>45947.48018518519</v>
      </c>
      <c r="C654" s="1" t="n">
        <v>46092</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46288-2023</t>
        </is>
      </c>
      <c r="B655" s="1" t="n">
        <v>45197.30221064815</v>
      </c>
      <c r="C655" s="1" t="n">
        <v>46092</v>
      </c>
      <c r="D655" t="inlineStr">
        <is>
          <t>SKÅNE LÄN</t>
        </is>
      </c>
      <c r="E655" t="inlineStr">
        <is>
          <t>HÄSSLEHOLM</t>
        </is>
      </c>
      <c r="G655" t="n">
        <v>3</v>
      </c>
      <c r="H655" t="n">
        <v>0</v>
      </c>
      <c r="I655" t="n">
        <v>0</v>
      </c>
      <c r="J655" t="n">
        <v>0</v>
      </c>
      <c r="K655" t="n">
        <v>0</v>
      </c>
      <c r="L655" t="n">
        <v>0</v>
      </c>
      <c r="M655" t="n">
        <v>0</v>
      </c>
      <c r="N655" t="n">
        <v>0</v>
      </c>
      <c r="O655" t="n">
        <v>0</v>
      </c>
      <c r="P655" t="n">
        <v>0</v>
      </c>
      <c r="Q655" t="n">
        <v>0</v>
      </c>
      <c r="R655" s="2" t="inlineStr"/>
    </row>
    <row r="656" ht="15" customHeight="1">
      <c r="A656" t="inlineStr">
        <is>
          <t>A 58689-2025</t>
        </is>
      </c>
      <c r="B656" s="1" t="n">
        <v>45986</v>
      </c>
      <c r="C656" s="1" t="n">
        <v>46092</v>
      </c>
      <c r="D656" t="inlineStr">
        <is>
          <t>SKÅNE LÄN</t>
        </is>
      </c>
      <c r="E656" t="inlineStr">
        <is>
          <t>HÄSSLEHOLM</t>
        </is>
      </c>
      <c r="G656" t="n">
        <v>3.9</v>
      </c>
      <c r="H656" t="n">
        <v>0</v>
      </c>
      <c r="I656" t="n">
        <v>0</v>
      </c>
      <c r="J656" t="n">
        <v>0</v>
      </c>
      <c r="K656" t="n">
        <v>0</v>
      </c>
      <c r="L656" t="n">
        <v>0</v>
      </c>
      <c r="M656" t="n">
        <v>0</v>
      </c>
      <c r="N656" t="n">
        <v>0</v>
      </c>
      <c r="O656" t="n">
        <v>0</v>
      </c>
      <c r="P656" t="n">
        <v>0</v>
      </c>
      <c r="Q656" t="n">
        <v>0</v>
      </c>
      <c r="R656" s="2" t="inlineStr"/>
    </row>
    <row r="657" ht="15" customHeight="1">
      <c r="A657" t="inlineStr">
        <is>
          <t>A 49106-2023</t>
        </is>
      </c>
      <c r="B657" s="1" t="n">
        <v>45210</v>
      </c>
      <c r="C657" s="1" t="n">
        <v>46092</v>
      </c>
      <c r="D657" t="inlineStr">
        <is>
          <t>SKÅNE LÄN</t>
        </is>
      </c>
      <c r="E657" t="inlineStr">
        <is>
          <t>HÄSSLEHOLM</t>
        </is>
      </c>
      <c r="G657" t="n">
        <v>0.3</v>
      </c>
      <c r="H657" t="n">
        <v>0</v>
      </c>
      <c r="I657" t="n">
        <v>0</v>
      </c>
      <c r="J657" t="n">
        <v>0</v>
      </c>
      <c r="K657" t="n">
        <v>0</v>
      </c>
      <c r="L657" t="n">
        <v>0</v>
      </c>
      <c r="M657" t="n">
        <v>0</v>
      </c>
      <c r="N657" t="n">
        <v>0</v>
      </c>
      <c r="O657" t="n">
        <v>0</v>
      </c>
      <c r="P657" t="n">
        <v>0</v>
      </c>
      <c r="Q657" t="n">
        <v>0</v>
      </c>
      <c r="R657" s="2" t="inlineStr"/>
    </row>
    <row r="658" ht="15" customHeight="1">
      <c r="A658" t="inlineStr">
        <is>
          <t>A 51597-2025</t>
        </is>
      </c>
      <c r="B658" s="1" t="n">
        <v>45951.37163194444</v>
      </c>
      <c r="C658" s="1" t="n">
        <v>46092</v>
      </c>
      <c r="D658" t="inlineStr">
        <is>
          <t>SKÅNE LÄN</t>
        </is>
      </c>
      <c r="E658" t="inlineStr">
        <is>
          <t>HÄSSLEHOLM</t>
        </is>
      </c>
      <c r="G658" t="n">
        <v>3.5</v>
      </c>
      <c r="H658" t="n">
        <v>0</v>
      </c>
      <c r="I658" t="n">
        <v>0</v>
      </c>
      <c r="J658" t="n">
        <v>0</v>
      </c>
      <c r="K658" t="n">
        <v>0</v>
      </c>
      <c r="L658" t="n">
        <v>0</v>
      </c>
      <c r="M658" t="n">
        <v>0</v>
      </c>
      <c r="N658" t="n">
        <v>0</v>
      </c>
      <c r="O658" t="n">
        <v>0</v>
      </c>
      <c r="P658" t="n">
        <v>0</v>
      </c>
      <c r="Q658" t="n">
        <v>0</v>
      </c>
      <c r="R658" s="2" t="inlineStr"/>
    </row>
    <row r="659" ht="15" customHeight="1">
      <c r="A659" t="inlineStr">
        <is>
          <t>A 10409-2024</t>
        </is>
      </c>
      <c r="B659" s="1" t="n">
        <v>45365.6978125</v>
      </c>
      <c r="C659" s="1" t="n">
        <v>46092</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51795-2025</t>
        </is>
      </c>
      <c r="B660" s="1" t="n">
        <v>45951</v>
      </c>
      <c r="C660" s="1" t="n">
        <v>46092</v>
      </c>
      <c r="D660" t="inlineStr">
        <is>
          <t>SKÅNE LÄN</t>
        </is>
      </c>
      <c r="E660" t="inlineStr">
        <is>
          <t>HÄSSLEHOLM</t>
        </is>
      </c>
      <c r="G660" t="n">
        <v>2.4</v>
      </c>
      <c r="H660" t="n">
        <v>0</v>
      </c>
      <c r="I660" t="n">
        <v>0</v>
      </c>
      <c r="J660" t="n">
        <v>0</v>
      </c>
      <c r="K660" t="n">
        <v>0</v>
      </c>
      <c r="L660" t="n">
        <v>0</v>
      </c>
      <c r="M660" t="n">
        <v>0</v>
      </c>
      <c r="N660" t="n">
        <v>0</v>
      </c>
      <c r="O660" t="n">
        <v>0</v>
      </c>
      <c r="P660" t="n">
        <v>0</v>
      </c>
      <c r="Q660" t="n">
        <v>0</v>
      </c>
      <c r="R660" s="2" t="inlineStr"/>
    </row>
    <row r="661" ht="15" customHeight="1">
      <c r="A661" t="inlineStr">
        <is>
          <t>A 51796-2025</t>
        </is>
      </c>
      <c r="B661" s="1" t="n">
        <v>45951.74546296296</v>
      </c>
      <c r="C661" s="1" t="n">
        <v>46092</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47248-2023</t>
        </is>
      </c>
      <c r="B662" s="1" t="n">
        <v>45202</v>
      </c>
      <c r="C662" s="1" t="n">
        <v>46092</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51640-2025</t>
        </is>
      </c>
      <c r="B663" s="1" t="n">
        <v>45951.44361111111</v>
      </c>
      <c r="C663" s="1" t="n">
        <v>46092</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20990-2023</t>
        </is>
      </c>
      <c r="B664" s="1" t="n">
        <v>45061.46186342592</v>
      </c>
      <c r="C664" s="1" t="n">
        <v>46092</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54171-2022</t>
        </is>
      </c>
      <c r="B665" s="1" t="n">
        <v>44881</v>
      </c>
      <c r="C665" s="1" t="n">
        <v>46092</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3298-2026</t>
        </is>
      </c>
      <c r="B666" s="1" t="n">
        <v>46041</v>
      </c>
      <c r="C666" s="1" t="n">
        <v>46092</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57277-2023</t>
        </is>
      </c>
      <c r="B667" s="1" t="n">
        <v>45245.59104166667</v>
      </c>
      <c r="C667" s="1" t="n">
        <v>46092</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29649-2025</t>
        </is>
      </c>
      <c r="B668" s="1" t="n">
        <v>45825.47446759259</v>
      </c>
      <c r="C668" s="1" t="n">
        <v>46092</v>
      </c>
      <c r="D668" t="inlineStr">
        <is>
          <t>SKÅNE LÄN</t>
        </is>
      </c>
      <c r="E668" t="inlineStr">
        <is>
          <t>HÄSSLEHOLM</t>
        </is>
      </c>
      <c r="G668" t="n">
        <v>2.6</v>
      </c>
      <c r="H668" t="n">
        <v>0</v>
      </c>
      <c r="I668" t="n">
        <v>0</v>
      </c>
      <c r="J668" t="n">
        <v>0</v>
      </c>
      <c r="K668" t="n">
        <v>0</v>
      </c>
      <c r="L668" t="n">
        <v>0</v>
      </c>
      <c r="M668" t="n">
        <v>0</v>
      </c>
      <c r="N668" t="n">
        <v>0</v>
      </c>
      <c r="O668" t="n">
        <v>0</v>
      </c>
      <c r="P668" t="n">
        <v>0</v>
      </c>
      <c r="Q668" t="n">
        <v>0</v>
      </c>
      <c r="R668" s="2" t="inlineStr"/>
    </row>
    <row r="669" ht="15" customHeight="1">
      <c r="A669" t="inlineStr">
        <is>
          <t>A 52126-2025</t>
        </is>
      </c>
      <c r="B669" s="1" t="n">
        <v>45952.72109953704</v>
      </c>
      <c r="C669" s="1" t="n">
        <v>46092</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32585-2025</t>
        </is>
      </c>
      <c r="B670" s="1" t="n">
        <v>45838.60021990741</v>
      </c>
      <c r="C670" s="1" t="n">
        <v>46092</v>
      </c>
      <c r="D670" t="inlineStr">
        <is>
          <t>SKÅNE LÄN</t>
        </is>
      </c>
      <c r="E670" t="inlineStr">
        <is>
          <t>HÄSSLEHOLM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32592-2025</t>
        </is>
      </c>
      <c r="B671" s="1" t="n">
        <v>45838.61020833333</v>
      </c>
      <c r="C671" s="1" t="n">
        <v>46092</v>
      </c>
      <c r="D671" t="inlineStr">
        <is>
          <t>SKÅNE LÄN</t>
        </is>
      </c>
      <c r="E671" t="inlineStr">
        <is>
          <t>HÄSSLEHOLM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35150-2023</t>
        </is>
      </c>
      <c r="B672" s="1" t="n">
        <v>45145</v>
      </c>
      <c r="C672" s="1" t="n">
        <v>46092</v>
      </c>
      <c r="D672" t="inlineStr">
        <is>
          <t>SKÅNE LÄN</t>
        </is>
      </c>
      <c r="E672" t="inlineStr">
        <is>
          <t>HÄSSLEHOLM</t>
        </is>
      </c>
      <c r="G672" t="n">
        <v>4.9</v>
      </c>
      <c r="H672" t="n">
        <v>0</v>
      </c>
      <c r="I672" t="n">
        <v>0</v>
      </c>
      <c r="J672" t="n">
        <v>0</v>
      </c>
      <c r="K672" t="n">
        <v>0</v>
      </c>
      <c r="L672" t="n">
        <v>0</v>
      </c>
      <c r="M672" t="n">
        <v>0</v>
      </c>
      <c r="N672" t="n">
        <v>0</v>
      </c>
      <c r="O672" t="n">
        <v>0</v>
      </c>
      <c r="P672" t="n">
        <v>0</v>
      </c>
      <c r="Q672" t="n">
        <v>0</v>
      </c>
      <c r="R672" s="2" t="inlineStr"/>
    </row>
    <row r="673" ht="15" customHeight="1">
      <c r="A673" t="inlineStr">
        <is>
          <t>A 33562-2025</t>
        </is>
      </c>
      <c r="B673" s="1" t="n">
        <v>45841.57803240741</v>
      </c>
      <c r="C673" s="1" t="n">
        <v>46092</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3904-2026</t>
        </is>
      </c>
      <c r="B674" s="1" t="n">
        <v>46043.69711805556</v>
      </c>
      <c r="C674" s="1" t="n">
        <v>46092</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18041-2023</t>
        </is>
      </c>
      <c r="B675" s="1" t="n">
        <v>45040</v>
      </c>
      <c r="C675" s="1" t="n">
        <v>46092</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49250-2022</t>
        </is>
      </c>
      <c r="B676" s="1" t="n">
        <v>44858</v>
      </c>
      <c r="C676" s="1" t="n">
        <v>46092</v>
      </c>
      <c r="D676" t="inlineStr">
        <is>
          <t>SKÅNE LÄN</t>
        </is>
      </c>
      <c r="E676" t="inlineStr">
        <is>
          <t>HÄSSLEHOLM</t>
        </is>
      </c>
      <c r="F676" t="inlineStr">
        <is>
          <t>Kyrkan</t>
        </is>
      </c>
      <c r="G676" t="n">
        <v>1.5</v>
      </c>
      <c r="H676" t="n">
        <v>0</v>
      </c>
      <c r="I676" t="n">
        <v>0</v>
      </c>
      <c r="J676" t="n">
        <v>0</v>
      </c>
      <c r="K676" t="n">
        <v>0</v>
      </c>
      <c r="L676" t="n">
        <v>0</v>
      </c>
      <c r="M676" t="n">
        <v>0</v>
      </c>
      <c r="N676" t="n">
        <v>0</v>
      </c>
      <c r="O676" t="n">
        <v>0</v>
      </c>
      <c r="P676" t="n">
        <v>0</v>
      </c>
      <c r="Q676" t="n">
        <v>0</v>
      </c>
      <c r="R676" s="2" t="inlineStr"/>
    </row>
    <row r="677" ht="15" customHeight="1">
      <c r="A677" t="inlineStr">
        <is>
          <t>A 32008-2024</t>
        </is>
      </c>
      <c r="B677" s="1" t="n">
        <v>45510</v>
      </c>
      <c r="C677" s="1" t="n">
        <v>46092</v>
      </c>
      <c r="D677" t="inlineStr">
        <is>
          <t>SKÅNE LÄN</t>
        </is>
      </c>
      <c r="E677" t="inlineStr">
        <is>
          <t>HÄSSLEHOLM</t>
        </is>
      </c>
      <c r="G677" t="n">
        <v>5.1</v>
      </c>
      <c r="H677" t="n">
        <v>0</v>
      </c>
      <c r="I677" t="n">
        <v>0</v>
      </c>
      <c r="J677" t="n">
        <v>0</v>
      </c>
      <c r="K677" t="n">
        <v>0</v>
      </c>
      <c r="L677" t="n">
        <v>0</v>
      </c>
      <c r="M677" t="n">
        <v>0</v>
      </c>
      <c r="N677" t="n">
        <v>0</v>
      </c>
      <c r="O677" t="n">
        <v>0</v>
      </c>
      <c r="P677" t="n">
        <v>0</v>
      </c>
      <c r="Q677" t="n">
        <v>0</v>
      </c>
      <c r="R677" s="2" t="inlineStr"/>
    </row>
    <row r="678" ht="15" customHeight="1">
      <c r="A678" t="inlineStr">
        <is>
          <t>A 3715-2026</t>
        </is>
      </c>
      <c r="B678" s="1" t="n">
        <v>46043.48746527778</v>
      </c>
      <c r="C678" s="1" t="n">
        <v>46092</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11999-2026</t>
        </is>
      </c>
      <c r="B679" s="1" t="n">
        <v>46085</v>
      </c>
      <c r="C679" s="1" t="n">
        <v>46092</v>
      </c>
      <c r="D679" t="inlineStr">
        <is>
          <t>SKÅNE LÄN</t>
        </is>
      </c>
      <c r="E679" t="inlineStr">
        <is>
          <t>HÄSSLEHOLM</t>
        </is>
      </c>
      <c r="G679" t="n">
        <v>0.2</v>
      </c>
      <c r="H679" t="n">
        <v>0</v>
      </c>
      <c r="I679" t="n">
        <v>0</v>
      </c>
      <c r="J679" t="n">
        <v>0</v>
      </c>
      <c r="K679" t="n">
        <v>0</v>
      </c>
      <c r="L679" t="n">
        <v>0</v>
      </c>
      <c r="M679" t="n">
        <v>0</v>
      </c>
      <c r="N679" t="n">
        <v>0</v>
      </c>
      <c r="O679" t="n">
        <v>0</v>
      </c>
      <c r="P679" t="n">
        <v>0</v>
      </c>
      <c r="Q679" t="n">
        <v>0</v>
      </c>
      <c r="R679" s="2" t="inlineStr"/>
    </row>
    <row r="680" ht="15" customHeight="1">
      <c r="A680" t="inlineStr">
        <is>
          <t>A 26857-2025</t>
        </is>
      </c>
      <c r="B680" s="1" t="n">
        <v>45810</v>
      </c>
      <c r="C680" s="1" t="n">
        <v>46092</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27197-2021</t>
        </is>
      </c>
      <c r="B681" s="1" t="n">
        <v>44350</v>
      </c>
      <c r="C681" s="1" t="n">
        <v>46092</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45222-2023</t>
        </is>
      </c>
      <c r="B682" s="1" t="n">
        <v>45191</v>
      </c>
      <c r="C682" s="1" t="n">
        <v>46092</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3862-2026</t>
        </is>
      </c>
      <c r="B683" s="1" t="n">
        <v>46043.62646990741</v>
      </c>
      <c r="C683" s="1" t="n">
        <v>46092</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35890-2023</t>
        </is>
      </c>
      <c r="B684" s="1" t="n">
        <v>45148</v>
      </c>
      <c r="C684" s="1" t="n">
        <v>46092</v>
      </c>
      <c r="D684" t="inlineStr">
        <is>
          <t>SKÅNE LÄN</t>
        </is>
      </c>
      <c r="E684" t="inlineStr">
        <is>
          <t>HÄSSLEHOLM</t>
        </is>
      </c>
      <c r="G684" t="n">
        <v>2</v>
      </c>
      <c r="H684" t="n">
        <v>0</v>
      </c>
      <c r="I684" t="n">
        <v>0</v>
      </c>
      <c r="J684" t="n">
        <v>0</v>
      </c>
      <c r="K684" t="n">
        <v>0</v>
      </c>
      <c r="L684" t="n">
        <v>0</v>
      </c>
      <c r="M684" t="n">
        <v>0</v>
      </c>
      <c r="N684" t="n">
        <v>0</v>
      </c>
      <c r="O684" t="n">
        <v>0</v>
      </c>
      <c r="P684" t="n">
        <v>0</v>
      </c>
      <c r="Q684" t="n">
        <v>0</v>
      </c>
      <c r="R684" s="2" t="inlineStr"/>
    </row>
    <row r="685" ht="15" customHeight="1">
      <c r="A685" t="inlineStr">
        <is>
          <t>A 35895-2023</t>
        </is>
      </c>
      <c r="B685" s="1" t="n">
        <v>45148</v>
      </c>
      <c r="C685" s="1" t="n">
        <v>46092</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61569-2023</t>
        </is>
      </c>
      <c r="B686" s="1" t="n">
        <v>45265</v>
      </c>
      <c r="C686" s="1" t="n">
        <v>46092</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53020-2025</t>
        </is>
      </c>
      <c r="B687" s="1" t="n">
        <v>45957.90707175926</v>
      </c>
      <c r="C687" s="1" t="n">
        <v>46092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33875-2025</t>
        </is>
      </c>
      <c r="B688" s="1" t="n">
        <v>45842.55300925926</v>
      </c>
      <c r="C688" s="1" t="n">
        <v>46092</v>
      </c>
      <c r="D688" t="inlineStr">
        <is>
          <t>SKÅNE LÄN</t>
        </is>
      </c>
      <c r="E688" t="inlineStr">
        <is>
          <t>HÄSSLEHOLM</t>
        </is>
      </c>
      <c r="G688" t="n">
        <v>1.9</v>
      </c>
      <c r="H688" t="n">
        <v>0</v>
      </c>
      <c r="I688" t="n">
        <v>0</v>
      </c>
      <c r="J688" t="n">
        <v>0</v>
      </c>
      <c r="K688" t="n">
        <v>0</v>
      </c>
      <c r="L688" t="n">
        <v>0</v>
      </c>
      <c r="M688" t="n">
        <v>0</v>
      </c>
      <c r="N688" t="n">
        <v>0</v>
      </c>
      <c r="O688" t="n">
        <v>0</v>
      </c>
      <c r="P688" t="n">
        <v>0</v>
      </c>
      <c r="Q688" t="n">
        <v>0</v>
      </c>
      <c r="R688" s="2" t="inlineStr"/>
    </row>
    <row r="689" ht="15" customHeight="1">
      <c r="A689" t="inlineStr">
        <is>
          <t>A 52235-2021</t>
        </is>
      </c>
      <c r="B689" s="1" t="n">
        <v>44463.60085648148</v>
      </c>
      <c r="C689" s="1" t="n">
        <v>46092</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53424-2025</t>
        </is>
      </c>
      <c r="B690" s="1" t="n">
        <v>45959</v>
      </c>
      <c r="C690" s="1" t="n">
        <v>46092</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33877-2025</t>
        </is>
      </c>
      <c r="B691" s="1" t="n">
        <v>45842.55564814815</v>
      </c>
      <c r="C691" s="1" t="n">
        <v>46092</v>
      </c>
      <c r="D691" t="inlineStr">
        <is>
          <t>SKÅNE LÄN</t>
        </is>
      </c>
      <c r="E691" t="inlineStr">
        <is>
          <t>HÄSSLEHOLM</t>
        </is>
      </c>
      <c r="G691" t="n">
        <v>3.9</v>
      </c>
      <c r="H691" t="n">
        <v>0</v>
      </c>
      <c r="I691" t="n">
        <v>0</v>
      </c>
      <c r="J691" t="n">
        <v>0</v>
      </c>
      <c r="K691" t="n">
        <v>0</v>
      </c>
      <c r="L691" t="n">
        <v>0</v>
      </c>
      <c r="M691" t="n">
        <v>0</v>
      </c>
      <c r="N691" t="n">
        <v>0</v>
      </c>
      <c r="O691" t="n">
        <v>0</v>
      </c>
      <c r="P691" t="n">
        <v>0</v>
      </c>
      <c r="Q691" t="n">
        <v>0</v>
      </c>
      <c r="R691" s="2" t="inlineStr"/>
    </row>
    <row r="692" ht="15" customHeight="1">
      <c r="A692" t="inlineStr">
        <is>
          <t>A 33879-2025</t>
        </is>
      </c>
      <c r="B692" s="1" t="n">
        <v>45842.55766203703</v>
      </c>
      <c r="C692" s="1" t="n">
        <v>46092</v>
      </c>
      <c r="D692" t="inlineStr">
        <is>
          <t>SKÅNE LÄN</t>
        </is>
      </c>
      <c r="E692" t="inlineStr">
        <is>
          <t>HÄSSLEHOLM</t>
        </is>
      </c>
      <c r="G692" t="n">
        <v>6.1</v>
      </c>
      <c r="H692" t="n">
        <v>0</v>
      </c>
      <c r="I692" t="n">
        <v>0</v>
      </c>
      <c r="J692" t="n">
        <v>0</v>
      </c>
      <c r="K692" t="n">
        <v>0</v>
      </c>
      <c r="L692" t="n">
        <v>0</v>
      </c>
      <c r="M692" t="n">
        <v>0</v>
      </c>
      <c r="N692" t="n">
        <v>0</v>
      </c>
      <c r="O692" t="n">
        <v>0</v>
      </c>
      <c r="P692" t="n">
        <v>0</v>
      </c>
      <c r="Q692" t="n">
        <v>0</v>
      </c>
      <c r="R692" s="2" t="inlineStr"/>
    </row>
    <row r="693" ht="15" customHeight="1">
      <c r="A693" t="inlineStr">
        <is>
          <t>A 11998-2026</t>
        </is>
      </c>
      <c r="B693" s="1" t="n">
        <v>46085</v>
      </c>
      <c r="C693" s="1" t="n">
        <v>46092</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53018-2025</t>
        </is>
      </c>
      <c r="B694" s="1" t="n">
        <v>45957.90064814815</v>
      </c>
      <c r="C694" s="1" t="n">
        <v>46092</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53056-2025</t>
        </is>
      </c>
      <c r="B695" s="1" t="n">
        <v>45958.36518518518</v>
      </c>
      <c r="C695" s="1" t="n">
        <v>46092</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33948-2025</t>
        </is>
      </c>
      <c r="B696" s="1" t="n">
        <v>45842.65945601852</v>
      </c>
      <c r="C696" s="1" t="n">
        <v>46092</v>
      </c>
      <c r="D696" t="inlineStr">
        <is>
          <t>SKÅNE LÄN</t>
        </is>
      </c>
      <c r="E696" t="inlineStr">
        <is>
          <t>HÄSSLEHOLM</t>
        </is>
      </c>
      <c r="G696" t="n">
        <v>8.5</v>
      </c>
      <c r="H696" t="n">
        <v>0</v>
      </c>
      <c r="I696" t="n">
        <v>0</v>
      </c>
      <c r="J696" t="n">
        <v>0</v>
      </c>
      <c r="K696" t="n">
        <v>0</v>
      </c>
      <c r="L696" t="n">
        <v>0</v>
      </c>
      <c r="M696" t="n">
        <v>0</v>
      </c>
      <c r="N696" t="n">
        <v>0</v>
      </c>
      <c r="O696" t="n">
        <v>0</v>
      </c>
      <c r="P696" t="n">
        <v>0</v>
      </c>
      <c r="Q696" t="n">
        <v>0</v>
      </c>
      <c r="R696" s="2" t="inlineStr"/>
    </row>
    <row r="697" ht="15" customHeight="1">
      <c r="A697" t="inlineStr">
        <is>
          <t>A 22678-2025</t>
        </is>
      </c>
      <c r="B697" s="1" t="n">
        <v>45789.49725694444</v>
      </c>
      <c r="C697" s="1" t="n">
        <v>46092</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54471-2023</t>
        </is>
      </c>
      <c r="B698" s="1" t="n">
        <v>45233.4640162037</v>
      </c>
      <c r="C698" s="1" t="n">
        <v>46092</v>
      </c>
      <c r="D698" t="inlineStr">
        <is>
          <t>SKÅNE LÄN</t>
        </is>
      </c>
      <c r="E698" t="inlineStr">
        <is>
          <t>HÄSSLEHOLM</t>
        </is>
      </c>
      <c r="G698" t="n">
        <v>1.4</v>
      </c>
      <c r="H698" t="n">
        <v>0</v>
      </c>
      <c r="I698" t="n">
        <v>0</v>
      </c>
      <c r="J698" t="n">
        <v>0</v>
      </c>
      <c r="K698" t="n">
        <v>0</v>
      </c>
      <c r="L698" t="n">
        <v>0</v>
      </c>
      <c r="M698" t="n">
        <v>0</v>
      </c>
      <c r="N698" t="n">
        <v>0</v>
      </c>
      <c r="O698" t="n">
        <v>0</v>
      </c>
      <c r="P698" t="n">
        <v>0</v>
      </c>
      <c r="Q698" t="n">
        <v>0</v>
      </c>
      <c r="R698" s="2" t="inlineStr"/>
    </row>
    <row r="699" ht="15" customHeight="1">
      <c r="A699" t="inlineStr">
        <is>
          <t>A 56065-2025</t>
        </is>
      </c>
      <c r="B699" s="1" t="n">
        <v>45973</v>
      </c>
      <c r="C699" s="1" t="n">
        <v>46092</v>
      </c>
      <c r="D699" t="inlineStr">
        <is>
          <t>SKÅNE LÄN</t>
        </is>
      </c>
      <c r="E699" t="inlineStr">
        <is>
          <t>HÄSSLEHOLM</t>
        </is>
      </c>
      <c r="G699" t="n">
        <v>1.6</v>
      </c>
      <c r="H699" t="n">
        <v>0</v>
      </c>
      <c r="I699" t="n">
        <v>0</v>
      </c>
      <c r="J699" t="n">
        <v>0</v>
      </c>
      <c r="K699" t="n">
        <v>0</v>
      </c>
      <c r="L699" t="n">
        <v>0</v>
      </c>
      <c r="M699" t="n">
        <v>0</v>
      </c>
      <c r="N699" t="n">
        <v>0</v>
      </c>
      <c r="O699" t="n">
        <v>0</v>
      </c>
      <c r="P699" t="n">
        <v>0</v>
      </c>
      <c r="Q699" t="n">
        <v>0</v>
      </c>
      <c r="R699" s="2" t="inlineStr"/>
    </row>
    <row r="700" ht="15" customHeight="1">
      <c r="A700" t="inlineStr">
        <is>
          <t>A 32958-2023</t>
        </is>
      </c>
      <c r="B700" s="1" t="n">
        <v>45125.52142361111</v>
      </c>
      <c r="C700" s="1" t="n">
        <v>46092</v>
      </c>
      <c r="D700" t="inlineStr">
        <is>
          <t>SKÅNE LÄN</t>
        </is>
      </c>
      <c r="E700" t="inlineStr">
        <is>
          <t>HÄSSLEHOLM</t>
        </is>
      </c>
      <c r="G700" t="n">
        <v>7.9</v>
      </c>
      <c r="H700" t="n">
        <v>0</v>
      </c>
      <c r="I700" t="n">
        <v>0</v>
      </c>
      <c r="J700" t="n">
        <v>0</v>
      </c>
      <c r="K700" t="n">
        <v>0</v>
      </c>
      <c r="L700" t="n">
        <v>0</v>
      </c>
      <c r="M700" t="n">
        <v>0</v>
      </c>
      <c r="N700" t="n">
        <v>0</v>
      </c>
      <c r="O700" t="n">
        <v>0</v>
      </c>
      <c r="P700" t="n">
        <v>0</v>
      </c>
      <c r="Q700" t="n">
        <v>0</v>
      </c>
      <c r="R700" s="2" t="inlineStr"/>
    </row>
    <row r="701" ht="15" customHeight="1">
      <c r="A701" t="inlineStr">
        <is>
          <t>A 34174-2025</t>
        </is>
      </c>
      <c r="B701" s="1" t="n">
        <v>45844</v>
      </c>
      <c r="C701" s="1" t="n">
        <v>46092</v>
      </c>
      <c r="D701" t="inlineStr">
        <is>
          <t>SKÅNE LÄN</t>
        </is>
      </c>
      <c r="E701" t="inlineStr">
        <is>
          <t>HÄSSLEHOLM</t>
        </is>
      </c>
      <c r="G701" t="n">
        <v>4.7</v>
      </c>
      <c r="H701" t="n">
        <v>0</v>
      </c>
      <c r="I701" t="n">
        <v>0</v>
      </c>
      <c r="J701" t="n">
        <v>0</v>
      </c>
      <c r="K701" t="n">
        <v>0</v>
      </c>
      <c r="L701" t="n">
        <v>0</v>
      </c>
      <c r="M701" t="n">
        <v>0</v>
      </c>
      <c r="N701" t="n">
        <v>0</v>
      </c>
      <c r="O701" t="n">
        <v>0</v>
      </c>
      <c r="P701" t="n">
        <v>0</v>
      </c>
      <c r="Q701" t="n">
        <v>0</v>
      </c>
      <c r="R701" s="2" t="inlineStr"/>
    </row>
    <row r="702" ht="15" customHeight="1">
      <c r="A702" t="inlineStr">
        <is>
          <t>A 50607-2023</t>
        </is>
      </c>
      <c r="B702" s="1" t="n">
        <v>45210</v>
      </c>
      <c r="C702" s="1" t="n">
        <v>46092</v>
      </c>
      <c r="D702" t="inlineStr">
        <is>
          <t>SKÅNE LÄN</t>
        </is>
      </c>
      <c r="E702" t="inlineStr">
        <is>
          <t>HÄSSLEHOLM</t>
        </is>
      </c>
      <c r="G702" t="n">
        <v>1.8</v>
      </c>
      <c r="H702" t="n">
        <v>0</v>
      </c>
      <c r="I702" t="n">
        <v>0</v>
      </c>
      <c r="J702" t="n">
        <v>0</v>
      </c>
      <c r="K702" t="n">
        <v>0</v>
      </c>
      <c r="L702" t="n">
        <v>0</v>
      </c>
      <c r="M702" t="n">
        <v>0</v>
      </c>
      <c r="N702" t="n">
        <v>0</v>
      </c>
      <c r="O702" t="n">
        <v>0</v>
      </c>
      <c r="P702" t="n">
        <v>0</v>
      </c>
      <c r="Q702" t="n">
        <v>0</v>
      </c>
      <c r="R702" s="2" t="inlineStr"/>
    </row>
    <row r="703" ht="15" customHeight="1">
      <c r="A703" t="inlineStr">
        <is>
          <t>A 34177-2025</t>
        </is>
      </c>
      <c r="B703" s="1" t="n">
        <v>45844</v>
      </c>
      <c r="C703" s="1" t="n">
        <v>46092</v>
      </c>
      <c r="D703" t="inlineStr">
        <is>
          <t>SKÅNE LÄN</t>
        </is>
      </c>
      <c r="E703" t="inlineStr">
        <is>
          <t>HÄSSLEHOLM</t>
        </is>
      </c>
      <c r="G703" t="n">
        <v>3</v>
      </c>
      <c r="H703" t="n">
        <v>0</v>
      </c>
      <c r="I703" t="n">
        <v>0</v>
      </c>
      <c r="J703" t="n">
        <v>0</v>
      </c>
      <c r="K703" t="n">
        <v>0</v>
      </c>
      <c r="L703" t="n">
        <v>0</v>
      </c>
      <c r="M703" t="n">
        <v>0</v>
      </c>
      <c r="N703" t="n">
        <v>0</v>
      </c>
      <c r="O703" t="n">
        <v>0</v>
      </c>
      <c r="P703" t="n">
        <v>0</v>
      </c>
      <c r="Q703" t="n">
        <v>0</v>
      </c>
      <c r="R703" s="2" t="inlineStr"/>
    </row>
    <row r="704" ht="15" customHeight="1">
      <c r="A704" t="inlineStr">
        <is>
          <t>A 33950-2025</t>
        </is>
      </c>
      <c r="B704" s="1" t="n">
        <v>45842</v>
      </c>
      <c r="C704" s="1" t="n">
        <v>46092</v>
      </c>
      <c r="D704" t="inlineStr">
        <is>
          <t>SKÅNE LÄN</t>
        </is>
      </c>
      <c r="E704" t="inlineStr">
        <is>
          <t>HÄSSLEHOLM</t>
        </is>
      </c>
      <c r="G704" t="n">
        <v>5.7</v>
      </c>
      <c r="H704" t="n">
        <v>0</v>
      </c>
      <c r="I704" t="n">
        <v>0</v>
      </c>
      <c r="J704" t="n">
        <v>0</v>
      </c>
      <c r="K704" t="n">
        <v>0</v>
      </c>
      <c r="L704" t="n">
        <v>0</v>
      </c>
      <c r="M704" t="n">
        <v>0</v>
      </c>
      <c r="N704" t="n">
        <v>0</v>
      </c>
      <c r="O704" t="n">
        <v>0</v>
      </c>
      <c r="P704" t="n">
        <v>0</v>
      </c>
      <c r="Q704" t="n">
        <v>0</v>
      </c>
      <c r="R704" s="2" t="inlineStr"/>
    </row>
    <row r="705" ht="15" customHeight="1">
      <c r="A705" t="inlineStr">
        <is>
          <t>A 38148-2022</t>
        </is>
      </c>
      <c r="B705" s="1" t="n">
        <v>44811</v>
      </c>
      <c r="C705" s="1" t="n">
        <v>46092</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31944-2023</t>
        </is>
      </c>
      <c r="B706" s="1" t="n">
        <v>45119.34895833334</v>
      </c>
      <c r="C706" s="1" t="n">
        <v>46092</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1706-2025</t>
        </is>
      </c>
      <c r="B707" s="1" t="n">
        <v>45670</v>
      </c>
      <c r="C707" s="1" t="n">
        <v>46092</v>
      </c>
      <c r="D707" t="inlineStr">
        <is>
          <t>SKÅNE LÄN</t>
        </is>
      </c>
      <c r="E707" t="inlineStr">
        <is>
          <t>HÄSSLEHOLM</t>
        </is>
      </c>
      <c r="G707" t="n">
        <v>5</v>
      </c>
      <c r="H707" t="n">
        <v>0</v>
      </c>
      <c r="I707" t="n">
        <v>0</v>
      </c>
      <c r="J707" t="n">
        <v>0</v>
      </c>
      <c r="K707" t="n">
        <v>0</v>
      </c>
      <c r="L707" t="n">
        <v>0</v>
      </c>
      <c r="M707" t="n">
        <v>0</v>
      </c>
      <c r="N707" t="n">
        <v>0</v>
      </c>
      <c r="O707" t="n">
        <v>0</v>
      </c>
      <c r="P707" t="n">
        <v>0</v>
      </c>
      <c r="Q707" t="n">
        <v>0</v>
      </c>
      <c r="R707" s="2" t="inlineStr"/>
    </row>
    <row r="708" ht="15" customHeight="1">
      <c r="A708" t="inlineStr">
        <is>
          <t>A 55056-2021</t>
        </is>
      </c>
      <c r="B708" s="1" t="n">
        <v>44474.62072916667</v>
      </c>
      <c r="C708" s="1" t="n">
        <v>46092</v>
      </c>
      <c r="D708" t="inlineStr">
        <is>
          <t>SKÅNE LÄN</t>
        </is>
      </c>
      <c r="E708" t="inlineStr">
        <is>
          <t>HÄSSLEHOLM</t>
        </is>
      </c>
      <c r="G708" t="n">
        <v>2.5</v>
      </c>
      <c r="H708" t="n">
        <v>0</v>
      </c>
      <c r="I708" t="n">
        <v>0</v>
      </c>
      <c r="J708" t="n">
        <v>0</v>
      </c>
      <c r="K708" t="n">
        <v>0</v>
      </c>
      <c r="L708" t="n">
        <v>0</v>
      </c>
      <c r="M708" t="n">
        <v>0</v>
      </c>
      <c r="N708" t="n">
        <v>0</v>
      </c>
      <c r="O708" t="n">
        <v>0</v>
      </c>
      <c r="P708" t="n">
        <v>0</v>
      </c>
      <c r="Q708" t="n">
        <v>0</v>
      </c>
      <c r="R708" s="2" t="inlineStr"/>
    </row>
    <row r="709" ht="15" customHeight="1">
      <c r="A709" t="inlineStr">
        <is>
          <t>A 54807-2025</t>
        </is>
      </c>
      <c r="B709" s="1" t="n">
        <v>45966</v>
      </c>
      <c r="C709" s="1" t="n">
        <v>46092</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13544-2025</t>
        </is>
      </c>
      <c r="B710" s="1" t="n">
        <v>45736</v>
      </c>
      <c r="C710" s="1" t="n">
        <v>46092</v>
      </c>
      <c r="D710" t="inlineStr">
        <is>
          <t>SKÅNE LÄN</t>
        </is>
      </c>
      <c r="E710" t="inlineStr">
        <is>
          <t>HÄSSLEHOLM</t>
        </is>
      </c>
      <c r="G710" t="n">
        <v>2.5</v>
      </c>
      <c r="H710" t="n">
        <v>0</v>
      </c>
      <c r="I710" t="n">
        <v>0</v>
      </c>
      <c r="J710" t="n">
        <v>0</v>
      </c>
      <c r="K710" t="n">
        <v>0</v>
      </c>
      <c r="L710" t="n">
        <v>0</v>
      </c>
      <c r="M710" t="n">
        <v>0</v>
      </c>
      <c r="N710" t="n">
        <v>0</v>
      </c>
      <c r="O710" t="n">
        <v>0</v>
      </c>
      <c r="P710" t="n">
        <v>0</v>
      </c>
      <c r="Q710" t="n">
        <v>0</v>
      </c>
      <c r="R710" s="2" t="inlineStr"/>
    </row>
    <row r="711" ht="15" customHeight="1">
      <c r="A711" t="inlineStr">
        <is>
          <t>A 47161-2025</t>
        </is>
      </c>
      <c r="B711" s="1" t="n">
        <v>45929</v>
      </c>
      <c r="C711" s="1" t="n">
        <v>46092</v>
      </c>
      <c r="D711" t="inlineStr">
        <is>
          <t>SKÅNE LÄN</t>
        </is>
      </c>
      <c r="E711" t="inlineStr">
        <is>
          <t>HÄSSLEHOLM</t>
        </is>
      </c>
      <c r="G711" t="n">
        <v>0.9</v>
      </c>
      <c r="H711" t="n">
        <v>0</v>
      </c>
      <c r="I711" t="n">
        <v>0</v>
      </c>
      <c r="J711" t="n">
        <v>0</v>
      </c>
      <c r="K711" t="n">
        <v>0</v>
      </c>
      <c r="L711" t="n">
        <v>0</v>
      </c>
      <c r="M711" t="n">
        <v>0</v>
      </c>
      <c r="N711" t="n">
        <v>0</v>
      </c>
      <c r="O711" t="n">
        <v>0</v>
      </c>
      <c r="P711" t="n">
        <v>0</v>
      </c>
      <c r="Q711" t="n">
        <v>0</v>
      </c>
      <c r="R711" s="2" t="inlineStr"/>
    </row>
    <row r="712" ht="15" customHeight="1">
      <c r="A712" t="inlineStr">
        <is>
          <t>A 8755-2024</t>
        </is>
      </c>
      <c r="B712" s="1" t="n">
        <v>45356</v>
      </c>
      <c r="C712" s="1" t="n">
        <v>46092</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8760-2024</t>
        </is>
      </c>
      <c r="B713" s="1" t="n">
        <v>45356.53420138889</v>
      </c>
      <c r="C713" s="1" t="n">
        <v>46092</v>
      </c>
      <c r="D713" t="inlineStr">
        <is>
          <t>SKÅNE LÄN</t>
        </is>
      </c>
      <c r="E713" t="inlineStr">
        <is>
          <t>HÄSSLEHOLM</t>
        </is>
      </c>
      <c r="G713" t="n">
        <v>6.1</v>
      </c>
      <c r="H713" t="n">
        <v>0</v>
      </c>
      <c r="I713" t="n">
        <v>0</v>
      </c>
      <c r="J713" t="n">
        <v>0</v>
      </c>
      <c r="K713" t="n">
        <v>0</v>
      </c>
      <c r="L713" t="n">
        <v>0</v>
      </c>
      <c r="M713" t="n">
        <v>0</v>
      </c>
      <c r="N713" t="n">
        <v>0</v>
      </c>
      <c r="O713" t="n">
        <v>0</v>
      </c>
      <c r="P713" t="n">
        <v>0</v>
      </c>
      <c r="Q713" t="n">
        <v>0</v>
      </c>
      <c r="R713" s="2" t="inlineStr"/>
    </row>
    <row r="714" ht="15" customHeight="1">
      <c r="A714" t="inlineStr">
        <is>
          <t>A 34869-2025</t>
        </is>
      </c>
      <c r="B714" s="1" t="n">
        <v>45849</v>
      </c>
      <c r="C714" s="1" t="n">
        <v>46092</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33257-2024</t>
        </is>
      </c>
      <c r="B715" s="1" t="n">
        <v>45518</v>
      </c>
      <c r="C715" s="1" t="n">
        <v>46092</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54771-2025</t>
        </is>
      </c>
      <c r="B716" s="1" t="n">
        <v>45966.60829861111</v>
      </c>
      <c r="C716" s="1" t="n">
        <v>46092</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54664-2025</t>
        </is>
      </c>
      <c r="B717" s="1" t="n">
        <v>45966.40738425926</v>
      </c>
      <c r="C717" s="1" t="n">
        <v>46092</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54763-2025</t>
        </is>
      </c>
      <c r="B718" s="1" t="n">
        <v>45966.60167824074</v>
      </c>
      <c r="C718" s="1" t="n">
        <v>46092</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12493-2026</t>
        </is>
      </c>
      <c r="B719" s="1" t="n">
        <v>46090</v>
      </c>
      <c r="C719" s="1" t="n">
        <v>46092</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24865-2024</t>
        </is>
      </c>
      <c r="B720" s="1" t="n">
        <v>45461.48974537037</v>
      </c>
      <c r="C720" s="1" t="n">
        <v>46092</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27297-2023</t>
        </is>
      </c>
      <c r="B721" s="1" t="n">
        <v>45096</v>
      </c>
      <c r="C721" s="1" t="n">
        <v>46092</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20970-2025</t>
        </is>
      </c>
      <c r="B722" s="1" t="n">
        <v>45777.45417824074</v>
      </c>
      <c r="C722" s="1" t="n">
        <v>46092</v>
      </c>
      <c r="D722" t="inlineStr">
        <is>
          <t>SKÅNE LÄN</t>
        </is>
      </c>
      <c r="E722" t="inlineStr">
        <is>
          <t>HÄSSLEHOLM</t>
        </is>
      </c>
      <c r="G722" t="n">
        <v>2.2</v>
      </c>
      <c r="H722" t="n">
        <v>0</v>
      </c>
      <c r="I722" t="n">
        <v>0</v>
      </c>
      <c r="J722" t="n">
        <v>0</v>
      </c>
      <c r="K722" t="n">
        <v>0</v>
      </c>
      <c r="L722" t="n">
        <v>0</v>
      </c>
      <c r="M722" t="n">
        <v>0</v>
      </c>
      <c r="N722" t="n">
        <v>0</v>
      </c>
      <c r="O722" t="n">
        <v>0</v>
      </c>
      <c r="P722" t="n">
        <v>0</v>
      </c>
      <c r="Q722" t="n">
        <v>0</v>
      </c>
      <c r="R722" s="2" t="inlineStr"/>
    </row>
    <row r="723" ht="15" customHeight="1">
      <c r="A723" t="inlineStr">
        <is>
          <t>A 58272-2024</t>
        </is>
      </c>
      <c r="B723" s="1" t="n">
        <v>45632.57025462963</v>
      </c>
      <c r="C723" s="1" t="n">
        <v>46092</v>
      </c>
      <c r="D723" t="inlineStr">
        <is>
          <t>SKÅNE LÄN</t>
        </is>
      </c>
      <c r="E723" t="inlineStr">
        <is>
          <t>HÄSSLEHOLM</t>
        </is>
      </c>
      <c r="G723" t="n">
        <v>2.3</v>
      </c>
      <c r="H723" t="n">
        <v>0</v>
      </c>
      <c r="I723" t="n">
        <v>0</v>
      </c>
      <c r="J723" t="n">
        <v>0</v>
      </c>
      <c r="K723" t="n">
        <v>0</v>
      </c>
      <c r="L723" t="n">
        <v>0</v>
      </c>
      <c r="M723" t="n">
        <v>0</v>
      </c>
      <c r="N723" t="n">
        <v>0</v>
      </c>
      <c r="O723" t="n">
        <v>0</v>
      </c>
      <c r="P723" t="n">
        <v>0</v>
      </c>
      <c r="Q723" t="n">
        <v>0</v>
      </c>
      <c r="R723" s="2" t="inlineStr"/>
    </row>
    <row r="724" ht="15" customHeight="1">
      <c r="A724" t="inlineStr">
        <is>
          <t>A 18580-2023</t>
        </is>
      </c>
      <c r="B724" s="1" t="n">
        <v>45043.37037037037</v>
      </c>
      <c r="C724" s="1" t="n">
        <v>46092</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35259-2025</t>
        </is>
      </c>
      <c r="B725" s="1" t="n">
        <v>45853.76912037037</v>
      </c>
      <c r="C725" s="1" t="n">
        <v>46092</v>
      </c>
      <c r="D725" t="inlineStr">
        <is>
          <t>SKÅNE LÄN</t>
        </is>
      </c>
      <c r="E725" t="inlineStr">
        <is>
          <t>HÄSSLEHOLM</t>
        </is>
      </c>
      <c r="G725" t="n">
        <v>1.9</v>
      </c>
      <c r="H725" t="n">
        <v>0</v>
      </c>
      <c r="I725" t="n">
        <v>0</v>
      </c>
      <c r="J725" t="n">
        <v>0</v>
      </c>
      <c r="K725" t="n">
        <v>0</v>
      </c>
      <c r="L725" t="n">
        <v>0</v>
      </c>
      <c r="M725" t="n">
        <v>0</v>
      </c>
      <c r="N725" t="n">
        <v>0</v>
      </c>
      <c r="O725" t="n">
        <v>0</v>
      </c>
      <c r="P725" t="n">
        <v>0</v>
      </c>
      <c r="Q725" t="n">
        <v>0</v>
      </c>
      <c r="R725" s="2" t="inlineStr"/>
    </row>
    <row r="726" ht="15" customHeight="1">
      <c r="A726" t="inlineStr">
        <is>
          <t>A 54668-2025</t>
        </is>
      </c>
      <c r="B726" s="1" t="n">
        <v>45966.40803240741</v>
      </c>
      <c r="C726" s="1" t="n">
        <v>46092</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17413-2025</t>
        </is>
      </c>
      <c r="B727" s="1" t="n">
        <v>45757.37480324074</v>
      </c>
      <c r="C727" s="1" t="n">
        <v>46092</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9747-2024</t>
        </is>
      </c>
      <c r="B728" s="1" t="n">
        <v>45362</v>
      </c>
      <c r="C728" s="1" t="n">
        <v>46092</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9611-2025</t>
        </is>
      </c>
      <c r="B729" s="1" t="n">
        <v>45715</v>
      </c>
      <c r="C729" s="1" t="n">
        <v>46092</v>
      </c>
      <c r="D729" t="inlineStr">
        <is>
          <t>SKÅNE LÄN</t>
        </is>
      </c>
      <c r="E729" t="inlineStr">
        <is>
          <t>HÄSSLEHOLM</t>
        </is>
      </c>
      <c r="G729" t="n">
        <v>2.1</v>
      </c>
      <c r="H729" t="n">
        <v>0</v>
      </c>
      <c r="I729" t="n">
        <v>0</v>
      </c>
      <c r="J729" t="n">
        <v>0</v>
      </c>
      <c r="K729" t="n">
        <v>0</v>
      </c>
      <c r="L729" t="n">
        <v>0</v>
      </c>
      <c r="M729" t="n">
        <v>0</v>
      </c>
      <c r="N729" t="n">
        <v>0</v>
      </c>
      <c r="O729" t="n">
        <v>0</v>
      </c>
      <c r="P729" t="n">
        <v>0</v>
      </c>
      <c r="Q729" t="n">
        <v>0</v>
      </c>
      <c r="R729" s="2" t="inlineStr"/>
    </row>
    <row r="730" ht="15" customHeight="1">
      <c r="A730" t="inlineStr">
        <is>
          <t>A 24906-2022</t>
        </is>
      </c>
      <c r="B730" s="1" t="n">
        <v>44728</v>
      </c>
      <c r="C730" s="1" t="n">
        <v>46092</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3890-2024</t>
        </is>
      </c>
      <c r="B731" s="1" t="n">
        <v>45322.45366898148</v>
      </c>
      <c r="C731" s="1" t="n">
        <v>46092</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15800-2025</t>
        </is>
      </c>
      <c r="B732" s="1" t="n">
        <v>45748.64831018518</v>
      </c>
      <c r="C732" s="1" t="n">
        <v>46092</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55268-2025</t>
        </is>
      </c>
      <c r="B733" s="1" t="n">
        <v>45968.6715625</v>
      </c>
      <c r="C733" s="1" t="n">
        <v>46092</v>
      </c>
      <c r="D733" t="inlineStr">
        <is>
          <t>SKÅNE LÄN</t>
        </is>
      </c>
      <c r="E733" t="inlineStr">
        <is>
          <t>HÄSSLEHOLM</t>
        </is>
      </c>
      <c r="G733" t="n">
        <v>2.8</v>
      </c>
      <c r="H733" t="n">
        <v>0</v>
      </c>
      <c r="I733" t="n">
        <v>0</v>
      </c>
      <c r="J733" t="n">
        <v>0</v>
      </c>
      <c r="K733" t="n">
        <v>0</v>
      </c>
      <c r="L733" t="n">
        <v>0</v>
      </c>
      <c r="M733" t="n">
        <v>0</v>
      </c>
      <c r="N733" t="n">
        <v>0</v>
      </c>
      <c r="O733" t="n">
        <v>0</v>
      </c>
      <c r="P733" t="n">
        <v>0</v>
      </c>
      <c r="Q733" t="n">
        <v>0</v>
      </c>
      <c r="R733" s="2" t="inlineStr"/>
    </row>
    <row r="734" ht="15" customHeight="1">
      <c r="A734" t="inlineStr">
        <is>
          <t>A 55549-2025</t>
        </is>
      </c>
      <c r="B734" s="1" t="n">
        <v>45971.63805555556</v>
      </c>
      <c r="C734" s="1" t="n">
        <v>46092</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36259-2025</t>
        </is>
      </c>
      <c r="B735" s="1" t="n">
        <v>45867.59799768519</v>
      </c>
      <c r="C735" s="1" t="n">
        <v>46092</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13897-2024</t>
        </is>
      </c>
      <c r="B736" s="1" t="n">
        <v>45391</v>
      </c>
      <c r="C736" s="1" t="n">
        <v>46092</v>
      </c>
      <c r="D736" t="inlineStr">
        <is>
          <t>SKÅNE LÄN</t>
        </is>
      </c>
      <c r="E736" t="inlineStr">
        <is>
          <t>HÄSSLEHOLM</t>
        </is>
      </c>
      <c r="F736" t="inlineStr">
        <is>
          <t>Kommuner</t>
        </is>
      </c>
      <c r="G736" t="n">
        <v>4</v>
      </c>
      <c r="H736" t="n">
        <v>0</v>
      </c>
      <c r="I736" t="n">
        <v>0</v>
      </c>
      <c r="J736" t="n">
        <v>0</v>
      </c>
      <c r="K736" t="n">
        <v>0</v>
      </c>
      <c r="L736" t="n">
        <v>0</v>
      </c>
      <c r="M736" t="n">
        <v>0</v>
      </c>
      <c r="N736" t="n">
        <v>0</v>
      </c>
      <c r="O736" t="n">
        <v>0</v>
      </c>
      <c r="P736" t="n">
        <v>0</v>
      </c>
      <c r="Q736" t="n">
        <v>0</v>
      </c>
      <c r="R736" s="2" t="inlineStr"/>
    </row>
    <row r="737" ht="15" customHeight="1">
      <c r="A737" t="inlineStr">
        <is>
          <t>A 56355-2023</t>
        </is>
      </c>
      <c r="B737" s="1" t="n">
        <v>45243.3702662037</v>
      </c>
      <c r="C737" s="1" t="n">
        <v>46092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36130-2025</t>
        </is>
      </c>
      <c r="B738" s="1" t="n">
        <v>45866.62273148148</v>
      </c>
      <c r="C738" s="1" t="n">
        <v>46092</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5103-2026</t>
        </is>
      </c>
      <c r="B739" s="1" t="n">
        <v>46049.56725694444</v>
      </c>
      <c r="C739" s="1" t="n">
        <v>46092</v>
      </c>
      <c r="D739" t="inlineStr">
        <is>
          <t>SKÅNE LÄN</t>
        </is>
      </c>
      <c r="E739" t="inlineStr">
        <is>
          <t>HÄSSLEHOLM</t>
        </is>
      </c>
      <c r="G739" t="n">
        <v>5.4</v>
      </c>
      <c r="H739" t="n">
        <v>0</v>
      </c>
      <c r="I739" t="n">
        <v>0</v>
      </c>
      <c r="J739" t="n">
        <v>0</v>
      </c>
      <c r="K739" t="n">
        <v>0</v>
      </c>
      <c r="L739" t="n">
        <v>0</v>
      </c>
      <c r="M739" t="n">
        <v>0</v>
      </c>
      <c r="N739" t="n">
        <v>0</v>
      </c>
      <c r="O739" t="n">
        <v>0</v>
      </c>
      <c r="P739" t="n">
        <v>0</v>
      </c>
      <c r="Q739" t="n">
        <v>0</v>
      </c>
      <c r="R739" s="2" t="inlineStr"/>
    </row>
    <row r="740" ht="15" customHeight="1">
      <c r="A740" t="inlineStr">
        <is>
          <t>A 19666-2025</t>
        </is>
      </c>
      <c r="B740" s="1" t="n">
        <v>45770.69326388889</v>
      </c>
      <c r="C740" s="1" t="n">
        <v>46092</v>
      </c>
      <c r="D740" t="inlineStr">
        <is>
          <t>SKÅNE LÄN</t>
        </is>
      </c>
      <c r="E740" t="inlineStr">
        <is>
          <t>HÄSSLEHOLM</t>
        </is>
      </c>
      <c r="G740" t="n">
        <v>2.4</v>
      </c>
      <c r="H740" t="n">
        <v>0</v>
      </c>
      <c r="I740" t="n">
        <v>0</v>
      </c>
      <c r="J740" t="n">
        <v>0</v>
      </c>
      <c r="K740" t="n">
        <v>0</v>
      </c>
      <c r="L740" t="n">
        <v>0</v>
      </c>
      <c r="M740" t="n">
        <v>0</v>
      </c>
      <c r="N740" t="n">
        <v>0</v>
      </c>
      <c r="O740" t="n">
        <v>0</v>
      </c>
      <c r="P740" t="n">
        <v>0</v>
      </c>
      <c r="Q740" t="n">
        <v>0</v>
      </c>
      <c r="R740" s="2" t="inlineStr"/>
    </row>
    <row r="741" ht="15" customHeight="1">
      <c r="A741" t="inlineStr">
        <is>
          <t>A 36359-2025</t>
        </is>
      </c>
      <c r="B741" s="1" t="n">
        <v>45867</v>
      </c>
      <c r="C741" s="1" t="n">
        <v>46092</v>
      </c>
      <c r="D741" t="inlineStr">
        <is>
          <t>SKÅNE LÄN</t>
        </is>
      </c>
      <c r="E741" t="inlineStr">
        <is>
          <t>HÄSSLEHOLM</t>
        </is>
      </c>
      <c r="G741" t="n">
        <v>2.2</v>
      </c>
      <c r="H741" t="n">
        <v>0</v>
      </c>
      <c r="I741" t="n">
        <v>0</v>
      </c>
      <c r="J741" t="n">
        <v>0</v>
      </c>
      <c r="K741" t="n">
        <v>0</v>
      </c>
      <c r="L741" t="n">
        <v>0</v>
      </c>
      <c r="M741" t="n">
        <v>0</v>
      </c>
      <c r="N741" t="n">
        <v>0</v>
      </c>
      <c r="O741" t="n">
        <v>0</v>
      </c>
      <c r="P741" t="n">
        <v>0</v>
      </c>
      <c r="Q741" t="n">
        <v>0</v>
      </c>
      <c r="R741" s="2" t="inlineStr"/>
    </row>
    <row r="742" ht="15" customHeight="1">
      <c r="A742" t="inlineStr">
        <is>
          <t>A 36361-2025</t>
        </is>
      </c>
      <c r="B742" s="1" t="n">
        <v>45867</v>
      </c>
      <c r="C742" s="1" t="n">
        <v>46092</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36085-2025</t>
        </is>
      </c>
      <c r="B743" s="1" t="n">
        <v>45866.46190972222</v>
      </c>
      <c r="C743" s="1" t="n">
        <v>46092</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59246-2024</t>
        </is>
      </c>
      <c r="B744" s="1" t="n">
        <v>45636</v>
      </c>
      <c r="C744" s="1" t="n">
        <v>46092</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20800-2023</t>
        </is>
      </c>
      <c r="B745" s="1" t="n">
        <v>45058.61640046296</v>
      </c>
      <c r="C745" s="1" t="n">
        <v>46092</v>
      </c>
      <c r="D745" t="inlineStr">
        <is>
          <t>SKÅNE LÄN</t>
        </is>
      </c>
      <c r="E745" t="inlineStr">
        <is>
          <t>HÄSSLEHOLM</t>
        </is>
      </c>
      <c r="G745" t="n">
        <v>0.4</v>
      </c>
      <c r="H745" t="n">
        <v>0</v>
      </c>
      <c r="I745" t="n">
        <v>0</v>
      </c>
      <c r="J745" t="n">
        <v>0</v>
      </c>
      <c r="K745" t="n">
        <v>0</v>
      </c>
      <c r="L745" t="n">
        <v>0</v>
      </c>
      <c r="M745" t="n">
        <v>0</v>
      </c>
      <c r="N745" t="n">
        <v>0</v>
      </c>
      <c r="O745" t="n">
        <v>0</v>
      </c>
      <c r="P745" t="n">
        <v>0</v>
      </c>
      <c r="Q745" t="n">
        <v>0</v>
      </c>
      <c r="R745" s="2" t="inlineStr"/>
    </row>
    <row r="746" ht="15" customHeight="1">
      <c r="A746" t="inlineStr">
        <is>
          <t>A 11019-2025</t>
        </is>
      </c>
      <c r="B746" s="1" t="n">
        <v>45723</v>
      </c>
      <c r="C746" s="1" t="n">
        <v>46092</v>
      </c>
      <c r="D746" t="inlineStr">
        <is>
          <t>SKÅNE LÄN</t>
        </is>
      </c>
      <c r="E746" t="inlineStr">
        <is>
          <t>HÄSSLEHOLM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36358-2025</t>
        </is>
      </c>
      <c r="B747" s="1" t="n">
        <v>45867</v>
      </c>
      <c r="C747" s="1" t="n">
        <v>46092</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4981-2026</t>
        </is>
      </c>
      <c r="B748" s="1" t="n">
        <v>46049.37100694444</v>
      </c>
      <c r="C748" s="1" t="n">
        <v>46092</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4994-2026</t>
        </is>
      </c>
      <c r="B749" s="1" t="n">
        <v>46049</v>
      </c>
      <c r="C749" s="1" t="n">
        <v>46092</v>
      </c>
      <c r="D749" t="inlineStr">
        <is>
          <t>SKÅNE LÄN</t>
        </is>
      </c>
      <c r="E749" t="inlineStr">
        <is>
          <t>HÄSSLEHOLM</t>
        </is>
      </c>
      <c r="G749" t="n">
        <v>2.4</v>
      </c>
      <c r="H749" t="n">
        <v>0</v>
      </c>
      <c r="I749" t="n">
        <v>0</v>
      </c>
      <c r="J749" t="n">
        <v>0</v>
      </c>
      <c r="K749" t="n">
        <v>0</v>
      </c>
      <c r="L749" t="n">
        <v>0</v>
      </c>
      <c r="M749" t="n">
        <v>0</v>
      </c>
      <c r="N749" t="n">
        <v>0</v>
      </c>
      <c r="O749" t="n">
        <v>0</v>
      </c>
      <c r="P749" t="n">
        <v>0</v>
      </c>
      <c r="Q749" t="n">
        <v>0</v>
      </c>
      <c r="R749" s="2" t="inlineStr"/>
    </row>
    <row r="750" ht="15" customHeight="1">
      <c r="A750" t="inlineStr">
        <is>
          <t>A 11681-2023</t>
        </is>
      </c>
      <c r="B750" s="1" t="n">
        <v>44992</v>
      </c>
      <c r="C750" s="1" t="n">
        <v>46092</v>
      </c>
      <c r="D750" t="inlineStr">
        <is>
          <t>SKÅNE LÄN</t>
        </is>
      </c>
      <c r="E750" t="inlineStr">
        <is>
          <t>HÄSSLEHOLM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33927-2021</t>
        </is>
      </c>
      <c r="B751" s="1" t="n">
        <v>44378</v>
      </c>
      <c r="C751" s="1" t="n">
        <v>46092</v>
      </c>
      <c r="D751" t="inlineStr">
        <is>
          <t>SKÅNE LÄN</t>
        </is>
      </c>
      <c r="E751" t="inlineStr">
        <is>
          <t>HÄSSLEHOLM</t>
        </is>
      </c>
      <c r="G751" t="n">
        <v>16.7</v>
      </c>
      <c r="H751" t="n">
        <v>0</v>
      </c>
      <c r="I751" t="n">
        <v>0</v>
      </c>
      <c r="J751" t="n">
        <v>0</v>
      </c>
      <c r="K751" t="n">
        <v>0</v>
      </c>
      <c r="L751" t="n">
        <v>0</v>
      </c>
      <c r="M751" t="n">
        <v>0</v>
      </c>
      <c r="N751" t="n">
        <v>0</v>
      </c>
      <c r="O751" t="n">
        <v>0</v>
      </c>
      <c r="P751" t="n">
        <v>0</v>
      </c>
      <c r="Q751" t="n">
        <v>0</v>
      </c>
      <c r="R751" s="2" t="inlineStr"/>
    </row>
    <row r="752" ht="15" customHeight="1">
      <c r="A752" t="inlineStr">
        <is>
          <t>A 7305-2025</t>
        </is>
      </c>
      <c r="B752" s="1" t="n">
        <v>45702</v>
      </c>
      <c r="C752" s="1" t="n">
        <v>46092</v>
      </c>
      <c r="D752" t="inlineStr">
        <is>
          <t>SKÅNE LÄN</t>
        </is>
      </c>
      <c r="E752" t="inlineStr">
        <is>
          <t>HÄSSLEHOLM</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5116-2023</t>
        </is>
      </c>
      <c r="B753" s="1" t="n">
        <v>44958.67546296296</v>
      </c>
      <c r="C753" s="1" t="n">
        <v>46092</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42364-2023</t>
        </is>
      </c>
      <c r="B754" s="1" t="n">
        <v>45180.54754629629</v>
      </c>
      <c r="C754" s="1" t="n">
        <v>46092</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54408-2024</t>
        </is>
      </c>
      <c r="B755" s="1" t="n">
        <v>45617.47263888889</v>
      </c>
      <c r="C755" s="1" t="n">
        <v>46092</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5780-2024</t>
        </is>
      </c>
      <c r="B756" s="1" t="n">
        <v>45335.41983796296</v>
      </c>
      <c r="C756" s="1" t="n">
        <v>46092</v>
      </c>
      <c r="D756" t="inlineStr">
        <is>
          <t>SKÅNE LÄN</t>
        </is>
      </c>
      <c r="E756" t="inlineStr">
        <is>
          <t>HÄSSLEHOLM</t>
        </is>
      </c>
      <c r="G756" t="n">
        <v>2.5</v>
      </c>
      <c r="H756" t="n">
        <v>0</v>
      </c>
      <c r="I756" t="n">
        <v>0</v>
      </c>
      <c r="J756" t="n">
        <v>0</v>
      </c>
      <c r="K756" t="n">
        <v>0</v>
      </c>
      <c r="L756" t="n">
        <v>0</v>
      </c>
      <c r="M756" t="n">
        <v>0</v>
      </c>
      <c r="N756" t="n">
        <v>0</v>
      </c>
      <c r="O756" t="n">
        <v>0</v>
      </c>
      <c r="P756" t="n">
        <v>0</v>
      </c>
      <c r="Q756" t="n">
        <v>0</v>
      </c>
      <c r="R756" s="2" t="inlineStr"/>
    </row>
    <row r="757" ht="15" customHeight="1">
      <c r="A757" t="inlineStr">
        <is>
          <t>A 8209-2025</t>
        </is>
      </c>
      <c r="B757" s="1" t="n">
        <v>45708.44244212963</v>
      </c>
      <c r="C757" s="1" t="n">
        <v>46092</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7481-2023</t>
        </is>
      </c>
      <c r="B758" s="1" t="n">
        <v>44971</v>
      </c>
      <c r="C758" s="1" t="n">
        <v>46092</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59728-2022</t>
        </is>
      </c>
      <c r="B759" s="1" t="n">
        <v>44900</v>
      </c>
      <c r="C759" s="1" t="n">
        <v>46092</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23683-2023</t>
        </is>
      </c>
      <c r="B760" s="1" t="n">
        <v>45077</v>
      </c>
      <c r="C760" s="1" t="n">
        <v>46092</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2663-2023</t>
        </is>
      </c>
      <c r="B761" s="1" t="n">
        <v>44942</v>
      </c>
      <c r="C761" s="1" t="n">
        <v>46092</v>
      </c>
      <c r="D761" t="inlineStr">
        <is>
          <t>SKÅNE LÄN</t>
        </is>
      </c>
      <c r="E761" t="inlineStr">
        <is>
          <t>HÄSSLEHOLM</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23172-2022</t>
        </is>
      </c>
      <c r="B762" s="1" t="n">
        <v>44719</v>
      </c>
      <c r="C762" s="1" t="n">
        <v>46092</v>
      </c>
      <c r="D762" t="inlineStr">
        <is>
          <t>SKÅNE LÄN</t>
        </is>
      </c>
      <c r="E762" t="inlineStr">
        <is>
          <t>HÄSSLEHOLM</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23173-2022</t>
        </is>
      </c>
      <c r="B763" s="1" t="n">
        <v>44719.72155092593</v>
      </c>
      <c r="C763" s="1" t="n">
        <v>46092</v>
      </c>
      <c r="D763" t="inlineStr">
        <is>
          <t>SKÅNE LÄN</t>
        </is>
      </c>
      <c r="E763" t="inlineStr">
        <is>
          <t>HÄSSLEHOLM</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36938-2025</t>
        </is>
      </c>
      <c r="B764" s="1" t="n">
        <v>45874.58476851852</v>
      </c>
      <c r="C764" s="1" t="n">
        <v>46092</v>
      </c>
      <c r="D764" t="inlineStr">
        <is>
          <t>SKÅNE LÄN</t>
        </is>
      </c>
      <c r="E764" t="inlineStr">
        <is>
          <t>HÄSSLEHOLM</t>
        </is>
      </c>
      <c r="G764" t="n">
        <v>3.7</v>
      </c>
      <c r="H764" t="n">
        <v>0</v>
      </c>
      <c r="I764" t="n">
        <v>0</v>
      </c>
      <c r="J764" t="n">
        <v>0</v>
      </c>
      <c r="K764" t="n">
        <v>0</v>
      </c>
      <c r="L764" t="n">
        <v>0</v>
      </c>
      <c r="M764" t="n">
        <v>0</v>
      </c>
      <c r="N764" t="n">
        <v>0</v>
      </c>
      <c r="O764" t="n">
        <v>0</v>
      </c>
      <c r="P764" t="n">
        <v>0</v>
      </c>
      <c r="Q764" t="n">
        <v>0</v>
      </c>
      <c r="R764" s="2" t="inlineStr"/>
    </row>
    <row r="765" ht="15" customHeight="1">
      <c r="A765" t="inlineStr">
        <is>
          <t>A 17492-2025</t>
        </is>
      </c>
      <c r="B765" s="1" t="n">
        <v>45747</v>
      </c>
      <c r="C765" s="1" t="n">
        <v>46092</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37286-2025</t>
        </is>
      </c>
      <c r="B766" s="1" t="n">
        <v>45876.50116898148</v>
      </c>
      <c r="C766" s="1" t="n">
        <v>46092</v>
      </c>
      <c r="D766" t="inlineStr">
        <is>
          <t>SKÅNE LÄN</t>
        </is>
      </c>
      <c r="E766" t="inlineStr">
        <is>
          <t>HÄSSLEHOLM</t>
        </is>
      </c>
      <c r="G766" t="n">
        <v>2.9</v>
      </c>
      <c r="H766" t="n">
        <v>0</v>
      </c>
      <c r="I766" t="n">
        <v>0</v>
      </c>
      <c r="J766" t="n">
        <v>0</v>
      </c>
      <c r="K766" t="n">
        <v>0</v>
      </c>
      <c r="L766" t="n">
        <v>0</v>
      </c>
      <c r="M766" t="n">
        <v>0</v>
      </c>
      <c r="N766" t="n">
        <v>0</v>
      </c>
      <c r="O766" t="n">
        <v>0</v>
      </c>
      <c r="P766" t="n">
        <v>0</v>
      </c>
      <c r="Q766" t="n">
        <v>0</v>
      </c>
      <c r="R766" s="2" t="inlineStr"/>
    </row>
    <row r="767" ht="15" customHeight="1">
      <c r="A767" t="inlineStr">
        <is>
          <t>A 37271-2025</t>
        </is>
      </c>
      <c r="B767" s="1" t="n">
        <v>45876.47828703704</v>
      </c>
      <c r="C767" s="1" t="n">
        <v>46092</v>
      </c>
      <c r="D767" t="inlineStr">
        <is>
          <t>SKÅNE LÄN</t>
        </is>
      </c>
      <c r="E767" t="inlineStr">
        <is>
          <t>HÄSSLEHOLM</t>
        </is>
      </c>
      <c r="G767" t="n">
        <v>4.1</v>
      </c>
      <c r="H767" t="n">
        <v>0</v>
      </c>
      <c r="I767" t="n">
        <v>0</v>
      </c>
      <c r="J767" t="n">
        <v>0</v>
      </c>
      <c r="K767" t="n">
        <v>0</v>
      </c>
      <c r="L767" t="n">
        <v>0</v>
      </c>
      <c r="M767" t="n">
        <v>0</v>
      </c>
      <c r="N767" t="n">
        <v>0</v>
      </c>
      <c r="O767" t="n">
        <v>0</v>
      </c>
      <c r="P767" t="n">
        <v>0</v>
      </c>
      <c r="Q767" t="n">
        <v>0</v>
      </c>
      <c r="R767" s="2" t="inlineStr"/>
    </row>
    <row r="768" ht="15" customHeight="1">
      <c r="A768" t="inlineStr">
        <is>
          <t>A 32981-2025</t>
        </is>
      </c>
      <c r="B768" s="1" t="n">
        <v>45839.86820601852</v>
      </c>
      <c r="C768" s="1" t="n">
        <v>46092</v>
      </c>
      <c r="D768" t="inlineStr">
        <is>
          <t>SKÅNE LÄN</t>
        </is>
      </c>
      <c r="E768" t="inlineStr">
        <is>
          <t>HÄSSLEHOLM</t>
        </is>
      </c>
      <c r="G768" t="n">
        <v>2.7</v>
      </c>
      <c r="H768" t="n">
        <v>0</v>
      </c>
      <c r="I768" t="n">
        <v>0</v>
      </c>
      <c r="J768" t="n">
        <v>0</v>
      </c>
      <c r="K768" t="n">
        <v>0</v>
      </c>
      <c r="L768" t="n">
        <v>0</v>
      </c>
      <c r="M768" t="n">
        <v>0</v>
      </c>
      <c r="N768" t="n">
        <v>0</v>
      </c>
      <c r="O768" t="n">
        <v>0</v>
      </c>
      <c r="P768" t="n">
        <v>0</v>
      </c>
      <c r="Q768" t="n">
        <v>0</v>
      </c>
      <c r="R768" s="2" t="inlineStr"/>
    </row>
    <row r="769" ht="15" customHeight="1">
      <c r="A769" t="inlineStr">
        <is>
          <t>A 50664-2023</t>
        </is>
      </c>
      <c r="B769" s="1" t="n">
        <v>45217</v>
      </c>
      <c r="C769" s="1" t="n">
        <v>46092</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16862-2025</t>
        </is>
      </c>
      <c r="B770" s="1" t="n">
        <v>45751</v>
      </c>
      <c r="C770" s="1" t="n">
        <v>46092</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18109-2025</t>
        </is>
      </c>
      <c r="B771" s="1" t="n">
        <v>45761</v>
      </c>
      <c r="C771" s="1" t="n">
        <v>46092</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42428-2022</t>
        </is>
      </c>
      <c r="B772" s="1" t="n">
        <v>44831</v>
      </c>
      <c r="C772" s="1" t="n">
        <v>46092</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62171-2022</t>
        </is>
      </c>
      <c r="B773" s="1" t="n">
        <v>44915</v>
      </c>
      <c r="C773" s="1" t="n">
        <v>46092</v>
      </c>
      <c r="D773" t="inlineStr">
        <is>
          <t>SKÅNE LÄN</t>
        </is>
      </c>
      <c r="E773" t="inlineStr">
        <is>
          <t>HÄSSLEHOLM</t>
        </is>
      </c>
      <c r="F773" t="inlineStr">
        <is>
          <t>Kyrkan</t>
        </is>
      </c>
      <c r="G773" t="n">
        <v>9</v>
      </c>
      <c r="H773" t="n">
        <v>0</v>
      </c>
      <c r="I773" t="n">
        <v>0</v>
      </c>
      <c r="J773" t="n">
        <v>0</v>
      </c>
      <c r="K773" t="n">
        <v>0</v>
      </c>
      <c r="L773" t="n">
        <v>0</v>
      </c>
      <c r="M773" t="n">
        <v>0</v>
      </c>
      <c r="N773" t="n">
        <v>0</v>
      </c>
      <c r="O773" t="n">
        <v>0</v>
      </c>
      <c r="P773" t="n">
        <v>0</v>
      </c>
      <c r="Q773" t="n">
        <v>0</v>
      </c>
      <c r="R773" s="2" t="inlineStr"/>
    </row>
    <row r="774" ht="15" customHeight="1">
      <c r="A774" t="inlineStr">
        <is>
          <t>A 56956-2024</t>
        </is>
      </c>
      <c r="B774" s="1" t="n">
        <v>45626</v>
      </c>
      <c r="C774" s="1" t="n">
        <v>46092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35711-2024</t>
        </is>
      </c>
      <c r="B775" s="1" t="n">
        <v>45532</v>
      </c>
      <c r="C775" s="1" t="n">
        <v>46092</v>
      </c>
      <c r="D775" t="inlineStr">
        <is>
          <t>SKÅNE LÄN</t>
        </is>
      </c>
      <c r="E775" t="inlineStr">
        <is>
          <t>HÄSSLEHOLM</t>
        </is>
      </c>
      <c r="G775" t="n">
        <v>1.4</v>
      </c>
      <c r="H775" t="n">
        <v>0</v>
      </c>
      <c r="I775" t="n">
        <v>0</v>
      </c>
      <c r="J775" t="n">
        <v>0</v>
      </c>
      <c r="K775" t="n">
        <v>0</v>
      </c>
      <c r="L775" t="n">
        <v>0</v>
      </c>
      <c r="M775" t="n">
        <v>0</v>
      </c>
      <c r="N775" t="n">
        <v>0</v>
      </c>
      <c r="O775" t="n">
        <v>0</v>
      </c>
      <c r="P775" t="n">
        <v>0</v>
      </c>
      <c r="Q775" t="n">
        <v>0</v>
      </c>
      <c r="R775" s="2" t="inlineStr"/>
    </row>
    <row r="776" ht="15" customHeight="1">
      <c r="A776" t="inlineStr">
        <is>
          <t>A 56490-2021</t>
        </is>
      </c>
      <c r="B776" s="1" t="n">
        <v>44480</v>
      </c>
      <c r="C776" s="1" t="n">
        <v>46092</v>
      </c>
      <c r="D776" t="inlineStr">
        <is>
          <t>SKÅNE LÄN</t>
        </is>
      </c>
      <c r="E776" t="inlineStr">
        <is>
          <t>HÄSSLEHOLM</t>
        </is>
      </c>
      <c r="F776" t="inlineStr">
        <is>
          <t>Kyrkan</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61680-2022</t>
        </is>
      </c>
      <c r="B777" s="1" t="n">
        <v>44917.36372685185</v>
      </c>
      <c r="C777" s="1" t="n">
        <v>46092</v>
      </c>
      <c r="D777" t="inlineStr">
        <is>
          <t>SKÅNE LÄN</t>
        </is>
      </c>
      <c r="E777" t="inlineStr">
        <is>
          <t>HÄSSLEHOLM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61489-2024</t>
        </is>
      </c>
      <c r="B778" s="1" t="n">
        <v>45646.54875</v>
      </c>
      <c r="C778" s="1" t="n">
        <v>46092</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17699-2024</t>
        </is>
      </c>
      <c r="B779" s="1" t="n">
        <v>45418.46094907408</v>
      </c>
      <c r="C779" s="1" t="n">
        <v>46092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17702-2024</t>
        </is>
      </c>
      <c r="B780" s="1" t="n">
        <v>45418.46534722222</v>
      </c>
      <c r="C780" s="1" t="n">
        <v>46092</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6101-2022</t>
        </is>
      </c>
      <c r="B781" s="1" t="n">
        <v>44599.63016203704</v>
      </c>
      <c r="C781" s="1" t="n">
        <v>46092</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16951-2025</t>
        </is>
      </c>
      <c r="B782" s="1" t="n">
        <v>45755</v>
      </c>
      <c r="C782" s="1" t="n">
        <v>46092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16614-2025</t>
        </is>
      </c>
      <c r="B783" s="1" t="n">
        <v>45754.283125</v>
      </c>
      <c r="C783" s="1" t="n">
        <v>46092</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3888-2024</t>
        </is>
      </c>
      <c r="B784" s="1" t="n">
        <v>45322.45089120371</v>
      </c>
      <c r="C784" s="1" t="n">
        <v>46092</v>
      </c>
      <c r="D784" t="inlineStr">
        <is>
          <t>SKÅNE LÄN</t>
        </is>
      </c>
      <c r="E784" t="inlineStr">
        <is>
          <t>HÄSSLEHOLM</t>
        </is>
      </c>
      <c r="G784" t="n">
        <v>2.4</v>
      </c>
      <c r="H784" t="n">
        <v>0</v>
      </c>
      <c r="I784" t="n">
        <v>0</v>
      </c>
      <c r="J784" t="n">
        <v>0</v>
      </c>
      <c r="K784" t="n">
        <v>0</v>
      </c>
      <c r="L784" t="n">
        <v>0</v>
      </c>
      <c r="M784" t="n">
        <v>0</v>
      </c>
      <c r="N784" t="n">
        <v>0</v>
      </c>
      <c r="O784" t="n">
        <v>0</v>
      </c>
      <c r="P784" t="n">
        <v>0</v>
      </c>
      <c r="Q784" t="n">
        <v>0</v>
      </c>
      <c r="R784" s="2" t="inlineStr"/>
    </row>
    <row r="785" ht="15" customHeight="1">
      <c r="A785" t="inlineStr">
        <is>
          <t>A 3889-2024</t>
        </is>
      </c>
      <c r="B785" s="1" t="n">
        <v>45322.45234953704</v>
      </c>
      <c r="C785" s="1" t="n">
        <v>46092</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3294-2025</t>
        </is>
      </c>
      <c r="B786" s="1" t="n">
        <v>45679.64125</v>
      </c>
      <c r="C786" s="1" t="n">
        <v>46092</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9669-2025</t>
        </is>
      </c>
      <c r="B787" s="1" t="n">
        <v>45716.32921296296</v>
      </c>
      <c r="C787" s="1" t="n">
        <v>46092</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31995-2023</t>
        </is>
      </c>
      <c r="B788" s="1" t="n">
        <v>45107</v>
      </c>
      <c r="C788" s="1" t="n">
        <v>46092</v>
      </c>
      <c r="D788" t="inlineStr">
        <is>
          <t>SKÅNE LÄN</t>
        </is>
      </c>
      <c r="E788" t="inlineStr">
        <is>
          <t>HÄSSLEHOLM</t>
        </is>
      </c>
      <c r="G788" t="n">
        <v>7.3</v>
      </c>
      <c r="H788" t="n">
        <v>0</v>
      </c>
      <c r="I788" t="n">
        <v>0</v>
      </c>
      <c r="J788" t="n">
        <v>0</v>
      </c>
      <c r="K788" t="n">
        <v>0</v>
      </c>
      <c r="L788" t="n">
        <v>0</v>
      </c>
      <c r="M788" t="n">
        <v>0</v>
      </c>
      <c r="N788" t="n">
        <v>0</v>
      </c>
      <c r="O788" t="n">
        <v>0</v>
      </c>
      <c r="P788" t="n">
        <v>0</v>
      </c>
      <c r="Q788" t="n">
        <v>0</v>
      </c>
      <c r="R788" s="2" t="inlineStr"/>
    </row>
    <row r="789" ht="15" customHeight="1">
      <c r="A789" t="inlineStr">
        <is>
          <t>A 31998-2023</t>
        </is>
      </c>
      <c r="B789" s="1" t="n">
        <v>45119</v>
      </c>
      <c r="C789" s="1" t="n">
        <v>46092</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7150-2025</t>
        </is>
      </c>
      <c r="B790" s="1" t="n">
        <v>45702.38239583333</v>
      </c>
      <c r="C790" s="1" t="n">
        <v>46092</v>
      </c>
      <c r="D790" t="inlineStr">
        <is>
          <t>SKÅNE LÄN</t>
        </is>
      </c>
      <c r="E790" t="inlineStr">
        <is>
          <t>HÄSSLEHOLM</t>
        </is>
      </c>
      <c r="G790" t="n">
        <v>2.3</v>
      </c>
      <c r="H790" t="n">
        <v>0</v>
      </c>
      <c r="I790" t="n">
        <v>0</v>
      </c>
      <c r="J790" t="n">
        <v>0</v>
      </c>
      <c r="K790" t="n">
        <v>0</v>
      </c>
      <c r="L790" t="n">
        <v>0</v>
      </c>
      <c r="M790" t="n">
        <v>0</v>
      </c>
      <c r="N790" t="n">
        <v>0</v>
      </c>
      <c r="O790" t="n">
        <v>0</v>
      </c>
      <c r="P790" t="n">
        <v>0</v>
      </c>
      <c r="Q790" t="n">
        <v>0</v>
      </c>
      <c r="R790" s="2" t="inlineStr"/>
    </row>
    <row r="791" ht="15" customHeight="1">
      <c r="A791" t="inlineStr">
        <is>
          <t>A 20185-2023</t>
        </is>
      </c>
      <c r="B791" s="1" t="n">
        <v>45055.56795138889</v>
      </c>
      <c r="C791" s="1" t="n">
        <v>46092</v>
      </c>
      <c r="D791" t="inlineStr">
        <is>
          <t>SKÅNE LÄN</t>
        </is>
      </c>
      <c r="E791" t="inlineStr">
        <is>
          <t>HÄSSLEHOLM</t>
        </is>
      </c>
      <c r="G791" t="n">
        <v>3.5</v>
      </c>
      <c r="H791" t="n">
        <v>0</v>
      </c>
      <c r="I791" t="n">
        <v>0</v>
      </c>
      <c r="J791" t="n">
        <v>0</v>
      </c>
      <c r="K791" t="n">
        <v>0</v>
      </c>
      <c r="L791" t="n">
        <v>0</v>
      </c>
      <c r="M791" t="n">
        <v>0</v>
      </c>
      <c r="N791" t="n">
        <v>0</v>
      </c>
      <c r="O791" t="n">
        <v>0</v>
      </c>
      <c r="P791" t="n">
        <v>0</v>
      </c>
      <c r="Q791" t="n">
        <v>0</v>
      </c>
      <c r="R791" s="2" t="inlineStr"/>
    </row>
    <row r="792" ht="15" customHeight="1">
      <c r="A792" t="inlineStr">
        <is>
          <t>A 61170-2022</t>
        </is>
      </c>
      <c r="B792" s="1" t="n">
        <v>44915.48543981482</v>
      </c>
      <c r="C792" s="1" t="n">
        <v>46092</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34342-2021</t>
        </is>
      </c>
      <c r="B793" s="1" t="n">
        <v>44379</v>
      </c>
      <c r="C793" s="1" t="n">
        <v>46092</v>
      </c>
      <c r="D793" t="inlineStr">
        <is>
          <t>SKÅNE LÄN</t>
        </is>
      </c>
      <c r="E793" t="inlineStr">
        <is>
          <t>HÄSSLEHOLM</t>
        </is>
      </c>
      <c r="G793" t="n">
        <v>7</v>
      </c>
      <c r="H793" t="n">
        <v>0</v>
      </c>
      <c r="I793" t="n">
        <v>0</v>
      </c>
      <c r="J793" t="n">
        <v>0</v>
      </c>
      <c r="K793" t="n">
        <v>0</v>
      </c>
      <c r="L793" t="n">
        <v>0</v>
      </c>
      <c r="M793" t="n">
        <v>0</v>
      </c>
      <c r="N793" t="n">
        <v>0</v>
      </c>
      <c r="O793" t="n">
        <v>0</v>
      </c>
      <c r="P793" t="n">
        <v>0</v>
      </c>
      <c r="Q793" t="n">
        <v>0</v>
      </c>
      <c r="R793" s="2" t="inlineStr"/>
    </row>
    <row r="794" ht="15" customHeight="1">
      <c r="A794" t="inlineStr">
        <is>
          <t>A 1557-2023</t>
        </is>
      </c>
      <c r="B794" s="1" t="n">
        <v>44937</v>
      </c>
      <c r="C794" s="1" t="n">
        <v>46092</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43629-2023</t>
        </is>
      </c>
      <c r="B795" s="1" t="n">
        <v>45184</v>
      </c>
      <c r="C795" s="1" t="n">
        <v>46092</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13990-2022</t>
        </is>
      </c>
      <c r="B796" s="1" t="n">
        <v>44650</v>
      </c>
      <c r="C796" s="1" t="n">
        <v>46092</v>
      </c>
      <c r="D796" t="inlineStr">
        <is>
          <t>SKÅNE LÄN</t>
        </is>
      </c>
      <c r="E796" t="inlineStr">
        <is>
          <t>HÄSSLEHOLM</t>
        </is>
      </c>
      <c r="G796" t="n">
        <v>3.6</v>
      </c>
      <c r="H796" t="n">
        <v>0</v>
      </c>
      <c r="I796" t="n">
        <v>0</v>
      </c>
      <c r="J796" t="n">
        <v>0</v>
      </c>
      <c r="K796" t="n">
        <v>0</v>
      </c>
      <c r="L796" t="n">
        <v>0</v>
      </c>
      <c r="M796" t="n">
        <v>0</v>
      </c>
      <c r="N796" t="n">
        <v>0</v>
      </c>
      <c r="O796" t="n">
        <v>0</v>
      </c>
      <c r="P796" t="n">
        <v>0</v>
      </c>
      <c r="Q796" t="n">
        <v>0</v>
      </c>
      <c r="R796" s="2" t="inlineStr"/>
    </row>
    <row r="797" ht="15" customHeight="1">
      <c r="A797" t="inlineStr">
        <is>
          <t>A 50564-2023</t>
        </is>
      </c>
      <c r="B797" s="1" t="n">
        <v>45217.37957175926</v>
      </c>
      <c r="C797" s="1" t="n">
        <v>46092</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43061-2024</t>
        </is>
      </c>
      <c r="B798" s="1" t="n">
        <v>45567</v>
      </c>
      <c r="C798" s="1" t="n">
        <v>46092</v>
      </c>
      <c r="D798" t="inlineStr">
        <is>
          <t>SKÅNE LÄN</t>
        </is>
      </c>
      <c r="E798" t="inlineStr">
        <is>
          <t>HÄSSLEHOLM</t>
        </is>
      </c>
      <c r="G798" t="n">
        <v>4.5</v>
      </c>
      <c r="H798" t="n">
        <v>0</v>
      </c>
      <c r="I798" t="n">
        <v>0</v>
      </c>
      <c r="J798" t="n">
        <v>0</v>
      </c>
      <c r="K798" t="n">
        <v>0</v>
      </c>
      <c r="L798" t="n">
        <v>0</v>
      </c>
      <c r="M798" t="n">
        <v>0</v>
      </c>
      <c r="N798" t="n">
        <v>0</v>
      </c>
      <c r="O798" t="n">
        <v>0</v>
      </c>
      <c r="P798" t="n">
        <v>0</v>
      </c>
      <c r="Q798" t="n">
        <v>0</v>
      </c>
      <c r="R798" s="2" t="inlineStr"/>
    </row>
    <row r="799" ht="15" customHeight="1">
      <c r="A799" t="inlineStr">
        <is>
          <t>A 54171-2021</t>
        </is>
      </c>
      <c r="B799" s="1" t="n">
        <v>44470</v>
      </c>
      <c r="C799" s="1" t="n">
        <v>46092</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24640-2023</t>
        </is>
      </c>
      <c r="B800" s="1" t="n">
        <v>45084.43181712963</v>
      </c>
      <c r="C800" s="1" t="n">
        <v>46092</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51618-2024</t>
        </is>
      </c>
      <c r="B801" s="1" t="n">
        <v>45604.82615740741</v>
      </c>
      <c r="C801" s="1" t="n">
        <v>46092</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8249-2023</t>
        </is>
      </c>
      <c r="B802" s="1" t="n">
        <v>44974</v>
      </c>
      <c r="C802" s="1" t="n">
        <v>46092</v>
      </c>
      <c r="D802" t="inlineStr">
        <is>
          <t>SKÅNE LÄN</t>
        </is>
      </c>
      <c r="E802" t="inlineStr">
        <is>
          <t>HÄSSLEHOLM</t>
        </is>
      </c>
      <c r="G802" t="n">
        <v>5.8</v>
      </c>
      <c r="H802" t="n">
        <v>0</v>
      </c>
      <c r="I802" t="n">
        <v>0</v>
      </c>
      <c r="J802" t="n">
        <v>0</v>
      </c>
      <c r="K802" t="n">
        <v>0</v>
      </c>
      <c r="L802" t="n">
        <v>0</v>
      </c>
      <c r="M802" t="n">
        <v>0</v>
      </c>
      <c r="N802" t="n">
        <v>0</v>
      </c>
      <c r="O802" t="n">
        <v>0</v>
      </c>
      <c r="P802" t="n">
        <v>0</v>
      </c>
      <c r="Q802" t="n">
        <v>0</v>
      </c>
      <c r="R802" s="2" t="inlineStr"/>
    </row>
    <row r="803" ht="15" customHeight="1">
      <c r="A803" t="inlineStr">
        <is>
          <t>A 47840-2023</t>
        </is>
      </c>
      <c r="B803" s="1" t="n">
        <v>45204</v>
      </c>
      <c r="C803" s="1" t="n">
        <v>46092</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62277-2023</t>
        </is>
      </c>
      <c r="B804" s="1" t="n">
        <v>45266</v>
      </c>
      <c r="C804" s="1" t="n">
        <v>46092</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34369-2023</t>
        </is>
      </c>
      <c r="B805" s="1" t="n">
        <v>45139.47817129629</v>
      </c>
      <c r="C805" s="1" t="n">
        <v>46092</v>
      </c>
      <c r="D805" t="inlineStr">
        <is>
          <t>SKÅNE LÄN</t>
        </is>
      </c>
      <c r="E805" t="inlineStr">
        <is>
          <t>HÄSSLEHOLM</t>
        </is>
      </c>
      <c r="G805" t="n">
        <v>2</v>
      </c>
      <c r="H805" t="n">
        <v>0</v>
      </c>
      <c r="I805" t="n">
        <v>0</v>
      </c>
      <c r="J805" t="n">
        <v>0</v>
      </c>
      <c r="K805" t="n">
        <v>0</v>
      </c>
      <c r="L805" t="n">
        <v>0</v>
      </c>
      <c r="M805" t="n">
        <v>0</v>
      </c>
      <c r="N805" t="n">
        <v>0</v>
      </c>
      <c r="O805" t="n">
        <v>0</v>
      </c>
      <c r="P805" t="n">
        <v>0</v>
      </c>
      <c r="Q805" t="n">
        <v>0</v>
      </c>
      <c r="R805" s="2" t="inlineStr"/>
    </row>
    <row r="806" ht="15" customHeight="1">
      <c r="A806" t="inlineStr">
        <is>
          <t>A 34834-2023</t>
        </is>
      </c>
      <c r="B806" s="1" t="n">
        <v>45141.7199537037</v>
      </c>
      <c r="C806" s="1" t="n">
        <v>46092</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48627-2023</t>
        </is>
      </c>
      <c r="B807" s="1" t="n">
        <v>45208.57371527778</v>
      </c>
      <c r="C807" s="1" t="n">
        <v>46092</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11607-2025</t>
        </is>
      </c>
      <c r="B808" s="1" t="n">
        <v>45727</v>
      </c>
      <c r="C808" s="1" t="n">
        <v>46092</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720-2025</t>
        </is>
      </c>
      <c r="B809" s="1" t="n">
        <v>45665.3744212963</v>
      </c>
      <c r="C809" s="1" t="n">
        <v>46092</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12182-2025</t>
        </is>
      </c>
      <c r="B810" s="1" t="n">
        <v>45729</v>
      </c>
      <c r="C810" s="1" t="n">
        <v>46092</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60848-2022</t>
        </is>
      </c>
      <c r="B811" s="1" t="n">
        <v>44914</v>
      </c>
      <c r="C811" s="1" t="n">
        <v>46092</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6164-2023</t>
        </is>
      </c>
      <c r="B812" s="1" t="n">
        <v>44964.66871527778</v>
      </c>
      <c r="C812" s="1" t="n">
        <v>46092</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45392-2024</t>
        </is>
      </c>
      <c r="B813" s="1" t="n">
        <v>45576.55008101852</v>
      </c>
      <c r="C813" s="1" t="n">
        <v>46092</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16454-2023</t>
        </is>
      </c>
      <c r="B814" s="1" t="n">
        <v>45029.48425925926</v>
      </c>
      <c r="C814" s="1" t="n">
        <v>46092</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17335-2024</t>
        </is>
      </c>
      <c r="B815" s="1" t="n">
        <v>45414.5687962963</v>
      </c>
      <c r="C815" s="1" t="n">
        <v>46092</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24246-2023</t>
        </is>
      </c>
      <c r="B816" s="1" t="n">
        <v>45079</v>
      </c>
      <c r="C816" s="1" t="n">
        <v>46092</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24249-2023</t>
        </is>
      </c>
      <c r="B817" s="1" t="n">
        <v>45079.62466435185</v>
      </c>
      <c r="C817" s="1" t="n">
        <v>46092</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31989-2024</t>
        </is>
      </c>
      <c r="B818" s="1" t="n">
        <v>45510.58085648148</v>
      </c>
      <c r="C818" s="1" t="n">
        <v>46092</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1120-2024</t>
        </is>
      </c>
      <c r="B819" s="1" t="n">
        <v>45302.4452662037</v>
      </c>
      <c r="C819" s="1" t="n">
        <v>46092</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60973-2024</t>
        </is>
      </c>
      <c r="B820" s="1" t="n">
        <v>45644</v>
      </c>
      <c r="C820" s="1" t="n">
        <v>46092</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27478-2023</t>
        </is>
      </c>
      <c r="B821" s="1" t="n">
        <v>45092</v>
      </c>
      <c r="C821" s="1" t="n">
        <v>46092</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37898-2021</t>
        </is>
      </c>
      <c r="B822" s="1" t="n">
        <v>44403</v>
      </c>
      <c r="C822" s="1" t="n">
        <v>46092</v>
      </c>
      <c r="D822" t="inlineStr">
        <is>
          <t>SKÅNE LÄN</t>
        </is>
      </c>
      <c r="E822" t="inlineStr">
        <is>
          <t>HÄSSLEHOLM</t>
        </is>
      </c>
      <c r="F822" t="inlineStr">
        <is>
          <t>Kommuner</t>
        </is>
      </c>
      <c r="G822" t="n">
        <v>8.4</v>
      </c>
      <c r="H822" t="n">
        <v>0</v>
      </c>
      <c r="I822" t="n">
        <v>0</v>
      </c>
      <c r="J822" t="n">
        <v>0</v>
      </c>
      <c r="K822" t="n">
        <v>0</v>
      </c>
      <c r="L822" t="n">
        <v>0</v>
      </c>
      <c r="M822" t="n">
        <v>0</v>
      </c>
      <c r="N822" t="n">
        <v>0</v>
      </c>
      <c r="O822" t="n">
        <v>0</v>
      </c>
      <c r="P822" t="n">
        <v>0</v>
      </c>
      <c r="Q822" t="n">
        <v>0</v>
      </c>
      <c r="R822" s="2" t="inlineStr"/>
    </row>
    <row r="823" ht="15" customHeight="1">
      <c r="A823" t="inlineStr">
        <is>
          <t>A 26641-2023</t>
        </is>
      </c>
      <c r="B823" s="1" t="n">
        <v>45092.89619212963</v>
      </c>
      <c r="C823" s="1" t="n">
        <v>46092</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16397-2022</t>
        </is>
      </c>
      <c r="B824" s="1" t="n">
        <v>44671</v>
      </c>
      <c r="C824" s="1" t="n">
        <v>46092</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16398-2022</t>
        </is>
      </c>
      <c r="B825" s="1" t="n">
        <v>44671</v>
      </c>
      <c r="C825" s="1" t="n">
        <v>46092</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4512-2024</t>
        </is>
      </c>
      <c r="B826" s="1" t="n">
        <v>45327.6312962963</v>
      </c>
      <c r="C826" s="1" t="n">
        <v>46092</v>
      </c>
      <c r="D826" t="inlineStr">
        <is>
          <t>SKÅNE LÄN</t>
        </is>
      </c>
      <c r="E826" t="inlineStr">
        <is>
          <t>HÄSSLEHOLM</t>
        </is>
      </c>
      <c r="G826" t="n">
        <v>2</v>
      </c>
      <c r="H826" t="n">
        <v>0</v>
      </c>
      <c r="I826" t="n">
        <v>0</v>
      </c>
      <c r="J826" t="n">
        <v>0</v>
      </c>
      <c r="K826" t="n">
        <v>0</v>
      </c>
      <c r="L826" t="n">
        <v>0</v>
      </c>
      <c r="M826" t="n">
        <v>0</v>
      </c>
      <c r="N826" t="n">
        <v>0</v>
      </c>
      <c r="O826" t="n">
        <v>0</v>
      </c>
      <c r="P826" t="n">
        <v>0</v>
      </c>
      <c r="Q826" t="n">
        <v>0</v>
      </c>
      <c r="R826" s="2" t="inlineStr"/>
    </row>
    <row r="827" ht="15" customHeight="1">
      <c r="A827" t="inlineStr">
        <is>
          <t>A 15512-2025</t>
        </is>
      </c>
      <c r="B827" s="1" t="n">
        <v>45747</v>
      </c>
      <c r="C827" s="1" t="n">
        <v>46092</v>
      </c>
      <c r="D827" t="inlineStr">
        <is>
          <t>SKÅNE LÄN</t>
        </is>
      </c>
      <c r="E827" t="inlineStr">
        <is>
          <t>HÄSSLEHOLM</t>
        </is>
      </c>
      <c r="G827" t="n">
        <v>3.5</v>
      </c>
      <c r="H827" t="n">
        <v>0</v>
      </c>
      <c r="I827" t="n">
        <v>0</v>
      </c>
      <c r="J827" t="n">
        <v>0</v>
      </c>
      <c r="K827" t="n">
        <v>0</v>
      </c>
      <c r="L827" t="n">
        <v>0</v>
      </c>
      <c r="M827" t="n">
        <v>0</v>
      </c>
      <c r="N827" t="n">
        <v>0</v>
      </c>
      <c r="O827" t="n">
        <v>0</v>
      </c>
      <c r="P827" t="n">
        <v>0</v>
      </c>
      <c r="Q827" t="n">
        <v>0</v>
      </c>
      <c r="R827" s="2" t="inlineStr"/>
    </row>
    <row r="828" ht="15" customHeight="1">
      <c r="A828" t="inlineStr">
        <is>
          <t>A 39044-2024</t>
        </is>
      </c>
      <c r="B828" s="1" t="n">
        <v>45548.47707175926</v>
      </c>
      <c r="C828" s="1" t="n">
        <v>46092</v>
      </c>
      <c r="D828" t="inlineStr">
        <is>
          <t>SKÅNE LÄN</t>
        </is>
      </c>
      <c r="E828" t="inlineStr">
        <is>
          <t>HÄSSLEHOLM</t>
        </is>
      </c>
      <c r="G828" t="n">
        <v>2.8</v>
      </c>
      <c r="H828" t="n">
        <v>0</v>
      </c>
      <c r="I828" t="n">
        <v>0</v>
      </c>
      <c r="J828" t="n">
        <v>0</v>
      </c>
      <c r="K828" t="n">
        <v>0</v>
      </c>
      <c r="L828" t="n">
        <v>0</v>
      </c>
      <c r="M828" t="n">
        <v>0</v>
      </c>
      <c r="N828" t="n">
        <v>0</v>
      </c>
      <c r="O828" t="n">
        <v>0</v>
      </c>
      <c r="P828" t="n">
        <v>0</v>
      </c>
      <c r="Q828" t="n">
        <v>0</v>
      </c>
      <c r="R828" s="2" t="inlineStr"/>
    </row>
    <row r="829" ht="15" customHeight="1">
      <c r="A829" t="inlineStr">
        <is>
          <t>A 19020-2024</t>
        </is>
      </c>
      <c r="B829" s="1" t="n">
        <v>45427.66167824074</v>
      </c>
      <c r="C829" s="1" t="n">
        <v>46092</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40734-2024</t>
        </is>
      </c>
      <c r="B830" s="1" t="n">
        <v>45558</v>
      </c>
      <c r="C830" s="1" t="n">
        <v>46092</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40738-2024</t>
        </is>
      </c>
      <c r="B831" s="1" t="n">
        <v>45558</v>
      </c>
      <c r="C831" s="1" t="n">
        <v>46092</v>
      </c>
      <c r="D831" t="inlineStr">
        <is>
          <t>SKÅNE LÄN</t>
        </is>
      </c>
      <c r="E831" t="inlineStr">
        <is>
          <t>HÄSSLEHOLM</t>
        </is>
      </c>
      <c r="G831" t="n">
        <v>2.6</v>
      </c>
      <c r="H831" t="n">
        <v>0</v>
      </c>
      <c r="I831" t="n">
        <v>0</v>
      </c>
      <c r="J831" t="n">
        <v>0</v>
      </c>
      <c r="K831" t="n">
        <v>0</v>
      </c>
      <c r="L831" t="n">
        <v>0</v>
      </c>
      <c r="M831" t="n">
        <v>0</v>
      </c>
      <c r="N831" t="n">
        <v>0</v>
      </c>
      <c r="O831" t="n">
        <v>0</v>
      </c>
      <c r="P831" t="n">
        <v>0</v>
      </c>
      <c r="Q831" t="n">
        <v>0</v>
      </c>
      <c r="R831" s="2" t="inlineStr"/>
    </row>
    <row r="832" ht="15" customHeight="1">
      <c r="A832" t="inlineStr">
        <is>
          <t>A 49199-2024</t>
        </is>
      </c>
      <c r="B832" s="1" t="n">
        <v>45595</v>
      </c>
      <c r="C832" s="1" t="n">
        <v>46092</v>
      </c>
      <c r="D832" t="inlineStr">
        <is>
          <t>SKÅNE LÄN</t>
        </is>
      </c>
      <c r="E832" t="inlineStr">
        <is>
          <t>HÄSSLEHOLM</t>
        </is>
      </c>
      <c r="G832" t="n">
        <v>5.2</v>
      </c>
      <c r="H832" t="n">
        <v>0</v>
      </c>
      <c r="I832" t="n">
        <v>0</v>
      </c>
      <c r="J832" t="n">
        <v>0</v>
      </c>
      <c r="K832" t="n">
        <v>0</v>
      </c>
      <c r="L832" t="n">
        <v>0</v>
      </c>
      <c r="M832" t="n">
        <v>0</v>
      </c>
      <c r="N832" t="n">
        <v>0</v>
      </c>
      <c r="O832" t="n">
        <v>0</v>
      </c>
      <c r="P832" t="n">
        <v>0</v>
      </c>
      <c r="Q832" t="n">
        <v>0</v>
      </c>
      <c r="R832" s="2" t="inlineStr"/>
    </row>
    <row r="833" ht="15" customHeight="1">
      <c r="A833" t="inlineStr">
        <is>
          <t>A 2712-2024</t>
        </is>
      </c>
      <c r="B833" s="1" t="n">
        <v>45314</v>
      </c>
      <c r="C833" s="1" t="n">
        <v>46092</v>
      </c>
      <c r="D833" t="inlineStr">
        <is>
          <t>SKÅNE LÄN</t>
        </is>
      </c>
      <c r="E833" t="inlineStr">
        <is>
          <t>HÄSSLEHOLM</t>
        </is>
      </c>
      <c r="G833" t="n">
        <v>11.3</v>
      </c>
      <c r="H833" t="n">
        <v>0</v>
      </c>
      <c r="I833" t="n">
        <v>0</v>
      </c>
      <c r="J833" t="n">
        <v>0</v>
      </c>
      <c r="K833" t="n">
        <v>0</v>
      </c>
      <c r="L833" t="n">
        <v>0</v>
      </c>
      <c r="M833" t="n">
        <v>0</v>
      </c>
      <c r="N833" t="n">
        <v>0</v>
      </c>
      <c r="O833" t="n">
        <v>0</v>
      </c>
      <c r="P833" t="n">
        <v>0</v>
      </c>
      <c r="Q833" t="n">
        <v>0</v>
      </c>
      <c r="R833" s="2" t="inlineStr"/>
    </row>
    <row r="834" ht="15" customHeight="1">
      <c r="A834" t="inlineStr">
        <is>
          <t>A 56986-2024</t>
        </is>
      </c>
      <c r="B834" s="1" t="n">
        <v>45626</v>
      </c>
      <c r="C834" s="1" t="n">
        <v>46092</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46222-2022</t>
        </is>
      </c>
      <c r="B835" s="1" t="n">
        <v>44847.58725694445</v>
      </c>
      <c r="C835" s="1" t="n">
        <v>46092</v>
      </c>
      <c r="D835" t="inlineStr">
        <is>
          <t>SKÅNE LÄN</t>
        </is>
      </c>
      <c r="E835" t="inlineStr">
        <is>
          <t>HÄSSLEHOLM</t>
        </is>
      </c>
      <c r="G835" t="n">
        <v>6.3</v>
      </c>
      <c r="H835" t="n">
        <v>0</v>
      </c>
      <c r="I835" t="n">
        <v>0</v>
      </c>
      <c r="J835" t="n">
        <v>0</v>
      </c>
      <c r="K835" t="n">
        <v>0</v>
      </c>
      <c r="L835" t="n">
        <v>0</v>
      </c>
      <c r="M835" t="n">
        <v>0</v>
      </c>
      <c r="N835" t="n">
        <v>0</v>
      </c>
      <c r="O835" t="n">
        <v>0</v>
      </c>
      <c r="P835" t="n">
        <v>0</v>
      </c>
      <c r="Q835" t="n">
        <v>0</v>
      </c>
      <c r="R835" s="2" t="inlineStr"/>
    </row>
    <row r="836" ht="15" customHeight="1">
      <c r="A836" t="inlineStr">
        <is>
          <t>A 2567-2024</t>
        </is>
      </c>
      <c r="B836" s="1" t="n">
        <v>45313.62460648148</v>
      </c>
      <c r="C836" s="1" t="n">
        <v>46092</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28632-2024</t>
        </is>
      </c>
      <c r="B837" s="1" t="n">
        <v>45478</v>
      </c>
      <c r="C837" s="1" t="n">
        <v>46092</v>
      </c>
      <c r="D837" t="inlineStr">
        <is>
          <t>SKÅNE LÄN</t>
        </is>
      </c>
      <c r="E837" t="inlineStr">
        <is>
          <t>HÄSSLEHOLM</t>
        </is>
      </c>
      <c r="G837" t="n">
        <v>4</v>
      </c>
      <c r="H837" t="n">
        <v>0</v>
      </c>
      <c r="I837" t="n">
        <v>0</v>
      </c>
      <c r="J837" t="n">
        <v>0</v>
      </c>
      <c r="K837" t="n">
        <v>0</v>
      </c>
      <c r="L837" t="n">
        <v>0</v>
      </c>
      <c r="M837" t="n">
        <v>0</v>
      </c>
      <c r="N837" t="n">
        <v>0</v>
      </c>
      <c r="O837" t="n">
        <v>0</v>
      </c>
      <c r="P837" t="n">
        <v>0</v>
      </c>
      <c r="Q837" t="n">
        <v>0</v>
      </c>
      <c r="R837" s="2" t="inlineStr"/>
    </row>
    <row r="838" ht="15" customHeight="1">
      <c r="A838" t="inlineStr">
        <is>
          <t>A 11708-2025</t>
        </is>
      </c>
      <c r="B838" s="1" t="n">
        <v>45727.58626157408</v>
      </c>
      <c r="C838" s="1" t="n">
        <v>46092</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21028-2021</t>
        </is>
      </c>
      <c r="B839" s="1" t="n">
        <v>44319</v>
      </c>
      <c r="C839" s="1" t="n">
        <v>46092</v>
      </c>
      <c r="D839" t="inlineStr">
        <is>
          <t>SKÅNE LÄN</t>
        </is>
      </c>
      <c r="E839" t="inlineStr">
        <is>
          <t>HÄSSLEHOLM</t>
        </is>
      </c>
      <c r="G839" t="n">
        <v>3.1</v>
      </c>
      <c r="H839" t="n">
        <v>0</v>
      </c>
      <c r="I839" t="n">
        <v>0</v>
      </c>
      <c r="J839" t="n">
        <v>0</v>
      </c>
      <c r="K839" t="n">
        <v>0</v>
      </c>
      <c r="L839" t="n">
        <v>0</v>
      </c>
      <c r="M839" t="n">
        <v>0</v>
      </c>
      <c r="N839" t="n">
        <v>0</v>
      </c>
      <c r="O839" t="n">
        <v>0</v>
      </c>
      <c r="P839" t="n">
        <v>0</v>
      </c>
      <c r="Q839" t="n">
        <v>0</v>
      </c>
      <c r="R839" s="2" t="inlineStr"/>
    </row>
    <row r="840" ht="15" customHeight="1">
      <c r="A840" t="inlineStr">
        <is>
          <t>A 69357-2021</t>
        </is>
      </c>
      <c r="B840" s="1" t="n">
        <v>44531</v>
      </c>
      <c r="C840" s="1" t="n">
        <v>46092</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3855-2023</t>
        </is>
      </c>
      <c r="B841" s="1" t="n">
        <v>44951.69708333333</v>
      </c>
      <c r="C841" s="1" t="n">
        <v>46092</v>
      </c>
      <c r="D841" t="inlineStr">
        <is>
          <t>SKÅNE LÄN</t>
        </is>
      </c>
      <c r="E841" t="inlineStr">
        <is>
          <t>HÄSSLEHOLM</t>
        </is>
      </c>
      <c r="G841" t="n">
        <v>2.3</v>
      </c>
      <c r="H841" t="n">
        <v>0</v>
      </c>
      <c r="I841" t="n">
        <v>0</v>
      </c>
      <c r="J841" t="n">
        <v>0</v>
      </c>
      <c r="K841" t="n">
        <v>0</v>
      </c>
      <c r="L841" t="n">
        <v>0</v>
      </c>
      <c r="M841" t="n">
        <v>0</v>
      </c>
      <c r="N841" t="n">
        <v>0</v>
      </c>
      <c r="O841" t="n">
        <v>0</v>
      </c>
      <c r="P841" t="n">
        <v>0</v>
      </c>
      <c r="Q841" t="n">
        <v>0</v>
      </c>
      <c r="R841" s="2" t="inlineStr"/>
    </row>
    <row r="842" ht="15" customHeight="1">
      <c r="A842" t="inlineStr">
        <is>
          <t>A 33481-2024</t>
        </is>
      </c>
      <c r="B842" s="1" t="n">
        <v>45519</v>
      </c>
      <c r="C842" s="1" t="n">
        <v>46092</v>
      </c>
      <c r="D842" t="inlineStr">
        <is>
          <t>SKÅNE LÄN</t>
        </is>
      </c>
      <c r="E842" t="inlineStr">
        <is>
          <t>HÄSSLEHOLM</t>
        </is>
      </c>
      <c r="G842" t="n">
        <v>3</v>
      </c>
      <c r="H842" t="n">
        <v>0</v>
      </c>
      <c r="I842" t="n">
        <v>0</v>
      </c>
      <c r="J842" t="n">
        <v>0</v>
      </c>
      <c r="K842" t="n">
        <v>0</v>
      </c>
      <c r="L842" t="n">
        <v>0</v>
      </c>
      <c r="M842" t="n">
        <v>0</v>
      </c>
      <c r="N842" t="n">
        <v>0</v>
      </c>
      <c r="O842" t="n">
        <v>0</v>
      </c>
      <c r="P842" t="n">
        <v>0</v>
      </c>
      <c r="Q842" t="n">
        <v>0</v>
      </c>
      <c r="R842" s="2" t="inlineStr"/>
    </row>
    <row r="843" ht="15" customHeight="1">
      <c r="A843" t="inlineStr">
        <is>
          <t>A 1289-2024</t>
        </is>
      </c>
      <c r="B843" s="1" t="n">
        <v>45303.32234953704</v>
      </c>
      <c r="C843" s="1" t="n">
        <v>46092</v>
      </c>
      <c r="D843" t="inlineStr">
        <is>
          <t>SKÅNE LÄN</t>
        </is>
      </c>
      <c r="E843" t="inlineStr">
        <is>
          <t>HÄSSLEHOLM</t>
        </is>
      </c>
      <c r="G843" t="n">
        <v>4.6</v>
      </c>
      <c r="H843" t="n">
        <v>0</v>
      </c>
      <c r="I843" t="n">
        <v>0</v>
      </c>
      <c r="J843" t="n">
        <v>0</v>
      </c>
      <c r="K843" t="n">
        <v>0</v>
      </c>
      <c r="L843" t="n">
        <v>0</v>
      </c>
      <c r="M843" t="n">
        <v>0</v>
      </c>
      <c r="N843" t="n">
        <v>0</v>
      </c>
      <c r="O843" t="n">
        <v>0</v>
      </c>
      <c r="P843" t="n">
        <v>0</v>
      </c>
      <c r="Q843" t="n">
        <v>0</v>
      </c>
      <c r="R843" s="2" t="inlineStr"/>
    </row>
    <row r="844" ht="15" customHeight="1">
      <c r="A844" t="inlineStr">
        <is>
          <t>A 54176-2022</t>
        </is>
      </c>
      <c r="B844" s="1" t="n">
        <v>44881</v>
      </c>
      <c r="C844" s="1" t="n">
        <v>46092</v>
      </c>
      <c r="D844" t="inlineStr">
        <is>
          <t>SKÅNE LÄN</t>
        </is>
      </c>
      <c r="E844" t="inlineStr">
        <is>
          <t>HÄSSLEHOLM</t>
        </is>
      </c>
      <c r="G844" t="n">
        <v>1.1</v>
      </c>
      <c r="H844" t="n">
        <v>0</v>
      </c>
      <c r="I844" t="n">
        <v>0</v>
      </c>
      <c r="J844" t="n">
        <v>0</v>
      </c>
      <c r="K844" t="n">
        <v>0</v>
      </c>
      <c r="L844" t="n">
        <v>0</v>
      </c>
      <c r="M844" t="n">
        <v>0</v>
      </c>
      <c r="N844" t="n">
        <v>0</v>
      </c>
      <c r="O844" t="n">
        <v>0</v>
      </c>
      <c r="P844" t="n">
        <v>0</v>
      </c>
      <c r="Q844" t="n">
        <v>0</v>
      </c>
      <c r="R844" s="2" t="inlineStr"/>
    </row>
    <row r="845" ht="15" customHeight="1">
      <c r="A845" t="inlineStr">
        <is>
          <t>A 7152-2025</t>
        </is>
      </c>
      <c r="B845" s="1" t="n">
        <v>45702.3837037037</v>
      </c>
      <c r="C845" s="1" t="n">
        <v>46092</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7160-2025</t>
        </is>
      </c>
      <c r="B846" s="1" t="n">
        <v>45702.3875462963</v>
      </c>
      <c r="C846" s="1" t="n">
        <v>46092</v>
      </c>
      <c r="D846" t="inlineStr">
        <is>
          <t>SKÅNE LÄN</t>
        </is>
      </c>
      <c r="E846" t="inlineStr">
        <is>
          <t>HÄSSLEHOLM</t>
        </is>
      </c>
      <c r="G846" t="n">
        <v>2.5</v>
      </c>
      <c r="H846" t="n">
        <v>0</v>
      </c>
      <c r="I846" t="n">
        <v>0</v>
      </c>
      <c r="J846" t="n">
        <v>0</v>
      </c>
      <c r="K846" t="n">
        <v>0</v>
      </c>
      <c r="L846" t="n">
        <v>0</v>
      </c>
      <c r="M846" t="n">
        <v>0</v>
      </c>
      <c r="N846" t="n">
        <v>0</v>
      </c>
      <c r="O846" t="n">
        <v>0</v>
      </c>
      <c r="P846" t="n">
        <v>0</v>
      </c>
      <c r="Q846" t="n">
        <v>0</v>
      </c>
      <c r="R846" s="2" t="inlineStr"/>
    </row>
    <row r="847" ht="15" customHeight="1">
      <c r="A847" t="inlineStr">
        <is>
          <t>A 27291-2023</t>
        </is>
      </c>
      <c r="B847" s="1" t="n">
        <v>45096</v>
      </c>
      <c r="C847" s="1" t="n">
        <v>46092</v>
      </c>
      <c r="D847" t="inlineStr">
        <is>
          <t>SKÅNE LÄN</t>
        </is>
      </c>
      <c r="E847" t="inlineStr">
        <is>
          <t>HÄSSLEHOLM</t>
        </is>
      </c>
      <c r="G847" t="n">
        <v>3.5</v>
      </c>
      <c r="H847" t="n">
        <v>0</v>
      </c>
      <c r="I847" t="n">
        <v>0</v>
      </c>
      <c r="J847" t="n">
        <v>0</v>
      </c>
      <c r="K847" t="n">
        <v>0</v>
      </c>
      <c r="L847" t="n">
        <v>0</v>
      </c>
      <c r="M847" t="n">
        <v>0</v>
      </c>
      <c r="N847" t="n">
        <v>0</v>
      </c>
      <c r="O847" t="n">
        <v>0</v>
      </c>
      <c r="P847" t="n">
        <v>0</v>
      </c>
      <c r="Q847" t="n">
        <v>0</v>
      </c>
      <c r="R847" s="2" t="inlineStr"/>
    </row>
    <row r="848" ht="15" customHeight="1">
      <c r="A848" t="inlineStr">
        <is>
          <t>A 441-2022</t>
        </is>
      </c>
      <c r="B848" s="1" t="n">
        <v>44565.97125</v>
      </c>
      <c r="C848" s="1" t="n">
        <v>46092</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5887-2025</t>
        </is>
      </c>
      <c r="B849" s="1" t="n">
        <v>45695.37925925926</v>
      </c>
      <c r="C849" s="1" t="n">
        <v>46092</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14157-2021</t>
        </is>
      </c>
      <c r="B850" s="1" t="n">
        <v>44278.43246527778</v>
      </c>
      <c r="C850" s="1" t="n">
        <v>46092</v>
      </c>
      <c r="D850" t="inlineStr">
        <is>
          <t>SKÅNE LÄN</t>
        </is>
      </c>
      <c r="E850" t="inlineStr">
        <is>
          <t>HÄSSLEHOLM</t>
        </is>
      </c>
      <c r="G850" t="n">
        <v>10.5</v>
      </c>
      <c r="H850" t="n">
        <v>0</v>
      </c>
      <c r="I850" t="n">
        <v>0</v>
      </c>
      <c r="J850" t="n">
        <v>0</v>
      </c>
      <c r="K850" t="n">
        <v>0</v>
      </c>
      <c r="L850" t="n">
        <v>0</v>
      </c>
      <c r="M850" t="n">
        <v>0</v>
      </c>
      <c r="N850" t="n">
        <v>0</v>
      </c>
      <c r="O850" t="n">
        <v>0</v>
      </c>
      <c r="P850" t="n">
        <v>0</v>
      </c>
      <c r="Q850" t="n">
        <v>0</v>
      </c>
      <c r="R850" s="2" t="inlineStr"/>
    </row>
    <row r="851" ht="15" customHeight="1">
      <c r="A851" t="inlineStr">
        <is>
          <t>A 54874-2022</t>
        </is>
      </c>
      <c r="B851" s="1" t="n">
        <v>44881</v>
      </c>
      <c r="C851" s="1" t="n">
        <v>46092</v>
      </c>
      <c r="D851" t="inlineStr">
        <is>
          <t>SKÅNE LÄN</t>
        </is>
      </c>
      <c r="E851" t="inlineStr">
        <is>
          <t>HÄSSLEHOLM</t>
        </is>
      </c>
      <c r="G851" t="n">
        <v>8.1</v>
      </c>
      <c r="H851" t="n">
        <v>0</v>
      </c>
      <c r="I851" t="n">
        <v>0</v>
      </c>
      <c r="J851" t="n">
        <v>0</v>
      </c>
      <c r="K851" t="n">
        <v>0</v>
      </c>
      <c r="L851" t="n">
        <v>0</v>
      </c>
      <c r="M851" t="n">
        <v>0</v>
      </c>
      <c r="N851" t="n">
        <v>0</v>
      </c>
      <c r="O851" t="n">
        <v>0</v>
      </c>
      <c r="P851" t="n">
        <v>0</v>
      </c>
      <c r="Q851" t="n">
        <v>0</v>
      </c>
      <c r="R851" s="2" t="inlineStr"/>
    </row>
    <row r="852" ht="15" customHeight="1">
      <c r="A852" t="inlineStr">
        <is>
          <t>A 17152-2025</t>
        </is>
      </c>
      <c r="B852" s="1" t="n">
        <v>45756.33318287037</v>
      </c>
      <c r="C852" s="1" t="n">
        <v>46092</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34301-2024</t>
        </is>
      </c>
      <c r="B853" s="1" t="n">
        <v>45524</v>
      </c>
      <c r="C853" s="1" t="n">
        <v>46092</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27242-2022</t>
        </is>
      </c>
      <c r="B854" s="1" t="n">
        <v>44741</v>
      </c>
      <c r="C854" s="1" t="n">
        <v>46092</v>
      </c>
      <c r="D854" t="inlineStr">
        <is>
          <t>SKÅNE LÄN</t>
        </is>
      </c>
      <c r="E854" t="inlineStr">
        <is>
          <t>HÄSSLEHOLM</t>
        </is>
      </c>
      <c r="G854" t="n">
        <v>1.9</v>
      </c>
      <c r="H854" t="n">
        <v>0</v>
      </c>
      <c r="I854" t="n">
        <v>0</v>
      </c>
      <c r="J854" t="n">
        <v>0</v>
      </c>
      <c r="K854" t="n">
        <v>0</v>
      </c>
      <c r="L854" t="n">
        <v>0</v>
      </c>
      <c r="M854" t="n">
        <v>0</v>
      </c>
      <c r="N854" t="n">
        <v>0</v>
      </c>
      <c r="O854" t="n">
        <v>0</v>
      </c>
      <c r="P854" t="n">
        <v>0</v>
      </c>
      <c r="Q854" t="n">
        <v>0</v>
      </c>
      <c r="R854" s="2" t="inlineStr"/>
    </row>
    <row r="855" ht="15" customHeight="1">
      <c r="A855" t="inlineStr">
        <is>
          <t>A 61158-2022</t>
        </is>
      </c>
      <c r="B855" s="1" t="n">
        <v>44915.47112268519</v>
      </c>
      <c r="C855" s="1" t="n">
        <v>46092</v>
      </c>
      <c r="D855" t="inlineStr">
        <is>
          <t>SKÅNE LÄN</t>
        </is>
      </c>
      <c r="E855" t="inlineStr">
        <is>
          <t>HÄSSLEHOLM</t>
        </is>
      </c>
      <c r="G855" t="n">
        <v>8.4</v>
      </c>
      <c r="H855" t="n">
        <v>0</v>
      </c>
      <c r="I855" t="n">
        <v>0</v>
      </c>
      <c r="J855" t="n">
        <v>0</v>
      </c>
      <c r="K855" t="n">
        <v>0</v>
      </c>
      <c r="L855" t="n">
        <v>0</v>
      </c>
      <c r="M855" t="n">
        <v>0</v>
      </c>
      <c r="N855" t="n">
        <v>0</v>
      </c>
      <c r="O855" t="n">
        <v>0</v>
      </c>
      <c r="P855" t="n">
        <v>0</v>
      </c>
      <c r="Q855" t="n">
        <v>0</v>
      </c>
      <c r="R855" s="2" t="inlineStr"/>
    </row>
    <row r="856" ht="15" customHeight="1">
      <c r="A856" t="inlineStr">
        <is>
          <t>A 61186-2022</t>
        </is>
      </c>
      <c r="B856" s="1" t="n">
        <v>44915.50745370371</v>
      </c>
      <c r="C856" s="1" t="n">
        <v>46092</v>
      </c>
      <c r="D856" t="inlineStr">
        <is>
          <t>SKÅNE LÄN</t>
        </is>
      </c>
      <c r="E856" t="inlineStr">
        <is>
          <t>HÄSSLEHOLM</t>
        </is>
      </c>
      <c r="G856" t="n">
        <v>2.9</v>
      </c>
      <c r="H856" t="n">
        <v>0</v>
      </c>
      <c r="I856" t="n">
        <v>0</v>
      </c>
      <c r="J856" t="n">
        <v>0</v>
      </c>
      <c r="K856" t="n">
        <v>0</v>
      </c>
      <c r="L856" t="n">
        <v>0</v>
      </c>
      <c r="M856" t="n">
        <v>0</v>
      </c>
      <c r="N856" t="n">
        <v>0</v>
      </c>
      <c r="O856" t="n">
        <v>0</v>
      </c>
      <c r="P856" t="n">
        <v>0</v>
      </c>
      <c r="Q856" t="n">
        <v>0</v>
      </c>
      <c r="R856" s="2" t="inlineStr"/>
    </row>
    <row r="857" ht="15" customHeight="1">
      <c r="A857" t="inlineStr">
        <is>
          <t>A 62055-2023</t>
        </is>
      </c>
      <c r="B857" s="1" t="n">
        <v>45266.70287037037</v>
      </c>
      <c r="C857" s="1" t="n">
        <v>46092</v>
      </c>
      <c r="D857" t="inlineStr">
        <is>
          <t>SKÅNE LÄN</t>
        </is>
      </c>
      <c r="E857" t="inlineStr">
        <is>
          <t>HÄSSLEHOLM</t>
        </is>
      </c>
      <c r="G857" t="n">
        <v>5.2</v>
      </c>
      <c r="H857" t="n">
        <v>0</v>
      </c>
      <c r="I857" t="n">
        <v>0</v>
      </c>
      <c r="J857" t="n">
        <v>0</v>
      </c>
      <c r="K857" t="n">
        <v>0</v>
      </c>
      <c r="L857" t="n">
        <v>0</v>
      </c>
      <c r="M857" t="n">
        <v>0</v>
      </c>
      <c r="N857" t="n">
        <v>0</v>
      </c>
      <c r="O857" t="n">
        <v>0</v>
      </c>
      <c r="P857" t="n">
        <v>0</v>
      </c>
      <c r="Q857" t="n">
        <v>0</v>
      </c>
      <c r="R857" s="2" t="inlineStr"/>
    </row>
    <row r="858" ht="15" customHeight="1">
      <c r="A858" t="inlineStr">
        <is>
          <t>A 33465-2024</t>
        </is>
      </c>
      <c r="B858" s="1" t="n">
        <v>45519.59619212963</v>
      </c>
      <c r="C858" s="1" t="n">
        <v>46092</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26642-2023</t>
        </is>
      </c>
      <c r="B859" s="1" t="n">
        <v>45092.8975</v>
      </c>
      <c r="C859" s="1" t="n">
        <v>46092</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66321-2021</t>
        </is>
      </c>
      <c r="B860" s="1" t="n">
        <v>44518</v>
      </c>
      <c r="C860" s="1" t="n">
        <v>46092</v>
      </c>
      <c r="D860" t="inlineStr">
        <is>
          <t>SKÅNE LÄN</t>
        </is>
      </c>
      <c r="E860" t="inlineStr">
        <is>
          <t>HÄSSLEHOLM</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16668-2025</t>
        </is>
      </c>
      <c r="B861" s="1" t="n">
        <v>45754.43009259259</v>
      </c>
      <c r="C861" s="1" t="n">
        <v>46092</v>
      </c>
      <c r="D861" t="inlineStr">
        <is>
          <t>SKÅNE LÄN</t>
        </is>
      </c>
      <c r="E861" t="inlineStr">
        <is>
          <t>HÄSSLEHOLM</t>
        </is>
      </c>
      <c r="G861" t="n">
        <v>4</v>
      </c>
      <c r="H861" t="n">
        <v>0</v>
      </c>
      <c r="I861" t="n">
        <v>0</v>
      </c>
      <c r="J861" t="n">
        <v>0</v>
      </c>
      <c r="K861" t="n">
        <v>0</v>
      </c>
      <c r="L861" t="n">
        <v>0</v>
      </c>
      <c r="M861" t="n">
        <v>0</v>
      </c>
      <c r="N861" t="n">
        <v>0</v>
      </c>
      <c r="O861" t="n">
        <v>0</v>
      </c>
      <c r="P861" t="n">
        <v>0</v>
      </c>
      <c r="Q861" t="n">
        <v>0</v>
      </c>
      <c r="R861" s="2" t="inlineStr"/>
    </row>
    <row r="862" ht="15" customHeight="1">
      <c r="A862" t="inlineStr">
        <is>
          <t>A 23857-2024</t>
        </is>
      </c>
      <c r="B862" s="1" t="n">
        <v>45455</v>
      </c>
      <c r="C862" s="1" t="n">
        <v>46092</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31268-2024</t>
        </is>
      </c>
      <c r="B863" s="1" t="n">
        <v>45504</v>
      </c>
      <c r="C863" s="1" t="n">
        <v>46092</v>
      </c>
      <c r="D863" t="inlineStr">
        <is>
          <t>SKÅNE LÄN</t>
        </is>
      </c>
      <c r="E863" t="inlineStr">
        <is>
          <t>HÄSSLEHOLM</t>
        </is>
      </c>
      <c r="G863" t="n">
        <v>1.5</v>
      </c>
      <c r="H863" t="n">
        <v>0</v>
      </c>
      <c r="I863" t="n">
        <v>0</v>
      </c>
      <c r="J863" t="n">
        <v>0</v>
      </c>
      <c r="K863" t="n">
        <v>0</v>
      </c>
      <c r="L863" t="n">
        <v>0</v>
      </c>
      <c r="M863" t="n">
        <v>0</v>
      </c>
      <c r="N863" t="n">
        <v>0</v>
      </c>
      <c r="O863" t="n">
        <v>0</v>
      </c>
      <c r="P863" t="n">
        <v>0</v>
      </c>
      <c r="Q863" t="n">
        <v>0</v>
      </c>
      <c r="R863" s="2" t="inlineStr"/>
    </row>
    <row r="864" ht="15" customHeight="1">
      <c r="A864" t="inlineStr">
        <is>
          <t>A 51287-2022</t>
        </is>
      </c>
      <c r="B864" s="1" t="n">
        <v>44868.83146990741</v>
      </c>
      <c r="C864" s="1" t="n">
        <v>46092</v>
      </c>
      <c r="D864" t="inlineStr">
        <is>
          <t>SKÅNE LÄN</t>
        </is>
      </c>
      <c r="E864" t="inlineStr">
        <is>
          <t>HÄSSLEHOLM</t>
        </is>
      </c>
      <c r="G864" t="n">
        <v>2.2</v>
      </c>
      <c r="H864" t="n">
        <v>0</v>
      </c>
      <c r="I864" t="n">
        <v>0</v>
      </c>
      <c r="J864" t="n">
        <v>0</v>
      </c>
      <c r="K864" t="n">
        <v>0</v>
      </c>
      <c r="L864" t="n">
        <v>0</v>
      </c>
      <c r="M864" t="n">
        <v>0</v>
      </c>
      <c r="N864" t="n">
        <v>0</v>
      </c>
      <c r="O864" t="n">
        <v>0</v>
      </c>
      <c r="P864" t="n">
        <v>0</v>
      </c>
      <c r="Q864" t="n">
        <v>0</v>
      </c>
      <c r="R864" s="2" t="inlineStr"/>
    </row>
    <row r="865" ht="15" customHeight="1">
      <c r="A865" t="inlineStr">
        <is>
          <t>A 20494-2024</t>
        </is>
      </c>
      <c r="B865" s="1" t="n">
        <v>45435</v>
      </c>
      <c r="C865" s="1" t="n">
        <v>46092</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55454-2021</t>
        </is>
      </c>
      <c r="B866" s="1" t="n">
        <v>44475</v>
      </c>
      <c r="C866" s="1" t="n">
        <v>46092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31572-2022</t>
        </is>
      </c>
      <c r="B867" s="1" t="n">
        <v>44775</v>
      </c>
      <c r="C867" s="1" t="n">
        <v>46092</v>
      </c>
      <c r="D867" t="inlineStr">
        <is>
          <t>SKÅNE LÄN</t>
        </is>
      </c>
      <c r="E867" t="inlineStr">
        <is>
          <t>HÄSSLEHOLM</t>
        </is>
      </c>
      <c r="F867" t="inlineStr">
        <is>
          <t>Kommuner</t>
        </is>
      </c>
      <c r="G867" t="n">
        <v>1.2</v>
      </c>
      <c r="H867" t="n">
        <v>0</v>
      </c>
      <c r="I867" t="n">
        <v>0</v>
      </c>
      <c r="J867" t="n">
        <v>0</v>
      </c>
      <c r="K867" t="n">
        <v>0</v>
      </c>
      <c r="L867" t="n">
        <v>0</v>
      </c>
      <c r="M867" t="n">
        <v>0</v>
      </c>
      <c r="N867" t="n">
        <v>0</v>
      </c>
      <c r="O867" t="n">
        <v>0</v>
      </c>
      <c r="P867" t="n">
        <v>0</v>
      </c>
      <c r="Q867" t="n">
        <v>0</v>
      </c>
      <c r="R867" s="2" t="inlineStr"/>
    </row>
    <row r="868" ht="15" customHeight="1">
      <c r="A868" t="inlineStr">
        <is>
          <t>A 4356-2024</t>
        </is>
      </c>
      <c r="B868" s="1" t="n">
        <v>45325.36195601852</v>
      </c>
      <c r="C868" s="1" t="n">
        <v>46092</v>
      </c>
      <c r="D868" t="inlineStr">
        <is>
          <t>SKÅNE LÄN</t>
        </is>
      </c>
      <c r="E868" t="inlineStr">
        <is>
          <t>HÄSSLEHOLM</t>
        </is>
      </c>
      <c r="G868" t="n">
        <v>3.2</v>
      </c>
      <c r="H868" t="n">
        <v>0</v>
      </c>
      <c r="I868" t="n">
        <v>0</v>
      </c>
      <c r="J868" t="n">
        <v>0</v>
      </c>
      <c r="K868" t="n">
        <v>0</v>
      </c>
      <c r="L868" t="n">
        <v>0</v>
      </c>
      <c r="M868" t="n">
        <v>0</v>
      </c>
      <c r="N868" t="n">
        <v>0</v>
      </c>
      <c r="O868" t="n">
        <v>0</v>
      </c>
      <c r="P868" t="n">
        <v>0</v>
      </c>
      <c r="Q868" t="n">
        <v>0</v>
      </c>
      <c r="R868" s="2" t="inlineStr"/>
    </row>
    <row r="869" ht="15" customHeight="1">
      <c r="A869" t="inlineStr">
        <is>
          <t>A 3480-2024</t>
        </is>
      </c>
      <c r="B869" s="1" t="n">
        <v>45320.43998842593</v>
      </c>
      <c r="C869" s="1" t="n">
        <v>46092</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5980-2024</t>
        </is>
      </c>
      <c r="B870" s="1" t="n">
        <v>45335</v>
      </c>
      <c r="C870" s="1" t="n">
        <v>46092</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10802-2024</t>
        </is>
      </c>
      <c r="B871" s="1" t="n">
        <v>45369</v>
      </c>
      <c r="C871" s="1" t="n">
        <v>46092</v>
      </c>
      <c r="D871" t="inlineStr">
        <is>
          <t>SKÅNE LÄN</t>
        </is>
      </c>
      <c r="E871" t="inlineStr">
        <is>
          <t>HÄSSLEHOLM</t>
        </is>
      </c>
      <c r="G871" t="n">
        <v>3.4</v>
      </c>
      <c r="H871" t="n">
        <v>0</v>
      </c>
      <c r="I871" t="n">
        <v>0</v>
      </c>
      <c r="J871" t="n">
        <v>0</v>
      </c>
      <c r="K871" t="n">
        <v>0</v>
      </c>
      <c r="L871" t="n">
        <v>0</v>
      </c>
      <c r="M871" t="n">
        <v>0</v>
      </c>
      <c r="N871" t="n">
        <v>0</v>
      </c>
      <c r="O871" t="n">
        <v>0</v>
      </c>
      <c r="P871" t="n">
        <v>0</v>
      </c>
      <c r="Q871" t="n">
        <v>0</v>
      </c>
      <c r="R871" s="2" t="inlineStr"/>
    </row>
    <row r="872" ht="15" customHeight="1">
      <c r="A872" t="inlineStr">
        <is>
          <t>A 45653-2024</t>
        </is>
      </c>
      <c r="B872" s="1" t="n">
        <v>45579.48872685185</v>
      </c>
      <c r="C872" s="1" t="n">
        <v>46092</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9322-2025</t>
        </is>
      </c>
      <c r="B873" s="1" t="n">
        <v>45714.72241898148</v>
      </c>
      <c r="C873" s="1" t="n">
        <v>46092</v>
      </c>
      <c r="D873" t="inlineStr">
        <is>
          <t>SKÅNE LÄN</t>
        </is>
      </c>
      <c r="E873" t="inlineStr">
        <is>
          <t>HÄSSLEHOLM</t>
        </is>
      </c>
      <c r="G873" t="n">
        <v>2.6</v>
      </c>
      <c r="H873" t="n">
        <v>0</v>
      </c>
      <c r="I873" t="n">
        <v>0</v>
      </c>
      <c r="J873" t="n">
        <v>0</v>
      </c>
      <c r="K873" t="n">
        <v>0</v>
      </c>
      <c r="L873" t="n">
        <v>0</v>
      </c>
      <c r="M873" t="n">
        <v>0</v>
      </c>
      <c r="N873" t="n">
        <v>0</v>
      </c>
      <c r="O873" t="n">
        <v>0</v>
      </c>
      <c r="P873" t="n">
        <v>0</v>
      </c>
      <c r="Q873" t="n">
        <v>0</v>
      </c>
      <c r="R873" s="2" t="inlineStr"/>
    </row>
    <row r="874" ht="15" customHeight="1">
      <c r="A874" t="inlineStr">
        <is>
          <t>A 260-2024</t>
        </is>
      </c>
      <c r="B874" s="1" t="n">
        <v>45294</v>
      </c>
      <c r="C874" s="1" t="n">
        <v>46092</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40780-2022</t>
        </is>
      </c>
      <c r="B875" s="1" t="n">
        <v>44820</v>
      </c>
      <c r="C875" s="1" t="n">
        <v>46092</v>
      </c>
      <c r="D875" t="inlineStr">
        <is>
          <t>SKÅNE LÄN</t>
        </is>
      </c>
      <c r="E875" t="inlineStr">
        <is>
          <t>HÄSSLEHOLM</t>
        </is>
      </c>
      <c r="G875" t="n">
        <v>7.4</v>
      </c>
      <c r="H875" t="n">
        <v>0</v>
      </c>
      <c r="I875" t="n">
        <v>0</v>
      </c>
      <c r="J875" t="n">
        <v>0</v>
      </c>
      <c r="K875" t="n">
        <v>0</v>
      </c>
      <c r="L875" t="n">
        <v>0</v>
      </c>
      <c r="M875" t="n">
        <v>0</v>
      </c>
      <c r="N875" t="n">
        <v>0</v>
      </c>
      <c r="O875" t="n">
        <v>0</v>
      </c>
      <c r="P875" t="n">
        <v>0</v>
      </c>
      <c r="Q875" t="n">
        <v>0</v>
      </c>
      <c r="R875" s="2" t="inlineStr"/>
    </row>
    <row r="876" ht="15" customHeight="1">
      <c r="A876" t="inlineStr">
        <is>
          <t>A 5316-2023</t>
        </is>
      </c>
      <c r="B876" s="1" t="n">
        <v>44959</v>
      </c>
      <c r="C876" s="1" t="n">
        <v>46092</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64884-2023</t>
        </is>
      </c>
      <c r="B877" s="1" t="n">
        <v>45282.57809027778</v>
      </c>
      <c r="C877" s="1" t="n">
        <v>46092</v>
      </c>
      <c r="D877" t="inlineStr">
        <is>
          <t>SKÅNE LÄN</t>
        </is>
      </c>
      <c r="E877" t="inlineStr">
        <is>
          <t>HÄSSLEHOLM</t>
        </is>
      </c>
      <c r="G877" t="n">
        <v>4.6</v>
      </c>
      <c r="H877" t="n">
        <v>0</v>
      </c>
      <c r="I877" t="n">
        <v>0</v>
      </c>
      <c r="J877" t="n">
        <v>0</v>
      </c>
      <c r="K877" t="n">
        <v>0</v>
      </c>
      <c r="L877" t="n">
        <v>0</v>
      </c>
      <c r="M877" t="n">
        <v>0</v>
      </c>
      <c r="N877" t="n">
        <v>0</v>
      </c>
      <c r="O877" t="n">
        <v>0</v>
      </c>
      <c r="P877" t="n">
        <v>0</v>
      </c>
      <c r="Q877" t="n">
        <v>0</v>
      </c>
      <c r="R877" s="2" t="inlineStr"/>
    </row>
    <row r="878" ht="15" customHeight="1">
      <c r="A878" t="inlineStr">
        <is>
          <t>A 48112-2024</t>
        </is>
      </c>
      <c r="B878" s="1" t="n">
        <v>45589.6295949074</v>
      </c>
      <c r="C878" s="1" t="n">
        <v>46092</v>
      </c>
      <c r="D878" t="inlineStr">
        <is>
          <t>SKÅNE LÄN</t>
        </is>
      </c>
      <c r="E878" t="inlineStr">
        <is>
          <t>HÄSSLEHOLM</t>
        </is>
      </c>
      <c r="G878" t="n">
        <v>1.1</v>
      </c>
      <c r="H878" t="n">
        <v>0</v>
      </c>
      <c r="I878" t="n">
        <v>0</v>
      </c>
      <c r="J878" t="n">
        <v>0</v>
      </c>
      <c r="K878" t="n">
        <v>0</v>
      </c>
      <c r="L878" t="n">
        <v>0</v>
      </c>
      <c r="M878" t="n">
        <v>0</v>
      </c>
      <c r="N878" t="n">
        <v>0</v>
      </c>
      <c r="O878" t="n">
        <v>0</v>
      </c>
      <c r="P878" t="n">
        <v>0</v>
      </c>
      <c r="Q878" t="n">
        <v>0</v>
      </c>
      <c r="R878" s="2" t="inlineStr"/>
    </row>
    <row r="879" ht="15" customHeight="1">
      <c r="A879" t="inlineStr">
        <is>
          <t>A 6310-2025</t>
        </is>
      </c>
      <c r="B879" s="1" t="n">
        <v>45698</v>
      </c>
      <c r="C879" s="1" t="n">
        <v>46092</v>
      </c>
      <c r="D879" t="inlineStr">
        <is>
          <t>SKÅNE LÄN</t>
        </is>
      </c>
      <c r="E879" t="inlineStr">
        <is>
          <t>HÄSSLEHOLM</t>
        </is>
      </c>
      <c r="G879" t="n">
        <v>2.7</v>
      </c>
      <c r="H879" t="n">
        <v>0</v>
      </c>
      <c r="I879" t="n">
        <v>0</v>
      </c>
      <c r="J879" t="n">
        <v>0</v>
      </c>
      <c r="K879" t="n">
        <v>0</v>
      </c>
      <c r="L879" t="n">
        <v>0</v>
      </c>
      <c r="M879" t="n">
        <v>0</v>
      </c>
      <c r="N879" t="n">
        <v>0</v>
      </c>
      <c r="O879" t="n">
        <v>0</v>
      </c>
      <c r="P879" t="n">
        <v>0</v>
      </c>
      <c r="Q879" t="n">
        <v>0</v>
      </c>
      <c r="R879" s="2" t="inlineStr"/>
    </row>
    <row r="880" ht="15" customHeight="1">
      <c r="A880" t="inlineStr">
        <is>
          <t>A 16474-2025</t>
        </is>
      </c>
      <c r="B880" s="1" t="n">
        <v>45751.56834490741</v>
      </c>
      <c r="C880" s="1" t="n">
        <v>46092</v>
      </c>
      <c r="D880" t="inlineStr">
        <is>
          <t>SKÅNE LÄN</t>
        </is>
      </c>
      <c r="E880" t="inlineStr">
        <is>
          <t>HÄSSLEHOLM</t>
        </is>
      </c>
      <c r="G880" t="n">
        <v>5.9</v>
      </c>
      <c r="H880" t="n">
        <v>0</v>
      </c>
      <c r="I880" t="n">
        <v>0</v>
      </c>
      <c r="J880" t="n">
        <v>0</v>
      </c>
      <c r="K880" t="n">
        <v>0</v>
      </c>
      <c r="L880" t="n">
        <v>0</v>
      </c>
      <c r="M880" t="n">
        <v>0</v>
      </c>
      <c r="N880" t="n">
        <v>0</v>
      </c>
      <c r="O880" t="n">
        <v>0</v>
      </c>
      <c r="P880" t="n">
        <v>0</v>
      </c>
      <c r="Q880" t="n">
        <v>0</v>
      </c>
      <c r="R880" s="2" t="inlineStr"/>
    </row>
    <row r="881" ht="15" customHeight="1">
      <c r="A881" t="inlineStr">
        <is>
          <t>A 48097-2024</t>
        </is>
      </c>
      <c r="B881" s="1" t="n">
        <v>45589.61413194444</v>
      </c>
      <c r="C881" s="1" t="n">
        <v>46092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60846-2022</t>
        </is>
      </c>
      <c r="B882" s="1" t="n">
        <v>44914</v>
      </c>
      <c r="C882" s="1" t="n">
        <v>46092</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42776-2021</t>
        </is>
      </c>
      <c r="B883" s="1" t="n">
        <v>44428</v>
      </c>
      <c r="C883" s="1" t="n">
        <v>46092</v>
      </c>
      <c r="D883" t="inlineStr">
        <is>
          <t>SKÅNE LÄN</t>
        </is>
      </c>
      <c r="E883" t="inlineStr">
        <is>
          <t>HÄSSLEHOLM</t>
        </is>
      </c>
      <c r="G883" t="n">
        <v>3.2</v>
      </c>
      <c r="H883" t="n">
        <v>0</v>
      </c>
      <c r="I883" t="n">
        <v>0</v>
      </c>
      <c r="J883" t="n">
        <v>0</v>
      </c>
      <c r="K883" t="n">
        <v>0</v>
      </c>
      <c r="L883" t="n">
        <v>0</v>
      </c>
      <c r="M883" t="n">
        <v>0</v>
      </c>
      <c r="N883" t="n">
        <v>0</v>
      </c>
      <c r="O883" t="n">
        <v>0</v>
      </c>
      <c r="P883" t="n">
        <v>0</v>
      </c>
      <c r="Q883" t="n">
        <v>0</v>
      </c>
      <c r="R883" s="2" t="inlineStr"/>
    </row>
    <row r="884" ht="15" customHeight="1">
      <c r="A884" t="inlineStr">
        <is>
          <t>A 14700-2023</t>
        </is>
      </c>
      <c r="B884" s="1" t="n">
        <v>45014.38376157408</v>
      </c>
      <c r="C884" s="1" t="n">
        <v>46092</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39915-2023</t>
        </is>
      </c>
      <c r="B885" s="1" t="n">
        <v>45168.4684375</v>
      </c>
      <c r="C885" s="1" t="n">
        <v>46092</v>
      </c>
      <c r="D885" t="inlineStr">
        <is>
          <t>SKÅNE LÄN</t>
        </is>
      </c>
      <c r="E885" t="inlineStr">
        <is>
          <t>HÄSSLEHOLM</t>
        </is>
      </c>
      <c r="G885" t="n">
        <v>0.4</v>
      </c>
      <c r="H885" t="n">
        <v>0</v>
      </c>
      <c r="I885" t="n">
        <v>0</v>
      </c>
      <c r="J885" t="n">
        <v>0</v>
      </c>
      <c r="K885" t="n">
        <v>0</v>
      </c>
      <c r="L885" t="n">
        <v>0</v>
      </c>
      <c r="M885" t="n">
        <v>0</v>
      </c>
      <c r="N885" t="n">
        <v>0</v>
      </c>
      <c r="O885" t="n">
        <v>0</v>
      </c>
      <c r="P885" t="n">
        <v>0</v>
      </c>
      <c r="Q885" t="n">
        <v>0</v>
      </c>
      <c r="R885" s="2" t="inlineStr"/>
    </row>
    <row r="886" ht="15" customHeight="1">
      <c r="A886" t="inlineStr">
        <is>
          <t>A 20058-2023</t>
        </is>
      </c>
      <c r="B886" s="1" t="n">
        <v>45054.68476851852</v>
      </c>
      <c r="C886" s="1" t="n">
        <v>46092</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8619-2023</t>
        </is>
      </c>
      <c r="B887" s="1" t="n">
        <v>44977.81979166667</v>
      </c>
      <c r="C887" s="1" t="n">
        <v>46092</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9543-2025</t>
        </is>
      </c>
      <c r="B888" s="1" t="n">
        <v>45715</v>
      </c>
      <c r="C888" s="1" t="n">
        <v>46092</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53067-2022</t>
        </is>
      </c>
      <c r="B889" s="1" t="n">
        <v>44873</v>
      </c>
      <c r="C889" s="1" t="n">
        <v>46092</v>
      </c>
      <c r="D889" t="inlineStr">
        <is>
          <t>SKÅNE LÄN</t>
        </is>
      </c>
      <c r="E889" t="inlineStr">
        <is>
          <t>HÄSSLEHOLM</t>
        </is>
      </c>
      <c r="G889" t="n">
        <v>1.2</v>
      </c>
      <c r="H889" t="n">
        <v>0</v>
      </c>
      <c r="I889" t="n">
        <v>0</v>
      </c>
      <c r="J889" t="n">
        <v>0</v>
      </c>
      <c r="K889" t="n">
        <v>0</v>
      </c>
      <c r="L889" t="n">
        <v>0</v>
      </c>
      <c r="M889" t="n">
        <v>0</v>
      </c>
      <c r="N889" t="n">
        <v>0</v>
      </c>
      <c r="O889" t="n">
        <v>0</v>
      </c>
      <c r="P889" t="n">
        <v>0</v>
      </c>
      <c r="Q889" t="n">
        <v>0</v>
      </c>
      <c r="R889" s="2" t="inlineStr"/>
    </row>
    <row r="890" ht="15" customHeight="1">
      <c r="A890" t="inlineStr">
        <is>
          <t>A 3349-2023</t>
        </is>
      </c>
      <c r="B890" s="1" t="n">
        <v>44949</v>
      </c>
      <c r="C890" s="1" t="n">
        <v>46092</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46185-2022</t>
        </is>
      </c>
      <c r="B891" s="1" t="n">
        <v>44847</v>
      </c>
      <c r="C891" s="1" t="n">
        <v>46092</v>
      </c>
      <c r="D891" t="inlineStr">
        <is>
          <t>SKÅNE LÄN</t>
        </is>
      </c>
      <c r="E891" t="inlineStr">
        <is>
          <t>HÄSSLEHOLM</t>
        </is>
      </c>
      <c r="G891" t="n">
        <v>16.8</v>
      </c>
      <c r="H891" t="n">
        <v>0</v>
      </c>
      <c r="I891" t="n">
        <v>0</v>
      </c>
      <c r="J891" t="n">
        <v>0</v>
      </c>
      <c r="K891" t="n">
        <v>0</v>
      </c>
      <c r="L891" t="n">
        <v>0</v>
      </c>
      <c r="M891" t="n">
        <v>0</v>
      </c>
      <c r="N891" t="n">
        <v>0</v>
      </c>
      <c r="O891" t="n">
        <v>0</v>
      </c>
      <c r="P891" t="n">
        <v>0</v>
      </c>
      <c r="Q891" t="n">
        <v>0</v>
      </c>
      <c r="R891" s="2" t="inlineStr"/>
    </row>
    <row r="892" ht="15" customHeight="1">
      <c r="A892" t="inlineStr">
        <is>
          <t>A 18623-2023</t>
        </is>
      </c>
      <c r="B892" s="1" t="n">
        <v>45043</v>
      </c>
      <c r="C892" s="1" t="n">
        <v>46092</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33873-2021</t>
        </is>
      </c>
      <c r="B893" s="1" t="n">
        <v>44378</v>
      </c>
      <c r="C893" s="1" t="n">
        <v>46092</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15053-2023</t>
        </is>
      </c>
      <c r="B894" s="1" t="n">
        <v>45015</v>
      </c>
      <c r="C894" s="1" t="n">
        <v>46092</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9302-2025</t>
        </is>
      </c>
      <c r="B895" s="1" t="n">
        <v>45714.67233796296</v>
      </c>
      <c r="C895" s="1" t="n">
        <v>46092</v>
      </c>
      <c r="D895" t="inlineStr">
        <is>
          <t>SKÅNE LÄN</t>
        </is>
      </c>
      <c r="E895" t="inlineStr">
        <is>
          <t>HÄSSLEHOLM</t>
        </is>
      </c>
      <c r="G895" t="n">
        <v>2.6</v>
      </c>
      <c r="H895" t="n">
        <v>0</v>
      </c>
      <c r="I895" t="n">
        <v>0</v>
      </c>
      <c r="J895" t="n">
        <v>0</v>
      </c>
      <c r="K895" t="n">
        <v>0</v>
      </c>
      <c r="L895" t="n">
        <v>0</v>
      </c>
      <c r="M895" t="n">
        <v>0</v>
      </c>
      <c r="N895" t="n">
        <v>0</v>
      </c>
      <c r="O895" t="n">
        <v>0</v>
      </c>
      <c r="P895" t="n">
        <v>0</v>
      </c>
      <c r="Q895" t="n">
        <v>0</v>
      </c>
      <c r="R895" s="2" t="inlineStr"/>
    </row>
    <row r="896" ht="15" customHeight="1">
      <c r="A896" t="inlineStr">
        <is>
          <t>A 47907-2021</t>
        </is>
      </c>
      <c r="B896" s="1" t="n">
        <v>44448</v>
      </c>
      <c r="C896" s="1" t="n">
        <v>46092</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1197-2024</t>
        </is>
      </c>
      <c r="B897" s="1" t="n">
        <v>45302</v>
      </c>
      <c r="C897" s="1" t="n">
        <v>46092</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13712-2025</t>
        </is>
      </c>
      <c r="B898" s="1" t="n">
        <v>45737</v>
      </c>
      <c r="C898" s="1" t="n">
        <v>46092</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49950-2023</t>
        </is>
      </c>
      <c r="B899" s="1" t="n">
        <v>45215</v>
      </c>
      <c r="C899" s="1" t="n">
        <v>46092</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41694-2024</t>
        </is>
      </c>
      <c r="B900" s="1" t="n">
        <v>45560.68341435185</v>
      </c>
      <c r="C900" s="1" t="n">
        <v>46092</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36795-2023</t>
        </is>
      </c>
      <c r="B901" s="1" t="n">
        <v>45154.38245370371</v>
      </c>
      <c r="C901" s="1" t="n">
        <v>46092</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46942-2024</t>
        </is>
      </c>
      <c r="B902" s="1" t="n">
        <v>45585.6684375</v>
      </c>
      <c r="C902" s="1" t="n">
        <v>46092</v>
      </c>
      <c r="D902" t="inlineStr">
        <is>
          <t>SKÅNE LÄN</t>
        </is>
      </c>
      <c r="E902" t="inlineStr">
        <is>
          <t>HÄSSLEHOLM</t>
        </is>
      </c>
      <c r="G902" t="n">
        <v>1.8</v>
      </c>
      <c r="H902" t="n">
        <v>0</v>
      </c>
      <c r="I902" t="n">
        <v>0</v>
      </c>
      <c r="J902" t="n">
        <v>0</v>
      </c>
      <c r="K902" t="n">
        <v>0</v>
      </c>
      <c r="L902" t="n">
        <v>0</v>
      </c>
      <c r="M902" t="n">
        <v>0</v>
      </c>
      <c r="N902" t="n">
        <v>0</v>
      </c>
      <c r="O902" t="n">
        <v>0</v>
      </c>
      <c r="P902" t="n">
        <v>0</v>
      </c>
      <c r="Q902" t="n">
        <v>0</v>
      </c>
      <c r="R902" s="2" t="inlineStr"/>
    </row>
    <row r="903" ht="15" customHeight="1">
      <c r="A903" t="inlineStr">
        <is>
          <t>A 43696-2024</t>
        </is>
      </c>
      <c r="B903" s="1" t="n">
        <v>45569.58855324074</v>
      </c>
      <c r="C903" s="1" t="n">
        <v>46092</v>
      </c>
      <c r="D903" t="inlineStr">
        <is>
          <t>SKÅNE LÄN</t>
        </is>
      </c>
      <c r="E903" t="inlineStr">
        <is>
          <t>HÄSSLEHOLM</t>
        </is>
      </c>
      <c r="G903" t="n">
        <v>2.9</v>
      </c>
      <c r="H903" t="n">
        <v>0</v>
      </c>
      <c r="I903" t="n">
        <v>0</v>
      </c>
      <c r="J903" t="n">
        <v>0</v>
      </c>
      <c r="K903" t="n">
        <v>0</v>
      </c>
      <c r="L903" t="n">
        <v>0</v>
      </c>
      <c r="M903" t="n">
        <v>0</v>
      </c>
      <c r="N903" t="n">
        <v>0</v>
      </c>
      <c r="O903" t="n">
        <v>0</v>
      </c>
      <c r="P903" t="n">
        <v>0</v>
      </c>
      <c r="Q903" t="n">
        <v>0</v>
      </c>
      <c r="R903" s="2" t="inlineStr"/>
    </row>
    <row r="904" ht="15" customHeight="1">
      <c r="A904" t="inlineStr">
        <is>
          <t>A 36706-2022</t>
        </is>
      </c>
      <c r="B904" s="1" t="n">
        <v>44805.32891203704</v>
      </c>
      <c r="C904" s="1" t="n">
        <v>46092</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22594-2024</t>
        </is>
      </c>
      <c r="B905" s="1" t="n">
        <v>45447.60892361111</v>
      </c>
      <c r="C905" s="1" t="n">
        <v>46092</v>
      </c>
      <c r="D905" t="inlineStr">
        <is>
          <t>SKÅNE LÄN</t>
        </is>
      </c>
      <c r="E905" t="inlineStr">
        <is>
          <t>HÄSSLEHOLM</t>
        </is>
      </c>
      <c r="G905" t="n">
        <v>1.1</v>
      </c>
      <c r="H905" t="n">
        <v>0</v>
      </c>
      <c r="I905" t="n">
        <v>0</v>
      </c>
      <c r="J905" t="n">
        <v>0</v>
      </c>
      <c r="K905" t="n">
        <v>0</v>
      </c>
      <c r="L905" t="n">
        <v>0</v>
      </c>
      <c r="M905" t="n">
        <v>0</v>
      </c>
      <c r="N905" t="n">
        <v>0</v>
      </c>
      <c r="O905" t="n">
        <v>0</v>
      </c>
      <c r="P905" t="n">
        <v>0</v>
      </c>
      <c r="Q905" t="n">
        <v>0</v>
      </c>
      <c r="R905" s="2" t="inlineStr"/>
    </row>
    <row r="906" ht="15" customHeight="1">
      <c r="A906" t="inlineStr">
        <is>
          <t>A 25213-2023</t>
        </is>
      </c>
      <c r="B906" s="1" t="n">
        <v>45086.60010416667</v>
      </c>
      <c r="C906" s="1" t="n">
        <v>46092</v>
      </c>
      <c r="D906" t="inlineStr">
        <is>
          <t>SKÅNE LÄN</t>
        </is>
      </c>
      <c r="E906" t="inlineStr">
        <is>
          <t>HÄSSLEHOLM</t>
        </is>
      </c>
      <c r="G906" t="n">
        <v>7.2</v>
      </c>
      <c r="H906" t="n">
        <v>0</v>
      </c>
      <c r="I906" t="n">
        <v>0</v>
      </c>
      <c r="J906" t="n">
        <v>0</v>
      </c>
      <c r="K906" t="n">
        <v>0</v>
      </c>
      <c r="L906" t="n">
        <v>0</v>
      </c>
      <c r="M906" t="n">
        <v>0</v>
      </c>
      <c r="N906" t="n">
        <v>0</v>
      </c>
      <c r="O906" t="n">
        <v>0</v>
      </c>
      <c r="P906" t="n">
        <v>0</v>
      </c>
      <c r="Q906" t="n">
        <v>0</v>
      </c>
      <c r="R906" s="2" t="inlineStr"/>
    </row>
    <row r="907" ht="15" customHeight="1">
      <c r="A907" t="inlineStr">
        <is>
          <t>A 18063-2023</t>
        </is>
      </c>
      <c r="B907" s="1" t="n">
        <v>45040.62850694444</v>
      </c>
      <c r="C907" s="1" t="n">
        <v>46092</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61524-2022</t>
        </is>
      </c>
      <c r="B908" s="1" t="n">
        <v>44910</v>
      </c>
      <c r="C908" s="1" t="n">
        <v>46092</v>
      </c>
      <c r="D908" t="inlineStr">
        <is>
          <t>SKÅNE LÄN</t>
        </is>
      </c>
      <c r="E908" t="inlineStr">
        <is>
          <t>HÄSSLEHOLM</t>
        </is>
      </c>
      <c r="F908" t="inlineStr">
        <is>
          <t>Kyrkan</t>
        </is>
      </c>
      <c r="G908" t="n">
        <v>2.1</v>
      </c>
      <c r="H908" t="n">
        <v>0</v>
      </c>
      <c r="I908" t="n">
        <v>0</v>
      </c>
      <c r="J908" t="n">
        <v>0</v>
      </c>
      <c r="K908" t="n">
        <v>0</v>
      </c>
      <c r="L908" t="n">
        <v>0</v>
      </c>
      <c r="M908" t="n">
        <v>0</v>
      </c>
      <c r="N908" t="n">
        <v>0</v>
      </c>
      <c r="O908" t="n">
        <v>0</v>
      </c>
      <c r="P908" t="n">
        <v>0</v>
      </c>
      <c r="Q908" t="n">
        <v>0</v>
      </c>
      <c r="R908" s="2" t="inlineStr"/>
    </row>
    <row r="909" ht="15" customHeight="1">
      <c r="A909" t="inlineStr">
        <is>
          <t>A 61578-2023</t>
        </is>
      </c>
      <c r="B909" s="1" t="n">
        <v>45265.47399305556</v>
      </c>
      <c r="C909" s="1" t="n">
        <v>46092</v>
      </c>
      <c r="D909" t="inlineStr">
        <is>
          <t>SKÅNE LÄN</t>
        </is>
      </c>
      <c r="E909" t="inlineStr">
        <is>
          <t>HÄSSLEHOLM</t>
        </is>
      </c>
      <c r="G909" t="n">
        <v>1.2</v>
      </c>
      <c r="H909" t="n">
        <v>0</v>
      </c>
      <c r="I909" t="n">
        <v>0</v>
      </c>
      <c r="J909" t="n">
        <v>0</v>
      </c>
      <c r="K909" t="n">
        <v>0</v>
      </c>
      <c r="L909" t="n">
        <v>0</v>
      </c>
      <c r="M909" t="n">
        <v>0</v>
      </c>
      <c r="N909" t="n">
        <v>0</v>
      </c>
      <c r="O909" t="n">
        <v>0</v>
      </c>
      <c r="P909" t="n">
        <v>0</v>
      </c>
      <c r="Q909" t="n">
        <v>0</v>
      </c>
      <c r="R909" s="2" t="inlineStr"/>
    </row>
    <row r="910" ht="15" customHeight="1">
      <c r="A910" t="inlineStr">
        <is>
          <t>A 25542-2024</t>
        </is>
      </c>
      <c r="B910" s="1" t="n">
        <v>45463</v>
      </c>
      <c r="C910" s="1" t="n">
        <v>46092</v>
      </c>
      <c r="D910" t="inlineStr">
        <is>
          <t>SKÅNE LÄN</t>
        </is>
      </c>
      <c r="E910" t="inlineStr">
        <is>
          <t>HÄSSLEHOLM</t>
        </is>
      </c>
      <c r="G910" t="n">
        <v>6.9</v>
      </c>
      <c r="H910" t="n">
        <v>0</v>
      </c>
      <c r="I910" t="n">
        <v>0</v>
      </c>
      <c r="J910" t="n">
        <v>0</v>
      </c>
      <c r="K910" t="n">
        <v>0</v>
      </c>
      <c r="L910" t="n">
        <v>0</v>
      </c>
      <c r="M910" t="n">
        <v>0</v>
      </c>
      <c r="N910" t="n">
        <v>0</v>
      </c>
      <c r="O910" t="n">
        <v>0</v>
      </c>
      <c r="P910" t="n">
        <v>0</v>
      </c>
      <c r="Q910" t="n">
        <v>0</v>
      </c>
      <c r="R910" s="2" t="inlineStr"/>
    </row>
    <row r="911" ht="15" customHeight="1">
      <c r="A911" t="inlineStr">
        <is>
          <t>A 42370-2023</t>
        </is>
      </c>
      <c r="B911" s="1" t="n">
        <v>45180</v>
      </c>
      <c r="C911" s="1" t="n">
        <v>46092</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11422-2025</t>
        </is>
      </c>
      <c r="B912" s="1" t="n">
        <v>45726</v>
      </c>
      <c r="C912" s="1" t="n">
        <v>46092</v>
      </c>
      <c r="D912" t="inlineStr">
        <is>
          <t>SKÅNE LÄN</t>
        </is>
      </c>
      <c r="E912" t="inlineStr">
        <is>
          <t>HÄSSLEHOLM</t>
        </is>
      </c>
      <c r="G912" t="n">
        <v>14.9</v>
      </c>
      <c r="H912" t="n">
        <v>0</v>
      </c>
      <c r="I912" t="n">
        <v>0</v>
      </c>
      <c r="J912" t="n">
        <v>0</v>
      </c>
      <c r="K912" t="n">
        <v>0</v>
      </c>
      <c r="L912" t="n">
        <v>0</v>
      </c>
      <c r="M912" t="n">
        <v>0</v>
      </c>
      <c r="N912" t="n">
        <v>0</v>
      </c>
      <c r="O912" t="n">
        <v>0</v>
      </c>
      <c r="P912" t="n">
        <v>0</v>
      </c>
      <c r="Q912" t="n">
        <v>0</v>
      </c>
      <c r="R912" s="2" t="inlineStr"/>
    </row>
    <row r="913" ht="15" customHeight="1">
      <c r="A913" t="inlineStr">
        <is>
          <t>A 7604-2024</t>
        </is>
      </c>
      <c r="B913" s="1" t="n">
        <v>45348</v>
      </c>
      <c r="C913" s="1" t="n">
        <v>46092</v>
      </c>
      <c r="D913" t="inlineStr">
        <is>
          <t>SKÅNE LÄN</t>
        </is>
      </c>
      <c r="E913" t="inlineStr">
        <is>
          <t>HÄSSLEHOLM</t>
        </is>
      </c>
      <c r="G913" t="n">
        <v>11.1</v>
      </c>
      <c r="H913" t="n">
        <v>0</v>
      </c>
      <c r="I913" t="n">
        <v>0</v>
      </c>
      <c r="J913" t="n">
        <v>0</v>
      </c>
      <c r="K913" t="n">
        <v>0</v>
      </c>
      <c r="L913" t="n">
        <v>0</v>
      </c>
      <c r="M913" t="n">
        <v>0</v>
      </c>
      <c r="N913" t="n">
        <v>0</v>
      </c>
      <c r="O913" t="n">
        <v>0</v>
      </c>
      <c r="P913" t="n">
        <v>0</v>
      </c>
      <c r="Q913" t="n">
        <v>0</v>
      </c>
      <c r="R913" s="2" t="inlineStr"/>
    </row>
    <row r="914" ht="15" customHeight="1">
      <c r="A914" t="inlineStr">
        <is>
          <t>A 29853-2024</t>
        </is>
      </c>
      <c r="B914" s="1" t="n">
        <v>45485.65844907407</v>
      </c>
      <c r="C914" s="1" t="n">
        <v>46092</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29287-2023</t>
        </is>
      </c>
      <c r="B915" s="1" t="n">
        <v>45098</v>
      </c>
      <c r="C915" s="1" t="n">
        <v>46092</v>
      </c>
      <c r="D915" t="inlineStr">
        <is>
          <t>SKÅNE LÄN</t>
        </is>
      </c>
      <c r="E915" t="inlineStr">
        <is>
          <t>HÄSSLEHOLM</t>
        </is>
      </c>
      <c r="G915" t="n">
        <v>5.7</v>
      </c>
      <c r="H915" t="n">
        <v>0</v>
      </c>
      <c r="I915" t="n">
        <v>0</v>
      </c>
      <c r="J915" t="n">
        <v>0</v>
      </c>
      <c r="K915" t="n">
        <v>0</v>
      </c>
      <c r="L915" t="n">
        <v>0</v>
      </c>
      <c r="M915" t="n">
        <v>0</v>
      </c>
      <c r="N915" t="n">
        <v>0</v>
      </c>
      <c r="O915" t="n">
        <v>0</v>
      </c>
      <c r="P915" t="n">
        <v>0</v>
      </c>
      <c r="Q915" t="n">
        <v>0</v>
      </c>
      <c r="R915" s="2" t="inlineStr"/>
    </row>
    <row r="916" ht="15" customHeight="1">
      <c r="A916" t="inlineStr">
        <is>
          <t>A 5992-2022</t>
        </is>
      </c>
      <c r="B916" s="1" t="n">
        <v>44599</v>
      </c>
      <c r="C916" s="1" t="n">
        <v>46092</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25324-2024</t>
        </is>
      </c>
      <c r="B917" s="1" t="n">
        <v>45462.804375</v>
      </c>
      <c r="C917" s="1" t="n">
        <v>46092</v>
      </c>
      <c r="D917" t="inlineStr">
        <is>
          <t>SKÅNE LÄN</t>
        </is>
      </c>
      <c r="E917" t="inlineStr">
        <is>
          <t>HÄSSLEHOLM</t>
        </is>
      </c>
      <c r="G917" t="n">
        <v>0.2</v>
      </c>
      <c r="H917" t="n">
        <v>0</v>
      </c>
      <c r="I917" t="n">
        <v>0</v>
      </c>
      <c r="J917" t="n">
        <v>0</v>
      </c>
      <c r="K917" t="n">
        <v>0</v>
      </c>
      <c r="L917" t="n">
        <v>0</v>
      </c>
      <c r="M917" t="n">
        <v>0</v>
      </c>
      <c r="N917" t="n">
        <v>0</v>
      </c>
      <c r="O917" t="n">
        <v>0</v>
      </c>
      <c r="P917" t="n">
        <v>0</v>
      </c>
      <c r="Q917" t="n">
        <v>0</v>
      </c>
      <c r="R917" s="2" t="inlineStr"/>
    </row>
    <row r="918" ht="15" customHeight="1">
      <c r="A918" t="inlineStr">
        <is>
          <t>A 8803-2023</t>
        </is>
      </c>
      <c r="B918" s="1" t="n">
        <v>44978.61712962963</v>
      </c>
      <c r="C918" s="1" t="n">
        <v>46092</v>
      </c>
      <c r="D918" t="inlineStr">
        <is>
          <t>SKÅNE LÄN</t>
        </is>
      </c>
      <c r="E918" t="inlineStr">
        <is>
          <t>HÄSSLEHOLM</t>
        </is>
      </c>
      <c r="G918" t="n">
        <v>1.1</v>
      </c>
      <c r="H918" t="n">
        <v>0</v>
      </c>
      <c r="I918" t="n">
        <v>0</v>
      </c>
      <c r="J918" t="n">
        <v>0</v>
      </c>
      <c r="K918" t="n">
        <v>0</v>
      </c>
      <c r="L918" t="n">
        <v>0</v>
      </c>
      <c r="M918" t="n">
        <v>0</v>
      </c>
      <c r="N918" t="n">
        <v>0</v>
      </c>
      <c r="O918" t="n">
        <v>0</v>
      </c>
      <c r="P918" t="n">
        <v>0</v>
      </c>
      <c r="Q918" t="n">
        <v>0</v>
      </c>
      <c r="R918" s="2" t="inlineStr"/>
    </row>
    <row r="919" ht="15" customHeight="1">
      <c r="A919" t="inlineStr">
        <is>
          <t>A 4809-2025</t>
        </is>
      </c>
      <c r="B919" s="1" t="n">
        <v>45688.60148148148</v>
      </c>
      <c r="C919" s="1" t="n">
        <v>46092</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12780-2024</t>
        </is>
      </c>
      <c r="B920" s="1" t="n">
        <v>45384.59726851852</v>
      </c>
      <c r="C920" s="1" t="n">
        <v>46092</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9375-2023</t>
        </is>
      </c>
      <c r="B921" s="1" t="n">
        <v>44981</v>
      </c>
      <c r="C921" s="1" t="n">
        <v>46092</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30006-2023</t>
        </is>
      </c>
      <c r="B922" s="1" t="n">
        <v>45109.79962962963</v>
      </c>
      <c r="C922" s="1" t="n">
        <v>46092</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49167-2022</t>
        </is>
      </c>
      <c r="B923" s="1" t="n">
        <v>44860</v>
      </c>
      <c r="C923" s="1" t="n">
        <v>46092</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57963-2023</t>
        </is>
      </c>
      <c r="B924" s="1" t="n">
        <v>45247.57732638889</v>
      </c>
      <c r="C924" s="1" t="n">
        <v>46092</v>
      </c>
      <c r="D924" t="inlineStr">
        <is>
          <t>SKÅNE LÄN</t>
        </is>
      </c>
      <c r="E924" t="inlineStr">
        <is>
          <t>HÄSSLEHOLM</t>
        </is>
      </c>
      <c r="G924" t="n">
        <v>4.6</v>
      </c>
      <c r="H924" t="n">
        <v>0</v>
      </c>
      <c r="I924" t="n">
        <v>0</v>
      </c>
      <c r="J924" t="n">
        <v>0</v>
      </c>
      <c r="K924" t="n">
        <v>0</v>
      </c>
      <c r="L924" t="n">
        <v>0</v>
      </c>
      <c r="M924" t="n">
        <v>0</v>
      </c>
      <c r="N924" t="n">
        <v>0</v>
      </c>
      <c r="O924" t="n">
        <v>0</v>
      </c>
      <c r="P924" t="n">
        <v>0</v>
      </c>
      <c r="Q924" t="n">
        <v>0</v>
      </c>
      <c r="R924" s="2" t="inlineStr"/>
    </row>
    <row r="925" ht="15" customHeight="1">
      <c r="A925" t="inlineStr">
        <is>
          <t>A 57033-2022</t>
        </is>
      </c>
      <c r="B925" s="1" t="n">
        <v>44895.31270833333</v>
      </c>
      <c r="C925" s="1" t="n">
        <v>46092</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35845-2022</t>
        </is>
      </c>
      <c r="B926" s="1" t="n">
        <v>44802</v>
      </c>
      <c r="C926" s="1" t="n">
        <v>46092</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22140-2023</t>
        </is>
      </c>
      <c r="B927" s="1" t="n">
        <v>45065</v>
      </c>
      <c r="C927" s="1" t="n">
        <v>46092</v>
      </c>
      <c r="D927" t="inlineStr">
        <is>
          <t>SKÅNE LÄN</t>
        </is>
      </c>
      <c r="E927" t="inlineStr">
        <is>
          <t>HÄSSLEHOLM</t>
        </is>
      </c>
      <c r="G927" t="n">
        <v>6.7</v>
      </c>
      <c r="H927" t="n">
        <v>0</v>
      </c>
      <c r="I927" t="n">
        <v>0</v>
      </c>
      <c r="J927" t="n">
        <v>0</v>
      </c>
      <c r="K927" t="n">
        <v>0</v>
      </c>
      <c r="L927" t="n">
        <v>0</v>
      </c>
      <c r="M927" t="n">
        <v>0</v>
      </c>
      <c r="N927" t="n">
        <v>0</v>
      </c>
      <c r="O927" t="n">
        <v>0</v>
      </c>
      <c r="P927" t="n">
        <v>0</v>
      </c>
      <c r="Q927" t="n">
        <v>0</v>
      </c>
      <c r="R927" s="2" t="inlineStr"/>
    </row>
    <row r="928" ht="15" customHeight="1">
      <c r="A928" t="inlineStr">
        <is>
          <t>A 7653-2024</t>
        </is>
      </c>
      <c r="B928" s="1" t="n">
        <v>45348.69043981482</v>
      </c>
      <c r="C928" s="1" t="n">
        <v>46092</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24679-2023</t>
        </is>
      </c>
      <c r="B929" s="1" t="n">
        <v>45084</v>
      </c>
      <c r="C929" s="1" t="n">
        <v>46092</v>
      </c>
      <c r="D929" t="inlineStr">
        <is>
          <t>SKÅNE LÄN</t>
        </is>
      </c>
      <c r="E929" t="inlineStr">
        <is>
          <t>HÄSSLEHOLM</t>
        </is>
      </c>
      <c r="G929" t="n">
        <v>7.1</v>
      </c>
      <c r="H929" t="n">
        <v>0</v>
      </c>
      <c r="I929" t="n">
        <v>0</v>
      </c>
      <c r="J929" t="n">
        <v>0</v>
      </c>
      <c r="K929" t="n">
        <v>0</v>
      </c>
      <c r="L929" t="n">
        <v>0</v>
      </c>
      <c r="M929" t="n">
        <v>0</v>
      </c>
      <c r="N929" t="n">
        <v>0</v>
      </c>
      <c r="O929" t="n">
        <v>0</v>
      </c>
      <c r="P929" t="n">
        <v>0</v>
      </c>
      <c r="Q929" t="n">
        <v>0</v>
      </c>
      <c r="R929" s="2" t="inlineStr"/>
    </row>
    <row r="930" ht="15" customHeight="1">
      <c r="A930" t="inlineStr">
        <is>
          <t>A 49219-2021</t>
        </is>
      </c>
      <c r="B930" s="1" t="n">
        <v>44454</v>
      </c>
      <c r="C930" s="1" t="n">
        <v>46092</v>
      </c>
      <c r="D930" t="inlineStr">
        <is>
          <t>SKÅNE LÄN</t>
        </is>
      </c>
      <c r="E930" t="inlineStr">
        <is>
          <t>HÄSSLEHOLM</t>
        </is>
      </c>
      <c r="G930" t="n">
        <v>7.8</v>
      </c>
      <c r="H930" t="n">
        <v>0</v>
      </c>
      <c r="I930" t="n">
        <v>0</v>
      </c>
      <c r="J930" t="n">
        <v>0</v>
      </c>
      <c r="K930" t="n">
        <v>0</v>
      </c>
      <c r="L930" t="n">
        <v>0</v>
      </c>
      <c r="M930" t="n">
        <v>0</v>
      </c>
      <c r="N930" t="n">
        <v>0</v>
      </c>
      <c r="O930" t="n">
        <v>0</v>
      </c>
      <c r="P930" t="n">
        <v>0</v>
      </c>
      <c r="Q930" t="n">
        <v>0</v>
      </c>
      <c r="R930" s="2" t="inlineStr"/>
    </row>
    <row r="931" ht="15" customHeight="1">
      <c r="A931" t="inlineStr">
        <is>
          <t>A 5890-2023</t>
        </is>
      </c>
      <c r="B931" s="1" t="n">
        <v>44963.64527777778</v>
      </c>
      <c r="C931" s="1" t="n">
        <v>46092</v>
      </c>
      <c r="D931" t="inlineStr">
        <is>
          <t>SKÅNE LÄN</t>
        </is>
      </c>
      <c r="E931" t="inlineStr">
        <is>
          <t>HÄSSLEHOLM</t>
        </is>
      </c>
      <c r="G931" t="n">
        <v>1.6</v>
      </c>
      <c r="H931" t="n">
        <v>0</v>
      </c>
      <c r="I931" t="n">
        <v>0</v>
      </c>
      <c r="J931" t="n">
        <v>0</v>
      </c>
      <c r="K931" t="n">
        <v>0</v>
      </c>
      <c r="L931" t="n">
        <v>0</v>
      </c>
      <c r="M931" t="n">
        <v>0</v>
      </c>
      <c r="N931" t="n">
        <v>0</v>
      </c>
      <c r="O931" t="n">
        <v>0</v>
      </c>
      <c r="P931" t="n">
        <v>0</v>
      </c>
      <c r="Q931" t="n">
        <v>0</v>
      </c>
      <c r="R931" s="2" t="inlineStr"/>
    </row>
    <row r="932" ht="15" customHeight="1">
      <c r="A932" t="inlineStr">
        <is>
          <t>A 12936-2025</t>
        </is>
      </c>
      <c r="B932" s="1" t="n">
        <v>45734</v>
      </c>
      <c r="C932" s="1" t="n">
        <v>46092</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56062-2024</t>
        </is>
      </c>
      <c r="B933" s="1" t="n">
        <v>45624.37105324074</v>
      </c>
      <c r="C933" s="1" t="n">
        <v>46092</v>
      </c>
      <c r="D933" t="inlineStr">
        <is>
          <t>SKÅNE LÄN</t>
        </is>
      </c>
      <c r="E933" t="inlineStr">
        <is>
          <t>HÄSSLEHOLM</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41209-2023</t>
        </is>
      </c>
      <c r="B934" s="1" t="n">
        <v>45174.43481481481</v>
      </c>
      <c r="C934" s="1" t="n">
        <v>46092</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57275-2023</t>
        </is>
      </c>
      <c r="B935" s="1" t="n">
        <v>45245.58886574074</v>
      </c>
      <c r="C935" s="1" t="n">
        <v>46092</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53302-2022</t>
        </is>
      </c>
      <c r="B936" s="1" t="n">
        <v>44877</v>
      </c>
      <c r="C936" s="1" t="n">
        <v>46092</v>
      </c>
      <c r="D936" t="inlineStr">
        <is>
          <t>SKÅNE LÄN</t>
        </is>
      </c>
      <c r="E936" t="inlineStr">
        <is>
          <t>HÄSSLEHOLM</t>
        </is>
      </c>
      <c r="G936" t="n">
        <v>0.1</v>
      </c>
      <c r="H936" t="n">
        <v>0</v>
      </c>
      <c r="I936" t="n">
        <v>0</v>
      </c>
      <c r="J936" t="n">
        <v>0</v>
      </c>
      <c r="K936" t="n">
        <v>0</v>
      </c>
      <c r="L936" t="n">
        <v>0</v>
      </c>
      <c r="M936" t="n">
        <v>0</v>
      </c>
      <c r="N936" t="n">
        <v>0</v>
      </c>
      <c r="O936" t="n">
        <v>0</v>
      </c>
      <c r="P936" t="n">
        <v>0</v>
      </c>
      <c r="Q936" t="n">
        <v>0</v>
      </c>
      <c r="R936" s="2" t="inlineStr"/>
    </row>
    <row r="937" ht="15" customHeight="1">
      <c r="A937" t="inlineStr">
        <is>
          <t>A 27991-2024</t>
        </is>
      </c>
      <c r="B937" s="1" t="n">
        <v>45476</v>
      </c>
      <c r="C937" s="1" t="n">
        <v>46092</v>
      </c>
      <c r="D937" t="inlineStr">
        <is>
          <t>SKÅNE LÄN</t>
        </is>
      </c>
      <c r="E937" t="inlineStr">
        <is>
          <t>HÄSSLEHOLM</t>
        </is>
      </c>
      <c r="G937" t="n">
        <v>5.8</v>
      </c>
      <c r="H937" t="n">
        <v>0</v>
      </c>
      <c r="I937" t="n">
        <v>0</v>
      </c>
      <c r="J937" t="n">
        <v>0</v>
      </c>
      <c r="K937" t="n">
        <v>0</v>
      </c>
      <c r="L937" t="n">
        <v>0</v>
      </c>
      <c r="M937" t="n">
        <v>0</v>
      </c>
      <c r="N937" t="n">
        <v>0</v>
      </c>
      <c r="O937" t="n">
        <v>0</v>
      </c>
      <c r="P937" t="n">
        <v>0</v>
      </c>
      <c r="Q937" t="n">
        <v>0</v>
      </c>
      <c r="R937" s="2" t="inlineStr"/>
    </row>
    <row r="938" ht="15" customHeight="1">
      <c r="A938" t="inlineStr">
        <is>
          <t>A 31946-2023</t>
        </is>
      </c>
      <c r="B938" s="1" t="n">
        <v>45119.35158564815</v>
      </c>
      <c r="C938" s="1" t="n">
        <v>46092</v>
      </c>
      <c r="D938" t="inlineStr">
        <is>
          <t>SKÅNE LÄN</t>
        </is>
      </c>
      <c r="E938" t="inlineStr">
        <is>
          <t>HÄSSLEHOLM</t>
        </is>
      </c>
      <c r="G938" t="n">
        <v>0.3</v>
      </c>
      <c r="H938" t="n">
        <v>0</v>
      </c>
      <c r="I938" t="n">
        <v>0</v>
      </c>
      <c r="J938" t="n">
        <v>0</v>
      </c>
      <c r="K938" t="n">
        <v>0</v>
      </c>
      <c r="L938" t="n">
        <v>0</v>
      </c>
      <c r="M938" t="n">
        <v>0</v>
      </c>
      <c r="N938" t="n">
        <v>0</v>
      </c>
      <c r="O938" t="n">
        <v>0</v>
      </c>
      <c r="P938" t="n">
        <v>0</v>
      </c>
      <c r="Q938" t="n">
        <v>0</v>
      </c>
      <c r="R938" s="2" t="inlineStr"/>
    </row>
    <row r="939" ht="15" customHeight="1">
      <c r="A939" t="inlineStr">
        <is>
          <t>A 48798-2023</t>
        </is>
      </c>
      <c r="B939" s="1" t="n">
        <v>45209.25318287037</v>
      </c>
      <c r="C939" s="1" t="n">
        <v>46092</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48844-2023</t>
        </is>
      </c>
      <c r="B940" s="1" t="n">
        <v>45209</v>
      </c>
      <c r="C940" s="1" t="n">
        <v>46092</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48877-2024</t>
        </is>
      </c>
      <c r="B941" s="1" t="n">
        <v>45594.31729166667</v>
      </c>
      <c r="C941" s="1" t="n">
        <v>46092</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45984-2021</t>
        </is>
      </c>
      <c r="B942" s="1" t="n">
        <v>44441</v>
      </c>
      <c r="C942" s="1" t="n">
        <v>46092</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8378-2023</t>
        </is>
      </c>
      <c r="B943" s="1" t="n">
        <v>44971</v>
      </c>
      <c r="C943" s="1" t="n">
        <v>46092</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45398-2024</t>
        </is>
      </c>
      <c r="B944" s="1" t="n">
        <v>45576.56260416667</v>
      </c>
      <c r="C944" s="1" t="n">
        <v>46092</v>
      </c>
      <c r="D944" t="inlineStr">
        <is>
          <t>SKÅNE LÄN</t>
        </is>
      </c>
      <c r="E944" t="inlineStr">
        <is>
          <t>HÄSSLEHOLM</t>
        </is>
      </c>
      <c r="G944" t="n">
        <v>4.2</v>
      </c>
      <c r="H944" t="n">
        <v>0</v>
      </c>
      <c r="I944" t="n">
        <v>0</v>
      </c>
      <c r="J944" t="n">
        <v>0</v>
      </c>
      <c r="K944" t="n">
        <v>0</v>
      </c>
      <c r="L944" t="n">
        <v>0</v>
      </c>
      <c r="M944" t="n">
        <v>0</v>
      </c>
      <c r="N944" t="n">
        <v>0</v>
      </c>
      <c r="O944" t="n">
        <v>0</v>
      </c>
      <c r="P944" t="n">
        <v>0</v>
      </c>
      <c r="Q944" t="n">
        <v>0</v>
      </c>
      <c r="R944" s="2" t="inlineStr"/>
    </row>
    <row r="945" ht="15" customHeight="1">
      <c r="A945" t="inlineStr">
        <is>
          <t>A 4140-2023</t>
        </is>
      </c>
      <c r="B945" s="1" t="n">
        <v>44953</v>
      </c>
      <c r="C945" s="1" t="n">
        <v>46092</v>
      </c>
      <c r="D945" t="inlineStr">
        <is>
          <t>SKÅNE LÄN</t>
        </is>
      </c>
      <c r="E945" t="inlineStr">
        <is>
          <t>HÄSSLEHOLM</t>
        </is>
      </c>
      <c r="G945" t="n">
        <v>10.6</v>
      </c>
      <c r="H945" t="n">
        <v>0</v>
      </c>
      <c r="I945" t="n">
        <v>0</v>
      </c>
      <c r="J945" t="n">
        <v>0</v>
      </c>
      <c r="K945" t="n">
        <v>0</v>
      </c>
      <c r="L945" t="n">
        <v>0</v>
      </c>
      <c r="M945" t="n">
        <v>0</v>
      </c>
      <c r="N945" t="n">
        <v>0</v>
      </c>
      <c r="O945" t="n">
        <v>0</v>
      </c>
      <c r="P945" t="n">
        <v>0</v>
      </c>
      <c r="Q945" t="n">
        <v>0</v>
      </c>
      <c r="R945" s="2" t="inlineStr"/>
    </row>
    <row r="946" ht="15" customHeight="1">
      <c r="A946" t="inlineStr">
        <is>
          <t>A 50000-2023</t>
        </is>
      </c>
      <c r="B946" s="1" t="n">
        <v>45215.4434837963</v>
      </c>
      <c r="C946" s="1" t="n">
        <v>46092</v>
      </c>
      <c r="D946" t="inlineStr">
        <is>
          <t>SKÅNE LÄN</t>
        </is>
      </c>
      <c r="E946" t="inlineStr">
        <is>
          <t>HÄSSLEHOLM</t>
        </is>
      </c>
      <c r="G946" t="n">
        <v>1.6</v>
      </c>
      <c r="H946" t="n">
        <v>0</v>
      </c>
      <c r="I946" t="n">
        <v>0</v>
      </c>
      <c r="J946" t="n">
        <v>0</v>
      </c>
      <c r="K946" t="n">
        <v>0</v>
      </c>
      <c r="L946" t="n">
        <v>0</v>
      </c>
      <c r="M946" t="n">
        <v>0</v>
      </c>
      <c r="N946" t="n">
        <v>0</v>
      </c>
      <c r="O946" t="n">
        <v>0</v>
      </c>
      <c r="P946" t="n">
        <v>0</v>
      </c>
      <c r="Q946" t="n">
        <v>0</v>
      </c>
      <c r="R946" s="2" t="inlineStr"/>
    </row>
    <row r="947" ht="15" customHeight="1">
      <c r="A947" t="inlineStr">
        <is>
          <t>A 417-2022</t>
        </is>
      </c>
      <c r="B947" s="1" t="n">
        <v>44565.84615740741</v>
      </c>
      <c r="C947" s="1" t="n">
        <v>46092</v>
      </c>
      <c r="D947" t="inlineStr">
        <is>
          <t>SKÅNE LÄN</t>
        </is>
      </c>
      <c r="E947" t="inlineStr">
        <is>
          <t>HÄSSLEHOLM</t>
        </is>
      </c>
      <c r="G947" t="n">
        <v>0</v>
      </c>
      <c r="H947" t="n">
        <v>0</v>
      </c>
      <c r="I947" t="n">
        <v>0</v>
      </c>
      <c r="J947" t="n">
        <v>0</v>
      </c>
      <c r="K947" t="n">
        <v>0</v>
      </c>
      <c r="L947" t="n">
        <v>0</v>
      </c>
      <c r="M947" t="n">
        <v>0</v>
      </c>
      <c r="N947" t="n">
        <v>0</v>
      </c>
      <c r="O947" t="n">
        <v>0</v>
      </c>
      <c r="P947" t="n">
        <v>0</v>
      </c>
      <c r="Q947" t="n">
        <v>0</v>
      </c>
      <c r="R947" s="2" t="inlineStr"/>
    </row>
    <row r="948" ht="15" customHeight="1">
      <c r="A948" t="inlineStr">
        <is>
          <t>A 51040-2024</t>
        </is>
      </c>
      <c r="B948" s="1" t="n">
        <v>45603.43222222223</v>
      </c>
      <c r="C948" s="1" t="n">
        <v>46092</v>
      </c>
      <c r="D948" t="inlineStr">
        <is>
          <t>SKÅNE LÄN</t>
        </is>
      </c>
      <c r="E948" t="inlineStr">
        <is>
          <t>HÄSSLEHOLM</t>
        </is>
      </c>
      <c r="G948" t="n">
        <v>2.7</v>
      </c>
      <c r="H948" t="n">
        <v>0</v>
      </c>
      <c r="I948" t="n">
        <v>0</v>
      </c>
      <c r="J948" t="n">
        <v>0</v>
      </c>
      <c r="K948" t="n">
        <v>0</v>
      </c>
      <c r="L948" t="n">
        <v>0</v>
      </c>
      <c r="M948" t="n">
        <v>0</v>
      </c>
      <c r="N948" t="n">
        <v>0</v>
      </c>
      <c r="O948" t="n">
        <v>0</v>
      </c>
      <c r="P948" t="n">
        <v>0</v>
      </c>
      <c r="Q948" t="n">
        <v>0</v>
      </c>
      <c r="R948" s="2" t="inlineStr"/>
    </row>
    <row r="949" ht="15" customHeight="1">
      <c r="A949" t="inlineStr">
        <is>
          <t>A 50249-2024</t>
        </is>
      </c>
      <c r="B949" s="1" t="n">
        <v>45600.56866898148</v>
      </c>
      <c r="C949" s="1" t="n">
        <v>46092</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54326-2022</t>
        </is>
      </c>
      <c r="B950" s="1" t="n">
        <v>44882.42965277778</v>
      </c>
      <c r="C950" s="1" t="n">
        <v>46092</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54174-2022</t>
        </is>
      </c>
      <c r="B951" s="1" t="n">
        <v>44881</v>
      </c>
      <c r="C951" s="1" t="n">
        <v>46092</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38376-2022</t>
        </is>
      </c>
      <c r="B952" s="1" t="n">
        <v>44812</v>
      </c>
      <c r="C952" s="1" t="n">
        <v>46092</v>
      </c>
      <c r="D952" t="inlineStr">
        <is>
          <t>SKÅNE LÄN</t>
        </is>
      </c>
      <c r="E952" t="inlineStr">
        <is>
          <t>HÄSSLEHOLM</t>
        </is>
      </c>
      <c r="G952" t="n">
        <v>1.9</v>
      </c>
      <c r="H952" t="n">
        <v>0</v>
      </c>
      <c r="I952" t="n">
        <v>0</v>
      </c>
      <c r="J952" t="n">
        <v>0</v>
      </c>
      <c r="K952" t="n">
        <v>0</v>
      </c>
      <c r="L952" t="n">
        <v>0</v>
      </c>
      <c r="M952" t="n">
        <v>0</v>
      </c>
      <c r="N952" t="n">
        <v>0</v>
      </c>
      <c r="O952" t="n">
        <v>0</v>
      </c>
      <c r="P952" t="n">
        <v>0</v>
      </c>
      <c r="Q952" t="n">
        <v>0</v>
      </c>
      <c r="R952" s="2" t="inlineStr"/>
    </row>
    <row r="953" ht="15" customHeight="1">
      <c r="A953" t="inlineStr">
        <is>
          <t>A 54659-2023</t>
        </is>
      </c>
      <c r="B953" s="1" t="n">
        <v>45235</v>
      </c>
      <c r="C953" s="1" t="n">
        <v>46092</v>
      </c>
      <c r="D953" t="inlineStr">
        <is>
          <t>SKÅNE LÄN</t>
        </is>
      </c>
      <c r="E953" t="inlineStr">
        <is>
          <t>HÄSSLEHOLM</t>
        </is>
      </c>
      <c r="G953" t="n">
        <v>5</v>
      </c>
      <c r="H953" t="n">
        <v>0</v>
      </c>
      <c r="I953" t="n">
        <v>0</v>
      </c>
      <c r="J953" t="n">
        <v>0</v>
      </c>
      <c r="K953" t="n">
        <v>0</v>
      </c>
      <c r="L953" t="n">
        <v>0</v>
      </c>
      <c r="M953" t="n">
        <v>0</v>
      </c>
      <c r="N953" t="n">
        <v>0</v>
      </c>
      <c r="O953" t="n">
        <v>0</v>
      </c>
      <c r="P953" t="n">
        <v>0</v>
      </c>
      <c r="Q953" t="n">
        <v>0</v>
      </c>
      <c r="R953" s="2" t="inlineStr"/>
    </row>
    <row r="954" ht="15" customHeight="1">
      <c r="A954" t="inlineStr">
        <is>
          <t>A 15036-2024</t>
        </is>
      </c>
      <c r="B954" s="1" t="n">
        <v>45399.48100694444</v>
      </c>
      <c r="C954" s="1" t="n">
        <v>46092</v>
      </c>
      <c r="D954" t="inlineStr">
        <is>
          <t>SKÅNE LÄN</t>
        </is>
      </c>
      <c r="E954" t="inlineStr">
        <is>
          <t>HÄSSLEHOLM</t>
        </is>
      </c>
      <c r="G954" t="n">
        <v>1.6</v>
      </c>
      <c r="H954" t="n">
        <v>0</v>
      </c>
      <c r="I954" t="n">
        <v>0</v>
      </c>
      <c r="J954" t="n">
        <v>0</v>
      </c>
      <c r="K954" t="n">
        <v>0</v>
      </c>
      <c r="L954" t="n">
        <v>0</v>
      </c>
      <c r="M954" t="n">
        <v>0</v>
      </c>
      <c r="N954" t="n">
        <v>0</v>
      </c>
      <c r="O954" t="n">
        <v>0</v>
      </c>
      <c r="P954" t="n">
        <v>0</v>
      </c>
      <c r="Q954" t="n">
        <v>0</v>
      </c>
      <c r="R954" s="2" t="inlineStr"/>
    </row>
    <row r="955" ht="15" customHeight="1">
      <c r="A955" t="inlineStr">
        <is>
          <t>A 9709-2023</t>
        </is>
      </c>
      <c r="B955" s="1" t="n">
        <v>44984.48376157408</v>
      </c>
      <c r="C955" s="1" t="n">
        <v>46092</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9615-2025</t>
        </is>
      </c>
      <c r="B956" s="1" t="n">
        <v>45715</v>
      </c>
      <c r="C956" s="1" t="n">
        <v>46092</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8524-2024</t>
        </is>
      </c>
      <c r="B957" s="1" t="n">
        <v>45355.48570601852</v>
      </c>
      <c r="C957" s="1" t="n">
        <v>46092</v>
      </c>
      <c r="D957" t="inlineStr">
        <is>
          <t>SKÅNE LÄN</t>
        </is>
      </c>
      <c r="E957" t="inlineStr">
        <is>
          <t>HÄSSLEHOLM</t>
        </is>
      </c>
      <c r="G957" t="n">
        <v>4</v>
      </c>
      <c r="H957" t="n">
        <v>0</v>
      </c>
      <c r="I957" t="n">
        <v>0</v>
      </c>
      <c r="J957" t="n">
        <v>0</v>
      </c>
      <c r="K957" t="n">
        <v>0</v>
      </c>
      <c r="L957" t="n">
        <v>0</v>
      </c>
      <c r="M957" t="n">
        <v>0</v>
      </c>
      <c r="N957" t="n">
        <v>0</v>
      </c>
      <c r="O957" t="n">
        <v>0</v>
      </c>
      <c r="P957" t="n">
        <v>0</v>
      </c>
      <c r="Q957" t="n">
        <v>0</v>
      </c>
      <c r="R957" s="2" t="inlineStr"/>
    </row>
    <row r="958" ht="15" customHeight="1">
      <c r="A958" t="inlineStr">
        <is>
          <t>A 23987-2024</t>
        </is>
      </c>
      <c r="B958" s="1" t="n">
        <v>45456</v>
      </c>
      <c r="C958" s="1" t="n">
        <v>46092</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4042-2023</t>
        </is>
      </c>
      <c r="B959" s="1" t="n">
        <v>44952.59950231481</v>
      </c>
      <c r="C959" s="1" t="n">
        <v>46092</v>
      </c>
      <c r="D959" t="inlineStr">
        <is>
          <t>SKÅNE LÄN</t>
        </is>
      </c>
      <c r="E959" t="inlineStr">
        <is>
          <t>HÄSSLEHOLM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31160-2024</t>
        </is>
      </c>
      <c r="B960" s="1" t="n">
        <v>45503</v>
      </c>
      <c r="C960" s="1" t="n">
        <v>46092</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5054-2022</t>
        </is>
      </c>
      <c r="B961" s="1" t="n">
        <v>44593.69065972222</v>
      </c>
      <c r="C961" s="1" t="n">
        <v>46092</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31391-2023</t>
        </is>
      </c>
      <c r="B962" s="1" t="n">
        <v>45114.56143518518</v>
      </c>
      <c r="C962" s="1" t="n">
        <v>46092</v>
      </c>
      <c r="D962" t="inlineStr">
        <is>
          <t>SKÅNE LÄN</t>
        </is>
      </c>
      <c r="E962" t="inlineStr">
        <is>
          <t>HÄSSLEHOLM</t>
        </is>
      </c>
      <c r="G962" t="n">
        <v>3.1</v>
      </c>
      <c r="H962" t="n">
        <v>0</v>
      </c>
      <c r="I962" t="n">
        <v>0</v>
      </c>
      <c r="J962" t="n">
        <v>0</v>
      </c>
      <c r="K962" t="n">
        <v>0</v>
      </c>
      <c r="L962" t="n">
        <v>0</v>
      </c>
      <c r="M962" t="n">
        <v>0</v>
      </c>
      <c r="N962" t="n">
        <v>0</v>
      </c>
      <c r="O962" t="n">
        <v>0</v>
      </c>
      <c r="P962" t="n">
        <v>0</v>
      </c>
      <c r="Q962" t="n">
        <v>0</v>
      </c>
      <c r="R962" s="2" t="inlineStr"/>
    </row>
    <row r="963" ht="15" customHeight="1">
      <c r="A963" t="inlineStr">
        <is>
          <t>A 23723-2023</t>
        </is>
      </c>
      <c r="B963" s="1" t="n">
        <v>45077</v>
      </c>
      <c r="C963" s="1" t="n">
        <v>46092</v>
      </c>
      <c r="D963" t="inlineStr">
        <is>
          <t>SKÅNE LÄN</t>
        </is>
      </c>
      <c r="E963" t="inlineStr">
        <is>
          <t>HÄSSLEHOLM</t>
        </is>
      </c>
      <c r="G963" t="n">
        <v>3.9</v>
      </c>
      <c r="H963" t="n">
        <v>0</v>
      </c>
      <c r="I963" t="n">
        <v>0</v>
      </c>
      <c r="J963" t="n">
        <v>0</v>
      </c>
      <c r="K963" t="n">
        <v>0</v>
      </c>
      <c r="L963" t="n">
        <v>0</v>
      </c>
      <c r="M963" t="n">
        <v>0</v>
      </c>
      <c r="N963" t="n">
        <v>0</v>
      </c>
      <c r="O963" t="n">
        <v>0</v>
      </c>
      <c r="P963" t="n">
        <v>0</v>
      </c>
      <c r="Q963" t="n">
        <v>0</v>
      </c>
      <c r="R963" s="2" t="inlineStr"/>
    </row>
    <row r="964" ht="15" customHeight="1">
      <c r="A964" t="inlineStr">
        <is>
          <t>A 31933-2024</t>
        </is>
      </c>
      <c r="B964" s="1" t="n">
        <v>45510.41123842593</v>
      </c>
      <c r="C964" s="1" t="n">
        <v>46092</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31581-2023</t>
        </is>
      </c>
      <c r="B965" s="1" t="n">
        <v>45117.45165509259</v>
      </c>
      <c r="C965" s="1" t="n">
        <v>46092</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55303-2024</t>
        </is>
      </c>
      <c r="B966" s="1" t="n">
        <v>45621.6434837963</v>
      </c>
      <c r="C966" s="1" t="n">
        <v>46092</v>
      </c>
      <c r="D966" t="inlineStr">
        <is>
          <t>SKÅNE LÄN</t>
        </is>
      </c>
      <c r="E966" t="inlineStr">
        <is>
          <t>HÄSSLEHOLM</t>
        </is>
      </c>
      <c r="G966" t="n">
        <v>3.3</v>
      </c>
      <c r="H966" t="n">
        <v>0</v>
      </c>
      <c r="I966" t="n">
        <v>0</v>
      </c>
      <c r="J966" t="n">
        <v>0</v>
      </c>
      <c r="K966" t="n">
        <v>0</v>
      </c>
      <c r="L966" t="n">
        <v>0</v>
      </c>
      <c r="M966" t="n">
        <v>0</v>
      </c>
      <c r="N966" t="n">
        <v>0</v>
      </c>
      <c r="O966" t="n">
        <v>0</v>
      </c>
      <c r="P966" t="n">
        <v>0</v>
      </c>
      <c r="Q966" t="n">
        <v>0</v>
      </c>
      <c r="R966" s="2" t="inlineStr"/>
    </row>
    <row r="967" ht="15" customHeight="1">
      <c r="A967" t="inlineStr">
        <is>
          <t>A 40202-2022</t>
        </is>
      </c>
      <c r="B967" s="1" t="n">
        <v>44820.60614583334</v>
      </c>
      <c r="C967" s="1" t="n">
        <v>46092</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4382-2023</t>
        </is>
      </c>
      <c r="B968" s="1" t="n">
        <v>44955.61152777778</v>
      </c>
      <c r="C968" s="1" t="n">
        <v>46092</v>
      </c>
      <c r="D968" t="inlineStr">
        <is>
          <t>SKÅNE LÄN</t>
        </is>
      </c>
      <c r="E968" t="inlineStr">
        <is>
          <t>HÄSSLEHOLM</t>
        </is>
      </c>
      <c r="G968" t="n">
        <v>0.3</v>
      </c>
      <c r="H968" t="n">
        <v>0</v>
      </c>
      <c r="I968" t="n">
        <v>0</v>
      </c>
      <c r="J968" t="n">
        <v>0</v>
      </c>
      <c r="K968" t="n">
        <v>0</v>
      </c>
      <c r="L968" t="n">
        <v>0</v>
      </c>
      <c r="M968" t="n">
        <v>0</v>
      </c>
      <c r="N968" t="n">
        <v>0</v>
      </c>
      <c r="O968" t="n">
        <v>0</v>
      </c>
      <c r="P968" t="n">
        <v>0</v>
      </c>
      <c r="Q968" t="n">
        <v>0</v>
      </c>
      <c r="R968" s="2" t="inlineStr"/>
    </row>
    <row r="969" ht="15" customHeight="1">
      <c r="A969" t="inlineStr">
        <is>
          <t>A 52608-2023</t>
        </is>
      </c>
      <c r="B969" s="1" t="n">
        <v>45219</v>
      </c>
      <c r="C969" s="1" t="n">
        <v>46092</v>
      </c>
      <c r="D969" t="inlineStr">
        <is>
          <t>SKÅNE LÄN</t>
        </is>
      </c>
      <c r="E969" t="inlineStr">
        <is>
          <t>HÄSSLEHOLM</t>
        </is>
      </c>
      <c r="F969" t="inlineStr">
        <is>
          <t>Övriga Aktiebolag</t>
        </is>
      </c>
      <c r="G969" t="n">
        <v>2.1</v>
      </c>
      <c r="H969" t="n">
        <v>0</v>
      </c>
      <c r="I969" t="n">
        <v>0</v>
      </c>
      <c r="J969" t="n">
        <v>0</v>
      </c>
      <c r="K969" t="n">
        <v>0</v>
      </c>
      <c r="L969" t="n">
        <v>0</v>
      </c>
      <c r="M969" t="n">
        <v>0</v>
      </c>
      <c r="N969" t="n">
        <v>0</v>
      </c>
      <c r="O969" t="n">
        <v>0</v>
      </c>
      <c r="P969" t="n">
        <v>0</v>
      </c>
      <c r="Q969" t="n">
        <v>0</v>
      </c>
      <c r="R969" s="2" t="inlineStr"/>
    </row>
    <row r="970" ht="15" customHeight="1">
      <c r="A970" t="inlineStr">
        <is>
          <t>A 27954-2022</t>
        </is>
      </c>
      <c r="B970" s="1" t="n">
        <v>44743</v>
      </c>
      <c r="C970" s="1" t="n">
        <v>46092</v>
      </c>
      <c r="D970" t="inlineStr">
        <is>
          <t>SKÅNE LÄN</t>
        </is>
      </c>
      <c r="E970" t="inlineStr">
        <is>
          <t>HÄSSLEHOLM</t>
        </is>
      </c>
      <c r="G970" t="n">
        <v>9.4</v>
      </c>
      <c r="H970" t="n">
        <v>0</v>
      </c>
      <c r="I970" t="n">
        <v>0</v>
      </c>
      <c r="J970" t="n">
        <v>0</v>
      </c>
      <c r="K970" t="n">
        <v>0</v>
      </c>
      <c r="L970" t="n">
        <v>0</v>
      </c>
      <c r="M970" t="n">
        <v>0</v>
      </c>
      <c r="N970" t="n">
        <v>0</v>
      </c>
      <c r="O970" t="n">
        <v>0</v>
      </c>
      <c r="P970" t="n">
        <v>0</v>
      </c>
      <c r="Q970" t="n">
        <v>0</v>
      </c>
      <c r="R970" s="2" t="inlineStr"/>
    </row>
    <row r="971" ht="15" customHeight="1">
      <c r="A971" t="inlineStr">
        <is>
          <t>A 20493-2024</t>
        </is>
      </c>
      <c r="B971" s="1" t="n">
        <v>45435</v>
      </c>
      <c r="C971" s="1" t="n">
        <v>46092</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41873-2023</t>
        </is>
      </c>
      <c r="B972" s="1" t="n">
        <v>45176</v>
      </c>
      <c r="C972" s="1" t="n">
        <v>46092</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41998-2021</t>
        </is>
      </c>
      <c r="B973" s="1" t="n">
        <v>44425</v>
      </c>
      <c r="C973" s="1" t="n">
        <v>46092</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35712-2024</t>
        </is>
      </c>
      <c r="B974" s="1" t="n">
        <v>45532</v>
      </c>
      <c r="C974" s="1" t="n">
        <v>46092</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61691-2021</t>
        </is>
      </c>
      <c r="B975" s="1" t="n">
        <v>44501</v>
      </c>
      <c r="C975" s="1" t="n">
        <v>46092</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57647-2024</t>
        </is>
      </c>
      <c r="B976" s="1" t="n">
        <v>45630</v>
      </c>
      <c r="C976" s="1" t="n">
        <v>46092</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20564-2023</t>
        </is>
      </c>
      <c r="B977" s="1" t="n">
        <v>45057</v>
      </c>
      <c r="C977" s="1" t="n">
        <v>46092</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46641-2023</t>
        </is>
      </c>
      <c r="B978" s="1" t="n">
        <v>45198.44523148148</v>
      </c>
      <c r="C978" s="1" t="n">
        <v>46092</v>
      </c>
      <c r="D978" t="inlineStr">
        <is>
          <t>SKÅNE LÄN</t>
        </is>
      </c>
      <c r="E978" t="inlineStr">
        <is>
          <t>HÄSSLEHOLM</t>
        </is>
      </c>
      <c r="G978" t="n">
        <v>1.2</v>
      </c>
      <c r="H978" t="n">
        <v>0</v>
      </c>
      <c r="I978" t="n">
        <v>0</v>
      </c>
      <c r="J978" t="n">
        <v>0</v>
      </c>
      <c r="K978" t="n">
        <v>0</v>
      </c>
      <c r="L978" t="n">
        <v>0</v>
      </c>
      <c r="M978" t="n">
        <v>0</v>
      </c>
      <c r="N978" t="n">
        <v>0</v>
      </c>
      <c r="O978" t="n">
        <v>0</v>
      </c>
      <c r="P978" t="n">
        <v>0</v>
      </c>
      <c r="Q978" t="n">
        <v>0</v>
      </c>
      <c r="R978" s="2" t="inlineStr"/>
    </row>
    <row r="979" ht="15" customHeight="1">
      <c r="A979" t="inlineStr">
        <is>
          <t>A 8239-2025</t>
        </is>
      </c>
      <c r="B979" s="1" t="n">
        <v>45708.47984953703</v>
      </c>
      <c r="C979" s="1" t="n">
        <v>46092</v>
      </c>
      <c r="D979" t="inlineStr">
        <is>
          <t>SKÅNE LÄN</t>
        </is>
      </c>
      <c r="E979" t="inlineStr">
        <is>
          <t>HÄSSLEHOLM</t>
        </is>
      </c>
      <c r="G979" t="n">
        <v>2.7</v>
      </c>
      <c r="H979" t="n">
        <v>0</v>
      </c>
      <c r="I979" t="n">
        <v>0</v>
      </c>
      <c r="J979" t="n">
        <v>0</v>
      </c>
      <c r="K979" t="n">
        <v>0</v>
      </c>
      <c r="L979" t="n">
        <v>0</v>
      </c>
      <c r="M979" t="n">
        <v>0</v>
      </c>
      <c r="N979" t="n">
        <v>0</v>
      </c>
      <c r="O979" t="n">
        <v>0</v>
      </c>
      <c r="P979" t="n">
        <v>0</v>
      </c>
      <c r="Q979" t="n">
        <v>0</v>
      </c>
      <c r="R979" s="2" t="inlineStr"/>
    </row>
    <row r="980" ht="15" customHeight="1">
      <c r="A980" t="inlineStr">
        <is>
          <t>A 46645-2023</t>
        </is>
      </c>
      <c r="B980" s="1" t="n">
        <v>45198.44686342592</v>
      </c>
      <c r="C980" s="1" t="n">
        <v>46092</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31986-2023</t>
        </is>
      </c>
      <c r="B981" s="1" t="n">
        <v>45119</v>
      </c>
      <c r="C981" s="1" t="n">
        <v>46092</v>
      </c>
      <c r="D981" t="inlineStr">
        <is>
          <t>SKÅNE LÄN</t>
        </is>
      </c>
      <c r="E981" t="inlineStr">
        <is>
          <t>HÄSSLEHOLM</t>
        </is>
      </c>
      <c r="G981" t="n">
        <v>1.7</v>
      </c>
      <c r="H981" t="n">
        <v>0</v>
      </c>
      <c r="I981" t="n">
        <v>0</v>
      </c>
      <c r="J981" t="n">
        <v>0</v>
      </c>
      <c r="K981" t="n">
        <v>0</v>
      </c>
      <c r="L981" t="n">
        <v>0</v>
      </c>
      <c r="M981" t="n">
        <v>0</v>
      </c>
      <c r="N981" t="n">
        <v>0</v>
      </c>
      <c r="O981" t="n">
        <v>0</v>
      </c>
      <c r="P981" t="n">
        <v>0</v>
      </c>
      <c r="Q981" t="n">
        <v>0</v>
      </c>
      <c r="R981" s="2" t="inlineStr"/>
    </row>
    <row r="982" ht="15" customHeight="1">
      <c r="A982" t="inlineStr">
        <is>
          <t>A 62044-2022</t>
        </is>
      </c>
      <c r="B982" s="1" t="n">
        <v>44918.55976851852</v>
      </c>
      <c r="C982" s="1" t="n">
        <v>46092</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6619-2024</t>
        </is>
      </c>
      <c r="B983" s="1" t="n">
        <v>45341.6021412037</v>
      </c>
      <c r="C983" s="1" t="n">
        <v>46092</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52341-2023</t>
        </is>
      </c>
      <c r="B984" s="1" t="n">
        <v>45224.67006944444</v>
      </c>
      <c r="C984" s="1" t="n">
        <v>46092</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27464-2022</t>
        </is>
      </c>
      <c r="B985" s="1" t="n">
        <v>44742.58704861111</v>
      </c>
      <c r="C985" s="1" t="n">
        <v>46092</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6798-2025</t>
        </is>
      </c>
      <c r="B986" s="1" t="n">
        <v>45700.668125</v>
      </c>
      <c r="C986" s="1" t="n">
        <v>46092</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10752-2025</t>
        </is>
      </c>
      <c r="B987" s="1" t="n">
        <v>45722</v>
      </c>
      <c r="C987" s="1" t="n">
        <v>46092</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14008-2023</t>
        </is>
      </c>
      <c r="B988" s="1" t="n">
        <v>45008.56725694444</v>
      </c>
      <c r="C988" s="1" t="n">
        <v>46092</v>
      </c>
      <c r="D988" t="inlineStr">
        <is>
          <t>SKÅNE LÄN</t>
        </is>
      </c>
      <c r="E988" t="inlineStr">
        <is>
          <t>HÄSSLEHOLM</t>
        </is>
      </c>
      <c r="G988" t="n">
        <v>3.3</v>
      </c>
      <c r="H988" t="n">
        <v>0</v>
      </c>
      <c r="I988" t="n">
        <v>0</v>
      </c>
      <c r="J988" t="n">
        <v>0</v>
      </c>
      <c r="K988" t="n">
        <v>0</v>
      </c>
      <c r="L988" t="n">
        <v>0</v>
      </c>
      <c r="M988" t="n">
        <v>0</v>
      </c>
      <c r="N988" t="n">
        <v>0</v>
      </c>
      <c r="O988" t="n">
        <v>0</v>
      </c>
      <c r="P988" t="n">
        <v>0</v>
      </c>
      <c r="Q988" t="n">
        <v>0</v>
      </c>
      <c r="R988" s="2" t="inlineStr"/>
    </row>
    <row r="989" ht="15" customHeight="1">
      <c r="A989" t="inlineStr">
        <is>
          <t>A 315-2022</t>
        </is>
      </c>
      <c r="B989" s="1" t="n">
        <v>44565.55630787037</v>
      </c>
      <c r="C989" s="1" t="n">
        <v>46092</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42372-2024</t>
        </is>
      </c>
      <c r="B990" s="1" t="n">
        <v>45564.5127199074</v>
      </c>
      <c r="C990" s="1" t="n">
        <v>46092</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17138-2025</t>
        </is>
      </c>
      <c r="B991" s="1" t="n">
        <v>45755.80378472222</v>
      </c>
      <c r="C991" s="1" t="n">
        <v>46092</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57695-2023</t>
        </is>
      </c>
      <c r="B992" s="1" t="n">
        <v>45246</v>
      </c>
      <c r="C992" s="1" t="n">
        <v>46092</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12162-2023</t>
        </is>
      </c>
      <c r="B993" s="1" t="n">
        <v>44998.49619212963</v>
      </c>
      <c r="C993" s="1" t="n">
        <v>46092</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13347-2025</t>
        </is>
      </c>
      <c r="B994" s="1" t="n">
        <v>45735.63175925926</v>
      </c>
      <c r="C994" s="1" t="n">
        <v>46092</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4916-2024</t>
        </is>
      </c>
      <c r="B995" s="1" t="n">
        <v>45329</v>
      </c>
      <c r="C995" s="1" t="n">
        <v>46092</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27175-2024</t>
        </is>
      </c>
      <c r="B996" s="1" t="n">
        <v>45471.57111111111</v>
      </c>
      <c r="C996" s="1" t="n">
        <v>46092</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54658-2023</t>
        </is>
      </c>
      <c r="B997" s="1" t="n">
        <v>45235</v>
      </c>
      <c r="C997" s="1" t="n">
        <v>46092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23666-2023</t>
        </is>
      </c>
      <c r="B998" s="1" t="n">
        <v>45077</v>
      </c>
      <c r="C998" s="1" t="n">
        <v>46092</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3726-2024</t>
        </is>
      </c>
      <c r="B999" s="1" t="n">
        <v>45321</v>
      </c>
      <c r="C999" s="1" t="n">
        <v>46092</v>
      </c>
      <c r="D999" t="inlineStr">
        <is>
          <t>SKÅNE LÄN</t>
        </is>
      </c>
      <c r="E999" t="inlineStr">
        <is>
          <t>HÄSSLEHOLM</t>
        </is>
      </c>
      <c r="G999" t="n">
        <v>0.3</v>
      </c>
      <c r="H999" t="n">
        <v>0</v>
      </c>
      <c r="I999" t="n">
        <v>0</v>
      </c>
      <c r="J999" t="n">
        <v>0</v>
      </c>
      <c r="K999" t="n">
        <v>0</v>
      </c>
      <c r="L999" t="n">
        <v>0</v>
      </c>
      <c r="M999" t="n">
        <v>0</v>
      </c>
      <c r="N999" t="n">
        <v>0</v>
      </c>
      <c r="O999" t="n">
        <v>0</v>
      </c>
      <c r="P999" t="n">
        <v>0</v>
      </c>
      <c r="Q999" t="n">
        <v>0</v>
      </c>
      <c r="R999" s="2" t="inlineStr"/>
    </row>
    <row r="1000" ht="15" customHeight="1">
      <c r="A1000" t="inlineStr">
        <is>
          <t>A 53085-2022</t>
        </is>
      </c>
      <c r="B1000" s="1" t="n">
        <v>44873</v>
      </c>
      <c r="C1000" s="1" t="n">
        <v>46092</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28211-2022</t>
        </is>
      </c>
      <c r="B1001" s="1" t="n">
        <v>44746</v>
      </c>
      <c r="C1001" s="1" t="n">
        <v>46092</v>
      </c>
      <c r="D1001" t="inlineStr">
        <is>
          <t>SKÅNE LÄN</t>
        </is>
      </c>
      <c r="E1001" t="inlineStr">
        <is>
          <t>HÄSSLEHOLM</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15990-2023</t>
        </is>
      </c>
      <c r="B1002" s="1" t="n">
        <v>45023.39584490741</v>
      </c>
      <c r="C1002" s="1" t="n">
        <v>46092</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26207-2021</t>
        </is>
      </c>
      <c r="B1003" s="1" t="n">
        <v>44347</v>
      </c>
      <c r="C1003" s="1" t="n">
        <v>46092</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62199-2022</t>
        </is>
      </c>
      <c r="B1004" s="1" t="n">
        <v>44915</v>
      </c>
      <c r="C1004" s="1" t="n">
        <v>46092</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9098-2022</t>
        </is>
      </c>
      <c r="B1005" s="1" t="n">
        <v>44615</v>
      </c>
      <c r="C1005" s="1" t="n">
        <v>46092</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19151-2023</t>
        </is>
      </c>
      <c r="B1006" s="1" t="n">
        <v>45044</v>
      </c>
      <c r="C1006" s="1" t="n">
        <v>46092</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2688-2024</t>
        </is>
      </c>
      <c r="B1007" s="1" t="n">
        <v>45314</v>
      </c>
      <c r="C1007" s="1" t="n">
        <v>46092</v>
      </c>
      <c r="D1007" t="inlineStr">
        <is>
          <t>SKÅNE LÄN</t>
        </is>
      </c>
      <c r="E1007" t="inlineStr">
        <is>
          <t>HÄSSLEHOLM</t>
        </is>
      </c>
      <c r="F1007" t="inlineStr">
        <is>
          <t>Övriga Aktiebolag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29850-2024</t>
        </is>
      </c>
      <c r="B1008" s="1" t="n">
        <v>45485.64620370371</v>
      </c>
      <c r="C1008" s="1" t="n">
        <v>46092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30007-2023</t>
        </is>
      </c>
      <c r="B1009" s="1" t="n">
        <v>45109.80349537037</v>
      </c>
      <c r="C1009" s="1" t="n">
        <v>46092</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4187-2023</t>
        </is>
      </c>
      <c r="B1010" s="1" t="n">
        <v>44953</v>
      </c>
      <c r="C1010" s="1" t="n">
        <v>46092</v>
      </c>
      <c r="D1010" t="inlineStr">
        <is>
          <t>SKÅNE LÄN</t>
        </is>
      </c>
      <c r="E1010" t="inlineStr">
        <is>
          <t>HÄSSLEHOLM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42231-2022</t>
        </is>
      </c>
      <c r="B1011" s="1" t="n">
        <v>44830.77003472222</v>
      </c>
      <c r="C1011" s="1" t="n">
        <v>46092</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59390-2021</t>
        </is>
      </c>
      <c r="B1012" s="1" t="n">
        <v>44490</v>
      </c>
      <c r="C1012" s="1" t="n">
        <v>46092</v>
      </c>
      <c r="D1012" t="inlineStr">
        <is>
          <t>SKÅNE LÄN</t>
        </is>
      </c>
      <c r="E1012" t="inlineStr">
        <is>
          <t>HÄSSLEHOLM</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3452-2023</t>
        </is>
      </c>
      <c r="B1013" s="1" t="n">
        <v>44949</v>
      </c>
      <c r="C1013" s="1" t="n">
        <v>46092</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50525-2024</t>
        </is>
      </c>
      <c r="B1014" s="1" t="n">
        <v>45601</v>
      </c>
      <c r="C1014" s="1" t="n">
        <v>46092</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260-2024</t>
        </is>
      </c>
      <c r="B1015" s="1" t="n">
        <v>45294</v>
      </c>
      <c r="C1015" s="1" t="n">
        <v>46092</v>
      </c>
      <c r="D1015" t="inlineStr">
        <is>
          <t>SKÅNE LÄN</t>
        </is>
      </c>
      <c r="E1015" t="inlineStr">
        <is>
          <t>HÄSSLEHOLM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5016-2024</t>
        </is>
      </c>
      <c r="B1016" s="1" t="n">
        <v>45329</v>
      </c>
      <c r="C1016" s="1" t="n">
        <v>46092</v>
      </c>
      <c r="D1016" t="inlineStr">
        <is>
          <t>SKÅNE LÄN</t>
        </is>
      </c>
      <c r="E1016" t="inlineStr">
        <is>
          <t>HÄSSLEHOLM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11603-2025</t>
        </is>
      </c>
      <c r="B1017" s="1" t="n">
        <v>45727</v>
      </c>
      <c r="C1017" s="1" t="n">
        <v>46092</v>
      </c>
      <c r="D1017" t="inlineStr">
        <is>
          <t>SKÅNE LÄN</t>
        </is>
      </c>
      <c r="E1017" t="inlineStr">
        <is>
          <t>HÄSSLEHOLM</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25206-2023</t>
        </is>
      </c>
      <c r="B1018" s="1" t="n">
        <v>45086.59318287037</v>
      </c>
      <c r="C1018" s="1" t="n">
        <v>46092</v>
      </c>
      <c r="D1018" t="inlineStr">
        <is>
          <t>SKÅNE LÄN</t>
        </is>
      </c>
      <c r="E1018" t="inlineStr">
        <is>
          <t>HÄSSLEHOLM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25221-2023</t>
        </is>
      </c>
      <c r="B1019" s="1" t="n">
        <v>45086.60842592592</v>
      </c>
      <c r="C1019" s="1" t="n">
        <v>46092</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57272-2023</t>
        </is>
      </c>
      <c r="B1020" s="1" t="n">
        <v>45245</v>
      </c>
      <c r="C1020" s="1" t="n">
        <v>46092</v>
      </c>
      <c r="D1020" t="inlineStr">
        <is>
          <t>SKÅNE LÄN</t>
        </is>
      </c>
      <c r="E1020" t="inlineStr">
        <is>
          <t>HÄSSLEHOLM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13856-2025</t>
        </is>
      </c>
      <c r="B1021" s="1" t="n">
        <v>45737.57289351852</v>
      </c>
      <c r="C1021" s="1" t="n">
        <v>46092</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48889-2024</t>
        </is>
      </c>
      <c r="B1022" s="1" t="n">
        <v>45594.33754629629</v>
      </c>
      <c r="C1022" s="1" t="n">
        <v>46092</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8263-2025</t>
        </is>
      </c>
      <c r="B1023" s="1" t="n">
        <v>45708.50398148148</v>
      </c>
      <c r="C1023" s="1" t="n">
        <v>46092</v>
      </c>
      <c r="D1023" t="inlineStr">
        <is>
          <t>SKÅNE LÄN</t>
        </is>
      </c>
      <c r="E1023" t="inlineStr">
        <is>
          <t>HÄSSLEHOLM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29275-2023</t>
        </is>
      </c>
      <c r="B1024" s="1" t="n">
        <v>45105</v>
      </c>
      <c r="C1024" s="1" t="n">
        <v>46092</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13018-2024</t>
        </is>
      </c>
      <c r="B1025" s="1" t="n">
        <v>45385.58274305556</v>
      </c>
      <c r="C1025" s="1" t="n">
        <v>46092</v>
      </c>
      <c r="D1025" t="inlineStr">
        <is>
          <t>SKÅNE LÄN</t>
        </is>
      </c>
      <c r="E1025" t="inlineStr">
        <is>
          <t>HÄSSLEHOLM</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22595-2024</t>
        </is>
      </c>
      <c r="B1026" s="1" t="n">
        <v>45447.61053240741</v>
      </c>
      <c r="C1026" s="1" t="n">
        <v>46092</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60704-2023</t>
        </is>
      </c>
      <c r="B1027" s="1" t="n">
        <v>45260.51340277777</v>
      </c>
      <c r="C1027" s="1" t="n">
        <v>46092</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20279-2025</t>
        </is>
      </c>
      <c r="B1028" s="1" t="n">
        <v>45774.38643518519</v>
      </c>
      <c r="C1028" s="1" t="n">
        <v>46092</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59431-2023</t>
        </is>
      </c>
      <c r="B1029" s="1" t="n">
        <v>45254.29207175926</v>
      </c>
      <c r="C1029" s="1" t="n">
        <v>46092</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59433-2023</t>
        </is>
      </c>
      <c r="B1030" s="1" t="n">
        <v>45254.29768518519</v>
      </c>
      <c r="C1030" s="1" t="n">
        <v>46092</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55416-2021</t>
        </is>
      </c>
      <c r="B1031" s="1" t="n">
        <v>44475</v>
      </c>
      <c r="C1031" s="1" t="n">
        <v>46092</v>
      </c>
      <c r="D1031" t="inlineStr">
        <is>
          <t>SKÅNE LÄN</t>
        </is>
      </c>
      <c r="E1031" t="inlineStr">
        <is>
          <t>HÄSSLEHOLM</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4579-2025</t>
        </is>
      </c>
      <c r="B1032" s="1" t="n">
        <v>45687.5009375</v>
      </c>
      <c r="C1032" s="1" t="n">
        <v>46092</v>
      </c>
      <c r="D1032" t="inlineStr">
        <is>
          <t>SKÅNE LÄN</t>
        </is>
      </c>
      <c r="E1032" t="inlineStr">
        <is>
          <t>HÄSSLEHOLM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21141-2024</t>
        </is>
      </c>
      <c r="B1033" s="1" t="n">
        <v>45440.39012731481</v>
      </c>
      <c r="C1033" s="1" t="n">
        <v>46092</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49379-2021</t>
        </is>
      </c>
      <c r="B1034" s="1" t="n">
        <v>44454</v>
      </c>
      <c r="C1034" s="1" t="n">
        <v>46092</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36240-2023</t>
        </is>
      </c>
      <c r="B1035" s="1" t="n">
        <v>45150.89295138889</v>
      </c>
      <c r="C1035" s="1" t="n">
        <v>46092</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13851-2025</t>
        </is>
      </c>
      <c r="B1036" s="1" t="n">
        <v>45737.56777777777</v>
      </c>
      <c r="C1036" s="1" t="n">
        <v>46092</v>
      </c>
      <c r="D1036" t="inlineStr">
        <is>
          <t>SKÅNE LÄN</t>
        </is>
      </c>
      <c r="E1036" t="inlineStr">
        <is>
          <t>HÄSSLEHOLM</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12469-2023</t>
        </is>
      </c>
      <c r="B1037" s="1" t="n">
        <v>44999.62109953703</v>
      </c>
      <c r="C1037" s="1" t="n">
        <v>46092</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45400-2022</t>
        </is>
      </c>
      <c r="B1038" s="1" t="n">
        <v>44844.713125</v>
      </c>
      <c r="C1038" s="1" t="n">
        <v>46092</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13961-2023</t>
        </is>
      </c>
      <c r="B1039" s="1" t="n">
        <v>45008</v>
      </c>
      <c r="C1039" s="1" t="n">
        <v>46092</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7581-2023</t>
        </is>
      </c>
      <c r="B1040" s="1" t="n">
        <v>44972.39556712963</v>
      </c>
      <c r="C1040" s="1" t="n">
        <v>46092</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48191-2021</t>
        </is>
      </c>
      <c r="B1041" s="1" t="n">
        <v>44449</v>
      </c>
      <c r="C1041" s="1" t="n">
        <v>46092</v>
      </c>
      <c r="D1041" t="inlineStr">
        <is>
          <t>SKÅNE LÄN</t>
        </is>
      </c>
      <c r="E1041" t="inlineStr">
        <is>
          <t>HÄSSLEHOLM</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5282-2023</t>
        </is>
      </c>
      <c r="B1042" s="1" t="n">
        <v>44959.50471064815</v>
      </c>
      <c r="C1042" s="1" t="n">
        <v>46092</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52548-2023</t>
        </is>
      </c>
      <c r="B1043" s="1" t="n">
        <v>45218</v>
      </c>
      <c r="C1043" s="1" t="n">
        <v>46092</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12503-2022</t>
        </is>
      </c>
      <c r="B1044" s="1" t="n">
        <v>44638</v>
      </c>
      <c r="C1044" s="1" t="n">
        <v>46092</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9485-2023</t>
        </is>
      </c>
      <c r="B1045" s="1" t="n">
        <v>44981.60901620371</v>
      </c>
      <c r="C1045" s="1" t="n">
        <v>46092</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54777-2022</t>
        </is>
      </c>
      <c r="B1046" s="1" t="n">
        <v>44883</v>
      </c>
      <c r="C1046" s="1" t="n">
        <v>46092</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61929-2023</t>
        </is>
      </c>
      <c r="B1047" s="1" t="n">
        <v>45266</v>
      </c>
      <c r="C1047" s="1" t="n">
        <v>46092</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13555-2025</t>
        </is>
      </c>
      <c r="B1048" s="1" t="n">
        <v>45736</v>
      </c>
      <c r="C1048" s="1" t="n">
        <v>46092</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44940-2023</t>
        </is>
      </c>
      <c r="B1049" s="1" t="n">
        <v>45190.68653935185</v>
      </c>
      <c r="C1049" s="1" t="n">
        <v>46092</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25533-2024</t>
        </is>
      </c>
      <c r="B1050" s="1" t="n">
        <v>45463</v>
      </c>
      <c r="C1050" s="1" t="n">
        <v>46092</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61498-2022</t>
        </is>
      </c>
      <c r="B1051" s="1" t="n">
        <v>44910</v>
      </c>
      <c r="C1051" s="1" t="n">
        <v>46092</v>
      </c>
      <c r="D1051" t="inlineStr">
        <is>
          <t>SKÅNE LÄN</t>
        </is>
      </c>
      <c r="E1051" t="inlineStr">
        <is>
          <t>HÄSSLEHOLM</t>
        </is>
      </c>
      <c r="F1051" t="inlineStr">
        <is>
          <t>Kyrkan</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22696-2023</t>
        </is>
      </c>
      <c r="B1052" s="1" t="n">
        <v>45071.69464120371</v>
      </c>
      <c r="C1052" s="1" t="n">
        <v>46092</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52337-2023</t>
        </is>
      </c>
      <c r="B1053" s="1" t="n">
        <v>45224.66359953704</v>
      </c>
      <c r="C1053" s="1" t="n">
        <v>46092</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23955-2023</t>
        </is>
      </c>
      <c r="B1054" s="1" t="n">
        <v>45078.62217592593</v>
      </c>
      <c r="C1054" s="1" t="n">
        <v>46092</v>
      </c>
      <c r="D1054" t="inlineStr">
        <is>
          <t>SKÅNE LÄN</t>
        </is>
      </c>
      <c r="E1054" t="inlineStr">
        <is>
          <t>HÄSSLEHOLM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10897-2023</t>
        </is>
      </c>
      <c r="B1055" s="1" t="n">
        <v>44985</v>
      </c>
      <c r="C1055" s="1" t="n">
        <v>46092</v>
      </c>
      <c r="D1055" t="inlineStr">
        <is>
          <t>SKÅNE LÄN</t>
        </is>
      </c>
      <c r="E1055" t="inlineStr">
        <is>
          <t>HÄSSLEHOLM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50571-2023</t>
        </is>
      </c>
      <c r="B1056" s="1" t="n">
        <v>45217.38359953704</v>
      </c>
      <c r="C1056" s="1" t="n">
        <v>46092</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18908-2023</t>
        </is>
      </c>
      <c r="B1057" s="1" t="n">
        <v>45044</v>
      </c>
      <c r="C1057" s="1" t="n">
        <v>46092</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10028-2024</t>
        </is>
      </c>
      <c r="B1058" s="1" t="n">
        <v>45363.97292824074</v>
      </c>
      <c r="C1058" s="1" t="n">
        <v>46092</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13084-2025</t>
        </is>
      </c>
      <c r="B1059" s="1" t="n">
        <v>45734</v>
      </c>
      <c r="C1059" s="1" t="n">
        <v>46092</v>
      </c>
      <c r="D1059" t="inlineStr">
        <is>
          <t>SKÅNE LÄN</t>
        </is>
      </c>
      <c r="E1059" t="inlineStr">
        <is>
          <t>HÄSSLEHOLM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16285-2025</t>
        </is>
      </c>
      <c r="B1060" s="1" t="n">
        <v>45751.30045138889</v>
      </c>
      <c r="C1060" s="1" t="n">
        <v>46092</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46000-2021</t>
        </is>
      </c>
      <c r="B1061" s="1" t="n">
        <v>44441</v>
      </c>
      <c r="C1061" s="1" t="n">
        <v>46092</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4009-2024</t>
        </is>
      </c>
      <c r="B1062" s="1" t="n">
        <v>45323</v>
      </c>
      <c r="C1062" s="1" t="n">
        <v>46092</v>
      </c>
      <c r="D1062" t="inlineStr">
        <is>
          <t>SKÅNE LÄN</t>
        </is>
      </c>
      <c r="E1062" t="inlineStr">
        <is>
          <t>HÄSSLEHOLM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10928-2024</t>
        </is>
      </c>
      <c r="B1063" s="1" t="n">
        <v>45370</v>
      </c>
      <c r="C1063" s="1" t="n">
        <v>46092</v>
      </c>
      <c r="D1063" t="inlineStr">
        <is>
          <t>SKÅNE LÄN</t>
        </is>
      </c>
      <c r="E1063" t="inlineStr">
        <is>
          <t>HÄSSLEHOLM</t>
        </is>
      </c>
      <c r="F1063" t="inlineStr">
        <is>
          <t>Övriga Aktiebolag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10944-2024</t>
        </is>
      </c>
      <c r="B1064" s="1" t="n">
        <v>45370</v>
      </c>
      <c r="C1064" s="1" t="n">
        <v>46092</v>
      </c>
      <c r="D1064" t="inlineStr">
        <is>
          <t>SKÅNE LÄN</t>
        </is>
      </c>
      <c r="E1064" t="inlineStr">
        <is>
          <t>HÄSSLEHOLM</t>
        </is>
      </c>
      <c r="F1064" t="inlineStr">
        <is>
          <t>Övriga Aktiebolag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6087-2025</t>
        </is>
      </c>
      <c r="B1065" s="1" t="n">
        <v>45697.69782407407</v>
      </c>
      <c r="C1065" s="1" t="n">
        <v>46092</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33466-2024</t>
        </is>
      </c>
      <c r="B1066" s="1" t="n">
        <v>45519</v>
      </c>
      <c r="C1066" s="1" t="n">
        <v>46092</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6612-2024</t>
        </is>
      </c>
      <c r="B1067" s="1" t="n">
        <v>45341.58859953703</v>
      </c>
      <c r="C1067" s="1" t="n">
        <v>46092</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26879-2024</t>
        </is>
      </c>
      <c r="B1068" s="1" t="n">
        <v>45470</v>
      </c>
      <c r="C1068" s="1" t="n">
        <v>46092</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54473-2023</t>
        </is>
      </c>
      <c r="B1069" s="1" t="n">
        <v>45233</v>
      </c>
      <c r="C1069" s="1" t="n">
        <v>46092</v>
      </c>
      <c r="D1069" t="inlineStr">
        <is>
          <t>SKÅNE LÄN</t>
        </is>
      </c>
      <c r="E1069" t="inlineStr">
        <is>
          <t>HÄSSLEHOLM</t>
        </is>
      </c>
      <c r="G1069" t="n">
        <v>24.5</v>
      </c>
      <c r="H1069" t="n">
        <v>0</v>
      </c>
      <c r="I1069" t="n">
        <v>0</v>
      </c>
      <c r="J1069" t="n">
        <v>0</v>
      </c>
      <c r="K1069" t="n">
        <v>0</v>
      </c>
      <c r="L1069" t="n">
        <v>0</v>
      </c>
      <c r="M1069" t="n">
        <v>0</v>
      </c>
      <c r="N1069" t="n">
        <v>0</v>
      </c>
      <c r="O1069" t="n">
        <v>0</v>
      </c>
      <c r="P1069" t="n">
        <v>0</v>
      </c>
      <c r="Q1069" t="n">
        <v>0</v>
      </c>
      <c r="R1069" s="2" t="inlineStr"/>
    </row>
    <row r="1070" ht="15" customHeight="1">
      <c r="A1070" t="inlineStr">
        <is>
          <t>A 11240-2023</t>
        </is>
      </c>
      <c r="B1070" s="1" t="n">
        <v>44992</v>
      </c>
      <c r="C1070" s="1" t="n">
        <v>46092</v>
      </c>
      <c r="D1070" t="inlineStr">
        <is>
          <t>SKÅNE LÄN</t>
        </is>
      </c>
      <c r="E1070" t="inlineStr">
        <is>
          <t>HÄSSLEHOLM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16108-2025</t>
        </is>
      </c>
      <c r="B1071" s="1" t="n">
        <v>45750.34667824074</v>
      </c>
      <c r="C1071" s="1" t="n">
        <v>46092</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48326-2023</t>
        </is>
      </c>
      <c r="B1072" s="1" t="n">
        <v>45205</v>
      </c>
      <c r="C1072" s="1" t="n">
        <v>46092</v>
      </c>
      <c r="D1072" t="inlineStr">
        <is>
          <t>SKÅNE LÄN</t>
        </is>
      </c>
      <c r="E1072" t="inlineStr">
        <is>
          <t>HÄSSLEHOLM</t>
        </is>
      </c>
      <c r="G1072" t="n">
        <v>12.7</v>
      </c>
      <c r="H1072" t="n">
        <v>0</v>
      </c>
      <c r="I1072" t="n">
        <v>0</v>
      </c>
      <c r="J1072" t="n">
        <v>0</v>
      </c>
      <c r="K1072" t="n">
        <v>0</v>
      </c>
      <c r="L1072" t="n">
        <v>0</v>
      </c>
      <c r="M1072" t="n">
        <v>0</v>
      </c>
      <c r="N1072" t="n">
        <v>0</v>
      </c>
      <c r="O1072" t="n">
        <v>0</v>
      </c>
      <c r="P1072" t="n">
        <v>0</v>
      </c>
      <c r="Q1072" t="n">
        <v>0</v>
      </c>
      <c r="R1072" s="2" t="inlineStr"/>
    </row>
    <row r="1073" ht="15" customHeight="1">
      <c r="A1073" t="inlineStr">
        <is>
          <t>A 54518-2022</t>
        </is>
      </c>
      <c r="B1073" s="1" t="n">
        <v>44882</v>
      </c>
      <c r="C1073" s="1" t="n">
        <v>46092</v>
      </c>
      <c r="D1073" t="inlineStr">
        <is>
          <t>SKÅNE LÄN</t>
        </is>
      </c>
      <c r="E1073" t="inlineStr">
        <is>
          <t>HÄSSLEHOLM</t>
        </is>
      </c>
      <c r="F1073" t="inlineStr">
        <is>
          <t>Övriga Aktiebolag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57491-2024</t>
        </is>
      </c>
      <c r="B1074" s="1" t="n">
        <v>45629</v>
      </c>
      <c r="C1074" s="1" t="n">
        <v>46092</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52912-2022</t>
        </is>
      </c>
      <c r="B1075" s="1" t="n">
        <v>44872</v>
      </c>
      <c r="C1075" s="1" t="n">
        <v>46092</v>
      </c>
      <c r="D1075" t="inlineStr">
        <is>
          <t>SKÅNE LÄN</t>
        </is>
      </c>
      <c r="E1075" t="inlineStr">
        <is>
          <t>HÄSSLEHOLM</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16950-2025</t>
        </is>
      </c>
      <c r="B1076" s="1" t="n">
        <v>45755</v>
      </c>
      <c r="C1076" s="1" t="n">
        <v>46092</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27502-2023</t>
        </is>
      </c>
      <c r="B1077" s="1" t="n">
        <v>45092</v>
      </c>
      <c r="C1077" s="1" t="n">
        <v>46092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6836-2023</t>
        </is>
      </c>
      <c r="B1078" s="1" t="n">
        <v>44967</v>
      </c>
      <c r="C1078" s="1" t="n">
        <v>46092</v>
      </c>
      <c r="D1078" t="inlineStr">
        <is>
          <t>SKÅNE LÄN</t>
        </is>
      </c>
      <c r="E1078" t="inlineStr">
        <is>
          <t>HÄSSLEHOLM</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6845-2023</t>
        </is>
      </c>
      <c r="B1079" s="1" t="n">
        <v>44967</v>
      </c>
      <c r="C1079" s="1" t="n">
        <v>46092</v>
      </c>
      <c r="D1079" t="inlineStr">
        <is>
          <t>SKÅNE LÄN</t>
        </is>
      </c>
      <c r="E1079" t="inlineStr">
        <is>
          <t>HÄSSLEHOLM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53887-2023</t>
        </is>
      </c>
      <c r="B1080" s="1" t="n">
        <v>45231.52675925926</v>
      </c>
      <c r="C1080" s="1" t="n">
        <v>46092</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21329-2023</t>
        </is>
      </c>
      <c r="B1081" s="1" t="n">
        <v>45062</v>
      </c>
      <c r="C1081" s="1" t="n">
        <v>46092</v>
      </c>
      <c r="D1081" t="inlineStr">
        <is>
          <t>SKÅNE LÄN</t>
        </is>
      </c>
      <c r="E1081" t="inlineStr">
        <is>
          <t>HÄSSLEHOLM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1543-2024</t>
        </is>
      </c>
      <c r="B1082" s="1" t="n">
        <v>45306</v>
      </c>
      <c r="C1082" s="1" t="n">
        <v>46092</v>
      </c>
      <c r="D1082" t="inlineStr">
        <is>
          <t>SKÅNE LÄN</t>
        </is>
      </c>
      <c r="E1082" t="inlineStr">
        <is>
          <t>HÄSSLEHOLM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18800-2023</t>
        </is>
      </c>
      <c r="B1083" s="1" t="n">
        <v>45044</v>
      </c>
      <c r="C1083" s="1" t="n">
        <v>46092</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25077-2024</t>
        </is>
      </c>
      <c r="B1084" s="1" t="n">
        <v>45462</v>
      </c>
      <c r="C1084" s="1" t="n">
        <v>46092</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22535-2024</t>
        </is>
      </c>
      <c r="B1085" s="1" t="n">
        <v>45447</v>
      </c>
      <c r="C1085" s="1" t="n">
        <v>46092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15060-2023</t>
        </is>
      </c>
      <c r="B1086" s="1" t="n">
        <v>45015.69832175926</v>
      </c>
      <c r="C1086" s="1" t="n">
        <v>46092</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4787-2023</t>
        </is>
      </c>
      <c r="B1087" s="1" t="n">
        <v>44957.60079861111</v>
      </c>
      <c r="C1087" s="1" t="n">
        <v>46092</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4788-2023</t>
        </is>
      </c>
      <c r="B1088" s="1" t="n">
        <v>44957.60130787037</v>
      </c>
      <c r="C1088" s="1" t="n">
        <v>46092</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34348-2022</t>
        </is>
      </c>
      <c r="B1089" s="1" t="n">
        <v>44792</v>
      </c>
      <c r="C1089" s="1" t="n">
        <v>46092</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45399-2022</t>
        </is>
      </c>
      <c r="B1090" s="1" t="n">
        <v>44844.70513888889</v>
      </c>
      <c r="C1090" s="1" t="n">
        <v>46092</v>
      </c>
      <c r="D1090" t="inlineStr">
        <is>
          <t>SKÅNE LÄN</t>
        </is>
      </c>
      <c r="E1090" t="inlineStr">
        <is>
          <t>HÄSSLEHOLM</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35640-2023</t>
        </is>
      </c>
      <c r="B1091" s="1" t="n">
        <v>45147</v>
      </c>
      <c r="C1091" s="1" t="n">
        <v>46092</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2681-2024</t>
        </is>
      </c>
      <c r="B1092" s="1" t="n">
        <v>45314</v>
      </c>
      <c r="C1092" s="1" t="n">
        <v>46092</v>
      </c>
      <c r="D1092" t="inlineStr">
        <is>
          <t>SKÅNE LÄN</t>
        </is>
      </c>
      <c r="E1092" t="inlineStr">
        <is>
          <t>HÄSSLEHOLM</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27177-2024</t>
        </is>
      </c>
      <c r="B1093" s="1" t="n">
        <v>45471.57201388889</v>
      </c>
      <c r="C1093" s="1" t="n">
        <v>46092</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49219-2024</t>
        </is>
      </c>
      <c r="B1094" s="1" t="n">
        <v>45595.40923611111</v>
      </c>
      <c r="C1094" s="1" t="n">
        <v>46092</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13646-2024</t>
        </is>
      </c>
      <c r="B1095" s="1" t="n">
        <v>45387</v>
      </c>
      <c r="C1095" s="1" t="n">
        <v>46092</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4750-2024</t>
        </is>
      </c>
      <c r="B1096" s="1" t="n">
        <v>45328</v>
      </c>
      <c r="C1096" s="1" t="n">
        <v>46092</v>
      </c>
      <c r="D1096" t="inlineStr">
        <is>
          <t>SKÅNE LÄN</t>
        </is>
      </c>
      <c r="E1096" t="inlineStr">
        <is>
          <t>HÄSSLEHOLM</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58891-2022</t>
        </is>
      </c>
      <c r="B1097" s="1" t="n">
        <v>44896</v>
      </c>
      <c r="C1097" s="1" t="n">
        <v>46092</v>
      </c>
      <c r="D1097" t="inlineStr">
        <is>
          <t>SKÅNE LÄN</t>
        </is>
      </c>
      <c r="E1097" t="inlineStr">
        <is>
          <t>HÄSSLEHOLM</t>
        </is>
      </c>
      <c r="F1097" t="inlineStr">
        <is>
          <t>Kyrkan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36568-2024</t>
        </is>
      </c>
      <c r="B1098" s="1" t="n">
        <v>45537</v>
      </c>
      <c r="C1098" s="1" t="n">
        <v>46092</v>
      </c>
      <c r="D1098" t="inlineStr">
        <is>
          <t>SKÅNE LÄN</t>
        </is>
      </c>
      <c r="E1098" t="inlineStr">
        <is>
          <t>HÄSSLEHOLM</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9323-2025</t>
        </is>
      </c>
      <c r="B1099" s="1" t="n">
        <v>45714.73532407408</v>
      </c>
      <c r="C1099" s="1" t="n">
        <v>46092</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19593-2023</t>
        </is>
      </c>
      <c r="B1100" s="1" t="n">
        <v>45050.75895833333</v>
      </c>
      <c r="C1100" s="1" t="n">
        <v>46092</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16017-2023</t>
        </is>
      </c>
      <c r="B1101" s="1" t="n">
        <v>45026</v>
      </c>
      <c r="C1101" s="1" t="n">
        <v>46092</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524-2024</t>
        </is>
      </c>
      <c r="B1102" s="1" t="n">
        <v>45299</v>
      </c>
      <c r="C1102" s="1" t="n">
        <v>46092</v>
      </c>
      <c r="D1102" t="inlineStr">
        <is>
          <t>SKÅNE LÄN</t>
        </is>
      </c>
      <c r="E1102" t="inlineStr">
        <is>
          <t>HÄSSLEHOLM</t>
        </is>
      </c>
      <c r="G1102" t="n">
        <v>29.4</v>
      </c>
      <c r="H1102" t="n">
        <v>0</v>
      </c>
      <c r="I1102" t="n">
        <v>0</v>
      </c>
      <c r="J1102" t="n">
        <v>0</v>
      </c>
      <c r="K1102" t="n">
        <v>0</v>
      </c>
      <c r="L1102" t="n">
        <v>0</v>
      </c>
      <c r="M1102" t="n">
        <v>0</v>
      </c>
      <c r="N1102" t="n">
        <v>0</v>
      </c>
      <c r="O1102" t="n">
        <v>0</v>
      </c>
      <c r="P1102" t="n">
        <v>0</v>
      </c>
      <c r="Q1102" t="n">
        <v>0</v>
      </c>
      <c r="R1102" s="2" t="inlineStr"/>
    </row>
    <row r="1103" ht="15" customHeight="1">
      <c r="A1103" t="inlineStr">
        <is>
          <t>A 9394-2025</t>
        </is>
      </c>
      <c r="B1103" s="1" t="n">
        <v>45715.36387731481</v>
      </c>
      <c r="C1103" s="1" t="n">
        <v>46092</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39223-2024</t>
        </is>
      </c>
      <c r="B1104" s="1" t="n">
        <v>45550</v>
      </c>
      <c r="C1104" s="1" t="n">
        <v>46092</v>
      </c>
      <c r="D1104" t="inlineStr">
        <is>
          <t>SKÅNE LÄN</t>
        </is>
      </c>
      <c r="E1104" t="inlineStr">
        <is>
          <t>HÄSSLEHOLM</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27304-2023</t>
        </is>
      </c>
      <c r="B1105" s="1" t="n">
        <v>45096.65199074074</v>
      </c>
      <c r="C1105" s="1" t="n">
        <v>46092</v>
      </c>
      <c r="D1105" t="inlineStr">
        <is>
          <t>SKÅNE LÄN</t>
        </is>
      </c>
      <c r="E1105" t="inlineStr">
        <is>
          <t>HÄSSLEHOLM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22693-2022</t>
        </is>
      </c>
      <c r="B1106" s="1" t="n">
        <v>44714.54729166667</v>
      </c>
      <c r="C1106" s="1" t="n">
        <v>46092</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15104-2023</t>
        </is>
      </c>
      <c r="B1107" s="1" t="n">
        <v>45016.40576388889</v>
      </c>
      <c r="C1107" s="1" t="n">
        <v>46092</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12507-2022</t>
        </is>
      </c>
      <c r="B1108" s="1" t="n">
        <v>44638</v>
      </c>
      <c r="C1108" s="1" t="n">
        <v>46092</v>
      </c>
      <c r="D1108" t="inlineStr">
        <is>
          <t>SKÅNE LÄN</t>
        </is>
      </c>
      <c r="E1108" t="inlineStr">
        <is>
          <t>HÄSSLEHOLM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2597-2024</t>
        </is>
      </c>
      <c r="B1109" s="1" t="n">
        <v>45313</v>
      </c>
      <c r="C1109" s="1" t="n">
        <v>46092</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3531-2023</t>
        </is>
      </c>
      <c r="B1110" s="1" t="n">
        <v>44950</v>
      </c>
      <c r="C1110" s="1" t="n">
        <v>46092</v>
      </c>
      <c r="D1110" t="inlineStr">
        <is>
          <t>SKÅNE LÄN</t>
        </is>
      </c>
      <c r="E1110" t="inlineStr">
        <is>
          <t>HÄSSLEHOLM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15417-2022</t>
        </is>
      </c>
      <c r="B1111" s="1" t="n">
        <v>44659</v>
      </c>
      <c r="C1111" s="1" t="n">
        <v>46092</v>
      </c>
      <c r="D1111" t="inlineStr">
        <is>
          <t>SKÅNE LÄN</t>
        </is>
      </c>
      <c r="E1111" t="inlineStr">
        <is>
          <t>HÄSSLEHOLM</t>
        </is>
      </c>
      <c r="F1111" t="inlineStr">
        <is>
          <t>Kyrkan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44262-2021</t>
        </is>
      </c>
      <c r="B1112" s="1" t="n">
        <v>44434</v>
      </c>
      <c r="C1112" s="1" t="n">
        <v>46092</v>
      </c>
      <c r="D1112" t="inlineStr">
        <is>
          <t>SKÅNE LÄN</t>
        </is>
      </c>
      <c r="E1112" t="inlineStr">
        <is>
          <t>HÄSSLEHOLM</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50659-2023</t>
        </is>
      </c>
      <c r="B1113" s="1" t="n">
        <v>45217</v>
      </c>
      <c r="C1113" s="1" t="n">
        <v>46092</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13808-2021</t>
        </is>
      </c>
      <c r="B1114" s="1" t="n">
        <v>44276</v>
      </c>
      <c r="C1114" s="1" t="n">
        <v>46092</v>
      </c>
      <c r="D1114" t="inlineStr">
        <is>
          <t>SKÅNE LÄN</t>
        </is>
      </c>
      <c r="E1114" t="inlineStr">
        <is>
          <t>HÄSSLEHOLM</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67801-2021</t>
        </is>
      </c>
      <c r="B1115" s="1" t="n">
        <v>44525</v>
      </c>
      <c r="C1115" s="1" t="n">
        <v>46092</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2144-2023</t>
        </is>
      </c>
      <c r="B1116" s="1" t="n">
        <v>44940.79054398148</v>
      </c>
      <c r="C1116" s="1" t="n">
        <v>46092</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37141-2021</t>
        </is>
      </c>
      <c r="B1117" s="1" t="n">
        <v>44396</v>
      </c>
      <c r="C1117" s="1" t="n">
        <v>46092</v>
      </c>
      <c r="D1117" t="inlineStr">
        <is>
          <t>SKÅNE LÄN</t>
        </is>
      </c>
      <c r="E1117" t="inlineStr">
        <is>
          <t>HÄSSLEHOLM</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7202-2022</t>
        </is>
      </c>
      <c r="B1118" s="1" t="n">
        <v>44606</v>
      </c>
      <c r="C1118" s="1" t="n">
        <v>46092</v>
      </c>
      <c r="D1118" t="inlineStr">
        <is>
          <t>SKÅNE LÄN</t>
        </is>
      </c>
      <c r="E1118" t="inlineStr">
        <is>
          <t>HÄSSLEHOLM</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21494-2023</t>
        </is>
      </c>
      <c r="B1119" s="1" t="n">
        <v>45063</v>
      </c>
      <c r="C1119" s="1" t="n">
        <v>46092</v>
      </c>
      <c r="D1119" t="inlineStr">
        <is>
          <t>SKÅNE LÄN</t>
        </is>
      </c>
      <c r="E1119" t="inlineStr">
        <is>
          <t>HÄSSLEHOLM</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21495-2023</t>
        </is>
      </c>
      <c r="B1120" s="1" t="n">
        <v>45063</v>
      </c>
      <c r="C1120" s="1" t="n">
        <v>46092</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62167-2022</t>
        </is>
      </c>
      <c r="B1121" s="1" t="n">
        <v>44915</v>
      </c>
      <c r="C1121" s="1" t="n">
        <v>46092</v>
      </c>
      <c r="D1121" t="inlineStr">
        <is>
          <t>SKÅNE LÄN</t>
        </is>
      </c>
      <c r="E1121" t="inlineStr">
        <is>
          <t>HÄSSLEHOLM</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62234-2022</t>
        </is>
      </c>
      <c r="B1122" s="1" t="n">
        <v>44922</v>
      </c>
      <c r="C1122" s="1" t="n">
        <v>46092</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34299-2024</t>
        </is>
      </c>
      <c r="B1123" s="1" t="n">
        <v>45524</v>
      </c>
      <c r="C1123" s="1" t="n">
        <v>46092</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9697-2023</t>
        </is>
      </c>
      <c r="B1124" s="1" t="n">
        <v>44984</v>
      </c>
      <c r="C1124" s="1" t="n">
        <v>46092</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42232-2022</t>
        </is>
      </c>
      <c r="B1125" s="1" t="n">
        <v>44830.77591435185</v>
      </c>
      <c r="C1125" s="1" t="n">
        <v>46092</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37038-2022</t>
        </is>
      </c>
      <c r="B1126" s="1" t="n">
        <v>44806.44232638889</v>
      </c>
      <c r="C1126" s="1" t="n">
        <v>46092</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5894-2023</t>
        </is>
      </c>
      <c r="B1127" s="1" t="n">
        <v>44963.65148148148</v>
      </c>
      <c r="C1127" s="1" t="n">
        <v>46092</v>
      </c>
      <c r="D1127" t="inlineStr">
        <is>
          <t>SKÅNE LÄN</t>
        </is>
      </c>
      <c r="E1127" t="inlineStr">
        <is>
          <t>HÄSSLEHOLM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9502-2023</t>
        </is>
      </c>
      <c r="B1128" s="1" t="n">
        <v>44981.63278935185</v>
      </c>
      <c r="C1128" s="1" t="n">
        <v>46092</v>
      </c>
      <c r="D1128" t="inlineStr">
        <is>
          <t>SKÅNE LÄN</t>
        </is>
      </c>
      <c r="E1128" t="inlineStr">
        <is>
          <t>HÄSSLEHOLM</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45204.85201388889</v>
      </c>
      <c r="C1129" s="1" t="n">
        <v>46092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57749-2023</t>
        </is>
      </c>
      <c r="B1130" s="1" t="n">
        <v>45246</v>
      </c>
      <c r="C1130" s="1" t="n">
        <v>46092</v>
      </c>
      <c r="D1130" t="inlineStr">
        <is>
          <t>SKÅNE LÄN</t>
        </is>
      </c>
      <c r="E1130" t="inlineStr">
        <is>
          <t>HÄSSLEHOLM</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1538-2024</t>
        </is>
      </c>
      <c r="B1131" s="1" t="n">
        <v>45306</v>
      </c>
      <c r="C1131" s="1" t="n">
        <v>46092</v>
      </c>
      <c r="D1131" t="inlineStr">
        <is>
          <t>SKÅNE LÄN</t>
        </is>
      </c>
      <c r="E1131" t="inlineStr">
        <is>
          <t>HÄSSLEHOLM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3135-2023</t>
        </is>
      </c>
      <c r="B1132" s="1" t="n">
        <v>44946.51672453704</v>
      </c>
      <c r="C1132" s="1" t="n">
        <v>46092</v>
      </c>
      <c r="D1132" t="inlineStr">
        <is>
          <t>SKÅNE LÄN</t>
        </is>
      </c>
      <c r="E1132" t="inlineStr">
        <is>
          <t>HÄSSLEHOLM</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34342-2021</t>
        </is>
      </c>
      <c r="B1133" s="1" t="n">
        <v>44379</v>
      </c>
      <c r="C1133" s="1" t="n">
        <v>46092</v>
      </c>
      <c r="D1133" t="inlineStr">
        <is>
          <t>SKÅNE LÄN</t>
        </is>
      </c>
      <c r="E1133" t="inlineStr">
        <is>
          <t>HÄSSLEHOLM</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3507-2024</t>
        </is>
      </c>
      <c r="B1134" s="1" t="n">
        <v>45320.4906712963</v>
      </c>
      <c r="C1134" s="1" t="n">
        <v>46092</v>
      </c>
      <c r="D1134" t="inlineStr">
        <is>
          <t>SKÅNE LÄN</t>
        </is>
      </c>
      <c r="E1134" t="inlineStr">
        <is>
          <t>HÄSSLEHOLM</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45210.44464120371</v>
      </c>
      <c r="C1135" s="1" t="n">
        <v>46092</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61178-2022</t>
        </is>
      </c>
      <c r="B1136" s="1" t="n">
        <v>44915</v>
      </c>
      <c r="C1136" s="1" t="n">
        <v>46092</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61185-2022</t>
        </is>
      </c>
      <c r="B1137" s="1" t="n">
        <v>44915</v>
      </c>
      <c r="C1137" s="1" t="n">
        <v>46092</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58915-2023</t>
        </is>
      </c>
      <c r="B1138" s="1" t="n">
        <v>45250</v>
      </c>
      <c r="C1138" s="1" t="n">
        <v>46092</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15508-2023</t>
        </is>
      </c>
      <c r="B1139" s="1" t="n">
        <v>45020.50045138889</v>
      </c>
      <c r="C1139" s="1" t="n">
        <v>46092</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61934-2023</t>
        </is>
      </c>
      <c r="B1140" s="1" t="n">
        <v>45266.54125</v>
      </c>
      <c r="C1140" s="1" t="n">
        <v>46092</v>
      </c>
      <c r="D1140" t="inlineStr">
        <is>
          <t>SKÅNE LÄN</t>
        </is>
      </c>
      <c r="E1140" t="inlineStr">
        <is>
          <t>HÄSSLEHOLM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11715-2023</t>
        </is>
      </c>
      <c r="B1141" s="1" t="n">
        <v>44992</v>
      </c>
      <c r="C1141" s="1" t="n">
        <v>46092</v>
      </c>
      <c r="D1141" t="inlineStr">
        <is>
          <t>SKÅNE LÄN</t>
        </is>
      </c>
      <c r="E1141" t="inlineStr">
        <is>
          <t>HÄSSLEHOLM</t>
        </is>
      </c>
      <c r="F1141" t="inlineStr">
        <is>
          <t>Övriga Aktiebolag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38888-2023</t>
        </is>
      </c>
      <c r="B1142" s="1" t="n">
        <v>45161</v>
      </c>
      <c r="C1142" s="1" t="n">
        <v>46092</v>
      </c>
      <c r="D1142" t="inlineStr">
        <is>
          <t>SKÅNE LÄN</t>
        </is>
      </c>
      <c r="E1142" t="inlineStr">
        <is>
          <t>HÄSSLEHOLM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59030-2024</t>
        </is>
      </c>
      <c r="B1143" s="1" t="n">
        <v>45636.68916666666</v>
      </c>
      <c r="C1143" s="1" t="n">
        <v>46092</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48663-2024</t>
        </is>
      </c>
      <c r="B1144" s="1" t="n">
        <v>45593.48892361111</v>
      </c>
      <c r="C1144" s="1" t="n">
        <v>46092</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7153-2025</t>
        </is>
      </c>
      <c r="B1145" s="1" t="n">
        <v>45702.38512731482</v>
      </c>
      <c r="C1145" s="1" t="n">
        <v>46092</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48771-2024</t>
        </is>
      </c>
      <c r="B1146" s="1" t="n">
        <v>45593.61284722222</v>
      </c>
      <c r="C1146" s="1" t="n">
        <v>46092</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12344-2023</t>
        </is>
      </c>
      <c r="B1147" s="1" t="n">
        <v>44999</v>
      </c>
      <c r="C1147" s="1" t="n">
        <v>46092</v>
      </c>
      <c r="D1147" t="inlineStr">
        <is>
          <t>SKÅNE LÄN</t>
        </is>
      </c>
      <c r="E1147" t="inlineStr">
        <is>
          <t>HÄSSLEHOLM</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61197-2024</t>
        </is>
      </c>
      <c r="B1148" s="1" t="n">
        <v>45645.63184027778</v>
      </c>
      <c r="C1148" s="1" t="n">
        <v>46092</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6165-2023</t>
        </is>
      </c>
      <c r="B1149" s="1" t="n">
        <v>44964.67114583333</v>
      </c>
      <c r="C1149" s="1" t="n">
        <v>46092</v>
      </c>
      <c r="D1149" t="inlineStr">
        <is>
          <t>SKÅNE LÄN</t>
        </is>
      </c>
      <c r="E1149" t="inlineStr">
        <is>
          <t>HÄSSLEHOLM</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33938-2023</t>
        </is>
      </c>
      <c r="B1150" s="1" t="n">
        <v>45124</v>
      </c>
      <c r="C1150" s="1" t="n">
        <v>46092</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61533-2022</t>
        </is>
      </c>
      <c r="B1151" s="1" t="n">
        <v>44910</v>
      </c>
      <c r="C1151" s="1" t="n">
        <v>46092</v>
      </c>
      <c r="D1151" t="inlineStr">
        <is>
          <t>SKÅNE LÄN</t>
        </is>
      </c>
      <c r="E1151" t="inlineStr">
        <is>
          <t>HÄSSLEHOLM</t>
        </is>
      </c>
      <c r="F1151" t="inlineStr">
        <is>
          <t>Kyrkan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677-2024</t>
        </is>
      </c>
      <c r="B1152" s="1" t="n">
        <v>45300</v>
      </c>
      <c r="C1152" s="1" t="n">
        <v>46092</v>
      </c>
      <c r="D1152" t="inlineStr">
        <is>
          <t>SKÅNE LÄN</t>
        </is>
      </c>
      <c r="E1152" t="inlineStr">
        <is>
          <t>HÄSSLEHOLM</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20872-2025</t>
        </is>
      </c>
      <c r="B1153" s="1" t="n">
        <v>45777.34688657407</v>
      </c>
      <c r="C1153" s="1" t="n">
        <v>46092</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29994-2023</t>
        </is>
      </c>
      <c r="B1154" s="1" t="n">
        <v>45109.60038194444</v>
      </c>
      <c r="C1154" s="1" t="n">
        <v>46092</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21206-2025</t>
        </is>
      </c>
      <c r="B1155" s="1" t="n">
        <v>45779.48318287037</v>
      </c>
      <c r="C1155" s="1" t="n">
        <v>46092</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21091-2025</t>
        </is>
      </c>
      <c r="B1156" s="1" t="n">
        <v>45777</v>
      </c>
      <c r="C1156" s="1" t="n">
        <v>46092</v>
      </c>
      <c r="D1156" t="inlineStr">
        <is>
          <t>SKÅNE LÄN</t>
        </is>
      </c>
      <c r="E1156" t="inlineStr">
        <is>
          <t>HÄSSLEHOLM</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317-2025</t>
        </is>
      </c>
      <c r="B1157" s="1" t="n">
        <v>45660</v>
      </c>
      <c r="C1157" s="1" t="n">
        <v>46092</v>
      </c>
      <c r="D1157" t="inlineStr">
        <is>
          <t>SKÅNE LÄN</t>
        </is>
      </c>
      <c r="E1157" t="inlineStr">
        <is>
          <t>HÄSSLEHOLM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21638-2025</t>
        </is>
      </c>
      <c r="B1158" s="1" t="n">
        <v>45783.43087962963</v>
      </c>
      <c r="C1158" s="1" t="n">
        <v>46092</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39111-2023</t>
        </is>
      </c>
      <c r="B1159" s="1" t="n">
        <v>45164.87140046297</v>
      </c>
      <c r="C1159" s="1" t="n">
        <v>46092</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60851-2024</t>
        </is>
      </c>
      <c r="B1160" s="1" t="n">
        <v>45644.66182870371</v>
      </c>
      <c r="C1160" s="1" t="n">
        <v>46092</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21625-2025</t>
        </is>
      </c>
      <c r="B1161" s="1" t="n">
        <v>45783.41252314814</v>
      </c>
      <c r="C1161" s="1" t="n">
        <v>46092</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7818-2024</t>
        </is>
      </c>
      <c r="B1162" s="1" t="n">
        <v>45349.68872685185</v>
      </c>
      <c r="C1162" s="1" t="n">
        <v>46092</v>
      </c>
      <c r="D1162" t="inlineStr">
        <is>
          <t>SKÅNE LÄN</t>
        </is>
      </c>
      <c r="E1162" t="inlineStr">
        <is>
          <t>HÄSSLEHOLM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13149-2024</t>
        </is>
      </c>
      <c r="B1163" s="1" t="n">
        <v>45386</v>
      </c>
      <c r="C1163" s="1" t="n">
        <v>46092</v>
      </c>
      <c r="D1163" t="inlineStr">
        <is>
          <t>SKÅNE LÄN</t>
        </is>
      </c>
      <c r="E1163" t="inlineStr">
        <is>
          <t>HÄSSLEHOLM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29845-2024</t>
        </is>
      </c>
      <c r="B1164" s="1" t="n">
        <v>45485.6212037037</v>
      </c>
      <c r="C1164" s="1" t="n">
        <v>46092</v>
      </c>
      <c r="D1164" t="inlineStr">
        <is>
          <t>SKÅNE LÄN</t>
        </is>
      </c>
      <c r="E1164" t="inlineStr">
        <is>
          <t>HÄSSLEHOLM</t>
        </is>
      </c>
      <c r="G1164" t="n">
        <v>1.3</v>
      </c>
      <c r="H1164" t="n">
        <v>0</v>
      </c>
      <c r="I1164" t="n">
        <v>0</v>
      </c>
      <c r="J1164" t="n">
        <v>0</v>
      </c>
      <c r="K1164" t="n">
        <v>0</v>
      </c>
      <c r="L1164" t="n">
        <v>0</v>
      </c>
      <c r="M1164" t="n">
        <v>0</v>
      </c>
      <c r="N1164" t="n">
        <v>0</v>
      </c>
      <c r="O1164" t="n">
        <v>0</v>
      </c>
      <c r="P1164" t="n">
        <v>0</v>
      </c>
      <c r="Q1164" t="n">
        <v>0</v>
      </c>
      <c r="R1164" s="2" t="inlineStr"/>
    </row>
    <row r="1165">
      <c r="A1165" t="inlineStr">
        <is>
          <t>A 1703-2025</t>
        </is>
      </c>
      <c r="B1165" s="1" t="n">
        <v>45670.80732638889</v>
      </c>
      <c r="C1165" s="1" t="n">
        <v>46092</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2026-03-11T11:23:38Z</dcterms:created>
  <dcterms:modified xmlns:dcterms="http://purl.org/dc/terms/" xmlns:xsi="http://www.w3.org/2001/XMLSchema-instance" xsi:type="dcterms:W3CDTF">2026-03-11T11:23:39Z</dcterms:modified>
</cp:coreProperties>
</file>