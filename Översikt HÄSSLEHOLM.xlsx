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46093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46093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46093</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46093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46093</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46093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46093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46093</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46093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46093</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46093</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46093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46093</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4595-2025</t>
        </is>
      </c>
      <c r="B15" s="1" t="n">
        <v>45687</v>
      </c>
      <c r="C15" s="1" t="n">
        <v>46093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46093</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46093</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46093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46093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46093</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40613-2025</t>
        </is>
      </c>
      <c r="B21" s="1" t="n">
        <v>45896</v>
      </c>
      <c r="C21" s="1" t="n">
        <v>46093</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4619-2025</t>
        </is>
      </c>
      <c r="B22" s="1" t="n">
        <v>45687</v>
      </c>
      <c r="C22" s="1" t="n">
        <v>46093</v>
      </c>
      <c r="D22" t="inlineStr">
        <is>
          <t>SKÅNE LÄN</t>
        </is>
      </c>
      <c r="E22" t="inlineStr">
        <is>
          <t>HÄSSLEHOLM</t>
        </is>
      </c>
      <c r="G22" t="n">
        <v>2.2</v>
      </c>
      <c r="H22" t="n">
        <v>0</v>
      </c>
      <c r="I22" t="n">
        <v>0</v>
      </c>
      <c r="J22" t="n">
        <v>0</v>
      </c>
      <c r="K22" t="n">
        <v>1</v>
      </c>
      <c r="L22" t="n">
        <v>0</v>
      </c>
      <c r="M22" t="n">
        <v>0</v>
      </c>
      <c r="N22" t="n">
        <v>0</v>
      </c>
      <c r="O22" t="n">
        <v>1</v>
      </c>
      <c r="P22" t="n">
        <v>1</v>
      </c>
      <c r="Q22" t="n">
        <v>1</v>
      </c>
      <c r="R22" s="2" t="inlineStr">
        <is>
          <t>Vildris</t>
        </is>
      </c>
      <c r="S22">
        <f>HYPERLINK("https://klasma.github.io/Logging_1293/artfynd/A 4619-2025 artfynd.xlsx", "A 4619-2025")</f>
        <v/>
      </c>
      <c r="T22">
        <f>HYPERLINK("https://klasma.github.io/Logging_1293/kartor/A 4619-2025 karta.png", "A 4619-2025")</f>
        <v/>
      </c>
      <c r="V22">
        <f>HYPERLINK("https://klasma.github.io/Logging_1293/klagomål/A 4619-2025 FSC-klagomål.docx", "A 4619-2025")</f>
        <v/>
      </c>
      <c r="W22">
        <f>HYPERLINK("https://klasma.github.io/Logging_1293/klagomålsmail/A 4619-2025 FSC-klagomål mail.docx", "A 4619-2025")</f>
        <v/>
      </c>
      <c r="X22">
        <f>HYPERLINK("https://klasma.github.io/Logging_1293/tillsyn/A 4619-2025 tillsynsbegäran.docx", "A 4619-2025")</f>
        <v/>
      </c>
      <c r="Y22">
        <f>HYPERLINK("https://klasma.github.io/Logging_1293/tillsynsmail/A 4619-2025 tillsynsbegäran mail.docx", "A 4619-2025")</f>
        <v/>
      </c>
    </row>
    <row r="23" ht="15" customHeight="1">
      <c r="A23" t="inlineStr">
        <is>
          <t>A 16107-2025</t>
        </is>
      </c>
      <c r="B23" s="1" t="n">
        <v>45750.34537037037</v>
      </c>
      <c r="C23" s="1" t="n">
        <v>46093</v>
      </c>
      <c r="D23" t="inlineStr">
        <is>
          <t>SKÅNE LÄN</t>
        </is>
      </c>
      <c r="E23" t="inlineStr">
        <is>
          <t>HÄSSLEHOLM</t>
        </is>
      </c>
      <c r="G23" t="n">
        <v>1.4</v>
      </c>
      <c r="H23" t="n">
        <v>1</v>
      </c>
      <c r="I23" t="n">
        <v>0</v>
      </c>
      <c r="J23" t="n">
        <v>1</v>
      </c>
      <c r="K23" t="n">
        <v>0</v>
      </c>
      <c r="L23" t="n">
        <v>0</v>
      </c>
      <c r="M23" t="n">
        <v>0</v>
      </c>
      <c r="N23" t="n">
        <v>0</v>
      </c>
      <c r="O23" t="n">
        <v>1</v>
      </c>
      <c r="P23" t="n">
        <v>0</v>
      </c>
      <c r="Q23" t="n">
        <v>1</v>
      </c>
      <c r="R23" s="2" t="inlineStr">
        <is>
          <t>Spillkråka</t>
        </is>
      </c>
      <c r="S23">
        <f>HYPERLINK("https://klasma.github.io/Logging_1293/artfynd/A 16107-2025 artfynd.xlsx", "A 16107-2025")</f>
        <v/>
      </c>
      <c r="T23">
        <f>HYPERLINK("https://klasma.github.io/Logging_1293/kartor/A 16107-2025 karta.png", "A 16107-2025")</f>
        <v/>
      </c>
      <c r="V23">
        <f>HYPERLINK("https://klasma.github.io/Logging_1293/klagomål/A 16107-2025 FSC-klagomål.docx", "A 16107-2025")</f>
        <v/>
      </c>
      <c r="W23">
        <f>HYPERLINK("https://klasma.github.io/Logging_1293/klagomålsmail/A 16107-2025 FSC-klagomål mail.docx", "A 16107-2025")</f>
        <v/>
      </c>
      <c r="X23">
        <f>HYPERLINK("https://klasma.github.io/Logging_1293/tillsyn/A 16107-2025 tillsynsbegäran.docx", "A 16107-2025")</f>
        <v/>
      </c>
      <c r="Y23">
        <f>HYPERLINK("https://klasma.github.io/Logging_1293/tillsynsmail/A 16107-2025 tillsynsbegäran mail.docx", "A 16107-2025")</f>
        <v/>
      </c>
      <c r="Z23">
        <f>HYPERLINK("https://klasma.github.io/Logging_1293/fåglar/A 16107-2025 prioriterade fågelarter.docx", "A 16107-2025")</f>
        <v/>
      </c>
    </row>
    <row r="24" ht="15" customHeight="1">
      <c r="A24" t="inlineStr">
        <is>
          <t>A 9289-2025</t>
        </is>
      </c>
      <c r="B24" s="1" t="n">
        <v>45714</v>
      </c>
      <c r="C24" s="1" t="n">
        <v>46093</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46093</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14933-2023</t>
        </is>
      </c>
      <c r="B26" s="1" t="n">
        <v>45014</v>
      </c>
      <c r="C26" s="1" t="n">
        <v>46093</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46093</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49572-2022</t>
        </is>
      </c>
      <c r="B28" s="1" t="n">
        <v>44862.335</v>
      </c>
      <c r="C28" s="1" t="n">
        <v>46093</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57533-2025</t>
        </is>
      </c>
      <c r="B29" s="1" t="n">
        <v>45980.63923611111</v>
      </c>
      <c r="C29" s="1" t="n">
        <v>46093</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29272-2023</t>
        </is>
      </c>
      <c r="B30" s="1" t="n">
        <v>45105</v>
      </c>
      <c r="C30" s="1" t="n">
        <v>46093</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7862-2024</t>
        </is>
      </c>
      <c r="B31" s="1" t="n">
        <v>45348</v>
      </c>
      <c r="C31" s="1" t="n">
        <v>46093</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46093</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46093</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46093</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46093</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46093</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46093</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46093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46093</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46093</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46093</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46093</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46093</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46093</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46093</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46093</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46093</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46093</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46093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46093</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46093</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46093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46093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46093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46093</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46093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46093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46093</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46093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46093</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46093</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46093</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46093</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46093</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46093</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46093</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46093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46093</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46093</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46093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46093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46093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46093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46093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46093</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46093</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46093</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46093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46093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46093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46093</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46093</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46093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46093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46093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46093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46093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46093</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46093</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46093</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46093</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46093</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46093</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46093</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7857-2022</t>
        </is>
      </c>
      <c r="B95" s="1" t="n">
        <v>44607</v>
      </c>
      <c r="C95" s="1" t="n">
        <v>46093</v>
      </c>
      <c r="D95" t="inlineStr">
        <is>
          <t>SKÅNE LÄN</t>
        </is>
      </c>
      <c r="E95" t="inlineStr">
        <is>
          <t>HÄSSLEHOLM</t>
        </is>
      </c>
      <c r="F95" t="inlineStr">
        <is>
          <t>Kyrkan</t>
        </is>
      </c>
      <c r="G95" t="n">
        <v>12.2</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46093</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46093</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46093</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46093</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46093</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46093</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46093</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46093</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46093</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46093</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46093</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46093</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46093</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46093</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46093</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46093</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46093</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46093</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46093</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46093</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46093</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46093</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46093</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46093</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46093</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46093</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46093</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4161-2022</t>
        </is>
      </c>
      <c r="B123" s="1" t="n">
        <v>44588</v>
      </c>
      <c r="C123" s="1" t="n">
        <v>46093</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46093</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46093</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46093</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46093</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46093</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46093</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46093</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46093</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46093</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46093</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46093</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46093</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46093</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46093</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46093</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46093</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46093</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46093</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46093</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46093</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46093</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46093</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46093</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46093</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46093</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46093</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46093</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46093</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46093</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46093</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46093</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46093</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46093</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46093</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46093</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46093</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46093</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33562-2025</t>
        </is>
      </c>
      <c r="B161" s="1" t="n">
        <v>45841.57803240741</v>
      </c>
      <c r="C161" s="1" t="n">
        <v>46093</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33950-2025</t>
        </is>
      </c>
      <c r="B162" s="1" t="n">
        <v>45842</v>
      </c>
      <c r="C162" s="1" t="n">
        <v>46093</v>
      </c>
      <c r="D162" t="inlineStr">
        <is>
          <t>SKÅNE LÄN</t>
        </is>
      </c>
      <c r="E162" t="inlineStr">
        <is>
          <t>HÄSSLEHOLM</t>
        </is>
      </c>
      <c r="G162" t="n">
        <v>5.7</v>
      </c>
      <c r="H162" t="n">
        <v>0</v>
      </c>
      <c r="I162" t="n">
        <v>0</v>
      </c>
      <c r="J162" t="n">
        <v>0</v>
      </c>
      <c r="K162" t="n">
        <v>0</v>
      </c>
      <c r="L162" t="n">
        <v>0</v>
      </c>
      <c r="M162" t="n">
        <v>0</v>
      </c>
      <c r="N162" t="n">
        <v>0</v>
      </c>
      <c r="O162" t="n">
        <v>0</v>
      </c>
      <c r="P162" t="n">
        <v>0</v>
      </c>
      <c r="Q162" t="n">
        <v>0</v>
      </c>
      <c r="R162" s="2" t="inlineStr"/>
    </row>
    <row r="163" ht="15" customHeight="1">
      <c r="A163" t="inlineStr">
        <is>
          <t>A 23967-2022</t>
        </is>
      </c>
      <c r="B163" s="1" t="n">
        <v>44722.74079861111</v>
      </c>
      <c r="C163" s="1" t="n">
        <v>46093</v>
      </c>
      <c r="D163" t="inlineStr">
        <is>
          <t>SKÅNE LÄN</t>
        </is>
      </c>
      <c r="E163" t="inlineStr">
        <is>
          <t>HÄSSLEHOLM</t>
        </is>
      </c>
      <c r="F163" t="inlineStr">
        <is>
          <t>Kyrkan</t>
        </is>
      </c>
      <c r="G163" t="n">
        <v>12.4</v>
      </c>
      <c r="H163" t="n">
        <v>0</v>
      </c>
      <c r="I163" t="n">
        <v>0</v>
      </c>
      <c r="J163" t="n">
        <v>0</v>
      </c>
      <c r="K163" t="n">
        <v>0</v>
      </c>
      <c r="L163" t="n">
        <v>0</v>
      </c>
      <c r="M163" t="n">
        <v>0</v>
      </c>
      <c r="N163" t="n">
        <v>0</v>
      </c>
      <c r="O163" t="n">
        <v>0</v>
      </c>
      <c r="P163" t="n">
        <v>0</v>
      </c>
      <c r="Q163" t="n">
        <v>0</v>
      </c>
      <c r="R163" s="2" t="inlineStr"/>
    </row>
    <row r="164" ht="15" customHeight="1">
      <c r="A164" t="inlineStr">
        <is>
          <t>A 23830-2021</t>
        </is>
      </c>
      <c r="B164" s="1" t="n">
        <v>44335</v>
      </c>
      <c r="C164" s="1" t="n">
        <v>46093</v>
      </c>
      <c r="D164" t="inlineStr">
        <is>
          <t>SKÅNE LÄN</t>
        </is>
      </c>
      <c r="E164" t="inlineStr">
        <is>
          <t>HÄSSLEHOLM</t>
        </is>
      </c>
      <c r="G164" t="n">
        <v>18.7</v>
      </c>
      <c r="H164" t="n">
        <v>0</v>
      </c>
      <c r="I164" t="n">
        <v>0</v>
      </c>
      <c r="J164" t="n">
        <v>0</v>
      </c>
      <c r="K164" t="n">
        <v>0</v>
      </c>
      <c r="L164" t="n">
        <v>0</v>
      </c>
      <c r="M164" t="n">
        <v>0</v>
      </c>
      <c r="N164" t="n">
        <v>0</v>
      </c>
      <c r="O164" t="n">
        <v>0</v>
      </c>
      <c r="P164" t="n">
        <v>0</v>
      </c>
      <c r="Q164" t="n">
        <v>0</v>
      </c>
      <c r="R164" s="2" t="inlineStr"/>
    </row>
    <row r="165" ht="15" customHeight="1">
      <c r="A165" t="inlineStr">
        <is>
          <t>A 40739-2024</t>
        </is>
      </c>
      <c r="B165" s="1" t="n">
        <v>45558</v>
      </c>
      <c r="C165" s="1" t="n">
        <v>46093</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8177-2022</t>
        </is>
      </c>
      <c r="B166" s="1" t="n">
        <v>44607</v>
      </c>
      <c r="C166" s="1" t="n">
        <v>46093</v>
      </c>
      <c r="D166" t="inlineStr">
        <is>
          <t>SKÅNE LÄN</t>
        </is>
      </c>
      <c r="E166" t="inlineStr">
        <is>
          <t>HÄSSLEHOLM</t>
        </is>
      </c>
      <c r="F166" t="inlineStr">
        <is>
          <t>Kyrkan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25464-2022</t>
        </is>
      </c>
      <c r="B167" s="1" t="n">
        <v>44729</v>
      </c>
      <c r="C167" s="1" t="n">
        <v>46093</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51893-2021</t>
        </is>
      </c>
      <c r="B168" s="1" t="n">
        <v>44462</v>
      </c>
      <c r="C168" s="1" t="n">
        <v>46093</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30344-2022</t>
        </is>
      </c>
      <c r="B169" s="1" t="n">
        <v>44760.50783564815</v>
      </c>
      <c r="C169" s="1" t="n">
        <v>46093</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55394-2022</t>
        </is>
      </c>
      <c r="B170" s="1" t="n">
        <v>44887.57112268519</v>
      </c>
      <c r="C170" s="1" t="n">
        <v>46093</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25788-2021</t>
        </is>
      </c>
      <c r="B171" s="1" t="n">
        <v>44343</v>
      </c>
      <c r="C171" s="1" t="n">
        <v>46093</v>
      </c>
      <c r="D171" t="inlineStr">
        <is>
          <t>SKÅNE LÄN</t>
        </is>
      </c>
      <c r="E171" t="inlineStr">
        <is>
          <t>HÄSSLEHOLM</t>
        </is>
      </c>
      <c r="G171" t="n">
        <v>4.8</v>
      </c>
      <c r="H171" t="n">
        <v>0</v>
      </c>
      <c r="I171" t="n">
        <v>0</v>
      </c>
      <c r="J171" t="n">
        <v>0</v>
      </c>
      <c r="K171" t="n">
        <v>0</v>
      </c>
      <c r="L171" t="n">
        <v>0</v>
      </c>
      <c r="M171" t="n">
        <v>0</v>
      </c>
      <c r="N171" t="n">
        <v>0</v>
      </c>
      <c r="O171" t="n">
        <v>0</v>
      </c>
      <c r="P171" t="n">
        <v>0</v>
      </c>
      <c r="Q171" t="n">
        <v>0</v>
      </c>
      <c r="R171" s="2" t="inlineStr"/>
    </row>
    <row r="172" ht="15" customHeight="1">
      <c r="A172" t="inlineStr">
        <is>
          <t>A 56527-2021</t>
        </is>
      </c>
      <c r="B172" s="1" t="n">
        <v>44480</v>
      </c>
      <c r="C172" s="1" t="n">
        <v>46093</v>
      </c>
      <c r="D172" t="inlineStr">
        <is>
          <t>SKÅNE LÄN</t>
        </is>
      </c>
      <c r="E172" t="inlineStr">
        <is>
          <t>HÄSSLEHOLM</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64884-2023</t>
        </is>
      </c>
      <c r="B173" s="1" t="n">
        <v>45282.57809027778</v>
      </c>
      <c r="C173" s="1" t="n">
        <v>46093</v>
      </c>
      <c r="D173" t="inlineStr">
        <is>
          <t>SKÅNE LÄN</t>
        </is>
      </c>
      <c r="E173" t="inlineStr">
        <is>
          <t>HÄSSLEHOLM</t>
        </is>
      </c>
      <c r="G173" t="n">
        <v>4.6</v>
      </c>
      <c r="H173" t="n">
        <v>0</v>
      </c>
      <c r="I173" t="n">
        <v>0</v>
      </c>
      <c r="J173" t="n">
        <v>0</v>
      </c>
      <c r="K173" t="n">
        <v>0</v>
      </c>
      <c r="L173" t="n">
        <v>0</v>
      </c>
      <c r="M173" t="n">
        <v>0</v>
      </c>
      <c r="N173" t="n">
        <v>0</v>
      </c>
      <c r="O173" t="n">
        <v>0</v>
      </c>
      <c r="P173" t="n">
        <v>0</v>
      </c>
      <c r="Q173" t="n">
        <v>0</v>
      </c>
      <c r="R173" s="2" t="inlineStr"/>
    </row>
    <row r="174" ht="15" customHeight="1">
      <c r="A174" t="inlineStr">
        <is>
          <t>A 22140-2023</t>
        </is>
      </c>
      <c r="B174" s="1" t="n">
        <v>45065</v>
      </c>
      <c r="C174" s="1" t="n">
        <v>46093</v>
      </c>
      <c r="D174" t="inlineStr">
        <is>
          <t>SKÅNE LÄN</t>
        </is>
      </c>
      <c r="E174" t="inlineStr">
        <is>
          <t>HÄSSLEHOLM</t>
        </is>
      </c>
      <c r="G174" t="n">
        <v>6.7</v>
      </c>
      <c r="H174" t="n">
        <v>0</v>
      </c>
      <c r="I174" t="n">
        <v>0</v>
      </c>
      <c r="J174" t="n">
        <v>0</v>
      </c>
      <c r="K174" t="n">
        <v>0</v>
      </c>
      <c r="L174" t="n">
        <v>0</v>
      </c>
      <c r="M174" t="n">
        <v>0</v>
      </c>
      <c r="N174" t="n">
        <v>0</v>
      </c>
      <c r="O174" t="n">
        <v>0</v>
      </c>
      <c r="P174" t="n">
        <v>0</v>
      </c>
      <c r="Q174" t="n">
        <v>0</v>
      </c>
      <c r="R174" s="2" t="inlineStr"/>
    </row>
    <row r="175" ht="15" customHeight="1">
      <c r="A175" t="inlineStr">
        <is>
          <t>A 31944-2023</t>
        </is>
      </c>
      <c r="B175" s="1" t="n">
        <v>45119.34895833334</v>
      </c>
      <c r="C175" s="1" t="n">
        <v>46093</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7890-2024</t>
        </is>
      </c>
      <c r="B176" s="1" t="n">
        <v>45350.40780092592</v>
      </c>
      <c r="C176" s="1" t="n">
        <v>46093</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31946-2023</t>
        </is>
      </c>
      <c r="B177" s="1" t="n">
        <v>45119.35158564815</v>
      </c>
      <c r="C177" s="1" t="n">
        <v>46093</v>
      </c>
      <c r="D177" t="inlineStr">
        <is>
          <t>SKÅNE LÄN</t>
        </is>
      </c>
      <c r="E177" t="inlineStr">
        <is>
          <t>HÄSSLEHOLM</t>
        </is>
      </c>
      <c r="G177" t="n">
        <v>0.3</v>
      </c>
      <c r="H177" t="n">
        <v>0</v>
      </c>
      <c r="I177" t="n">
        <v>0</v>
      </c>
      <c r="J177" t="n">
        <v>0</v>
      </c>
      <c r="K177" t="n">
        <v>0</v>
      </c>
      <c r="L177" t="n">
        <v>0</v>
      </c>
      <c r="M177" t="n">
        <v>0</v>
      </c>
      <c r="N177" t="n">
        <v>0</v>
      </c>
      <c r="O177" t="n">
        <v>0</v>
      </c>
      <c r="P177" t="n">
        <v>0</v>
      </c>
      <c r="Q177" t="n">
        <v>0</v>
      </c>
      <c r="R177" s="2" t="inlineStr"/>
    </row>
    <row r="178" ht="15" customHeight="1">
      <c r="A178" t="inlineStr">
        <is>
          <t>A 3992-2022</t>
        </is>
      </c>
      <c r="B178" s="1" t="n">
        <v>44587</v>
      </c>
      <c r="C178" s="1" t="n">
        <v>46093</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8755-2024</t>
        </is>
      </c>
      <c r="B179" s="1" t="n">
        <v>45356</v>
      </c>
      <c r="C179" s="1" t="n">
        <v>46093</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25955-2022</t>
        </is>
      </c>
      <c r="B180" s="1" t="n">
        <v>44734</v>
      </c>
      <c r="C180" s="1" t="n">
        <v>46093</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45357-2022</t>
        </is>
      </c>
      <c r="B181" s="1" t="n">
        <v>44844.61952546296</v>
      </c>
      <c r="C181" s="1" t="n">
        <v>46093</v>
      </c>
      <c r="D181" t="inlineStr">
        <is>
          <t>SKÅNE LÄN</t>
        </is>
      </c>
      <c r="E181" t="inlineStr">
        <is>
          <t>HÄSSLEHOLM</t>
        </is>
      </c>
      <c r="G181" t="n">
        <v>5.8</v>
      </c>
      <c r="H181" t="n">
        <v>0</v>
      </c>
      <c r="I181" t="n">
        <v>0</v>
      </c>
      <c r="J181" t="n">
        <v>0</v>
      </c>
      <c r="K181" t="n">
        <v>0</v>
      </c>
      <c r="L181" t="n">
        <v>0</v>
      </c>
      <c r="M181" t="n">
        <v>0</v>
      </c>
      <c r="N181" t="n">
        <v>0</v>
      </c>
      <c r="O181" t="n">
        <v>0</v>
      </c>
      <c r="P181" t="n">
        <v>0</v>
      </c>
      <c r="Q181" t="n">
        <v>0</v>
      </c>
      <c r="R181" s="2" t="inlineStr"/>
    </row>
    <row r="182" ht="15" customHeight="1">
      <c r="A182" t="inlineStr">
        <is>
          <t>A 20657-2022</t>
        </is>
      </c>
      <c r="B182" s="1" t="n">
        <v>44700</v>
      </c>
      <c r="C182" s="1" t="n">
        <v>46093</v>
      </c>
      <c r="D182" t="inlineStr">
        <is>
          <t>SKÅNE LÄN</t>
        </is>
      </c>
      <c r="E182" t="inlineStr">
        <is>
          <t>HÄSSLEHOLM</t>
        </is>
      </c>
      <c r="G182" t="n">
        <v>3.8</v>
      </c>
      <c r="H182" t="n">
        <v>0</v>
      </c>
      <c r="I182" t="n">
        <v>0</v>
      </c>
      <c r="J182" t="n">
        <v>0</v>
      </c>
      <c r="K182" t="n">
        <v>0</v>
      </c>
      <c r="L182" t="n">
        <v>0</v>
      </c>
      <c r="M182" t="n">
        <v>0</v>
      </c>
      <c r="N182" t="n">
        <v>0</v>
      </c>
      <c r="O182" t="n">
        <v>0</v>
      </c>
      <c r="P182" t="n">
        <v>0</v>
      </c>
      <c r="Q182" t="n">
        <v>0</v>
      </c>
      <c r="R182" s="2" t="inlineStr"/>
    </row>
    <row r="183" ht="15" customHeight="1">
      <c r="A183" t="inlineStr">
        <is>
          <t>A 45989-2021</t>
        </is>
      </c>
      <c r="B183" s="1" t="n">
        <v>44441.74627314815</v>
      </c>
      <c r="C183" s="1" t="n">
        <v>46093</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61178-2022</t>
        </is>
      </c>
      <c r="B184" s="1" t="n">
        <v>44915</v>
      </c>
      <c r="C184" s="1" t="n">
        <v>46093</v>
      </c>
      <c r="D184" t="inlineStr">
        <is>
          <t>SKÅNE LÄN</t>
        </is>
      </c>
      <c r="E184" t="inlineStr">
        <is>
          <t>HÄSSLEHOLM</t>
        </is>
      </c>
      <c r="G184" t="n">
        <v>1.2</v>
      </c>
      <c r="H184" t="n">
        <v>0</v>
      </c>
      <c r="I184" t="n">
        <v>0</v>
      </c>
      <c r="J184" t="n">
        <v>0</v>
      </c>
      <c r="K184" t="n">
        <v>0</v>
      </c>
      <c r="L184" t="n">
        <v>0</v>
      </c>
      <c r="M184" t="n">
        <v>0</v>
      </c>
      <c r="N184" t="n">
        <v>0</v>
      </c>
      <c r="O184" t="n">
        <v>0</v>
      </c>
      <c r="P184" t="n">
        <v>0</v>
      </c>
      <c r="Q184" t="n">
        <v>0</v>
      </c>
      <c r="R184" s="2" t="inlineStr"/>
    </row>
    <row r="185" ht="15" customHeight="1">
      <c r="A185" t="inlineStr">
        <is>
          <t>A 61185-2022</t>
        </is>
      </c>
      <c r="B185" s="1" t="n">
        <v>44915</v>
      </c>
      <c r="C185" s="1" t="n">
        <v>46093</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61691-2021</t>
        </is>
      </c>
      <c r="B186" s="1" t="n">
        <v>44501</v>
      </c>
      <c r="C186" s="1" t="n">
        <v>46093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25221-2023</t>
        </is>
      </c>
      <c r="B187" s="1" t="n">
        <v>45086.60842592592</v>
      </c>
      <c r="C187" s="1" t="n">
        <v>46093</v>
      </c>
      <c r="D187" t="inlineStr">
        <is>
          <t>SKÅNE LÄN</t>
        </is>
      </c>
      <c r="E187" t="inlineStr">
        <is>
          <t>HÄSSLEHOLM</t>
        </is>
      </c>
      <c r="G187" t="n">
        <v>2.5</v>
      </c>
      <c r="H187" t="n">
        <v>0</v>
      </c>
      <c r="I187" t="n">
        <v>0</v>
      </c>
      <c r="J187" t="n">
        <v>0</v>
      </c>
      <c r="K187" t="n">
        <v>0</v>
      </c>
      <c r="L187" t="n">
        <v>0</v>
      </c>
      <c r="M187" t="n">
        <v>0</v>
      </c>
      <c r="N187" t="n">
        <v>0</v>
      </c>
      <c r="O187" t="n">
        <v>0</v>
      </c>
      <c r="P187" t="n">
        <v>0</v>
      </c>
      <c r="Q187" t="n">
        <v>0</v>
      </c>
      <c r="R187" s="2" t="inlineStr"/>
    </row>
    <row r="188" ht="15" customHeight="1">
      <c r="A188" t="inlineStr">
        <is>
          <t>A 59390-2021</t>
        </is>
      </c>
      <c r="B188" s="1" t="n">
        <v>44490</v>
      </c>
      <c r="C188" s="1" t="n">
        <v>46093</v>
      </c>
      <c r="D188" t="inlineStr">
        <is>
          <t>SKÅNE LÄN</t>
        </is>
      </c>
      <c r="E188" t="inlineStr">
        <is>
          <t>HÄSSLEHOLM</t>
        </is>
      </c>
      <c r="G188" t="n">
        <v>7.1</v>
      </c>
      <c r="H188" t="n">
        <v>0</v>
      </c>
      <c r="I188" t="n">
        <v>0</v>
      </c>
      <c r="J188" t="n">
        <v>0</v>
      </c>
      <c r="K188" t="n">
        <v>0</v>
      </c>
      <c r="L188" t="n">
        <v>0</v>
      </c>
      <c r="M188" t="n">
        <v>0</v>
      </c>
      <c r="N188" t="n">
        <v>0</v>
      </c>
      <c r="O188" t="n">
        <v>0</v>
      </c>
      <c r="P188" t="n">
        <v>0</v>
      </c>
      <c r="Q188" t="n">
        <v>0</v>
      </c>
      <c r="R188" s="2" t="inlineStr"/>
    </row>
    <row r="189" ht="15" customHeight="1">
      <c r="A189" t="inlineStr">
        <is>
          <t>A 34174-2025</t>
        </is>
      </c>
      <c r="B189" s="1" t="n">
        <v>45844</v>
      </c>
      <c r="C189" s="1" t="n">
        <v>46093</v>
      </c>
      <c r="D189" t="inlineStr">
        <is>
          <t>SKÅNE LÄN</t>
        </is>
      </c>
      <c r="E189" t="inlineStr">
        <is>
          <t>HÄSSLEHOLM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50564-2023</t>
        </is>
      </c>
      <c r="B190" s="1" t="n">
        <v>45217.37957175926</v>
      </c>
      <c r="C190" s="1" t="n">
        <v>46093</v>
      </c>
      <c r="D190" t="inlineStr">
        <is>
          <t>SKÅNE LÄN</t>
        </is>
      </c>
      <c r="E190" t="inlineStr">
        <is>
          <t>HÄSSLEHOLM</t>
        </is>
      </c>
      <c r="G190" t="n">
        <v>1.2</v>
      </c>
      <c r="H190" t="n">
        <v>0</v>
      </c>
      <c r="I190" t="n">
        <v>0</v>
      </c>
      <c r="J190" t="n">
        <v>0</v>
      </c>
      <c r="K190" t="n">
        <v>0</v>
      </c>
      <c r="L190" t="n">
        <v>0</v>
      </c>
      <c r="M190" t="n">
        <v>0</v>
      </c>
      <c r="N190" t="n">
        <v>0</v>
      </c>
      <c r="O190" t="n">
        <v>0</v>
      </c>
      <c r="P190" t="n">
        <v>0</v>
      </c>
      <c r="Q190" t="n">
        <v>0</v>
      </c>
      <c r="R190" s="2" t="inlineStr"/>
    </row>
    <row r="191" ht="15" customHeight="1">
      <c r="A191" t="inlineStr">
        <is>
          <t>A 15133-2023</t>
        </is>
      </c>
      <c r="B191" s="1" t="n">
        <v>45016</v>
      </c>
      <c r="C191" s="1" t="n">
        <v>46093</v>
      </c>
      <c r="D191" t="inlineStr">
        <is>
          <t>SKÅNE LÄN</t>
        </is>
      </c>
      <c r="E191" t="inlineStr">
        <is>
          <t>HÄSSLEHOLM</t>
        </is>
      </c>
      <c r="G191" t="n">
        <v>7.8</v>
      </c>
      <c r="H191" t="n">
        <v>0</v>
      </c>
      <c r="I191" t="n">
        <v>0</v>
      </c>
      <c r="J191" t="n">
        <v>0</v>
      </c>
      <c r="K191" t="n">
        <v>0</v>
      </c>
      <c r="L191" t="n">
        <v>0</v>
      </c>
      <c r="M191" t="n">
        <v>0</v>
      </c>
      <c r="N191" t="n">
        <v>0</v>
      </c>
      <c r="O191" t="n">
        <v>0</v>
      </c>
      <c r="P191" t="n">
        <v>0</v>
      </c>
      <c r="Q191" t="n">
        <v>0</v>
      </c>
      <c r="R191" s="2" t="inlineStr"/>
    </row>
    <row r="192" ht="15" customHeight="1">
      <c r="A192" t="inlineStr">
        <is>
          <t>A 7306-2025</t>
        </is>
      </c>
      <c r="B192" s="1" t="n">
        <v>45702</v>
      </c>
      <c r="C192" s="1" t="n">
        <v>46093</v>
      </c>
      <c r="D192" t="inlineStr">
        <is>
          <t>SKÅNE LÄN</t>
        </is>
      </c>
      <c r="E192" t="inlineStr">
        <is>
          <t>HÄSSLEHOLM</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7308-2025</t>
        </is>
      </c>
      <c r="B193" s="1" t="n">
        <v>45702</v>
      </c>
      <c r="C193" s="1" t="n">
        <v>46093</v>
      </c>
      <c r="D193" t="inlineStr">
        <is>
          <t>SKÅNE LÄN</t>
        </is>
      </c>
      <c r="E193" t="inlineStr">
        <is>
          <t>HÄSSLEHOLM</t>
        </is>
      </c>
      <c r="F193" t="inlineStr">
        <is>
          <t>Övriga Aktiebolag</t>
        </is>
      </c>
      <c r="G193" t="n">
        <v>4.8</v>
      </c>
      <c r="H193" t="n">
        <v>0</v>
      </c>
      <c r="I193" t="n">
        <v>0</v>
      </c>
      <c r="J193" t="n">
        <v>0</v>
      </c>
      <c r="K193" t="n">
        <v>0</v>
      </c>
      <c r="L193" t="n">
        <v>0</v>
      </c>
      <c r="M193" t="n">
        <v>0</v>
      </c>
      <c r="N193" t="n">
        <v>0</v>
      </c>
      <c r="O193" t="n">
        <v>0</v>
      </c>
      <c r="P193" t="n">
        <v>0</v>
      </c>
      <c r="Q193" t="n">
        <v>0</v>
      </c>
      <c r="R193" s="2" t="inlineStr"/>
    </row>
    <row r="194" ht="15" customHeight="1">
      <c r="A194" t="inlineStr">
        <is>
          <t>A 13811-2021</t>
        </is>
      </c>
      <c r="B194" s="1" t="n">
        <v>44276</v>
      </c>
      <c r="C194" s="1" t="n">
        <v>46093</v>
      </c>
      <c r="D194" t="inlineStr">
        <is>
          <t>SKÅNE LÄN</t>
        </is>
      </c>
      <c r="E194" t="inlineStr">
        <is>
          <t>HÄSSLEHOLM</t>
        </is>
      </c>
      <c r="G194" t="n">
        <v>8</v>
      </c>
      <c r="H194" t="n">
        <v>0</v>
      </c>
      <c r="I194" t="n">
        <v>0</v>
      </c>
      <c r="J194" t="n">
        <v>0</v>
      </c>
      <c r="K194" t="n">
        <v>0</v>
      </c>
      <c r="L194" t="n">
        <v>0</v>
      </c>
      <c r="M194" t="n">
        <v>0</v>
      </c>
      <c r="N194" t="n">
        <v>0</v>
      </c>
      <c r="O194" t="n">
        <v>0</v>
      </c>
      <c r="P194" t="n">
        <v>0</v>
      </c>
      <c r="Q194" t="n">
        <v>0</v>
      </c>
      <c r="R194" s="2" t="inlineStr"/>
    </row>
    <row r="195" ht="15" customHeight="1">
      <c r="A195" t="inlineStr">
        <is>
          <t>A 26642-2023</t>
        </is>
      </c>
      <c r="B195" s="1" t="n">
        <v>45092.8975</v>
      </c>
      <c r="C195" s="1" t="n">
        <v>46093</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15053-2023</t>
        </is>
      </c>
      <c r="B196" s="1" t="n">
        <v>45015</v>
      </c>
      <c r="C196" s="1" t="n">
        <v>46093</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23857-2024</t>
        </is>
      </c>
      <c r="B197" s="1" t="n">
        <v>45455</v>
      </c>
      <c r="C197" s="1" t="n">
        <v>46093</v>
      </c>
      <c r="D197" t="inlineStr">
        <is>
          <t>SKÅNE LÄN</t>
        </is>
      </c>
      <c r="E197" t="inlineStr">
        <is>
          <t>HÄSSLEHOLM</t>
        </is>
      </c>
      <c r="G197" t="n">
        <v>3</v>
      </c>
      <c r="H197" t="n">
        <v>0</v>
      </c>
      <c r="I197" t="n">
        <v>0</v>
      </c>
      <c r="J197" t="n">
        <v>0</v>
      </c>
      <c r="K197" t="n">
        <v>0</v>
      </c>
      <c r="L197" t="n">
        <v>0</v>
      </c>
      <c r="M197" t="n">
        <v>0</v>
      </c>
      <c r="N197" t="n">
        <v>0</v>
      </c>
      <c r="O197" t="n">
        <v>0</v>
      </c>
      <c r="P197" t="n">
        <v>0</v>
      </c>
      <c r="Q197" t="n">
        <v>0</v>
      </c>
      <c r="R197" s="2" t="inlineStr"/>
    </row>
    <row r="198" ht="15" customHeight="1">
      <c r="A198" t="inlineStr">
        <is>
          <t>A 35644-2023</t>
        </is>
      </c>
      <c r="B198" s="1" t="n">
        <v>45147</v>
      </c>
      <c r="C198" s="1" t="n">
        <v>46093</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46185-2022</t>
        </is>
      </c>
      <c r="B199" s="1" t="n">
        <v>44847</v>
      </c>
      <c r="C199" s="1" t="n">
        <v>46093</v>
      </c>
      <c r="D199" t="inlineStr">
        <is>
          <t>SKÅNE LÄN</t>
        </is>
      </c>
      <c r="E199" t="inlineStr">
        <is>
          <t>HÄSSLEHOLM</t>
        </is>
      </c>
      <c r="G199" t="n">
        <v>16.8</v>
      </c>
      <c r="H199" t="n">
        <v>0</v>
      </c>
      <c r="I199" t="n">
        <v>0</v>
      </c>
      <c r="J199" t="n">
        <v>0</v>
      </c>
      <c r="K199" t="n">
        <v>0</v>
      </c>
      <c r="L199" t="n">
        <v>0</v>
      </c>
      <c r="M199" t="n">
        <v>0</v>
      </c>
      <c r="N199" t="n">
        <v>0</v>
      </c>
      <c r="O199" t="n">
        <v>0</v>
      </c>
      <c r="P199" t="n">
        <v>0</v>
      </c>
      <c r="Q199" t="n">
        <v>0</v>
      </c>
      <c r="R199" s="2" t="inlineStr"/>
    </row>
    <row r="200" ht="15" customHeight="1">
      <c r="A200" t="inlineStr">
        <is>
          <t>A 8433-2024</t>
        </is>
      </c>
      <c r="B200" s="1" t="n">
        <v>45353.48434027778</v>
      </c>
      <c r="C200" s="1" t="n">
        <v>46093</v>
      </c>
      <c r="D200" t="inlineStr">
        <is>
          <t>SKÅNE LÄN</t>
        </is>
      </c>
      <c r="E200" t="inlineStr">
        <is>
          <t>HÄSSLEHOLM</t>
        </is>
      </c>
      <c r="G200" t="n">
        <v>1.9</v>
      </c>
      <c r="H200" t="n">
        <v>0</v>
      </c>
      <c r="I200" t="n">
        <v>0</v>
      </c>
      <c r="J200" t="n">
        <v>0</v>
      </c>
      <c r="K200" t="n">
        <v>0</v>
      </c>
      <c r="L200" t="n">
        <v>0</v>
      </c>
      <c r="M200" t="n">
        <v>0</v>
      </c>
      <c r="N200" t="n">
        <v>0</v>
      </c>
      <c r="O200" t="n">
        <v>0</v>
      </c>
      <c r="P200" t="n">
        <v>0</v>
      </c>
      <c r="Q200" t="n">
        <v>0</v>
      </c>
      <c r="R200" s="2" t="inlineStr"/>
    </row>
    <row r="201" ht="15" customHeight="1">
      <c r="A201" t="inlineStr">
        <is>
          <t>A 62055-2023</t>
        </is>
      </c>
      <c r="B201" s="1" t="n">
        <v>45266.70287037037</v>
      </c>
      <c r="C201" s="1" t="n">
        <v>46093</v>
      </c>
      <c r="D201" t="inlineStr">
        <is>
          <t>SKÅNE LÄN</t>
        </is>
      </c>
      <c r="E201" t="inlineStr">
        <is>
          <t>HÄSSLEHOLM</t>
        </is>
      </c>
      <c r="G201" t="n">
        <v>5.2</v>
      </c>
      <c r="H201" t="n">
        <v>0</v>
      </c>
      <c r="I201" t="n">
        <v>0</v>
      </c>
      <c r="J201" t="n">
        <v>0</v>
      </c>
      <c r="K201" t="n">
        <v>0</v>
      </c>
      <c r="L201" t="n">
        <v>0</v>
      </c>
      <c r="M201" t="n">
        <v>0</v>
      </c>
      <c r="N201" t="n">
        <v>0</v>
      </c>
      <c r="O201" t="n">
        <v>0</v>
      </c>
      <c r="P201" t="n">
        <v>0</v>
      </c>
      <c r="Q201" t="n">
        <v>0</v>
      </c>
      <c r="R201" s="2" t="inlineStr"/>
    </row>
    <row r="202" ht="15" customHeight="1">
      <c r="A202" t="inlineStr">
        <is>
          <t>A 5016-2024</t>
        </is>
      </c>
      <c r="B202" s="1" t="n">
        <v>45329</v>
      </c>
      <c r="C202" s="1" t="n">
        <v>46093</v>
      </c>
      <c r="D202" t="inlineStr">
        <is>
          <t>SKÅNE LÄN</t>
        </is>
      </c>
      <c r="E202" t="inlineStr">
        <is>
          <t>HÄSSLEHOLM</t>
        </is>
      </c>
      <c r="G202" t="n">
        <v>3.2</v>
      </c>
      <c r="H202" t="n">
        <v>0</v>
      </c>
      <c r="I202" t="n">
        <v>0</v>
      </c>
      <c r="J202" t="n">
        <v>0</v>
      </c>
      <c r="K202" t="n">
        <v>0</v>
      </c>
      <c r="L202" t="n">
        <v>0</v>
      </c>
      <c r="M202" t="n">
        <v>0</v>
      </c>
      <c r="N202" t="n">
        <v>0</v>
      </c>
      <c r="O202" t="n">
        <v>0</v>
      </c>
      <c r="P202" t="n">
        <v>0</v>
      </c>
      <c r="Q202" t="n">
        <v>0</v>
      </c>
      <c r="R202" s="2" t="inlineStr"/>
    </row>
    <row r="203" ht="15" customHeight="1">
      <c r="A203" t="inlineStr">
        <is>
          <t>A 34177-2025</t>
        </is>
      </c>
      <c r="B203" s="1" t="n">
        <v>45844</v>
      </c>
      <c r="C203" s="1" t="n">
        <v>46093</v>
      </c>
      <c r="D203" t="inlineStr">
        <is>
          <t>SKÅNE LÄN</t>
        </is>
      </c>
      <c r="E203" t="inlineStr">
        <is>
          <t>HÄSSLEHOLM</t>
        </is>
      </c>
      <c r="G203" t="n">
        <v>3</v>
      </c>
      <c r="H203" t="n">
        <v>0</v>
      </c>
      <c r="I203" t="n">
        <v>0</v>
      </c>
      <c r="J203" t="n">
        <v>0</v>
      </c>
      <c r="K203" t="n">
        <v>0</v>
      </c>
      <c r="L203" t="n">
        <v>0</v>
      </c>
      <c r="M203" t="n">
        <v>0</v>
      </c>
      <c r="N203" t="n">
        <v>0</v>
      </c>
      <c r="O203" t="n">
        <v>0</v>
      </c>
      <c r="P203" t="n">
        <v>0</v>
      </c>
      <c r="Q203" t="n">
        <v>0</v>
      </c>
      <c r="R203" s="2" t="inlineStr"/>
    </row>
    <row r="204" ht="15" customHeight="1">
      <c r="A204" t="inlineStr">
        <is>
          <t>A 4512-2024</t>
        </is>
      </c>
      <c r="B204" s="1" t="n">
        <v>45327.6312962963</v>
      </c>
      <c r="C204" s="1" t="n">
        <v>46093</v>
      </c>
      <c r="D204" t="inlineStr">
        <is>
          <t>SKÅNE LÄN</t>
        </is>
      </c>
      <c r="E204" t="inlineStr">
        <is>
          <t>HÄSSLEHOLM</t>
        </is>
      </c>
      <c r="G204" t="n">
        <v>2</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46093</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13555-2025</t>
        </is>
      </c>
      <c r="B206" s="1" t="n">
        <v>45736</v>
      </c>
      <c r="C206" s="1" t="n">
        <v>46093</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7904-2022</t>
        </is>
      </c>
      <c r="B207" s="1" t="n">
        <v>44607</v>
      </c>
      <c r="C207" s="1" t="n">
        <v>46093</v>
      </c>
      <c r="D207" t="inlineStr">
        <is>
          <t>SKÅNE LÄN</t>
        </is>
      </c>
      <c r="E207" t="inlineStr">
        <is>
          <t>HÄSSLEHOLM</t>
        </is>
      </c>
      <c r="F207" t="inlineStr">
        <is>
          <t>Kyrkan</t>
        </is>
      </c>
      <c r="G207" t="n">
        <v>3.9</v>
      </c>
      <c r="H207" t="n">
        <v>0</v>
      </c>
      <c r="I207" t="n">
        <v>0</v>
      </c>
      <c r="J207" t="n">
        <v>0</v>
      </c>
      <c r="K207" t="n">
        <v>0</v>
      </c>
      <c r="L207" t="n">
        <v>0</v>
      </c>
      <c r="M207" t="n">
        <v>0</v>
      </c>
      <c r="N207" t="n">
        <v>0</v>
      </c>
      <c r="O207" t="n">
        <v>0</v>
      </c>
      <c r="P207" t="n">
        <v>0</v>
      </c>
      <c r="Q207" t="n">
        <v>0</v>
      </c>
      <c r="R207" s="2" t="inlineStr"/>
    </row>
    <row r="208" ht="15" customHeight="1">
      <c r="A208" t="inlineStr">
        <is>
          <t>A 28236-2022</t>
        </is>
      </c>
      <c r="B208" s="1" t="n">
        <v>44746</v>
      </c>
      <c r="C208" s="1" t="n">
        <v>46093</v>
      </c>
      <c r="D208" t="inlineStr">
        <is>
          <t>SKÅNE LÄN</t>
        </is>
      </c>
      <c r="E208" t="inlineStr">
        <is>
          <t>HÄSSLEHOLM</t>
        </is>
      </c>
      <c r="G208" t="n">
        <v>3.5</v>
      </c>
      <c r="H208" t="n">
        <v>0</v>
      </c>
      <c r="I208" t="n">
        <v>0</v>
      </c>
      <c r="J208" t="n">
        <v>0</v>
      </c>
      <c r="K208" t="n">
        <v>0</v>
      </c>
      <c r="L208" t="n">
        <v>0</v>
      </c>
      <c r="M208" t="n">
        <v>0</v>
      </c>
      <c r="N208" t="n">
        <v>0</v>
      </c>
      <c r="O208" t="n">
        <v>0</v>
      </c>
      <c r="P208" t="n">
        <v>0</v>
      </c>
      <c r="Q208" t="n">
        <v>0</v>
      </c>
      <c r="R208" s="2" t="inlineStr"/>
    </row>
    <row r="209" ht="15" customHeight="1">
      <c r="A209" t="inlineStr">
        <is>
          <t>A 7250-2022</t>
        </is>
      </c>
      <c r="B209" s="1" t="n">
        <v>44606</v>
      </c>
      <c r="C209" s="1" t="n">
        <v>46093</v>
      </c>
      <c r="D209" t="inlineStr">
        <is>
          <t>SKÅNE LÄN</t>
        </is>
      </c>
      <c r="E209" t="inlineStr">
        <is>
          <t>HÄSSLEHOLM</t>
        </is>
      </c>
      <c r="F209" t="inlineStr">
        <is>
          <t>Övriga Aktiebolag</t>
        </is>
      </c>
      <c r="G209" t="n">
        <v>2.6</v>
      </c>
      <c r="H209" t="n">
        <v>0</v>
      </c>
      <c r="I209" t="n">
        <v>0</v>
      </c>
      <c r="J209" t="n">
        <v>0</v>
      </c>
      <c r="K209" t="n">
        <v>0</v>
      </c>
      <c r="L209" t="n">
        <v>0</v>
      </c>
      <c r="M209" t="n">
        <v>0</v>
      </c>
      <c r="N209" t="n">
        <v>0</v>
      </c>
      <c r="O209" t="n">
        <v>0</v>
      </c>
      <c r="P209" t="n">
        <v>0</v>
      </c>
      <c r="Q209" t="n">
        <v>0</v>
      </c>
      <c r="R209" s="2" t="inlineStr"/>
    </row>
    <row r="210" ht="15" customHeight="1">
      <c r="A210" t="inlineStr">
        <is>
          <t>A 28632-2024</t>
        </is>
      </c>
      <c r="B210" s="1" t="n">
        <v>45478</v>
      </c>
      <c r="C210" s="1" t="n">
        <v>46093</v>
      </c>
      <c r="D210" t="inlineStr">
        <is>
          <t>SKÅNE LÄN</t>
        </is>
      </c>
      <c r="E210" t="inlineStr">
        <is>
          <t>HÄSSLEHOLM</t>
        </is>
      </c>
      <c r="G210" t="n">
        <v>4</v>
      </c>
      <c r="H210" t="n">
        <v>0</v>
      </c>
      <c r="I210" t="n">
        <v>0</v>
      </c>
      <c r="J210" t="n">
        <v>0</v>
      </c>
      <c r="K210" t="n">
        <v>0</v>
      </c>
      <c r="L210" t="n">
        <v>0</v>
      </c>
      <c r="M210" t="n">
        <v>0</v>
      </c>
      <c r="N210" t="n">
        <v>0</v>
      </c>
      <c r="O210" t="n">
        <v>0</v>
      </c>
      <c r="P210" t="n">
        <v>0</v>
      </c>
      <c r="Q210" t="n">
        <v>0</v>
      </c>
      <c r="R210" s="2" t="inlineStr"/>
    </row>
    <row r="211" ht="15" customHeight="1">
      <c r="A211" t="inlineStr">
        <is>
          <t>A 51895-2021</t>
        </is>
      </c>
      <c r="B211" s="1" t="n">
        <v>44462</v>
      </c>
      <c r="C211" s="1" t="n">
        <v>46093</v>
      </c>
      <c r="D211" t="inlineStr">
        <is>
          <t>SKÅNE LÄN</t>
        </is>
      </c>
      <c r="E211" t="inlineStr">
        <is>
          <t>HÄSSLEHOLM</t>
        </is>
      </c>
      <c r="G211" t="n">
        <v>5.7</v>
      </c>
      <c r="H211" t="n">
        <v>0</v>
      </c>
      <c r="I211" t="n">
        <v>0</v>
      </c>
      <c r="J211" t="n">
        <v>0</v>
      </c>
      <c r="K211" t="n">
        <v>0</v>
      </c>
      <c r="L211" t="n">
        <v>0</v>
      </c>
      <c r="M211" t="n">
        <v>0</v>
      </c>
      <c r="N211" t="n">
        <v>0</v>
      </c>
      <c r="O211" t="n">
        <v>0</v>
      </c>
      <c r="P211" t="n">
        <v>0</v>
      </c>
      <c r="Q211" t="n">
        <v>0</v>
      </c>
      <c r="R211" s="2" t="inlineStr"/>
    </row>
    <row r="212" ht="15" customHeight="1">
      <c r="A212" t="inlineStr">
        <is>
          <t>A 20279-2025</t>
        </is>
      </c>
      <c r="B212" s="1" t="n">
        <v>45774.38643518519</v>
      </c>
      <c r="C212" s="1" t="n">
        <v>46093</v>
      </c>
      <c r="D212" t="inlineStr">
        <is>
          <t>SKÅNE LÄN</t>
        </is>
      </c>
      <c r="E212" t="inlineStr">
        <is>
          <t>HÄSSLEHOLM</t>
        </is>
      </c>
      <c r="G212" t="n">
        <v>0.8</v>
      </c>
      <c r="H212" t="n">
        <v>0</v>
      </c>
      <c r="I212" t="n">
        <v>0</v>
      </c>
      <c r="J212" t="n">
        <v>0</v>
      </c>
      <c r="K212" t="n">
        <v>0</v>
      </c>
      <c r="L212" t="n">
        <v>0</v>
      </c>
      <c r="M212" t="n">
        <v>0</v>
      </c>
      <c r="N212" t="n">
        <v>0</v>
      </c>
      <c r="O212" t="n">
        <v>0</v>
      </c>
      <c r="P212" t="n">
        <v>0</v>
      </c>
      <c r="Q212" t="n">
        <v>0</v>
      </c>
      <c r="R212" s="2" t="inlineStr"/>
    </row>
    <row r="213" ht="15" customHeight="1">
      <c r="A213" t="inlineStr">
        <is>
          <t>A 219-2022</t>
        </is>
      </c>
      <c r="B213" s="1" t="n">
        <v>44564</v>
      </c>
      <c r="C213" s="1" t="n">
        <v>46093</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6048-2022</t>
        </is>
      </c>
      <c r="B214" s="1" t="n">
        <v>44599.5174537037</v>
      </c>
      <c r="C214" s="1" t="n">
        <v>46093</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35712-2024</t>
        </is>
      </c>
      <c r="B215" s="1" t="n">
        <v>45532</v>
      </c>
      <c r="C215" s="1" t="n">
        <v>46093</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55412-2022</t>
        </is>
      </c>
      <c r="B216" s="1" t="n">
        <v>44882</v>
      </c>
      <c r="C216" s="1" t="n">
        <v>46093</v>
      </c>
      <c r="D216" t="inlineStr">
        <is>
          <t>SKÅNE LÄN</t>
        </is>
      </c>
      <c r="E216" t="inlineStr">
        <is>
          <t>HÄSSLEHOLM</t>
        </is>
      </c>
      <c r="F216" t="inlineStr">
        <is>
          <t>Övriga Aktiebolag</t>
        </is>
      </c>
      <c r="G216" t="n">
        <v>4</v>
      </c>
      <c r="H216" t="n">
        <v>0</v>
      </c>
      <c r="I216" t="n">
        <v>0</v>
      </c>
      <c r="J216" t="n">
        <v>0</v>
      </c>
      <c r="K216" t="n">
        <v>0</v>
      </c>
      <c r="L216" t="n">
        <v>0</v>
      </c>
      <c r="M216" t="n">
        <v>0</v>
      </c>
      <c r="N216" t="n">
        <v>0</v>
      </c>
      <c r="O216" t="n">
        <v>0</v>
      </c>
      <c r="P216" t="n">
        <v>0</v>
      </c>
      <c r="Q216" t="n">
        <v>0</v>
      </c>
      <c r="R216" s="2" t="inlineStr"/>
    </row>
    <row r="217" ht="15" customHeight="1">
      <c r="A217" t="inlineStr">
        <is>
          <t>A 53576-2022</t>
        </is>
      </c>
      <c r="B217" s="1" t="n">
        <v>44875</v>
      </c>
      <c r="C217" s="1" t="n">
        <v>46093</v>
      </c>
      <c r="D217" t="inlineStr">
        <is>
          <t>SKÅNE LÄN</t>
        </is>
      </c>
      <c r="E217" t="inlineStr">
        <is>
          <t>HÄSSLEHOLM</t>
        </is>
      </c>
      <c r="F217" t="inlineStr">
        <is>
          <t>Övriga Aktiebolag</t>
        </is>
      </c>
      <c r="G217" t="n">
        <v>1.2</v>
      </c>
      <c r="H217" t="n">
        <v>0</v>
      </c>
      <c r="I217" t="n">
        <v>0</v>
      </c>
      <c r="J217" t="n">
        <v>0</v>
      </c>
      <c r="K217" t="n">
        <v>0</v>
      </c>
      <c r="L217" t="n">
        <v>0</v>
      </c>
      <c r="M217" t="n">
        <v>0</v>
      </c>
      <c r="N217" t="n">
        <v>0</v>
      </c>
      <c r="O217" t="n">
        <v>0</v>
      </c>
      <c r="P217" t="n">
        <v>0</v>
      </c>
      <c r="Q217" t="n">
        <v>0</v>
      </c>
      <c r="R217" s="2" t="inlineStr"/>
    </row>
    <row r="218" ht="15" customHeight="1">
      <c r="A218" t="inlineStr">
        <is>
          <t>A 6253-2022</t>
        </is>
      </c>
      <c r="B218" s="1" t="n">
        <v>44600</v>
      </c>
      <c r="C218" s="1" t="n">
        <v>46093</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33466-2024</t>
        </is>
      </c>
      <c r="B219" s="1" t="n">
        <v>45519</v>
      </c>
      <c r="C219" s="1" t="n">
        <v>46093</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26397-2023</t>
        </is>
      </c>
      <c r="B220" s="1" t="n">
        <v>45087</v>
      </c>
      <c r="C220" s="1" t="n">
        <v>46093</v>
      </c>
      <c r="D220" t="inlineStr">
        <is>
          <t>SKÅNE LÄN</t>
        </is>
      </c>
      <c r="E220" t="inlineStr">
        <is>
          <t>HÄSSLEHOLM</t>
        </is>
      </c>
      <c r="G220" t="n">
        <v>1.7</v>
      </c>
      <c r="H220" t="n">
        <v>0</v>
      </c>
      <c r="I220" t="n">
        <v>0</v>
      </c>
      <c r="J220" t="n">
        <v>0</v>
      </c>
      <c r="K220" t="n">
        <v>0</v>
      </c>
      <c r="L220" t="n">
        <v>0</v>
      </c>
      <c r="M220" t="n">
        <v>0</v>
      </c>
      <c r="N220" t="n">
        <v>0</v>
      </c>
      <c r="O220" t="n">
        <v>0</v>
      </c>
      <c r="P220" t="n">
        <v>0</v>
      </c>
      <c r="Q220" t="n">
        <v>0</v>
      </c>
      <c r="R220" s="2" t="inlineStr"/>
    </row>
    <row r="221" ht="15" customHeight="1">
      <c r="A221" t="inlineStr">
        <is>
          <t>A 62199-2022</t>
        </is>
      </c>
      <c r="B221" s="1" t="n">
        <v>44915</v>
      </c>
      <c r="C221" s="1" t="n">
        <v>46093</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27175-2024</t>
        </is>
      </c>
      <c r="B222" s="1" t="n">
        <v>45471.57111111111</v>
      </c>
      <c r="C222" s="1" t="n">
        <v>46093</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14157-2021</t>
        </is>
      </c>
      <c r="B223" s="1" t="n">
        <v>44278.43246527778</v>
      </c>
      <c r="C223" s="1" t="n">
        <v>46093</v>
      </c>
      <c r="D223" t="inlineStr">
        <is>
          <t>SKÅNE LÄN</t>
        </is>
      </c>
      <c r="E223" t="inlineStr">
        <is>
          <t>HÄSSLEHOLM</t>
        </is>
      </c>
      <c r="G223" t="n">
        <v>10.5</v>
      </c>
      <c r="H223" t="n">
        <v>0</v>
      </c>
      <c r="I223" t="n">
        <v>0</v>
      </c>
      <c r="J223" t="n">
        <v>0</v>
      </c>
      <c r="K223" t="n">
        <v>0</v>
      </c>
      <c r="L223" t="n">
        <v>0</v>
      </c>
      <c r="M223" t="n">
        <v>0</v>
      </c>
      <c r="N223" t="n">
        <v>0</v>
      </c>
      <c r="O223" t="n">
        <v>0</v>
      </c>
      <c r="P223" t="n">
        <v>0</v>
      </c>
      <c r="Q223" t="n">
        <v>0</v>
      </c>
      <c r="R223" s="2" t="inlineStr"/>
    </row>
    <row r="224" ht="15" customHeight="1">
      <c r="A224" t="inlineStr">
        <is>
          <t>A 677-2024</t>
        </is>
      </c>
      <c r="B224" s="1" t="n">
        <v>45300</v>
      </c>
      <c r="C224" s="1" t="n">
        <v>46093</v>
      </c>
      <c r="D224" t="inlineStr">
        <is>
          <t>SKÅNE LÄN</t>
        </is>
      </c>
      <c r="E224" t="inlineStr">
        <is>
          <t>HÄSSLEHOLM</t>
        </is>
      </c>
      <c r="G224" t="n">
        <v>6.8</v>
      </c>
      <c r="H224" t="n">
        <v>0</v>
      </c>
      <c r="I224" t="n">
        <v>0</v>
      </c>
      <c r="J224" t="n">
        <v>0</v>
      </c>
      <c r="K224" t="n">
        <v>0</v>
      </c>
      <c r="L224" t="n">
        <v>0</v>
      </c>
      <c r="M224" t="n">
        <v>0</v>
      </c>
      <c r="N224" t="n">
        <v>0</v>
      </c>
      <c r="O224" t="n">
        <v>0</v>
      </c>
      <c r="P224" t="n">
        <v>0</v>
      </c>
      <c r="Q224" t="n">
        <v>0</v>
      </c>
      <c r="R224" s="2" t="inlineStr"/>
    </row>
    <row r="225" ht="15" customHeight="1">
      <c r="A225" t="inlineStr">
        <is>
          <t>A 1197-2024</t>
        </is>
      </c>
      <c r="B225" s="1" t="n">
        <v>45302</v>
      </c>
      <c r="C225" s="1" t="n">
        <v>46093</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22678-2025</t>
        </is>
      </c>
      <c r="B226" s="1" t="n">
        <v>45789.49725694444</v>
      </c>
      <c r="C226" s="1" t="n">
        <v>46093</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48097-2024</t>
        </is>
      </c>
      <c r="B227" s="1" t="n">
        <v>45589.61413194444</v>
      </c>
      <c r="C227" s="1" t="n">
        <v>46093</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15562-2024</t>
        </is>
      </c>
      <c r="B228" s="1" t="n">
        <v>45401.64975694445</v>
      </c>
      <c r="C228" s="1" t="n">
        <v>46093</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53077-2022</t>
        </is>
      </c>
      <c r="B229" s="1" t="n">
        <v>44873</v>
      </c>
      <c r="C229" s="1" t="n">
        <v>46093</v>
      </c>
      <c r="D229" t="inlineStr">
        <is>
          <t>SKÅNE LÄN</t>
        </is>
      </c>
      <c r="E229" t="inlineStr">
        <is>
          <t>HÄSSLEHOLM</t>
        </is>
      </c>
      <c r="G229" t="n">
        <v>3</v>
      </c>
      <c r="H229" t="n">
        <v>0</v>
      </c>
      <c r="I229" t="n">
        <v>0</v>
      </c>
      <c r="J229" t="n">
        <v>0</v>
      </c>
      <c r="K229" t="n">
        <v>0</v>
      </c>
      <c r="L229" t="n">
        <v>0</v>
      </c>
      <c r="M229" t="n">
        <v>0</v>
      </c>
      <c r="N229" t="n">
        <v>0</v>
      </c>
      <c r="O229" t="n">
        <v>0</v>
      </c>
      <c r="P229" t="n">
        <v>0</v>
      </c>
      <c r="Q229" t="n">
        <v>0</v>
      </c>
      <c r="R229" s="2" t="inlineStr"/>
    </row>
    <row r="230" ht="15" customHeight="1">
      <c r="A230" t="inlineStr">
        <is>
          <t>A 18580-2023</t>
        </is>
      </c>
      <c r="B230" s="1" t="n">
        <v>45043.37037037037</v>
      </c>
      <c r="C230" s="1" t="n">
        <v>46093</v>
      </c>
      <c r="D230" t="inlineStr">
        <is>
          <t>SKÅNE LÄN</t>
        </is>
      </c>
      <c r="E230" t="inlineStr">
        <is>
          <t>HÄSSLEHOLM</t>
        </is>
      </c>
      <c r="G230" t="n">
        <v>1.5</v>
      </c>
      <c r="H230" t="n">
        <v>0</v>
      </c>
      <c r="I230" t="n">
        <v>0</v>
      </c>
      <c r="J230" t="n">
        <v>0</v>
      </c>
      <c r="K230" t="n">
        <v>0</v>
      </c>
      <c r="L230" t="n">
        <v>0</v>
      </c>
      <c r="M230" t="n">
        <v>0</v>
      </c>
      <c r="N230" t="n">
        <v>0</v>
      </c>
      <c r="O230" t="n">
        <v>0</v>
      </c>
      <c r="P230" t="n">
        <v>0</v>
      </c>
      <c r="Q230" t="n">
        <v>0</v>
      </c>
      <c r="R230" s="2" t="inlineStr"/>
    </row>
    <row r="231" ht="15" customHeight="1">
      <c r="A231" t="inlineStr">
        <is>
          <t>A 17335-2024</t>
        </is>
      </c>
      <c r="B231" s="1" t="n">
        <v>45414.5687962963</v>
      </c>
      <c r="C231" s="1" t="n">
        <v>46093</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50000-2023</t>
        </is>
      </c>
      <c r="B232" s="1" t="n">
        <v>45215.4434837963</v>
      </c>
      <c r="C232" s="1" t="n">
        <v>46093</v>
      </c>
      <c r="D232" t="inlineStr">
        <is>
          <t>SKÅNE LÄN</t>
        </is>
      </c>
      <c r="E232" t="inlineStr">
        <is>
          <t>HÄSSLEHOLM</t>
        </is>
      </c>
      <c r="G232" t="n">
        <v>1.6</v>
      </c>
      <c r="H232" t="n">
        <v>0</v>
      </c>
      <c r="I232" t="n">
        <v>0</v>
      </c>
      <c r="J232" t="n">
        <v>0</v>
      </c>
      <c r="K232" t="n">
        <v>0</v>
      </c>
      <c r="L232" t="n">
        <v>0</v>
      </c>
      <c r="M232" t="n">
        <v>0</v>
      </c>
      <c r="N232" t="n">
        <v>0</v>
      </c>
      <c r="O232" t="n">
        <v>0</v>
      </c>
      <c r="P232" t="n">
        <v>0</v>
      </c>
      <c r="Q232" t="n">
        <v>0</v>
      </c>
      <c r="R232" s="2" t="inlineStr"/>
    </row>
    <row r="233" ht="15" customHeight="1">
      <c r="A233" t="inlineStr">
        <is>
          <t>A 32958-2023</t>
        </is>
      </c>
      <c r="B233" s="1" t="n">
        <v>45125.52142361111</v>
      </c>
      <c r="C233" s="1" t="n">
        <v>46093</v>
      </c>
      <c r="D233" t="inlineStr">
        <is>
          <t>SKÅNE LÄN</t>
        </is>
      </c>
      <c r="E233" t="inlineStr">
        <is>
          <t>HÄSSLEHOLM</t>
        </is>
      </c>
      <c r="G233" t="n">
        <v>7.9</v>
      </c>
      <c r="H233" t="n">
        <v>0</v>
      </c>
      <c r="I233" t="n">
        <v>0</v>
      </c>
      <c r="J233" t="n">
        <v>0</v>
      </c>
      <c r="K233" t="n">
        <v>0</v>
      </c>
      <c r="L233" t="n">
        <v>0</v>
      </c>
      <c r="M233" t="n">
        <v>0</v>
      </c>
      <c r="N233" t="n">
        <v>0</v>
      </c>
      <c r="O233" t="n">
        <v>0</v>
      </c>
      <c r="P233" t="n">
        <v>0</v>
      </c>
      <c r="Q233" t="n">
        <v>0</v>
      </c>
      <c r="R233" s="2" t="inlineStr"/>
    </row>
    <row r="234" ht="15" customHeight="1">
      <c r="A234" t="inlineStr">
        <is>
          <t>A 50607-2023</t>
        </is>
      </c>
      <c r="B234" s="1" t="n">
        <v>45210</v>
      </c>
      <c r="C234" s="1" t="n">
        <v>46093</v>
      </c>
      <c r="D234" t="inlineStr">
        <is>
          <t>SKÅNE LÄN</t>
        </is>
      </c>
      <c r="E234" t="inlineStr">
        <is>
          <t>HÄSSLEHOLM</t>
        </is>
      </c>
      <c r="G234" t="n">
        <v>1.8</v>
      </c>
      <c r="H234" t="n">
        <v>0</v>
      </c>
      <c r="I234" t="n">
        <v>0</v>
      </c>
      <c r="J234" t="n">
        <v>0</v>
      </c>
      <c r="K234" t="n">
        <v>0</v>
      </c>
      <c r="L234" t="n">
        <v>0</v>
      </c>
      <c r="M234" t="n">
        <v>0</v>
      </c>
      <c r="N234" t="n">
        <v>0</v>
      </c>
      <c r="O234" t="n">
        <v>0</v>
      </c>
      <c r="P234" t="n">
        <v>0</v>
      </c>
      <c r="Q234" t="n">
        <v>0</v>
      </c>
      <c r="R234" s="2" t="inlineStr"/>
    </row>
    <row r="235" ht="15" customHeight="1">
      <c r="A235" t="inlineStr">
        <is>
          <t>A 50616-2023</t>
        </is>
      </c>
      <c r="B235" s="1" t="n">
        <v>45210</v>
      </c>
      <c r="C235" s="1" t="n">
        <v>46093</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9323-2025</t>
        </is>
      </c>
      <c r="B236" s="1" t="n">
        <v>45714.73532407408</v>
      </c>
      <c r="C236" s="1" t="n">
        <v>46093</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7262-2022</t>
        </is>
      </c>
      <c r="B237" s="1" t="n">
        <v>44606</v>
      </c>
      <c r="C237" s="1" t="n">
        <v>46093</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19020-2024</t>
        </is>
      </c>
      <c r="B238" s="1" t="n">
        <v>45427.66167824074</v>
      </c>
      <c r="C238" s="1" t="n">
        <v>46093</v>
      </c>
      <c r="D238" t="inlineStr">
        <is>
          <t>SKÅNE LÄN</t>
        </is>
      </c>
      <c r="E238" t="inlineStr">
        <is>
          <t>HÄSSLEHOLM</t>
        </is>
      </c>
      <c r="G238" t="n">
        <v>2.3</v>
      </c>
      <c r="H238" t="n">
        <v>0</v>
      </c>
      <c r="I238" t="n">
        <v>0</v>
      </c>
      <c r="J238" t="n">
        <v>0</v>
      </c>
      <c r="K238" t="n">
        <v>0</v>
      </c>
      <c r="L238" t="n">
        <v>0</v>
      </c>
      <c r="M238" t="n">
        <v>0</v>
      </c>
      <c r="N238" t="n">
        <v>0</v>
      </c>
      <c r="O238" t="n">
        <v>0</v>
      </c>
      <c r="P238" t="n">
        <v>0</v>
      </c>
      <c r="Q238" t="n">
        <v>0</v>
      </c>
      <c r="R238" s="2" t="inlineStr"/>
    </row>
    <row r="239" ht="15" customHeight="1">
      <c r="A239" t="inlineStr">
        <is>
          <t>A 52912-2022</t>
        </is>
      </c>
      <c r="B239" s="1" t="n">
        <v>44872</v>
      </c>
      <c r="C239" s="1" t="n">
        <v>46093</v>
      </c>
      <c r="D239" t="inlineStr">
        <is>
          <t>SKÅNE LÄN</t>
        </is>
      </c>
      <c r="E239" t="inlineStr">
        <is>
          <t>HÄSSLEHOLM</t>
        </is>
      </c>
      <c r="G239" t="n">
        <v>4.7</v>
      </c>
      <c r="H239" t="n">
        <v>0</v>
      </c>
      <c r="I239" t="n">
        <v>0</v>
      </c>
      <c r="J239" t="n">
        <v>0</v>
      </c>
      <c r="K239" t="n">
        <v>0</v>
      </c>
      <c r="L239" t="n">
        <v>0</v>
      </c>
      <c r="M239" t="n">
        <v>0</v>
      </c>
      <c r="N239" t="n">
        <v>0</v>
      </c>
      <c r="O239" t="n">
        <v>0</v>
      </c>
      <c r="P239" t="n">
        <v>0</v>
      </c>
      <c r="Q239" t="n">
        <v>0</v>
      </c>
      <c r="R239" s="2" t="inlineStr"/>
    </row>
    <row r="240" ht="15" customHeight="1">
      <c r="A240" t="inlineStr">
        <is>
          <t>A 24640-2023</t>
        </is>
      </c>
      <c r="B240" s="1" t="n">
        <v>45084.43181712963</v>
      </c>
      <c r="C240" s="1" t="n">
        <v>46093</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22535-2024</t>
        </is>
      </c>
      <c r="B241" s="1" t="n">
        <v>45447</v>
      </c>
      <c r="C241" s="1" t="n">
        <v>46093</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23946-2023</t>
        </is>
      </c>
      <c r="B242" s="1" t="n">
        <v>45078.61601851852</v>
      </c>
      <c r="C242" s="1" t="n">
        <v>46093</v>
      </c>
      <c r="D242" t="inlineStr">
        <is>
          <t>SKÅNE LÄN</t>
        </is>
      </c>
      <c r="E242" t="inlineStr">
        <is>
          <t>HÄSSLEHOLM</t>
        </is>
      </c>
      <c r="G242" t="n">
        <v>0.2</v>
      </c>
      <c r="H242" t="n">
        <v>0</v>
      </c>
      <c r="I242" t="n">
        <v>0</v>
      </c>
      <c r="J242" t="n">
        <v>0</v>
      </c>
      <c r="K242" t="n">
        <v>0</v>
      </c>
      <c r="L242" t="n">
        <v>0</v>
      </c>
      <c r="M242" t="n">
        <v>0</v>
      </c>
      <c r="N242" t="n">
        <v>0</v>
      </c>
      <c r="O242" t="n">
        <v>0</v>
      </c>
      <c r="P242" t="n">
        <v>0</v>
      </c>
      <c r="Q242" t="n">
        <v>0</v>
      </c>
      <c r="R242" s="2" t="inlineStr"/>
    </row>
    <row r="243" ht="15" customHeight="1">
      <c r="A243" t="inlineStr">
        <is>
          <t>A 30007-2023</t>
        </is>
      </c>
      <c r="B243" s="1" t="n">
        <v>45109.80349537037</v>
      </c>
      <c r="C243" s="1" t="n">
        <v>46093</v>
      </c>
      <c r="D243" t="inlineStr">
        <is>
          <t>SKÅNE LÄN</t>
        </is>
      </c>
      <c r="E243" t="inlineStr">
        <is>
          <t>HÄSSLEHOLM</t>
        </is>
      </c>
      <c r="G243" t="n">
        <v>2.2</v>
      </c>
      <c r="H243" t="n">
        <v>0</v>
      </c>
      <c r="I243" t="n">
        <v>0</v>
      </c>
      <c r="J243" t="n">
        <v>0</v>
      </c>
      <c r="K243" t="n">
        <v>0</v>
      </c>
      <c r="L243" t="n">
        <v>0</v>
      </c>
      <c r="M243" t="n">
        <v>0</v>
      </c>
      <c r="N243" t="n">
        <v>0</v>
      </c>
      <c r="O243" t="n">
        <v>0</v>
      </c>
      <c r="P243" t="n">
        <v>0</v>
      </c>
      <c r="Q243" t="n">
        <v>0</v>
      </c>
      <c r="R243" s="2" t="inlineStr"/>
    </row>
    <row r="244" ht="15" customHeight="1">
      <c r="A244" t="inlineStr">
        <is>
          <t>A 49250-2022</t>
        </is>
      </c>
      <c r="B244" s="1" t="n">
        <v>44858</v>
      </c>
      <c r="C244" s="1" t="n">
        <v>46093</v>
      </c>
      <c r="D244" t="inlineStr">
        <is>
          <t>SKÅNE LÄN</t>
        </is>
      </c>
      <c r="E244" t="inlineStr">
        <is>
          <t>HÄSSLEHOLM</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1289-2024</t>
        </is>
      </c>
      <c r="B245" s="1" t="n">
        <v>45303.32234953704</v>
      </c>
      <c r="C245" s="1" t="n">
        <v>46093</v>
      </c>
      <c r="D245" t="inlineStr">
        <is>
          <t>SKÅNE LÄN</t>
        </is>
      </c>
      <c r="E245" t="inlineStr">
        <is>
          <t>HÄSSLEHOLM</t>
        </is>
      </c>
      <c r="G245" t="n">
        <v>4.6</v>
      </c>
      <c r="H245" t="n">
        <v>0</v>
      </c>
      <c r="I245" t="n">
        <v>0</v>
      </c>
      <c r="J245" t="n">
        <v>0</v>
      </c>
      <c r="K245" t="n">
        <v>0</v>
      </c>
      <c r="L245" t="n">
        <v>0</v>
      </c>
      <c r="M245" t="n">
        <v>0</v>
      </c>
      <c r="N245" t="n">
        <v>0</v>
      </c>
      <c r="O245" t="n">
        <v>0</v>
      </c>
      <c r="P245" t="n">
        <v>0</v>
      </c>
      <c r="Q245" t="n">
        <v>0</v>
      </c>
      <c r="R245" s="2" t="inlineStr"/>
    </row>
    <row r="246" ht="15" customHeight="1">
      <c r="A246" t="inlineStr">
        <is>
          <t>A 11715-2023</t>
        </is>
      </c>
      <c r="B246" s="1" t="n">
        <v>44992</v>
      </c>
      <c r="C246" s="1" t="n">
        <v>46093</v>
      </c>
      <c r="D246" t="inlineStr">
        <is>
          <t>SKÅNE LÄN</t>
        </is>
      </c>
      <c r="E246" t="inlineStr">
        <is>
          <t>HÄSSLEHOLM</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25606-2024</t>
        </is>
      </c>
      <c r="B247" s="1" t="n">
        <v>45463.63179398148</v>
      </c>
      <c r="C247" s="1" t="n">
        <v>46093</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8759-2024</t>
        </is>
      </c>
      <c r="B248" s="1" t="n">
        <v>45356.52271990741</v>
      </c>
      <c r="C248" s="1" t="n">
        <v>46093</v>
      </c>
      <c r="D248" t="inlineStr">
        <is>
          <t>SKÅNE LÄN</t>
        </is>
      </c>
      <c r="E248" t="inlineStr">
        <is>
          <t>HÄSSLEHOLM</t>
        </is>
      </c>
      <c r="G248" t="n">
        <v>5.7</v>
      </c>
      <c r="H248" t="n">
        <v>0</v>
      </c>
      <c r="I248" t="n">
        <v>0</v>
      </c>
      <c r="J248" t="n">
        <v>0</v>
      </c>
      <c r="K248" t="n">
        <v>0</v>
      </c>
      <c r="L248" t="n">
        <v>0</v>
      </c>
      <c r="M248" t="n">
        <v>0</v>
      </c>
      <c r="N248" t="n">
        <v>0</v>
      </c>
      <c r="O248" t="n">
        <v>0</v>
      </c>
      <c r="P248" t="n">
        <v>0</v>
      </c>
      <c r="Q248" t="n">
        <v>0</v>
      </c>
      <c r="R248" s="2" t="inlineStr"/>
    </row>
    <row r="249" ht="15" customHeight="1">
      <c r="A249" t="inlineStr">
        <is>
          <t>A 10020-2024</t>
        </is>
      </c>
      <c r="B249" s="1" t="n">
        <v>45363.96944444445</v>
      </c>
      <c r="C249" s="1" t="n">
        <v>46093</v>
      </c>
      <c r="D249" t="inlineStr">
        <is>
          <t>SKÅNE LÄN</t>
        </is>
      </c>
      <c r="E249" t="inlineStr">
        <is>
          <t>HÄSSLEHOLM</t>
        </is>
      </c>
      <c r="G249" t="n">
        <v>5.3</v>
      </c>
      <c r="H249" t="n">
        <v>0</v>
      </c>
      <c r="I249" t="n">
        <v>0</v>
      </c>
      <c r="J249" t="n">
        <v>0</v>
      </c>
      <c r="K249" t="n">
        <v>0</v>
      </c>
      <c r="L249" t="n">
        <v>0</v>
      </c>
      <c r="M249" t="n">
        <v>0</v>
      </c>
      <c r="N249" t="n">
        <v>0</v>
      </c>
      <c r="O249" t="n">
        <v>0</v>
      </c>
      <c r="P249" t="n">
        <v>0</v>
      </c>
      <c r="Q249" t="n">
        <v>0</v>
      </c>
      <c r="R249" s="2" t="inlineStr"/>
    </row>
    <row r="250" ht="15" customHeight="1">
      <c r="A250" t="inlineStr">
        <is>
          <t>A 1538-2024</t>
        </is>
      </c>
      <c r="B250" s="1" t="n">
        <v>45306</v>
      </c>
      <c r="C250" s="1" t="n">
        <v>46093</v>
      </c>
      <c r="D250" t="inlineStr">
        <is>
          <t>SKÅNE LÄN</t>
        </is>
      </c>
      <c r="E250" t="inlineStr">
        <is>
          <t>HÄSSLEHOLM</t>
        </is>
      </c>
      <c r="G250" t="n">
        <v>4.8</v>
      </c>
      <c r="H250" t="n">
        <v>0</v>
      </c>
      <c r="I250" t="n">
        <v>0</v>
      </c>
      <c r="J250" t="n">
        <v>0</v>
      </c>
      <c r="K250" t="n">
        <v>0</v>
      </c>
      <c r="L250" t="n">
        <v>0</v>
      </c>
      <c r="M250" t="n">
        <v>0</v>
      </c>
      <c r="N250" t="n">
        <v>0</v>
      </c>
      <c r="O250" t="n">
        <v>0</v>
      </c>
      <c r="P250" t="n">
        <v>0</v>
      </c>
      <c r="Q250" t="n">
        <v>0</v>
      </c>
      <c r="R250" s="2" t="inlineStr"/>
    </row>
    <row r="251" ht="15" customHeight="1">
      <c r="A251" t="inlineStr">
        <is>
          <t>A 64826-2021</t>
        </is>
      </c>
      <c r="B251" s="1" t="n">
        <v>44512.55935185185</v>
      </c>
      <c r="C251" s="1" t="n">
        <v>46093</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25533-2024</t>
        </is>
      </c>
      <c r="B252" s="1" t="n">
        <v>45463</v>
      </c>
      <c r="C252" s="1" t="n">
        <v>46093</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12936-2025</t>
        </is>
      </c>
      <c r="B253" s="1" t="n">
        <v>45734</v>
      </c>
      <c r="C253" s="1" t="n">
        <v>46093</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31934-2024</t>
        </is>
      </c>
      <c r="B254" s="1" t="n">
        <v>45510.41177083334</v>
      </c>
      <c r="C254" s="1" t="n">
        <v>46093</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29847-2024</t>
        </is>
      </c>
      <c r="B255" s="1" t="n">
        <v>45485.6278587963</v>
      </c>
      <c r="C255" s="1" t="n">
        <v>46093</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7653-2024</t>
        </is>
      </c>
      <c r="B256" s="1" t="n">
        <v>45348.69043981482</v>
      </c>
      <c r="C256" s="1" t="n">
        <v>46093</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12570-2023</t>
        </is>
      </c>
      <c r="B257" s="1" t="n">
        <v>44999</v>
      </c>
      <c r="C257" s="1" t="n">
        <v>46093</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8749-2024</t>
        </is>
      </c>
      <c r="B258" s="1" t="n">
        <v>45356.50387731481</v>
      </c>
      <c r="C258" s="1" t="n">
        <v>46093</v>
      </c>
      <c r="D258" t="inlineStr">
        <is>
          <t>SKÅNE LÄN</t>
        </is>
      </c>
      <c r="E258" t="inlineStr">
        <is>
          <t>HÄSSLEHOLM</t>
        </is>
      </c>
      <c r="G258" t="n">
        <v>2.9</v>
      </c>
      <c r="H258" t="n">
        <v>0</v>
      </c>
      <c r="I258" t="n">
        <v>0</v>
      </c>
      <c r="J258" t="n">
        <v>0</v>
      </c>
      <c r="K258" t="n">
        <v>0</v>
      </c>
      <c r="L258" t="n">
        <v>0</v>
      </c>
      <c r="M258" t="n">
        <v>0</v>
      </c>
      <c r="N258" t="n">
        <v>0</v>
      </c>
      <c r="O258" t="n">
        <v>0</v>
      </c>
      <c r="P258" t="n">
        <v>0</v>
      </c>
      <c r="Q258" t="n">
        <v>0</v>
      </c>
      <c r="R258" s="2" t="inlineStr"/>
    </row>
    <row r="259" ht="15" customHeight="1">
      <c r="A259" t="inlineStr">
        <is>
          <t>A 8752-2024</t>
        </is>
      </c>
      <c r="B259" s="1" t="n">
        <v>45356</v>
      </c>
      <c r="C259" s="1" t="n">
        <v>46093</v>
      </c>
      <c r="D259" t="inlineStr">
        <is>
          <t>SKÅNE LÄN</t>
        </is>
      </c>
      <c r="E259" t="inlineStr">
        <is>
          <t>HÄSSLEHOLM</t>
        </is>
      </c>
      <c r="G259" t="n">
        <v>3.4</v>
      </c>
      <c r="H259" t="n">
        <v>0</v>
      </c>
      <c r="I259" t="n">
        <v>0</v>
      </c>
      <c r="J259" t="n">
        <v>0</v>
      </c>
      <c r="K259" t="n">
        <v>0</v>
      </c>
      <c r="L259" t="n">
        <v>0</v>
      </c>
      <c r="M259" t="n">
        <v>0</v>
      </c>
      <c r="N259" t="n">
        <v>0</v>
      </c>
      <c r="O259" t="n">
        <v>0</v>
      </c>
      <c r="P259" t="n">
        <v>0</v>
      </c>
      <c r="Q259" t="n">
        <v>0</v>
      </c>
      <c r="R259" s="2" t="inlineStr"/>
    </row>
    <row r="260" ht="15" customHeight="1">
      <c r="A260" t="inlineStr">
        <is>
          <t>A 42906-2022</t>
        </is>
      </c>
      <c r="B260" s="1" t="n">
        <v>44833</v>
      </c>
      <c r="C260" s="1" t="n">
        <v>46093</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14926-2024</t>
        </is>
      </c>
      <c r="B261" s="1" t="n">
        <v>45398</v>
      </c>
      <c r="C261" s="1" t="n">
        <v>46093</v>
      </c>
      <c r="D261" t="inlineStr">
        <is>
          <t>SKÅNE LÄN</t>
        </is>
      </c>
      <c r="E261" t="inlineStr">
        <is>
          <t>HÄSSLEHOLM</t>
        </is>
      </c>
      <c r="G261" t="n">
        <v>3.4</v>
      </c>
      <c r="H261" t="n">
        <v>0</v>
      </c>
      <c r="I261" t="n">
        <v>0</v>
      </c>
      <c r="J261" t="n">
        <v>0</v>
      </c>
      <c r="K261" t="n">
        <v>0</v>
      </c>
      <c r="L261" t="n">
        <v>0</v>
      </c>
      <c r="M261" t="n">
        <v>0</v>
      </c>
      <c r="N261" t="n">
        <v>0</v>
      </c>
      <c r="O261" t="n">
        <v>0</v>
      </c>
      <c r="P261" t="n">
        <v>0</v>
      </c>
      <c r="Q261" t="n">
        <v>0</v>
      </c>
      <c r="R261" s="2" t="inlineStr"/>
    </row>
    <row r="262" ht="15" customHeight="1">
      <c r="A262" t="inlineStr">
        <is>
          <t>A 2688-2024</t>
        </is>
      </c>
      <c r="B262" s="1" t="n">
        <v>45314</v>
      </c>
      <c r="C262" s="1" t="n">
        <v>46093</v>
      </c>
      <c r="D262" t="inlineStr">
        <is>
          <t>SKÅNE LÄN</t>
        </is>
      </c>
      <c r="E262" t="inlineStr">
        <is>
          <t>HÄSSLEHOLM</t>
        </is>
      </c>
      <c r="F262" t="inlineStr">
        <is>
          <t>Övriga Aktiebolag</t>
        </is>
      </c>
      <c r="G262" t="n">
        <v>2.8</v>
      </c>
      <c r="H262" t="n">
        <v>0</v>
      </c>
      <c r="I262" t="n">
        <v>0</v>
      </c>
      <c r="J262" t="n">
        <v>0</v>
      </c>
      <c r="K262" t="n">
        <v>0</v>
      </c>
      <c r="L262" t="n">
        <v>0</v>
      </c>
      <c r="M262" t="n">
        <v>0</v>
      </c>
      <c r="N262" t="n">
        <v>0</v>
      </c>
      <c r="O262" t="n">
        <v>0</v>
      </c>
      <c r="P262" t="n">
        <v>0</v>
      </c>
      <c r="Q262" t="n">
        <v>0</v>
      </c>
      <c r="R262" s="2" t="inlineStr"/>
    </row>
    <row r="263" ht="15" customHeight="1">
      <c r="A263" t="inlineStr">
        <is>
          <t>A 36733-2023</t>
        </is>
      </c>
      <c r="B263" s="1" t="n">
        <v>45153.69989583334</v>
      </c>
      <c r="C263" s="1" t="n">
        <v>46093</v>
      </c>
      <c r="D263" t="inlineStr">
        <is>
          <t>SKÅNE LÄN</t>
        </is>
      </c>
      <c r="E263" t="inlineStr">
        <is>
          <t>HÄSSLEHOLM</t>
        </is>
      </c>
      <c r="G263" t="n">
        <v>4.8</v>
      </c>
      <c r="H263" t="n">
        <v>0</v>
      </c>
      <c r="I263" t="n">
        <v>0</v>
      </c>
      <c r="J263" t="n">
        <v>0</v>
      </c>
      <c r="K263" t="n">
        <v>0</v>
      </c>
      <c r="L263" t="n">
        <v>0</v>
      </c>
      <c r="M263" t="n">
        <v>0</v>
      </c>
      <c r="N263" t="n">
        <v>0</v>
      </c>
      <c r="O263" t="n">
        <v>0</v>
      </c>
      <c r="P263" t="n">
        <v>0</v>
      </c>
      <c r="Q263" t="n">
        <v>0</v>
      </c>
      <c r="R263" s="2" t="inlineStr"/>
    </row>
    <row r="264" ht="15" customHeight="1">
      <c r="A264" t="inlineStr">
        <is>
          <t>A 15036-2024</t>
        </is>
      </c>
      <c r="B264" s="1" t="n">
        <v>45399.48100694444</v>
      </c>
      <c r="C264" s="1" t="n">
        <v>46093</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8244-2023</t>
        </is>
      </c>
      <c r="B265" s="1" t="n">
        <v>44974</v>
      </c>
      <c r="C265" s="1" t="n">
        <v>46093</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8246-2023</t>
        </is>
      </c>
      <c r="B266" s="1" t="n">
        <v>44974</v>
      </c>
      <c r="C266" s="1" t="n">
        <v>46093</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34834-2023</t>
        </is>
      </c>
      <c r="B267" s="1" t="n">
        <v>45141.7199537037</v>
      </c>
      <c r="C267" s="1" t="n">
        <v>46093</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1560-2023</t>
        </is>
      </c>
      <c r="B268" s="1" t="n">
        <v>44937</v>
      </c>
      <c r="C268" s="1" t="n">
        <v>46093</v>
      </c>
      <c r="D268" t="inlineStr">
        <is>
          <t>SKÅNE LÄN</t>
        </is>
      </c>
      <c r="E268" t="inlineStr">
        <is>
          <t>HÄSSLEHOLM</t>
        </is>
      </c>
      <c r="G268" t="n">
        <v>6.8</v>
      </c>
      <c r="H268" t="n">
        <v>0</v>
      </c>
      <c r="I268" t="n">
        <v>0</v>
      </c>
      <c r="J268" t="n">
        <v>0</v>
      </c>
      <c r="K268" t="n">
        <v>0</v>
      </c>
      <c r="L268" t="n">
        <v>0</v>
      </c>
      <c r="M268" t="n">
        <v>0</v>
      </c>
      <c r="N268" t="n">
        <v>0</v>
      </c>
      <c r="O268" t="n">
        <v>0</v>
      </c>
      <c r="P268" t="n">
        <v>0</v>
      </c>
      <c r="Q268" t="n">
        <v>0</v>
      </c>
      <c r="R268" s="2" t="inlineStr"/>
    </row>
    <row r="269" ht="15" customHeight="1">
      <c r="A269" t="inlineStr">
        <is>
          <t>A 24679-2023</t>
        </is>
      </c>
      <c r="B269" s="1" t="n">
        <v>45084</v>
      </c>
      <c r="C269" s="1" t="n">
        <v>46093</v>
      </c>
      <c r="D269" t="inlineStr">
        <is>
          <t>SKÅNE LÄN</t>
        </is>
      </c>
      <c r="E269" t="inlineStr">
        <is>
          <t>HÄSSLEHOLM</t>
        </is>
      </c>
      <c r="G269" t="n">
        <v>7.1</v>
      </c>
      <c r="H269" t="n">
        <v>0</v>
      </c>
      <c r="I269" t="n">
        <v>0</v>
      </c>
      <c r="J269" t="n">
        <v>0</v>
      </c>
      <c r="K269" t="n">
        <v>0</v>
      </c>
      <c r="L269" t="n">
        <v>0</v>
      </c>
      <c r="M269" t="n">
        <v>0</v>
      </c>
      <c r="N269" t="n">
        <v>0</v>
      </c>
      <c r="O269" t="n">
        <v>0</v>
      </c>
      <c r="P269" t="n">
        <v>0</v>
      </c>
      <c r="Q269" t="n">
        <v>0</v>
      </c>
      <c r="R269" s="2" t="inlineStr"/>
    </row>
    <row r="270" ht="15" customHeight="1">
      <c r="A270" t="inlineStr">
        <is>
          <t>A 58915-2023</t>
        </is>
      </c>
      <c r="B270" s="1" t="n">
        <v>45250</v>
      </c>
      <c r="C270" s="1" t="n">
        <v>46093</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18648-2021</t>
        </is>
      </c>
      <c r="B271" s="1" t="n">
        <v>44306.70583333333</v>
      </c>
      <c r="C271" s="1" t="n">
        <v>46093</v>
      </c>
      <c r="D271" t="inlineStr">
        <is>
          <t>SKÅNE LÄN</t>
        </is>
      </c>
      <c r="E271" t="inlineStr">
        <is>
          <t>HÄSSLEHOLM</t>
        </is>
      </c>
      <c r="G271" t="n">
        <v>2.5</v>
      </c>
      <c r="H271" t="n">
        <v>0</v>
      </c>
      <c r="I271" t="n">
        <v>0</v>
      </c>
      <c r="J271" t="n">
        <v>0</v>
      </c>
      <c r="K271" t="n">
        <v>0</v>
      </c>
      <c r="L271" t="n">
        <v>0</v>
      </c>
      <c r="M271" t="n">
        <v>0</v>
      </c>
      <c r="N271" t="n">
        <v>0</v>
      </c>
      <c r="O271" t="n">
        <v>0</v>
      </c>
      <c r="P271" t="n">
        <v>0</v>
      </c>
      <c r="Q271" t="n">
        <v>0</v>
      </c>
      <c r="R271" s="2" t="inlineStr"/>
    </row>
    <row r="272" ht="15" customHeight="1">
      <c r="A272" t="inlineStr">
        <is>
          <t>A 20494-2024</t>
        </is>
      </c>
      <c r="B272" s="1" t="n">
        <v>45435</v>
      </c>
      <c r="C272" s="1" t="n">
        <v>46093</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57033-2022</t>
        </is>
      </c>
      <c r="B273" s="1" t="n">
        <v>44895.31270833333</v>
      </c>
      <c r="C273" s="1" t="n">
        <v>46093</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44697-2021</t>
        </is>
      </c>
      <c r="B274" s="1" t="n">
        <v>44438</v>
      </c>
      <c r="C274" s="1" t="n">
        <v>46093</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53067-2022</t>
        </is>
      </c>
      <c r="B275" s="1" t="n">
        <v>44873</v>
      </c>
      <c r="C275" s="1" t="n">
        <v>46093</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61929-2023</t>
        </is>
      </c>
      <c r="B276" s="1" t="n">
        <v>45266</v>
      </c>
      <c r="C276" s="1" t="n">
        <v>46093</v>
      </c>
      <c r="D276" t="inlineStr">
        <is>
          <t>SKÅNE LÄN</t>
        </is>
      </c>
      <c r="E276" t="inlineStr">
        <is>
          <t>HÄSSLEHOLM</t>
        </is>
      </c>
      <c r="G276" t="n">
        <v>1.9</v>
      </c>
      <c r="H276" t="n">
        <v>0</v>
      </c>
      <c r="I276" t="n">
        <v>0</v>
      </c>
      <c r="J276" t="n">
        <v>0</v>
      </c>
      <c r="K276" t="n">
        <v>0</v>
      </c>
      <c r="L276" t="n">
        <v>0</v>
      </c>
      <c r="M276" t="n">
        <v>0</v>
      </c>
      <c r="N276" t="n">
        <v>0</v>
      </c>
      <c r="O276" t="n">
        <v>0</v>
      </c>
      <c r="P276" t="n">
        <v>0</v>
      </c>
      <c r="Q276" t="n">
        <v>0</v>
      </c>
      <c r="R276" s="2" t="inlineStr"/>
    </row>
    <row r="277" ht="15" customHeight="1">
      <c r="A277" t="inlineStr">
        <is>
          <t>A 34342-2021</t>
        </is>
      </c>
      <c r="B277" s="1" t="n">
        <v>44379</v>
      </c>
      <c r="C277" s="1" t="n">
        <v>46093</v>
      </c>
      <c r="D277" t="inlineStr">
        <is>
          <t>SKÅNE LÄN</t>
        </is>
      </c>
      <c r="E277" t="inlineStr">
        <is>
          <t>HÄSSLEHOLM</t>
        </is>
      </c>
      <c r="G277" t="n">
        <v>7</v>
      </c>
      <c r="H277" t="n">
        <v>0</v>
      </c>
      <c r="I277" t="n">
        <v>0</v>
      </c>
      <c r="J277" t="n">
        <v>0</v>
      </c>
      <c r="K277" t="n">
        <v>0</v>
      </c>
      <c r="L277" t="n">
        <v>0</v>
      </c>
      <c r="M277" t="n">
        <v>0</v>
      </c>
      <c r="N277" t="n">
        <v>0</v>
      </c>
      <c r="O277" t="n">
        <v>0</v>
      </c>
      <c r="P277" t="n">
        <v>0</v>
      </c>
      <c r="Q277" t="n">
        <v>0</v>
      </c>
      <c r="R277" s="2" t="inlineStr"/>
    </row>
    <row r="278" ht="15" customHeight="1">
      <c r="A278" t="inlineStr">
        <is>
          <t>A 1120-2024</t>
        </is>
      </c>
      <c r="B278" s="1" t="n">
        <v>45302.4452662037</v>
      </c>
      <c r="C278" s="1" t="n">
        <v>46093</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27177-2024</t>
        </is>
      </c>
      <c r="B279" s="1" t="n">
        <v>45471.57201388889</v>
      </c>
      <c r="C279" s="1" t="n">
        <v>46093</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15508-2023</t>
        </is>
      </c>
      <c r="B280" s="1" t="n">
        <v>45020.50045138889</v>
      </c>
      <c r="C280" s="1" t="n">
        <v>46093</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42428-2022</t>
        </is>
      </c>
      <c r="B281" s="1" t="n">
        <v>44831</v>
      </c>
      <c r="C281" s="1" t="n">
        <v>46093</v>
      </c>
      <c r="D281" t="inlineStr">
        <is>
          <t>SKÅNE LÄN</t>
        </is>
      </c>
      <c r="E281" t="inlineStr">
        <is>
          <t>HÄSSLEHOLM</t>
        </is>
      </c>
      <c r="G281" t="n">
        <v>2.8</v>
      </c>
      <c r="H281" t="n">
        <v>0</v>
      </c>
      <c r="I281" t="n">
        <v>0</v>
      </c>
      <c r="J281" t="n">
        <v>0</v>
      </c>
      <c r="K281" t="n">
        <v>0</v>
      </c>
      <c r="L281" t="n">
        <v>0</v>
      </c>
      <c r="M281" t="n">
        <v>0</v>
      </c>
      <c r="N281" t="n">
        <v>0</v>
      </c>
      <c r="O281" t="n">
        <v>0</v>
      </c>
      <c r="P281" t="n">
        <v>0</v>
      </c>
      <c r="Q281" t="n">
        <v>0</v>
      </c>
      <c r="R281" s="2" t="inlineStr"/>
    </row>
    <row r="282" ht="15" customHeight="1">
      <c r="A282" t="inlineStr">
        <is>
          <t>A 22595-2024</t>
        </is>
      </c>
      <c r="B282" s="1" t="n">
        <v>45447.61053240741</v>
      </c>
      <c r="C282" s="1" t="n">
        <v>46093</v>
      </c>
      <c r="D282" t="inlineStr">
        <is>
          <t>SKÅNE LÄN</t>
        </is>
      </c>
      <c r="E282" t="inlineStr">
        <is>
          <t>HÄSSLEHOLM</t>
        </is>
      </c>
      <c r="G282" t="n">
        <v>0.9</v>
      </c>
      <c r="H282" t="n">
        <v>0</v>
      </c>
      <c r="I282" t="n">
        <v>0</v>
      </c>
      <c r="J282" t="n">
        <v>0</v>
      </c>
      <c r="K282" t="n">
        <v>0</v>
      </c>
      <c r="L282" t="n">
        <v>0</v>
      </c>
      <c r="M282" t="n">
        <v>0</v>
      </c>
      <c r="N282" t="n">
        <v>0</v>
      </c>
      <c r="O282" t="n">
        <v>0</v>
      </c>
      <c r="P282" t="n">
        <v>0</v>
      </c>
      <c r="Q282" t="n">
        <v>0</v>
      </c>
      <c r="R282" s="2" t="inlineStr"/>
    </row>
    <row r="283" ht="15" customHeight="1">
      <c r="A283" t="inlineStr">
        <is>
          <t>A 34187-2023</t>
        </is>
      </c>
      <c r="B283" s="1" t="n">
        <v>45138</v>
      </c>
      <c r="C283" s="1" t="n">
        <v>46093</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38148-2022</t>
        </is>
      </c>
      <c r="B284" s="1" t="n">
        <v>44811</v>
      </c>
      <c r="C284" s="1" t="n">
        <v>46093</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61186-2022</t>
        </is>
      </c>
      <c r="B285" s="1" t="n">
        <v>44915.50745370371</v>
      </c>
      <c r="C285" s="1" t="n">
        <v>46093</v>
      </c>
      <c r="D285" t="inlineStr">
        <is>
          <t>SKÅNE LÄN</t>
        </is>
      </c>
      <c r="E285" t="inlineStr">
        <is>
          <t>HÄSSLEHOLM</t>
        </is>
      </c>
      <c r="G285" t="n">
        <v>2.9</v>
      </c>
      <c r="H285" t="n">
        <v>0</v>
      </c>
      <c r="I285" t="n">
        <v>0</v>
      </c>
      <c r="J285" t="n">
        <v>0</v>
      </c>
      <c r="K285" t="n">
        <v>0</v>
      </c>
      <c r="L285" t="n">
        <v>0</v>
      </c>
      <c r="M285" t="n">
        <v>0</v>
      </c>
      <c r="N285" t="n">
        <v>0</v>
      </c>
      <c r="O285" t="n">
        <v>0</v>
      </c>
      <c r="P285" t="n">
        <v>0</v>
      </c>
      <c r="Q285" t="n">
        <v>0</v>
      </c>
      <c r="R285" s="2" t="inlineStr"/>
    </row>
    <row r="286" ht="15" customHeight="1">
      <c r="A286" t="inlineStr">
        <is>
          <t>A 11019-2025</t>
        </is>
      </c>
      <c r="B286" s="1" t="n">
        <v>45723</v>
      </c>
      <c r="C286" s="1" t="n">
        <v>46093</v>
      </c>
      <c r="D286" t="inlineStr">
        <is>
          <t>SKÅNE LÄN</t>
        </is>
      </c>
      <c r="E286" t="inlineStr">
        <is>
          <t>HÄSSLEHOLM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56062-2024</t>
        </is>
      </c>
      <c r="B287" s="1" t="n">
        <v>45624.37105324074</v>
      </c>
      <c r="C287" s="1" t="n">
        <v>46093</v>
      </c>
      <c r="D287" t="inlineStr">
        <is>
          <t>SKÅNE LÄN</t>
        </is>
      </c>
      <c r="E287" t="inlineStr">
        <is>
          <t>HÄSSLEHOLM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45299-2024</t>
        </is>
      </c>
      <c r="B288" s="1" t="n">
        <v>45576.40599537037</v>
      </c>
      <c r="C288" s="1" t="n">
        <v>46093</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34369-2023</t>
        </is>
      </c>
      <c r="B289" s="1" t="n">
        <v>45139.47817129629</v>
      </c>
      <c r="C289" s="1" t="n">
        <v>46093</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13018-2024</t>
        </is>
      </c>
      <c r="B290" s="1" t="n">
        <v>45385.58274305556</v>
      </c>
      <c r="C290" s="1" t="n">
        <v>46093</v>
      </c>
      <c r="D290" t="inlineStr">
        <is>
          <t>SKÅNE LÄN</t>
        </is>
      </c>
      <c r="E290" t="inlineStr">
        <is>
          <t>HÄSSLEHOLM</t>
        </is>
      </c>
      <c r="G290" t="n">
        <v>4.8</v>
      </c>
      <c r="H290" t="n">
        <v>0</v>
      </c>
      <c r="I290" t="n">
        <v>0</v>
      </c>
      <c r="J290" t="n">
        <v>0</v>
      </c>
      <c r="K290" t="n">
        <v>0</v>
      </c>
      <c r="L290" t="n">
        <v>0</v>
      </c>
      <c r="M290" t="n">
        <v>0</v>
      </c>
      <c r="N290" t="n">
        <v>0</v>
      </c>
      <c r="O290" t="n">
        <v>0</v>
      </c>
      <c r="P290" t="n">
        <v>0</v>
      </c>
      <c r="Q290" t="n">
        <v>0</v>
      </c>
      <c r="R290" s="2" t="inlineStr"/>
    </row>
    <row r="291" ht="15" customHeight="1">
      <c r="A291" t="inlineStr">
        <is>
          <t>A 34342-2021</t>
        </is>
      </c>
      <c r="B291" s="1" t="n">
        <v>44379</v>
      </c>
      <c r="C291" s="1" t="n">
        <v>46093</v>
      </c>
      <c r="D291" t="inlineStr">
        <is>
          <t>SKÅNE LÄN</t>
        </is>
      </c>
      <c r="E291" t="inlineStr">
        <is>
          <t>HÄSSLEHOLM</t>
        </is>
      </c>
      <c r="G291" t="n">
        <v>7</v>
      </c>
      <c r="H291" t="n">
        <v>0</v>
      </c>
      <c r="I291" t="n">
        <v>0</v>
      </c>
      <c r="J291" t="n">
        <v>0</v>
      </c>
      <c r="K291" t="n">
        <v>0</v>
      </c>
      <c r="L291" t="n">
        <v>0</v>
      </c>
      <c r="M291" t="n">
        <v>0</v>
      </c>
      <c r="N291" t="n">
        <v>0</v>
      </c>
      <c r="O291" t="n">
        <v>0</v>
      </c>
      <c r="P291" t="n">
        <v>0</v>
      </c>
      <c r="Q291" t="n">
        <v>0</v>
      </c>
      <c r="R291" s="2" t="inlineStr"/>
    </row>
    <row r="292" ht="15" customHeight="1">
      <c r="A292" t="inlineStr">
        <is>
          <t>A 42776-2021</t>
        </is>
      </c>
      <c r="B292" s="1" t="n">
        <v>44428</v>
      </c>
      <c r="C292" s="1" t="n">
        <v>46093</v>
      </c>
      <c r="D292" t="inlineStr">
        <is>
          <t>SKÅNE LÄN</t>
        </is>
      </c>
      <c r="E292" t="inlineStr">
        <is>
          <t>HÄSSLEHOLM</t>
        </is>
      </c>
      <c r="G292" t="n">
        <v>3.2</v>
      </c>
      <c r="H292" t="n">
        <v>0</v>
      </c>
      <c r="I292" t="n">
        <v>0</v>
      </c>
      <c r="J292" t="n">
        <v>0</v>
      </c>
      <c r="K292" t="n">
        <v>0</v>
      </c>
      <c r="L292" t="n">
        <v>0</v>
      </c>
      <c r="M292" t="n">
        <v>0</v>
      </c>
      <c r="N292" t="n">
        <v>0</v>
      </c>
      <c r="O292" t="n">
        <v>0</v>
      </c>
      <c r="P292" t="n">
        <v>0</v>
      </c>
      <c r="Q292" t="n">
        <v>0</v>
      </c>
      <c r="R292" s="2" t="inlineStr"/>
    </row>
    <row r="293" ht="15" customHeight="1">
      <c r="A293" t="inlineStr">
        <is>
          <t>A 8378-2023</t>
        </is>
      </c>
      <c r="B293" s="1" t="n">
        <v>44971</v>
      </c>
      <c r="C293" s="1" t="n">
        <v>46093</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12780-2024</t>
        </is>
      </c>
      <c r="B294" s="1" t="n">
        <v>45384.59726851852</v>
      </c>
      <c r="C294" s="1" t="n">
        <v>46093</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60704-2023</t>
        </is>
      </c>
      <c r="B295" s="1" t="n">
        <v>45260.51340277777</v>
      </c>
      <c r="C295" s="1" t="n">
        <v>46093</v>
      </c>
      <c r="D295" t="inlineStr">
        <is>
          <t>SKÅNE LÄN</t>
        </is>
      </c>
      <c r="E295" t="inlineStr">
        <is>
          <t>HÄSSLEHOLM</t>
        </is>
      </c>
      <c r="G295" t="n">
        <v>2.1</v>
      </c>
      <c r="H295" t="n">
        <v>0</v>
      </c>
      <c r="I295" t="n">
        <v>0</v>
      </c>
      <c r="J295" t="n">
        <v>0</v>
      </c>
      <c r="K295" t="n">
        <v>0</v>
      </c>
      <c r="L295" t="n">
        <v>0</v>
      </c>
      <c r="M295" t="n">
        <v>0</v>
      </c>
      <c r="N295" t="n">
        <v>0</v>
      </c>
      <c r="O295" t="n">
        <v>0</v>
      </c>
      <c r="P295" t="n">
        <v>0</v>
      </c>
      <c r="Q295" t="n">
        <v>0</v>
      </c>
      <c r="R295" s="2" t="inlineStr"/>
    </row>
    <row r="296" ht="15" customHeight="1">
      <c r="A296" t="inlineStr">
        <is>
          <t>A 61569-2023</t>
        </is>
      </c>
      <c r="B296" s="1" t="n">
        <v>45265</v>
      </c>
      <c r="C296" s="1" t="n">
        <v>46093</v>
      </c>
      <c r="D296" t="inlineStr">
        <is>
          <t>SKÅNE LÄN</t>
        </is>
      </c>
      <c r="E296" t="inlineStr">
        <is>
          <t>HÄSSLEHOLM</t>
        </is>
      </c>
      <c r="G296" t="n">
        <v>0.8</v>
      </c>
      <c r="H296" t="n">
        <v>0</v>
      </c>
      <c r="I296" t="n">
        <v>0</v>
      </c>
      <c r="J296" t="n">
        <v>0</v>
      </c>
      <c r="K296" t="n">
        <v>0</v>
      </c>
      <c r="L296" t="n">
        <v>0</v>
      </c>
      <c r="M296" t="n">
        <v>0</v>
      </c>
      <c r="N296" t="n">
        <v>0</v>
      </c>
      <c r="O296" t="n">
        <v>0</v>
      </c>
      <c r="P296" t="n">
        <v>0</v>
      </c>
      <c r="Q296" t="n">
        <v>0</v>
      </c>
      <c r="R296" s="2" t="inlineStr"/>
    </row>
    <row r="297" ht="15" customHeight="1">
      <c r="A297" t="inlineStr">
        <is>
          <t>A 28457-2024</t>
        </is>
      </c>
      <c r="B297" s="1" t="n">
        <v>45477.68884259259</v>
      </c>
      <c r="C297" s="1" t="n">
        <v>46093</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34869-2025</t>
        </is>
      </c>
      <c r="B298" s="1" t="n">
        <v>45849</v>
      </c>
      <c r="C298" s="1" t="n">
        <v>46093</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22594-2024</t>
        </is>
      </c>
      <c r="B299" s="1" t="n">
        <v>45447.60892361111</v>
      </c>
      <c r="C299" s="1" t="n">
        <v>46093</v>
      </c>
      <c r="D299" t="inlineStr">
        <is>
          <t>SKÅNE LÄN</t>
        </is>
      </c>
      <c r="E299" t="inlineStr">
        <is>
          <t>HÄSSLEHOLM</t>
        </is>
      </c>
      <c r="G299" t="n">
        <v>1.1</v>
      </c>
      <c r="H299" t="n">
        <v>0</v>
      </c>
      <c r="I299" t="n">
        <v>0</v>
      </c>
      <c r="J299" t="n">
        <v>0</v>
      </c>
      <c r="K299" t="n">
        <v>0</v>
      </c>
      <c r="L299" t="n">
        <v>0</v>
      </c>
      <c r="M299" t="n">
        <v>0</v>
      </c>
      <c r="N299" t="n">
        <v>0</v>
      </c>
      <c r="O299" t="n">
        <v>0</v>
      </c>
      <c r="P299" t="n">
        <v>0</v>
      </c>
      <c r="Q299" t="n">
        <v>0</v>
      </c>
      <c r="R299" s="2" t="inlineStr"/>
    </row>
    <row r="300" ht="15" customHeight="1">
      <c r="A300" t="inlineStr">
        <is>
          <t>A 55056-2021</t>
        </is>
      </c>
      <c r="B300" s="1" t="n">
        <v>44474.62072916667</v>
      </c>
      <c r="C300" s="1" t="n">
        <v>46093</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4042-2023</t>
        </is>
      </c>
      <c r="B301" s="1" t="n">
        <v>44952.59950231481</v>
      </c>
      <c r="C301" s="1" t="n">
        <v>46093</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3123-2023</t>
        </is>
      </c>
      <c r="B302" s="1" t="n">
        <v>44946.4925</v>
      </c>
      <c r="C302" s="1" t="n">
        <v>46093</v>
      </c>
      <c r="D302" t="inlineStr">
        <is>
          <t>SKÅNE LÄN</t>
        </is>
      </c>
      <c r="E302" t="inlineStr">
        <is>
          <t>HÄSSLEHOLM</t>
        </is>
      </c>
      <c r="G302" t="n">
        <v>3.5</v>
      </c>
      <c r="H302" t="n">
        <v>0</v>
      </c>
      <c r="I302" t="n">
        <v>0</v>
      </c>
      <c r="J302" t="n">
        <v>0</v>
      </c>
      <c r="K302" t="n">
        <v>0</v>
      </c>
      <c r="L302" t="n">
        <v>0</v>
      </c>
      <c r="M302" t="n">
        <v>0</v>
      </c>
      <c r="N302" t="n">
        <v>0</v>
      </c>
      <c r="O302" t="n">
        <v>0</v>
      </c>
      <c r="P302" t="n">
        <v>0</v>
      </c>
      <c r="Q302" t="n">
        <v>0</v>
      </c>
      <c r="R302" s="2" t="inlineStr"/>
    </row>
    <row r="303" ht="15" customHeight="1">
      <c r="A303" t="inlineStr">
        <is>
          <t>A 3126-2023</t>
        </is>
      </c>
      <c r="B303" s="1" t="n">
        <v>44946.49570601852</v>
      </c>
      <c r="C303" s="1" t="n">
        <v>46093</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315-2022</t>
        </is>
      </c>
      <c r="B304" s="1" t="n">
        <v>44565.55630787037</v>
      </c>
      <c r="C304" s="1" t="n">
        <v>46093</v>
      </c>
      <c r="D304" t="inlineStr">
        <is>
          <t>SKÅNE LÄN</t>
        </is>
      </c>
      <c r="E304" t="inlineStr">
        <is>
          <t>HÄSSLEHOLM</t>
        </is>
      </c>
      <c r="G304" t="n">
        <v>0.4</v>
      </c>
      <c r="H304" t="n">
        <v>0</v>
      </c>
      <c r="I304" t="n">
        <v>0</v>
      </c>
      <c r="J304" t="n">
        <v>0</v>
      </c>
      <c r="K304" t="n">
        <v>0</v>
      </c>
      <c r="L304" t="n">
        <v>0</v>
      </c>
      <c r="M304" t="n">
        <v>0</v>
      </c>
      <c r="N304" t="n">
        <v>0</v>
      </c>
      <c r="O304" t="n">
        <v>0</v>
      </c>
      <c r="P304" t="n">
        <v>0</v>
      </c>
      <c r="Q304" t="n">
        <v>0</v>
      </c>
      <c r="R304" s="2" t="inlineStr"/>
    </row>
    <row r="305" ht="15" customHeight="1">
      <c r="A305" t="inlineStr">
        <is>
          <t>A 25213-2023</t>
        </is>
      </c>
      <c r="B305" s="1" t="n">
        <v>45086.60010416667</v>
      </c>
      <c r="C305" s="1" t="n">
        <v>46093</v>
      </c>
      <c r="D305" t="inlineStr">
        <is>
          <t>SKÅNE LÄN</t>
        </is>
      </c>
      <c r="E305" t="inlineStr">
        <is>
          <t>HÄSSLEHOLM</t>
        </is>
      </c>
      <c r="G305" t="n">
        <v>7.2</v>
      </c>
      <c r="H305" t="n">
        <v>0</v>
      </c>
      <c r="I305" t="n">
        <v>0</v>
      </c>
      <c r="J305" t="n">
        <v>0</v>
      </c>
      <c r="K305" t="n">
        <v>0</v>
      </c>
      <c r="L305" t="n">
        <v>0</v>
      </c>
      <c r="M305" t="n">
        <v>0</v>
      </c>
      <c r="N305" t="n">
        <v>0</v>
      </c>
      <c r="O305" t="n">
        <v>0</v>
      </c>
      <c r="P305" t="n">
        <v>0</v>
      </c>
      <c r="Q305" t="n">
        <v>0</v>
      </c>
      <c r="R305" s="2" t="inlineStr"/>
    </row>
    <row r="306" ht="15" customHeight="1">
      <c r="A306" t="inlineStr">
        <is>
          <t>A 51287-2022</t>
        </is>
      </c>
      <c r="B306" s="1" t="n">
        <v>44868.83146990741</v>
      </c>
      <c r="C306" s="1" t="n">
        <v>46093</v>
      </c>
      <c r="D306" t="inlineStr">
        <is>
          <t>SKÅNE LÄN</t>
        </is>
      </c>
      <c r="E306" t="inlineStr">
        <is>
          <t>HÄSSLEHOLM</t>
        </is>
      </c>
      <c r="G306" t="n">
        <v>2.2</v>
      </c>
      <c r="H306" t="n">
        <v>0</v>
      </c>
      <c r="I306" t="n">
        <v>0</v>
      </c>
      <c r="J306" t="n">
        <v>0</v>
      </c>
      <c r="K306" t="n">
        <v>0</v>
      </c>
      <c r="L306" t="n">
        <v>0</v>
      </c>
      <c r="M306" t="n">
        <v>0</v>
      </c>
      <c r="N306" t="n">
        <v>0</v>
      </c>
      <c r="O306" t="n">
        <v>0</v>
      </c>
      <c r="P306" t="n">
        <v>0</v>
      </c>
      <c r="Q306" t="n">
        <v>0</v>
      </c>
      <c r="R306" s="2" t="inlineStr"/>
    </row>
    <row r="307" ht="15" customHeight="1">
      <c r="A307" t="inlineStr">
        <is>
          <t>A 31161-2024</t>
        </is>
      </c>
      <c r="B307" s="1" t="n">
        <v>45503</v>
      </c>
      <c r="C307" s="1" t="n">
        <v>46093</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33067-2024</t>
        </is>
      </c>
      <c r="B308" s="1" t="n">
        <v>45517.6520949074</v>
      </c>
      <c r="C308" s="1" t="n">
        <v>46093</v>
      </c>
      <c r="D308" t="inlineStr">
        <is>
          <t>SKÅNE LÄN</t>
        </is>
      </c>
      <c r="E308" t="inlineStr">
        <is>
          <t>HÄSSLEHOLM</t>
        </is>
      </c>
      <c r="G308" t="n">
        <v>0.4</v>
      </c>
      <c r="H308" t="n">
        <v>0</v>
      </c>
      <c r="I308" t="n">
        <v>0</v>
      </c>
      <c r="J308" t="n">
        <v>0</v>
      </c>
      <c r="K308" t="n">
        <v>0</v>
      </c>
      <c r="L308" t="n">
        <v>0</v>
      </c>
      <c r="M308" t="n">
        <v>0</v>
      </c>
      <c r="N308" t="n">
        <v>0</v>
      </c>
      <c r="O308" t="n">
        <v>0</v>
      </c>
      <c r="P308" t="n">
        <v>0</v>
      </c>
      <c r="Q308" t="n">
        <v>0</v>
      </c>
      <c r="R308" s="2" t="inlineStr"/>
    </row>
    <row r="309" ht="15" customHeight="1">
      <c r="A309" t="inlineStr">
        <is>
          <t>A 24865-2024</t>
        </is>
      </c>
      <c r="B309" s="1" t="n">
        <v>45461.48974537037</v>
      </c>
      <c r="C309" s="1" t="n">
        <v>46093</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38888-2023</t>
        </is>
      </c>
      <c r="B310" s="1" t="n">
        <v>45161</v>
      </c>
      <c r="C310" s="1" t="n">
        <v>46093</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4734-2025</t>
        </is>
      </c>
      <c r="B311" s="1" t="n">
        <v>45688.44030092593</v>
      </c>
      <c r="C311" s="1" t="n">
        <v>46093</v>
      </c>
      <c r="D311" t="inlineStr">
        <is>
          <t>SKÅNE LÄN</t>
        </is>
      </c>
      <c r="E311" t="inlineStr">
        <is>
          <t>HÄSSLEHOLM</t>
        </is>
      </c>
      <c r="G311" t="n">
        <v>19.6</v>
      </c>
      <c r="H311" t="n">
        <v>0</v>
      </c>
      <c r="I311" t="n">
        <v>0</v>
      </c>
      <c r="J311" t="n">
        <v>0</v>
      </c>
      <c r="K311" t="n">
        <v>0</v>
      </c>
      <c r="L311" t="n">
        <v>0</v>
      </c>
      <c r="M311" t="n">
        <v>0</v>
      </c>
      <c r="N311" t="n">
        <v>0</v>
      </c>
      <c r="O311" t="n">
        <v>0</v>
      </c>
      <c r="P311" t="n">
        <v>0</v>
      </c>
      <c r="Q311" t="n">
        <v>0</v>
      </c>
      <c r="R311" s="2" t="inlineStr"/>
    </row>
    <row r="312" ht="15" customHeight="1">
      <c r="A312" t="inlineStr">
        <is>
          <t>A 33927-2021</t>
        </is>
      </c>
      <c r="B312" s="1" t="n">
        <v>44378</v>
      </c>
      <c r="C312" s="1" t="n">
        <v>46093</v>
      </c>
      <c r="D312" t="inlineStr">
        <is>
          <t>SKÅNE LÄN</t>
        </is>
      </c>
      <c r="E312" t="inlineStr">
        <is>
          <t>HÄSSLEHOLM</t>
        </is>
      </c>
      <c r="G312" t="n">
        <v>16.7</v>
      </c>
      <c r="H312" t="n">
        <v>0</v>
      </c>
      <c r="I312" t="n">
        <v>0</v>
      </c>
      <c r="J312" t="n">
        <v>0</v>
      </c>
      <c r="K312" t="n">
        <v>0</v>
      </c>
      <c r="L312" t="n">
        <v>0</v>
      </c>
      <c r="M312" t="n">
        <v>0</v>
      </c>
      <c r="N312" t="n">
        <v>0</v>
      </c>
      <c r="O312" t="n">
        <v>0</v>
      </c>
      <c r="P312" t="n">
        <v>0</v>
      </c>
      <c r="Q312" t="n">
        <v>0</v>
      </c>
      <c r="R312" s="2" t="inlineStr"/>
    </row>
    <row r="313" ht="15" customHeight="1">
      <c r="A313" t="inlineStr">
        <is>
          <t>A 25057-2024</t>
        </is>
      </c>
      <c r="B313" s="1" t="n">
        <v>45462</v>
      </c>
      <c r="C313" s="1" t="n">
        <v>46093</v>
      </c>
      <c r="D313" t="inlineStr">
        <is>
          <t>SKÅNE LÄN</t>
        </is>
      </c>
      <c r="E313" t="inlineStr">
        <is>
          <t>HÄSSLEHOLM</t>
        </is>
      </c>
      <c r="G313" t="n">
        <v>4.3</v>
      </c>
      <c r="H313" t="n">
        <v>0</v>
      </c>
      <c r="I313" t="n">
        <v>0</v>
      </c>
      <c r="J313" t="n">
        <v>0</v>
      </c>
      <c r="K313" t="n">
        <v>0</v>
      </c>
      <c r="L313" t="n">
        <v>0</v>
      </c>
      <c r="M313" t="n">
        <v>0</v>
      </c>
      <c r="N313" t="n">
        <v>0</v>
      </c>
      <c r="O313" t="n">
        <v>0</v>
      </c>
      <c r="P313" t="n">
        <v>0</v>
      </c>
      <c r="Q313" t="n">
        <v>0</v>
      </c>
      <c r="R313" s="2" t="inlineStr"/>
    </row>
    <row r="314" ht="15" customHeight="1">
      <c r="A314" t="inlineStr">
        <is>
          <t>A 10028-2024</t>
        </is>
      </c>
      <c r="B314" s="1" t="n">
        <v>45363.97292824074</v>
      </c>
      <c r="C314" s="1" t="n">
        <v>46093</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5992-2022</t>
        </is>
      </c>
      <c r="B315" s="1" t="n">
        <v>44599</v>
      </c>
      <c r="C315" s="1" t="n">
        <v>46093</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11240-2023</t>
        </is>
      </c>
      <c r="B316" s="1" t="n">
        <v>44992</v>
      </c>
      <c r="C316" s="1" t="n">
        <v>46093</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26403-2024</t>
        </is>
      </c>
      <c r="B317" s="1" t="n">
        <v>45469.44505787037</v>
      </c>
      <c r="C317" s="1" t="n">
        <v>46093</v>
      </c>
      <c r="D317" t="inlineStr">
        <is>
          <t>SKÅNE LÄN</t>
        </is>
      </c>
      <c r="E317" t="inlineStr">
        <is>
          <t>HÄSSLEHOLM</t>
        </is>
      </c>
      <c r="G317" t="n">
        <v>2.6</v>
      </c>
      <c r="H317" t="n">
        <v>0</v>
      </c>
      <c r="I317" t="n">
        <v>0</v>
      </c>
      <c r="J317" t="n">
        <v>0</v>
      </c>
      <c r="K317" t="n">
        <v>0</v>
      </c>
      <c r="L317" t="n">
        <v>0</v>
      </c>
      <c r="M317" t="n">
        <v>0</v>
      </c>
      <c r="N317" t="n">
        <v>0</v>
      </c>
      <c r="O317" t="n">
        <v>0</v>
      </c>
      <c r="P317" t="n">
        <v>0</v>
      </c>
      <c r="Q317" t="n">
        <v>0</v>
      </c>
      <c r="R317" s="2" t="inlineStr"/>
    </row>
    <row r="318" ht="15" customHeight="1">
      <c r="A318" t="inlineStr">
        <is>
          <t>A 26403-2024</t>
        </is>
      </c>
      <c r="B318" s="1" t="n">
        <v>45469.44505787037</v>
      </c>
      <c r="C318" s="1" t="n">
        <v>46093</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61158-2022</t>
        </is>
      </c>
      <c r="B319" s="1" t="n">
        <v>44915.47112268519</v>
      </c>
      <c r="C319" s="1" t="n">
        <v>46093</v>
      </c>
      <c r="D319" t="inlineStr">
        <is>
          <t>SKÅNE LÄN</t>
        </is>
      </c>
      <c r="E319" t="inlineStr">
        <is>
          <t>HÄSSLEHOLM</t>
        </is>
      </c>
      <c r="G319" t="n">
        <v>8.4</v>
      </c>
      <c r="H319" t="n">
        <v>0</v>
      </c>
      <c r="I319" t="n">
        <v>0</v>
      </c>
      <c r="J319" t="n">
        <v>0</v>
      </c>
      <c r="K319" t="n">
        <v>0</v>
      </c>
      <c r="L319" t="n">
        <v>0</v>
      </c>
      <c r="M319" t="n">
        <v>0</v>
      </c>
      <c r="N319" t="n">
        <v>0</v>
      </c>
      <c r="O319" t="n">
        <v>0</v>
      </c>
      <c r="P319" t="n">
        <v>0</v>
      </c>
      <c r="Q319" t="n">
        <v>0</v>
      </c>
      <c r="R319" s="2" t="inlineStr"/>
    </row>
    <row r="320" ht="15" customHeight="1">
      <c r="A320" t="inlineStr">
        <is>
          <t>A 12468-2024</t>
        </is>
      </c>
      <c r="B320" s="1" t="n">
        <v>45379</v>
      </c>
      <c r="C320" s="1" t="n">
        <v>46093</v>
      </c>
      <c r="D320" t="inlineStr">
        <is>
          <t>SKÅNE LÄN</t>
        </is>
      </c>
      <c r="E320" t="inlineStr">
        <is>
          <t>HÄSSLEHOLM</t>
        </is>
      </c>
      <c r="G320" t="n">
        <v>15.5</v>
      </c>
      <c r="H320" t="n">
        <v>0</v>
      </c>
      <c r="I320" t="n">
        <v>0</v>
      </c>
      <c r="J320" t="n">
        <v>0</v>
      </c>
      <c r="K320" t="n">
        <v>0</v>
      </c>
      <c r="L320" t="n">
        <v>0</v>
      </c>
      <c r="M320" t="n">
        <v>0</v>
      </c>
      <c r="N320" t="n">
        <v>0</v>
      </c>
      <c r="O320" t="n">
        <v>0</v>
      </c>
      <c r="P320" t="n">
        <v>0</v>
      </c>
      <c r="Q320" t="n">
        <v>0</v>
      </c>
      <c r="R320" s="2" t="inlineStr"/>
    </row>
    <row r="321" ht="15" customHeight="1">
      <c r="A321" t="inlineStr">
        <is>
          <t>A 3248-2022</t>
        </is>
      </c>
      <c r="B321" s="1" t="n">
        <v>44583</v>
      </c>
      <c r="C321" s="1" t="n">
        <v>46093</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4009-2024</t>
        </is>
      </c>
      <c r="B322" s="1" t="n">
        <v>45323</v>
      </c>
      <c r="C322" s="1" t="n">
        <v>46093</v>
      </c>
      <c r="D322" t="inlineStr">
        <is>
          <t>SKÅNE LÄN</t>
        </is>
      </c>
      <c r="E322" t="inlineStr">
        <is>
          <t>HÄSSLEHOLM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60848-2022</t>
        </is>
      </c>
      <c r="B323" s="1" t="n">
        <v>44914</v>
      </c>
      <c r="C323" s="1" t="n">
        <v>46093</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24776-2025</t>
        </is>
      </c>
      <c r="B324" s="1" t="n">
        <v>45799.40640046296</v>
      </c>
      <c r="C324" s="1" t="n">
        <v>46093</v>
      </c>
      <c r="D324" t="inlineStr">
        <is>
          <t>SKÅNE LÄN</t>
        </is>
      </c>
      <c r="E324" t="inlineStr">
        <is>
          <t>HÄSSLEHOLM</t>
        </is>
      </c>
      <c r="G324" t="n">
        <v>5.4</v>
      </c>
      <c r="H324" t="n">
        <v>0</v>
      </c>
      <c r="I324" t="n">
        <v>0</v>
      </c>
      <c r="J324" t="n">
        <v>0</v>
      </c>
      <c r="K324" t="n">
        <v>0</v>
      </c>
      <c r="L324" t="n">
        <v>0</v>
      </c>
      <c r="M324" t="n">
        <v>0</v>
      </c>
      <c r="N324" t="n">
        <v>0</v>
      </c>
      <c r="O324" t="n">
        <v>0</v>
      </c>
      <c r="P324" t="n">
        <v>0</v>
      </c>
      <c r="Q324" t="n">
        <v>0</v>
      </c>
      <c r="R324" s="2" t="inlineStr"/>
    </row>
    <row r="325" ht="15" customHeight="1">
      <c r="A325" t="inlineStr">
        <is>
          <t>A 6310-2025</t>
        </is>
      </c>
      <c r="B325" s="1" t="n">
        <v>45698</v>
      </c>
      <c r="C325" s="1" t="n">
        <v>46093</v>
      </c>
      <c r="D325" t="inlineStr">
        <is>
          <t>SKÅNE LÄN</t>
        </is>
      </c>
      <c r="E325" t="inlineStr">
        <is>
          <t>HÄSSLEHOLM</t>
        </is>
      </c>
      <c r="G325" t="n">
        <v>2.7</v>
      </c>
      <c r="H325" t="n">
        <v>0</v>
      </c>
      <c r="I325" t="n">
        <v>0</v>
      </c>
      <c r="J325" t="n">
        <v>0</v>
      </c>
      <c r="K325" t="n">
        <v>0</v>
      </c>
      <c r="L325" t="n">
        <v>0</v>
      </c>
      <c r="M325" t="n">
        <v>0</v>
      </c>
      <c r="N325" t="n">
        <v>0</v>
      </c>
      <c r="O325" t="n">
        <v>0</v>
      </c>
      <c r="P325" t="n">
        <v>0</v>
      </c>
      <c r="Q325" t="n">
        <v>0</v>
      </c>
      <c r="R325" s="2" t="inlineStr"/>
    </row>
    <row r="326" ht="15" customHeight="1">
      <c r="A326" t="inlineStr">
        <is>
          <t>A 35259-2025</t>
        </is>
      </c>
      <c r="B326" s="1" t="n">
        <v>45853.76912037037</v>
      </c>
      <c r="C326" s="1" t="n">
        <v>46093</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20970-2025</t>
        </is>
      </c>
      <c r="B327" s="1" t="n">
        <v>45777.45417824074</v>
      </c>
      <c r="C327" s="1" t="n">
        <v>46093</v>
      </c>
      <c r="D327" t="inlineStr">
        <is>
          <t>SKÅNE LÄN</t>
        </is>
      </c>
      <c r="E327" t="inlineStr">
        <is>
          <t>HÄSSLEHOLM</t>
        </is>
      </c>
      <c r="G327" t="n">
        <v>2.2</v>
      </c>
      <c r="H327" t="n">
        <v>0</v>
      </c>
      <c r="I327" t="n">
        <v>0</v>
      </c>
      <c r="J327" t="n">
        <v>0</v>
      </c>
      <c r="K327" t="n">
        <v>0</v>
      </c>
      <c r="L327" t="n">
        <v>0</v>
      </c>
      <c r="M327" t="n">
        <v>0</v>
      </c>
      <c r="N327" t="n">
        <v>0</v>
      </c>
      <c r="O327" t="n">
        <v>0</v>
      </c>
      <c r="P327" t="n">
        <v>0</v>
      </c>
      <c r="Q327" t="n">
        <v>0</v>
      </c>
      <c r="R327" s="2" t="inlineStr"/>
    </row>
    <row r="328" ht="15" customHeight="1">
      <c r="A328" t="inlineStr">
        <is>
          <t>A 16474-2025</t>
        </is>
      </c>
      <c r="B328" s="1" t="n">
        <v>45751.56834490741</v>
      </c>
      <c r="C328" s="1" t="n">
        <v>46093</v>
      </c>
      <c r="D328" t="inlineStr">
        <is>
          <t>SKÅNE LÄN</t>
        </is>
      </c>
      <c r="E328" t="inlineStr">
        <is>
          <t>HÄSSLEHOLM</t>
        </is>
      </c>
      <c r="G328" t="n">
        <v>5.9</v>
      </c>
      <c r="H328" t="n">
        <v>0</v>
      </c>
      <c r="I328" t="n">
        <v>0</v>
      </c>
      <c r="J328" t="n">
        <v>0</v>
      </c>
      <c r="K328" t="n">
        <v>0</v>
      </c>
      <c r="L328" t="n">
        <v>0</v>
      </c>
      <c r="M328" t="n">
        <v>0</v>
      </c>
      <c r="N328" t="n">
        <v>0</v>
      </c>
      <c r="O328" t="n">
        <v>0</v>
      </c>
      <c r="P328" t="n">
        <v>0</v>
      </c>
      <c r="Q328" t="n">
        <v>0</v>
      </c>
      <c r="R328" s="2" t="inlineStr"/>
    </row>
    <row r="329" ht="15" customHeight="1">
      <c r="A329" t="inlineStr">
        <is>
          <t>A 57649-2022</t>
        </is>
      </c>
      <c r="B329" s="1" t="n">
        <v>44897.42755787037</v>
      </c>
      <c r="C329" s="1" t="n">
        <v>46093</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9239-2025</t>
        </is>
      </c>
      <c r="B330" s="1" t="n">
        <v>45714</v>
      </c>
      <c r="C330" s="1" t="n">
        <v>46093</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8524-2024</t>
        </is>
      </c>
      <c r="B331" s="1" t="n">
        <v>45355.48570601852</v>
      </c>
      <c r="C331" s="1" t="n">
        <v>46093</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57665-2022</t>
        </is>
      </c>
      <c r="B332" s="1" t="n">
        <v>44897.4494212963</v>
      </c>
      <c r="C332" s="1" t="n">
        <v>46093</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57676-2022</t>
        </is>
      </c>
      <c r="B333" s="1" t="n">
        <v>44897</v>
      </c>
      <c r="C333" s="1" t="n">
        <v>46093</v>
      </c>
      <c r="D333" t="inlineStr">
        <is>
          <t>SKÅNE LÄN</t>
        </is>
      </c>
      <c r="E333" t="inlineStr">
        <is>
          <t>HÄSSLEHOLM</t>
        </is>
      </c>
      <c r="G333" t="n">
        <v>1</v>
      </c>
      <c r="H333" t="n">
        <v>0</v>
      </c>
      <c r="I333" t="n">
        <v>0</v>
      </c>
      <c r="J333" t="n">
        <v>0</v>
      </c>
      <c r="K333" t="n">
        <v>0</v>
      </c>
      <c r="L333" t="n">
        <v>0</v>
      </c>
      <c r="M333" t="n">
        <v>0</v>
      </c>
      <c r="N333" t="n">
        <v>0</v>
      </c>
      <c r="O333" t="n">
        <v>0</v>
      </c>
      <c r="P333" t="n">
        <v>0</v>
      </c>
      <c r="Q333" t="n">
        <v>0</v>
      </c>
      <c r="R333" s="2" t="inlineStr"/>
    </row>
    <row r="334" ht="15" customHeight="1">
      <c r="A334" t="inlineStr">
        <is>
          <t>A 16121-2025</t>
        </is>
      </c>
      <c r="B334" s="1" t="n">
        <v>45750.40384259259</v>
      </c>
      <c r="C334" s="1" t="n">
        <v>46093</v>
      </c>
      <c r="D334" t="inlineStr">
        <is>
          <t>SKÅNE LÄN</t>
        </is>
      </c>
      <c r="E334" t="inlineStr">
        <is>
          <t>HÄSSLEHOLM</t>
        </is>
      </c>
      <c r="G334" t="n">
        <v>1.6</v>
      </c>
      <c r="H334" t="n">
        <v>0</v>
      </c>
      <c r="I334" t="n">
        <v>0</v>
      </c>
      <c r="J334" t="n">
        <v>0</v>
      </c>
      <c r="K334" t="n">
        <v>0</v>
      </c>
      <c r="L334" t="n">
        <v>0</v>
      </c>
      <c r="M334" t="n">
        <v>0</v>
      </c>
      <c r="N334" t="n">
        <v>0</v>
      </c>
      <c r="O334" t="n">
        <v>0</v>
      </c>
      <c r="P334" t="n">
        <v>0</v>
      </c>
      <c r="Q334" t="n">
        <v>0</v>
      </c>
      <c r="R334" s="2" t="inlineStr"/>
    </row>
    <row r="335" ht="15" customHeight="1">
      <c r="A335" t="inlineStr">
        <is>
          <t>A 22157-2024</t>
        </is>
      </c>
      <c r="B335" s="1" t="n">
        <v>45445.85290509259</v>
      </c>
      <c r="C335" s="1" t="n">
        <v>46093</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28599-2024</t>
        </is>
      </c>
      <c r="B336" s="1" t="n">
        <v>45478.4247800926</v>
      </c>
      <c r="C336" s="1" t="n">
        <v>46093</v>
      </c>
      <c r="D336" t="inlineStr">
        <is>
          <t>SKÅNE LÄN</t>
        </is>
      </c>
      <c r="E336" t="inlineStr">
        <is>
          <t>HÄSSLEHOLM</t>
        </is>
      </c>
      <c r="G336" t="n">
        <v>8.6</v>
      </c>
      <c r="H336" t="n">
        <v>0</v>
      </c>
      <c r="I336" t="n">
        <v>0</v>
      </c>
      <c r="J336" t="n">
        <v>0</v>
      </c>
      <c r="K336" t="n">
        <v>0</v>
      </c>
      <c r="L336" t="n">
        <v>0</v>
      </c>
      <c r="M336" t="n">
        <v>0</v>
      </c>
      <c r="N336" t="n">
        <v>0</v>
      </c>
      <c r="O336" t="n">
        <v>0</v>
      </c>
      <c r="P336" t="n">
        <v>0</v>
      </c>
      <c r="Q336" t="n">
        <v>0</v>
      </c>
      <c r="R336" s="2" t="inlineStr"/>
    </row>
    <row r="337" ht="15" customHeight="1">
      <c r="A337" t="inlineStr">
        <is>
          <t>A 11446-2025</t>
        </is>
      </c>
      <c r="B337" s="1" t="n">
        <v>45726</v>
      </c>
      <c r="C337" s="1" t="n">
        <v>46093</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14145-2023</t>
        </is>
      </c>
      <c r="B338" s="1" t="n">
        <v>45009</v>
      </c>
      <c r="C338" s="1" t="n">
        <v>46093</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17413-2025</t>
        </is>
      </c>
      <c r="B339" s="1" t="n">
        <v>45757.37480324074</v>
      </c>
      <c r="C339" s="1" t="n">
        <v>46093</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16860-2025</t>
        </is>
      </c>
      <c r="B340" s="1" t="n">
        <v>45751</v>
      </c>
      <c r="C340" s="1" t="n">
        <v>46093</v>
      </c>
      <c r="D340" t="inlineStr">
        <is>
          <t>SKÅNE LÄN</t>
        </is>
      </c>
      <c r="E340" t="inlineStr">
        <is>
          <t>HÄSSLEHOLM</t>
        </is>
      </c>
      <c r="G340" t="n">
        <v>1.3</v>
      </c>
      <c r="H340" t="n">
        <v>0</v>
      </c>
      <c r="I340" t="n">
        <v>0</v>
      </c>
      <c r="J340" t="n">
        <v>0</v>
      </c>
      <c r="K340" t="n">
        <v>0</v>
      </c>
      <c r="L340" t="n">
        <v>0</v>
      </c>
      <c r="M340" t="n">
        <v>0</v>
      </c>
      <c r="N340" t="n">
        <v>0</v>
      </c>
      <c r="O340" t="n">
        <v>0</v>
      </c>
      <c r="P340" t="n">
        <v>0</v>
      </c>
      <c r="Q340" t="n">
        <v>0</v>
      </c>
      <c r="R340" s="2" t="inlineStr"/>
    </row>
    <row r="341" ht="15" customHeight="1">
      <c r="A341" t="inlineStr">
        <is>
          <t>A 9556-2025</t>
        </is>
      </c>
      <c r="B341" s="1" t="n">
        <v>45714</v>
      </c>
      <c r="C341" s="1" t="n">
        <v>46093</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54671-2022</t>
        </is>
      </c>
      <c r="B342" s="1" t="n">
        <v>44883</v>
      </c>
      <c r="C342" s="1" t="n">
        <v>46093</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53887-2023</t>
        </is>
      </c>
      <c r="B343" s="1" t="n">
        <v>45231.52675925926</v>
      </c>
      <c r="C343" s="1" t="n">
        <v>46093</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49167-2022</t>
        </is>
      </c>
      <c r="B344" s="1" t="n">
        <v>44860</v>
      </c>
      <c r="C344" s="1" t="n">
        <v>46093</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28071-2023</t>
        </is>
      </c>
      <c r="B345" s="1" t="n">
        <v>45099.37755787037</v>
      </c>
      <c r="C345" s="1" t="n">
        <v>46093</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3507-2024</t>
        </is>
      </c>
      <c r="B346" s="1" t="n">
        <v>45320.4906712963</v>
      </c>
      <c r="C346" s="1" t="n">
        <v>46093</v>
      </c>
      <c r="D346" t="inlineStr">
        <is>
          <t>SKÅNE LÄN</t>
        </is>
      </c>
      <c r="E346" t="inlineStr">
        <is>
          <t>HÄSSLEHOLM</t>
        </is>
      </c>
      <c r="G346" t="n">
        <v>6.4</v>
      </c>
      <c r="H346" t="n">
        <v>0</v>
      </c>
      <c r="I346" t="n">
        <v>0</v>
      </c>
      <c r="J346" t="n">
        <v>0</v>
      </c>
      <c r="K346" t="n">
        <v>0</v>
      </c>
      <c r="L346" t="n">
        <v>0</v>
      </c>
      <c r="M346" t="n">
        <v>0</v>
      </c>
      <c r="N346" t="n">
        <v>0</v>
      </c>
      <c r="O346" t="n">
        <v>0</v>
      </c>
      <c r="P346" t="n">
        <v>0</v>
      </c>
      <c r="Q346" t="n">
        <v>0</v>
      </c>
      <c r="R346" s="2" t="inlineStr"/>
    </row>
    <row r="347" ht="15" customHeight="1">
      <c r="A347" t="inlineStr">
        <is>
          <t>A 4119-2024</t>
        </is>
      </c>
      <c r="B347" s="1" t="n">
        <v>45323.67920138889</v>
      </c>
      <c r="C347" s="1" t="n">
        <v>46093</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12344-2023</t>
        </is>
      </c>
      <c r="B348" s="1" t="n">
        <v>44999</v>
      </c>
      <c r="C348" s="1" t="n">
        <v>46093</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48877-2024</t>
        </is>
      </c>
      <c r="B349" s="1" t="n">
        <v>45594.31729166667</v>
      </c>
      <c r="C349" s="1" t="n">
        <v>46093</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47647-2024</t>
        </is>
      </c>
      <c r="B350" s="1" t="n">
        <v>45588</v>
      </c>
      <c r="C350" s="1" t="n">
        <v>46093</v>
      </c>
      <c r="D350" t="inlineStr">
        <is>
          <t>SKÅNE LÄN</t>
        </is>
      </c>
      <c r="E350" t="inlineStr">
        <is>
          <t>HÄSSLEHOLM</t>
        </is>
      </c>
      <c r="G350" t="n">
        <v>6.5</v>
      </c>
      <c r="H350" t="n">
        <v>0</v>
      </c>
      <c r="I350" t="n">
        <v>0</v>
      </c>
      <c r="J350" t="n">
        <v>0</v>
      </c>
      <c r="K350" t="n">
        <v>0</v>
      </c>
      <c r="L350" t="n">
        <v>0</v>
      </c>
      <c r="M350" t="n">
        <v>0</v>
      </c>
      <c r="N350" t="n">
        <v>0</v>
      </c>
      <c r="O350" t="n">
        <v>0</v>
      </c>
      <c r="P350" t="n">
        <v>0</v>
      </c>
      <c r="Q350" t="n">
        <v>0</v>
      </c>
      <c r="R350" s="2" t="inlineStr"/>
    </row>
    <row r="351" ht="15" customHeight="1">
      <c r="A351" t="inlineStr">
        <is>
          <t>A 58272-2024</t>
        </is>
      </c>
      <c r="B351" s="1" t="n">
        <v>45632.57025462963</v>
      </c>
      <c r="C351" s="1" t="n">
        <v>46093</v>
      </c>
      <c r="D351" t="inlineStr">
        <is>
          <t>SKÅNE LÄN</t>
        </is>
      </c>
      <c r="E351" t="inlineStr">
        <is>
          <t>HÄSSLEHOLM</t>
        </is>
      </c>
      <c r="G351" t="n">
        <v>2.3</v>
      </c>
      <c r="H351" t="n">
        <v>0</v>
      </c>
      <c r="I351" t="n">
        <v>0</v>
      </c>
      <c r="J351" t="n">
        <v>0</v>
      </c>
      <c r="K351" t="n">
        <v>0</v>
      </c>
      <c r="L351" t="n">
        <v>0</v>
      </c>
      <c r="M351" t="n">
        <v>0</v>
      </c>
      <c r="N351" t="n">
        <v>0</v>
      </c>
      <c r="O351" t="n">
        <v>0</v>
      </c>
      <c r="P351" t="n">
        <v>0</v>
      </c>
      <c r="Q351" t="n">
        <v>0</v>
      </c>
      <c r="R351" s="2" t="inlineStr"/>
    </row>
    <row r="352" ht="15" customHeight="1">
      <c r="A352" t="inlineStr">
        <is>
          <t>A 1619-2022</t>
        </is>
      </c>
      <c r="B352" s="1" t="n">
        <v>44573</v>
      </c>
      <c r="C352" s="1" t="n">
        <v>46093</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39453-2025</t>
        </is>
      </c>
      <c r="B353" s="1" t="n">
        <v>45889</v>
      </c>
      <c r="C353" s="1" t="n">
        <v>46093</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31391-2023</t>
        </is>
      </c>
      <c r="B354" s="1" t="n">
        <v>45114.56143518518</v>
      </c>
      <c r="C354" s="1" t="n">
        <v>46093</v>
      </c>
      <c r="D354" t="inlineStr">
        <is>
          <t>SKÅNE LÄN</t>
        </is>
      </c>
      <c r="E354" t="inlineStr">
        <is>
          <t>HÄSSLEHOLM</t>
        </is>
      </c>
      <c r="G354" t="n">
        <v>3.1</v>
      </c>
      <c r="H354" t="n">
        <v>0</v>
      </c>
      <c r="I354" t="n">
        <v>0</v>
      </c>
      <c r="J354" t="n">
        <v>0</v>
      </c>
      <c r="K354" t="n">
        <v>0</v>
      </c>
      <c r="L354" t="n">
        <v>0</v>
      </c>
      <c r="M354" t="n">
        <v>0</v>
      </c>
      <c r="N354" t="n">
        <v>0</v>
      </c>
      <c r="O354" t="n">
        <v>0</v>
      </c>
      <c r="P354" t="n">
        <v>0</v>
      </c>
      <c r="Q354" t="n">
        <v>0</v>
      </c>
      <c r="R354" s="2" t="inlineStr"/>
    </row>
    <row r="355" ht="15" customHeight="1">
      <c r="A355" t="inlineStr">
        <is>
          <t>A 45361-2023</t>
        </is>
      </c>
      <c r="B355" s="1" t="n">
        <v>45192.49068287037</v>
      </c>
      <c r="C355" s="1" t="n">
        <v>46093</v>
      </c>
      <c r="D355" t="inlineStr">
        <is>
          <t>SKÅNE LÄN</t>
        </is>
      </c>
      <c r="E355" t="inlineStr">
        <is>
          <t>HÄSSLEHOLM</t>
        </is>
      </c>
      <c r="G355" t="n">
        <v>1.9</v>
      </c>
      <c r="H355" t="n">
        <v>0</v>
      </c>
      <c r="I355" t="n">
        <v>0</v>
      </c>
      <c r="J355" t="n">
        <v>0</v>
      </c>
      <c r="K355" t="n">
        <v>0</v>
      </c>
      <c r="L355" t="n">
        <v>0</v>
      </c>
      <c r="M355" t="n">
        <v>0</v>
      </c>
      <c r="N355" t="n">
        <v>0</v>
      </c>
      <c r="O355" t="n">
        <v>0</v>
      </c>
      <c r="P355" t="n">
        <v>0</v>
      </c>
      <c r="Q355" t="n">
        <v>0</v>
      </c>
      <c r="R355" s="2" t="inlineStr"/>
    </row>
    <row r="356" ht="15" customHeight="1">
      <c r="A356" t="inlineStr">
        <is>
          <t>A 39457-2025</t>
        </is>
      </c>
      <c r="B356" s="1" t="n">
        <v>45889.76887731482</v>
      </c>
      <c r="C356" s="1" t="n">
        <v>46093</v>
      </c>
      <c r="D356" t="inlineStr">
        <is>
          <t>SKÅNE LÄN</t>
        </is>
      </c>
      <c r="E356" t="inlineStr">
        <is>
          <t>HÄSSLEHOLM</t>
        </is>
      </c>
      <c r="G356" t="n">
        <v>6.6</v>
      </c>
      <c r="H356" t="n">
        <v>0</v>
      </c>
      <c r="I356" t="n">
        <v>0</v>
      </c>
      <c r="J356" t="n">
        <v>0</v>
      </c>
      <c r="K356" t="n">
        <v>0</v>
      </c>
      <c r="L356" t="n">
        <v>0</v>
      </c>
      <c r="M356" t="n">
        <v>0</v>
      </c>
      <c r="N356" t="n">
        <v>0</v>
      </c>
      <c r="O356" t="n">
        <v>0</v>
      </c>
      <c r="P356" t="n">
        <v>0</v>
      </c>
      <c r="Q356" t="n">
        <v>0</v>
      </c>
      <c r="R356" s="2" t="inlineStr"/>
    </row>
    <row r="357" ht="15" customHeight="1">
      <c r="A357" t="inlineStr">
        <is>
          <t>A 45220-2023</t>
        </is>
      </c>
      <c r="B357" s="1" t="n">
        <v>45191</v>
      </c>
      <c r="C357" s="1" t="n">
        <v>46093</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38712-2024</t>
        </is>
      </c>
      <c r="B358" s="1" t="n">
        <v>45547</v>
      </c>
      <c r="C358" s="1" t="n">
        <v>46093</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57647-2024</t>
        </is>
      </c>
      <c r="B359" s="1" t="n">
        <v>45630</v>
      </c>
      <c r="C359" s="1" t="n">
        <v>46093</v>
      </c>
      <c r="D359" t="inlineStr">
        <is>
          <t>SKÅNE LÄN</t>
        </is>
      </c>
      <c r="E359" t="inlineStr">
        <is>
          <t>HÄSSLEHOLM</t>
        </is>
      </c>
      <c r="G359" t="n">
        <v>2.9</v>
      </c>
      <c r="H359" t="n">
        <v>0</v>
      </c>
      <c r="I359" t="n">
        <v>0</v>
      </c>
      <c r="J359" t="n">
        <v>0</v>
      </c>
      <c r="K359" t="n">
        <v>0</v>
      </c>
      <c r="L359" t="n">
        <v>0</v>
      </c>
      <c r="M359" t="n">
        <v>0</v>
      </c>
      <c r="N359" t="n">
        <v>0</v>
      </c>
      <c r="O359" t="n">
        <v>0</v>
      </c>
      <c r="P359" t="n">
        <v>0</v>
      </c>
      <c r="Q359" t="n">
        <v>0</v>
      </c>
      <c r="R359" s="2" t="inlineStr"/>
    </row>
    <row r="360" ht="15" customHeight="1">
      <c r="A360" t="inlineStr">
        <is>
          <t>A 22132-2024</t>
        </is>
      </c>
      <c r="B360" s="1" t="n">
        <v>45444.37234953704</v>
      </c>
      <c r="C360" s="1" t="n">
        <v>46093</v>
      </c>
      <c r="D360" t="inlineStr">
        <is>
          <t>SKÅNE LÄN</t>
        </is>
      </c>
      <c r="E360" t="inlineStr">
        <is>
          <t>HÄSSLEHOLM</t>
        </is>
      </c>
      <c r="G360" t="n">
        <v>3.1</v>
      </c>
      <c r="H360" t="n">
        <v>0</v>
      </c>
      <c r="I360" t="n">
        <v>0</v>
      </c>
      <c r="J360" t="n">
        <v>0</v>
      </c>
      <c r="K360" t="n">
        <v>0</v>
      </c>
      <c r="L360" t="n">
        <v>0</v>
      </c>
      <c r="M360" t="n">
        <v>0</v>
      </c>
      <c r="N360" t="n">
        <v>0</v>
      </c>
      <c r="O360" t="n">
        <v>0</v>
      </c>
      <c r="P360" t="n">
        <v>0</v>
      </c>
      <c r="Q360" t="n">
        <v>0</v>
      </c>
      <c r="R360" s="2" t="inlineStr"/>
    </row>
    <row r="361" ht="15" customHeight="1">
      <c r="A361" t="inlineStr">
        <is>
          <t>A 54171-2022</t>
        </is>
      </c>
      <c r="B361" s="1" t="n">
        <v>44881</v>
      </c>
      <c r="C361" s="1" t="n">
        <v>46093</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39366-2025</t>
        </is>
      </c>
      <c r="B362" s="1" t="n">
        <v>45889</v>
      </c>
      <c r="C362" s="1" t="n">
        <v>46093</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61182-2024</t>
        </is>
      </c>
      <c r="B363" s="1" t="n">
        <v>45645</v>
      </c>
      <c r="C363" s="1" t="n">
        <v>46093</v>
      </c>
      <c r="D363" t="inlineStr">
        <is>
          <t>SKÅNE LÄN</t>
        </is>
      </c>
      <c r="E363" t="inlineStr">
        <is>
          <t>HÄSSLEHOLM</t>
        </is>
      </c>
      <c r="G363" t="n">
        <v>3.2</v>
      </c>
      <c r="H363" t="n">
        <v>0</v>
      </c>
      <c r="I363" t="n">
        <v>0</v>
      </c>
      <c r="J363" t="n">
        <v>0</v>
      </c>
      <c r="K363" t="n">
        <v>0</v>
      </c>
      <c r="L363" t="n">
        <v>0</v>
      </c>
      <c r="M363" t="n">
        <v>0</v>
      </c>
      <c r="N363" t="n">
        <v>0</v>
      </c>
      <c r="O363" t="n">
        <v>0</v>
      </c>
      <c r="P363" t="n">
        <v>0</v>
      </c>
      <c r="Q363" t="n">
        <v>0</v>
      </c>
      <c r="R363" s="2" t="inlineStr"/>
    </row>
    <row r="364" ht="15" customHeight="1">
      <c r="A364" t="inlineStr">
        <is>
          <t>A 3245-2022</t>
        </is>
      </c>
      <c r="B364" s="1" t="n">
        <v>44583.39136574074</v>
      </c>
      <c r="C364" s="1" t="n">
        <v>46093</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13990-2022</t>
        </is>
      </c>
      <c r="B365" s="1" t="n">
        <v>44650</v>
      </c>
      <c r="C365" s="1" t="n">
        <v>46093</v>
      </c>
      <c r="D365" t="inlineStr">
        <is>
          <t>SKÅNE LÄN</t>
        </is>
      </c>
      <c r="E365" t="inlineStr">
        <is>
          <t>HÄSSLEHOLM</t>
        </is>
      </c>
      <c r="G365" t="n">
        <v>3.6</v>
      </c>
      <c r="H365" t="n">
        <v>0</v>
      </c>
      <c r="I365" t="n">
        <v>0</v>
      </c>
      <c r="J365" t="n">
        <v>0</v>
      </c>
      <c r="K365" t="n">
        <v>0</v>
      </c>
      <c r="L365" t="n">
        <v>0</v>
      </c>
      <c r="M365" t="n">
        <v>0</v>
      </c>
      <c r="N365" t="n">
        <v>0</v>
      </c>
      <c r="O365" t="n">
        <v>0</v>
      </c>
      <c r="P365" t="n">
        <v>0</v>
      </c>
      <c r="Q365" t="n">
        <v>0</v>
      </c>
      <c r="R365" s="2" t="inlineStr"/>
    </row>
    <row r="366" ht="15" customHeight="1">
      <c r="A366" t="inlineStr">
        <is>
          <t>A 25219-2023</t>
        </is>
      </c>
      <c r="B366" s="1" t="n">
        <v>45086.60541666667</v>
      </c>
      <c r="C366" s="1" t="n">
        <v>46093</v>
      </c>
      <c r="D366" t="inlineStr">
        <is>
          <t>SKÅNE LÄN</t>
        </is>
      </c>
      <c r="E366" t="inlineStr">
        <is>
          <t>HÄSSLEHOLM</t>
        </is>
      </c>
      <c r="G366" t="n">
        <v>6.9</v>
      </c>
      <c r="H366" t="n">
        <v>0</v>
      </c>
      <c r="I366" t="n">
        <v>0</v>
      </c>
      <c r="J366" t="n">
        <v>0</v>
      </c>
      <c r="K366" t="n">
        <v>0</v>
      </c>
      <c r="L366" t="n">
        <v>0</v>
      </c>
      <c r="M366" t="n">
        <v>0</v>
      </c>
      <c r="N366" t="n">
        <v>0</v>
      </c>
      <c r="O366" t="n">
        <v>0</v>
      </c>
      <c r="P366" t="n">
        <v>0</v>
      </c>
      <c r="Q366" t="n">
        <v>0</v>
      </c>
      <c r="R366" s="2" t="inlineStr"/>
    </row>
    <row r="367" ht="15" customHeight="1">
      <c r="A367" t="inlineStr">
        <is>
          <t>A 9302-2025</t>
        </is>
      </c>
      <c r="B367" s="1" t="n">
        <v>45714.67233796296</v>
      </c>
      <c r="C367" s="1" t="n">
        <v>46093</v>
      </c>
      <c r="D367" t="inlineStr">
        <is>
          <t>SKÅNE LÄN</t>
        </is>
      </c>
      <c r="E367" t="inlineStr">
        <is>
          <t>HÄSSLEHOLM</t>
        </is>
      </c>
      <c r="G367" t="n">
        <v>2.6</v>
      </c>
      <c r="H367" t="n">
        <v>0</v>
      </c>
      <c r="I367" t="n">
        <v>0</v>
      </c>
      <c r="J367" t="n">
        <v>0</v>
      </c>
      <c r="K367" t="n">
        <v>0</v>
      </c>
      <c r="L367" t="n">
        <v>0</v>
      </c>
      <c r="M367" t="n">
        <v>0</v>
      </c>
      <c r="N367" t="n">
        <v>0</v>
      </c>
      <c r="O367" t="n">
        <v>0</v>
      </c>
      <c r="P367" t="n">
        <v>0</v>
      </c>
      <c r="Q367" t="n">
        <v>0</v>
      </c>
      <c r="R367" s="2" t="inlineStr"/>
    </row>
    <row r="368" ht="15" customHeight="1">
      <c r="A368" t="inlineStr">
        <is>
          <t>A 9322-2025</t>
        </is>
      </c>
      <c r="B368" s="1" t="n">
        <v>45714.72241898148</v>
      </c>
      <c r="C368" s="1" t="n">
        <v>46093</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31255-2024</t>
        </is>
      </c>
      <c r="B369" s="1" t="n">
        <v>45503.69114583333</v>
      </c>
      <c r="C369" s="1" t="n">
        <v>46093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37300-2023</t>
        </is>
      </c>
      <c r="B370" s="1" t="n">
        <v>45156</v>
      </c>
      <c r="C370" s="1" t="n">
        <v>46093</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39934-2025</t>
        </is>
      </c>
      <c r="B371" s="1" t="n">
        <v>45891.71465277778</v>
      </c>
      <c r="C371" s="1" t="n">
        <v>46093</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4787-2023</t>
        </is>
      </c>
      <c r="B372" s="1" t="n">
        <v>44957.60079861111</v>
      </c>
      <c r="C372" s="1" t="n">
        <v>46093</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4788-2023</t>
        </is>
      </c>
      <c r="B373" s="1" t="n">
        <v>44957.60130787037</v>
      </c>
      <c r="C373" s="1" t="n">
        <v>46093</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32210-2024</t>
        </is>
      </c>
      <c r="B374" s="1" t="n">
        <v>45511.67777777778</v>
      </c>
      <c r="C374" s="1" t="n">
        <v>46093</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39915-2023</t>
        </is>
      </c>
      <c r="B375" s="1" t="n">
        <v>45168.4684375</v>
      </c>
      <c r="C375" s="1" t="n">
        <v>46093</v>
      </c>
      <c r="D375" t="inlineStr">
        <is>
          <t>SKÅNE LÄN</t>
        </is>
      </c>
      <c r="E375" t="inlineStr">
        <is>
          <t>HÄSSLEHOLM</t>
        </is>
      </c>
      <c r="G375" t="n">
        <v>0.4</v>
      </c>
      <c r="H375" t="n">
        <v>0</v>
      </c>
      <c r="I375" t="n">
        <v>0</v>
      </c>
      <c r="J375" t="n">
        <v>0</v>
      </c>
      <c r="K375" t="n">
        <v>0</v>
      </c>
      <c r="L375" t="n">
        <v>0</v>
      </c>
      <c r="M375" t="n">
        <v>0</v>
      </c>
      <c r="N375" t="n">
        <v>0</v>
      </c>
      <c r="O375" t="n">
        <v>0</v>
      </c>
      <c r="P375" t="n">
        <v>0</v>
      </c>
      <c r="Q375" t="n">
        <v>0</v>
      </c>
      <c r="R375" s="2" t="inlineStr"/>
    </row>
    <row r="376" ht="15" customHeight="1">
      <c r="A376" t="inlineStr">
        <is>
          <t>A 39937-2025</t>
        </is>
      </c>
      <c r="B376" s="1" t="n">
        <v>45891.73162037037</v>
      </c>
      <c r="C376" s="1" t="n">
        <v>46093</v>
      </c>
      <c r="D376" t="inlineStr">
        <is>
          <t>SKÅNE LÄN</t>
        </is>
      </c>
      <c r="E376" t="inlineStr">
        <is>
          <t>HÄSSLEHOLM</t>
        </is>
      </c>
      <c r="G376" t="n">
        <v>4.5</v>
      </c>
      <c r="H376" t="n">
        <v>0</v>
      </c>
      <c r="I376" t="n">
        <v>0</v>
      </c>
      <c r="J376" t="n">
        <v>0</v>
      </c>
      <c r="K376" t="n">
        <v>0</v>
      </c>
      <c r="L376" t="n">
        <v>0</v>
      </c>
      <c r="M376" t="n">
        <v>0</v>
      </c>
      <c r="N376" t="n">
        <v>0</v>
      </c>
      <c r="O376" t="n">
        <v>0</v>
      </c>
      <c r="P376" t="n">
        <v>0</v>
      </c>
      <c r="Q376" t="n">
        <v>0</v>
      </c>
      <c r="R376" s="2" t="inlineStr"/>
    </row>
    <row r="377" ht="15" customHeight="1">
      <c r="A377" t="inlineStr">
        <is>
          <t>A 59431-2023</t>
        </is>
      </c>
      <c r="B377" s="1" t="n">
        <v>45254.29207175926</v>
      </c>
      <c r="C377" s="1" t="n">
        <v>46093</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59433-2023</t>
        </is>
      </c>
      <c r="B378" s="1" t="n">
        <v>45254.29768518519</v>
      </c>
      <c r="C378" s="1" t="n">
        <v>46093</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9555-2025</t>
        </is>
      </c>
      <c r="B379" s="1" t="n">
        <v>45714</v>
      </c>
      <c r="C379" s="1" t="n">
        <v>46093</v>
      </c>
      <c r="D379" t="inlineStr">
        <is>
          <t>SKÅNE LÄN</t>
        </is>
      </c>
      <c r="E379" t="inlineStr">
        <is>
          <t>HÄSSLEHOLM</t>
        </is>
      </c>
      <c r="G379" t="n">
        <v>5.4</v>
      </c>
      <c r="H379" t="n">
        <v>0</v>
      </c>
      <c r="I379" t="n">
        <v>0</v>
      </c>
      <c r="J379" t="n">
        <v>0</v>
      </c>
      <c r="K379" t="n">
        <v>0</v>
      </c>
      <c r="L379" t="n">
        <v>0</v>
      </c>
      <c r="M379" t="n">
        <v>0</v>
      </c>
      <c r="N379" t="n">
        <v>0</v>
      </c>
      <c r="O379" t="n">
        <v>0</v>
      </c>
      <c r="P379" t="n">
        <v>0</v>
      </c>
      <c r="Q379" t="n">
        <v>0</v>
      </c>
      <c r="R379" s="2" t="inlineStr"/>
    </row>
    <row r="380" ht="15" customHeight="1">
      <c r="A380" t="inlineStr">
        <is>
          <t>A 23864-2024</t>
        </is>
      </c>
      <c r="B380" s="1" t="n">
        <v>45455</v>
      </c>
      <c r="C380" s="1" t="n">
        <v>46093</v>
      </c>
      <c r="D380" t="inlineStr">
        <is>
          <t>SKÅNE LÄN</t>
        </is>
      </c>
      <c r="E380" t="inlineStr">
        <is>
          <t>HÄSSLEHOLM</t>
        </is>
      </c>
      <c r="G380" t="n">
        <v>6.2</v>
      </c>
      <c r="H380" t="n">
        <v>0</v>
      </c>
      <c r="I380" t="n">
        <v>0</v>
      </c>
      <c r="J380" t="n">
        <v>0</v>
      </c>
      <c r="K380" t="n">
        <v>0</v>
      </c>
      <c r="L380" t="n">
        <v>0</v>
      </c>
      <c r="M380" t="n">
        <v>0</v>
      </c>
      <c r="N380" t="n">
        <v>0</v>
      </c>
      <c r="O380" t="n">
        <v>0</v>
      </c>
      <c r="P380" t="n">
        <v>0</v>
      </c>
      <c r="Q380" t="n">
        <v>0</v>
      </c>
      <c r="R380" s="2" t="inlineStr"/>
    </row>
    <row r="381" ht="15" customHeight="1">
      <c r="A381" t="inlineStr">
        <is>
          <t>A 40241-2025</t>
        </is>
      </c>
      <c r="B381" s="1" t="n">
        <v>45894.87251157407</v>
      </c>
      <c r="C381" s="1" t="n">
        <v>46093</v>
      </c>
      <c r="D381" t="inlineStr">
        <is>
          <t>SKÅNE LÄN</t>
        </is>
      </c>
      <c r="E381" t="inlineStr">
        <is>
          <t>HÄSSLEHOLM</t>
        </is>
      </c>
      <c r="G381" t="n">
        <v>3.8</v>
      </c>
      <c r="H381" t="n">
        <v>0</v>
      </c>
      <c r="I381" t="n">
        <v>0</v>
      </c>
      <c r="J381" t="n">
        <v>0</v>
      </c>
      <c r="K381" t="n">
        <v>0</v>
      </c>
      <c r="L381" t="n">
        <v>0</v>
      </c>
      <c r="M381" t="n">
        <v>0</v>
      </c>
      <c r="N381" t="n">
        <v>0</v>
      </c>
      <c r="O381" t="n">
        <v>0</v>
      </c>
      <c r="P381" t="n">
        <v>0</v>
      </c>
      <c r="Q381" t="n">
        <v>0</v>
      </c>
      <c r="R381" s="2" t="inlineStr"/>
    </row>
    <row r="382" ht="15" customHeight="1">
      <c r="A382" t="inlineStr">
        <is>
          <t>A 54174-2022</t>
        </is>
      </c>
      <c r="B382" s="1" t="n">
        <v>44881</v>
      </c>
      <c r="C382" s="1" t="n">
        <v>46093</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52235-2021</t>
        </is>
      </c>
      <c r="B383" s="1" t="n">
        <v>44463.60085648148</v>
      </c>
      <c r="C383" s="1" t="n">
        <v>46093</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53302-2022</t>
        </is>
      </c>
      <c r="B384" s="1" t="n">
        <v>44877</v>
      </c>
      <c r="C384" s="1" t="n">
        <v>46093</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35890-2023</t>
        </is>
      </c>
      <c r="B385" s="1" t="n">
        <v>45148</v>
      </c>
      <c r="C385" s="1" t="n">
        <v>46093</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35895-2023</t>
        </is>
      </c>
      <c r="B386" s="1" t="n">
        <v>45148</v>
      </c>
      <c r="C386" s="1" t="n">
        <v>46093</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52642-2021</t>
        </is>
      </c>
      <c r="B387" s="1" t="n">
        <v>44466.64298611111</v>
      </c>
      <c r="C387" s="1" t="n">
        <v>46093</v>
      </c>
      <c r="D387" t="inlineStr">
        <is>
          <t>SKÅNE LÄN</t>
        </is>
      </c>
      <c r="E387" t="inlineStr">
        <is>
          <t>HÄSSLEHOLM</t>
        </is>
      </c>
      <c r="G387" t="n">
        <v>3.7</v>
      </c>
      <c r="H387" t="n">
        <v>0</v>
      </c>
      <c r="I387" t="n">
        <v>0</v>
      </c>
      <c r="J387" t="n">
        <v>0</v>
      </c>
      <c r="K387" t="n">
        <v>0</v>
      </c>
      <c r="L387" t="n">
        <v>0</v>
      </c>
      <c r="M387" t="n">
        <v>0</v>
      </c>
      <c r="N387" t="n">
        <v>0</v>
      </c>
      <c r="O387" t="n">
        <v>0</v>
      </c>
      <c r="P387" t="n">
        <v>0</v>
      </c>
      <c r="Q387" t="n">
        <v>0</v>
      </c>
      <c r="R387" s="2" t="inlineStr"/>
    </row>
    <row r="388" ht="15" customHeight="1">
      <c r="A388" t="inlineStr">
        <is>
          <t>A 29850-2024</t>
        </is>
      </c>
      <c r="B388" s="1" t="n">
        <v>45485.64620370371</v>
      </c>
      <c r="C388" s="1" t="n">
        <v>46093</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35711-2024</t>
        </is>
      </c>
      <c r="B389" s="1" t="n">
        <v>45532</v>
      </c>
      <c r="C389" s="1" t="n">
        <v>46093</v>
      </c>
      <c r="D389" t="inlineStr">
        <is>
          <t>SKÅNE LÄN</t>
        </is>
      </c>
      <c r="E389" t="inlineStr">
        <is>
          <t>HÄSSLEHOLM</t>
        </is>
      </c>
      <c r="G389" t="n">
        <v>1.4</v>
      </c>
      <c r="H389" t="n">
        <v>0</v>
      </c>
      <c r="I389" t="n">
        <v>0</v>
      </c>
      <c r="J389" t="n">
        <v>0</v>
      </c>
      <c r="K389" t="n">
        <v>0</v>
      </c>
      <c r="L389" t="n">
        <v>0</v>
      </c>
      <c r="M389" t="n">
        <v>0</v>
      </c>
      <c r="N389" t="n">
        <v>0</v>
      </c>
      <c r="O389" t="n">
        <v>0</v>
      </c>
      <c r="P389" t="n">
        <v>0</v>
      </c>
      <c r="Q389" t="n">
        <v>0</v>
      </c>
      <c r="R389" s="2" t="inlineStr"/>
    </row>
    <row r="390" ht="15" customHeight="1">
      <c r="A390" t="inlineStr">
        <is>
          <t>A 4750-2024</t>
        </is>
      </c>
      <c r="B390" s="1" t="n">
        <v>45328</v>
      </c>
      <c r="C390" s="1" t="n">
        <v>46093</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23956-2023</t>
        </is>
      </c>
      <c r="B391" s="1" t="n">
        <v>45078.62302083334</v>
      </c>
      <c r="C391" s="1" t="n">
        <v>46093</v>
      </c>
      <c r="D391" t="inlineStr">
        <is>
          <t>SKÅNE LÄN</t>
        </is>
      </c>
      <c r="E391" t="inlineStr">
        <is>
          <t>HÄSSLEHOLM</t>
        </is>
      </c>
      <c r="G391" t="n">
        <v>0.1</v>
      </c>
      <c r="H391" t="n">
        <v>0</v>
      </c>
      <c r="I391" t="n">
        <v>0</v>
      </c>
      <c r="J391" t="n">
        <v>0</v>
      </c>
      <c r="K391" t="n">
        <v>0</v>
      </c>
      <c r="L391" t="n">
        <v>0</v>
      </c>
      <c r="M391" t="n">
        <v>0</v>
      </c>
      <c r="N391" t="n">
        <v>0</v>
      </c>
      <c r="O391" t="n">
        <v>0</v>
      </c>
      <c r="P391" t="n">
        <v>0</v>
      </c>
      <c r="Q391" t="n">
        <v>0</v>
      </c>
      <c r="R391" s="2" t="inlineStr"/>
    </row>
    <row r="392" ht="15" customHeight="1">
      <c r="A392" t="inlineStr">
        <is>
          <t>A 11708-2025</t>
        </is>
      </c>
      <c r="B392" s="1" t="n">
        <v>45727.58626157408</v>
      </c>
      <c r="C392" s="1" t="n">
        <v>46093</v>
      </c>
      <c r="D392" t="inlineStr">
        <is>
          <t>SKÅNE LÄN</t>
        </is>
      </c>
      <c r="E392" t="inlineStr">
        <is>
          <t>HÄSSLEHOLM</t>
        </is>
      </c>
      <c r="G392" t="n">
        <v>1.3</v>
      </c>
      <c r="H392" t="n">
        <v>0</v>
      </c>
      <c r="I392" t="n">
        <v>0</v>
      </c>
      <c r="J392" t="n">
        <v>0</v>
      </c>
      <c r="K392" t="n">
        <v>0</v>
      </c>
      <c r="L392" t="n">
        <v>0</v>
      </c>
      <c r="M392" t="n">
        <v>0</v>
      </c>
      <c r="N392" t="n">
        <v>0</v>
      </c>
      <c r="O392" t="n">
        <v>0</v>
      </c>
      <c r="P392" t="n">
        <v>0</v>
      </c>
      <c r="Q392" t="n">
        <v>0</v>
      </c>
      <c r="R392" s="2" t="inlineStr"/>
    </row>
    <row r="393" ht="15" customHeight="1">
      <c r="A393" t="inlineStr">
        <is>
          <t>A 62041-2022</t>
        </is>
      </c>
      <c r="B393" s="1" t="n">
        <v>44918.55743055556</v>
      </c>
      <c r="C393" s="1" t="n">
        <v>46093</v>
      </c>
      <c r="D393" t="inlineStr">
        <is>
          <t>SKÅNE LÄN</t>
        </is>
      </c>
      <c r="E393" t="inlineStr">
        <is>
          <t>HÄSSLEHOLM</t>
        </is>
      </c>
      <c r="G393" t="n">
        <v>2.8</v>
      </c>
      <c r="H393" t="n">
        <v>0</v>
      </c>
      <c r="I393" t="n">
        <v>0</v>
      </c>
      <c r="J393" t="n">
        <v>0</v>
      </c>
      <c r="K393" t="n">
        <v>0</v>
      </c>
      <c r="L393" t="n">
        <v>0</v>
      </c>
      <c r="M393" t="n">
        <v>0</v>
      </c>
      <c r="N393" t="n">
        <v>0</v>
      </c>
      <c r="O393" t="n">
        <v>0</v>
      </c>
      <c r="P393" t="n">
        <v>0</v>
      </c>
      <c r="Q393" t="n">
        <v>0</v>
      </c>
      <c r="R393" s="2" t="inlineStr"/>
    </row>
    <row r="394" ht="15" customHeight="1">
      <c r="A394" t="inlineStr">
        <is>
          <t>A 40734-2024</t>
        </is>
      </c>
      <c r="B394" s="1" t="n">
        <v>45558</v>
      </c>
      <c r="C394" s="1" t="n">
        <v>46093</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40738-2024</t>
        </is>
      </c>
      <c r="B395" s="1" t="n">
        <v>45558</v>
      </c>
      <c r="C395" s="1" t="n">
        <v>46093</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48112-2024</t>
        </is>
      </c>
      <c r="B396" s="1" t="n">
        <v>45589.6295949074</v>
      </c>
      <c r="C396" s="1" t="n">
        <v>46093</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37141-2021</t>
        </is>
      </c>
      <c r="B397" s="1" t="n">
        <v>44396</v>
      </c>
      <c r="C397" s="1" t="n">
        <v>46093</v>
      </c>
      <c r="D397" t="inlineStr">
        <is>
          <t>SKÅNE LÄN</t>
        </is>
      </c>
      <c r="E397" t="inlineStr">
        <is>
          <t>HÄSSLEHOLM</t>
        </is>
      </c>
      <c r="G397" t="n">
        <v>12.8</v>
      </c>
      <c r="H397" t="n">
        <v>0</v>
      </c>
      <c r="I397" t="n">
        <v>0</v>
      </c>
      <c r="J397" t="n">
        <v>0</v>
      </c>
      <c r="K397" t="n">
        <v>0</v>
      </c>
      <c r="L397" t="n">
        <v>0</v>
      </c>
      <c r="M397" t="n">
        <v>0</v>
      </c>
      <c r="N397" t="n">
        <v>0</v>
      </c>
      <c r="O397" t="n">
        <v>0</v>
      </c>
      <c r="P397" t="n">
        <v>0</v>
      </c>
      <c r="Q397" t="n">
        <v>0</v>
      </c>
      <c r="R397" s="2" t="inlineStr"/>
    </row>
    <row r="398" ht="15" customHeight="1">
      <c r="A398" t="inlineStr">
        <is>
          <t>A 24246-2023</t>
        </is>
      </c>
      <c r="B398" s="1" t="n">
        <v>45079</v>
      </c>
      <c r="C398" s="1" t="n">
        <v>46093</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24249-2023</t>
        </is>
      </c>
      <c r="B399" s="1" t="n">
        <v>45079.62466435185</v>
      </c>
      <c r="C399" s="1" t="n">
        <v>46093</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52548-2023</t>
        </is>
      </c>
      <c r="B400" s="1" t="n">
        <v>45218</v>
      </c>
      <c r="C400" s="1" t="n">
        <v>46093</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41400-2025</t>
        </is>
      </c>
      <c r="B401" s="1" t="n">
        <v>45901</v>
      </c>
      <c r="C401" s="1" t="n">
        <v>46093</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45399-2022</t>
        </is>
      </c>
      <c r="B402" s="1" t="n">
        <v>44844.70513888889</v>
      </c>
      <c r="C402" s="1" t="n">
        <v>46093</v>
      </c>
      <c r="D402" t="inlineStr">
        <is>
          <t>SKÅNE LÄN</t>
        </is>
      </c>
      <c r="E402" t="inlineStr">
        <is>
          <t>HÄSSLEHOLM</t>
        </is>
      </c>
      <c r="G402" t="n">
        <v>0</v>
      </c>
      <c r="H402" t="n">
        <v>0</v>
      </c>
      <c r="I402" t="n">
        <v>0</v>
      </c>
      <c r="J402" t="n">
        <v>0</v>
      </c>
      <c r="K402" t="n">
        <v>0</v>
      </c>
      <c r="L402" t="n">
        <v>0</v>
      </c>
      <c r="M402" t="n">
        <v>0</v>
      </c>
      <c r="N402" t="n">
        <v>0</v>
      </c>
      <c r="O402" t="n">
        <v>0</v>
      </c>
      <c r="P402" t="n">
        <v>0</v>
      </c>
      <c r="Q402" t="n">
        <v>0</v>
      </c>
      <c r="R402" s="2" t="inlineStr"/>
    </row>
    <row r="403" ht="15" customHeight="1">
      <c r="A403" t="inlineStr">
        <is>
          <t>A 49379-2021</t>
        </is>
      </c>
      <c r="B403" s="1" t="n">
        <v>44454</v>
      </c>
      <c r="C403" s="1" t="n">
        <v>46093</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32881-2024</t>
        </is>
      </c>
      <c r="B404" s="1" t="n">
        <v>45516</v>
      </c>
      <c r="C404" s="1" t="n">
        <v>46093</v>
      </c>
      <c r="D404" t="inlineStr">
        <is>
          <t>SKÅNE LÄN</t>
        </is>
      </c>
      <c r="E404" t="inlineStr">
        <is>
          <t>HÄSSLEHOLM</t>
        </is>
      </c>
      <c r="G404" t="n">
        <v>6.3</v>
      </c>
      <c r="H404" t="n">
        <v>0</v>
      </c>
      <c r="I404" t="n">
        <v>0</v>
      </c>
      <c r="J404" t="n">
        <v>0</v>
      </c>
      <c r="K404" t="n">
        <v>0</v>
      </c>
      <c r="L404" t="n">
        <v>0</v>
      </c>
      <c r="M404" t="n">
        <v>0</v>
      </c>
      <c r="N404" t="n">
        <v>0</v>
      </c>
      <c r="O404" t="n">
        <v>0</v>
      </c>
      <c r="P404" t="n">
        <v>0</v>
      </c>
      <c r="Q404" t="n">
        <v>0</v>
      </c>
      <c r="R404" s="2" t="inlineStr"/>
    </row>
    <row r="405" ht="15" customHeight="1">
      <c r="A405" t="inlineStr">
        <is>
          <t>A 2743-2023</t>
        </is>
      </c>
      <c r="B405" s="1" t="n">
        <v>44944</v>
      </c>
      <c r="C405" s="1" t="n">
        <v>46093</v>
      </c>
      <c r="D405" t="inlineStr">
        <is>
          <t>SKÅNE LÄN</t>
        </is>
      </c>
      <c r="E405" t="inlineStr">
        <is>
          <t>HÄSSLEHOLM</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41401-2025</t>
        </is>
      </c>
      <c r="B406" s="1" t="n">
        <v>45901</v>
      </c>
      <c r="C406" s="1" t="n">
        <v>46093</v>
      </c>
      <c r="D406" t="inlineStr">
        <is>
          <t>SKÅNE LÄN</t>
        </is>
      </c>
      <c r="E406" t="inlineStr">
        <is>
          <t>HÄSSLEHOLM</t>
        </is>
      </c>
      <c r="G406" t="n">
        <v>0.4</v>
      </c>
      <c r="H406" t="n">
        <v>0</v>
      </c>
      <c r="I406" t="n">
        <v>0</v>
      </c>
      <c r="J406" t="n">
        <v>0</v>
      </c>
      <c r="K406" t="n">
        <v>0</v>
      </c>
      <c r="L406" t="n">
        <v>0</v>
      </c>
      <c r="M406" t="n">
        <v>0</v>
      </c>
      <c r="N406" t="n">
        <v>0</v>
      </c>
      <c r="O406" t="n">
        <v>0</v>
      </c>
      <c r="P406" t="n">
        <v>0</v>
      </c>
      <c r="Q406" t="n">
        <v>0</v>
      </c>
      <c r="R406" s="2" t="inlineStr"/>
    </row>
    <row r="407" ht="15" customHeight="1">
      <c r="A407" t="inlineStr">
        <is>
          <t>A 43696-2024</t>
        </is>
      </c>
      <c r="B407" s="1" t="n">
        <v>45569.58855324074</v>
      </c>
      <c r="C407" s="1" t="n">
        <v>46093</v>
      </c>
      <c r="D407" t="inlineStr">
        <is>
          <t>SKÅNE LÄN</t>
        </is>
      </c>
      <c r="E407" t="inlineStr">
        <is>
          <t>HÄSSLEHOLM</t>
        </is>
      </c>
      <c r="G407" t="n">
        <v>2.9</v>
      </c>
      <c r="H407" t="n">
        <v>0</v>
      </c>
      <c r="I407" t="n">
        <v>0</v>
      </c>
      <c r="J407" t="n">
        <v>0</v>
      </c>
      <c r="K407" t="n">
        <v>0</v>
      </c>
      <c r="L407" t="n">
        <v>0</v>
      </c>
      <c r="M407" t="n">
        <v>0</v>
      </c>
      <c r="N407" t="n">
        <v>0</v>
      </c>
      <c r="O407" t="n">
        <v>0</v>
      </c>
      <c r="P407" t="n">
        <v>0</v>
      </c>
      <c r="Q407" t="n">
        <v>0</v>
      </c>
      <c r="R407" s="2" t="inlineStr"/>
    </row>
    <row r="408" ht="15" customHeight="1">
      <c r="A408" t="inlineStr">
        <is>
          <t>A 12182-2025</t>
        </is>
      </c>
      <c r="B408" s="1" t="n">
        <v>45729</v>
      </c>
      <c r="C408" s="1" t="n">
        <v>46093</v>
      </c>
      <c r="D408" t="inlineStr">
        <is>
          <t>SKÅNE LÄN</t>
        </is>
      </c>
      <c r="E408" t="inlineStr">
        <is>
          <t>HÄSSLEHOLM</t>
        </is>
      </c>
      <c r="G408" t="n">
        <v>1.8</v>
      </c>
      <c r="H408" t="n">
        <v>0</v>
      </c>
      <c r="I408" t="n">
        <v>0</v>
      </c>
      <c r="J408" t="n">
        <v>0</v>
      </c>
      <c r="K408" t="n">
        <v>0</v>
      </c>
      <c r="L408" t="n">
        <v>0</v>
      </c>
      <c r="M408" t="n">
        <v>0</v>
      </c>
      <c r="N408" t="n">
        <v>0</v>
      </c>
      <c r="O408" t="n">
        <v>0</v>
      </c>
      <c r="P408" t="n">
        <v>0</v>
      </c>
      <c r="Q408" t="n">
        <v>0</v>
      </c>
      <c r="R408" s="2" t="inlineStr"/>
    </row>
    <row r="409" ht="15" customHeight="1">
      <c r="A409" t="inlineStr">
        <is>
          <t>A 20185-2023</t>
        </is>
      </c>
      <c r="B409" s="1" t="n">
        <v>45055.56795138889</v>
      </c>
      <c r="C409" s="1" t="n">
        <v>46093</v>
      </c>
      <c r="D409" t="inlineStr">
        <is>
          <t>SKÅNE LÄN</t>
        </is>
      </c>
      <c r="E409" t="inlineStr">
        <is>
          <t>HÄSSLEHOLM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36085-2025</t>
        </is>
      </c>
      <c r="B410" s="1" t="n">
        <v>45866.46190972222</v>
      </c>
      <c r="C410" s="1" t="n">
        <v>46093</v>
      </c>
      <c r="D410" t="inlineStr">
        <is>
          <t>SKÅNE LÄN</t>
        </is>
      </c>
      <c r="E410" t="inlineStr">
        <is>
          <t>HÄSSLEHOLM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38376-2022</t>
        </is>
      </c>
      <c r="B411" s="1" t="n">
        <v>44812</v>
      </c>
      <c r="C411" s="1" t="n">
        <v>46093</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62044-2022</t>
        </is>
      </c>
      <c r="B412" s="1" t="n">
        <v>44918.55976851852</v>
      </c>
      <c r="C412" s="1" t="n">
        <v>46093</v>
      </c>
      <c r="D412" t="inlineStr">
        <is>
          <t>SKÅNE LÄN</t>
        </is>
      </c>
      <c r="E412" t="inlineStr">
        <is>
          <t>HÄSSLEHOLM</t>
        </is>
      </c>
      <c r="G412" t="n">
        <v>2.1</v>
      </c>
      <c r="H412" t="n">
        <v>0</v>
      </c>
      <c r="I412" t="n">
        <v>0</v>
      </c>
      <c r="J412" t="n">
        <v>0</v>
      </c>
      <c r="K412" t="n">
        <v>0</v>
      </c>
      <c r="L412" t="n">
        <v>0</v>
      </c>
      <c r="M412" t="n">
        <v>0</v>
      </c>
      <c r="N412" t="n">
        <v>0</v>
      </c>
      <c r="O412" t="n">
        <v>0</v>
      </c>
      <c r="P412" t="n">
        <v>0</v>
      </c>
      <c r="Q412" t="n">
        <v>0</v>
      </c>
      <c r="R412" s="2" t="inlineStr"/>
    </row>
    <row r="413" ht="15" customHeight="1">
      <c r="A413" t="inlineStr">
        <is>
          <t>A 6164-2023</t>
        </is>
      </c>
      <c r="B413" s="1" t="n">
        <v>44964.66871527778</v>
      </c>
      <c r="C413" s="1" t="n">
        <v>46093</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37318-2024</t>
        </is>
      </c>
      <c r="B414" s="1" t="n">
        <v>45540</v>
      </c>
      <c r="C414" s="1" t="n">
        <v>46093</v>
      </c>
      <c r="D414" t="inlineStr">
        <is>
          <t>SKÅNE LÄN</t>
        </is>
      </c>
      <c r="E414" t="inlineStr">
        <is>
          <t>HÄSSLEHOLM</t>
        </is>
      </c>
      <c r="G414" t="n">
        <v>3.9</v>
      </c>
      <c r="H414" t="n">
        <v>0</v>
      </c>
      <c r="I414" t="n">
        <v>0</v>
      </c>
      <c r="J414" t="n">
        <v>0</v>
      </c>
      <c r="K414" t="n">
        <v>0</v>
      </c>
      <c r="L414" t="n">
        <v>0</v>
      </c>
      <c r="M414" t="n">
        <v>0</v>
      </c>
      <c r="N414" t="n">
        <v>0</v>
      </c>
      <c r="O414" t="n">
        <v>0</v>
      </c>
      <c r="P414" t="n">
        <v>0</v>
      </c>
      <c r="Q414" t="n">
        <v>0</v>
      </c>
      <c r="R414" s="2" t="inlineStr"/>
    </row>
    <row r="415" ht="15" customHeight="1">
      <c r="A415" t="inlineStr">
        <is>
          <t>A 18908-2023</t>
        </is>
      </c>
      <c r="B415" s="1" t="n">
        <v>45044</v>
      </c>
      <c r="C415" s="1" t="n">
        <v>46093</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58891-2022</t>
        </is>
      </c>
      <c r="B416" s="1" t="n">
        <v>44896</v>
      </c>
      <c r="C416" s="1" t="n">
        <v>46093</v>
      </c>
      <c r="D416" t="inlineStr">
        <is>
          <t>SKÅNE LÄN</t>
        </is>
      </c>
      <c r="E416" t="inlineStr">
        <is>
          <t>HÄSSLEHOLM</t>
        </is>
      </c>
      <c r="F416" t="inlineStr">
        <is>
          <t>Kyrkan</t>
        </is>
      </c>
      <c r="G416" t="n">
        <v>1.6</v>
      </c>
      <c r="H416" t="n">
        <v>0</v>
      </c>
      <c r="I416" t="n">
        <v>0</v>
      </c>
      <c r="J416" t="n">
        <v>0</v>
      </c>
      <c r="K416" t="n">
        <v>0</v>
      </c>
      <c r="L416" t="n">
        <v>0</v>
      </c>
      <c r="M416" t="n">
        <v>0</v>
      </c>
      <c r="N416" t="n">
        <v>0</v>
      </c>
      <c r="O416" t="n">
        <v>0</v>
      </c>
      <c r="P416" t="n">
        <v>0</v>
      </c>
      <c r="Q416" t="n">
        <v>0</v>
      </c>
      <c r="R416" s="2" t="inlineStr"/>
    </row>
    <row r="417" ht="15" customHeight="1">
      <c r="A417" t="inlineStr">
        <is>
          <t>A 37324-2024</t>
        </is>
      </c>
      <c r="B417" s="1" t="n">
        <v>45540.50104166667</v>
      </c>
      <c r="C417" s="1" t="n">
        <v>46093</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61436-2024</t>
        </is>
      </c>
      <c r="B418" s="1" t="n">
        <v>45646.46329861111</v>
      </c>
      <c r="C418" s="1" t="n">
        <v>46093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25176-2024</t>
        </is>
      </c>
      <c r="B419" s="1" t="n">
        <v>45462.54582175926</v>
      </c>
      <c r="C419" s="1" t="n">
        <v>46093</v>
      </c>
      <c r="D419" t="inlineStr">
        <is>
          <t>SKÅNE LÄN</t>
        </is>
      </c>
      <c r="E419" t="inlineStr">
        <is>
          <t>HÄSSLEHOLM</t>
        </is>
      </c>
      <c r="G419" t="n">
        <v>3.8</v>
      </c>
      <c r="H419" t="n">
        <v>0</v>
      </c>
      <c r="I419" t="n">
        <v>0</v>
      </c>
      <c r="J419" t="n">
        <v>0</v>
      </c>
      <c r="K419" t="n">
        <v>0</v>
      </c>
      <c r="L419" t="n">
        <v>0</v>
      </c>
      <c r="M419" t="n">
        <v>0</v>
      </c>
      <c r="N419" t="n">
        <v>0</v>
      </c>
      <c r="O419" t="n">
        <v>0</v>
      </c>
      <c r="P419" t="n">
        <v>0</v>
      </c>
      <c r="Q419" t="n">
        <v>0</v>
      </c>
      <c r="R419" s="2" t="inlineStr"/>
    </row>
    <row r="420" ht="15" customHeight="1">
      <c r="A420" t="inlineStr">
        <is>
          <t>A 3726-2024</t>
        </is>
      </c>
      <c r="B420" s="1" t="n">
        <v>45321</v>
      </c>
      <c r="C420" s="1" t="n">
        <v>46093</v>
      </c>
      <c r="D420" t="inlineStr">
        <is>
          <t>SKÅNE LÄN</t>
        </is>
      </c>
      <c r="E420" t="inlineStr">
        <is>
          <t>HÄSSLEHOLM</t>
        </is>
      </c>
      <c r="G420" t="n">
        <v>0.3</v>
      </c>
      <c r="H420" t="n">
        <v>0</v>
      </c>
      <c r="I420" t="n">
        <v>0</v>
      </c>
      <c r="J420" t="n">
        <v>0</v>
      </c>
      <c r="K420" t="n">
        <v>0</v>
      </c>
      <c r="L420" t="n">
        <v>0</v>
      </c>
      <c r="M420" t="n">
        <v>0</v>
      </c>
      <c r="N420" t="n">
        <v>0</v>
      </c>
      <c r="O420" t="n">
        <v>0</v>
      </c>
      <c r="P420" t="n">
        <v>0</v>
      </c>
      <c r="Q420" t="n">
        <v>0</v>
      </c>
      <c r="R420" s="2" t="inlineStr"/>
    </row>
    <row r="421" ht="15" customHeight="1">
      <c r="A421" t="inlineStr">
        <is>
          <t>A 39044-2024</t>
        </is>
      </c>
      <c r="B421" s="1" t="n">
        <v>45548.47707175926</v>
      </c>
      <c r="C421" s="1" t="n">
        <v>46093</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14255-2024</t>
        </is>
      </c>
      <c r="B422" s="1" t="n">
        <v>45393</v>
      </c>
      <c r="C422" s="1" t="n">
        <v>46093</v>
      </c>
      <c r="D422" t="inlineStr">
        <is>
          <t>SKÅNE LÄN</t>
        </is>
      </c>
      <c r="E422" t="inlineStr">
        <is>
          <t>HÄSSLEHOLM</t>
        </is>
      </c>
      <c r="G422" t="n">
        <v>11.9</v>
      </c>
      <c r="H422" t="n">
        <v>0</v>
      </c>
      <c r="I422" t="n">
        <v>0</v>
      </c>
      <c r="J422" t="n">
        <v>0</v>
      </c>
      <c r="K422" t="n">
        <v>0</v>
      </c>
      <c r="L422" t="n">
        <v>0</v>
      </c>
      <c r="M422" t="n">
        <v>0</v>
      </c>
      <c r="N422" t="n">
        <v>0</v>
      </c>
      <c r="O422" t="n">
        <v>0</v>
      </c>
      <c r="P422" t="n">
        <v>0</v>
      </c>
      <c r="Q422" t="n">
        <v>0</v>
      </c>
      <c r="R422" s="2" t="inlineStr"/>
    </row>
    <row r="423" ht="15" customHeight="1">
      <c r="A423" t="inlineStr">
        <is>
          <t>A 36130-2025</t>
        </is>
      </c>
      <c r="B423" s="1" t="n">
        <v>45866.62273148148</v>
      </c>
      <c r="C423" s="1" t="n">
        <v>46093</v>
      </c>
      <c r="D423" t="inlineStr">
        <is>
          <t>SKÅNE LÄN</t>
        </is>
      </c>
      <c r="E423" t="inlineStr">
        <is>
          <t>HÄSSLEHOLM</t>
        </is>
      </c>
      <c r="G423" t="n">
        <v>4.7</v>
      </c>
      <c r="H423" t="n">
        <v>0</v>
      </c>
      <c r="I423" t="n">
        <v>0</v>
      </c>
      <c r="J423" t="n">
        <v>0</v>
      </c>
      <c r="K423" t="n">
        <v>0</v>
      </c>
      <c r="L423" t="n">
        <v>0</v>
      </c>
      <c r="M423" t="n">
        <v>0</v>
      </c>
      <c r="N423" t="n">
        <v>0</v>
      </c>
      <c r="O423" t="n">
        <v>0</v>
      </c>
      <c r="P423" t="n">
        <v>0</v>
      </c>
      <c r="Q423" t="n">
        <v>0</v>
      </c>
      <c r="R423" s="2" t="inlineStr"/>
    </row>
    <row r="424" ht="15" customHeight="1">
      <c r="A424" t="inlineStr">
        <is>
          <t>A 20058-2023</t>
        </is>
      </c>
      <c r="B424" s="1" t="n">
        <v>45054.68476851852</v>
      </c>
      <c r="C424" s="1" t="n">
        <v>46093</v>
      </c>
      <c r="D424" t="inlineStr">
        <is>
          <t>SKÅNE LÄN</t>
        </is>
      </c>
      <c r="E424" t="inlineStr">
        <is>
          <t>HÄSSLEHOLM</t>
        </is>
      </c>
      <c r="G424" t="n">
        <v>1.4</v>
      </c>
      <c r="H424" t="n">
        <v>0</v>
      </c>
      <c r="I424" t="n">
        <v>0</v>
      </c>
      <c r="J424" t="n">
        <v>0</v>
      </c>
      <c r="K424" t="n">
        <v>0</v>
      </c>
      <c r="L424" t="n">
        <v>0</v>
      </c>
      <c r="M424" t="n">
        <v>0</v>
      </c>
      <c r="N424" t="n">
        <v>0</v>
      </c>
      <c r="O424" t="n">
        <v>0</v>
      </c>
      <c r="P424" t="n">
        <v>0</v>
      </c>
      <c r="Q424" t="n">
        <v>0</v>
      </c>
      <c r="R424" s="2" t="inlineStr"/>
    </row>
    <row r="425" ht="15" customHeight="1">
      <c r="A425" t="inlineStr">
        <is>
          <t>A 10897-2023</t>
        </is>
      </c>
      <c r="B425" s="1" t="n">
        <v>44985</v>
      </c>
      <c r="C425" s="1" t="n">
        <v>46093</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16108-2025</t>
        </is>
      </c>
      <c r="B426" s="1" t="n">
        <v>45750.34667824074</v>
      </c>
      <c r="C426" s="1" t="n">
        <v>46093</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54435-2024</t>
        </is>
      </c>
      <c r="B427" s="1" t="n">
        <v>45617.49494212963</v>
      </c>
      <c r="C427" s="1" t="n">
        <v>46093</v>
      </c>
      <c r="D427" t="inlineStr">
        <is>
          <t>SKÅNE LÄN</t>
        </is>
      </c>
      <c r="E427" t="inlineStr">
        <is>
          <t>HÄSSLEHOLM</t>
        </is>
      </c>
      <c r="G427" t="n">
        <v>2.3</v>
      </c>
      <c r="H427" t="n">
        <v>0</v>
      </c>
      <c r="I427" t="n">
        <v>0</v>
      </c>
      <c r="J427" t="n">
        <v>0</v>
      </c>
      <c r="K427" t="n">
        <v>0</v>
      </c>
      <c r="L427" t="n">
        <v>0</v>
      </c>
      <c r="M427" t="n">
        <v>0</v>
      </c>
      <c r="N427" t="n">
        <v>0</v>
      </c>
      <c r="O427" t="n">
        <v>0</v>
      </c>
      <c r="P427" t="n">
        <v>0</v>
      </c>
      <c r="Q427" t="n">
        <v>0</v>
      </c>
      <c r="R427" s="2" t="inlineStr"/>
    </row>
    <row r="428" ht="15" customHeight="1">
      <c r="A428" t="inlineStr">
        <is>
          <t>A 56986-2024</t>
        </is>
      </c>
      <c r="B428" s="1" t="n">
        <v>45626</v>
      </c>
      <c r="C428" s="1" t="n">
        <v>46093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720-2025</t>
        </is>
      </c>
      <c r="B429" s="1" t="n">
        <v>45665.3744212963</v>
      </c>
      <c r="C429" s="1" t="n">
        <v>46093</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49111-2023</t>
        </is>
      </c>
      <c r="B430" s="1" t="n">
        <v>45210.44464120371</v>
      </c>
      <c r="C430" s="1" t="n">
        <v>46093</v>
      </c>
      <c r="D430" t="inlineStr">
        <is>
          <t>SKÅNE LÄN</t>
        </is>
      </c>
      <c r="E430" t="inlineStr">
        <is>
          <t>HÄSSLEHOLM</t>
        </is>
      </c>
      <c r="G430" t="n">
        <v>0.2</v>
      </c>
      <c r="H430" t="n">
        <v>0</v>
      </c>
      <c r="I430" t="n">
        <v>0</v>
      </c>
      <c r="J430" t="n">
        <v>0</v>
      </c>
      <c r="K430" t="n">
        <v>0</v>
      </c>
      <c r="L430" t="n">
        <v>0</v>
      </c>
      <c r="M430" t="n">
        <v>0</v>
      </c>
      <c r="N430" t="n">
        <v>0</v>
      </c>
      <c r="O430" t="n">
        <v>0</v>
      </c>
      <c r="P430" t="n">
        <v>0</v>
      </c>
      <c r="Q430" t="n">
        <v>0</v>
      </c>
      <c r="R430" s="2" t="inlineStr"/>
    </row>
    <row r="431" ht="15" customHeight="1">
      <c r="A431" t="inlineStr">
        <is>
          <t>A 31581-2023</t>
        </is>
      </c>
      <c r="B431" s="1" t="n">
        <v>45117.45165509259</v>
      </c>
      <c r="C431" s="1" t="n">
        <v>46093</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42520-2025</t>
        </is>
      </c>
      <c r="B432" s="1" t="n">
        <v>45905.54846064815</v>
      </c>
      <c r="C432" s="1" t="n">
        <v>46093</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43333-2025</t>
        </is>
      </c>
      <c r="B433" s="1" t="n">
        <v>45910</v>
      </c>
      <c r="C433" s="1" t="n">
        <v>46093</v>
      </c>
      <c r="D433" t="inlineStr">
        <is>
          <t>SKÅNE LÄN</t>
        </is>
      </c>
      <c r="E433" t="inlineStr">
        <is>
          <t>HÄSSLEHOLM</t>
        </is>
      </c>
      <c r="G433" t="n">
        <v>10.1</v>
      </c>
      <c r="H433" t="n">
        <v>0</v>
      </c>
      <c r="I433" t="n">
        <v>0</v>
      </c>
      <c r="J433" t="n">
        <v>0</v>
      </c>
      <c r="K433" t="n">
        <v>0</v>
      </c>
      <c r="L433" t="n">
        <v>0</v>
      </c>
      <c r="M433" t="n">
        <v>0</v>
      </c>
      <c r="N433" t="n">
        <v>0</v>
      </c>
      <c r="O433" t="n">
        <v>0</v>
      </c>
      <c r="P433" t="n">
        <v>0</v>
      </c>
      <c r="Q433" t="n">
        <v>0</v>
      </c>
      <c r="R433" s="2" t="inlineStr"/>
    </row>
    <row r="434" ht="15" customHeight="1">
      <c r="A434" t="inlineStr">
        <is>
          <t>A 33597-2023</t>
        </is>
      </c>
      <c r="B434" s="1" t="n">
        <v>45132</v>
      </c>
      <c r="C434" s="1" t="n">
        <v>46093</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33599-2023</t>
        </is>
      </c>
      <c r="B435" s="1" t="n">
        <v>45132</v>
      </c>
      <c r="C435" s="1" t="n">
        <v>46093</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43332-2025</t>
        </is>
      </c>
      <c r="B436" s="1" t="n">
        <v>45910.70217592592</v>
      </c>
      <c r="C436" s="1" t="n">
        <v>46093</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34299-2024</t>
        </is>
      </c>
      <c r="B437" s="1" t="n">
        <v>45524</v>
      </c>
      <c r="C437" s="1" t="n">
        <v>46093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33938-2023</t>
        </is>
      </c>
      <c r="B438" s="1" t="n">
        <v>45124</v>
      </c>
      <c r="C438" s="1" t="n">
        <v>46093</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60846-2022</t>
        </is>
      </c>
      <c r="B439" s="1" t="n">
        <v>44914</v>
      </c>
      <c r="C439" s="1" t="n">
        <v>46093</v>
      </c>
      <c r="D439" t="inlineStr">
        <is>
          <t>SKÅNE LÄN</t>
        </is>
      </c>
      <c r="E439" t="inlineStr">
        <is>
          <t>HÄSSLEHOLM</t>
        </is>
      </c>
      <c r="G439" t="n">
        <v>2.1</v>
      </c>
      <c r="H439" t="n">
        <v>0</v>
      </c>
      <c r="I439" t="n">
        <v>0</v>
      </c>
      <c r="J439" t="n">
        <v>0</v>
      </c>
      <c r="K439" t="n">
        <v>0</v>
      </c>
      <c r="L439" t="n">
        <v>0</v>
      </c>
      <c r="M439" t="n">
        <v>0</v>
      </c>
      <c r="N439" t="n">
        <v>0</v>
      </c>
      <c r="O439" t="n">
        <v>0</v>
      </c>
      <c r="P439" t="n">
        <v>0</v>
      </c>
      <c r="Q439" t="n">
        <v>0</v>
      </c>
      <c r="R439" s="2" t="inlineStr"/>
    </row>
    <row r="440" ht="15" customHeight="1">
      <c r="A440" t="inlineStr">
        <is>
          <t>A 22693-2022</t>
        </is>
      </c>
      <c r="B440" s="1" t="n">
        <v>44714.54729166667</v>
      </c>
      <c r="C440" s="1" t="n">
        <v>46093</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35889-2023</t>
        </is>
      </c>
      <c r="B441" s="1" t="n">
        <v>45148</v>
      </c>
      <c r="C441" s="1" t="n">
        <v>46093</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35894-2023</t>
        </is>
      </c>
      <c r="B442" s="1" t="n">
        <v>45148</v>
      </c>
      <c r="C442" s="1" t="n">
        <v>46093</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54408-2024</t>
        </is>
      </c>
      <c r="B443" s="1" t="n">
        <v>45617.47263888889</v>
      </c>
      <c r="C443" s="1" t="n">
        <v>46093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43516-2025</t>
        </is>
      </c>
      <c r="B444" s="1" t="n">
        <v>45911</v>
      </c>
      <c r="C444" s="1" t="n">
        <v>46093</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19666-2025</t>
        </is>
      </c>
      <c r="B445" s="1" t="n">
        <v>45770.69326388889</v>
      </c>
      <c r="C445" s="1" t="n">
        <v>46093</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35974-2022</t>
        </is>
      </c>
      <c r="B446" s="1" t="n">
        <v>44802</v>
      </c>
      <c r="C446" s="1" t="n">
        <v>46093</v>
      </c>
      <c r="D446" t="inlineStr">
        <is>
          <t>SKÅNE LÄN</t>
        </is>
      </c>
      <c r="E446" t="inlineStr">
        <is>
          <t>HÄSSLEHOLM</t>
        </is>
      </c>
      <c r="G446" t="n">
        <v>3.8</v>
      </c>
      <c r="H446" t="n">
        <v>0</v>
      </c>
      <c r="I446" t="n">
        <v>0</v>
      </c>
      <c r="J446" t="n">
        <v>0</v>
      </c>
      <c r="K446" t="n">
        <v>0</v>
      </c>
      <c r="L446" t="n">
        <v>0</v>
      </c>
      <c r="M446" t="n">
        <v>0</v>
      </c>
      <c r="N446" t="n">
        <v>0</v>
      </c>
      <c r="O446" t="n">
        <v>0</v>
      </c>
      <c r="P446" t="n">
        <v>0</v>
      </c>
      <c r="Q446" t="n">
        <v>0</v>
      </c>
      <c r="R446" s="2" t="inlineStr"/>
    </row>
    <row r="447" ht="15" customHeight="1">
      <c r="A447" t="inlineStr">
        <is>
          <t>A 14008-2023</t>
        </is>
      </c>
      <c r="B447" s="1" t="n">
        <v>45008.56725694444</v>
      </c>
      <c r="C447" s="1" t="n">
        <v>46093</v>
      </c>
      <c r="D447" t="inlineStr">
        <is>
          <t>SKÅNE LÄN</t>
        </is>
      </c>
      <c r="E447" t="inlineStr">
        <is>
          <t>HÄSSLEHOLM</t>
        </is>
      </c>
      <c r="G447" t="n">
        <v>3.3</v>
      </c>
      <c r="H447" t="n">
        <v>0</v>
      </c>
      <c r="I447" t="n">
        <v>0</v>
      </c>
      <c r="J447" t="n">
        <v>0</v>
      </c>
      <c r="K447" t="n">
        <v>0</v>
      </c>
      <c r="L447" t="n">
        <v>0</v>
      </c>
      <c r="M447" t="n">
        <v>0</v>
      </c>
      <c r="N447" t="n">
        <v>0</v>
      </c>
      <c r="O447" t="n">
        <v>0</v>
      </c>
      <c r="P447" t="n">
        <v>0</v>
      </c>
      <c r="Q447" t="n">
        <v>0</v>
      </c>
      <c r="R447" s="2" t="inlineStr"/>
    </row>
    <row r="448" ht="15" customHeight="1">
      <c r="A448" t="inlineStr">
        <is>
          <t>A 20493-2024</t>
        </is>
      </c>
      <c r="B448" s="1" t="n">
        <v>45435</v>
      </c>
      <c r="C448" s="1" t="n">
        <v>46093</v>
      </c>
      <c r="D448" t="inlineStr">
        <is>
          <t>SKÅNE LÄN</t>
        </is>
      </c>
      <c r="E448" t="inlineStr">
        <is>
          <t>HÄSSLEHOLM</t>
        </is>
      </c>
      <c r="G448" t="n">
        <v>1.2</v>
      </c>
      <c r="H448" t="n">
        <v>0</v>
      </c>
      <c r="I448" t="n">
        <v>0</v>
      </c>
      <c r="J448" t="n">
        <v>0</v>
      </c>
      <c r="K448" t="n">
        <v>0</v>
      </c>
      <c r="L448" t="n">
        <v>0</v>
      </c>
      <c r="M448" t="n">
        <v>0</v>
      </c>
      <c r="N448" t="n">
        <v>0</v>
      </c>
      <c r="O448" t="n">
        <v>0</v>
      </c>
      <c r="P448" t="n">
        <v>0</v>
      </c>
      <c r="Q448" t="n">
        <v>0</v>
      </c>
      <c r="R448" s="2" t="inlineStr"/>
    </row>
    <row r="449" ht="15" customHeight="1">
      <c r="A449" t="inlineStr">
        <is>
          <t>A 13851-2025</t>
        </is>
      </c>
      <c r="B449" s="1" t="n">
        <v>45737.56777777777</v>
      </c>
      <c r="C449" s="1" t="n">
        <v>46093</v>
      </c>
      <c r="D449" t="inlineStr">
        <is>
          <t>SKÅNE LÄN</t>
        </is>
      </c>
      <c r="E449" t="inlineStr">
        <is>
          <t>HÄSSLEHOLM</t>
        </is>
      </c>
      <c r="G449" t="n">
        <v>3</v>
      </c>
      <c r="H449" t="n">
        <v>0</v>
      </c>
      <c r="I449" t="n">
        <v>0</v>
      </c>
      <c r="J449" t="n">
        <v>0</v>
      </c>
      <c r="K449" t="n">
        <v>0</v>
      </c>
      <c r="L449" t="n">
        <v>0</v>
      </c>
      <c r="M449" t="n">
        <v>0</v>
      </c>
      <c r="N449" t="n">
        <v>0</v>
      </c>
      <c r="O449" t="n">
        <v>0</v>
      </c>
      <c r="P449" t="n">
        <v>0</v>
      </c>
      <c r="Q449" t="n">
        <v>0</v>
      </c>
      <c r="R449" s="2" t="inlineStr"/>
    </row>
    <row r="450" ht="15" customHeight="1">
      <c r="A450" t="inlineStr">
        <is>
          <t>A 43738-2025</t>
        </is>
      </c>
      <c r="B450" s="1" t="n">
        <v>45912.45037037037</v>
      </c>
      <c r="C450" s="1" t="n">
        <v>46093</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43741-2025</t>
        </is>
      </c>
      <c r="B451" s="1" t="n">
        <v>45912.45541666666</v>
      </c>
      <c r="C451" s="1" t="n">
        <v>46093</v>
      </c>
      <c r="D451" t="inlineStr">
        <is>
          <t>SKÅNE LÄN</t>
        </is>
      </c>
      <c r="E451" t="inlineStr">
        <is>
          <t>HÄSSLEHOLM</t>
        </is>
      </c>
      <c r="G451" t="n">
        <v>4.3</v>
      </c>
      <c r="H451" t="n">
        <v>0</v>
      </c>
      <c r="I451" t="n">
        <v>0</v>
      </c>
      <c r="J451" t="n">
        <v>0</v>
      </c>
      <c r="K451" t="n">
        <v>0</v>
      </c>
      <c r="L451" t="n">
        <v>0</v>
      </c>
      <c r="M451" t="n">
        <v>0</v>
      </c>
      <c r="N451" t="n">
        <v>0</v>
      </c>
      <c r="O451" t="n">
        <v>0</v>
      </c>
      <c r="P451" t="n">
        <v>0</v>
      </c>
      <c r="Q451" t="n">
        <v>0</v>
      </c>
      <c r="R451" s="2" t="inlineStr"/>
    </row>
    <row r="452" ht="15" customHeight="1">
      <c r="A452" t="inlineStr">
        <is>
          <t>A 24906-2022</t>
        </is>
      </c>
      <c r="B452" s="1" t="n">
        <v>44728</v>
      </c>
      <c r="C452" s="1" t="n">
        <v>46093</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7150-2025</t>
        </is>
      </c>
      <c r="B453" s="1" t="n">
        <v>45702.38239583333</v>
      </c>
      <c r="C453" s="1" t="n">
        <v>46093</v>
      </c>
      <c r="D453" t="inlineStr">
        <is>
          <t>SKÅNE LÄN</t>
        </is>
      </c>
      <c r="E453" t="inlineStr">
        <is>
          <t>HÄSSLEHOLM</t>
        </is>
      </c>
      <c r="G453" t="n">
        <v>2.3</v>
      </c>
      <c r="H453" t="n">
        <v>0</v>
      </c>
      <c r="I453" t="n">
        <v>0</v>
      </c>
      <c r="J453" t="n">
        <v>0</v>
      </c>
      <c r="K453" t="n">
        <v>0</v>
      </c>
      <c r="L453" t="n">
        <v>0</v>
      </c>
      <c r="M453" t="n">
        <v>0</v>
      </c>
      <c r="N453" t="n">
        <v>0</v>
      </c>
      <c r="O453" t="n">
        <v>0</v>
      </c>
      <c r="P453" t="n">
        <v>0</v>
      </c>
      <c r="Q453" t="n">
        <v>0</v>
      </c>
      <c r="R453" s="2" t="inlineStr"/>
    </row>
    <row r="454" ht="15" customHeight="1">
      <c r="A454" t="inlineStr">
        <is>
          <t>A 55303-2024</t>
        </is>
      </c>
      <c r="B454" s="1" t="n">
        <v>45621.6434837963</v>
      </c>
      <c r="C454" s="1" t="n">
        <v>46093</v>
      </c>
      <c r="D454" t="inlineStr">
        <is>
          <t>SKÅNE LÄN</t>
        </is>
      </c>
      <c r="E454" t="inlineStr">
        <is>
          <t>HÄSSLEHOLM</t>
        </is>
      </c>
      <c r="G454" t="n">
        <v>3.3</v>
      </c>
      <c r="H454" t="n">
        <v>0</v>
      </c>
      <c r="I454" t="n">
        <v>0</v>
      </c>
      <c r="J454" t="n">
        <v>0</v>
      </c>
      <c r="K454" t="n">
        <v>0</v>
      </c>
      <c r="L454" t="n">
        <v>0</v>
      </c>
      <c r="M454" t="n">
        <v>0</v>
      </c>
      <c r="N454" t="n">
        <v>0</v>
      </c>
      <c r="O454" t="n">
        <v>0</v>
      </c>
      <c r="P454" t="n">
        <v>0</v>
      </c>
      <c r="Q454" t="n">
        <v>0</v>
      </c>
      <c r="R454" s="2" t="inlineStr"/>
    </row>
    <row r="455" ht="15" customHeight="1">
      <c r="A455" t="inlineStr">
        <is>
          <t>A 41874-2024</t>
        </is>
      </c>
      <c r="B455" s="1" t="n">
        <v>45561</v>
      </c>
      <c r="C455" s="1" t="n">
        <v>46093</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16397-2022</t>
        </is>
      </c>
      <c r="B456" s="1" t="n">
        <v>44671</v>
      </c>
      <c r="C456" s="1" t="n">
        <v>46093</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16398-2022</t>
        </is>
      </c>
      <c r="B457" s="1" t="n">
        <v>44671</v>
      </c>
      <c r="C457" s="1" t="n">
        <v>46093</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11798-2022</t>
        </is>
      </c>
      <c r="B458" s="1" t="n">
        <v>44634.64900462963</v>
      </c>
      <c r="C458" s="1" t="n">
        <v>46093</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36361-2025</t>
        </is>
      </c>
      <c r="B459" s="1" t="n">
        <v>45867</v>
      </c>
      <c r="C459" s="1" t="n">
        <v>46093</v>
      </c>
      <c r="D459" t="inlineStr">
        <is>
          <t>SKÅNE LÄN</t>
        </is>
      </c>
      <c r="E459" t="inlineStr">
        <is>
          <t>HÄSSLEHOLM</t>
        </is>
      </c>
      <c r="G459" t="n">
        <v>1.1</v>
      </c>
      <c r="H459" t="n">
        <v>0</v>
      </c>
      <c r="I459" t="n">
        <v>0</v>
      </c>
      <c r="J459" t="n">
        <v>0</v>
      </c>
      <c r="K459" t="n">
        <v>0</v>
      </c>
      <c r="L459" t="n">
        <v>0</v>
      </c>
      <c r="M459" t="n">
        <v>0</v>
      </c>
      <c r="N459" t="n">
        <v>0</v>
      </c>
      <c r="O459" t="n">
        <v>0</v>
      </c>
      <c r="P459" t="n">
        <v>0</v>
      </c>
      <c r="Q459" t="n">
        <v>0</v>
      </c>
      <c r="R459" s="2" t="inlineStr"/>
    </row>
    <row r="460" ht="15" customHeight="1">
      <c r="A460" t="inlineStr">
        <is>
          <t>A 13890-2024</t>
        </is>
      </c>
      <c r="B460" s="1" t="n">
        <v>45391</v>
      </c>
      <c r="C460" s="1" t="n">
        <v>46093</v>
      </c>
      <c r="D460" t="inlineStr">
        <is>
          <t>SKÅNE LÄN</t>
        </is>
      </c>
      <c r="E460" t="inlineStr">
        <is>
          <t>HÄSSLEHOLM</t>
        </is>
      </c>
      <c r="F460" t="inlineStr">
        <is>
          <t>Kommuner</t>
        </is>
      </c>
      <c r="G460" t="n">
        <v>1.4</v>
      </c>
      <c r="H460" t="n">
        <v>0</v>
      </c>
      <c r="I460" t="n">
        <v>0</v>
      </c>
      <c r="J460" t="n">
        <v>0</v>
      </c>
      <c r="K460" t="n">
        <v>0</v>
      </c>
      <c r="L460" t="n">
        <v>0</v>
      </c>
      <c r="M460" t="n">
        <v>0</v>
      </c>
      <c r="N460" t="n">
        <v>0</v>
      </c>
      <c r="O460" t="n">
        <v>0</v>
      </c>
      <c r="P460" t="n">
        <v>0</v>
      </c>
      <c r="Q460" t="n">
        <v>0</v>
      </c>
      <c r="R460" s="2" t="inlineStr"/>
    </row>
    <row r="461" ht="15" customHeight="1">
      <c r="A461" t="inlineStr">
        <is>
          <t>A 39223-2024</t>
        </is>
      </c>
      <c r="B461" s="1" t="n">
        <v>45550</v>
      </c>
      <c r="C461" s="1" t="n">
        <v>46093</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43869-2025</t>
        </is>
      </c>
      <c r="B462" s="1" t="n">
        <v>45912.66452546296</v>
      </c>
      <c r="C462" s="1" t="n">
        <v>46093</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59434-2023</t>
        </is>
      </c>
      <c r="B463" s="1" t="n">
        <v>45254.30440972222</v>
      </c>
      <c r="C463" s="1" t="n">
        <v>46093</v>
      </c>
      <c r="D463" t="inlineStr">
        <is>
          <t>SKÅNE LÄN</t>
        </is>
      </c>
      <c r="E463" t="inlineStr">
        <is>
          <t>HÄSSLEHOLM</t>
        </is>
      </c>
      <c r="G463" t="n">
        <v>3.6</v>
      </c>
      <c r="H463" t="n">
        <v>0</v>
      </c>
      <c r="I463" t="n">
        <v>0</v>
      </c>
      <c r="J463" t="n">
        <v>0</v>
      </c>
      <c r="K463" t="n">
        <v>0</v>
      </c>
      <c r="L463" t="n">
        <v>0</v>
      </c>
      <c r="M463" t="n">
        <v>0</v>
      </c>
      <c r="N463" t="n">
        <v>0</v>
      </c>
      <c r="O463" t="n">
        <v>0</v>
      </c>
      <c r="P463" t="n">
        <v>0</v>
      </c>
      <c r="Q463" t="n">
        <v>0</v>
      </c>
      <c r="R463" s="2" t="inlineStr"/>
    </row>
    <row r="464" ht="15" customHeight="1">
      <c r="A464" t="inlineStr">
        <is>
          <t>A 13932-2023</t>
        </is>
      </c>
      <c r="B464" s="1" t="n">
        <v>45008.43935185186</v>
      </c>
      <c r="C464" s="1" t="n">
        <v>46093</v>
      </c>
      <c r="D464" t="inlineStr">
        <is>
          <t>SKÅNE LÄN</t>
        </is>
      </c>
      <c r="E464" t="inlineStr">
        <is>
          <t>HÄSSLEHOLM</t>
        </is>
      </c>
      <c r="G464" t="n">
        <v>3.3</v>
      </c>
      <c r="H464" t="n">
        <v>0</v>
      </c>
      <c r="I464" t="n">
        <v>0</v>
      </c>
      <c r="J464" t="n">
        <v>0</v>
      </c>
      <c r="K464" t="n">
        <v>0</v>
      </c>
      <c r="L464" t="n">
        <v>0</v>
      </c>
      <c r="M464" t="n">
        <v>0</v>
      </c>
      <c r="N464" t="n">
        <v>0</v>
      </c>
      <c r="O464" t="n">
        <v>0</v>
      </c>
      <c r="P464" t="n">
        <v>0</v>
      </c>
      <c r="Q464" t="n">
        <v>0</v>
      </c>
      <c r="R464" s="2" t="inlineStr"/>
    </row>
    <row r="465" ht="15" customHeight="1">
      <c r="A465" t="inlineStr">
        <is>
          <t>A 17138-2025</t>
        </is>
      </c>
      <c r="B465" s="1" t="n">
        <v>45755.80378472222</v>
      </c>
      <c r="C465" s="1" t="n">
        <v>46093</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15512-2025</t>
        </is>
      </c>
      <c r="B466" s="1" t="n">
        <v>45747</v>
      </c>
      <c r="C466" s="1" t="n">
        <v>46093</v>
      </c>
      <c r="D466" t="inlineStr">
        <is>
          <t>SKÅNE LÄN</t>
        </is>
      </c>
      <c r="E466" t="inlineStr">
        <is>
          <t>HÄSSLEHOLM</t>
        </is>
      </c>
      <c r="G466" t="n">
        <v>3.5</v>
      </c>
      <c r="H466" t="n">
        <v>0</v>
      </c>
      <c r="I466" t="n">
        <v>0</v>
      </c>
      <c r="J466" t="n">
        <v>0</v>
      </c>
      <c r="K466" t="n">
        <v>0</v>
      </c>
      <c r="L466" t="n">
        <v>0</v>
      </c>
      <c r="M466" t="n">
        <v>0</v>
      </c>
      <c r="N466" t="n">
        <v>0</v>
      </c>
      <c r="O466" t="n">
        <v>0</v>
      </c>
      <c r="P466" t="n">
        <v>0</v>
      </c>
      <c r="Q466" t="n">
        <v>0</v>
      </c>
      <c r="R466" s="2" t="inlineStr"/>
    </row>
    <row r="467" ht="15" customHeight="1">
      <c r="A467" t="inlineStr">
        <is>
          <t>A 14700-2023</t>
        </is>
      </c>
      <c r="B467" s="1" t="n">
        <v>45014.38376157408</v>
      </c>
      <c r="C467" s="1" t="n">
        <v>46093</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3531-2023</t>
        </is>
      </c>
      <c r="B468" s="1" t="n">
        <v>44950</v>
      </c>
      <c r="C468" s="1" t="n">
        <v>46093</v>
      </c>
      <c r="D468" t="inlineStr">
        <is>
          <t>SKÅNE LÄN</t>
        </is>
      </c>
      <c r="E468" t="inlineStr">
        <is>
          <t>HÄSSLEHOLM</t>
        </is>
      </c>
      <c r="G468" t="n">
        <v>10.1</v>
      </c>
      <c r="H468" t="n">
        <v>0</v>
      </c>
      <c r="I468" t="n">
        <v>0</v>
      </c>
      <c r="J468" t="n">
        <v>0</v>
      </c>
      <c r="K468" t="n">
        <v>0</v>
      </c>
      <c r="L468" t="n">
        <v>0</v>
      </c>
      <c r="M468" t="n">
        <v>0</v>
      </c>
      <c r="N468" t="n">
        <v>0</v>
      </c>
      <c r="O468" t="n">
        <v>0</v>
      </c>
      <c r="P468" t="n">
        <v>0</v>
      </c>
      <c r="Q468" t="n">
        <v>0</v>
      </c>
      <c r="R468" s="2" t="inlineStr"/>
    </row>
    <row r="469" ht="15" customHeight="1">
      <c r="A469" t="inlineStr">
        <is>
          <t>A 44330-2025</t>
        </is>
      </c>
      <c r="B469" s="1" t="n">
        <v>45916.42120370371</v>
      </c>
      <c r="C469" s="1" t="n">
        <v>46093</v>
      </c>
      <c r="D469" t="inlineStr">
        <is>
          <t>SKÅNE LÄN</t>
        </is>
      </c>
      <c r="E469" t="inlineStr">
        <is>
          <t>HÄSSLEHOLM</t>
        </is>
      </c>
      <c r="G469" t="n">
        <v>2.7</v>
      </c>
      <c r="H469" t="n">
        <v>0</v>
      </c>
      <c r="I469" t="n">
        <v>0</v>
      </c>
      <c r="J469" t="n">
        <v>0</v>
      </c>
      <c r="K469" t="n">
        <v>0</v>
      </c>
      <c r="L469" t="n">
        <v>0</v>
      </c>
      <c r="M469" t="n">
        <v>0</v>
      </c>
      <c r="N469" t="n">
        <v>0</v>
      </c>
      <c r="O469" t="n">
        <v>0</v>
      </c>
      <c r="P469" t="n">
        <v>0</v>
      </c>
      <c r="Q469" t="n">
        <v>0</v>
      </c>
      <c r="R469" s="2" t="inlineStr"/>
    </row>
    <row r="470" ht="15" customHeight="1">
      <c r="A470" t="inlineStr">
        <is>
          <t>A 44523-2025</t>
        </is>
      </c>
      <c r="B470" s="1" t="n">
        <v>45916</v>
      </c>
      <c r="C470" s="1" t="n">
        <v>46093</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55284-2023</t>
        </is>
      </c>
      <c r="B471" s="1" t="n">
        <v>45237.74259259259</v>
      </c>
      <c r="C471" s="1" t="n">
        <v>46093</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4579-2025</t>
        </is>
      </c>
      <c r="B472" s="1" t="n">
        <v>45687.5009375</v>
      </c>
      <c r="C472" s="1" t="n">
        <v>46093</v>
      </c>
      <c r="D472" t="inlineStr">
        <is>
          <t>SKÅNE LÄN</t>
        </is>
      </c>
      <c r="E472" t="inlineStr">
        <is>
          <t>HÄSSLEHOLM</t>
        </is>
      </c>
      <c r="G472" t="n">
        <v>2.8</v>
      </c>
      <c r="H472" t="n">
        <v>0</v>
      </c>
      <c r="I472" t="n">
        <v>0</v>
      </c>
      <c r="J472" t="n">
        <v>0</v>
      </c>
      <c r="K472" t="n">
        <v>0</v>
      </c>
      <c r="L472" t="n">
        <v>0</v>
      </c>
      <c r="M472" t="n">
        <v>0</v>
      </c>
      <c r="N472" t="n">
        <v>0</v>
      </c>
      <c r="O472" t="n">
        <v>0</v>
      </c>
      <c r="P472" t="n">
        <v>0</v>
      </c>
      <c r="Q472" t="n">
        <v>0</v>
      </c>
      <c r="R472" s="2" t="inlineStr"/>
    </row>
    <row r="473" ht="15" customHeight="1">
      <c r="A473" t="inlineStr">
        <is>
          <t>A 22384-2024</t>
        </is>
      </c>
      <c r="B473" s="1" t="n">
        <v>45446.65592592592</v>
      </c>
      <c r="C473" s="1" t="n">
        <v>46093</v>
      </c>
      <c r="D473" t="inlineStr">
        <is>
          <t>SKÅNE LÄN</t>
        </is>
      </c>
      <c r="E473" t="inlineStr">
        <is>
          <t>HÄSSLEHOLM</t>
        </is>
      </c>
      <c r="G473" t="n">
        <v>2.4</v>
      </c>
      <c r="H473" t="n">
        <v>0</v>
      </c>
      <c r="I473" t="n">
        <v>0</v>
      </c>
      <c r="J473" t="n">
        <v>0</v>
      </c>
      <c r="K473" t="n">
        <v>0</v>
      </c>
      <c r="L473" t="n">
        <v>0</v>
      </c>
      <c r="M473" t="n">
        <v>0</v>
      </c>
      <c r="N473" t="n">
        <v>0</v>
      </c>
      <c r="O473" t="n">
        <v>0</v>
      </c>
      <c r="P473" t="n">
        <v>0</v>
      </c>
      <c r="Q473" t="n">
        <v>0</v>
      </c>
      <c r="R473" s="2" t="inlineStr"/>
    </row>
    <row r="474" ht="15" customHeight="1">
      <c r="A474" t="inlineStr">
        <is>
          <t>A 18623-2023</t>
        </is>
      </c>
      <c r="B474" s="1" t="n">
        <v>45043</v>
      </c>
      <c r="C474" s="1" t="n">
        <v>46093</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10115-2024</t>
        </is>
      </c>
      <c r="B475" s="1" t="n">
        <v>45364.55339120371</v>
      </c>
      <c r="C475" s="1" t="n">
        <v>46093</v>
      </c>
      <c r="D475" t="inlineStr">
        <is>
          <t>SKÅNE LÄN</t>
        </is>
      </c>
      <c r="E475" t="inlineStr">
        <is>
          <t>HÄSSLEHOLM</t>
        </is>
      </c>
      <c r="G475" t="n">
        <v>7</v>
      </c>
      <c r="H475" t="n">
        <v>0</v>
      </c>
      <c r="I475" t="n">
        <v>0</v>
      </c>
      <c r="J475" t="n">
        <v>0</v>
      </c>
      <c r="K475" t="n">
        <v>0</v>
      </c>
      <c r="L475" t="n">
        <v>0</v>
      </c>
      <c r="M475" t="n">
        <v>0</v>
      </c>
      <c r="N475" t="n">
        <v>0</v>
      </c>
      <c r="O475" t="n">
        <v>0</v>
      </c>
      <c r="P475" t="n">
        <v>0</v>
      </c>
      <c r="Q475" t="n">
        <v>0</v>
      </c>
      <c r="R475" s="2" t="inlineStr"/>
    </row>
    <row r="476" ht="15" customHeight="1">
      <c r="A476" t="inlineStr">
        <is>
          <t>A 44515-2025</t>
        </is>
      </c>
      <c r="B476" s="1" t="n">
        <v>45916.7062037037</v>
      </c>
      <c r="C476" s="1" t="n">
        <v>46093</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3663-2024</t>
        </is>
      </c>
      <c r="B477" s="1" t="n">
        <v>45321.34775462963</v>
      </c>
      <c r="C477" s="1" t="n">
        <v>46093</v>
      </c>
      <c r="D477" t="inlineStr">
        <is>
          <t>SKÅNE LÄN</t>
        </is>
      </c>
      <c r="E477" t="inlineStr">
        <is>
          <t>HÄSSLEHOLM</t>
        </is>
      </c>
      <c r="G477" t="n">
        <v>0.4</v>
      </c>
      <c r="H477" t="n">
        <v>0</v>
      </c>
      <c r="I477" t="n">
        <v>0</v>
      </c>
      <c r="J477" t="n">
        <v>0</v>
      </c>
      <c r="K477" t="n">
        <v>0</v>
      </c>
      <c r="L477" t="n">
        <v>0</v>
      </c>
      <c r="M477" t="n">
        <v>0</v>
      </c>
      <c r="N477" t="n">
        <v>0</v>
      </c>
      <c r="O477" t="n">
        <v>0</v>
      </c>
      <c r="P477" t="n">
        <v>0</v>
      </c>
      <c r="Q477" t="n">
        <v>0</v>
      </c>
      <c r="R477" s="2" t="inlineStr"/>
    </row>
    <row r="478" ht="15" customHeight="1">
      <c r="A478" t="inlineStr">
        <is>
          <t>A 36358-2025</t>
        </is>
      </c>
      <c r="B478" s="1" t="n">
        <v>45867</v>
      </c>
      <c r="C478" s="1" t="n">
        <v>46093</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67801-2021</t>
        </is>
      </c>
      <c r="B479" s="1" t="n">
        <v>44525</v>
      </c>
      <c r="C479" s="1" t="n">
        <v>46093</v>
      </c>
      <c r="D479" t="inlineStr">
        <is>
          <t>SKÅNE LÄN</t>
        </is>
      </c>
      <c r="E479" t="inlineStr">
        <is>
          <t>HÄSSLEHOLM</t>
        </is>
      </c>
      <c r="G479" t="n">
        <v>2.2</v>
      </c>
      <c r="H479" t="n">
        <v>0</v>
      </c>
      <c r="I479" t="n">
        <v>0</v>
      </c>
      <c r="J479" t="n">
        <v>0</v>
      </c>
      <c r="K479" t="n">
        <v>0</v>
      </c>
      <c r="L479" t="n">
        <v>0</v>
      </c>
      <c r="M479" t="n">
        <v>0</v>
      </c>
      <c r="N479" t="n">
        <v>0</v>
      </c>
      <c r="O479" t="n">
        <v>0</v>
      </c>
      <c r="P479" t="n">
        <v>0</v>
      </c>
      <c r="Q479" t="n">
        <v>0</v>
      </c>
      <c r="R479" s="2" t="inlineStr"/>
    </row>
    <row r="480" ht="15" customHeight="1">
      <c r="A480" t="inlineStr">
        <is>
          <t>A 36359-2025</t>
        </is>
      </c>
      <c r="B480" s="1" t="n">
        <v>45867</v>
      </c>
      <c r="C480" s="1" t="n">
        <v>46093</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36259-2025</t>
        </is>
      </c>
      <c r="B481" s="1" t="n">
        <v>45867.59799768519</v>
      </c>
      <c r="C481" s="1" t="n">
        <v>46093</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45398-2024</t>
        </is>
      </c>
      <c r="B482" s="1" t="n">
        <v>45576.56260416667</v>
      </c>
      <c r="C482" s="1" t="n">
        <v>46093</v>
      </c>
      <c r="D482" t="inlineStr">
        <is>
          <t>SKÅNE LÄN</t>
        </is>
      </c>
      <c r="E482" t="inlineStr">
        <is>
          <t>HÄSSLEHOLM</t>
        </is>
      </c>
      <c r="G482" t="n">
        <v>4.2</v>
      </c>
      <c r="H482" t="n">
        <v>0</v>
      </c>
      <c r="I482" t="n">
        <v>0</v>
      </c>
      <c r="J482" t="n">
        <v>0</v>
      </c>
      <c r="K482" t="n">
        <v>0</v>
      </c>
      <c r="L482" t="n">
        <v>0</v>
      </c>
      <c r="M482" t="n">
        <v>0</v>
      </c>
      <c r="N482" t="n">
        <v>0</v>
      </c>
      <c r="O482" t="n">
        <v>0</v>
      </c>
      <c r="P482" t="n">
        <v>0</v>
      </c>
      <c r="Q482" t="n">
        <v>0</v>
      </c>
      <c r="R482" s="2" t="inlineStr"/>
    </row>
    <row r="483" ht="15" customHeight="1">
      <c r="A483" t="inlineStr">
        <is>
          <t>A 4809-2025</t>
        </is>
      </c>
      <c r="B483" s="1" t="n">
        <v>45688.60148148148</v>
      </c>
      <c r="C483" s="1" t="n">
        <v>46093</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59030-2024</t>
        </is>
      </c>
      <c r="B484" s="1" t="n">
        <v>45636.68916666666</v>
      </c>
      <c r="C484" s="1" t="n">
        <v>46093</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46641-2023</t>
        </is>
      </c>
      <c r="B485" s="1" t="n">
        <v>45198.44523148148</v>
      </c>
      <c r="C485" s="1" t="n">
        <v>46093</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46645-2023</t>
        </is>
      </c>
      <c r="B486" s="1" t="n">
        <v>45198.44686342592</v>
      </c>
      <c r="C486" s="1" t="n">
        <v>46093</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44624-2025</t>
        </is>
      </c>
      <c r="B487" s="1" t="n">
        <v>45917.47152777778</v>
      </c>
      <c r="C487" s="1" t="n">
        <v>46093</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44611-2025</t>
        </is>
      </c>
      <c r="B488" s="1" t="n">
        <v>45917.45109953704</v>
      </c>
      <c r="C488" s="1" t="n">
        <v>46093</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45084-2025</t>
        </is>
      </c>
      <c r="B489" s="1" t="n">
        <v>45918</v>
      </c>
      <c r="C489" s="1" t="n">
        <v>46093</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59556-2023</t>
        </is>
      </c>
      <c r="B490" s="1" t="n">
        <v>45254.56313657408</v>
      </c>
      <c r="C490" s="1" t="n">
        <v>46093</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7481-2023</t>
        </is>
      </c>
      <c r="B491" s="1" t="n">
        <v>44971</v>
      </c>
      <c r="C491" s="1" t="n">
        <v>46093</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44616-2025</t>
        </is>
      </c>
      <c r="B492" s="1" t="n">
        <v>45917.45572916666</v>
      </c>
      <c r="C492" s="1" t="n">
        <v>46093</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44614-2025</t>
        </is>
      </c>
      <c r="B493" s="1" t="n">
        <v>45917.45422453704</v>
      </c>
      <c r="C493" s="1" t="n">
        <v>46093</v>
      </c>
      <c r="D493" t="inlineStr">
        <is>
          <t>SKÅNE LÄN</t>
        </is>
      </c>
      <c r="E493" t="inlineStr">
        <is>
          <t>HÄSSLEHOLM</t>
        </is>
      </c>
      <c r="G493" t="n">
        <v>5.4</v>
      </c>
      <c r="H493" t="n">
        <v>0</v>
      </c>
      <c r="I493" t="n">
        <v>0</v>
      </c>
      <c r="J493" t="n">
        <v>0</v>
      </c>
      <c r="K493" t="n">
        <v>0</v>
      </c>
      <c r="L493" t="n">
        <v>0</v>
      </c>
      <c r="M493" t="n">
        <v>0</v>
      </c>
      <c r="N493" t="n">
        <v>0</v>
      </c>
      <c r="O493" t="n">
        <v>0</v>
      </c>
      <c r="P493" t="n">
        <v>0</v>
      </c>
      <c r="Q493" t="n">
        <v>0</v>
      </c>
      <c r="R493" s="2" t="inlineStr"/>
    </row>
    <row r="494" ht="15" customHeight="1">
      <c r="A494" t="inlineStr">
        <is>
          <t>A 35150-2023</t>
        </is>
      </c>
      <c r="B494" s="1" t="n">
        <v>45145</v>
      </c>
      <c r="C494" s="1" t="n">
        <v>46093</v>
      </c>
      <c r="D494" t="inlineStr">
        <is>
          <t>SKÅNE LÄN</t>
        </is>
      </c>
      <c r="E494" t="inlineStr">
        <is>
          <t>HÄSSLEHOLM</t>
        </is>
      </c>
      <c r="G494" t="n">
        <v>4.9</v>
      </c>
      <c r="H494" t="n">
        <v>0</v>
      </c>
      <c r="I494" t="n">
        <v>0</v>
      </c>
      <c r="J494" t="n">
        <v>0</v>
      </c>
      <c r="K494" t="n">
        <v>0</v>
      </c>
      <c r="L494" t="n">
        <v>0</v>
      </c>
      <c r="M494" t="n">
        <v>0</v>
      </c>
      <c r="N494" t="n">
        <v>0</v>
      </c>
      <c r="O494" t="n">
        <v>0</v>
      </c>
      <c r="P494" t="n">
        <v>0</v>
      </c>
      <c r="Q494" t="n">
        <v>0</v>
      </c>
      <c r="R494" s="2" t="inlineStr"/>
    </row>
    <row r="495" ht="15" customHeight="1">
      <c r="A495" t="inlineStr">
        <is>
          <t>A 9543-2025</t>
        </is>
      </c>
      <c r="B495" s="1" t="n">
        <v>45715</v>
      </c>
      <c r="C495" s="1" t="n">
        <v>46093</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45495-2025</t>
        </is>
      </c>
      <c r="B496" s="1" t="n">
        <v>45922.56369212963</v>
      </c>
      <c r="C496" s="1" t="n">
        <v>46093</v>
      </c>
      <c r="D496" t="inlineStr">
        <is>
          <t>SKÅNE LÄN</t>
        </is>
      </c>
      <c r="E496" t="inlineStr">
        <is>
          <t>HÄSSLEHOLM</t>
        </is>
      </c>
      <c r="G496" t="n">
        <v>1.8</v>
      </c>
      <c r="H496" t="n">
        <v>0</v>
      </c>
      <c r="I496" t="n">
        <v>0</v>
      </c>
      <c r="J496" t="n">
        <v>0</v>
      </c>
      <c r="K496" t="n">
        <v>0</v>
      </c>
      <c r="L496" t="n">
        <v>0</v>
      </c>
      <c r="M496" t="n">
        <v>0</v>
      </c>
      <c r="N496" t="n">
        <v>0</v>
      </c>
      <c r="O496" t="n">
        <v>0</v>
      </c>
      <c r="P496" t="n">
        <v>0</v>
      </c>
      <c r="Q496" t="n">
        <v>0</v>
      </c>
      <c r="R496" s="2" t="inlineStr"/>
    </row>
    <row r="497" ht="15" customHeight="1">
      <c r="A497" t="inlineStr">
        <is>
          <t>A 45176-2025</t>
        </is>
      </c>
      <c r="B497" s="1" t="n">
        <v>45919.52307870371</v>
      </c>
      <c r="C497" s="1" t="n">
        <v>46093</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45273-2025</t>
        </is>
      </c>
      <c r="B498" s="1" t="n">
        <v>45919.70486111111</v>
      </c>
      <c r="C498" s="1" t="n">
        <v>46093</v>
      </c>
      <c r="D498" t="inlineStr">
        <is>
          <t>SKÅNE LÄN</t>
        </is>
      </c>
      <c r="E498" t="inlineStr">
        <is>
          <t>HÄSSLEHOLM</t>
        </is>
      </c>
      <c r="G498" t="n">
        <v>4.4</v>
      </c>
      <c r="H498" t="n">
        <v>0</v>
      </c>
      <c r="I498" t="n">
        <v>0</v>
      </c>
      <c r="J498" t="n">
        <v>0</v>
      </c>
      <c r="K498" t="n">
        <v>0</v>
      </c>
      <c r="L498" t="n">
        <v>0</v>
      </c>
      <c r="M498" t="n">
        <v>0</v>
      </c>
      <c r="N498" t="n">
        <v>0</v>
      </c>
      <c r="O498" t="n">
        <v>0</v>
      </c>
      <c r="P498" t="n">
        <v>0</v>
      </c>
      <c r="Q498" t="n">
        <v>0</v>
      </c>
      <c r="R498" s="2" t="inlineStr"/>
    </row>
    <row r="499" ht="15" customHeight="1">
      <c r="A499" t="inlineStr">
        <is>
          <t>A 12507-2022</t>
        </is>
      </c>
      <c r="B499" s="1" t="n">
        <v>44638</v>
      </c>
      <c r="C499" s="1" t="n">
        <v>46093</v>
      </c>
      <c r="D499" t="inlineStr">
        <is>
          <t>SKÅNE LÄN</t>
        </is>
      </c>
      <c r="E499" t="inlineStr">
        <is>
          <t>HÄSSLEHOLM</t>
        </is>
      </c>
      <c r="G499" t="n">
        <v>2.7</v>
      </c>
      <c r="H499" t="n">
        <v>0</v>
      </c>
      <c r="I499" t="n">
        <v>0</v>
      </c>
      <c r="J499" t="n">
        <v>0</v>
      </c>
      <c r="K499" t="n">
        <v>0</v>
      </c>
      <c r="L499" t="n">
        <v>0</v>
      </c>
      <c r="M499" t="n">
        <v>0</v>
      </c>
      <c r="N499" t="n">
        <v>0</v>
      </c>
      <c r="O499" t="n">
        <v>0</v>
      </c>
      <c r="P499" t="n">
        <v>0</v>
      </c>
      <c r="Q499" t="n">
        <v>0</v>
      </c>
      <c r="R499" s="2" t="inlineStr"/>
    </row>
    <row r="500" ht="15" customHeight="1">
      <c r="A500" t="inlineStr">
        <is>
          <t>A 45314-2025</t>
        </is>
      </c>
      <c r="B500" s="1" t="n">
        <v>45921.81738425926</v>
      </c>
      <c r="C500" s="1" t="n">
        <v>46093</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51571-2023</t>
        </is>
      </c>
      <c r="B501" s="1" t="n">
        <v>45222</v>
      </c>
      <c r="C501" s="1" t="n">
        <v>46093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45516-2025</t>
        </is>
      </c>
      <c r="B502" s="1" t="n">
        <v>45922</v>
      </c>
      <c r="C502" s="1" t="n">
        <v>46093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22690-2022</t>
        </is>
      </c>
      <c r="B503" s="1" t="n">
        <v>44714.5421875</v>
      </c>
      <c r="C503" s="1" t="n">
        <v>46093</v>
      </c>
      <c r="D503" t="inlineStr">
        <is>
          <t>SKÅNE LÄN</t>
        </is>
      </c>
      <c r="E503" t="inlineStr">
        <is>
          <t>HÄSSLEHOLM</t>
        </is>
      </c>
      <c r="G503" t="n">
        <v>1.7</v>
      </c>
      <c r="H503" t="n">
        <v>0</v>
      </c>
      <c r="I503" t="n">
        <v>0</v>
      </c>
      <c r="J503" t="n">
        <v>0</v>
      </c>
      <c r="K503" t="n">
        <v>0</v>
      </c>
      <c r="L503" t="n">
        <v>0</v>
      </c>
      <c r="M503" t="n">
        <v>0</v>
      </c>
      <c r="N503" t="n">
        <v>0</v>
      </c>
      <c r="O503" t="n">
        <v>0</v>
      </c>
      <c r="P503" t="n">
        <v>0</v>
      </c>
      <c r="Q503" t="n">
        <v>0</v>
      </c>
      <c r="R503" s="2" t="inlineStr"/>
    </row>
    <row r="504" ht="15" customHeight="1">
      <c r="A504" t="inlineStr">
        <is>
          <t>A 45514-2025</t>
        </is>
      </c>
      <c r="B504" s="1" t="n">
        <v>45922</v>
      </c>
      <c r="C504" s="1" t="n">
        <v>46093</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57079-2022</t>
        </is>
      </c>
      <c r="B505" s="1" t="n">
        <v>44895</v>
      </c>
      <c r="C505" s="1" t="n">
        <v>46093</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27291-2023</t>
        </is>
      </c>
      <c r="B506" s="1" t="n">
        <v>45096</v>
      </c>
      <c r="C506" s="1" t="n">
        <v>46093</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45221-2025</t>
        </is>
      </c>
      <c r="B507" s="1" t="n">
        <v>45919.57760416667</v>
      </c>
      <c r="C507" s="1" t="n">
        <v>46093</v>
      </c>
      <c r="D507" t="inlineStr">
        <is>
          <t>SKÅNE LÄN</t>
        </is>
      </c>
      <c r="E507" t="inlineStr">
        <is>
          <t>HÄSSLEHOLM</t>
        </is>
      </c>
      <c r="G507" t="n">
        <v>1.7</v>
      </c>
      <c r="H507" t="n">
        <v>0</v>
      </c>
      <c r="I507" t="n">
        <v>0</v>
      </c>
      <c r="J507" t="n">
        <v>0</v>
      </c>
      <c r="K507" t="n">
        <v>0</v>
      </c>
      <c r="L507" t="n">
        <v>0</v>
      </c>
      <c r="M507" t="n">
        <v>0</v>
      </c>
      <c r="N507" t="n">
        <v>0</v>
      </c>
      <c r="O507" t="n">
        <v>0</v>
      </c>
      <c r="P507" t="n">
        <v>0</v>
      </c>
      <c r="Q507" t="n">
        <v>0</v>
      </c>
      <c r="R507" s="2" t="inlineStr"/>
    </row>
    <row r="508" ht="15" customHeight="1">
      <c r="A508" t="inlineStr">
        <is>
          <t>A 45414-2025</t>
        </is>
      </c>
      <c r="B508" s="1" t="n">
        <v>45920</v>
      </c>
      <c r="C508" s="1" t="n">
        <v>46093</v>
      </c>
      <c r="D508" t="inlineStr">
        <is>
          <t>SKÅNE LÄN</t>
        </is>
      </c>
      <c r="E508" t="inlineStr">
        <is>
          <t>HÄSSLEHOLM</t>
        </is>
      </c>
      <c r="G508" t="n">
        <v>14.7</v>
      </c>
      <c r="H508" t="n">
        <v>0</v>
      </c>
      <c r="I508" t="n">
        <v>0</v>
      </c>
      <c r="J508" t="n">
        <v>0</v>
      </c>
      <c r="K508" t="n">
        <v>0</v>
      </c>
      <c r="L508" t="n">
        <v>0</v>
      </c>
      <c r="M508" t="n">
        <v>0</v>
      </c>
      <c r="N508" t="n">
        <v>0</v>
      </c>
      <c r="O508" t="n">
        <v>0</v>
      </c>
      <c r="P508" t="n">
        <v>0</v>
      </c>
      <c r="Q508" t="n">
        <v>0</v>
      </c>
      <c r="R508" s="2" t="inlineStr"/>
    </row>
    <row r="509" ht="15" customHeight="1">
      <c r="A509" t="inlineStr">
        <is>
          <t>A 45443-2025</t>
        </is>
      </c>
      <c r="B509" s="1" t="n">
        <v>45920</v>
      </c>
      <c r="C509" s="1" t="n">
        <v>46093</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45496-2025</t>
        </is>
      </c>
      <c r="B510" s="1" t="n">
        <v>45922</v>
      </c>
      <c r="C510" s="1" t="n">
        <v>46093</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45458-2025</t>
        </is>
      </c>
      <c r="B511" s="1" t="n">
        <v>45920</v>
      </c>
      <c r="C511" s="1" t="n">
        <v>46093</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45465-2025</t>
        </is>
      </c>
      <c r="B512" s="1" t="n">
        <v>45920</v>
      </c>
      <c r="C512" s="1" t="n">
        <v>46093</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61498-2022</t>
        </is>
      </c>
      <c r="B513" s="1" t="n">
        <v>44910</v>
      </c>
      <c r="C513" s="1" t="n">
        <v>46093</v>
      </c>
      <c r="D513" t="inlineStr">
        <is>
          <t>SKÅNE LÄN</t>
        </is>
      </c>
      <c r="E513" t="inlineStr">
        <is>
          <t>HÄSSLEHOLM</t>
        </is>
      </c>
      <c r="F513" t="inlineStr">
        <is>
          <t>Kyrkan</t>
        </is>
      </c>
      <c r="G513" t="n">
        <v>3.2</v>
      </c>
      <c r="H513" t="n">
        <v>0</v>
      </c>
      <c r="I513" t="n">
        <v>0</v>
      </c>
      <c r="J513" t="n">
        <v>0</v>
      </c>
      <c r="K513" t="n">
        <v>0</v>
      </c>
      <c r="L513" t="n">
        <v>0</v>
      </c>
      <c r="M513" t="n">
        <v>0</v>
      </c>
      <c r="N513" t="n">
        <v>0</v>
      </c>
      <c r="O513" t="n">
        <v>0</v>
      </c>
      <c r="P513" t="n">
        <v>0</v>
      </c>
      <c r="Q513" t="n">
        <v>0</v>
      </c>
      <c r="R513" s="2" t="inlineStr"/>
    </row>
    <row r="514" ht="15" customHeight="1">
      <c r="A514" t="inlineStr">
        <is>
          <t>A 9678-2025</t>
        </is>
      </c>
      <c r="B514" s="1" t="n">
        <v>45716</v>
      </c>
      <c r="C514" s="1" t="n">
        <v>46093</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15417-2022</t>
        </is>
      </c>
      <c r="B515" s="1" t="n">
        <v>44659</v>
      </c>
      <c r="C515" s="1" t="n">
        <v>46093</v>
      </c>
      <c r="D515" t="inlineStr">
        <is>
          <t>SKÅNE LÄN</t>
        </is>
      </c>
      <c r="E515" t="inlineStr">
        <is>
          <t>HÄSSLEHOLM</t>
        </is>
      </c>
      <c r="F515" t="inlineStr">
        <is>
          <t>Kyrkan</t>
        </is>
      </c>
      <c r="G515" t="n">
        <v>2.9</v>
      </c>
      <c r="H515" t="n">
        <v>0</v>
      </c>
      <c r="I515" t="n">
        <v>0</v>
      </c>
      <c r="J515" t="n">
        <v>0</v>
      </c>
      <c r="K515" t="n">
        <v>0</v>
      </c>
      <c r="L515" t="n">
        <v>0</v>
      </c>
      <c r="M515" t="n">
        <v>0</v>
      </c>
      <c r="N515" t="n">
        <v>0</v>
      </c>
      <c r="O515" t="n">
        <v>0</v>
      </c>
      <c r="P515" t="n">
        <v>0</v>
      </c>
      <c r="Q515" t="n">
        <v>0</v>
      </c>
      <c r="R515" s="2" t="inlineStr"/>
    </row>
    <row r="516" ht="15" customHeight="1">
      <c r="A516" t="inlineStr">
        <is>
          <t>A 45683-2025</t>
        </is>
      </c>
      <c r="B516" s="1" t="n">
        <v>45923.37590277778</v>
      </c>
      <c r="C516" s="1" t="n">
        <v>46093</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36240-2023</t>
        </is>
      </c>
      <c r="B517" s="1" t="n">
        <v>45150.89295138889</v>
      </c>
      <c r="C517" s="1" t="n">
        <v>46093</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20564-2023</t>
        </is>
      </c>
      <c r="B518" s="1" t="n">
        <v>45057</v>
      </c>
      <c r="C518" s="1" t="n">
        <v>46093</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48798-2023</t>
        </is>
      </c>
      <c r="B519" s="1" t="n">
        <v>45209.25318287037</v>
      </c>
      <c r="C519" s="1" t="n">
        <v>46093</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41694-2024</t>
        </is>
      </c>
      <c r="B520" s="1" t="n">
        <v>45560.68341435185</v>
      </c>
      <c r="C520" s="1" t="n">
        <v>46093</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11121-2023</t>
        </is>
      </c>
      <c r="B521" s="1" t="n">
        <v>44986</v>
      </c>
      <c r="C521" s="1" t="n">
        <v>46093</v>
      </c>
      <c r="D521" t="inlineStr">
        <is>
          <t>SKÅNE LÄN</t>
        </is>
      </c>
      <c r="E521" t="inlineStr">
        <is>
          <t>HÄSSLEHOLM</t>
        </is>
      </c>
      <c r="F521" t="inlineStr">
        <is>
          <t>Kommuner</t>
        </is>
      </c>
      <c r="G521" t="n">
        <v>5.8</v>
      </c>
      <c r="H521" t="n">
        <v>0</v>
      </c>
      <c r="I521" t="n">
        <v>0</v>
      </c>
      <c r="J521" t="n">
        <v>0</v>
      </c>
      <c r="K521" t="n">
        <v>0</v>
      </c>
      <c r="L521" t="n">
        <v>0</v>
      </c>
      <c r="M521" t="n">
        <v>0</v>
      </c>
      <c r="N521" t="n">
        <v>0</v>
      </c>
      <c r="O521" t="n">
        <v>0</v>
      </c>
      <c r="P521" t="n">
        <v>0</v>
      </c>
      <c r="Q521" t="n">
        <v>0</v>
      </c>
      <c r="R521" s="2" t="inlineStr"/>
    </row>
    <row r="522" ht="15" customHeight="1">
      <c r="A522" t="inlineStr">
        <is>
          <t>A 47757-2024</t>
        </is>
      </c>
      <c r="B522" s="1" t="n">
        <v>45588.55075231481</v>
      </c>
      <c r="C522" s="1" t="n">
        <v>46093</v>
      </c>
      <c r="D522" t="inlineStr">
        <is>
          <t>SKÅNE LÄN</t>
        </is>
      </c>
      <c r="E522" t="inlineStr">
        <is>
          <t>HÄSSLEHOLM</t>
        </is>
      </c>
      <c r="G522" t="n">
        <v>5.5</v>
      </c>
      <c r="H522" t="n">
        <v>0</v>
      </c>
      <c r="I522" t="n">
        <v>0</v>
      </c>
      <c r="J522" t="n">
        <v>0</v>
      </c>
      <c r="K522" t="n">
        <v>0</v>
      </c>
      <c r="L522" t="n">
        <v>0</v>
      </c>
      <c r="M522" t="n">
        <v>0</v>
      </c>
      <c r="N522" t="n">
        <v>0</v>
      </c>
      <c r="O522" t="n">
        <v>0</v>
      </c>
      <c r="P522" t="n">
        <v>0</v>
      </c>
      <c r="Q522" t="n">
        <v>0</v>
      </c>
      <c r="R522" s="2" t="inlineStr"/>
    </row>
    <row r="523" ht="15" customHeight="1">
      <c r="A523" t="inlineStr">
        <is>
          <t>A 45763-2025</t>
        </is>
      </c>
      <c r="B523" s="1" t="n">
        <v>45923.51778935185</v>
      </c>
      <c r="C523" s="1" t="n">
        <v>46093</v>
      </c>
      <c r="D523" t="inlineStr">
        <is>
          <t>SKÅNE LÄN</t>
        </is>
      </c>
      <c r="E523" t="inlineStr">
        <is>
          <t>HÄSSLEHOLM</t>
        </is>
      </c>
      <c r="G523" t="n">
        <v>4.8</v>
      </c>
      <c r="H523" t="n">
        <v>0</v>
      </c>
      <c r="I523" t="n">
        <v>0</v>
      </c>
      <c r="J523" t="n">
        <v>0</v>
      </c>
      <c r="K523" t="n">
        <v>0</v>
      </c>
      <c r="L523" t="n">
        <v>0</v>
      </c>
      <c r="M523" t="n">
        <v>0</v>
      </c>
      <c r="N523" t="n">
        <v>0</v>
      </c>
      <c r="O523" t="n">
        <v>0</v>
      </c>
      <c r="P523" t="n">
        <v>0</v>
      </c>
      <c r="Q523" t="n">
        <v>0</v>
      </c>
      <c r="R523" s="2" t="inlineStr"/>
    </row>
    <row r="524" ht="15" customHeight="1">
      <c r="A524" t="inlineStr">
        <is>
          <t>A 45764-2025</t>
        </is>
      </c>
      <c r="B524" s="1" t="n">
        <v>45923.52037037037</v>
      </c>
      <c r="C524" s="1" t="n">
        <v>46093</v>
      </c>
      <c r="D524" t="inlineStr">
        <is>
          <t>SKÅNE LÄN</t>
        </is>
      </c>
      <c r="E524" t="inlineStr">
        <is>
          <t>HÄSSLEHOLM</t>
        </is>
      </c>
      <c r="G524" t="n">
        <v>6.3</v>
      </c>
      <c r="H524" t="n">
        <v>0</v>
      </c>
      <c r="I524" t="n">
        <v>0</v>
      </c>
      <c r="J524" t="n">
        <v>0</v>
      </c>
      <c r="K524" t="n">
        <v>0</v>
      </c>
      <c r="L524" t="n">
        <v>0</v>
      </c>
      <c r="M524" t="n">
        <v>0</v>
      </c>
      <c r="N524" t="n">
        <v>0</v>
      </c>
      <c r="O524" t="n">
        <v>0</v>
      </c>
      <c r="P524" t="n">
        <v>0</v>
      </c>
      <c r="Q524" t="n">
        <v>0</v>
      </c>
      <c r="R524" s="2" t="inlineStr"/>
    </row>
    <row r="525" ht="15" customHeight="1">
      <c r="A525" t="inlineStr">
        <is>
          <t>A 2663-2023</t>
        </is>
      </c>
      <c r="B525" s="1" t="n">
        <v>44942</v>
      </c>
      <c r="C525" s="1" t="n">
        <v>46093</v>
      </c>
      <c r="D525" t="inlineStr">
        <is>
          <t>SKÅNE LÄN</t>
        </is>
      </c>
      <c r="E525" t="inlineStr">
        <is>
          <t>HÄSSLEHOLM</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11116-2023</t>
        </is>
      </c>
      <c r="B526" s="1" t="n">
        <v>44986</v>
      </c>
      <c r="C526" s="1" t="n">
        <v>46093</v>
      </c>
      <c r="D526" t="inlineStr">
        <is>
          <t>SKÅNE LÄN</t>
        </is>
      </c>
      <c r="E526" t="inlineStr">
        <is>
          <t>HÄSSLEHOLM</t>
        </is>
      </c>
      <c r="F526" t="inlineStr">
        <is>
          <t>Kommuner</t>
        </is>
      </c>
      <c r="G526" t="n">
        <v>15.1</v>
      </c>
      <c r="H526" t="n">
        <v>0</v>
      </c>
      <c r="I526" t="n">
        <v>0</v>
      </c>
      <c r="J526" t="n">
        <v>0</v>
      </c>
      <c r="K526" t="n">
        <v>0</v>
      </c>
      <c r="L526" t="n">
        <v>0</v>
      </c>
      <c r="M526" t="n">
        <v>0</v>
      </c>
      <c r="N526" t="n">
        <v>0</v>
      </c>
      <c r="O526" t="n">
        <v>0</v>
      </c>
      <c r="P526" t="n">
        <v>0</v>
      </c>
      <c r="Q526" t="n">
        <v>0</v>
      </c>
      <c r="R526" s="2" t="inlineStr"/>
    </row>
    <row r="527" ht="15" customHeight="1">
      <c r="A527" t="inlineStr">
        <is>
          <t>A 45762-2025</t>
        </is>
      </c>
      <c r="B527" s="1" t="n">
        <v>45923.51548611111</v>
      </c>
      <c r="C527" s="1" t="n">
        <v>46093</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7192-2025</t>
        </is>
      </c>
      <c r="B528" s="1" t="n">
        <v>45702.44746527778</v>
      </c>
      <c r="C528" s="1" t="n">
        <v>46093</v>
      </c>
      <c r="D528" t="inlineStr">
        <is>
          <t>SKÅNE LÄN</t>
        </is>
      </c>
      <c r="E528" t="inlineStr">
        <is>
          <t>HÄSSLEHOLM</t>
        </is>
      </c>
      <c r="G528" t="n">
        <v>1.2</v>
      </c>
      <c r="H528" t="n">
        <v>0</v>
      </c>
      <c r="I528" t="n">
        <v>0</v>
      </c>
      <c r="J528" t="n">
        <v>0</v>
      </c>
      <c r="K528" t="n">
        <v>0</v>
      </c>
      <c r="L528" t="n">
        <v>0</v>
      </c>
      <c r="M528" t="n">
        <v>0</v>
      </c>
      <c r="N528" t="n">
        <v>0</v>
      </c>
      <c r="O528" t="n">
        <v>0</v>
      </c>
      <c r="P528" t="n">
        <v>0</v>
      </c>
      <c r="Q528" t="n">
        <v>0</v>
      </c>
      <c r="R528" s="2" t="inlineStr"/>
    </row>
    <row r="529" ht="15" customHeight="1">
      <c r="A529" t="inlineStr">
        <is>
          <t>A 9668-2025</t>
        </is>
      </c>
      <c r="B529" s="1" t="n">
        <v>45716</v>
      </c>
      <c r="C529" s="1" t="n">
        <v>46093</v>
      </c>
      <c r="D529" t="inlineStr">
        <is>
          <t>SKÅNE LÄN</t>
        </is>
      </c>
      <c r="E529" t="inlineStr">
        <is>
          <t>HÄSSLEHOLM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48627-2023</t>
        </is>
      </c>
      <c r="B530" s="1" t="n">
        <v>45208.57371527778</v>
      </c>
      <c r="C530" s="1" t="n">
        <v>46093</v>
      </c>
      <c r="D530" t="inlineStr">
        <is>
          <t>SKÅNE LÄN</t>
        </is>
      </c>
      <c r="E530" t="inlineStr">
        <is>
          <t>HÄSSLEHOLM</t>
        </is>
      </c>
      <c r="G530" t="n">
        <v>1.9</v>
      </c>
      <c r="H530" t="n">
        <v>0</v>
      </c>
      <c r="I530" t="n">
        <v>0</v>
      </c>
      <c r="J530" t="n">
        <v>0</v>
      </c>
      <c r="K530" t="n">
        <v>0</v>
      </c>
      <c r="L530" t="n">
        <v>0</v>
      </c>
      <c r="M530" t="n">
        <v>0</v>
      </c>
      <c r="N530" t="n">
        <v>0</v>
      </c>
      <c r="O530" t="n">
        <v>0</v>
      </c>
      <c r="P530" t="n">
        <v>0</v>
      </c>
      <c r="Q530" t="n">
        <v>0</v>
      </c>
      <c r="R530" s="2" t="inlineStr"/>
    </row>
    <row r="531" ht="15" customHeight="1">
      <c r="A531" t="inlineStr">
        <is>
          <t>A 27954-2022</t>
        </is>
      </c>
      <c r="B531" s="1" t="n">
        <v>44743</v>
      </c>
      <c r="C531" s="1" t="n">
        <v>46093</v>
      </c>
      <c r="D531" t="inlineStr">
        <is>
          <t>SKÅNE LÄN</t>
        </is>
      </c>
      <c r="E531" t="inlineStr">
        <is>
          <t>HÄSSLEHOLM</t>
        </is>
      </c>
      <c r="G531" t="n">
        <v>9.4</v>
      </c>
      <c r="H531" t="n">
        <v>0</v>
      </c>
      <c r="I531" t="n">
        <v>0</v>
      </c>
      <c r="J531" t="n">
        <v>0</v>
      </c>
      <c r="K531" t="n">
        <v>0</v>
      </c>
      <c r="L531" t="n">
        <v>0</v>
      </c>
      <c r="M531" t="n">
        <v>0</v>
      </c>
      <c r="N531" t="n">
        <v>0</v>
      </c>
      <c r="O531" t="n">
        <v>0</v>
      </c>
      <c r="P531" t="n">
        <v>0</v>
      </c>
      <c r="Q531" t="n">
        <v>0</v>
      </c>
      <c r="R531" s="2" t="inlineStr"/>
    </row>
    <row r="532" ht="15" customHeight="1">
      <c r="A532" t="inlineStr">
        <is>
          <t>A 17152-2025</t>
        </is>
      </c>
      <c r="B532" s="1" t="n">
        <v>45756.33318287037</v>
      </c>
      <c r="C532" s="1" t="n">
        <v>46093</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46605-2025</t>
        </is>
      </c>
      <c r="B533" s="1" t="n">
        <v>45926.41214120371</v>
      </c>
      <c r="C533" s="1" t="n">
        <v>46093</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48326-2023</t>
        </is>
      </c>
      <c r="B534" s="1" t="n">
        <v>45205</v>
      </c>
      <c r="C534" s="1" t="n">
        <v>46093</v>
      </c>
      <c r="D534" t="inlineStr">
        <is>
          <t>SKÅNE LÄN</t>
        </is>
      </c>
      <c r="E534" t="inlineStr">
        <is>
          <t>HÄSSLEHOLM</t>
        </is>
      </c>
      <c r="G534" t="n">
        <v>12.7</v>
      </c>
      <c r="H534" t="n">
        <v>0</v>
      </c>
      <c r="I534" t="n">
        <v>0</v>
      </c>
      <c r="J534" t="n">
        <v>0</v>
      </c>
      <c r="K534" t="n">
        <v>0</v>
      </c>
      <c r="L534" t="n">
        <v>0</v>
      </c>
      <c r="M534" t="n">
        <v>0</v>
      </c>
      <c r="N534" t="n">
        <v>0</v>
      </c>
      <c r="O534" t="n">
        <v>0</v>
      </c>
      <c r="P534" t="n">
        <v>0</v>
      </c>
      <c r="Q534" t="n">
        <v>0</v>
      </c>
      <c r="R534" s="2" t="inlineStr"/>
    </row>
    <row r="535" ht="15" customHeight="1">
      <c r="A535" t="inlineStr">
        <is>
          <t>A 10752-2025</t>
        </is>
      </c>
      <c r="B535" s="1" t="n">
        <v>45722</v>
      </c>
      <c r="C535" s="1" t="n">
        <v>46093</v>
      </c>
      <c r="D535" t="inlineStr">
        <is>
          <t>SKÅNE LÄN</t>
        </is>
      </c>
      <c r="E535" t="inlineStr">
        <is>
          <t>HÄSSLEHOLM</t>
        </is>
      </c>
      <c r="G535" t="n">
        <v>1.2</v>
      </c>
      <c r="H535" t="n">
        <v>0</v>
      </c>
      <c r="I535" t="n">
        <v>0</v>
      </c>
      <c r="J535" t="n">
        <v>0</v>
      </c>
      <c r="K535" t="n">
        <v>0</v>
      </c>
      <c r="L535" t="n">
        <v>0</v>
      </c>
      <c r="M535" t="n">
        <v>0</v>
      </c>
      <c r="N535" t="n">
        <v>0</v>
      </c>
      <c r="O535" t="n">
        <v>0</v>
      </c>
      <c r="P535" t="n">
        <v>0</v>
      </c>
      <c r="Q535" t="n">
        <v>0</v>
      </c>
      <c r="R535" s="2" t="inlineStr"/>
    </row>
    <row r="536" ht="15" customHeight="1">
      <c r="A536" t="inlineStr">
        <is>
          <t>A 54462-2022</t>
        </is>
      </c>
      <c r="B536" s="1" t="n">
        <v>44882</v>
      </c>
      <c r="C536" s="1" t="n">
        <v>46093</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3890-2024</t>
        </is>
      </c>
      <c r="B537" s="1" t="n">
        <v>45322.45366898148</v>
      </c>
      <c r="C537" s="1" t="n">
        <v>46093</v>
      </c>
      <c r="D537" t="inlineStr">
        <is>
          <t>SKÅNE LÄN</t>
        </is>
      </c>
      <c r="E537" t="inlineStr">
        <is>
          <t>HÄSSLEHOLM</t>
        </is>
      </c>
      <c r="G537" t="n">
        <v>3</v>
      </c>
      <c r="H537" t="n">
        <v>0</v>
      </c>
      <c r="I537" t="n">
        <v>0</v>
      </c>
      <c r="J537" t="n">
        <v>0</v>
      </c>
      <c r="K537" t="n">
        <v>0</v>
      </c>
      <c r="L537" t="n">
        <v>0</v>
      </c>
      <c r="M537" t="n">
        <v>0</v>
      </c>
      <c r="N537" t="n">
        <v>0</v>
      </c>
      <c r="O537" t="n">
        <v>0</v>
      </c>
      <c r="P537" t="n">
        <v>0</v>
      </c>
      <c r="Q537" t="n">
        <v>0</v>
      </c>
      <c r="R537" s="2" t="inlineStr"/>
    </row>
    <row r="538" ht="15" customHeight="1">
      <c r="A538" t="inlineStr">
        <is>
          <t>A 45984-2021</t>
        </is>
      </c>
      <c r="B538" s="1" t="n">
        <v>44441</v>
      </c>
      <c r="C538" s="1" t="n">
        <v>46093</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61170-2022</t>
        </is>
      </c>
      <c r="B539" s="1" t="n">
        <v>44915.48543981482</v>
      </c>
      <c r="C539" s="1" t="n">
        <v>46093</v>
      </c>
      <c r="D539" t="inlineStr">
        <is>
          <t>SKÅNE LÄN</t>
        </is>
      </c>
      <c r="E539" t="inlineStr">
        <is>
          <t>HÄSSLEHOLM</t>
        </is>
      </c>
      <c r="G539" t="n">
        <v>1.2</v>
      </c>
      <c r="H539" t="n">
        <v>0</v>
      </c>
      <c r="I539" t="n">
        <v>0</v>
      </c>
      <c r="J539" t="n">
        <v>0</v>
      </c>
      <c r="K539" t="n">
        <v>0</v>
      </c>
      <c r="L539" t="n">
        <v>0</v>
      </c>
      <c r="M539" t="n">
        <v>0</v>
      </c>
      <c r="N539" t="n">
        <v>0</v>
      </c>
      <c r="O539" t="n">
        <v>0</v>
      </c>
      <c r="P539" t="n">
        <v>0</v>
      </c>
      <c r="Q539" t="n">
        <v>0</v>
      </c>
      <c r="R539" s="2" t="inlineStr"/>
    </row>
    <row r="540" ht="15" customHeight="1">
      <c r="A540" t="inlineStr">
        <is>
          <t>A 46761-2025</t>
        </is>
      </c>
      <c r="B540" s="1" t="n">
        <v>45926.62289351852</v>
      </c>
      <c r="C540" s="1" t="n">
        <v>46093</v>
      </c>
      <c r="D540" t="inlineStr">
        <is>
          <t>SKÅNE LÄN</t>
        </is>
      </c>
      <c r="E540" t="inlineStr">
        <is>
          <t>HÄSSLEHOLM</t>
        </is>
      </c>
      <c r="G540" t="n">
        <v>1.6</v>
      </c>
      <c r="H540" t="n">
        <v>0</v>
      </c>
      <c r="I540" t="n">
        <v>0</v>
      </c>
      <c r="J540" t="n">
        <v>0</v>
      </c>
      <c r="K540" t="n">
        <v>0</v>
      </c>
      <c r="L540" t="n">
        <v>0</v>
      </c>
      <c r="M540" t="n">
        <v>0</v>
      </c>
      <c r="N540" t="n">
        <v>0</v>
      </c>
      <c r="O540" t="n">
        <v>0</v>
      </c>
      <c r="P540" t="n">
        <v>0</v>
      </c>
      <c r="Q540" t="n">
        <v>0</v>
      </c>
      <c r="R540" s="2" t="inlineStr"/>
    </row>
    <row r="541" ht="15" customHeight="1">
      <c r="A541" t="inlineStr">
        <is>
          <t>A 54471-2023</t>
        </is>
      </c>
      <c r="B541" s="1" t="n">
        <v>45233.4640162037</v>
      </c>
      <c r="C541" s="1" t="n">
        <v>46093</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46786-2025</t>
        </is>
      </c>
      <c r="B542" s="1" t="n">
        <v>45926.64484953704</v>
      </c>
      <c r="C542" s="1" t="n">
        <v>46093</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6835-2023</t>
        </is>
      </c>
      <c r="B543" s="1" t="n">
        <v>44967</v>
      </c>
      <c r="C543" s="1" t="n">
        <v>46093</v>
      </c>
      <c r="D543" t="inlineStr">
        <is>
          <t>SKÅNE LÄN</t>
        </is>
      </c>
      <c r="E543" t="inlineStr">
        <is>
          <t>HÄSSLEHOLM</t>
        </is>
      </c>
      <c r="G543" t="n">
        <v>4.8</v>
      </c>
      <c r="H543" t="n">
        <v>0</v>
      </c>
      <c r="I543" t="n">
        <v>0</v>
      </c>
      <c r="J543" t="n">
        <v>0</v>
      </c>
      <c r="K543" t="n">
        <v>0</v>
      </c>
      <c r="L543" t="n">
        <v>0</v>
      </c>
      <c r="M543" t="n">
        <v>0</v>
      </c>
      <c r="N543" t="n">
        <v>0</v>
      </c>
      <c r="O543" t="n">
        <v>0</v>
      </c>
      <c r="P543" t="n">
        <v>0</v>
      </c>
      <c r="Q543" t="n">
        <v>0</v>
      </c>
      <c r="R543" s="2" t="inlineStr"/>
    </row>
    <row r="544" ht="15" customHeight="1">
      <c r="A544" t="inlineStr">
        <is>
          <t>A 57963-2023</t>
        </is>
      </c>
      <c r="B544" s="1" t="n">
        <v>45247.57732638889</v>
      </c>
      <c r="C544" s="1" t="n">
        <v>46093</v>
      </c>
      <c r="D544" t="inlineStr">
        <is>
          <t>SKÅNE LÄN</t>
        </is>
      </c>
      <c r="E544" t="inlineStr">
        <is>
          <t>HÄSSLEHOLM</t>
        </is>
      </c>
      <c r="G544" t="n">
        <v>4.6</v>
      </c>
      <c r="H544" t="n">
        <v>0</v>
      </c>
      <c r="I544" t="n">
        <v>0</v>
      </c>
      <c r="J544" t="n">
        <v>0</v>
      </c>
      <c r="K544" t="n">
        <v>0</v>
      </c>
      <c r="L544" t="n">
        <v>0</v>
      </c>
      <c r="M544" t="n">
        <v>0</v>
      </c>
      <c r="N544" t="n">
        <v>0</v>
      </c>
      <c r="O544" t="n">
        <v>0</v>
      </c>
      <c r="P544" t="n">
        <v>0</v>
      </c>
      <c r="Q544" t="n">
        <v>0</v>
      </c>
      <c r="R544" s="2" t="inlineStr"/>
    </row>
    <row r="545" ht="15" customHeight="1">
      <c r="A545" t="inlineStr">
        <is>
          <t>A 59028-2023</t>
        </is>
      </c>
      <c r="B545" s="1" t="n">
        <v>45252.67900462963</v>
      </c>
      <c r="C545" s="1" t="n">
        <v>46093</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13544-2025</t>
        </is>
      </c>
      <c r="B546" s="1" t="n">
        <v>45736</v>
      </c>
      <c r="C546" s="1" t="n">
        <v>46093</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31933-2024</t>
        </is>
      </c>
      <c r="B547" s="1" t="n">
        <v>45510.41123842593</v>
      </c>
      <c r="C547" s="1" t="n">
        <v>46093</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9098-2022</t>
        </is>
      </c>
      <c r="B548" s="1" t="n">
        <v>44615</v>
      </c>
      <c r="C548" s="1" t="n">
        <v>46093</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12338-2024</t>
        </is>
      </c>
      <c r="B549" s="1" t="n">
        <v>45378.72869212963</v>
      </c>
      <c r="C549" s="1" t="n">
        <v>46093</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47259-2025</t>
        </is>
      </c>
      <c r="B550" s="1" t="n">
        <v>45930</v>
      </c>
      <c r="C550" s="1" t="n">
        <v>46093</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8209-2025</t>
        </is>
      </c>
      <c r="B551" s="1" t="n">
        <v>45708.44244212963</v>
      </c>
      <c r="C551" s="1" t="n">
        <v>46093</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34883-2023</t>
        </is>
      </c>
      <c r="B552" s="1" t="n">
        <v>45142.37902777778</v>
      </c>
      <c r="C552" s="1" t="n">
        <v>46093</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34886-2023</t>
        </is>
      </c>
      <c r="B553" s="1" t="n">
        <v>45142.38450231482</v>
      </c>
      <c r="C553" s="1" t="n">
        <v>46093</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36938-2025</t>
        </is>
      </c>
      <c r="B554" s="1" t="n">
        <v>45874.58476851852</v>
      </c>
      <c r="C554" s="1" t="n">
        <v>46093</v>
      </c>
      <c r="D554" t="inlineStr">
        <is>
          <t>SKÅNE LÄN</t>
        </is>
      </c>
      <c r="E554" t="inlineStr">
        <is>
          <t>HÄSSLEHOLM</t>
        </is>
      </c>
      <c r="G554" t="n">
        <v>3.7</v>
      </c>
      <c r="H554" t="n">
        <v>0</v>
      </c>
      <c r="I554" t="n">
        <v>0</v>
      </c>
      <c r="J554" t="n">
        <v>0</v>
      </c>
      <c r="K554" t="n">
        <v>0</v>
      </c>
      <c r="L554" t="n">
        <v>0</v>
      </c>
      <c r="M554" t="n">
        <v>0</v>
      </c>
      <c r="N554" t="n">
        <v>0</v>
      </c>
      <c r="O554" t="n">
        <v>0</v>
      </c>
      <c r="P554" t="n">
        <v>0</v>
      </c>
      <c r="Q554" t="n">
        <v>0</v>
      </c>
      <c r="R554" s="2" t="inlineStr"/>
    </row>
    <row r="555" ht="15" customHeight="1">
      <c r="A555" t="inlineStr">
        <is>
          <t>A 7476-2025</t>
        </is>
      </c>
      <c r="B555" s="1" t="n">
        <v>45702</v>
      </c>
      <c r="C555" s="1" t="n">
        <v>46093</v>
      </c>
      <c r="D555" t="inlineStr">
        <is>
          <t>SKÅNE LÄN</t>
        </is>
      </c>
      <c r="E555" t="inlineStr">
        <is>
          <t>HÄSSLEHOLM</t>
        </is>
      </c>
      <c r="F555" t="inlineStr">
        <is>
          <t>Övriga Aktiebolag</t>
        </is>
      </c>
      <c r="G555" t="n">
        <v>2.1</v>
      </c>
      <c r="H555" t="n">
        <v>0</v>
      </c>
      <c r="I555" t="n">
        <v>0</v>
      </c>
      <c r="J555" t="n">
        <v>0</v>
      </c>
      <c r="K555" t="n">
        <v>0</v>
      </c>
      <c r="L555" t="n">
        <v>0</v>
      </c>
      <c r="M555" t="n">
        <v>0</v>
      </c>
      <c r="N555" t="n">
        <v>0</v>
      </c>
      <c r="O555" t="n">
        <v>0</v>
      </c>
      <c r="P555" t="n">
        <v>0</v>
      </c>
      <c r="Q555" t="n">
        <v>0</v>
      </c>
      <c r="R555" s="2" t="inlineStr"/>
    </row>
    <row r="556" ht="15" customHeight="1">
      <c r="A556" t="inlineStr">
        <is>
          <t>A 54659-2023</t>
        </is>
      </c>
      <c r="B556" s="1" t="n">
        <v>45235</v>
      </c>
      <c r="C556" s="1" t="n">
        <v>46093</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47473-2025</t>
        </is>
      </c>
      <c r="B557" s="1" t="n">
        <v>45930.67763888889</v>
      </c>
      <c r="C557" s="1" t="n">
        <v>46093</v>
      </c>
      <c r="D557" t="inlineStr">
        <is>
          <t>SKÅNE LÄN</t>
        </is>
      </c>
      <c r="E557" t="inlineStr">
        <is>
          <t>HÄSSLEHOLM</t>
        </is>
      </c>
      <c r="G557" t="n">
        <v>4.7</v>
      </c>
      <c r="H557" t="n">
        <v>0</v>
      </c>
      <c r="I557" t="n">
        <v>0</v>
      </c>
      <c r="J557" t="n">
        <v>0</v>
      </c>
      <c r="K557" t="n">
        <v>0</v>
      </c>
      <c r="L557" t="n">
        <v>0</v>
      </c>
      <c r="M557" t="n">
        <v>0</v>
      </c>
      <c r="N557" t="n">
        <v>0</v>
      </c>
      <c r="O557" t="n">
        <v>0</v>
      </c>
      <c r="P557" t="n">
        <v>0</v>
      </c>
      <c r="Q557" t="n">
        <v>0</v>
      </c>
      <c r="R557" s="2" t="inlineStr"/>
    </row>
    <row r="558" ht="15" customHeight="1">
      <c r="A558" t="inlineStr">
        <is>
          <t>A 2712-2024</t>
        </is>
      </c>
      <c r="B558" s="1" t="n">
        <v>45314</v>
      </c>
      <c r="C558" s="1" t="n">
        <v>46093</v>
      </c>
      <c r="D558" t="inlineStr">
        <is>
          <t>SKÅNE LÄN</t>
        </is>
      </c>
      <c r="E558" t="inlineStr">
        <is>
          <t>HÄSSLEHOLM</t>
        </is>
      </c>
      <c r="G558" t="n">
        <v>11.3</v>
      </c>
      <c r="H558" t="n">
        <v>0</v>
      </c>
      <c r="I558" t="n">
        <v>0</v>
      </c>
      <c r="J558" t="n">
        <v>0</v>
      </c>
      <c r="K558" t="n">
        <v>0</v>
      </c>
      <c r="L558" t="n">
        <v>0</v>
      </c>
      <c r="M558" t="n">
        <v>0</v>
      </c>
      <c r="N558" t="n">
        <v>0</v>
      </c>
      <c r="O558" t="n">
        <v>0</v>
      </c>
      <c r="P558" t="n">
        <v>0</v>
      </c>
      <c r="Q558" t="n">
        <v>0</v>
      </c>
      <c r="R558" s="2" t="inlineStr"/>
    </row>
    <row r="559" ht="15" customHeight="1">
      <c r="A559" t="inlineStr">
        <is>
          <t>A 46855-2025</t>
        </is>
      </c>
      <c r="B559" s="1" t="n">
        <v>45928.88497685185</v>
      </c>
      <c r="C559" s="1" t="n">
        <v>46093</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12558-2023</t>
        </is>
      </c>
      <c r="B560" s="1" t="n">
        <v>45000.36103009259</v>
      </c>
      <c r="C560" s="1" t="n">
        <v>46093</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13673-2023</t>
        </is>
      </c>
      <c r="B561" s="1" t="n">
        <v>45006.87957175926</v>
      </c>
      <c r="C561" s="1" t="n">
        <v>46093</v>
      </c>
      <c r="D561" t="inlineStr">
        <is>
          <t>SKÅNE LÄN</t>
        </is>
      </c>
      <c r="E561" t="inlineStr">
        <is>
          <t>HÄSSLEHOLM</t>
        </is>
      </c>
      <c r="G561" t="n">
        <v>3.2</v>
      </c>
      <c r="H561" t="n">
        <v>0</v>
      </c>
      <c r="I561" t="n">
        <v>0</v>
      </c>
      <c r="J561" t="n">
        <v>0</v>
      </c>
      <c r="K561" t="n">
        <v>0</v>
      </c>
      <c r="L561" t="n">
        <v>0</v>
      </c>
      <c r="M561" t="n">
        <v>0</v>
      </c>
      <c r="N561" t="n">
        <v>0</v>
      </c>
      <c r="O561" t="n">
        <v>0</v>
      </c>
      <c r="P561" t="n">
        <v>0</v>
      </c>
      <c r="Q561" t="n">
        <v>0</v>
      </c>
      <c r="R561" s="2" t="inlineStr"/>
    </row>
    <row r="562" ht="15" customHeight="1">
      <c r="A562" t="inlineStr">
        <is>
          <t>A 47466-2025</t>
        </is>
      </c>
      <c r="B562" s="1" t="n">
        <v>45930.66677083333</v>
      </c>
      <c r="C562" s="1" t="n">
        <v>46093</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48844-2023</t>
        </is>
      </c>
      <c r="B563" s="1" t="n">
        <v>45209</v>
      </c>
      <c r="C563" s="1" t="n">
        <v>46093</v>
      </c>
      <c r="D563" t="inlineStr">
        <is>
          <t>SKÅNE LÄN</t>
        </is>
      </c>
      <c r="E563" t="inlineStr">
        <is>
          <t>HÄSSLEHOLM</t>
        </is>
      </c>
      <c r="G563" t="n">
        <v>4</v>
      </c>
      <c r="H563" t="n">
        <v>0</v>
      </c>
      <c r="I563" t="n">
        <v>0</v>
      </c>
      <c r="J563" t="n">
        <v>0</v>
      </c>
      <c r="K563" t="n">
        <v>0</v>
      </c>
      <c r="L563" t="n">
        <v>0</v>
      </c>
      <c r="M563" t="n">
        <v>0</v>
      </c>
      <c r="N563" t="n">
        <v>0</v>
      </c>
      <c r="O563" t="n">
        <v>0</v>
      </c>
      <c r="P563" t="n">
        <v>0</v>
      </c>
      <c r="Q563" t="n">
        <v>0</v>
      </c>
      <c r="R563" s="2" t="inlineStr"/>
    </row>
    <row r="564" ht="15" customHeight="1">
      <c r="A564" t="inlineStr">
        <is>
          <t>A 260-2024</t>
        </is>
      </c>
      <c r="B564" s="1" t="n">
        <v>45294</v>
      </c>
      <c r="C564" s="1" t="n">
        <v>46093</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8263-2025</t>
        </is>
      </c>
      <c r="B565" s="1" t="n">
        <v>45708.50398148148</v>
      </c>
      <c r="C565" s="1" t="n">
        <v>46093</v>
      </c>
      <c r="D565" t="inlineStr">
        <is>
          <t>SKÅNE LÄN</t>
        </is>
      </c>
      <c r="E565" t="inlineStr">
        <is>
          <t>HÄSSLEHOLM</t>
        </is>
      </c>
      <c r="G565" t="n">
        <v>2.9</v>
      </c>
      <c r="H565" t="n">
        <v>0</v>
      </c>
      <c r="I565" t="n">
        <v>0</v>
      </c>
      <c r="J565" t="n">
        <v>0</v>
      </c>
      <c r="K565" t="n">
        <v>0</v>
      </c>
      <c r="L565" t="n">
        <v>0</v>
      </c>
      <c r="M565" t="n">
        <v>0</v>
      </c>
      <c r="N565" t="n">
        <v>0</v>
      </c>
      <c r="O565" t="n">
        <v>0</v>
      </c>
      <c r="P565" t="n">
        <v>0</v>
      </c>
      <c r="Q565" t="n">
        <v>0</v>
      </c>
      <c r="R565" s="2" t="inlineStr"/>
    </row>
    <row r="566" ht="15" customHeight="1">
      <c r="A566" t="inlineStr">
        <is>
          <t>A 47126-2025</t>
        </is>
      </c>
      <c r="B566" s="1" t="n">
        <v>45929.685625</v>
      </c>
      <c r="C566" s="1" t="n">
        <v>46093</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47127-2025</t>
        </is>
      </c>
      <c r="B567" s="1" t="n">
        <v>45929.6893287037</v>
      </c>
      <c r="C567" s="1" t="n">
        <v>46093</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30006-2023</t>
        </is>
      </c>
      <c r="B568" s="1" t="n">
        <v>45109.79962962963</v>
      </c>
      <c r="C568" s="1" t="n">
        <v>46093</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21329-2023</t>
        </is>
      </c>
      <c r="B569" s="1" t="n">
        <v>45062</v>
      </c>
      <c r="C569" s="1" t="n">
        <v>46093</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42364-2023</t>
        </is>
      </c>
      <c r="B570" s="1" t="n">
        <v>45180.54754629629</v>
      </c>
      <c r="C570" s="1" t="n">
        <v>46093</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61578-2023</t>
        </is>
      </c>
      <c r="B571" s="1" t="n">
        <v>45265.47399305556</v>
      </c>
      <c r="C571" s="1" t="n">
        <v>46093</v>
      </c>
      <c r="D571" t="inlineStr">
        <is>
          <t>SKÅNE LÄN</t>
        </is>
      </c>
      <c r="E571" t="inlineStr">
        <is>
          <t>HÄSSLEHOLM</t>
        </is>
      </c>
      <c r="G571" t="n">
        <v>1.2</v>
      </c>
      <c r="H571" t="n">
        <v>0</v>
      </c>
      <c r="I571" t="n">
        <v>0</v>
      </c>
      <c r="J571" t="n">
        <v>0</v>
      </c>
      <c r="K571" t="n">
        <v>0</v>
      </c>
      <c r="L571" t="n">
        <v>0</v>
      </c>
      <c r="M571" t="n">
        <v>0</v>
      </c>
      <c r="N571" t="n">
        <v>0</v>
      </c>
      <c r="O571" t="n">
        <v>0</v>
      </c>
      <c r="P571" t="n">
        <v>0</v>
      </c>
      <c r="Q571" t="n">
        <v>0</v>
      </c>
      <c r="R571" s="2" t="inlineStr"/>
    </row>
    <row r="572" ht="15" customHeight="1">
      <c r="A572" t="inlineStr">
        <is>
          <t>A 45222-2023</t>
        </is>
      </c>
      <c r="B572" s="1" t="n">
        <v>45191</v>
      </c>
      <c r="C572" s="1" t="n">
        <v>46093</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13310-2025</t>
        </is>
      </c>
      <c r="B573" s="1" t="n">
        <v>45735.58814814815</v>
      </c>
      <c r="C573" s="1" t="n">
        <v>46093</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25726-2025</t>
        </is>
      </c>
      <c r="B574" s="1" t="n">
        <v>45803</v>
      </c>
      <c r="C574" s="1" t="n">
        <v>46093</v>
      </c>
      <c r="D574" t="inlineStr">
        <is>
          <t>SKÅNE LÄN</t>
        </is>
      </c>
      <c r="E574" t="inlineStr">
        <is>
          <t>HÄSSLEHOLM</t>
        </is>
      </c>
      <c r="G574" t="n">
        <v>5.5</v>
      </c>
      <c r="H574" t="n">
        <v>0</v>
      </c>
      <c r="I574" t="n">
        <v>0</v>
      </c>
      <c r="J574" t="n">
        <v>0</v>
      </c>
      <c r="K574" t="n">
        <v>0</v>
      </c>
      <c r="L574" t="n">
        <v>0</v>
      </c>
      <c r="M574" t="n">
        <v>0</v>
      </c>
      <c r="N574" t="n">
        <v>0</v>
      </c>
      <c r="O574" t="n">
        <v>0</v>
      </c>
      <c r="P574" t="n">
        <v>0</v>
      </c>
      <c r="Q574" t="n">
        <v>0</v>
      </c>
      <c r="R574" s="2" t="inlineStr"/>
    </row>
    <row r="575" ht="15" customHeight="1">
      <c r="A575" t="inlineStr">
        <is>
          <t>A 2597-2024</t>
        </is>
      </c>
      <c r="B575" s="1" t="n">
        <v>45313</v>
      </c>
      <c r="C575" s="1" t="n">
        <v>46093</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25538-2024</t>
        </is>
      </c>
      <c r="B576" s="1" t="n">
        <v>45463</v>
      </c>
      <c r="C576" s="1" t="n">
        <v>46093</v>
      </c>
      <c r="D576" t="inlineStr">
        <is>
          <t>SKÅNE LÄN</t>
        </is>
      </c>
      <c r="E576" t="inlineStr">
        <is>
          <t>HÄSSLEHOLM</t>
        </is>
      </c>
      <c r="G576" t="n">
        <v>1.6</v>
      </c>
      <c r="H576" t="n">
        <v>0</v>
      </c>
      <c r="I576" t="n">
        <v>0</v>
      </c>
      <c r="J576" t="n">
        <v>0</v>
      </c>
      <c r="K576" t="n">
        <v>0</v>
      </c>
      <c r="L576" t="n">
        <v>0</v>
      </c>
      <c r="M576" t="n">
        <v>0</v>
      </c>
      <c r="N576" t="n">
        <v>0</v>
      </c>
      <c r="O576" t="n">
        <v>0</v>
      </c>
      <c r="P576" t="n">
        <v>0</v>
      </c>
      <c r="Q576" t="n">
        <v>0</v>
      </c>
      <c r="R576" s="2" t="inlineStr"/>
    </row>
    <row r="577" ht="15" customHeight="1">
      <c r="A577" t="inlineStr">
        <is>
          <t>A 15055-2023</t>
        </is>
      </c>
      <c r="B577" s="1" t="n">
        <v>45015</v>
      </c>
      <c r="C577" s="1" t="n">
        <v>46093</v>
      </c>
      <c r="D577" t="inlineStr">
        <is>
          <t>SKÅNE LÄN</t>
        </is>
      </c>
      <c r="E577" t="inlineStr">
        <is>
          <t>HÄSSLEHOLM</t>
        </is>
      </c>
      <c r="G577" t="n">
        <v>1.9</v>
      </c>
      <c r="H577" t="n">
        <v>0</v>
      </c>
      <c r="I577" t="n">
        <v>0</v>
      </c>
      <c r="J577" t="n">
        <v>0</v>
      </c>
      <c r="K577" t="n">
        <v>0</v>
      </c>
      <c r="L577" t="n">
        <v>0</v>
      </c>
      <c r="M577" t="n">
        <v>0</v>
      </c>
      <c r="N577" t="n">
        <v>0</v>
      </c>
      <c r="O577" t="n">
        <v>0</v>
      </c>
      <c r="P577" t="n">
        <v>0</v>
      </c>
      <c r="Q577" t="n">
        <v>0</v>
      </c>
      <c r="R577" s="2" t="inlineStr"/>
    </row>
    <row r="578" ht="15" customHeight="1">
      <c r="A578" t="inlineStr">
        <is>
          <t>A 62277-2023</t>
        </is>
      </c>
      <c r="B578" s="1" t="n">
        <v>45266</v>
      </c>
      <c r="C578" s="1" t="n">
        <v>46093</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3888-2024</t>
        </is>
      </c>
      <c r="B579" s="1" t="n">
        <v>45322.45089120371</v>
      </c>
      <c r="C579" s="1" t="n">
        <v>46093</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3889-2024</t>
        </is>
      </c>
      <c r="B580" s="1" t="n">
        <v>45322.45234953704</v>
      </c>
      <c r="C580" s="1" t="n">
        <v>46093</v>
      </c>
      <c r="D580" t="inlineStr">
        <is>
          <t>SKÅNE LÄN</t>
        </is>
      </c>
      <c r="E580" t="inlineStr">
        <is>
          <t>HÄSSLEHOLM</t>
        </is>
      </c>
      <c r="G580" t="n">
        <v>1.4</v>
      </c>
      <c r="H580" t="n">
        <v>0</v>
      </c>
      <c r="I580" t="n">
        <v>0</v>
      </c>
      <c r="J580" t="n">
        <v>0</v>
      </c>
      <c r="K580" t="n">
        <v>0</v>
      </c>
      <c r="L580" t="n">
        <v>0</v>
      </c>
      <c r="M580" t="n">
        <v>0</v>
      </c>
      <c r="N580" t="n">
        <v>0</v>
      </c>
      <c r="O580" t="n">
        <v>0</v>
      </c>
      <c r="P580" t="n">
        <v>0</v>
      </c>
      <c r="Q580" t="n">
        <v>0</v>
      </c>
      <c r="R580" s="2" t="inlineStr"/>
    </row>
    <row r="581" ht="15" customHeight="1">
      <c r="A581" t="inlineStr">
        <is>
          <t>A 8249-2023</t>
        </is>
      </c>
      <c r="B581" s="1" t="n">
        <v>44974</v>
      </c>
      <c r="C581" s="1" t="n">
        <v>46093</v>
      </c>
      <c r="D581" t="inlineStr">
        <is>
          <t>SKÅNE LÄN</t>
        </is>
      </c>
      <c r="E581" t="inlineStr">
        <is>
          <t>HÄSSLEHOLM</t>
        </is>
      </c>
      <c r="G581" t="n">
        <v>5.8</v>
      </c>
      <c r="H581" t="n">
        <v>0</v>
      </c>
      <c r="I581" t="n">
        <v>0</v>
      </c>
      <c r="J581" t="n">
        <v>0</v>
      </c>
      <c r="K581" t="n">
        <v>0</v>
      </c>
      <c r="L581" t="n">
        <v>0</v>
      </c>
      <c r="M581" t="n">
        <v>0</v>
      </c>
      <c r="N581" t="n">
        <v>0</v>
      </c>
      <c r="O581" t="n">
        <v>0</v>
      </c>
      <c r="P581" t="n">
        <v>0</v>
      </c>
      <c r="Q581" t="n">
        <v>0</v>
      </c>
      <c r="R581" s="2" t="inlineStr"/>
    </row>
    <row r="582" ht="15" customHeight="1">
      <c r="A582" t="inlineStr">
        <is>
          <t>A 48184-2025</t>
        </is>
      </c>
      <c r="B582" s="1" t="n">
        <v>45933.46131944445</v>
      </c>
      <c r="C582" s="1" t="n">
        <v>46093</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48185-2025</t>
        </is>
      </c>
      <c r="B583" s="1" t="n">
        <v>45933.46434027778</v>
      </c>
      <c r="C583" s="1" t="n">
        <v>46093</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25324-2024</t>
        </is>
      </c>
      <c r="B584" s="1" t="n">
        <v>45462.804375</v>
      </c>
      <c r="C584" s="1" t="n">
        <v>46093</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3480-2024</t>
        </is>
      </c>
      <c r="B585" s="1" t="n">
        <v>45320.43998842593</v>
      </c>
      <c r="C585" s="1" t="n">
        <v>46093</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48722-2025</t>
        </is>
      </c>
      <c r="B586" s="1" t="n">
        <v>45935</v>
      </c>
      <c r="C586" s="1" t="n">
        <v>46093</v>
      </c>
      <c r="D586" t="inlineStr">
        <is>
          <t>SKÅNE LÄN</t>
        </is>
      </c>
      <c r="E586" t="inlineStr">
        <is>
          <t>HÄSSLEHOLM</t>
        </is>
      </c>
      <c r="G586" t="n">
        <v>4.3</v>
      </c>
      <c r="H586" t="n">
        <v>0</v>
      </c>
      <c r="I586" t="n">
        <v>0</v>
      </c>
      <c r="J586" t="n">
        <v>0</v>
      </c>
      <c r="K586" t="n">
        <v>0</v>
      </c>
      <c r="L586" t="n">
        <v>0</v>
      </c>
      <c r="M586" t="n">
        <v>0</v>
      </c>
      <c r="N586" t="n">
        <v>0</v>
      </c>
      <c r="O586" t="n">
        <v>0</v>
      </c>
      <c r="P586" t="n">
        <v>0</v>
      </c>
      <c r="Q586" t="n">
        <v>0</v>
      </c>
      <c r="R586" s="2" t="inlineStr"/>
    </row>
    <row r="587" ht="15" customHeight="1">
      <c r="A587" t="inlineStr">
        <is>
          <t>A 2290-2024</t>
        </is>
      </c>
      <c r="B587" s="1" t="n">
        <v>45310</v>
      </c>
      <c r="C587" s="1" t="n">
        <v>46093</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55218-2023</t>
        </is>
      </c>
      <c r="B588" s="1" t="n">
        <v>45237</v>
      </c>
      <c r="C588" s="1" t="n">
        <v>46093</v>
      </c>
      <c r="D588" t="inlineStr">
        <is>
          <t>SKÅNE LÄN</t>
        </is>
      </c>
      <c r="E588" t="inlineStr">
        <is>
          <t>HÄSSLEHOLM</t>
        </is>
      </c>
      <c r="G588" t="n">
        <v>2</v>
      </c>
      <c r="H588" t="n">
        <v>0</v>
      </c>
      <c r="I588" t="n">
        <v>0</v>
      </c>
      <c r="J588" t="n">
        <v>0</v>
      </c>
      <c r="K588" t="n">
        <v>0</v>
      </c>
      <c r="L588" t="n">
        <v>0</v>
      </c>
      <c r="M588" t="n">
        <v>0</v>
      </c>
      <c r="N588" t="n">
        <v>0</v>
      </c>
      <c r="O588" t="n">
        <v>0</v>
      </c>
      <c r="P588" t="n">
        <v>0</v>
      </c>
      <c r="Q588" t="n">
        <v>0</v>
      </c>
      <c r="R588" s="2" t="inlineStr"/>
    </row>
    <row r="589" ht="15" customHeight="1">
      <c r="A589" t="inlineStr">
        <is>
          <t>A 13316-2023</t>
        </is>
      </c>
      <c r="B589" s="1" t="n">
        <v>45005.39013888889</v>
      </c>
      <c r="C589" s="1" t="n">
        <v>46093</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65235-2021</t>
        </is>
      </c>
      <c r="B590" s="1" t="n">
        <v>44515</v>
      </c>
      <c r="C590" s="1" t="n">
        <v>46093</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13358-2023</t>
        </is>
      </c>
      <c r="B591" s="1" t="n">
        <v>45005</v>
      </c>
      <c r="C591" s="1" t="n">
        <v>46093</v>
      </c>
      <c r="D591" t="inlineStr">
        <is>
          <t>SKÅNE LÄN</t>
        </is>
      </c>
      <c r="E591" t="inlineStr">
        <is>
          <t>HÄSSLEHOLM</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5316-2023</t>
        </is>
      </c>
      <c r="B592" s="1" t="n">
        <v>44959</v>
      </c>
      <c r="C592" s="1" t="n">
        <v>46093</v>
      </c>
      <c r="D592" t="inlineStr">
        <is>
          <t>SKÅNE LÄN</t>
        </is>
      </c>
      <c r="E592" t="inlineStr">
        <is>
          <t>HÄSSLEHOLM</t>
        </is>
      </c>
      <c r="G592" t="n">
        <v>2.1</v>
      </c>
      <c r="H592" t="n">
        <v>0</v>
      </c>
      <c r="I592" t="n">
        <v>0</v>
      </c>
      <c r="J592" t="n">
        <v>0</v>
      </c>
      <c r="K592" t="n">
        <v>0</v>
      </c>
      <c r="L592" t="n">
        <v>0</v>
      </c>
      <c r="M592" t="n">
        <v>0</v>
      </c>
      <c r="N592" t="n">
        <v>0</v>
      </c>
      <c r="O592" t="n">
        <v>0</v>
      </c>
      <c r="P592" t="n">
        <v>0</v>
      </c>
      <c r="Q592" t="n">
        <v>0</v>
      </c>
      <c r="R592" s="2" t="inlineStr"/>
    </row>
    <row r="593" ht="15" customHeight="1">
      <c r="A593" t="inlineStr">
        <is>
          <t>A 1119-2024</t>
        </is>
      </c>
      <c r="B593" s="1" t="n">
        <v>45302</v>
      </c>
      <c r="C593" s="1" t="n">
        <v>46093</v>
      </c>
      <c r="D593" t="inlineStr">
        <is>
          <t>SKÅNE LÄN</t>
        </is>
      </c>
      <c r="E593" t="inlineStr">
        <is>
          <t>HÄSSLEHOLM</t>
        </is>
      </c>
      <c r="G593" t="n">
        <v>0.8</v>
      </c>
      <c r="H593" t="n">
        <v>0</v>
      </c>
      <c r="I593" t="n">
        <v>0</v>
      </c>
      <c r="J593" t="n">
        <v>0</v>
      </c>
      <c r="K593" t="n">
        <v>0</v>
      </c>
      <c r="L593" t="n">
        <v>0</v>
      </c>
      <c r="M593" t="n">
        <v>0</v>
      </c>
      <c r="N593" t="n">
        <v>0</v>
      </c>
      <c r="O593" t="n">
        <v>0</v>
      </c>
      <c r="P593" t="n">
        <v>0</v>
      </c>
      <c r="Q593" t="n">
        <v>0</v>
      </c>
      <c r="R593" s="2" t="inlineStr"/>
    </row>
    <row r="594" ht="15" customHeight="1">
      <c r="A594" t="inlineStr">
        <is>
          <t>A 9393-2025</t>
        </is>
      </c>
      <c r="B594" s="1" t="n">
        <v>45715.36230324074</v>
      </c>
      <c r="C594" s="1" t="n">
        <v>46093</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32794-2023</t>
        </is>
      </c>
      <c r="B595" s="1" t="n">
        <v>45124.40446759259</v>
      </c>
      <c r="C595" s="1" t="n">
        <v>46093</v>
      </c>
      <c r="D595" t="inlineStr">
        <is>
          <t>SKÅNE LÄN</t>
        </is>
      </c>
      <c r="E595" t="inlineStr">
        <is>
          <t>HÄSSLEHOLM</t>
        </is>
      </c>
      <c r="G595" t="n">
        <v>1.8</v>
      </c>
      <c r="H595" t="n">
        <v>0</v>
      </c>
      <c r="I595" t="n">
        <v>0</v>
      </c>
      <c r="J595" t="n">
        <v>0</v>
      </c>
      <c r="K595" t="n">
        <v>0</v>
      </c>
      <c r="L595" t="n">
        <v>0</v>
      </c>
      <c r="M595" t="n">
        <v>0</v>
      </c>
      <c r="N595" t="n">
        <v>0</v>
      </c>
      <c r="O595" t="n">
        <v>0</v>
      </c>
      <c r="P595" t="n">
        <v>0</v>
      </c>
      <c r="Q595" t="n">
        <v>0</v>
      </c>
      <c r="R595" s="2" t="inlineStr"/>
    </row>
    <row r="596" ht="15" customHeight="1">
      <c r="A596" t="inlineStr">
        <is>
          <t>A 28211-2022</t>
        </is>
      </c>
      <c r="B596" s="1" t="n">
        <v>44746</v>
      </c>
      <c r="C596" s="1" t="n">
        <v>46093</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12162-2023</t>
        </is>
      </c>
      <c r="B597" s="1" t="n">
        <v>44998.49619212963</v>
      </c>
      <c r="C597" s="1" t="n">
        <v>46093</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11422-2025</t>
        </is>
      </c>
      <c r="B598" s="1" t="n">
        <v>45726</v>
      </c>
      <c r="C598" s="1" t="n">
        <v>46093</v>
      </c>
      <c r="D598" t="inlineStr">
        <is>
          <t>SKÅNE LÄN</t>
        </is>
      </c>
      <c r="E598" t="inlineStr">
        <is>
          <t>HÄSSLEHOLM</t>
        </is>
      </c>
      <c r="G598" t="n">
        <v>14.9</v>
      </c>
      <c r="H598" t="n">
        <v>0</v>
      </c>
      <c r="I598" t="n">
        <v>0</v>
      </c>
      <c r="J598" t="n">
        <v>0</v>
      </c>
      <c r="K598" t="n">
        <v>0</v>
      </c>
      <c r="L598" t="n">
        <v>0</v>
      </c>
      <c r="M598" t="n">
        <v>0</v>
      </c>
      <c r="N598" t="n">
        <v>0</v>
      </c>
      <c r="O598" t="n">
        <v>0</v>
      </c>
      <c r="P598" t="n">
        <v>0</v>
      </c>
      <c r="Q598" t="n">
        <v>0</v>
      </c>
      <c r="R598" s="2" t="inlineStr"/>
    </row>
    <row r="599" ht="15" customHeight="1">
      <c r="A599" t="inlineStr">
        <is>
          <t>A 57277-2023</t>
        </is>
      </c>
      <c r="B599" s="1" t="n">
        <v>45245.59104166667</v>
      </c>
      <c r="C599" s="1" t="n">
        <v>46093</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14702-2025</t>
        </is>
      </c>
      <c r="B600" s="1" t="n">
        <v>45742.60403935185</v>
      </c>
      <c r="C600" s="1" t="n">
        <v>46093</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9669-2025</t>
        </is>
      </c>
      <c r="B601" s="1" t="n">
        <v>45716.32921296296</v>
      </c>
      <c r="C601" s="1" t="n">
        <v>46093</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49135-2025</t>
        </is>
      </c>
      <c r="B602" s="1" t="n">
        <v>45938.00990740741</v>
      </c>
      <c r="C602" s="1" t="n">
        <v>46093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49136-2025</t>
        </is>
      </c>
      <c r="B603" s="1" t="n">
        <v>45938.01277777777</v>
      </c>
      <c r="C603" s="1" t="n">
        <v>46093</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49137-2025</t>
        </is>
      </c>
      <c r="B604" s="1" t="n">
        <v>45938.05672453704</v>
      </c>
      <c r="C604" s="1" t="n">
        <v>46093</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59109-2023</t>
        </is>
      </c>
      <c r="B605" s="1" t="n">
        <v>45253.30819444444</v>
      </c>
      <c r="C605" s="1" t="n">
        <v>46093</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9611-2025</t>
        </is>
      </c>
      <c r="B606" s="1" t="n">
        <v>45715</v>
      </c>
      <c r="C606" s="1" t="n">
        <v>46093</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5284-2023</t>
        </is>
      </c>
      <c r="B607" s="1" t="n">
        <v>44959.50608796296</v>
      </c>
      <c r="C607" s="1" t="n">
        <v>46093</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5285-2023</t>
        </is>
      </c>
      <c r="B608" s="1" t="n">
        <v>44959.50783564815</v>
      </c>
      <c r="C608" s="1" t="n">
        <v>46093</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57272-2023</t>
        </is>
      </c>
      <c r="B609" s="1" t="n">
        <v>45245</v>
      </c>
      <c r="C609" s="1" t="n">
        <v>46093</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2479-2024</t>
        </is>
      </c>
      <c r="B610" s="1" t="n">
        <v>45313.40148148148</v>
      </c>
      <c r="C610" s="1" t="n">
        <v>46093</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58888-2024</t>
        </is>
      </c>
      <c r="B611" s="1" t="n">
        <v>45636.45962962963</v>
      </c>
      <c r="C611" s="1" t="n">
        <v>46093</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49845-2025</t>
        </is>
      </c>
      <c r="B612" s="1" t="n">
        <v>45940.48015046296</v>
      </c>
      <c r="C612" s="1" t="n">
        <v>46093</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31160-2024</t>
        </is>
      </c>
      <c r="B613" s="1" t="n">
        <v>45503</v>
      </c>
      <c r="C613" s="1" t="n">
        <v>46093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21028-2021</t>
        </is>
      </c>
      <c r="B614" s="1" t="n">
        <v>44319</v>
      </c>
      <c r="C614" s="1" t="n">
        <v>46093</v>
      </c>
      <c r="D614" t="inlineStr">
        <is>
          <t>SKÅNE LÄN</t>
        </is>
      </c>
      <c r="E614" t="inlineStr">
        <is>
          <t>HÄSSLEHOLM</t>
        </is>
      </c>
      <c r="G614" t="n">
        <v>3.1</v>
      </c>
      <c r="H614" t="n">
        <v>0</v>
      </c>
      <c r="I614" t="n">
        <v>0</v>
      </c>
      <c r="J614" t="n">
        <v>0</v>
      </c>
      <c r="K614" t="n">
        <v>0</v>
      </c>
      <c r="L614" t="n">
        <v>0</v>
      </c>
      <c r="M614" t="n">
        <v>0</v>
      </c>
      <c r="N614" t="n">
        <v>0</v>
      </c>
      <c r="O614" t="n">
        <v>0</v>
      </c>
      <c r="P614" t="n">
        <v>0</v>
      </c>
      <c r="Q614" t="n">
        <v>0</v>
      </c>
      <c r="R614" s="2" t="inlineStr"/>
    </row>
    <row r="615" ht="15" customHeight="1">
      <c r="A615" t="inlineStr">
        <is>
          <t>A 50664-2023</t>
        </is>
      </c>
      <c r="B615" s="1" t="n">
        <v>45217</v>
      </c>
      <c r="C615" s="1" t="n">
        <v>46093</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56490-2021</t>
        </is>
      </c>
      <c r="B616" s="1" t="n">
        <v>44480</v>
      </c>
      <c r="C616" s="1" t="n">
        <v>46093</v>
      </c>
      <c r="D616" t="inlineStr">
        <is>
          <t>SKÅNE LÄN</t>
        </is>
      </c>
      <c r="E616" t="inlineStr">
        <is>
          <t>HÄSSLEHOLM</t>
        </is>
      </c>
      <c r="F616" t="inlineStr">
        <is>
          <t>Kyrkan</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417-2022</t>
        </is>
      </c>
      <c r="B617" s="1" t="n">
        <v>44565.84615740741</v>
      </c>
      <c r="C617" s="1" t="n">
        <v>46093</v>
      </c>
      <c r="D617" t="inlineStr">
        <is>
          <t>SKÅNE LÄN</t>
        </is>
      </c>
      <c r="E617" t="inlineStr">
        <is>
          <t>HÄSSLEHOLM</t>
        </is>
      </c>
      <c r="G617" t="n">
        <v>0</v>
      </c>
      <c r="H617" t="n">
        <v>0</v>
      </c>
      <c r="I617" t="n">
        <v>0</v>
      </c>
      <c r="J617" t="n">
        <v>0</v>
      </c>
      <c r="K617" t="n">
        <v>0</v>
      </c>
      <c r="L617" t="n">
        <v>0</v>
      </c>
      <c r="M617" t="n">
        <v>0</v>
      </c>
      <c r="N617" t="n">
        <v>0</v>
      </c>
      <c r="O617" t="n">
        <v>0</v>
      </c>
      <c r="P617" t="n">
        <v>0</v>
      </c>
      <c r="Q617" t="n">
        <v>0</v>
      </c>
      <c r="R617" s="2" t="inlineStr"/>
    </row>
    <row r="618" ht="15" customHeight="1">
      <c r="A618" t="inlineStr">
        <is>
          <t>A 61934-2023</t>
        </is>
      </c>
      <c r="B618" s="1" t="n">
        <v>45266.54125</v>
      </c>
      <c r="C618" s="1" t="n">
        <v>46093</v>
      </c>
      <c r="D618" t="inlineStr">
        <is>
          <t>SKÅNE LÄN</t>
        </is>
      </c>
      <c r="E618" t="inlineStr">
        <is>
          <t>HÄSSLEHOLM</t>
        </is>
      </c>
      <c r="G618" t="n">
        <v>1.4</v>
      </c>
      <c r="H618" t="n">
        <v>0</v>
      </c>
      <c r="I618" t="n">
        <v>0</v>
      </c>
      <c r="J618" t="n">
        <v>0</v>
      </c>
      <c r="K618" t="n">
        <v>0</v>
      </c>
      <c r="L618" t="n">
        <v>0</v>
      </c>
      <c r="M618" t="n">
        <v>0</v>
      </c>
      <c r="N618" t="n">
        <v>0</v>
      </c>
      <c r="O618" t="n">
        <v>0</v>
      </c>
      <c r="P618" t="n">
        <v>0</v>
      </c>
      <c r="Q618" t="n">
        <v>0</v>
      </c>
      <c r="R618" s="2" t="inlineStr"/>
    </row>
    <row r="619" ht="15" customHeight="1">
      <c r="A619" t="inlineStr">
        <is>
          <t>A 41459-2022</t>
        </is>
      </c>
      <c r="B619" s="1" t="n">
        <v>44826.93372685185</v>
      </c>
      <c r="C619" s="1" t="n">
        <v>46093</v>
      </c>
      <c r="D619" t="inlineStr">
        <is>
          <t>SKÅNE LÄN</t>
        </is>
      </c>
      <c r="E619" t="inlineStr">
        <is>
          <t>HÄSSLEHOLM</t>
        </is>
      </c>
      <c r="G619" t="n">
        <v>2.3</v>
      </c>
      <c r="H619" t="n">
        <v>0</v>
      </c>
      <c r="I619" t="n">
        <v>0</v>
      </c>
      <c r="J619" t="n">
        <v>0</v>
      </c>
      <c r="K619" t="n">
        <v>0</v>
      </c>
      <c r="L619" t="n">
        <v>0</v>
      </c>
      <c r="M619" t="n">
        <v>0</v>
      </c>
      <c r="N619" t="n">
        <v>0</v>
      </c>
      <c r="O619" t="n">
        <v>0</v>
      </c>
      <c r="P619" t="n">
        <v>0</v>
      </c>
      <c r="Q619" t="n">
        <v>0</v>
      </c>
      <c r="R619" s="2" t="inlineStr"/>
    </row>
    <row r="620" ht="15" customHeight="1">
      <c r="A620" t="inlineStr">
        <is>
          <t>A 6165-2023</t>
        </is>
      </c>
      <c r="B620" s="1" t="n">
        <v>44964.67114583333</v>
      </c>
      <c r="C620" s="1" t="n">
        <v>46093</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19151-2023</t>
        </is>
      </c>
      <c r="B621" s="1" t="n">
        <v>45044</v>
      </c>
      <c r="C621" s="1" t="n">
        <v>46093</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16017-2023</t>
        </is>
      </c>
      <c r="B622" s="1" t="n">
        <v>45026</v>
      </c>
      <c r="C622" s="1" t="n">
        <v>46093</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54658-2023</t>
        </is>
      </c>
      <c r="B623" s="1" t="n">
        <v>45235</v>
      </c>
      <c r="C623" s="1" t="n">
        <v>46093</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31989-2024</t>
        </is>
      </c>
      <c r="B624" s="1" t="n">
        <v>45510.58085648148</v>
      </c>
      <c r="C624" s="1" t="n">
        <v>46093</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35640-2023</t>
        </is>
      </c>
      <c r="B625" s="1" t="n">
        <v>45147</v>
      </c>
      <c r="C625" s="1" t="n">
        <v>46093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42370-2023</t>
        </is>
      </c>
      <c r="B626" s="1" t="n">
        <v>45180</v>
      </c>
      <c r="C626" s="1" t="n">
        <v>46093</v>
      </c>
      <c r="D626" t="inlineStr">
        <is>
          <t>SKÅNE LÄN</t>
        </is>
      </c>
      <c r="E626" t="inlineStr">
        <is>
          <t>HÄSSLEHOLM</t>
        </is>
      </c>
      <c r="G626" t="n">
        <v>2.6</v>
      </c>
      <c r="H626" t="n">
        <v>0</v>
      </c>
      <c r="I626" t="n">
        <v>0</v>
      </c>
      <c r="J626" t="n">
        <v>0</v>
      </c>
      <c r="K626" t="n">
        <v>0</v>
      </c>
      <c r="L626" t="n">
        <v>0</v>
      </c>
      <c r="M626" t="n">
        <v>0</v>
      </c>
      <c r="N626" t="n">
        <v>0</v>
      </c>
      <c r="O626" t="n">
        <v>0</v>
      </c>
      <c r="P626" t="n">
        <v>0</v>
      </c>
      <c r="Q626" t="n">
        <v>0</v>
      </c>
      <c r="R626" s="2" t="inlineStr"/>
    </row>
    <row r="627" ht="15" customHeight="1">
      <c r="A627" t="inlineStr">
        <is>
          <t>A 24904-2025</t>
        </is>
      </c>
      <c r="B627" s="1" t="n">
        <v>45799</v>
      </c>
      <c r="C627" s="1" t="n">
        <v>46093</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50676-2025</t>
        </is>
      </c>
      <c r="B628" s="1" t="n">
        <v>45945</v>
      </c>
      <c r="C628" s="1" t="n">
        <v>46093</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48771-2024</t>
        </is>
      </c>
      <c r="B629" s="1" t="n">
        <v>45593.61284722222</v>
      </c>
      <c r="C629" s="1" t="n">
        <v>46093</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24241-2023</t>
        </is>
      </c>
      <c r="B630" s="1" t="n">
        <v>45079.61476851852</v>
      </c>
      <c r="C630" s="1" t="n">
        <v>46093</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50677-2025</t>
        </is>
      </c>
      <c r="B631" s="1" t="n">
        <v>45945</v>
      </c>
      <c r="C631" s="1" t="n">
        <v>46093</v>
      </c>
      <c r="D631" t="inlineStr">
        <is>
          <t>SKÅNE LÄN</t>
        </is>
      </c>
      <c r="E631" t="inlineStr">
        <is>
          <t>HÄSSLEHOLM</t>
        </is>
      </c>
      <c r="G631" t="n">
        <v>2.3</v>
      </c>
      <c r="H631" t="n">
        <v>0</v>
      </c>
      <c r="I631" t="n">
        <v>0</v>
      </c>
      <c r="J631" t="n">
        <v>0</v>
      </c>
      <c r="K631" t="n">
        <v>0</v>
      </c>
      <c r="L631" t="n">
        <v>0</v>
      </c>
      <c r="M631" t="n">
        <v>0</v>
      </c>
      <c r="N631" t="n">
        <v>0</v>
      </c>
      <c r="O631" t="n">
        <v>0</v>
      </c>
      <c r="P631" t="n">
        <v>0</v>
      </c>
      <c r="Q631" t="n">
        <v>0</v>
      </c>
      <c r="R631" s="2" t="inlineStr"/>
    </row>
    <row r="632" ht="15" customHeight="1">
      <c r="A632" t="inlineStr">
        <is>
          <t>A 23987-2024</t>
        </is>
      </c>
      <c r="B632" s="1" t="n">
        <v>45456</v>
      </c>
      <c r="C632" s="1" t="n">
        <v>46093</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50834-2025</t>
        </is>
      </c>
      <c r="B633" s="1" t="n">
        <v>45946.55746527778</v>
      </c>
      <c r="C633" s="1" t="n">
        <v>46093</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19739-2023</t>
        </is>
      </c>
      <c r="B634" s="1" t="n">
        <v>45051</v>
      </c>
      <c r="C634" s="1" t="n">
        <v>46093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16951-2025</t>
        </is>
      </c>
      <c r="B635" s="1" t="n">
        <v>45755</v>
      </c>
      <c r="C635" s="1" t="n">
        <v>46093</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59246-2024</t>
        </is>
      </c>
      <c r="B636" s="1" t="n">
        <v>45636</v>
      </c>
      <c r="C636" s="1" t="n">
        <v>46093</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50839-2025</t>
        </is>
      </c>
      <c r="B637" s="1" t="n">
        <v>45946</v>
      </c>
      <c r="C637" s="1" t="n">
        <v>46093</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50678-2025</t>
        </is>
      </c>
      <c r="B638" s="1" t="n">
        <v>45945</v>
      </c>
      <c r="C638" s="1" t="n">
        <v>46093</v>
      </c>
      <c r="D638" t="inlineStr">
        <is>
          <t>SKÅNE LÄN</t>
        </is>
      </c>
      <c r="E638" t="inlineStr">
        <is>
          <t>HÄSSLEHOLM</t>
        </is>
      </c>
      <c r="G638" t="n">
        <v>1.2</v>
      </c>
      <c r="H638" t="n">
        <v>0</v>
      </c>
      <c r="I638" t="n">
        <v>0</v>
      </c>
      <c r="J638" t="n">
        <v>0</v>
      </c>
      <c r="K638" t="n">
        <v>0</v>
      </c>
      <c r="L638" t="n">
        <v>0</v>
      </c>
      <c r="M638" t="n">
        <v>0</v>
      </c>
      <c r="N638" t="n">
        <v>0</v>
      </c>
      <c r="O638" t="n">
        <v>0</v>
      </c>
      <c r="P638" t="n">
        <v>0</v>
      </c>
      <c r="Q638" t="n">
        <v>0</v>
      </c>
      <c r="R638" s="2" t="inlineStr"/>
    </row>
    <row r="639" ht="15" customHeight="1">
      <c r="A639" t="inlineStr">
        <is>
          <t>A 23666-2023</t>
        </is>
      </c>
      <c r="B639" s="1" t="n">
        <v>45077</v>
      </c>
      <c r="C639" s="1" t="n">
        <v>46093</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1886-2025</t>
        </is>
      </c>
      <c r="B640" s="1" t="n">
        <v>45671</v>
      </c>
      <c r="C640" s="1" t="n">
        <v>46093</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18063-2023</t>
        </is>
      </c>
      <c r="B641" s="1" t="n">
        <v>45040.62850694444</v>
      </c>
      <c r="C641" s="1" t="n">
        <v>46093</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15536-2025</t>
        </is>
      </c>
      <c r="B642" s="1" t="n">
        <v>45747</v>
      </c>
      <c r="C642" s="1" t="n">
        <v>46093</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50829-2025</t>
        </is>
      </c>
      <c r="B643" s="1" t="n">
        <v>45946.55309027778</v>
      </c>
      <c r="C643" s="1" t="n">
        <v>46093</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35237-2023</t>
        </is>
      </c>
      <c r="B644" s="1" t="n">
        <v>45145.74532407407</v>
      </c>
      <c r="C644" s="1" t="n">
        <v>46093</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49824-2024</t>
        </is>
      </c>
      <c r="B645" s="1" t="n">
        <v>45597</v>
      </c>
      <c r="C645" s="1" t="n">
        <v>46093</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14674-2025</t>
        </is>
      </c>
      <c r="B646" s="1" t="n">
        <v>45742.55548611111</v>
      </c>
      <c r="C646" s="1" t="n">
        <v>46093</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260-2024</t>
        </is>
      </c>
      <c r="B647" s="1" t="n">
        <v>45294</v>
      </c>
      <c r="C647" s="1" t="n">
        <v>46093</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57275-2023</t>
        </is>
      </c>
      <c r="B648" s="1" t="n">
        <v>45245.58886574074</v>
      </c>
      <c r="C648" s="1" t="n">
        <v>46093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54777-2022</t>
        </is>
      </c>
      <c r="B649" s="1" t="n">
        <v>44883</v>
      </c>
      <c r="C649" s="1" t="n">
        <v>46093</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51024-2025</t>
        </is>
      </c>
      <c r="B650" s="1" t="n">
        <v>45947.395</v>
      </c>
      <c r="C650" s="1" t="n">
        <v>46093</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37286-2025</t>
        </is>
      </c>
      <c r="B651" s="1" t="n">
        <v>45876.50116898148</v>
      </c>
      <c r="C651" s="1" t="n">
        <v>46093</v>
      </c>
      <c r="D651" t="inlineStr">
        <is>
          <t>SKÅNE LÄN</t>
        </is>
      </c>
      <c r="E651" t="inlineStr">
        <is>
          <t>HÄSSLEHOLM</t>
        </is>
      </c>
      <c r="G651" t="n">
        <v>2.9</v>
      </c>
      <c r="H651" t="n">
        <v>0</v>
      </c>
      <c r="I651" t="n">
        <v>0</v>
      </c>
      <c r="J651" t="n">
        <v>0</v>
      </c>
      <c r="K651" t="n">
        <v>0</v>
      </c>
      <c r="L651" t="n">
        <v>0</v>
      </c>
      <c r="M651" t="n">
        <v>0</v>
      </c>
      <c r="N651" t="n">
        <v>0</v>
      </c>
      <c r="O651" t="n">
        <v>0</v>
      </c>
      <c r="P651" t="n">
        <v>0</v>
      </c>
      <c r="Q651" t="n">
        <v>0</v>
      </c>
      <c r="R651" s="2" t="inlineStr"/>
    </row>
    <row r="652" ht="15" customHeight="1">
      <c r="A652" t="inlineStr">
        <is>
          <t>A 27304-2023</t>
        </is>
      </c>
      <c r="B652" s="1" t="n">
        <v>45096.65199074074</v>
      </c>
      <c r="C652" s="1" t="n">
        <v>46093</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37271-2025</t>
        </is>
      </c>
      <c r="B653" s="1" t="n">
        <v>45876.47828703704</v>
      </c>
      <c r="C653" s="1" t="n">
        <v>46093</v>
      </c>
      <c r="D653" t="inlineStr">
        <is>
          <t>SKÅNE LÄN</t>
        </is>
      </c>
      <c r="E653" t="inlineStr">
        <is>
          <t>HÄSSLEHOLM</t>
        </is>
      </c>
      <c r="G653" t="n">
        <v>4.1</v>
      </c>
      <c r="H653" t="n">
        <v>0</v>
      </c>
      <c r="I653" t="n">
        <v>0</v>
      </c>
      <c r="J653" t="n">
        <v>0</v>
      </c>
      <c r="K653" t="n">
        <v>0</v>
      </c>
      <c r="L653" t="n">
        <v>0</v>
      </c>
      <c r="M653" t="n">
        <v>0</v>
      </c>
      <c r="N653" t="n">
        <v>0</v>
      </c>
      <c r="O653" t="n">
        <v>0</v>
      </c>
      <c r="P653" t="n">
        <v>0</v>
      </c>
      <c r="Q653" t="n">
        <v>0</v>
      </c>
      <c r="R653" s="2" t="inlineStr"/>
    </row>
    <row r="654" ht="15" customHeight="1">
      <c r="A654" t="inlineStr">
        <is>
          <t>A 51097-2025</t>
        </is>
      </c>
      <c r="B654" s="1" t="n">
        <v>45947.48018518519</v>
      </c>
      <c r="C654" s="1" t="n">
        <v>46093</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23683-2023</t>
        </is>
      </c>
      <c r="B655" s="1" t="n">
        <v>45077</v>
      </c>
      <c r="C655" s="1" t="n">
        <v>46093</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48191-2021</t>
        </is>
      </c>
      <c r="B656" s="1" t="n">
        <v>44449</v>
      </c>
      <c r="C656" s="1" t="n">
        <v>46093</v>
      </c>
      <c r="D656" t="inlineStr">
        <is>
          <t>SKÅNE LÄN</t>
        </is>
      </c>
      <c r="E656" t="inlineStr">
        <is>
          <t>HÄSSLEHOLM</t>
        </is>
      </c>
      <c r="G656" t="n">
        <v>6</v>
      </c>
      <c r="H656" t="n">
        <v>0</v>
      </c>
      <c r="I656" t="n">
        <v>0</v>
      </c>
      <c r="J656" t="n">
        <v>0</v>
      </c>
      <c r="K656" t="n">
        <v>0</v>
      </c>
      <c r="L656" t="n">
        <v>0</v>
      </c>
      <c r="M656" t="n">
        <v>0</v>
      </c>
      <c r="N656" t="n">
        <v>0</v>
      </c>
      <c r="O656" t="n">
        <v>0</v>
      </c>
      <c r="P656" t="n">
        <v>0</v>
      </c>
      <c r="Q656" t="n">
        <v>0</v>
      </c>
      <c r="R656" s="2" t="inlineStr"/>
    </row>
    <row r="657" ht="15" customHeight="1">
      <c r="A657" t="inlineStr">
        <is>
          <t>A 23955-2023</t>
        </is>
      </c>
      <c r="B657" s="1" t="n">
        <v>45078.62217592593</v>
      </c>
      <c r="C657" s="1" t="n">
        <v>46093</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6845-2023</t>
        </is>
      </c>
      <c r="B658" s="1" t="n">
        <v>44967</v>
      </c>
      <c r="C658" s="1" t="n">
        <v>46093</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51795-2025</t>
        </is>
      </c>
      <c r="B659" s="1" t="n">
        <v>45951</v>
      </c>
      <c r="C659" s="1" t="n">
        <v>46093</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51796-2025</t>
        </is>
      </c>
      <c r="B660" s="1" t="n">
        <v>45951.74546296296</v>
      </c>
      <c r="C660" s="1" t="n">
        <v>46093</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32834-2024</t>
        </is>
      </c>
      <c r="B661" s="1" t="n">
        <v>45516.6025</v>
      </c>
      <c r="C661" s="1" t="n">
        <v>46093</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23860-2024</t>
        </is>
      </c>
      <c r="B662" s="1" t="n">
        <v>45455</v>
      </c>
      <c r="C662" s="1" t="n">
        <v>46093</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524-2024</t>
        </is>
      </c>
      <c r="B663" s="1" t="n">
        <v>45299</v>
      </c>
      <c r="C663" s="1" t="n">
        <v>46093</v>
      </c>
      <c r="D663" t="inlineStr">
        <is>
          <t>SKÅNE LÄN</t>
        </is>
      </c>
      <c r="E663" t="inlineStr">
        <is>
          <t>HÄSSLEHOLM</t>
        </is>
      </c>
      <c r="G663" t="n">
        <v>29.4</v>
      </c>
      <c r="H663" t="n">
        <v>0</v>
      </c>
      <c r="I663" t="n">
        <v>0</v>
      </c>
      <c r="J663" t="n">
        <v>0</v>
      </c>
      <c r="K663" t="n">
        <v>0</v>
      </c>
      <c r="L663" t="n">
        <v>0</v>
      </c>
      <c r="M663" t="n">
        <v>0</v>
      </c>
      <c r="N663" t="n">
        <v>0</v>
      </c>
      <c r="O663" t="n">
        <v>0</v>
      </c>
      <c r="P663" t="n">
        <v>0</v>
      </c>
      <c r="Q663" t="n">
        <v>0</v>
      </c>
      <c r="R663" s="2" t="inlineStr"/>
    </row>
    <row r="664" ht="15" customHeight="1">
      <c r="A664" t="inlineStr">
        <is>
          <t>A 49199-2024</t>
        </is>
      </c>
      <c r="B664" s="1" t="n">
        <v>45595</v>
      </c>
      <c r="C664" s="1" t="n">
        <v>46093</v>
      </c>
      <c r="D664" t="inlineStr">
        <is>
          <t>SKÅNE LÄN</t>
        </is>
      </c>
      <c r="E664" t="inlineStr">
        <is>
          <t>HÄSSLEHOLM</t>
        </is>
      </c>
      <c r="G664" t="n">
        <v>5.2</v>
      </c>
      <c r="H664" t="n">
        <v>0</v>
      </c>
      <c r="I664" t="n">
        <v>0</v>
      </c>
      <c r="J664" t="n">
        <v>0</v>
      </c>
      <c r="K664" t="n">
        <v>0</v>
      </c>
      <c r="L664" t="n">
        <v>0</v>
      </c>
      <c r="M664" t="n">
        <v>0</v>
      </c>
      <c r="N664" t="n">
        <v>0</v>
      </c>
      <c r="O664" t="n">
        <v>0</v>
      </c>
      <c r="P664" t="n">
        <v>0</v>
      </c>
      <c r="Q664" t="n">
        <v>0</v>
      </c>
      <c r="R664" s="2" t="inlineStr"/>
    </row>
    <row r="665" ht="15" customHeight="1">
      <c r="A665" t="inlineStr">
        <is>
          <t>A 51640-2025</t>
        </is>
      </c>
      <c r="B665" s="1" t="n">
        <v>45951.44361111111</v>
      </c>
      <c r="C665" s="1" t="n">
        <v>46093</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51597-2025</t>
        </is>
      </c>
      <c r="B666" s="1" t="n">
        <v>45951.37163194444</v>
      </c>
      <c r="C666" s="1" t="n">
        <v>46093</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58886-2024</t>
        </is>
      </c>
      <c r="B667" s="1" t="n">
        <v>45636.45380787037</v>
      </c>
      <c r="C667" s="1" t="n">
        <v>46093</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52126-2025</t>
        </is>
      </c>
      <c r="B668" s="1" t="n">
        <v>45952.72109953704</v>
      </c>
      <c r="C668" s="1" t="n">
        <v>46093</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13345-2025</t>
        </is>
      </c>
      <c r="B669" s="1" t="n">
        <v>45735.63017361111</v>
      </c>
      <c r="C669" s="1" t="n">
        <v>46093</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54518-2022</t>
        </is>
      </c>
      <c r="B670" s="1" t="n">
        <v>44882</v>
      </c>
      <c r="C670" s="1" t="n">
        <v>46093</v>
      </c>
      <c r="D670" t="inlineStr">
        <is>
          <t>SKÅNE LÄN</t>
        </is>
      </c>
      <c r="E670" t="inlineStr">
        <is>
          <t>HÄSSLEHOLM</t>
        </is>
      </c>
      <c r="F670" t="inlineStr">
        <is>
          <t>Övriga Aktiebolag</t>
        </is>
      </c>
      <c r="G670" t="n">
        <v>6.8</v>
      </c>
      <c r="H670" t="n">
        <v>0</v>
      </c>
      <c r="I670" t="n">
        <v>0</v>
      </c>
      <c r="J670" t="n">
        <v>0</v>
      </c>
      <c r="K670" t="n">
        <v>0</v>
      </c>
      <c r="L670" t="n">
        <v>0</v>
      </c>
      <c r="M670" t="n">
        <v>0</v>
      </c>
      <c r="N670" t="n">
        <v>0</v>
      </c>
      <c r="O670" t="n">
        <v>0</v>
      </c>
      <c r="P670" t="n">
        <v>0</v>
      </c>
      <c r="Q670" t="n">
        <v>0</v>
      </c>
      <c r="R670" s="2" t="inlineStr"/>
    </row>
    <row r="671" ht="15" customHeight="1">
      <c r="A671" t="inlineStr">
        <is>
          <t>A 7094-2023</t>
        </is>
      </c>
      <c r="B671" s="1" t="n">
        <v>44970.36958333333</v>
      </c>
      <c r="C671" s="1" t="n">
        <v>46093</v>
      </c>
      <c r="D671" t="inlineStr">
        <is>
          <t>SKÅNE LÄN</t>
        </is>
      </c>
      <c r="E671" t="inlineStr">
        <is>
          <t>HÄSSLEHOLM</t>
        </is>
      </c>
      <c r="G671" t="n">
        <v>3.6</v>
      </c>
      <c r="H671" t="n">
        <v>0</v>
      </c>
      <c r="I671" t="n">
        <v>0</v>
      </c>
      <c r="J671" t="n">
        <v>0</v>
      </c>
      <c r="K671" t="n">
        <v>0</v>
      </c>
      <c r="L671" t="n">
        <v>0</v>
      </c>
      <c r="M671" t="n">
        <v>0</v>
      </c>
      <c r="N671" t="n">
        <v>0</v>
      </c>
      <c r="O671" t="n">
        <v>0</v>
      </c>
      <c r="P671" t="n">
        <v>0</v>
      </c>
      <c r="Q671" t="n">
        <v>0</v>
      </c>
      <c r="R671" s="2" t="inlineStr"/>
    </row>
    <row r="672" ht="15" customHeight="1">
      <c r="A672" t="inlineStr">
        <is>
          <t>A 3500-2024</t>
        </is>
      </c>
      <c r="B672" s="1" t="n">
        <v>45320</v>
      </c>
      <c r="C672" s="1" t="n">
        <v>46093</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32981-2025</t>
        </is>
      </c>
      <c r="B673" s="1" t="n">
        <v>45839.86820601852</v>
      </c>
      <c r="C673" s="1" t="n">
        <v>46093</v>
      </c>
      <c r="D673" t="inlineStr">
        <is>
          <t>SKÅNE LÄN</t>
        </is>
      </c>
      <c r="E673" t="inlineStr">
        <is>
          <t>HÄSSLEHOLM</t>
        </is>
      </c>
      <c r="G673" t="n">
        <v>2.7</v>
      </c>
      <c r="H673" t="n">
        <v>0</v>
      </c>
      <c r="I673" t="n">
        <v>0</v>
      </c>
      <c r="J673" t="n">
        <v>0</v>
      </c>
      <c r="K673" t="n">
        <v>0</v>
      </c>
      <c r="L673" t="n">
        <v>0</v>
      </c>
      <c r="M673" t="n">
        <v>0</v>
      </c>
      <c r="N673" t="n">
        <v>0</v>
      </c>
      <c r="O673" t="n">
        <v>0</v>
      </c>
      <c r="P673" t="n">
        <v>0</v>
      </c>
      <c r="Q673" t="n">
        <v>0</v>
      </c>
      <c r="R673" s="2" t="inlineStr"/>
    </row>
    <row r="674" ht="15" customHeight="1">
      <c r="A674" t="inlineStr">
        <is>
          <t>A 12469-2023</t>
        </is>
      </c>
      <c r="B674" s="1" t="n">
        <v>44999.62109953703</v>
      </c>
      <c r="C674" s="1" t="n">
        <v>46093</v>
      </c>
      <c r="D674" t="inlineStr">
        <is>
          <t>SKÅNE LÄN</t>
        </is>
      </c>
      <c r="E674" t="inlineStr">
        <is>
          <t>HÄSSLEHOLM</t>
        </is>
      </c>
      <c r="G674" t="n">
        <v>2.6</v>
      </c>
      <c r="H674" t="n">
        <v>0</v>
      </c>
      <c r="I674" t="n">
        <v>0</v>
      </c>
      <c r="J674" t="n">
        <v>0</v>
      </c>
      <c r="K674" t="n">
        <v>0</v>
      </c>
      <c r="L674" t="n">
        <v>0</v>
      </c>
      <c r="M674" t="n">
        <v>0</v>
      </c>
      <c r="N674" t="n">
        <v>0</v>
      </c>
      <c r="O674" t="n">
        <v>0</v>
      </c>
      <c r="P674" t="n">
        <v>0</v>
      </c>
      <c r="Q674" t="n">
        <v>0</v>
      </c>
      <c r="R674" s="2" t="inlineStr"/>
    </row>
    <row r="675" ht="15" customHeight="1">
      <c r="A675" t="inlineStr">
        <is>
          <t>A 11266-2025</t>
        </is>
      </c>
      <c r="B675" s="1" t="n">
        <v>45726</v>
      </c>
      <c r="C675" s="1" t="n">
        <v>46093</v>
      </c>
      <c r="D675" t="inlineStr">
        <is>
          <t>SKÅNE LÄN</t>
        </is>
      </c>
      <c r="E675" t="inlineStr">
        <is>
          <t>HÄSSLEHOLM</t>
        </is>
      </c>
      <c r="G675" t="n">
        <v>0.3</v>
      </c>
      <c r="H675" t="n">
        <v>0</v>
      </c>
      <c r="I675" t="n">
        <v>0</v>
      </c>
      <c r="J675" t="n">
        <v>0</v>
      </c>
      <c r="K675" t="n">
        <v>0</v>
      </c>
      <c r="L675" t="n">
        <v>0</v>
      </c>
      <c r="M675" t="n">
        <v>0</v>
      </c>
      <c r="N675" t="n">
        <v>0</v>
      </c>
      <c r="O675" t="n">
        <v>0</v>
      </c>
      <c r="P675" t="n">
        <v>0</v>
      </c>
      <c r="Q675" t="n">
        <v>0</v>
      </c>
      <c r="R675" s="2" t="inlineStr"/>
    </row>
    <row r="676" ht="15" customHeight="1">
      <c r="A676" t="inlineStr">
        <is>
          <t>A 48663-2024</t>
        </is>
      </c>
      <c r="B676" s="1" t="n">
        <v>45593.48892361111</v>
      </c>
      <c r="C676" s="1" t="n">
        <v>46093</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49950-2023</t>
        </is>
      </c>
      <c r="B677" s="1" t="n">
        <v>45215</v>
      </c>
      <c r="C677" s="1" t="n">
        <v>46093</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50659-2023</t>
        </is>
      </c>
      <c r="B678" s="1" t="n">
        <v>45217</v>
      </c>
      <c r="C678" s="1" t="n">
        <v>46093</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29853-2024</t>
        </is>
      </c>
      <c r="B679" s="1" t="n">
        <v>45485.65844907407</v>
      </c>
      <c r="C679" s="1" t="n">
        <v>46093</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18109-2025</t>
        </is>
      </c>
      <c r="B680" s="1" t="n">
        <v>45761</v>
      </c>
      <c r="C680" s="1" t="n">
        <v>46093</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57695-2023</t>
        </is>
      </c>
      <c r="B681" s="1" t="n">
        <v>45246</v>
      </c>
      <c r="C681" s="1" t="n">
        <v>46093</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27464-2022</t>
        </is>
      </c>
      <c r="B682" s="1" t="n">
        <v>44742.58704861111</v>
      </c>
      <c r="C682" s="1" t="n">
        <v>46093</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9615-2025</t>
        </is>
      </c>
      <c r="B683" s="1" t="n">
        <v>45715</v>
      </c>
      <c r="C683" s="1" t="n">
        <v>46093</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16862-2025</t>
        </is>
      </c>
      <c r="B684" s="1" t="n">
        <v>45751</v>
      </c>
      <c r="C684" s="1" t="n">
        <v>46093</v>
      </c>
      <c r="D684" t="inlineStr">
        <is>
          <t>SKÅNE LÄN</t>
        </is>
      </c>
      <c r="E684" t="inlineStr">
        <is>
          <t>HÄSSLEHOLM</t>
        </is>
      </c>
      <c r="G684" t="n">
        <v>2.3</v>
      </c>
      <c r="H684" t="n">
        <v>0</v>
      </c>
      <c r="I684" t="n">
        <v>0</v>
      </c>
      <c r="J684" t="n">
        <v>0</v>
      </c>
      <c r="K684" t="n">
        <v>0</v>
      </c>
      <c r="L684" t="n">
        <v>0</v>
      </c>
      <c r="M684" t="n">
        <v>0</v>
      </c>
      <c r="N684" t="n">
        <v>0</v>
      </c>
      <c r="O684" t="n">
        <v>0</v>
      </c>
      <c r="P684" t="n">
        <v>0</v>
      </c>
      <c r="Q684" t="n">
        <v>0</v>
      </c>
      <c r="R684" s="2" t="inlineStr"/>
    </row>
    <row r="685" ht="15" customHeight="1">
      <c r="A685" t="inlineStr">
        <is>
          <t>A 53018-2025</t>
        </is>
      </c>
      <c r="B685" s="1" t="n">
        <v>45957.90064814815</v>
      </c>
      <c r="C685" s="1" t="n">
        <v>46093</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50525-2024</t>
        </is>
      </c>
      <c r="B686" s="1" t="n">
        <v>45601</v>
      </c>
      <c r="C686" s="1" t="n">
        <v>46093</v>
      </c>
      <c r="D686" t="inlineStr">
        <is>
          <t>SKÅNE LÄN</t>
        </is>
      </c>
      <c r="E686" t="inlineStr">
        <is>
          <t>HÄSSLEHOLM</t>
        </is>
      </c>
      <c r="G686" t="n">
        <v>2.6</v>
      </c>
      <c r="H686" t="n">
        <v>0</v>
      </c>
      <c r="I686" t="n">
        <v>0</v>
      </c>
      <c r="J686" t="n">
        <v>0</v>
      </c>
      <c r="K686" t="n">
        <v>0</v>
      </c>
      <c r="L686" t="n">
        <v>0</v>
      </c>
      <c r="M686" t="n">
        <v>0</v>
      </c>
      <c r="N686" t="n">
        <v>0</v>
      </c>
      <c r="O686" t="n">
        <v>0</v>
      </c>
      <c r="P686" t="n">
        <v>0</v>
      </c>
      <c r="Q686" t="n">
        <v>0</v>
      </c>
      <c r="R686" s="2" t="inlineStr"/>
    </row>
    <row r="687" ht="15" customHeight="1">
      <c r="A687" t="inlineStr">
        <is>
          <t>A 53056-2025</t>
        </is>
      </c>
      <c r="B687" s="1" t="n">
        <v>45958.36518518518</v>
      </c>
      <c r="C687" s="1" t="n">
        <v>46093</v>
      </c>
      <c r="D687" t="inlineStr">
        <is>
          <t>SKÅNE LÄN</t>
        </is>
      </c>
      <c r="E687" t="inlineStr">
        <is>
          <t>HÄSSLEHOLM</t>
        </is>
      </c>
      <c r="G687" t="n">
        <v>1.5</v>
      </c>
      <c r="H687" t="n">
        <v>0</v>
      </c>
      <c r="I687" t="n">
        <v>0</v>
      </c>
      <c r="J687" t="n">
        <v>0</v>
      </c>
      <c r="K687" t="n">
        <v>0</v>
      </c>
      <c r="L687" t="n">
        <v>0</v>
      </c>
      <c r="M687" t="n">
        <v>0</v>
      </c>
      <c r="N687" t="n">
        <v>0</v>
      </c>
      <c r="O687" t="n">
        <v>0</v>
      </c>
      <c r="P687" t="n">
        <v>0</v>
      </c>
      <c r="Q687" t="n">
        <v>0</v>
      </c>
      <c r="R687" s="2" t="inlineStr"/>
    </row>
    <row r="688" ht="15" customHeight="1">
      <c r="A688" t="inlineStr">
        <is>
          <t>A 42232-2022</t>
        </is>
      </c>
      <c r="B688" s="1" t="n">
        <v>44830.77591435185</v>
      </c>
      <c r="C688" s="1" t="n">
        <v>46093</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27242-2022</t>
        </is>
      </c>
      <c r="B689" s="1" t="n">
        <v>44741</v>
      </c>
      <c r="C689" s="1" t="n">
        <v>46093</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38829-2024</t>
        </is>
      </c>
      <c r="B690" s="1" t="n">
        <v>45547.57247685185</v>
      </c>
      <c r="C690" s="1" t="n">
        <v>46093</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53020-2025</t>
        </is>
      </c>
      <c r="B691" s="1" t="n">
        <v>45957.90707175926</v>
      </c>
      <c r="C691" s="1" t="n">
        <v>46093</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27197-2021</t>
        </is>
      </c>
      <c r="B692" s="1" t="n">
        <v>44350</v>
      </c>
      <c r="C692" s="1" t="n">
        <v>46093</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25542-2024</t>
        </is>
      </c>
      <c r="B693" s="1" t="n">
        <v>45463</v>
      </c>
      <c r="C693" s="1" t="n">
        <v>46093</v>
      </c>
      <c r="D693" t="inlineStr">
        <is>
          <t>SKÅNE LÄN</t>
        </is>
      </c>
      <c r="E693" t="inlineStr">
        <is>
          <t>HÄSSLEHOLM</t>
        </is>
      </c>
      <c r="G693" t="n">
        <v>6.9</v>
      </c>
      <c r="H693" t="n">
        <v>0</v>
      </c>
      <c r="I693" t="n">
        <v>0</v>
      </c>
      <c r="J693" t="n">
        <v>0</v>
      </c>
      <c r="K693" t="n">
        <v>0</v>
      </c>
      <c r="L693" t="n">
        <v>0</v>
      </c>
      <c r="M693" t="n">
        <v>0</v>
      </c>
      <c r="N693" t="n">
        <v>0</v>
      </c>
      <c r="O693" t="n">
        <v>0</v>
      </c>
      <c r="P693" t="n">
        <v>0</v>
      </c>
      <c r="Q693" t="n">
        <v>0</v>
      </c>
      <c r="R693" s="2" t="inlineStr"/>
    </row>
    <row r="694" ht="15" customHeight="1">
      <c r="A694" t="inlineStr">
        <is>
          <t>A 55454-2021</t>
        </is>
      </c>
      <c r="B694" s="1" t="n">
        <v>44475</v>
      </c>
      <c r="C694" s="1" t="n">
        <v>46093</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61489-2024</t>
        </is>
      </c>
      <c r="B695" s="1" t="n">
        <v>45646.54875</v>
      </c>
      <c r="C695" s="1" t="n">
        <v>46093</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26879-2024</t>
        </is>
      </c>
      <c r="B696" s="1" t="n">
        <v>45470</v>
      </c>
      <c r="C696" s="1" t="n">
        <v>46093</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33465-2024</t>
        </is>
      </c>
      <c r="B697" s="1" t="n">
        <v>45519.59619212963</v>
      </c>
      <c r="C697" s="1" t="n">
        <v>46093</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53424-2025</t>
        </is>
      </c>
      <c r="B698" s="1" t="n">
        <v>45959</v>
      </c>
      <c r="C698" s="1" t="n">
        <v>46093</v>
      </c>
      <c r="D698" t="inlineStr">
        <is>
          <t>SKÅNE LÄN</t>
        </is>
      </c>
      <c r="E698" t="inlineStr">
        <is>
          <t>HÄSSLEHOLM</t>
        </is>
      </c>
      <c r="G698" t="n">
        <v>3.4</v>
      </c>
      <c r="H698" t="n">
        <v>0</v>
      </c>
      <c r="I698" t="n">
        <v>0</v>
      </c>
      <c r="J698" t="n">
        <v>0</v>
      </c>
      <c r="K698" t="n">
        <v>0</v>
      </c>
      <c r="L698" t="n">
        <v>0</v>
      </c>
      <c r="M698" t="n">
        <v>0</v>
      </c>
      <c r="N698" t="n">
        <v>0</v>
      </c>
      <c r="O698" t="n">
        <v>0</v>
      </c>
      <c r="P698" t="n">
        <v>0</v>
      </c>
      <c r="Q698" t="n">
        <v>0</v>
      </c>
      <c r="R698" s="2" t="inlineStr"/>
    </row>
    <row r="699" ht="15" customHeight="1">
      <c r="A699" t="inlineStr">
        <is>
          <t>A 59728-2022</t>
        </is>
      </c>
      <c r="B699" s="1" t="n">
        <v>44900</v>
      </c>
      <c r="C699" s="1" t="n">
        <v>46093</v>
      </c>
      <c r="D699" t="inlineStr">
        <is>
          <t>SKÅNE LÄN</t>
        </is>
      </c>
      <c r="E699" t="inlineStr">
        <is>
          <t>HÄSSLEHOLM</t>
        </is>
      </c>
      <c r="G699" t="n">
        <v>0.3</v>
      </c>
      <c r="H699" t="n">
        <v>0</v>
      </c>
      <c r="I699" t="n">
        <v>0</v>
      </c>
      <c r="J699" t="n">
        <v>0</v>
      </c>
      <c r="K699" t="n">
        <v>0</v>
      </c>
      <c r="L699" t="n">
        <v>0</v>
      </c>
      <c r="M699" t="n">
        <v>0</v>
      </c>
      <c r="N699" t="n">
        <v>0</v>
      </c>
      <c r="O699" t="n">
        <v>0</v>
      </c>
      <c r="P699" t="n">
        <v>0</v>
      </c>
      <c r="Q699" t="n">
        <v>0</v>
      </c>
      <c r="R699" s="2" t="inlineStr"/>
    </row>
    <row r="700" ht="15" customHeight="1">
      <c r="A700" t="inlineStr">
        <is>
          <t>A 31986-2023</t>
        </is>
      </c>
      <c r="B700" s="1" t="n">
        <v>45119</v>
      </c>
      <c r="C700" s="1" t="n">
        <v>46093</v>
      </c>
      <c r="D700" t="inlineStr">
        <is>
          <t>SKÅNE LÄN</t>
        </is>
      </c>
      <c r="E700" t="inlineStr">
        <is>
          <t>HÄSSLEHOLM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41209-2023</t>
        </is>
      </c>
      <c r="B701" s="1" t="n">
        <v>45174.43481481481</v>
      </c>
      <c r="C701" s="1" t="n">
        <v>46093</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61197-2024</t>
        </is>
      </c>
      <c r="B702" s="1" t="n">
        <v>45645.63184027778</v>
      </c>
      <c r="C702" s="1" t="n">
        <v>46093</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13549-2025</t>
        </is>
      </c>
      <c r="B703" s="1" t="n">
        <v>45736</v>
      </c>
      <c r="C703" s="1" t="n">
        <v>46093</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3294-2025</t>
        </is>
      </c>
      <c r="B704" s="1" t="n">
        <v>45679.64125</v>
      </c>
      <c r="C704" s="1" t="n">
        <v>46093</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35833-2023</t>
        </is>
      </c>
      <c r="B705" s="1" t="n">
        <v>45148</v>
      </c>
      <c r="C705" s="1" t="n">
        <v>46093</v>
      </c>
      <c r="D705" t="inlineStr">
        <is>
          <t>SKÅNE LÄN</t>
        </is>
      </c>
      <c r="E705" t="inlineStr">
        <is>
          <t>HÄSSLEHOLM</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13897-2024</t>
        </is>
      </c>
      <c r="B706" s="1" t="n">
        <v>45391</v>
      </c>
      <c r="C706" s="1" t="n">
        <v>46093</v>
      </c>
      <c r="D706" t="inlineStr">
        <is>
          <t>SKÅNE LÄN</t>
        </is>
      </c>
      <c r="E706" t="inlineStr">
        <is>
          <t>HÄSSLEHOLM</t>
        </is>
      </c>
      <c r="F706" t="inlineStr">
        <is>
          <t>Kommuner</t>
        </is>
      </c>
      <c r="G706" t="n">
        <v>4</v>
      </c>
      <c r="H706" t="n">
        <v>0</v>
      </c>
      <c r="I706" t="n">
        <v>0</v>
      </c>
      <c r="J706" t="n">
        <v>0</v>
      </c>
      <c r="K706" t="n">
        <v>0</v>
      </c>
      <c r="L706" t="n">
        <v>0</v>
      </c>
      <c r="M706" t="n">
        <v>0</v>
      </c>
      <c r="N706" t="n">
        <v>0</v>
      </c>
      <c r="O706" t="n">
        <v>0</v>
      </c>
      <c r="P706" t="n">
        <v>0</v>
      </c>
      <c r="Q706" t="n">
        <v>0</v>
      </c>
      <c r="R706" s="2" t="inlineStr"/>
    </row>
    <row r="707" ht="15" customHeight="1">
      <c r="A707" t="inlineStr">
        <is>
          <t>A 7604-2024</t>
        </is>
      </c>
      <c r="B707" s="1" t="n">
        <v>45348</v>
      </c>
      <c r="C707" s="1" t="n">
        <v>46093</v>
      </c>
      <c r="D707" t="inlineStr">
        <is>
          <t>SKÅNE LÄN</t>
        </is>
      </c>
      <c r="E707" t="inlineStr">
        <is>
          <t>HÄSSLEHOLM</t>
        </is>
      </c>
      <c r="G707" t="n">
        <v>11.1</v>
      </c>
      <c r="H707" t="n">
        <v>0</v>
      </c>
      <c r="I707" t="n">
        <v>0</v>
      </c>
      <c r="J707" t="n">
        <v>0</v>
      </c>
      <c r="K707" t="n">
        <v>0</v>
      </c>
      <c r="L707" t="n">
        <v>0</v>
      </c>
      <c r="M707" t="n">
        <v>0</v>
      </c>
      <c r="N707" t="n">
        <v>0</v>
      </c>
      <c r="O707" t="n">
        <v>0</v>
      </c>
      <c r="P707" t="n">
        <v>0</v>
      </c>
      <c r="Q707" t="n">
        <v>0</v>
      </c>
      <c r="R707" s="2" t="inlineStr"/>
    </row>
    <row r="708" ht="15" customHeight="1">
      <c r="A708" t="inlineStr">
        <is>
          <t>A 57491-2024</t>
        </is>
      </c>
      <c r="B708" s="1" t="n">
        <v>45629</v>
      </c>
      <c r="C708" s="1" t="n">
        <v>46093</v>
      </c>
      <c r="D708" t="inlineStr">
        <is>
          <t>SKÅNE LÄN</t>
        </is>
      </c>
      <c r="E708" t="inlineStr">
        <is>
          <t>HÄSSLEHOLM</t>
        </is>
      </c>
      <c r="G708" t="n">
        <v>3.2</v>
      </c>
      <c r="H708" t="n">
        <v>0</v>
      </c>
      <c r="I708" t="n">
        <v>0</v>
      </c>
      <c r="J708" t="n">
        <v>0</v>
      </c>
      <c r="K708" t="n">
        <v>0</v>
      </c>
      <c r="L708" t="n">
        <v>0</v>
      </c>
      <c r="M708" t="n">
        <v>0</v>
      </c>
      <c r="N708" t="n">
        <v>0</v>
      </c>
      <c r="O708" t="n">
        <v>0</v>
      </c>
      <c r="P708" t="n">
        <v>0</v>
      </c>
      <c r="Q708" t="n">
        <v>0</v>
      </c>
      <c r="R708" s="2" t="inlineStr"/>
    </row>
    <row r="709" ht="15" customHeight="1">
      <c r="A709" t="inlineStr">
        <is>
          <t>A 58250-2024</t>
        </is>
      </c>
      <c r="B709" s="1" t="n">
        <v>45632.55643518519</v>
      </c>
      <c r="C709" s="1" t="n">
        <v>46093</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26207-2021</t>
        </is>
      </c>
      <c r="B710" s="1" t="n">
        <v>44347</v>
      </c>
      <c r="C710" s="1" t="n">
        <v>46093</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1557-2023</t>
        </is>
      </c>
      <c r="B711" s="1" t="n">
        <v>44937</v>
      </c>
      <c r="C711" s="1" t="n">
        <v>46093</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36706-2022</t>
        </is>
      </c>
      <c r="B712" s="1" t="n">
        <v>44805.32891203704</v>
      </c>
      <c r="C712" s="1" t="n">
        <v>46093</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47161-2025</t>
        </is>
      </c>
      <c r="B713" s="1" t="n">
        <v>45929</v>
      </c>
      <c r="C713" s="1" t="n">
        <v>46093</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441-2022</t>
        </is>
      </c>
      <c r="B714" s="1" t="n">
        <v>44565.97125</v>
      </c>
      <c r="C714" s="1" t="n">
        <v>46093</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6798-2025</t>
        </is>
      </c>
      <c r="B715" s="1" t="n">
        <v>45700.668125</v>
      </c>
      <c r="C715" s="1" t="n">
        <v>46093</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54668-2025</t>
        </is>
      </c>
      <c r="B716" s="1" t="n">
        <v>45966.40803240741</v>
      </c>
      <c r="C716" s="1" t="n">
        <v>46093</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69357-2021</t>
        </is>
      </c>
      <c r="B717" s="1" t="n">
        <v>44531</v>
      </c>
      <c r="C717" s="1" t="n">
        <v>46093</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54763-2025</t>
        </is>
      </c>
      <c r="B718" s="1" t="n">
        <v>45966.60167824074</v>
      </c>
      <c r="C718" s="1" t="n">
        <v>46093</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37898-2021</t>
        </is>
      </c>
      <c r="B719" s="1" t="n">
        <v>44403</v>
      </c>
      <c r="C719" s="1" t="n">
        <v>46093</v>
      </c>
      <c r="D719" t="inlineStr">
        <is>
          <t>SKÅNE LÄN</t>
        </is>
      </c>
      <c r="E719" t="inlineStr">
        <is>
          <t>HÄSSLEHOLM</t>
        </is>
      </c>
      <c r="F719" t="inlineStr">
        <is>
          <t>Kommuner</t>
        </is>
      </c>
      <c r="G719" t="n">
        <v>8.4</v>
      </c>
      <c r="H719" t="n">
        <v>0</v>
      </c>
      <c r="I719" t="n">
        <v>0</v>
      </c>
      <c r="J719" t="n">
        <v>0</v>
      </c>
      <c r="K719" t="n">
        <v>0</v>
      </c>
      <c r="L719" t="n">
        <v>0</v>
      </c>
      <c r="M719" t="n">
        <v>0</v>
      </c>
      <c r="N719" t="n">
        <v>0</v>
      </c>
      <c r="O719" t="n">
        <v>0</v>
      </c>
      <c r="P719" t="n">
        <v>0</v>
      </c>
      <c r="Q719" t="n">
        <v>0</v>
      </c>
      <c r="R719" s="2" t="inlineStr"/>
    </row>
    <row r="720" ht="15" customHeight="1">
      <c r="A720" t="inlineStr">
        <is>
          <t>A 3364-2023</t>
        </is>
      </c>
      <c r="B720" s="1" t="n">
        <v>44949</v>
      </c>
      <c r="C720" s="1" t="n">
        <v>46093</v>
      </c>
      <c r="D720" t="inlineStr">
        <is>
          <t>SKÅNE LÄN</t>
        </is>
      </c>
      <c r="E720" t="inlineStr">
        <is>
          <t>HÄSSLEHOLM</t>
        </is>
      </c>
      <c r="G720" t="n">
        <v>5.1</v>
      </c>
      <c r="H720" t="n">
        <v>0</v>
      </c>
      <c r="I720" t="n">
        <v>0</v>
      </c>
      <c r="J720" t="n">
        <v>0</v>
      </c>
      <c r="K720" t="n">
        <v>0</v>
      </c>
      <c r="L720" t="n">
        <v>0</v>
      </c>
      <c r="M720" t="n">
        <v>0</v>
      </c>
      <c r="N720" t="n">
        <v>0</v>
      </c>
      <c r="O720" t="n">
        <v>0</v>
      </c>
      <c r="P720" t="n">
        <v>0</v>
      </c>
      <c r="Q720" t="n">
        <v>0</v>
      </c>
      <c r="R720" s="2" t="inlineStr"/>
    </row>
    <row r="721" ht="15" customHeight="1">
      <c r="A721" t="inlineStr">
        <is>
          <t>A 35810-2023</t>
        </is>
      </c>
      <c r="B721" s="1" t="n">
        <v>45148.44046296296</v>
      </c>
      <c r="C721" s="1" t="n">
        <v>46093</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54664-2025</t>
        </is>
      </c>
      <c r="B722" s="1" t="n">
        <v>45966.40738425926</v>
      </c>
      <c r="C722" s="1" t="n">
        <v>46093</v>
      </c>
      <c r="D722" t="inlineStr">
        <is>
          <t>SKÅNE LÄN</t>
        </is>
      </c>
      <c r="E722" t="inlineStr">
        <is>
          <t>HÄSSLEHOLM</t>
        </is>
      </c>
      <c r="G722" t="n">
        <v>1</v>
      </c>
      <c r="H722" t="n">
        <v>0</v>
      </c>
      <c r="I722" t="n">
        <v>0</v>
      </c>
      <c r="J722" t="n">
        <v>0</v>
      </c>
      <c r="K722" t="n">
        <v>0</v>
      </c>
      <c r="L722" t="n">
        <v>0</v>
      </c>
      <c r="M722" t="n">
        <v>0</v>
      </c>
      <c r="N722" t="n">
        <v>0</v>
      </c>
      <c r="O722" t="n">
        <v>0</v>
      </c>
      <c r="P722" t="n">
        <v>0</v>
      </c>
      <c r="Q722" t="n">
        <v>0</v>
      </c>
      <c r="R722" s="2" t="inlineStr"/>
    </row>
    <row r="723" ht="15" customHeight="1">
      <c r="A723" t="inlineStr">
        <is>
          <t>A 54771-2025</t>
        </is>
      </c>
      <c r="B723" s="1" t="n">
        <v>45966.60829861111</v>
      </c>
      <c r="C723" s="1" t="n">
        <v>46093</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23172-2022</t>
        </is>
      </c>
      <c r="B724" s="1" t="n">
        <v>44719</v>
      </c>
      <c r="C724" s="1" t="n">
        <v>46093</v>
      </c>
      <c r="D724" t="inlineStr">
        <is>
          <t>SKÅNE LÄN</t>
        </is>
      </c>
      <c r="E724" t="inlineStr">
        <is>
          <t>HÄSSLEHOLM</t>
        </is>
      </c>
      <c r="F724" t="inlineStr">
        <is>
          <t>Övriga Aktiebolag</t>
        </is>
      </c>
      <c r="G724" t="n">
        <v>0.9</v>
      </c>
      <c r="H724" t="n">
        <v>0</v>
      </c>
      <c r="I724" t="n">
        <v>0</v>
      </c>
      <c r="J724" t="n">
        <v>0</v>
      </c>
      <c r="K724" t="n">
        <v>0</v>
      </c>
      <c r="L724" t="n">
        <v>0</v>
      </c>
      <c r="M724" t="n">
        <v>0</v>
      </c>
      <c r="N724" t="n">
        <v>0</v>
      </c>
      <c r="O724" t="n">
        <v>0</v>
      </c>
      <c r="P724" t="n">
        <v>0</v>
      </c>
      <c r="Q724" t="n">
        <v>0</v>
      </c>
      <c r="R724" s="2" t="inlineStr"/>
    </row>
    <row r="725" ht="15" customHeight="1">
      <c r="A725" t="inlineStr">
        <is>
          <t>A 23173-2022</t>
        </is>
      </c>
      <c r="B725" s="1" t="n">
        <v>44719.72155092593</v>
      </c>
      <c r="C725" s="1" t="n">
        <v>46093</v>
      </c>
      <c r="D725" t="inlineStr">
        <is>
          <t>SKÅNE LÄN</t>
        </is>
      </c>
      <c r="E725" t="inlineStr">
        <is>
          <t>HÄSSLEHOLM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52608-2023</t>
        </is>
      </c>
      <c r="B726" s="1" t="n">
        <v>45219</v>
      </c>
      <c r="C726" s="1" t="n">
        <v>46093</v>
      </c>
      <c r="D726" t="inlineStr">
        <is>
          <t>SKÅNE LÄN</t>
        </is>
      </c>
      <c r="E726" t="inlineStr">
        <is>
          <t>HÄSSLEHOLM</t>
        </is>
      </c>
      <c r="F726" t="inlineStr">
        <is>
          <t>Övriga Aktiebolag</t>
        </is>
      </c>
      <c r="G726" t="n">
        <v>2.1</v>
      </c>
      <c r="H726" t="n">
        <v>0</v>
      </c>
      <c r="I726" t="n">
        <v>0</v>
      </c>
      <c r="J726" t="n">
        <v>0</v>
      </c>
      <c r="K726" t="n">
        <v>0</v>
      </c>
      <c r="L726" t="n">
        <v>0</v>
      </c>
      <c r="M726" t="n">
        <v>0</v>
      </c>
      <c r="N726" t="n">
        <v>0</v>
      </c>
      <c r="O726" t="n">
        <v>0</v>
      </c>
      <c r="P726" t="n">
        <v>0</v>
      </c>
      <c r="Q726" t="n">
        <v>0</v>
      </c>
      <c r="R726" s="2" t="inlineStr"/>
    </row>
    <row r="727" ht="15" customHeight="1">
      <c r="A727" t="inlineStr">
        <is>
          <t>A 43629-2023</t>
        </is>
      </c>
      <c r="B727" s="1" t="n">
        <v>45184</v>
      </c>
      <c r="C727" s="1" t="n">
        <v>46093</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8239-2025</t>
        </is>
      </c>
      <c r="B728" s="1" t="n">
        <v>45708.47984953703</v>
      </c>
      <c r="C728" s="1" t="n">
        <v>46093</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57656-2022</t>
        </is>
      </c>
      <c r="B729" s="1" t="n">
        <v>44897.4325925926</v>
      </c>
      <c r="C729" s="1" t="n">
        <v>46093</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56355-2023</t>
        </is>
      </c>
      <c r="B730" s="1" t="n">
        <v>45243.3702662037</v>
      </c>
      <c r="C730" s="1" t="n">
        <v>46093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9394-2025</t>
        </is>
      </c>
      <c r="B731" s="1" t="n">
        <v>45715.36387731481</v>
      </c>
      <c r="C731" s="1" t="n">
        <v>46093</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8250-2023</t>
        </is>
      </c>
      <c r="B732" s="1" t="n">
        <v>44974</v>
      </c>
      <c r="C732" s="1" t="n">
        <v>46093</v>
      </c>
      <c r="D732" t="inlineStr">
        <is>
          <t>SKÅNE LÄN</t>
        </is>
      </c>
      <c r="E732" t="inlineStr">
        <is>
          <t>HÄSSLEHOLM</t>
        </is>
      </c>
      <c r="G732" t="n">
        <v>3</v>
      </c>
      <c r="H732" t="n">
        <v>0</v>
      </c>
      <c r="I732" t="n">
        <v>0</v>
      </c>
      <c r="J732" t="n">
        <v>0</v>
      </c>
      <c r="K732" t="n">
        <v>0</v>
      </c>
      <c r="L732" t="n">
        <v>0</v>
      </c>
      <c r="M732" t="n">
        <v>0</v>
      </c>
      <c r="N732" t="n">
        <v>0</v>
      </c>
      <c r="O732" t="n">
        <v>0</v>
      </c>
      <c r="P732" t="n">
        <v>0</v>
      </c>
      <c r="Q732" t="n">
        <v>0</v>
      </c>
      <c r="R732" s="2" t="inlineStr"/>
    </row>
    <row r="733" ht="15" customHeight="1">
      <c r="A733" t="inlineStr">
        <is>
          <t>A 7305-2025</t>
        </is>
      </c>
      <c r="B733" s="1" t="n">
        <v>45702</v>
      </c>
      <c r="C733" s="1" t="n">
        <v>46093</v>
      </c>
      <c r="D733" t="inlineStr">
        <is>
          <t>SKÅNE LÄN</t>
        </is>
      </c>
      <c r="E733" t="inlineStr">
        <is>
          <t>HÄSSLEHOLM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6101-2022</t>
        </is>
      </c>
      <c r="B734" s="1" t="n">
        <v>44599.63016203704</v>
      </c>
      <c r="C734" s="1" t="n">
        <v>46093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52341-2023</t>
        </is>
      </c>
      <c r="B735" s="1" t="n">
        <v>45224.67006944444</v>
      </c>
      <c r="C735" s="1" t="n">
        <v>46093</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6842-2023</t>
        </is>
      </c>
      <c r="B736" s="1" t="n">
        <v>44967</v>
      </c>
      <c r="C736" s="1" t="n">
        <v>46093</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55268-2025</t>
        </is>
      </c>
      <c r="B737" s="1" t="n">
        <v>45968.6715625</v>
      </c>
      <c r="C737" s="1" t="n">
        <v>46093</v>
      </c>
      <c r="D737" t="inlineStr">
        <is>
          <t>SKÅNE LÄN</t>
        </is>
      </c>
      <c r="E737" t="inlineStr">
        <is>
          <t>HÄSSLEHOLM</t>
        </is>
      </c>
      <c r="G737" t="n">
        <v>2.8</v>
      </c>
      <c r="H737" t="n">
        <v>0</v>
      </c>
      <c r="I737" t="n">
        <v>0</v>
      </c>
      <c r="J737" t="n">
        <v>0</v>
      </c>
      <c r="K737" t="n">
        <v>0</v>
      </c>
      <c r="L737" t="n">
        <v>0</v>
      </c>
      <c r="M737" t="n">
        <v>0</v>
      </c>
      <c r="N737" t="n">
        <v>0</v>
      </c>
      <c r="O737" t="n">
        <v>0</v>
      </c>
      <c r="P737" t="n">
        <v>0</v>
      </c>
      <c r="Q737" t="n">
        <v>0</v>
      </c>
      <c r="R737" s="2" t="inlineStr"/>
    </row>
    <row r="738" ht="15" customHeight="1">
      <c r="A738" t="inlineStr">
        <is>
          <t>A 27173-2024</t>
        </is>
      </c>
      <c r="B738" s="1" t="n">
        <v>45471.57048611111</v>
      </c>
      <c r="C738" s="1" t="n">
        <v>46093</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27297-2023</t>
        </is>
      </c>
      <c r="B739" s="1" t="n">
        <v>45096</v>
      </c>
      <c r="C739" s="1" t="n">
        <v>46093</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7202-2022</t>
        </is>
      </c>
      <c r="B740" s="1" t="n">
        <v>44606</v>
      </c>
      <c r="C740" s="1" t="n">
        <v>46093</v>
      </c>
      <c r="D740" t="inlineStr">
        <is>
          <t>SKÅNE LÄN</t>
        </is>
      </c>
      <c r="E740" t="inlineStr">
        <is>
          <t>HÄSSLEHOLM</t>
        </is>
      </c>
      <c r="G740" t="n">
        <v>4.7</v>
      </c>
      <c r="H740" t="n">
        <v>0</v>
      </c>
      <c r="I740" t="n">
        <v>0</v>
      </c>
      <c r="J740" t="n">
        <v>0</v>
      </c>
      <c r="K740" t="n">
        <v>0</v>
      </c>
      <c r="L740" t="n">
        <v>0</v>
      </c>
      <c r="M740" t="n">
        <v>0</v>
      </c>
      <c r="N740" t="n">
        <v>0</v>
      </c>
      <c r="O740" t="n">
        <v>0</v>
      </c>
      <c r="P740" t="n">
        <v>0</v>
      </c>
      <c r="Q740" t="n">
        <v>0</v>
      </c>
      <c r="R740" s="2" t="inlineStr"/>
    </row>
    <row r="741" ht="15" customHeight="1">
      <c r="A741" t="inlineStr">
        <is>
          <t>A 55549-2025</t>
        </is>
      </c>
      <c r="B741" s="1" t="n">
        <v>45971.63805555556</v>
      </c>
      <c r="C741" s="1" t="n">
        <v>46093</v>
      </c>
      <c r="D741" t="inlineStr">
        <is>
          <t>SKÅNE LÄN</t>
        </is>
      </c>
      <c r="E741" t="inlineStr">
        <is>
          <t>HÄSSLEHOLM</t>
        </is>
      </c>
      <c r="G741" t="n">
        <v>2.6</v>
      </c>
      <c r="H741" t="n">
        <v>0</v>
      </c>
      <c r="I741" t="n">
        <v>0</v>
      </c>
      <c r="J741" t="n">
        <v>0</v>
      </c>
      <c r="K741" t="n">
        <v>0</v>
      </c>
      <c r="L741" t="n">
        <v>0</v>
      </c>
      <c r="M741" t="n">
        <v>0</v>
      </c>
      <c r="N741" t="n">
        <v>0</v>
      </c>
      <c r="O741" t="n">
        <v>0</v>
      </c>
      <c r="P741" t="n">
        <v>0</v>
      </c>
      <c r="Q741" t="n">
        <v>0</v>
      </c>
      <c r="R741" s="2" t="inlineStr"/>
    </row>
    <row r="742" ht="15" customHeight="1">
      <c r="A742" t="inlineStr">
        <is>
          <t>A 55455-2025</t>
        </is>
      </c>
      <c r="B742" s="1" t="n">
        <v>45971</v>
      </c>
      <c r="C742" s="1" t="n">
        <v>46093</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15800-2025</t>
        </is>
      </c>
      <c r="B743" s="1" t="n">
        <v>45748.64831018518</v>
      </c>
      <c r="C743" s="1" t="n">
        <v>46093</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40780-2022</t>
        </is>
      </c>
      <c r="B744" s="1" t="n">
        <v>44820</v>
      </c>
      <c r="C744" s="1" t="n">
        <v>46093</v>
      </c>
      <c r="D744" t="inlineStr">
        <is>
          <t>SKÅNE LÄN</t>
        </is>
      </c>
      <c r="E744" t="inlineStr">
        <is>
          <t>HÄSSLEHOLM</t>
        </is>
      </c>
      <c r="G744" t="n">
        <v>7.4</v>
      </c>
      <c r="H744" t="n">
        <v>0</v>
      </c>
      <c r="I744" t="n">
        <v>0</v>
      </c>
      <c r="J744" t="n">
        <v>0</v>
      </c>
      <c r="K744" t="n">
        <v>0</v>
      </c>
      <c r="L744" t="n">
        <v>0</v>
      </c>
      <c r="M744" t="n">
        <v>0</v>
      </c>
      <c r="N744" t="n">
        <v>0</v>
      </c>
      <c r="O744" t="n">
        <v>0</v>
      </c>
      <c r="P744" t="n">
        <v>0</v>
      </c>
      <c r="Q744" t="n">
        <v>0</v>
      </c>
      <c r="R744" s="2" t="inlineStr"/>
    </row>
    <row r="745" ht="15" customHeight="1">
      <c r="A745" t="inlineStr">
        <is>
          <t>A 9747-2024</t>
        </is>
      </c>
      <c r="B745" s="1" t="n">
        <v>45362</v>
      </c>
      <c r="C745" s="1" t="n">
        <v>46093</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55458-2025</t>
        </is>
      </c>
      <c r="B746" s="1" t="n">
        <v>45971</v>
      </c>
      <c r="C746" s="1" t="n">
        <v>46093</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51245-2023</t>
        </is>
      </c>
      <c r="B747" s="1" t="n">
        <v>45212</v>
      </c>
      <c r="C747" s="1" t="n">
        <v>46093</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5054-2022</t>
        </is>
      </c>
      <c r="B748" s="1" t="n">
        <v>44593.69065972222</v>
      </c>
      <c r="C748" s="1" t="n">
        <v>46093</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49181-2024</t>
        </is>
      </c>
      <c r="B749" s="1" t="n">
        <v>45595</v>
      </c>
      <c r="C749" s="1" t="n">
        <v>46093</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3349-2023</t>
        </is>
      </c>
      <c r="B750" s="1" t="n">
        <v>44949</v>
      </c>
      <c r="C750" s="1" t="n">
        <v>46093</v>
      </c>
      <c r="D750" t="inlineStr">
        <is>
          <t>SKÅNE LÄN</t>
        </is>
      </c>
      <c r="E750" t="inlineStr">
        <is>
          <t>HÄSSLEHOLM</t>
        </is>
      </c>
      <c r="G750" t="n">
        <v>2.3</v>
      </c>
      <c r="H750" t="n">
        <v>0</v>
      </c>
      <c r="I750" t="n">
        <v>0</v>
      </c>
      <c r="J750" t="n">
        <v>0</v>
      </c>
      <c r="K750" t="n">
        <v>0</v>
      </c>
      <c r="L750" t="n">
        <v>0</v>
      </c>
      <c r="M750" t="n">
        <v>0</v>
      </c>
      <c r="N750" t="n">
        <v>0</v>
      </c>
      <c r="O750" t="n">
        <v>0</v>
      </c>
      <c r="P750" t="n">
        <v>0</v>
      </c>
      <c r="Q750" t="n">
        <v>0</v>
      </c>
      <c r="R750" s="2" t="inlineStr"/>
    </row>
    <row r="751" ht="15" customHeight="1">
      <c r="A751" t="inlineStr">
        <is>
          <t>A 49384-2021</t>
        </is>
      </c>
      <c r="B751" s="1" t="n">
        <v>44454</v>
      </c>
      <c r="C751" s="1" t="n">
        <v>46093</v>
      </c>
      <c r="D751" t="inlineStr">
        <is>
          <t>SKÅNE LÄN</t>
        </is>
      </c>
      <c r="E751" t="inlineStr">
        <is>
          <t>HÄSSLEHOLM</t>
        </is>
      </c>
      <c r="G751" t="n">
        <v>2.6</v>
      </c>
      <c r="H751" t="n">
        <v>0</v>
      </c>
      <c r="I751" t="n">
        <v>0</v>
      </c>
      <c r="J751" t="n">
        <v>0</v>
      </c>
      <c r="K751" t="n">
        <v>0</v>
      </c>
      <c r="L751" t="n">
        <v>0</v>
      </c>
      <c r="M751" t="n">
        <v>0</v>
      </c>
      <c r="N751" t="n">
        <v>0</v>
      </c>
      <c r="O751" t="n">
        <v>0</v>
      </c>
      <c r="P751" t="n">
        <v>0</v>
      </c>
      <c r="Q751" t="n">
        <v>0</v>
      </c>
      <c r="R751" s="2" t="inlineStr"/>
    </row>
    <row r="752" ht="15" customHeight="1">
      <c r="A752" t="inlineStr">
        <is>
          <t>A 48747-2022</t>
        </is>
      </c>
      <c r="B752" s="1" t="n">
        <v>44859</v>
      </c>
      <c r="C752" s="1" t="n">
        <v>46093</v>
      </c>
      <c r="D752" t="inlineStr">
        <is>
          <t>SKÅNE LÄN</t>
        </is>
      </c>
      <c r="E752" t="inlineStr">
        <is>
          <t>HÄSSLEHOLM</t>
        </is>
      </c>
      <c r="G752" t="n">
        <v>1.9</v>
      </c>
      <c r="H752" t="n">
        <v>0</v>
      </c>
      <c r="I752" t="n">
        <v>0</v>
      </c>
      <c r="J752" t="n">
        <v>0</v>
      </c>
      <c r="K752" t="n">
        <v>0</v>
      </c>
      <c r="L752" t="n">
        <v>0</v>
      </c>
      <c r="M752" t="n">
        <v>0</v>
      </c>
      <c r="N752" t="n">
        <v>0</v>
      </c>
      <c r="O752" t="n">
        <v>0</v>
      </c>
      <c r="P752" t="n">
        <v>0</v>
      </c>
      <c r="Q752" t="n">
        <v>0</v>
      </c>
      <c r="R752" s="2" t="inlineStr"/>
    </row>
    <row r="753" ht="15" customHeight="1">
      <c r="A753" t="inlineStr">
        <is>
          <t>A 7153-2025</t>
        </is>
      </c>
      <c r="B753" s="1" t="n">
        <v>45702.38512731482</v>
      </c>
      <c r="C753" s="1" t="n">
        <v>46093</v>
      </c>
      <c r="D753" t="inlineStr">
        <is>
          <t>SKÅNE LÄN</t>
        </is>
      </c>
      <c r="E753" t="inlineStr">
        <is>
          <t>HÄSSLEHOLM</t>
        </is>
      </c>
      <c r="G753" t="n">
        <v>2.7</v>
      </c>
      <c r="H753" t="n">
        <v>0</v>
      </c>
      <c r="I753" t="n">
        <v>0</v>
      </c>
      <c r="J753" t="n">
        <v>0</v>
      </c>
      <c r="K753" t="n">
        <v>0</v>
      </c>
      <c r="L753" t="n">
        <v>0</v>
      </c>
      <c r="M753" t="n">
        <v>0</v>
      </c>
      <c r="N753" t="n">
        <v>0</v>
      </c>
      <c r="O753" t="n">
        <v>0</v>
      </c>
      <c r="P753" t="n">
        <v>0</v>
      </c>
      <c r="Q753" t="n">
        <v>0</v>
      </c>
      <c r="R753" s="2" t="inlineStr"/>
    </row>
    <row r="754" ht="15" customHeight="1">
      <c r="A754" t="inlineStr">
        <is>
          <t>A 60959-2022</t>
        </is>
      </c>
      <c r="B754" s="1" t="n">
        <v>44914.64777777778</v>
      </c>
      <c r="C754" s="1" t="n">
        <v>46093</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7581-2023</t>
        </is>
      </c>
      <c r="B755" s="1" t="n">
        <v>44972.39556712963</v>
      </c>
      <c r="C755" s="1" t="n">
        <v>46093</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21141-2024</t>
        </is>
      </c>
      <c r="B756" s="1" t="n">
        <v>45440.39012731481</v>
      </c>
      <c r="C756" s="1" t="n">
        <v>46093</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11603-2025</t>
        </is>
      </c>
      <c r="B757" s="1" t="n">
        <v>45727</v>
      </c>
      <c r="C757" s="1" t="n">
        <v>46093</v>
      </c>
      <c r="D757" t="inlineStr">
        <is>
          <t>SKÅNE LÄN</t>
        </is>
      </c>
      <c r="E757" t="inlineStr">
        <is>
          <t>HÄSSLEHOLM</t>
        </is>
      </c>
      <c r="G757" t="n">
        <v>5.6</v>
      </c>
      <c r="H757" t="n">
        <v>0</v>
      </c>
      <c r="I757" t="n">
        <v>0</v>
      </c>
      <c r="J757" t="n">
        <v>0</v>
      </c>
      <c r="K757" t="n">
        <v>0</v>
      </c>
      <c r="L757" t="n">
        <v>0</v>
      </c>
      <c r="M757" t="n">
        <v>0</v>
      </c>
      <c r="N757" t="n">
        <v>0</v>
      </c>
      <c r="O757" t="n">
        <v>0</v>
      </c>
      <c r="P757" t="n">
        <v>0</v>
      </c>
      <c r="Q757" t="n">
        <v>0</v>
      </c>
      <c r="R757" s="2" t="inlineStr"/>
    </row>
    <row r="758" ht="15" customHeight="1">
      <c r="A758" t="inlineStr">
        <is>
          <t>A 13712-2025</t>
        </is>
      </c>
      <c r="B758" s="1" t="n">
        <v>45737</v>
      </c>
      <c r="C758" s="1" t="n">
        <v>46093</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56794-2025</t>
        </is>
      </c>
      <c r="B759" s="1" t="n">
        <v>45978.43039351852</v>
      </c>
      <c r="C759" s="1" t="n">
        <v>46093</v>
      </c>
      <c r="D759" t="inlineStr">
        <is>
          <t>SKÅNE LÄN</t>
        </is>
      </c>
      <c r="E759" t="inlineStr">
        <is>
          <t>HÄSSLEHOLM</t>
        </is>
      </c>
      <c r="G759" t="n">
        <v>2.3</v>
      </c>
      <c r="H759" t="n">
        <v>0</v>
      </c>
      <c r="I759" t="n">
        <v>0</v>
      </c>
      <c r="J759" t="n">
        <v>0</v>
      </c>
      <c r="K759" t="n">
        <v>0</v>
      </c>
      <c r="L759" t="n">
        <v>0</v>
      </c>
      <c r="M759" t="n">
        <v>0</v>
      </c>
      <c r="N759" t="n">
        <v>0</v>
      </c>
      <c r="O759" t="n">
        <v>0</v>
      </c>
      <c r="P759" t="n">
        <v>0</v>
      </c>
      <c r="Q759" t="n">
        <v>0</v>
      </c>
      <c r="R759" s="2" t="inlineStr"/>
    </row>
    <row r="760" ht="15" customHeight="1">
      <c r="A760" t="inlineStr">
        <is>
          <t>A 3746-2024</t>
        </is>
      </c>
      <c r="B760" s="1" t="n">
        <v>45321.50745370371</v>
      </c>
      <c r="C760" s="1" t="n">
        <v>46093</v>
      </c>
      <c r="D760" t="inlineStr">
        <is>
          <t>SKÅNE LÄN</t>
        </is>
      </c>
      <c r="E760" t="inlineStr">
        <is>
          <t>HÄSSLEHOLM</t>
        </is>
      </c>
      <c r="G760" t="n">
        <v>3.4</v>
      </c>
      <c r="H760" t="n">
        <v>0</v>
      </c>
      <c r="I760" t="n">
        <v>0</v>
      </c>
      <c r="J760" t="n">
        <v>0</v>
      </c>
      <c r="K760" t="n">
        <v>0</v>
      </c>
      <c r="L760" t="n">
        <v>0</v>
      </c>
      <c r="M760" t="n">
        <v>0</v>
      </c>
      <c r="N760" t="n">
        <v>0</v>
      </c>
      <c r="O760" t="n">
        <v>0</v>
      </c>
      <c r="P760" t="n">
        <v>0</v>
      </c>
      <c r="Q760" t="n">
        <v>0</v>
      </c>
      <c r="R760" s="2" t="inlineStr"/>
    </row>
    <row r="761" ht="15" customHeight="1">
      <c r="A761" t="inlineStr">
        <is>
          <t>A 46288-2023</t>
        </is>
      </c>
      <c r="B761" s="1" t="n">
        <v>45197.30221064815</v>
      </c>
      <c r="C761" s="1" t="n">
        <v>46093</v>
      </c>
      <c r="D761" t="inlineStr">
        <is>
          <t>SKÅNE LÄN</t>
        </is>
      </c>
      <c r="E761" t="inlineStr">
        <is>
          <t>HÄSSLEHOLM</t>
        </is>
      </c>
      <c r="G761" t="n">
        <v>3</v>
      </c>
      <c r="H761" t="n">
        <v>0</v>
      </c>
      <c r="I761" t="n">
        <v>0</v>
      </c>
      <c r="J761" t="n">
        <v>0</v>
      </c>
      <c r="K761" t="n">
        <v>0</v>
      </c>
      <c r="L761" t="n">
        <v>0</v>
      </c>
      <c r="M761" t="n">
        <v>0</v>
      </c>
      <c r="N761" t="n">
        <v>0</v>
      </c>
      <c r="O761" t="n">
        <v>0</v>
      </c>
      <c r="P761" t="n">
        <v>0</v>
      </c>
      <c r="Q761" t="n">
        <v>0</v>
      </c>
      <c r="R761" s="2" t="inlineStr"/>
    </row>
    <row r="762" ht="15" customHeight="1">
      <c r="A762" t="inlineStr">
        <is>
          <t>A 56667-2025</t>
        </is>
      </c>
      <c r="B762" s="1" t="n">
        <v>45975.68508101852</v>
      </c>
      <c r="C762" s="1" t="n">
        <v>46093</v>
      </c>
      <c r="D762" t="inlineStr">
        <is>
          <t>SKÅNE LÄN</t>
        </is>
      </c>
      <c r="E762" t="inlineStr">
        <is>
          <t>HÄSSLEHOLM</t>
        </is>
      </c>
      <c r="G762" t="n">
        <v>4.4</v>
      </c>
      <c r="H762" t="n">
        <v>0</v>
      </c>
      <c r="I762" t="n">
        <v>0</v>
      </c>
      <c r="J762" t="n">
        <v>0</v>
      </c>
      <c r="K762" t="n">
        <v>0</v>
      </c>
      <c r="L762" t="n">
        <v>0</v>
      </c>
      <c r="M762" t="n">
        <v>0</v>
      </c>
      <c r="N762" t="n">
        <v>0</v>
      </c>
      <c r="O762" t="n">
        <v>0</v>
      </c>
      <c r="P762" t="n">
        <v>0</v>
      </c>
      <c r="Q762" t="n">
        <v>0</v>
      </c>
      <c r="R762" s="2" t="inlineStr"/>
    </row>
    <row r="763" ht="15" customHeight="1">
      <c r="A763" t="inlineStr">
        <is>
          <t>A 44262-2021</t>
        </is>
      </c>
      <c r="B763" s="1" t="n">
        <v>44434</v>
      </c>
      <c r="C763" s="1" t="n">
        <v>46093</v>
      </c>
      <c r="D763" t="inlineStr">
        <is>
          <t>SKÅNE LÄN</t>
        </is>
      </c>
      <c r="E763" t="inlineStr">
        <is>
          <t>HÄSSLEHOLM</t>
        </is>
      </c>
      <c r="G763" t="n">
        <v>4.7</v>
      </c>
      <c r="H763" t="n">
        <v>0</v>
      </c>
      <c r="I763" t="n">
        <v>0</v>
      </c>
      <c r="J763" t="n">
        <v>0</v>
      </c>
      <c r="K763" t="n">
        <v>0</v>
      </c>
      <c r="L763" t="n">
        <v>0</v>
      </c>
      <c r="M763" t="n">
        <v>0</v>
      </c>
      <c r="N763" t="n">
        <v>0</v>
      </c>
      <c r="O763" t="n">
        <v>0</v>
      </c>
      <c r="P763" t="n">
        <v>0</v>
      </c>
      <c r="Q763" t="n">
        <v>0</v>
      </c>
      <c r="R763" s="2" t="inlineStr"/>
    </row>
    <row r="764" ht="15" customHeight="1">
      <c r="A764" t="inlineStr">
        <is>
          <t>A 56767-2025</t>
        </is>
      </c>
      <c r="B764" s="1" t="n">
        <v>45978.38178240741</v>
      </c>
      <c r="C764" s="1" t="n">
        <v>46093</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56769-2025</t>
        </is>
      </c>
      <c r="B765" s="1" t="n">
        <v>45978.38429398148</v>
      </c>
      <c r="C765" s="1" t="n">
        <v>46093</v>
      </c>
      <c r="D765" t="inlineStr">
        <is>
          <t>SKÅNE LÄN</t>
        </is>
      </c>
      <c r="E765" t="inlineStr">
        <is>
          <t>HÄSSLEHOLM</t>
        </is>
      </c>
      <c r="G765" t="n">
        <v>1.1</v>
      </c>
      <c r="H765" t="n">
        <v>0</v>
      </c>
      <c r="I765" t="n">
        <v>0</v>
      </c>
      <c r="J765" t="n">
        <v>0</v>
      </c>
      <c r="K765" t="n">
        <v>0</v>
      </c>
      <c r="L765" t="n">
        <v>0</v>
      </c>
      <c r="M765" t="n">
        <v>0</v>
      </c>
      <c r="N765" t="n">
        <v>0</v>
      </c>
      <c r="O765" t="n">
        <v>0</v>
      </c>
      <c r="P765" t="n">
        <v>0</v>
      </c>
      <c r="Q765" t="n">
        <v>0</v>
      </c>
      <c r="R765" s="2" t="inlineStr"/>
    </row>
    <row r="766" ht="15" customHeight="1">
      <c r="A766" t="inlineStr">
        <is>
          <t>A 56798-2025</t>
        </is>
      </c>
      <c r="B766" s="1" t="n">
        <v>45978.43378472222</v>
      </c>
      <c r="C766" s="1" t="n">
        <v>46093</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57967-2023</t>
        </is>
      </c>
      <c r="B767" s="1" t="n">
        <v>45247.57984953704</v>
      </c>
      <c r="C767" s="1" t="n">
        <v>46093</v>
      </c>
      <c r="D767" t="inlineStr">
        <is>
          <t>SKÅNE LÄN</t>
        </is>
      </c>
      <c r="E767" t="inlineStr">
        <is>
          <t>HÄSSLEHOLM</t>
        </is>
      </c>
      <c r="G767" t="n">
        <v>8.6</v>
      </c>
      <c r="H767" t="n">
        <v>0</v>
      </c>
      <c r="I767" t="n">
        <v>0</v>
      </c>
      <c r="J767" t="n">
        <v>0</v>
      </c>
      <c r="K767" t="n">
        <v>0</v>
      </c>
      <c r="L767" t="n">
        <v>0</v>
      </c>
      <c r="M767" t="n">
        <v>0</v>
      </c>
      <c r="N767" t="n">
        <v>0</v>
      </c>
      <c r="O767" t="n">
        <v>0</v>
      </c>
      <c r="P767" t="n">
        <v>0</v>
      </c>
      <c r="Q767" t="n">
        <v>0</v>
      </c>
      <c r="R767" s="2" t="inlineStr"/>
    </row>
    <row r="768" ht="15" customHeight="1">
      <c r="A768" t="inlineStr">
        <is>
          <t>A 1553-2023</t>
        </is>
      </c>
      <c r="B768" s="1" t="n">
        <v>44937</v>
      </c>
      <c r="C768" s="1" t="n">
        <v>46093</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1562-2023</t>
        </is>
      </c>
      <c r="B769" s="1" t="n">
        <v>44937.60450231482</v>
      </c>
      <c r="C769" s="1" t="n">
        <v>46093</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56797-2025</t>
        </is>
      </c>
      <c r="B770" s="1" t="n">
        <v>45978.43273148148</v>
      </c>
      <c r="C770" s="1" t="n">
        <v>46093</v>
      </c>
      <c r="D770" t="inlineStr">
        <is>
          <t>SKÅNE LÄN</t>
        </is>
      </c>
      <c r="E770" t="inlineStr">
        <is>
          <t>HÄSSLEHOLM</t>
        </is>
      </c>
      <c r="G770" t="n">
        <v>1.5</v>
      </c>
      <c r="H770" t="n">
        <v>0</v>
      </c>
      <c r="I770" t="n">
        <v>0</v>
      </c>
      <c r="J770" t="n">
        <v>0</v>
      </c>
      <c r="K770" t="n">
        <v>0</v>
      </c>
      <c r="L770" t="n">
        <v>0</v>
      </c>
      <c r="M770" t="n">
        <v>0</v>
      </c>
      <c r="N770" t="n">
        <v>0</v>
      </c>
      <c r="O770" t="n">
        <v>0</v>
      </c>
      <c r="P770" t="n">
        <v>0</v>
      </c>
      <c r="Q770" t="n">
        <v>0</v>
      </c>
      <c r="R770" s="2" t="inlineStr"/>
    </row>
    <row r="771" ht="15" customHeight="1">
      <c r="A771" t="inlineStr">
        <is>
          <t>A 19744-2023</t>
        </is>
      </c>
      <c r="B771" s="1" t="n">
        <v>45051</v>
      </c>
      <c r="C771" s="1" t="n">
        <v>46093</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3452-2023</t>
        </is>
      </c>
      <c r="B772" s="1" t="n">
        <v>44949</v>
      </c>
      <c r="C772" s="1" t="n">
        <v>46093</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15990-2023</t>
        </is>
      </c>
      <c r="B773" s="1" t="n">
        <v>45023.39584490741</v>
      </c>
      <c r="C773" s="1" t="n">
        <v>46093</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47907-2021</t>
        </is>
      </c>
      <c r="B774" s="1" t="n">
        <v>44448</v>
      </c>
      <c r="C774" s="1" t="n">
        <v>46093</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7513-2025</t>
        </is>
      </c>
      <c r="B775" s="1" t="n">
        <v>45702</v>
      </c>
      <c r="C775" s="1" t="n">
        <v>46093</v>
      </c>
      <c r="D775" t="inlineStr">
        <is>
          <t>SKÅNE LÄN</t>
        </is>
      </c>
      <c r="E775" t="inlineStr">
        <is>
          <t>HÄSSLEHOLM</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45400-2022</t>
        </is>
      </c>
      <c r="B776" s="1" t="n">
        <v>44844.713125</v>
      </c>
      <c r="C776" s="1" t="n">
        <v>46093</v>
      </c>
      <c r="D776" t="inlineStr">
        <is>
          <t>SKÅNE LÄN</t>
        </is>
      </c>
      <c r="E776" t="inlineStr">
        <is>
          <t>HÄSSLEHOLM</t>
        </is>
      </c>
      <c r="G776" t="n">
        <v>1.6</v>
      </c>
      <c r="H776" t="n">
        <v>0</v>
      </c>
      <c r="I776" t="n">
        <v>0</v>
      </c>
      <c r="J776" t="n">
        <v>0</v>
      </c>
      <c r="K776" t="n">
        <v>0</v>
      </c>
      <c r="L776" t="n">
        <v>0</v>
      </c>
      <c r="M776" t="n">
        <v>0</v>
      </c>
      <c r="N776" t="n">
        <v>0</v>
      </c>
      <c r="O776" t="n">
        <v>0</v>
      </c>
      <c r="P776" t="n">
        <v>0</v>
      </c>
      <c r="Q776" t="n">
        <v>0</v>
      </c>
      <c r="R776" s="2" t="inlineStr"/>
    </row>
    <row r="777" ht="15" customHeight="1">
      <c r="A777" t="inlineStr">
        <is>
          <t>A 30092-2025</t>
        </is>
      </c>
      <c r="B777" s="1" t="n">
        <v>45826</v>
      </c>
      <c r="C777" s="1" t="n">
        <v>46093</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30109-2025</t>
        </is>
      </c>
      <c r="B778" s="1" t="n">
        <v>45826</v>
      </c>
      <c r="C778" s="1" t="n">
        <v>46093</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2596-2024</t>
        </is>
      </c>
      <c r="B779" s="1" t="n">
        <v>45313.69969907407</v>
      </c>
      <c r="C779" s="1" t="n">
        <v>46093</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2681-2024</t>
        </is>
      </c>
      <c r="B780" s="1" t="n">
        <v>45314</v>
      </c>
      <c r="C780" s="1" t="n">
        <v>46093</v>
      </c>
      <c r="D780" t="inlineStr">
        <is>
          <t>SKÅNE LÄN</t>
        </is>
      </c>
      <c r="E780" t="inlineStr">
        <is>
          <t>HÄSSLEHOLM</t>
        </is>
      </c>
      <c r="F780" t="inlineStr">
        <is>
          <t>Övriga Aktiebolag</t>
        </is>
      </c>
      <c r="G780" t="n">
        <v>1.4</v>
      </c>
      <c r="H780" t="n">
        <v>0</v>
      </c>
      <c r="I780" t="n">
        <v>0</v>
      </c>
      <c r="J780" t="n">
        <v>0</v>
      </c>
      <c r="K780" t="n">
        <v>0</v>
      </c>
      <c r="L780" t="n">
        <v>0</v>
      </c>
      <c r="M780" t="n">
        <v>0</v>
      </c>
      <c r="N780" t="n">
        <v>0</v>
      </c>
      <c r="O780" t="n">
        <v>0</v>
      </c>
      <c r="P780" t="n">
        <v>0</v>
      </c>
      <c r="Q780" t="n">
        <v>0</v>
      </c>
      <c r="R780" s="2" t="inlineStr"/>
    </row>
    <row r="781" ht="15" customHeight="1">
      <c r="A781" t="inlineStr">
        <is>
          <t>A 55569-2025</t>
        </is>
      </c>
      <c r="B781" s="1" t="n">
        <v>45971</v>
      </c>
      <c r="C781" s="1" t="n">
        <v>46093</v>
      </c>
      <c r="D781" t="inlineStr">
        <is>
          <t>SKÅNE LÄN</t>
        </is>
      </c>
      <c r="E781" t="inlineStr">
        <is>
          <t>HÄSSLEHOLM</t>
        </is>
      </c>
      <c r="G781" t="n">
        <v>4.2</v>
      </c>
      <c r="H781" t="n">
        <v>0</v>
      </c>
      <c r="I781" t="n">
        <v>0</v>
      </c>
      <c r="J781" t="n">
        <v>0</v>
      </c>
      <c r="K781" t="n">
        <v>0</v>
      </c>
      <c r="L781" t="n">
        <v>0</v>
      </c>
      <c r="M781" t="n">
        <v>0</v>
      </c>
      <c r="N781" t="n">
        <v>0</v>
      </c>
      <c r="O781" t="n">
        <v>0</v>
      </c>
      <c r="P781" t="n">
        <v>0</v>
      </c>
      <c r="Q781" t="n">
        <v>0</v>
      </c>
      <c r="R781" s="2" t="inlineStr"/>
    </row>
    <row r="782" ht="15" customHeight="1">
      <c r="A782" t="inlineStr">
        <is>
          <t>A 4187-2023</t>
        </is>
      </c>
      <c r="B782" s="1" t="n">
        <v>44953</v>
      </c>
      <c r="C782" s="1" t="n">
        <v>46093</v>
      </c>
      <c r="D782" t="inlineStr">
        <is>
          <t>SKÅNE LÄN</t>
        </is>
      </c>
      <c r="E782" t="inlineStr">
        <is>
          <t>HÄSSLEHOLM</t>
        </is>
      </c>
      <c r="G782" t="n">
        <v>3.2</v>
      </c>
      <c r="H782" t="n">
        <v>0</v>
      </c>
      <c r="I782" t="n">
        <v>0</v>
      </c>
      <c r="J782" t="n">
        <v>0</v>
      </c>
      <c r="K782" t="n">
        <v>0</v>
      </c>
      <c r="L782" t="n">
        <v>0</v>
      </c>
      <c r="M782" t="n">
        <v>0</v>
      </c>
      <c r="N782" t="n">
        <v>0</v>
      </c>
      <c r="O782" t="n">
        <v>0</v>
      </c>
      <c r="P782" t="n">
        <v>0</v>
      </c>
      <c r="Q782" t="n">
        <v>0</v>
      </c>
      <c r="R782" s="2" t="inlineStr"/>
    </row>
    <row r="783" ht="15" customHeight="1">
      <c r="A783" t="inlineStr">
        <is>
          <t>A 4382-2023</t>
        </is>
      </c>
      <c r="B783" s="1" t="n">
        <v>44955.61152777778</v>
      </c>
      <c r="C783" s="1" t="n">
        <v>46093</v>
      </c>
      <c r="D783" t="inlineStr">
        <is>
          <t>SKÅNE LÄN</t>
        </is>
      </c>
      <c r="E783" t="inlineStr">
        <is>
          <t>HÄSSLEHOLM</t>
        </is>
      </c>
      <c r="G783" t="n">
        <v>0.3</v>
      </c>
      <c r="H783" t="n">
        <v>0</v>
      </c>
      <c r="I783" t="n">
        <v>0</v>
      </c>
      <c r="J783" t="n">
        <v>0</v>
      </c>
      <c r="K783" t="n">
        <v>0</v>
      </c>
      <c r="L783" t="n">
        <v>0</v>
      </c>
      <c r="M783" t="n">
        <v>0</v>
      </c>
      <c r="N783" t="n">
        <v>0</v>
      </c>
      <c r="O783" t="n">
        <v>0</v>
      </c>
      <c r="P783" t="n">
        <v>0</v>
      </c>
      <c r="Q783" t="n">
        <v>0</v>
      </c>
      <c r="R783" s="2" t="inlineStr"/>
    </row>
    <row r="784" ht="15" customHeight="1">
      <c r="A784" t="inlineStr">
        <is>
          <t>A 54874-2022</t>
        </is>
      </c>
      <c r="B784" s="1" t="n">
        <v>44881</v>
      </c>
      <c r="C784" s="1" t="n">
        <v>46093</v>
      </c>
      <c r="D784" t="inlineStr">
        <is>
          <t>SKÅNE LÄN</t>
        </is>
      </c>
      <c r="E784" t="inlineStr">
        <is>
          <t>HÄSSLEHOLM</t>
        </is>
      </c>
      <c r="G784" t="n">
        <v>8.1</v>
      </c>
      <c r="H784" t="n">
        <v>0</v>
      </c>
      <c r="I784" t="n">
        <v>0</v>
      </c>
      <c r="J784" t="n">
        <v>0</v>
      </c>
      <c r="K784" t="n">
        <v>0</v>
      </c>
      <c r="L784" t="n">
        <v>0</v>
      </c>
      <c r="M784" t="n">
        <v>0</v>
      </c>
      <c r="N784" t="n">
        <v>0</v>
      </c>
      <c r="O784" t="n">
        <v>0</v>
      </c>
      <c r="P784" t="n">
        <v>0</v>
      </c>
      <c r="Q784" t="n">
        <v>0</v>
      </c>
      <c r="R784" s="2" t="inlineStr"/>
    </row>
    <row r="785" ht="15" customHeight="1">
      <c r="A785" t="inlineStr">
        <is>
          <t>A 1706-2025</t>
        </is>
      </c>
      <c r="B785" s="1" t="n">
        <v>45670</v>
      </c>
      <c r="C785" s="1" t="n">
        <v>46093</v>
      </c>
      <c r="D785" t="inlineStr">
        <is>
          <t>SKÅNE LÄN</t>
        </is>
      </c>
      <c r="E785" t="inlineStr">
        <is>
          <t>HÄSSLEHOLM</t>
        </is>
      </c>
      <c r="G785" t="n">
        <v>5</v>
      </c>
      <c r="H785" t="n">
        <v>0</v>
      </c>
      <c r="I785" t="n">
        <v>0</v>
      </c>
      <c r="J785" t="n">
        <v>0</v>
      </c>
      <c r="K785" t="n">
        <v>0</v>
      </c>
      <c r="L785" t="n">
        <v>0</v>
      </c>
      <c r="M785" t="n">
        <v>0</v>
      </c>
      <c r="N785" t="n">
        <v>0</v>
      </c>
      <c r="O785" t="n">
        <v>0</v>
      </c>
      <c r="P785" t="n">
        <v>0</v>
      </c>
      <c r="Q785" t="n">
        <v>0</v>
      </c>
      <c r="R785" s="2" t="inlineStr"/>
    </row>
    <row r="786" ht="15" customHeight="1">
      <c r="A786" t="inlineStr">
        <is>
          <t>A 61625-2022</t>
        </is>
      </c>
      <c r="B786" s="1" t="n">
        <v>44916</v>
      </c>
      <c r="C786" s="1" t="n">
        <v>46093</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31268-2024</t>
        </is>
      </c>
      <c r="B787" s="1" t="n">
        <v>45504</v>
      </c>
      <c r="C787" s="1" t="n">
        <v>46093</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49107-2023</t>
        </is>
      </c>
      <c r="B788" s="1" t="n">
        <v>45210.44337962963</v>
      </c>
      <c r="C788" s="1" t="n">
        <v>46093</v>
      </c>
      <c r="D788" t="inlineStr">
        <is>
          <t>SKÅNE LÄN</t>
        </is>
      </c>
      <c r="E788" t="inlineStr">
        <is>
          <t>HÄSSLEHOLM</t>
        </is>
      </c>
      <c r="G788" t="n">
        <v>0.3</v>
      </c>
      <c r="H788" t="n">
        <v>0</v>
      </c>
      <c r="I788" t="n">
        <v>0</v>
      </c>
      <c r="J788" t="n">
        <v>0</v>
      </c>
      <c r="K788" t="n">
        <v>0</v>
      </c>
      <c r="L788" t="n">
        <v>0</v>
      </c>
      <c r="M788" t="n">
        <v>0</v>
      </c>
      <c r="N788" t="n">
        <v>0</v>
      </c>
      <c r="O788" t="n">
        <v>0</v>
      </c>
      <c r="P788" t="n">
        <v>0</v>
      </c>
      <c r="Q788" t="n">
        <v>0</v>
      </c>
      <c r="R788" s="2" t="inlineStr"/>
    </row>
    <row r="789" ht="15" customHeight="1">
      <c r="A789" t="inlineStr">
        <is>
          <t>A 5282-2023</t>
        </is>
      </c>
      <c r="B789" s="1" t="n">
        <v>44959.50471064815</v>
      </c>
      <c r="C789" s="1" t="n">
        <v>46093</v>
      </c>
      <c r="D789" t="inlineStr">
        <is>
          <t>SKÅNE LÄN</t>
        </is>
      </c>
      <c r="E789" t="inlineStr">
        <is>
          <t>HÄSSLEHOLM</t>
        </is>
      </c>
      <c r="G789" t="n">
        <v>0.9</v>
      </c>
      <c r="H789" t="n">
        <v>0</v>
      </c>
      <c r="I789" t="n">
        <v>0</v>
      </c>
      <c r="J789" t="n">
        <v>0</v>
      </c>
      <c r="K789" t="n">
        <v>0</v>
      </c>
      <c r="L789" t="n">
        <v>0</v>
      </c>
      <c r="M789" t="n">
        <v>0</v>
      </c>
      <c r="N789" t="n">
        <v>0</v>
      </c>
      <c r="O789" t="n">
        <v>0</v>
      </c>
      <c r="P789" t="n">
        <v>0</v>
      </c>
      <c r="Q789" t="n">
        <v>0</v>
      </c>
      <c r="R789" s="2" t="inlineStr"/>
    </row>
    <row r="790" ht="15" customHeight="1">
      <c r="A790" t="inlineStr">
        <is>
          <t>A 13856-2025</t>
        </is>
      </c>
      <c r="B790" s="1" t="n">
        <v>45737.57289351852</v>
      </c>
      <c r="C790" s="1" t="n">
        <v>46093</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36568-2024</t>
        </is>
      </c>
      <c r="B791" s="1" t="n">
        <v>45537</v>
      </c>
      <c r="C791" s="1" t="n">
        <v>46093</v>
      </c>
      <c r="D791" t="inlineStr">
        <is>
          <t>SKÅNE LÄN</t>
        </is>
      </c>
      <c r="E791" t="inlineStr">
        <is>
          <t>HÄSSLEHOLM</t>
        </is>
      </c>
      <c r="G791" t="n">
        <v>4.3</v>
      </c>
      <c r="H791" t="n">
        <v>0</v>
      </c>
      <c r="I791" t="n">
        <v>0</v>
      </c>
      <c r="J791" t="n">
        <v>0</v>
      </c>
      <c r="K791" t="n">
        <v>0</v>
      </c>
      <c r="L791" t="n">
        <v>0</v>
      </c>
      <c r="M791" t="n">
        <v>0</v>
      </c>
      <c r="N791" t="n">
        <v>0</v>
      </c>
      <c r="O791" t="n">
        <v>0</v>
      </c>
      <c r="P791" t="n">
        <v>0</v>
      </c>
      <c r="Q791" t="n">
        <v>0</v>
      </c>
      <c r="R791" s="2" t="inlineStr"/>
    </row>
    <row r="792" ht="15" customHeight="1">
      <c r="A792" t="inlineStr">
        <is>
          <t>A 32794-2021</t>
        </is>
      </c>
      <c r="B792" s="1" t="n">
        <v>44375</v>
      </c>
      <c r="C792" s="1" t="n">
        <v>46093</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53897-2023</t>
        </is>
      </c>
      <c r="B793" s="1" t="n">
        <v>45231.53934027778</v>
      </c>
      <c r="C793" s="1" t="n">
        <v>46093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13961-2023</t>
        </is>
      </c>
      <c r="B794" s="1" t="n">
        <v>45008</v>
      </c>
      <c r="C794" s="1" t="n">
        <v>46093</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57817-2025</t>
        </is>
      </c>
      <c r="B795" s="1" t="n">
        <v>45981.59475694445</v>
      </c>
      <c r="C795" s="1" t="n">
        <v>46093</v>
      </c>
      <c r="D795" t="inlineStr">
        <is>
          <t>SKÅNE LÄN</t>
        </is>
      </c>
      <c r="E795" t="inlineStr">
        <is>
          <t>HÄSSLEHOLM</t>
        </is>
      </c>
      <c r="G795" t="n">
        <v>3.8</v>
      </c>
      <c r="H795" t="n">
        <v>0</v>
      </c>
      <c r="I795" t="n">
        <v>0</v>
      </c>
      <c r="J795" t="n">
        <v>0</v>
      </c>
      <c r="K795" t="n">
        <v>0</v>
      </c>
      <c r="L795" t="n">
        <v>0</v>
      </c>
      <c r="M795" t="n">
        <v>0</v>
      </c>
      <c r="N795" t="n">
        <v>0</v>
      </c>
      <c r="O795" t="n">
        <v>0</v>
      </c>
      <c r="P795" t="n">
        <v>0</v>
      </c>
      <c r="Q795" t="n">
        <v>0</v>
      </c>
      <c r="R795" s="2" t="inlineStr"/>
    </row>
    <row r="796" ht="15" customHeight="1">
      <c r="A796" t="inlineStr">
        <is>
          <t>A 20990-2023</t>
        </is>
      </c>
      <c r="B796" s="1" t="n">
        <v>45061.46186342592</v>
      </c>
      <c r="C796" s="1" t="n">
        <v>46093</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3855-2023</t>
        </is>
      </c>
      <c r="B797" s="1" t="n">
        <v>44951.69708333333</v>
      </c>
      <c r="C797" s="1" t="n">
        <v>46093</v>
      </c>
      <c r="D797" t="inlineStr">
        <is>
          <t>SKÅNE LÄN</t>
        </is>
      </c>
      <c r="E797" t="inlineStr">
        <is>
          <t>HÄSSLEHOLM</t>
        </is>
      </c>
      <c r="G797" t="n">
        <v>2.3</v>
      </c>
      <c r="H797" t="n">
        <v>0</v>
      </c>
      <c r="I797" t="n">
        <v>0</v>
      </c>
      <c r="J797" t="n">
        <v>0</v>
      </c>
      <c r="K797" t="n">
        <v>0</v>
      </c>
      <c r="L797" t="n">
        <v>0</v>
      </c>
      <c r="M797" t="n">
        <v>0</v>
      </c>
      <c r="N797" t="n">
        <v>0</v>
      </c>
      <c r="O797" t="n">
        <v>0</v>
      </c>
      <c r="P797" t="n">
        <v>0</v>
      </c>
      <c r="Q797" t="n">
        <v>0</v>
      </c>
      <c r="R797" s="2" t="inlineStr"/>
    </row>
    <row r="798" ht="15" customHeight="1">
      <c r="A798" t="inlineStr">
        <is>
          <t>A 34301-2024</t>
        </is>
      </c>
      <c r="B798" s="1" t="n">
        <v>45524</v>
      </c>
      <c r="C798" s="1" t="n">
        <v>46093</v>
      </c>
      <c r="D798" t="inlineStr">
        <is>
          <t>SKÅNE LÄN</t>
        </is>
      </c>
      <c r="E798" t="inlineStr">
        <is>
          <t>HÄSSLEHOLM</t>
        </is>
      </c>
      <c r="G798" t="n">
        <v>0.4</v>
      </c>
      <c r="H798" t="n">
        <v>0</v>
      </c>
      <c r="I798" t="n">
        <v>0</v>
      </c>
      <c r="J798" t="n">
        <v>0</v>
      </c>
      <c r="K798" t="n">
        <v>0</v>
      </c>
      <c r="L798" t="n">
        <v>0</v>
      </c>
      <c r="M798" t="n">
        <v>0</v>
      </c>
      <c r="N798" t="n">
        <v>0</v>
      </c>
      <c r="O798" t="n">
        <v>0</v>
      </c>
      <c r="P798" t="n">
        <v>0</v>
      </c>
      <c r="Q798" t="n">
        <v>0</v>
      </c>
      <c r="R798" s="2" t="inlineStr"/>
    </row>
    <row r="799" ht="15" customHeight="1">
      <c r="A799" t="inlineStr">
        <is>
          <t>A 22696-2023</t>
        </is>
      </c>
      <c r="B799" s="1" t="n">
        <v>45071.69464120371</v>
      </c>
      <c r="C799" s="1" t="n">
        <v>46093</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15060-2023</t>
        </is>
      </c>
      <c r="B800" s="1" t="n">
        <v>45015.69832175926</v>
      </c>
      <c r="C800" s="1" t="n">
        <v>46093</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54171-2021</t>
        </is>
      </c>
      <c r="B801" s="1" t="n">
        <v>44470</v>
      </c>
      <c r="C801" s="1" t="n">
        <v>46093</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33873-2021</t>
        </is>
      </c>
      <c r="B802" s="1" t="n">
        <v>44378</v>
      </c>
      <c r="C802" s="1" t="n">
        <v>46093</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34348-2022</t>
        </is>
      </c>
      <c r="B803" s="1" t="n">
        <v>44792</v>
      </c>
      <c r="C803" s="1" t="n">
        <v>46093</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6836-2023</t>
        </is>
      </c>
      <c r="B804" s="1" t="n">
        <v>44967</v>
      </c>
      <c r="C804" s="1" t="n">
        <v>46093</v>
      </c>
      <c r="D804" t="inlineStr">
        <is>
          <t>SKÅNE LÄN</t>
        </is>
      </c>
      <c r="E804" t="inlineStr">
        <is>
          <t>HÄSSLEHOLM</t>
        </is>
      </c>
      <c r="G804" t="n">
        <v>3.5</v>
      </c>
      <c r="H804" t="n">
        <v>0</v>
      </c>
      <c r="I804" t="n">
        <v>0</v>
      </c>
      <c r="J804" t="n">
        <v>0</v>
      </c>
      <c r="K804" t="n">
        <v>0</v>
      </c>
      <c r="L804" t="n">
        <v>0</v>
      </c>
      <c r="M804" t="n">
        <v>0</v>
      </c>
      <c r="N804" t="n">
        <v>0</v>
      </c>
      <c r="O804" t="n">
        <v>0</v>
      </c>
      <c r="P804" t="n">
        <v>0</v>
      </c>
      <c r="Q804" t="n">
        <v>0</v>
      </c>
      <c r="R804" s="2" t="inlineStr"/>
    </row>
    <row r="805" ht="15" customHeight="1">
      <c r="A805" t="inlineStr">
        <is>
          <t>A 31931-2024</t>
        </is>
      </c>
      <c r="B805" s="1" t="n">
        <v>45510.40878472223</v>
      </c>
      <c r="C805" s="1" t="n">
        <v>46093</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8803-2023</t>
        </is>
      </c>
      <c r="B806" s="1" t="n">
        <v>44978.61712962963</v>
      </c>
      <c r="C806" s="1" t="n">
        <v>46093</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11681-2023</t>
        </is>
      </c>
      <c r="B807" s="1" t="n">
        <v>44992</v>
      </c>
      <c r="C807" s="1" t="n">
        <v>46093</v>
      </c>
      <c r="D807" t="inlineStr">
        <is>
          <t>SKÅNE LÄN</t>
        </is>
      </c>
      <c r="E807" t="inlineStr">
        <is>
          <t>HÄSSLEHOLM</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46222-2022</t>
        </is>
      </c>
      <c r="B808" s="1" t="n">
        <v>44847.58725694445</v>
      </c>
      <c r="C808" s="1" t="n">
        <v>46093</v>
      </c>
      <c r="D808" t="inlineStr">
        <is>
          <t>SKÅNE LÄN</t>
        </is>
      </c>
      <c r="E808" t="inlineStr">
        <is>
          <t>HÄSSLEHOLM</t>
        </is>
      </c>
      <c r="G808" t="n">
        <v>6.3</v>
      </c>
      <c r="H808" t="n">
        <v>0</v>
      </c>
      <c r="I808" t="n">
        <v>0</v>
      </c>
      <c r="J808" t="n">
        <v>0</v>
      </c>
      <c r="K808" t="n">
        <v>0</v>
      </c>
      <c r="L808" t="n">
        <v>0</v>
      </c>
      <c r="M808" t="n">
        <v>0</v>
      </c>
      <c r="N808" t="n">
        <v>0</v>
      </c>
      <c r="O808" t="n">
        <v>0</v>
      </c>
      <c r="P808" t="n">
        <v>0</v>
      </c>
      <c r="Q808" t="n">
        <v>0</v>
      </c>
      <c r="R808" s="2" t="inlineStr"/>
    </row>
    <row r="809" ht="15" customHeight="1">
      <c r="A809" t="inlineStr">
        <is>
          <t>A 13347-2025</t>
        </is>
      </c>
      <c r="B809" s="1" t="n">
        <v>45735.63175925926</v>
      </c>
      <c r="C809" s="1" t="n">
        <v>46093</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58241-2025</t>
        </is>
      </c>
      <c r="B810" s="1" t="n">
        <v>45985.38797453704</v>
      </c>
      <c r="C810" s="1" t="n">
        <v>46093</v>
      </c>
      <c r="D810" t="inlineStr">
        <is>
          <t>SKÅNE LÄN</t>
        </is>
      </c>
      <c r="E810" t="inlineStr">
        <is>
          <t>HÄSSLEHOLM</t>
        </is>
      </c>
      <c r="G810" t="n">
        <v>3.6</v>
      </c>
      <c r="H810" t="n">
        <v>0</v>
      </c>
      <c r="I810" t="n">
        <v>0</v>
      </c>
      <c r="J810" t="n">
        <v>0</v>
      </c>
      <c r="K810" t="n">
        <v>0</v>
      </c>
      <c r="L810" t="n">
        <v>0</v>
      </c>
      <c r="M810" t="n">
        <v>0</v>
      </c>
      <c r="N810" t="n">
        <v>0</v>
      </c>
      <c r="O810" t="n">
        <v>0</v>
      </c>
      <c r="P810" t="n">
        <v>0</v>
      </c>
      <c r="Q810" t="n">
        <v>0</v>
      </c>
      <c r="R810" s="2" t="inlineStr"/>
    </row>
    <row r="811" ht="15" customHeight="1">
      <c r="A811" t="inlineStr">
        <is>
          <t>A 13198-2025</t>
        </is>
      </c>
      <c r="B811" s="1" t="n">
        <v>45735</v>
      </c>
      <c r="C811" s="1" t="n">
        <v>46093</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50249-2024</t>
        </is>
      </c>
      <c r="B812" s="1" t="n">
        <v>45600.56866898148</v>
      </c>
      <c r="C812" s="1" t="n">
        <v>46093</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11753-2025</t>
        </is>
      </c>
      <c r="B813" s="1" t="n">
        <v>45727</v>
      </c>
      <c r="C813" s="1" t="n">
        <v>46093</v>
      </c>
      <c r="D813" t="inlineStr">
        <is>
          <t>SKÅNE LÄN</t>
        </is>
      </c>
      <c r="E813" t="inlineStr">
        <is>
          <t>HÄSSLEHOLM</t>
        </is>
      </c>
      <c r="G813" t="n">
        <v>2.7</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44946.51672453704</v>
      </c>
      <c r="C814" s="1" t="n">
        <v>46093</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60843-2022</t>
        </is>
      </c>
      <c r="B815" s="1" t="n">
        <v>44914</v>
      </c>
      <c r="C815" s="1" t="n">
        <v>46093</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59429-2023</t>
        </is>
      </c>
      <c r="B816" s="1" t="n">
        <v>45254.2875</v>
      </c>
      <c r="C816" s="1" t="n">
        <v>46093</v>
      </c>
      <c r="D816" t="inlineStr">
        <is>
          <t>SKÅNE LÄN</t>
        </is>
      </c>
      <c r="E816" t="inlineStr">
        <is>
          <t>HÄSSLEHOLM</t>
        </is>
      </c>
      <c r="G816" t="n">
        <v>0</v>
      </c>
      <c r="H816" t="n">
        <v>0</v>
      </c>
      <c r="I816" t="n">
        <v>0</v>
      </c>
      <c r="J816" t="n">
        <v>0</v>
      </c>
      <c r="K816" t="n">
        <v>0</v>
      </c>
      <c r="L816" t="n">
        <v>0</v>
      </c>
      <c r="M816" t="n">
        <v>0</v>
      </c>
      <c r="N816" t="n">
        <v>0</v>
      </c>
      <c r="O816" t="n">
        <v>0</v>
      </c>
      <c r="P816" t="n">
        <v>0</v>
      </c>
      <c r="Q816" t="n">
        <v>0</v>
      </c>
      <c r="R816" s="2" t="inlineStr"/>
    </row>
    <row r="817" ht="15" customHeight="1">
      <c r="A817" t="inlineStr">
        <is>
          <t>A 51040-2024</t>
        </is>
      </c>
      <c r="B817" s="1" t="n">
        <v>45603.43222222223</v>
      </c>
      <c r="C817" s="1" t="n">
        <v>46093</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56881-2021</t>
        </is>
      </c>
      <c r="B818" s="1" t="n">
        <v>44481</v>
      </c>
      <c r="C818" s="1" t="n">
        <v>46093</v>
      </c>
      <c r="D818" t="inlineStr">
        <is>
          <t>SKÅNE LÄN</t>
        </is>
      </c>
      <c r="E818" t="inlineStr">
        <is>
          <t>HÄSSLEHOLM</t>
        </is>
      </c>
      <c r="G818" t="n">
        <v>0.4</v>
      </c>
      <c r="H818" t="n">
        <v>0</v>
      </c>
      <c r="I818" t="n">
        <v>0</v>
      </c>
      <c r="J818" t="n">
        <v>0</v>
      </c>
      <c r="K818" t="n">
        <v>0</v>
      </c>
      <c r="L818" t="n">
        <v>0</v>
      </c>
      <c r="M818" t="n">
        <v>0</v>
      </c>
      <c r="N818" t="n">
        <v>0</v>
      </c>
      <c r="O818" t="n">
        <v>0</v>
      </c>
      <c r="P818" t="n">
        <v>0</v>
      </c>
      <c r="Q818" t="n">
        <v>0</v>
      </c>
      <c r="R818" s="2" t="inlineStr"/>
    </row>
    <row r="819" ht="15" customHeight="1">
      <c r="A819" t="inlineStr">
        <is>
          <t>A 40202-2022</t>
        </is>
      </c>
      <c r="B819" s="1" t="n">
        <v>44820.60614583334</v>
      </c>
      <c r="C819" s="1" t="n">
        <v>46093</v>
      </c>
      <c r="D819" t="inlineStr">
        <is>
          <t>SKÅNE LÄN</t>
        </is>
      </c>
      <c r="E819" t="inlineStr">
        <is>
          <t>HÄSSLEHOLM</t>
        </is>
      </c>
      <c r="G819" t="n">
        <v>1.1</v>
      </c>
      <c r="H819" t="n">
        <v>0</v>
      </c>
      <c r="I819" t="n">
        <v>0</v>
      </c>
      <c r="J819" t="n">
        <v>0</v>
      </c>
      <c r="K819" t="n">
        <v>0</v>
      </c>
      <c r="L819" t="n">
        <v>0</v>
      </c>
      <c r="M819" t="n">
        <v>0</v>
      </c>
      <c r="N819" t="n">
        <v>0</v>
      </c>
      <c r="O819" t="n">
        <v>0</v>
      </c>
      <c r="P819" t="n">
        <v>0</v>
      </c>
      <c r="Q819" t="n">
        <v>0</v>
      </c>
      <c r="R819" s="2" t="inlineStr"/>
    </row>
    <row r="820" ht="15" customHeight="1">
      <c r="A820" t="inlineStr">
        <is>
          <t>A 45653-2024</t>
        </is>
      </c>
      <c r="B820" s="1" t="n">
        <v>45579.48872685185</v>
      </c>
      <c r="C820" s="1" t="n">
        <v>46093</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56956-2024</t>
        </is>
      </c>
      <c r="B821" s="1" t="n">
        <v>45626</v>
      </c>
      <c r="C821" s="1" t="n">
        <v>46093</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45392-2024</t>
        </is>
      </c>
      <c r="B822" s="1" t="n">
        <v>45576.55008101852</v>
      </c>
      <c r="C822" s="1" t="n">
        <v>46093</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20187-2023</t>
        </is>
      </c>
      <c r="B823" s="1" t="n">
        <v>45055.57027777778</v>
      </c>
      <c r="C823" s="1" t="n">
        <v>46093</v>
      </c>
      <c r="D823" t="inlineStr">
        <is>
          <t>SKÅNE LÄN</t>
        </is>
      </c>
      <c r="E823" t="inlineStr">
        <is>
          <t>HÄSSLEHOLM</t>
        </is>
      </c>
      <c r="G823" t="n">
        <v>1.8</v>
      </c>
      <c r="H823" t="n">
        <v>0</v>
      </c>
      <c r="I823" t="n">
        <v>0</v>
      </c>
      <c r="J823" t="n">
        <v>0</v>
      </c>
      <c r="K823" t="n">
        <v>0</v>
      </c>
      <c r="L823" t="n">
        <v>0</v>
      </c>
      <c r="M823" t="n">
        <v>0</v>
      </c>
      <c r="N823" t="n">
        <v>0</v>
      </c>
      <c r="O823" t="n">
        <v>0</v>
      </c>
      <c r="P823" t="n">
        <v>0</v>
      </c>
      <c r="Q823" t="n">
        <v>0</v>
      </c>
      <c r="R823" s="2" t="inlineStr"/>
    </row>
    <row r="824" ht="15" customHeight="1">
      <c r="A824" t="inlineStr">
        <is>
          <t>A 1543-2024</t>
        </is>
      </c>
      <c r="B824" s="1" t="n">
        <v>45306</v>
      </c>
      <c r="C824" s="1" t="n">
        <v>46093</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54326-2022</t>
        </is>
      </c>
      <c r="B825" s="1" t="n">
        <v>44882.42965277778</v>
      </c>
      <c r="C825" s="1" t="n">
        <v>46093</v>
      </c>
      <c r="D825" t="inlineStr">
        <is>
          <t>SKÅNE LÄN</t>
        </is>
      </c>
      <c r="E825" t="inlineStr">
        <is>
          <t>HÄSSLEHOLM</t>
        </is>
      </c>
      <c r="G825" t="n">
        <v>1.5</v>
      </c>
      <c r="H825" t="n">
        <v>0</v>
      </c>
      <c r="I825" t="n">
        <v>0</v>
      </c>
      <c r="J825" t="n">
        <v>0</v>
      </c>
      <c r="K825" t="n">
        <v>0</v>
      </c>
      <c r="L825" t="n">
        <v>0</v>
      </c>
      <c r="M825" t="n">
        <v>0</v>
      </c>
      <c r="N825" t="n">
        <v>0</v>
      </c>
      <c r="O825" t="n">
        <v>0</v>
      </c>
      <c r="P825" t="n">
        <v>0</v>
      </c>
      <c r="Q825" t="n">
        <v>0</v>
      </c>
      <c r="R825" s="2" t="inlineStr"/>
    </row>
    <row r="826" ht="15" customHeight="1">
      <c r="A826" t="inlineStr">
        <is>
          <t>A 41998-2021</t>
        </is>
      </c>
      <c r="B826" s="1" t="n">
        <v>44425</v>
      </c>
      <c r="C826" s="1" t="n">
        <v>46093</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61524-2022</t>
        </is>
      </c>
      <c r="B827" s="1" t="n">
        <v>44910</v>
      </c>
      <c r="C827" s="1" t="n">
        <v>46093</v>
      </c>
      <c r="D827" t="inlineStr">
        <is>
          <t>SKÅNE LÄN</t>
        </is>
      </c>
      <c r="E827" t="inlineStr">
        <is>
          <t>HÄSSLEHOLM</t>
        </is>
      </c>
      <c r="F827" t="inlineStr">
        <is>
          <t>Kyrkan</t>
        </is>
      </c>
      <c r="G827" t="n">
        <v>2.1</v>
      </c>
      <c r="H827" t="n">
        <v>0</v>
      </c>
      <c r="I827" t="n">
        <v>0</v>
      </c>
      <c r="J827" t="n">
        <v>0</v>
      </c>
      <c r="K827" t="n">
        <v>0</v>
      </c>
      <c r="L827" t="n">
        <v>0</v>
      </c>
      <c r="M827" t="n">
        <v>0</v>
      </c>
      <c r="N827" t="n">
        <v>0</v>
      </c>
      <c r="O827" t="n">
        <v>0</v>
      </c>
      <c r="P827" t="n">
        <v>0</v>
      </c>
      <c r="Q827" t="n">
        <v>0</v>
      </c>
      <c r="R827" s="2" t="inlineStr"/>
    </row>
    <row r="828" ht="15" customHeight="1">
      <c r="A828" t="inlineStr">
        <is>
          <t>A 61533-2022</t>
        </is>
      </c>
      <c r="B828" s="1" t="n">
        <v>44910</v>
      </c>
      <c r="C828" s="1" t="n">
        <v>46093</v>
      </c>
      <c r="D828" t="inlineStr">
        <is>
          <t>SKÅNE LÄN</t>
        </is>
      </c>
      <c r="E828" t="inlineStr">
        <is>
          <t>HÄSSLEHOLM</t>
        </is>
      </c>
      <c r="F828" t="inlineStr">
        <is>
          <t>Kyrkan</t>
        </is>
      </c>
      <c r="G828" t="n">
        <v>1</v>
      </c>
      <c r="H828" t="n">
        <v>0</v>
      </c>
      <c r="I828" t="n">
        <v>0</v>
      </c>
      <c r="J828" t="n">
        <v>0</v>
      </c>
      <c r="K828" t="n">
        <v>0</v>
      </c>
      <c r="L828" t="n">
        <v>0</v>
      </c>
      <c r="M828" t="n">
        <v>0</v>
      </c>
      <c r="N828" t="n">
        <v>0</v>
      </c>
      <c r="O828" t="n">
        <v>0</v>
      </c>
      <c r="P828" t="n">
        <v>0</v>
      </c>
      <c r="Q828" t="n">
        <v>0</v>
      </c>
      <c r="R828" s="2" t="inlineStr"/>
    </row>
    <row r="829" ht="15" customHeight="1">
      <c r="A829" t="inlineStr">
        <is>
          <t>A 37038-2022</t>
        </is>
      </c>
      <c r="B829" s="1" t="n">
        <v>44806.44232638889</v>
      </c>
      <c r="C829" s="1" t="n">
        <v>46093</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8619-2023</t>
        </is>
      </c>
      <c r="B830" s="1" t="n">
        <v>44977.81979166667</v>
      </c>
      <c r="C830" s="1" t="n">
        <v>46093</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16454-2023</t>
        </is>
      </c>
      <c r="B831" s="1" t="n">
        <v>45029.48425925926</v>
      </c>
      <c r="C831" s="1" t="n">
        <v>46093</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31572-2022</t>
        </is>
      </c>
      <c r="B832" s="1" t="n">
        <v>44775</v>
      </c>
      <c r="C832" s="1" t="n">
        <v>46093</v>
      </c>
      <c r="D832" t="inlineStr">
        <is>
          <t>SKÅNE LÄN</t>
        </is>
      </c>
      <c r="E832" t="inlineStr">
        <is>
          <t>HÄSSLEHOLM</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49219-2021</t>
        </is>
      </c>
      <c r="B833" s="1" t="n">
        <v>44454</v>
      </c>
      <c r="C833" s="1" t="n">
        <v>46093</v>
      </c>
      <c r="D833" t="inlineStr">
        <is>
          <t>SKÅNE LÄN</t>
        </is>
      </c>
      <c r="E833" t="inlineStr">
        <is>
          <t>HÄSSLEHOLM</t>
        </is>
      </c>
      <c r="G833" t="n">
        <v>7.8</v>
      </c>
      <c r="H833" t="n">
        <v>0</v>
      </c>
      <c r="I833" t="n">
        <v>0</v>
      </c>
      <c r="J833" t="n">
        <v>0</v>
      </c>
      <c r="K833" t="n">
        <v>0</v>
      </c>
      <c r="L833" t="n">
        <v>0</v>
      </c>
      <c r="M833" t="n">
        <v>0</v>
      </c>
      <c r="N833" t="n">
        <v>0</v>
      </c>
      <c r="O833" t="n">
        <v>0</v>
      </c>
      <c r="P833" t="n">
        <v>0</v>
      </c>
      <c r="Q833" t="n">
        <v>0</v>
      </c>
      <c r="R833" s="2" t="inlineStr"/>
    </row>
    <row r="834" ht="15" customHeight="1">
      <c r="A834" t="inlineStr">
        <is>
          <t>A 70087-2021</t>
        </is>
      </c>
      <c r="B834" s="1" t="n">
        <v>44533</v>
      </c>
      <c r="C834" s="1" t="n">
        <v>46093</v>
      </c>
      <c r="D834" t="inlineStr">
        <is>
          <t>SKÅNE LÄN</t>
        </is>
      </c>
      <c r="E834" t="inlineStr">
        <is>
          <t>HÄSSLEHOLM</t>
        </is>
      </c>
      <c r="G834" t="n">
        <v>5</v>
      </c>
      <c r="H834" t="n">
        <v>0</v>
      </c>
      <c r="I834" t="n">
        <v>0</v>
      </c>
      <c r="J834" t="n">
        <v>0</v>
      </c>
      <c r="K834" t="n">
        <v>0</v>
      </c>
      <c r="L834" t="n">
        <v>0</v>
      </c>
      <c r="M834" t="n">
        <v>0</v>
      </c>
      <c r="N834" t="n">
        <v>0</v>
      </c>
      <c r="O834" t="n">
        <v>0</v>
      </c>
      <c r="P834" t="n">
        <v>0</v>
      </c>
      <c r="Q834" t="n">
        <v>0</v>
      </c>
      <c r="R834" s="2" t="inlineStr"/>
    </row>
    <row r="835" ht="15" customHeight="1">
      <c r="A835" t="inlineStr">
        <is>
          <t>A 58933-2025</t>
        </is>
      </c>
      <c r="B835" s="1" t="n">
        <v>45987.56107638889</v>
      </c>
      <c r="C835" s="1" t="n">
        <v>46093</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46000-2021</t>
        </is>
      </c>
      <c r="B836" s="1" t="n">
        <v>44441</v>
      </c>
      <c r="C836" s="1" t="n">
        <v>46093</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9375-2023</t>
        </is>
      </c>
      <c r="B837" s="1" t="n">
        <v>44981</v>
      </c>
      <c r="C837" s="1" t="n">
        <v>46093</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62171-2022</t>
        </is>
      </c>
      <c r="B838" s="1" t="n">
        <v>44915</v>
      </c>
      <c r="C838" s="1" t="n">
        <v>46093</v>
      </c>
      <c r="D838" t="inlineStr">
        <is>
          <t>SKÅNE LÄN</t>
        </is>
      </c>
      <c r="E838" t="inlineStr">
        <is>
          <t>HÄSSLEHOLM</t>
        </is>
      </c>
      <c r="F838" t="inlineStr">
        <is>
          <t>Kyrkan</t>
        </is>
      </c>
      <c r="G838" t="n">
        <v>9</v>
      </c>
      <c r="H838" t="n">
        <v>0</v>
      </c>
      <c r="I838" t="n">
        <v>0</v>
      </c>
      <c r="J838" t="n">
        <v>0</v>
      </c>
      <c r="K838" t="n">
        <v>0</v>
      </c>
      <c r="L838" t="n">
        <v>0</v>
      </c>
      <c r="M838" t="n">
        <v>0</v>
      </c>
      <c r="N838" t="n">
        <v>0</v>
      </c>
      <c r="O838" t="n">
        <v>0</v>
      </c>
      <c r="P838" t="n">
        <v>0</v>
      </c>
      <c r="Q838" t="n">
        <v>0</v>
      </c>
      <c r="R838" s="2" t="inlineStr"/>
    </row>
    <row r="839" ht="15" customHeight="1">
      <c r="A839" t="inlineStr">
        <is>
          <t>A 32100-2024</t>
        </is>
      </c>
      <c r="B839" s="1" t="n">
        <v>45511.41451388889</v>
      </c>
      <c r="C839" s="1" t="n">
        <v>46093</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33481-2024</t>
        </is>
      </c>
      <c r="B840" s="1" t="n">
        <v>45519</v>
      </c>
      <c r="C840" s="1" t="n">
        <v>46093</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48807-2021</t>
        </is>
      </c>
      <c r="B841" s="1" t="n">
        <v>44452</v>
      </c>
      <c r="C841" s="1" t="n">
        <v>46093</v>
      </c>
      <c r="D841" t="inlineStr">
        <is>
          <t>SKÅNE LÄN</t>
        </is>
      </c>
      <c r="E841" t="inlineStr">
        <is>
          <t>HÄSSLEHOLM</t>
        </is>
      </c>
      <c r="G841" t="n">
        <v>1.1</v>
      </c>
      <c r="H841" t="n">
        <v>0</v>
      </c>
      <c r="I841" t="n">
        <v>0</v>
      </c>
      <c r="J841" t="n">
        <v>0</v>
      </c>
      <c r="K841" t="n">
        <v>0</v>
      </c>
      <c r="L841" t="n">
        <v>0</v>
      </c>
      <c r="M841" t="n">
        <v>0</v>
      </c>
      <c r="N841" t="n">
        <v>0</v>
      </c>
      <c r="O841" t="n">
        <v>0</v>
      </c>
      <c r="P841" t="n">
        <v>0</v>
      </c>
      <c r="Q841" t="n">
        <v>0</v>
      </c>
      <c r="R841" s="2" t="inlineStr"/>
    </row>
    <row r="842" ht="15" customHeight="1">
      <c r="A842" t="inlineStr">
        <is>
          <t>A 29287-2023</t>
        </is>
      </c>
      <c r="B842" s="1" t="n">
        <v>45098</v>
      </c>
      <c r="C842" s="1" t="n">
        <v>46093</v>
      </c>
      <c r="D842" t="inlineStr">
        <is>
          <t>SKÅNE LÄN</t>
        </is>
      </c>
      <c r="E842" t="inlineStr">
        <is>
          <t>HÄSSLEHOLM</t>
        </is>
      </c>
      <c r="G842" t="n">
        <v>5.7</v>
      </c>
      <c r="H842" t="n">
        <v>0</v>
      </c>
      <c r="I842" t="n">
        <v>0</v>
      </c>
      <c r="J842" t="n">
        <v>0</v>
      </c>
      <c r="K842" t="n">
        <v>0</v>
      </c>
      <c r="L842" t="n">
        <v>0</v>
      </c>
      <c r="M842" t="n">
        <v>0</v>
      </c>
      <c r="N842" t="n">
        <v>0</v>
      </c>
      <c r="O842" t="n">
        <v>0</v>
      </c>
      <c r="P842" t="n">
        <v>0</v>
      </c>
      <c r="Q842" t="n">
        <v>0</v>
      </c>
      <c r="R842" s="2" t="inlineStr"/>
    </row>
    <row r="843" ht="15" customHeight="1">
      <c r="A843" t="inlineStr">
        <is>
          <t>A 54176-2022</t>
        </is>
      </c>
      <c r="B843" s="1" t="n">
        <v>44881</v>
      </c>
      <c r="C843" s="1" t="n">
        <v>46093</v>
      </c>
      <c r="D843" t="inlineStr">
        <is>
          <t>SKÅNE LÄN</t>
        </is>
      </c>
      <c r="E843" t="inlineStr">
        <is>
          <t>HÄSSLEHOLM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16614-2025</t>
        </is>
      </c>
      <c r="B844" s="1" t="n">
        <v>45754.283125</v>
      </c>
      <c r="C844" s="1" t="n">
        <v>46093</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23723-2023</t>
        </is>
      </c>
      <c r="B845" s="1" t="n">
        <v>45077</v>
      </c>
      <c r="C845" s="1" t="n">
        <v>46093</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55416-2021</t>
        </is>
      </c>
      <c r="B846" s="1" t="n">
        <v>44475</v>
      </c>
      <c r="C846" s="1" t="n">
        <v>46093</v>
      </c>
      <c r="D846" t="inlineStr">
        <is>
          <t>SKÅNE LÄN</t>
        </is>
      </c>
      <c r="E846" t="inlineStr">
        <is>
          <t>HÄSSLEHOLM</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60509-2023</t>
        </is>
      </c>
      <c r="B847" s="1" t="n">
        <v>45259</v>
      </c>
      <c r="C847" s="1" t="n">
        <v>46093</v>
      </c>
      <c r="D847" t="inlineStr">
        <is>
          <t>SKÅNE LÄN</t>
        </is>
      </c>
      <c r="E847" t="inlineStr">
        <is>
          <t>HÄSSLEHOLM</t>
        </is>
      </c>
      <c r="F847" t="inlineStr">
        <is>
          <t>Övriga Aktiebolag</t>
        </is>
      </c>
      <c r="G847" t="n">
        <v>0.5</v>
      </c>
      <c r="H847" t="n">
        <v>0</v>
      </c>
      <c r="I847" t="n">
        <v>0</v>
      </c>
      <c r="J847" t="n">
        <v>0</v>
      </c>
      <c r="K847" t="n">
        <v>0</v>
      </c>
      <c r="L847" t="n">
        <v>0</v>
      </c>
      <c r="M847" t="n">
        <v>0</v>
      </c>
      <c r="N847" t="n">
        <v>0</v>
      </c>
      <c r="O847" t="n">
        <v>0</v>
      </c>
      <c r="P847" t="n">
        <v>0</v>
      </c>
      <c r="Q847" t="n">
        <v>0</v>
      </c>
      <c r="R847" s="2" t="inlineStr"/>
    </row>
    <row r="848" ht="15" customHeight="1">
      <c r="A848" t="inlineStr">
        <is>
          <t>A 4945-2022</t>
        </is>
      </c>
      <c r="B848" s="1" t="n">
        <v>44593</v>
      </c>
      <c r="C848" s="1" t="n">
        <v>46093</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53055-2021</t>
        </is>
      </c>
      <c r="B849" s="1" t="n">
        <v>44467</v>
      </c>
      <c r="C849" s="1" t="n">
        <v>46093</v>
      </c>
      <c r="D849" t="inlineStr">
        <is>
          <t>SKÅNE LÄN</t>
        </is>
      </c>
      <c r="E849" t="inlineStr">
        <is>
          <t>HÄSSLEHOLM</t>
        </is>
      </c>
      <c r="G849" t="n">
        <v>0.7</v>
      </c>
      <c r="H849" t="n">
        <v>0</v>
      </c>
      <c r="I849" t="n">
        <v>0</v>
      </c>
      <c r="J849" t="n">
        <v>0</v>
      </c>
      <c r="K849" t="n">
        <v>0</v>
      </c>
      <c r="L849" t="n">
        <v>0</v>
      </c>
      <c r="M849" t="n">
        <v>0</v>
      </c>
      <c r="N849" t="n">
        <v>0</v>
      </c>
      <c r="O849" t="n">
        <v>0</v>
      </c>
      <c r="P849" t="n">
        <v>0</v>
      </c>
      <c r="Q849" t="n">
        <v>0</v>
      </c>
      <c r="R849" s="2" t="inlineStr"/>
    </row>
    <row r="850" ht="15" customHeight="1">
      <c r="A850" t="inlineStr">
        <is>
          <t>A 21310-2022</t>
        </is>
      </c>
      <c r="B850" s="1" t="n">
        <v>44705</v>
      </c>
      <c r="C850" s="1" t="n">
        <v>46093</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47248-2023</t>
        </is>
      </c>
      <c r="B851" s="1" t="n">
        <v>45202</v>
      </c>
      <c r="C851" s="1" t="n">
        <v>46093</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38306-2022</t>
        </is>
      </c>
      <c r="B852" s="1" t="n">
        <v>44812.57515046297</v>
      </c>
      <c r="C852" s="1" t="n">
        <v>46093</v>
      </c>
      <c r="D852" t="inlineStr">
        <is>
          <t>SKÅNE LÄN</t>
        </is>
      </c>
      <c r="E852" t="inlineStr">
        <is>
          <t>HÄSSLEHOLM</t>
        </is>
      </c>
      <c r="G852" t="n">
        <v>2.2</v>
      </c>
      <c r="H852" t="n">
        <v>0</v>
      </c>
      <c r="I852" t="n">
        <v>0</v>
      </c>
      <c r="J852" t="n">
        <v>0</v>
      </c>
      <c r="K852" t="n">
        <v>0</v>
      </c>
      <c r="L852" t="n">
        <v>0</v>
      </c>
      <c r="M852" t="n">
        <v>0</v>
      </c>
      <c r="N852" t="n">
        <v>0</v>
      </c>
      <c r="O852" t="n">
        <v>0</v>
      </c>
      <c r="P852" t="n">
        <v>0</v>
      </c>
      <c r="Q852" t="n">
        <v>0</v>
      </c>
      <c r="R852" s="2" t="inlineStr"/>
    </row>
    <row r="853" ht="15" customHeight="1">
      <c r="A853" t="inlineStr">
        <is>
          <t>A 35845-2022</t>
        </is>
      </c>
      <c r="B853" s="1" t="n">
        <v>44802</v>
      </c>
      <c r="C853" s="1" t="n">
        <v>46093</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9485-2023</t>
        </is>
      </c>
      <c r="B854" s="1" t="n">
        <v>44981.60901620371</v>
      </c>
      <c r="C854" s="1" t="n">
        <v>46093</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9502-2023</t>
        </is>
      </c>
      <c r="B855" s="1" t="n">
        <v>44981.63278935185</v>
      </c>
      <c r="C855" s="1" t="n">
        <v>46093</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10928-2024</t>
        </is>
      </c>
      <c r="B856" s="1" t="n">
        <v>45370</v>
      </c>
      <c r="C856" s="1" t="n">
        <v>46093</v>
      </c>
      <c r="D856" t="inlineStr">
        <is>
          <t>SKÅNE LÄN</t>
        </is>
      </c>
      <c r="E856" t="inlineStr">
        <is>
          <t>HÄSSLEHOLM</t>
        </is>
      </c>
      <c r="F856" t="inlineStr">
        <is>
          <t>Övriga Aktiebolag</t>
        </is>
      </c>
      <c r="G856" t="n">
        <v>0.5</v>
      </c>
      <c r="H856" t="n">
        <v>0</v>
      </c>
      <c r="I856" t="n">
        <v>0</v>
      </c>
      <c r="J856" t="n">
        <v>0</v>
      </c>
      <c r="K856" t="n">
        <v>0</v>
      </c>
      <c r="L856" t="n">
        <v>0</v>
      </c>
      <c r="M856" t="n">
        <v>0</v>
      </c>
      <c r="N856" t="n">
        <v>0</v>
      </c>
      <c r="O856" t="n">
        <v>0</v>
      </c>
      <c r="P856" t="n">
        <v>0</v>
      </c>
      <c r="Q856" t="n">
        <v>0</v>
      </c>
      <c r="R856" s="2" t="inlineStr"/>
    </row>
    <row r="857" ht="15" customHeight="1">
      <c r="A857" t="inlineStr">
        <is>
          <t>A 5890-2023</t>
        </is>
      </c>
      <c r="B857" s="1" t="n">
        <v>44963.64527777778</v>
      </c>
      <c r="C857" s="1" t="n">
        <v>46093</v>
      </c>
      <c r="D857" t="inlineStr">
        <is>
          <t>SKÅNE LÄN</t>
        </is>
      </c>
      <c r="E857" t="inlineStr">
        <is>
          <t>HÄSSLEHOLM</t>
        </is>
      </c>
      <c r="G857" t="n">
        <v>1.6</v>
      </c>
      <c r="H857" t="n">
        <v>0</v>
      </c>
      <c r="I857" t="n">
        <v>0</v>
      </c>
      <c r="J857" t="n">
        <v>0</v>
      </c>
      <c r="K857" t="n">
        <v>0</v>
      </c>
      <c r="L857" t="n">
        <v>0</v>
      </c>
      <c r="M857" t="n">
        <v>0</v>
      </c>
      <c r="N857" t="n">
        <v>0</v>
      </c>
      <c r="O857" t="n">
        <v>0</v>
      </c>
      <c r="P857" t="n">
        <v>0</v>
      </c>
      <c r="Q857" t="n">
        <v>0</v>
      </c>
      <c r="R857" s="2" t="inlineStr"/>
    </row>
    <row r="858" ht="15" customHeight="1">
      <c r="A858" t="inlineStr">
        <is>
          <t>A 5894-2023</t>
        </is>
      </c>
      <c r="B858" s="1" t="n">
        <v>44963.65148148148</v>
      </c>
      <c r="C858" s="1" t="n">
        <v>46093</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12843-2023</t>
        </is>
      </c>
      <c r="B859" s="1" t="n">
        <v>45001.48423611111</v>
      </c>
      <c r="C859" s="1" t="n">
        <v>46093</v>
      </c>
      <c r="D859" t="inlineStr">
        <is>
          <t>SKÅNE LÄN</t>
        </is>
      </c>
      <c r="E859" t="inlineStr">
        <is>
          <t>HÄSSLEHOLM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12503-2022</t>
        </is>
      </c>
      <c r="B860" s="1" t="n">
        <v>44638</v>
      </c>
      <c r="C860" s="1" t="n">
        <v>46093</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10944-2024</t>
        </is>
      </c>
      <c r="B861" s="1" t="n">
        <v>45370</v>
      </c>
      <c r="C861" s="1" t="n">
        <v>46093</v>
      </c>
      <c r="D861" t="inlineStr">
        <is>
          <t>SKÅNE LÄN</t>
        </is>
      </c>
      <c r="E861" t="inlineStr">
        <is>
          <t>HÄSSLEHOLM</t>
        </is>
      </c>
      <c r="F861" t="inlineStr">
        <is>
          <t>Övriga Aktiebolag</t>
        </is>
      </c>
      <c r="G861" t="n">
        <v>2.6</v>
      </c>
      <c r="H861" t="n">
        <v>0</v>
      </c>
      <c r="I861" t="n">
        <v>0</v>
      </c>
      <c r="J861" t="n">
        <v>0</v>
      </c>
      <c r="K861" t="n">
        <v>0</v>
      </c>
      <c r="L861" t="n">
        <v>0</v>
      </c>
      <c r="M861" t="n">
        <v>0</v>
      </c>
      <c r="N861" t="n">
        <v>0</v>
      </c>
      <c r="O861" t="n">
        <v>0</v>
      </c>
      <c r="P861" t="n">
        <v>0</v>
      </c>
      <c r="Q861" t="n">
        <v>0</v>
      </c>
      <c r="R861" s="2" t="inlineStr"/>
    </row>
    <row r="862" ht="15" customHeight="1">
      <c r="A862" t="inlineStr">
        <is>
          <t>A 13309-2025</t>
        </is>
      </c>
      <c r="B862" s="1" t="n">
        <v>45735.58512731481</v>
      </c>
      <c r="C862" s="1" t="n">
        <v>46093</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5980-2024</t>
        </is>
      </c>
      <c r="B863" s="1" t="n">
        <v>45335</v>
      </c>
      <c r="C863" s="1" t="n">
        <v>46093</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1616-2025</t>
        </is>
      </c>
      <c r="B864" s="1" t="n">
        <v>45670</v>
      </c>
      <c r="C864" s="1" t="n">
        <v>46093</v>
      </c>
      <c r="D864" t="inlineStr">
        <is>
          <t>SKÅNE LÄN</t>
        </is>
      </c>
      <c r="E864" t="inlineStr">
        <is>
          <t>HÄSSLEHOLM</t>
        </is>
      </c>
      <c r="G864" t="n">
        <v>3.6</v>
      </c>
      <c r="H864" t="n">
        <v>0</v>
      </c>
      <c r="I864" t="n">
        <v>0</v>
      </c>
      <c r="J864" t="n">
        <v>0</v>
      </c>
      <c r="K864" t="n">
        <v>0</v>
      </c>
      <c r="L864" t="n">
        <v>0</v>
      </c>
      <c r="M864" t="n">
        <v>0</v>
      </c>
      <c r="N864" t="n">
        <v>0</v>
      </c>
      <c r="O864" t="n">
        <v>0</v>
      </c>
      <c r="P864" t="n">
        <v>0</v>
      </c>
      <c r="Q864" t="n">
        <v>0</v>
      </c>
      <c r="R864" s="2" t="inlineStr"/>
    </row>
    <row r="865" ht="15" customHeight="1">
      <c r="A865" t="inlineStr">
        <is>
          <t>A 59722-2025</t>
        </is>
      </c>
      <c r="B865" s="1" t="n">
        <v>45992.5474537037</v>
      </c>
      <c r="C865" s="1" t="n">
        <v>46093</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42372-2024</t>
        </is>
      </c>
      <c r="B866" s="1" t="n">
        <v>45564.5127199074</v>
      </c>
      <c r="C866" s="1" t="n">
        <v>46093</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23950-2023</t>
        </is>
      </c>
      <c r="B867" s="1" t="n">
        <v>45078.61771990741</v>
      </c>
      <c r="C867" s="1" t="n">
        <v>46093</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23952-2023</t>
        </is>
      </c>
      <c r="B868" s="1" t="n">
        <v>45078.62064814815</v>
      </c>
      <c r="C868" s="1" t="n">
        <v>46093</v>
      </c>
      <c r="D868" t="inlineStr">
        <is>
          <t>SKÅNE LÄN</t>
        </is>
      </c>
      <c r="E868" t="inlineStr">
        <is>
          <t>HÄSSLEHOLM</t>
        </is>
      </c>
      <c r="G868" t="n">
        <v>0.4</v>
      </c>
      <c r="H868" t="n">
        <v>0</v>
      </c>
      <c r="I868" t="n">
        <v>0</v>
      </c>
      <c r="J868" t="n">
        <v>0</v>
      </c>
      <c r="K868" t="n">
        <v>0</v>
      </c>
      <c r="L868" t="n">
        <v>0</v>
      </c>
      <c r="M868" t="n">
        <v>0</v>
      </c>
      <c r="N868" t="n">
        <v>0</v>
      </c>
      <c r="O868" t="n">
        <v>0</v>
      </c>
      <c r="P868" t="n">
        <v>0</v>
      </c>
      <c r="Q868" t="n">
        <v>0</v>
      </c>
      <c r="R868" s="2" t="inlineStr"/>
    </row>
    <row r="869" ht="15" customHeight="1">
      <c r="A869" t="inlineStr">
        <is>
          <t>A 17699-2024</t>
        </is>
      </c>
      <c r="B869" s="1" t="n">
        <v>45418.46094907408</v>
      </c>
      <c r="C869" s="1" t="n">
        <v>46093</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17702-2024</t>
        </is>
      </c>
      <c r="B870" s="1" t="n">
        <v>45418.46534722222</v>
      </c>
      <c r="C870" s="1" t="n">
        <v>46093</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20566-2023</t>
        </is>
      </c>
      <c r="B871" s="1" t="n">
        <v>45057</v>
      </c>
      <c r="C871" s="1" t="n">
        <v>46093</v>
      </c>
      <c r="D871" t="inlineStr">
        <is>
          <t>SKÅNE LÄN</t>
        </is>
      </c>
      <c r="E871" t="inlineStr">
        <is>
          <t>HÄSSLEHOLM</t>
        </is>
      </c>
      <c r="G871" t="n">
        <v>5.2</v>
      </c>
      <c r="H871" t="n">
        <v>0</v>
      </c>
      <c r="I871" t="n">
        <v>0</v>
      </c>
      <c r="J871" t="n">
        <v>0</v>
      </c>
      <c r="K871" t="n">
        <v>0</v>
      </c>
      <c r="L871" t="n">
        <v>0</v>
      </c>
      <c r="M871" t="n">
        <v>0</v>
      </c>
      <c r="N871" t="n">
        <v>0</v>
      </c>
      <c r="O871" t="n">
        <v>0</v>
      </c>
      <c r="P871" t="n">
        <v>0</v>
      </c>
      <c r="Q871" t="n">
        <v>0</v>
      </c>
      <c r="R871" s="2" t="inlineStr"/>
    </row>
    <row r="872" ht="15" customHeight="1">
      <c r="A872" t="inlineStr">
        <is>
          <t>A 2144-2023</t>
        </is>
      </c>
      <c r="B872" s="1" t="n">
        <v>44940.79054398148</v>
      </c>
      <c r="C872" s="1" t="n">
        <v>46093</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32967-2023</t>
        </is>
      </c>
      <c r="B873" s="1" t="n">
        <v>45125</v>
      </c>
      <c r="C873" s="1" t="n">
        <v>46093</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32968-2023</t>
        </is>
      </c>
      <c r="B874" s="1" t="n">
        <v>45125</v>
      </c>
      <c r="C874" s="1" t="n">
        <v>46093</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42231-2022</t>
        </is>
      </c>
      <c r="B875" s="1" t="n">
        <v>44830.77003472222</v>
      </c>
      <c r="C875" s="1" t="n">
        <v>46093</v>
      </c>
      <c r="D875" t="inlineStr">
        <is>
          <t>SKÅNE LÄN</t>
        </is>
      </c>
      <c r="E875" t="inlineStr">
        <is>
          <t>HÄSSLEHOLM</t>
        </is>
      </c>
      <c r="G875" t="n">
        <v>2.7</v>
      </c>
      <c r="H875" t="n">
        <v>0</v>
      </c>
      <c r="I875" t="n">
        <v>0</v>
      </c>
      <c r="J875" t="n">
        <v>0</v>
      </c>
      <c r="K875" t="n">
        <v>0</v>
      </c>
      <c r="L875" t="n">
        <v>0</v>
      </c>
      <c r="M875" t="n">
        <v>0</v>
      </c>
      <c r="N875" t="n">
        <v>0</v>
      </c>
      <c r="O875" t="n">
        <v>0</v>
      </c>
      <c r="P875" t="n">
        <v>0</v>
      </c>
      <c r="Q875" t="n">
        <v>0</v>
      </c>
      <c r="R875" s="2" t="inlineStr"/>
    </row>
    <row r="876" ht="15" customHeight="1">
      <c r="A876" t="inlineStr">
        <is>
          <t>A 61680-2022</t>
        </is>
      </c>
      <c r="B876" s="1" t="n">
        <v>44917.36372685185</v>
      </c>
      <c r="C876" s="1" t="n">
        <v>46093</v>
      </c>
      <c r="D876" t="inlineStr">
        <is>
          <t>SKÅNE LÄN</t>
        </is>
      </c>
      <c r="E876" t="inlineStr">
        <is>
          <t>HÄSSLEHOLM</t>
        </is>
      </c>
      <c r="G876" t="n">
        <v>2.4</v>
      </c>
      <c r="H876" t="n">
        <v>0</v>
      </c>
      <c r="I876" t="n">
        <v>0</v>
      </c>
      <c r="J876" t="n">
        <v>0</v>
      </c>
      <c r="K876" t="n">
        <v>0</v>
      </c>
      <c r="L876" t="n">
        <v>0</v>
      </c>
      <c r="M876" t="n">
        <v>0</v>
      </c>
      <c r="N876" t="n">
        <v>0</v>
      </c>
      <c r="O876" t="n">
        <v>0</v>
      </c>
      <c r="P876" t="n">
        <v>0</v>
      </c>
      <c r="Q876" t="n">
        <v>0</v>
      </c>
      <c r="R876" s="2" t="inlineStr"/>
    </row>
    <row r="877" ht="15" customHeight="1">
      <c r="A877" t="inlineStr">
        <is>
          <t>A 16550-2025</t>
        </is>
      </c>
      <c r="B877" s="1" t="n">
        <v>45751.69412037037</v>
      </c>
      <c r="C877" s="1" t="n">
        <v>46093</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16285-2025</t>
        </is>
      </c>
      <c r="B878" s="1" t="n">
        <v>45751.30045138889</v>
      </c>
      <c r="C878" s="1" t="n">
        <v>46093</v>
      </c>
      <c r="D878" t="inlineStr">
        <is>
          <t>SKÅNE LÄN</t>
        </is>
      </c>
      <c r="E878" t="inlineStr">
        <is>
          <t>HÄSSLEHOLM</t>
        </is>
      </c>
      <c r="G878" t="n">
        <v>2</v>
      </c>
      <c r="H878" t="n">
        <v>0</v>
      </c>
      <c r="I878" t="n">
        <v>0</v>
      </c>
      <c r="J878" t="n">
        <v>0</v>
      </c>
      <c r="K878" t="n">
        <v>0</v>
      </c>
      <c r="L878" t="n">
        <v>0</v>
      </c>
      <c r="M878" t="n">
        <v>0</v>
      </c>
      <c r="N878" t="n">
        <v>0</v>
      </c>
      <c r="O878" t="n">
        <v>0</v>
      </c>
      <c r="P878" t="n">
        <v>0</v>
      </c>
      <c r="Q878" t="n">
        <v>0</v>
      </c>
      <c r="R878" s="2" t="inlineStr"/>
    </row>
    <row r="879" ht="15" customHeight="1">
      <c r="A879" t="inlineStr">
        <is>
          <t>A 5780-2024</t>
        </is>
      </c>
      <c r="B879" s="1" t="n">
        <v>45335.41983796296</v>
      </c>
      <c r="C879" s="1" t="n">
        <v>46093</v>
      </c>
      <c r="D879" t="inlineStr">
        <is>
          <t>SKÅNE LÄN</t>
        </is>
      </c>
      <c r="E879" t="inlineStr">
        <is>
          <t>HÄSSLEHOLM</t>
        </is>
      </c>
      <c r="G879" t="n">
        <v>2.5</v>
      </c>
      <c r="H879" t="n">
        <v>0</v>
      </c>
      <c r="I879" t="n">
        <v>0</v>
      </c>
      <c r="J879" t="n">
        <v>0</v>
      </c>
      <c r="K879" t="n">
        <v>0</v>
      </c>
      <c r="L879" t="n">
        <v>0</v>
      </c>
      <c r="M879" t="n">
        <v>0</v>
      </c>
      <c r="N879" t="n">
        <v>0</v>
      </c>
      <c r="O879" t="n">
        <v>0</v>
      </c>
      <c r="P879" t="n">
        <v>0</v>
      </c>
      <c r="Q879" t="n">
        <v>0</v>
      </c>
      <c r="R879" s="2" t="inlineStr"/>
    </row>
    <row r="880" ht="15" customHeight="1">
      <c r="A880" t="inlineStr">
        <is>
          <t>A 54982-2024</t>
        </is>
      </c>
      <c r="B880" s="1" t="n">
        <v>45620.7580787037</v>
      </c>
      <c r="C880" s="1" t="n">
        <v>46093</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15897-2025</t>
        </is>
      </c>
      <c r="B881" s="1" t="n">
        <v>45749.41598379629</v>
      </c>
      <c r="C881" s="1" t="n">
        <v>46093</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36795-2023</t>
        </is>
      </c>
      <c r="B882" s="1" t="n">
        <v>45154.38245370371</v>
      </c>
      <c r="C882" s="1" t="n">
        <v>46093</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61504-2022</t>
        </is>
      </c>
      <c r="B883" s="1" t="n">
        <v>44910</v>
      </c>
      <c r="C883" s="1" t="n">
        <v>46093</v>
      </c>
      <c r="D883" t="inlineStr">
        <is>
          <t>SKÅNE LÄN</t>
        </is>
      </c>
      <c r="E883" t="inlineStr">
        <is>
          <t>HÄSSLEHOLM</t>
        </is>
      </c>
      <c r="F883" t="inlineStr">
        <is>
          <t>Kyrkan</t>
        </is>
      </c>
      <c r="G883" t="n">
        <v>2.9</v>
      </c>
      <c r="H883" t="n">
        <v>0</v>
      </c>
      <c r="I883" t="n">
        <v>0</v>
      </c>
      <c r="J883" t="n">
        <v>0</v>
      </c>
      <c r="K883" t="n">
        <v>0</v>
      </c>
      <c r="L883" t="n">
        <v>0</v>
      </c>
      <c r="M883" t="n">
        <v>0</v>
      </c>
      <c r="N883" t="n">
        <v>0</v>
      </c>
      <c r="O883" t="n">
        <v>0</v>
      </c>
      <c r="P883" t="n">
        <v>0</v>
      </c>
      <c r="Q883" t="n">
        <v>0</v>
      </c>
      <c r="R883" s="2" t="inlineStr"/>
    </row>
    <row r="884" ht="15" customHeight="1">
      <c r="A884" t="inlineStr">
        <is>
          <t>A 29275-2023</t>
        </is>
      </c>
      <c r="B884" s="1" t="n">
        <v>45105</v>
      </c>
      <c r="C884" s="1" t="n">
        <v>46093</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15698-2023</t>
        </is>
      </c>
      <c r="B885" s="1" t="n">
        <v>45021</v>
      </c>
      <c r="C885" s="1" t="n">
        <v>46093</v>
      </c>
      <c r="D885" t="inlineStr">
        <is>
          <t>SKÅNE LÄN</t>
        </is>
      </c>
      <c r="E885" t="inlineStr">
        <is>
          <t>HÄSSLEHOLM</t>
        </is>
      </c>
      <c r="F885" t="inlineStr">
        <is>
          <t>Kommuner</t>
        </is>
      </c>
      <c r="G885" t="n">
        <v>5.5</v>
      </c>
      <c r="H885" t="n">
        <v>0</v>
      </c>
      <c r="I885" t="n">
        <v>0</v>
      </c>
      <c r="J885" t="n">
        <v>0</v>
      </c>
      <c r="K885" t="n">
        <v>0</v>
      </c>
      <c r="L885" t="n">
        <v>0</v>
      </c>
      <c r="M885" t="n">
        <v>0</v>
      </c>
      <c r="N885" t="n">
        <v>0</v>
      </c>
      <c r="O885" t="n">
        <v>0</v>
      </c>
      <c r="P885" t="n">
        <v>0</v>
      </c>
      <c r="Q885" t="n">
        <v>0</v>
      </c>
      <c r="R885" s="2" t="inlineStr"/>
    </row>
    <row r="886" ht="15" customHeight="1">
      <c r="A886" t="inlineStr">
        <is>
          <t>A 12584-2025</t>
        </is>
      </c>
      <c r="B886" s="1" t="n">
        <v>45732</v>
      </c>
      <c r="C886" s="1" t="n">
        <v>46093</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27502-2023</t>
        </is>
      </c>
      <c r="B887" s="1" t="n">
        <v>45092</v>
      </c>
      <c r="C887" s="1" t="n">
        <v>46093</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54473-2023</t>
        </is>
      </c>
      <c r="B888" s="1" t="n">
        <v>45233</v>
      </c>
      <c r="C888" s="1" t="n">
        <v>46093</v>
      </c>
      <c r="D888" t="inlineStr">
        <is>
          <t>SKÅNE LÄN</t>
        </is>
      </c>
      <c r="E888" t="inlineStr">
        <is>
          <t>HÄSSLEHOLM</t>
        </is>
      </c>
      <c r="G888" t="n">
        <v>24.5</v>
      </c>
      <c r="H888" t="n">
        <v>0</v>
      </c>
      <c r="I888" t="n">
        <v>0</v>
      </c>
      <c r="J888" t="n">
        <v>0</v>
      </c>
      <c r="K888" t="n">
        <v>0</v>
      </c>
      <c r="L888" t="n">
        <v>0</v>
      </c>
      <c r="M888" t="n">
        <v>0</v>
      </c>
      <c r="N888" t="n">
        <v>0</v>
      </c>
      <c r="O888" t="n">
        <v>0</v>
      </c>
      <c r="P888" t="n">
        <v>0</v>
      </c>
      <c r="Q888" t="n">
        <v>0</v>
      </c>
      <c r="R888" s="2" t="inlineStr"/>
    </row>
    <row r="889" ht="15" customHeight="1">
      <c r="A889" t="inlineStr">
        <is>
          <t>A 26641-2023</t>
        </is>
      </c>
      <c r="B889" s="1" t="n">
        <v>45092.89619212963</v>
      </c>
      <c r="C889" s="1" t="n">
        <v>46093</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51752-2023</t>
        </is>
      </c>
      <c r="B890" s="1" t="n">
        <v>45222</v>
      </c>
      <c r="C890" s="1" t="n">
        <v>46093</v>
      </c>
      <c r="D890" t="inlineStr">
        <is>
          <t>SKÅNE LÄN</t>
        </is>
      </c>
      <c r="E890" t="inlineStr">
        <is>
          <t>HÄSSLEHOLM</t>
        </is>
      </c>
      <c r="G890" t="n">
        <v>1.8</v>
      </c>
      <c r="H890" t="n">
        <v>0</v>
      </c>
      <c r="I890" t="n">
        <v>0</v>
      </c>
      <c r="J890" t="n">
        <v>0</v>
      </c>
      <c r="K890" t="n">
        <v>0</v>
      </c>
      <c r="L890" t="n">
        <v>0</v>
      </c>
      <c r="M890" t="n">
        <v>0</v>
      </c>
      <c r="N890" t="n">
        <v>0</v>
      </c>
      <c r="O890" t="n">
        <v>0</v>
      </c>
      <c r="P890" t="n">
        <v>0</v>
      </c>
      <c r="Q890" t="n">
        <v>0</v>
      </c>
      <c r="R890" s="2" t="inlineStr"/>
    </row>
    <row r="891" ht="15" customHeight="1">
      <c r="A891" t="inlineStr">
        <is>
          <t>A 20800-2023</t>
        </is>
      </c>
      <c r="B891" s="1" t="n">
        <v>45058.61640046296</v>
      </c>
      <c r="C891" s="1" t="n">
        <v>46093</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49219-2024</t>
        </is>
      </c>
      <c r="B892" s="1" t="n">
        <v>45595.40923611111</v>
      </c>
      <c r="C892" s="1" t="n">
        <v>46093</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7152-2025</t>
        </is>
      </c>
      <c r="B893" s="1" t="n">
        <v>45702.3837037037</v>
      </c>
      <c r="C893" s="1" t="n">
        <v>46093</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7160-2025</t>
        </is>
      </c>
      <c r="B894" s="1" t="n">
        <v>45702.3875462963</v>
      </c>
      <c r="C894" s="1" t="n">
        <v>46093</v>
      </c>
      <c r="D894" t="inlineStr">
        <is>
          <t>SKÅNE LÄN</t>
        </is>
      </c>
      <c r="E894" t="inlineStr">
        <is>
          <t>HÄSSLEHOLM</t>
        </is>
      </c>
      <c r="G894" t="n">
        <v>2.5</v>
      </c>
      <c r="H894" t="n">
        <v>0</v>
      </c>
      <c r="I894" t="n">
        <v>0</v>
      </c>
      <c r="J894" t="n">
        <v>0</v>
      </c>
      <c r="K894" t="n">
        <v>0</v>
      </c>
      <c r="L894" t="n">
        <v>0</v>
      </c>
      <c r="M894" t="n">
        <v>0</v>
      </c>
      <c r="N894" t="n">
        <v>0</v>
      </c>
      <c r="O894" t="n">
        <v>0</v>
      </c>
      <c r="P894" t="n">
        <v>0</v>
      </c>
      <c r="Q894" t="n">
        <v>0</v>
      </c>
      <c r="R894" s="2" t="inlineStr"/>
    </row>
    <row r="895" ht="15" customHeight="1">
      <c r="A895" t="inlineStr">
        <is>
          <t>A 14939-2023</t>
        </is>
      </c>
      <c r="B895" s="1" t="n">
        <v>45014</v>
      </c>
      <c r="C895" s="1" t="n">
        <v>46093</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31998-2023</t>
        </is>
      </c>
      <c r="B896" s="1" t="n">
        <v>45119</v>
      </c>
      <c r="C896" s="1" t="n">
        <v>46093</v>
      </c>
      <c r="D896" t="inlineStr">
        <is>
          <t>SKÅNE LÄN</t>
        </is>
      </c>
      <c r="E896" t="inlineStr">
        <is>
          <t>HÄSSLEHOLM</t>
        </is>
      </c>
      <c r="G896" t="n">
        <v>1.8</v>
      </c>
      <c r="H896" t="n">
        <v>0</v>
      </c>
      <c r="I896" t="n">
        <v>0</v>
      </c>
      <c r="J896" t="n">
        <v>0</v>
      </c>
      <c r="K896" t="n">
        <v>0</v>
      </c>
      <c r="L896" t="n">
        <v>0</v>
      </c>
      <c r="M896" t="n">
        <v>0</v>
      </c>
      <c r="N896" t="n">
        <v>0</v>
      </c>
      <c r="O896" t="n">
        <v>0</v>
      </c>
      <c r="P896" t="n">
        <v>0</v>
      </c>
      <c r="Q896" t="n">
        <v>0</v>
      </c>
      <c r="R896" s="2" t="inlineStr"/>
    </row>
    <row r="897" ht="15" customHeight="1">
      <c r="A897" t="inlineStr">
        <is>
          <t>A 15104-2023</t>
        </is>
      </c>
      <c r="B897" s="1" t="n">
        <v>45016.40576388889</v>
      </c>
      <c r="C897" s="1" t="n">
        <v>46093</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66321-2021</t>
        </is>
      </c>
      <c r="B898" s="1" t="n">
        <v>44518</v>
      </c>
      <c r="C898" s="1" t="n">
        <v>46093</v>
      </c>
      <c r="D898" t="inlineStr">
        <is>
          <t>SKÅNE LÄN</t>
        </is>
      </c>
      <c r="E898" t="inlineStr">
        <is>
          <t>HÄSSLEHOLM</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21494-2023</t>
        </is>
      </c>
      <c r="B899" s="1" t="n">
        <v>45063</v>
      </c>
      <c r="C899" s="1" t="n">
        <v>46093</v>
      </c>
      <c r="D899" t="inlineStr">
        <is>
          <t>SKÅNE LÄN</t>
        </is>
      </c>
      <c r="E899" t="inlineStr">
        <is>
          <t>HÄSSLEHOLM</t>
        </is>
      </c>
      <c r="G899" t="n">
        <v>3.7</v>
      </c>
      <c r="H899" t="n">
        <v>0</v>
      </c>
      <c r="I899" t="n">
        <v>0</v>
      </c>
      <c r="J899" t="n">
        <v>0</v>
      </c>
      <c r="K899" t="n">
        <v>0</v>
      </c>
      <c r="L899" t="n">
        <v>0</v>
      </c>
      <c r="M899" t="n">
        <v>0</v>
      </c>
      <c r="N899" t="n">
        <v>0</v>
      </c>
      <c r="O899" t="n">
        <v>0</v>
      </c>
      <c r="P899" t="n">
        <v>0</v>
      </c>
      <c r="Q899" t="n">
        <v>0</v>
      </c>
      <c r="R899" s="2" t="inlineStr"/>
    </row>
    <row r="900" ht="15" customHeight="1">
      <c r="A900" t="inlineStr">
        <is>
          <t>A 21495-2023</t>
        </is>
      </c>
      <c r="B900" s="1" t="n">
        <v>45063</v>
      </c>
      <c r="C900" s="1" t="n">
        <v>46093</v>
      </c>
      <c r="D900" t="inlineStr">
        <is>
          <t>SKÅNE LÄN</t>
        </is>
      </c>
      <c r="E900" t="inlineStr">
        <is>
          <t>HÄSSLEHOLM</t>
        </is>
      </c>
      <c r="G900" t="n">
        <v>1.2</v>
      </c>
      <c r="H900" t="n">
        <v>0</v>
      </c>
      <c r="I900" t="n">
        <v>0</v>
      </c>
      <c r="J900" t="n">
        <v>0</v>
      </c>
      <c r="K900" t="n">
        <v>0</v>
      </c>
      <c r="L900" t="n">
        <v>0</v>
      </c>
      <c r="M900" t="n">
        <v>0</v>
      </c>
      <c r="N900" t="n">
        <v>0</v>
      </c>
      <c r="O900" t="n">
        <v>0</v>
      </c>
      <c r="P900" t="n">
        <v>0</v>
      </c>
      <c r="Q900" t="n">
        <v>0</v>
      </c>
      <c r="R900" s="2" t="inlineStr"/>
    </row>
    <row r="901" ht="15" customHeight="1">
      <c r="A901" t="inlineStr">
        <is>
          <t>A 4140-2023</t>
        </is>
      </c>
      <c r="B901" s="1" t="n">
        <v>44953</v>
      </c>
      <c r="C901" s="1" t="n">
        <v>46093</v>
      </c>
      <c r="D901" t="inlineStr">
        <is>
          <t>SKÅNE LÄN</t>
        </is>
      </c>
      <c r="E901" t="inlineStr">
        <is>
          <t>HÄSSLEHOLM</t>
        </is>
      </c>
      <c r="G901" t="n">
        <v>10.6</v>
      </c>
      <c r="H901" t="n">
        <v>0</v>
      </c>
      <c r="I901" t="n">
        <v>0</v>
      </c>
      <c r="J901" t="n">
        <v>0</v>
      </c>
      <c r="K901" t="n">
        <v>0</v>
      </c>
      <c r="L901" t="n">
        <v>0</v>
      </c>
      <c r="M901" t="n">
        <v>0</v>
      </c>
      <c r="N901" t="n">
        <v>0</v>
      </c>
      <c r="O901" t="n">
        <v>0</v>
      </c>
      <c r="P901" t="n">
        <v>0</v>
      </c>
      <c r="Q901" t="n">
        <v>0</v>
      </c>
      <c r="R901" s="2" t="inlineStr"/>
    </row>
    <row r="902" ht="15" customHeight="1">
      <c r="A902" t="inlineStr">
        <is>
          <t>A 25077-2024</t>
        </is>
      </c>
      <c r="B902" s="1" t="n">
        <v>45462</v>
      </c>
      <c r="C902" s="1" t="n">
        <v>46093</v>
      </c>
      <c r="D902" t="inlineStr">
        <is>
          <t>SKÅNE LÄN</t>
        </is>
      </c>
      <c r="E902" t="inlineStr">
        <is>
          <t>HÄSSLEHOLM</t>
        </is>
      </c>
      <c r="G902" t="n">
        <v>1.6</v>
      </c>
      <c r="H902" t="n">
        <v>0</v>
      </c>
      <c r="I902" t="n">
        <v>0</v>
      </c>
      <c r="J902" t="n">
        <v>0</v>
      </c>
      <c r="K902" t="n">
        <v>0</v>
      </c>
      <c r="L902" t="n">
        <v>0</v>
      </c>
      <c r="M902" t="n">
        <v>0</v>
      </c>
      <c r="N902" t="n">
        <v>0</v>
      </c>
      <c r="O902" t="n">
        <v>0</v>
      </c>
      <c r="P902" t="n">
        <v>0</v>
      </c>
      <c r="Q902" t="n">
        <v>0</v>
      </c>
      <c r="R902" s="2" t="inlineStr"/>
    </row>
    <row r="903" ht="15" customHeight="1">
      <c r="A903" t="inlineStr">
        <is>
          <t>A 46942-2024</t>
        </is>
      </c>
      <c r="B903" s="1" t="n">
        <v>45585.6684375</v>
      </c>
      <c r="C903" s="1" t="n">
        <v>46093</v>
      </c>
      <c r="D903" t="inlineStr">
        <is>
          <t>SKÅNE LÄN</t>
        </is>
      </c>
      <c r="E903" t="inlineStr">
        <is>
          <t>HÄSSLEHOLM</t>
        </is>
      </c>
      <c r="G903" t="n">
        <v>1.8</v>
      </c>
      <c r="H903" t="n">
        <v>0</v>
      </c>
      <c r="I903" t="n">
        <v>0</v>
      </c>
      <c r="J903" t="n">
        <v>0</v>
      </c>
      <c r="K903" t="n">
        <v>0</v>
      </c>
      <c r="L903" t="n">
        <v>0</v>
      </c>
      <c r="M903" t="n">
        <v>0</v>
      </c>
      <c r="N903" t="n">
        <v>0</v>
      </c>
      <c r="O903" t="n">
        <v>0</v>
      </c>
      <c r="P903" t="n">
        <v>0</v>
      </c>
      <c r="Q903" t="n">
        <v>0</v>
      </c>
      <c r="R903" s="2" t="inlineStr"/>
    </row>
    <row r="904" ht="15" customHeight="1">
      <c r="A904" t="inlineStr">
        <is>
          <t>A 61322-2025</t>
        </is>
      </c>
      <c r="B904" s="1" t="n">
        <v>46000</v>
      </c>
      <c r="C904" s="1" t="n">
        <v>46093</v>
      </c>
      <c r="D904" t="inlineStr">
        <is>
          <t>SKÅNE LÄN</t>
        </is>
      </c>
      <c r="E904" t="inlineStr">
        <is>
          <t>HÄSSLEHOLM</t>
        </is>
      </c>
      <c r="G904" t="n">
        <v>2.2</v>
      </c>
      <c r="H904" t="n">
        <v>0</v>
      </c>
      <c r="I904" t="n">
        <v>0</v>
      </c>
      <c r="J904" t="n">
        <v>0</v>
      </c>
      <c r="K904" t="n">
        <v>0</v>
      </c>
      <c r="L904" t="n">
        <v>0</v>
      </c>
      <c r="M904" t="n">
        <v>0</v>
      </c>
      <c r="N904" t="n">
        <v>0</v>
      </c>
      <c r="O904" t="n">
        <v>0</v>
      </c>
      <c r="P904" t="n">
        <v>0</v>
      </c>
      <c r="Q904" t="n">
        <v>0</v>
      </c>
      <c r="R904" s="2" t="inlineStr"/>
    </row>
    <row r="905" ht="15" customHeight="1">
      <c r="A905" t="inlineStr">
        <is>
          <t>A 33257-2024</t>
        </is>
      </c>
      <c r="B905" s="1" t="n">
        <v>45518</v>
      </c>
      <c r="C905" s="1" t="n">
        <v>46093</v>
      </c>
      <c r="D905" t="inlineStr">
        <is>
          <t>SKÅNE LÄN</t>
        </is>
      </c>
      <c r="E905" t="inlineStr">
        <is>
          <t>HÄSSLEHOLM</t>
        </is>
      </c>
      <c r="G905" t="n">
        <v>0.4</v>
      </c>
      <c r="H905" t="n">
        <v>0</v>
      </c>
      <c r="I905" t="n">
        <v>0</v>
      </c>
      <c r="J905" t="n">
        <v>0</v>
      </c>
      <c r="K905" t="n">
        <v>0</v>
      </c>
      <c r="L905" t="n">
        <v>0</v>
      </c>
      <c r="M905" t="n">
        <v>0</v>
      </c>
      <c r="N905" t="n">
        <v>0</v>
      </c>
      <c r="O905" t="n">
        <v>0</v>
      </c>
      <c r="P905" t="n">
        <v>0</v>
      </c>
      <c r="Q905" t="n">
        <v>0</v>
      </c>
      <c r="R905" s="2" t="inlineStr"/>
    </row>
    <row r="906" ht="15" customHeight="1">
      <c r="A906" t="inlineStr">
        <is>
          <t>A 17492-2025</t>
        </is>
      </c>
      <c r="B906" s="1" t="n">
        <v>45747</v>
      </c>
      <c r="C906" s="1" t="n">
        <v>46093</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61474-2025</t>
        </is>
      </c>
      <c r="B907" s="1" t="n">
        <v>46001.61886574074</v>
      </c>
      <c r="C907" s="1" t="n">
        <v>46093</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51618-2024</t>
        </is>
      </c>
      <c r="B908" s="1" t="n">
        <v>45604.82615740741</v>
      </c>
      <c r="C908" s="1" t="n">
        <v>46093</v>
      </c>
      <c r="D908" t="inlineStr">
        <is>
          <t>SKÅNE LÄN</t>
        </is>
      </c>
      <c r="E908" t="inlineStr">
        <is>
          <t>HÄSSLEHOLM</t>
        </is>
      </c>
      <c r="G908" t="n">
        <v>1.2</v>
      </c>
      <c r="H908" t="n">
        <v>0</v>
      </c>
      <c r="I908" t="n">
        <v>0</v>
      </c>
      <c r="J908" t="n">
        <v>0</v>
      </c>
      <c r="K908" t="n">
        <v>0</v>
      </c>
      <c r="L908" t="n">
        <v>0</v>
      </c>
      <c r="M908" t="n">
        <v>0</v>
      </c>
      <c r="N908" t="n">
        <v>0</v>
      </c>
      <c r="O908" t="n">
        <v>0</v>
      </c>
      <c r="P908" t="n">
        <v>0</v>
      </c>
      <c r="Q908" t="n">
        <v>0</v>
      </c>
      <c r="R908" s="2" t="inlineStr"/>
    </row>
    <row r="909" ht="15" customHeight="1">
      <c r="A909" t="inlineStr">
        <is>
          <t>A 10409-2024</t>
        </is>
      </c>
      <c r="B909" s="1" t="n">
        <v>45365.6978125</v>
      </c>
      <c r="C909" s="1" t="n">
        <v>46093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31995-2023</t>
        </is>
      </c>
      <c r="B910" s="1" t="n">
        <v>45107</v>
      </c>
      <c r="C910" s="1" t="n">
        <v>46093</v>
      </c>
      <c r="D910" t="inlineStr">
        <is>
          <t>SKÅNE LÄN</t>
        </is>
      </c>
      <c r="E910" t="inlineStr">
        <is>
          <t>HÄSSLEHOLM</t>
        </is>
      </c>
      <c r="G910" t="n">
        <v>7.3</v>
      </c>
      <c r="H910" t="n">
        <v>0</v>
      </c>
      <c r="I910" t="n">
        <v>0</v>
      </c>
      <c r="J910" t="n">
        <v>0</v>
      </c>
      <c r="K910" t="n">
        <v>0</v>
      </c>
      <c r="L910" t="n">
        <v>0</v>
      </c>
      <c r="M910" t="n">
        <v>0</v>
      </c>
      <c r="N910" t="n">
        <v>0</v>
      </c>
      <c r="O910" t="n">
        <v>0</v>
      </c>
      <c r="P910" t="n">
        <v>0</v>
      </c>
      <c r="Q910" t="n">
        <v>0</v>
      </c>
      <c r="R910" s="2" t="inlineStr"/>
    </row>
    <row r="911" ht="15" customHeight="1">
      <c r="A911" t="inlineStr">
        <is>
          <t>A 4356-2024</t>
        </is>
      </c>
      <c r="B911" s="1" t="n">
        <v>45325.36195601852</v>
      </c>
      <c r="C911" s="1" t="n">
        <v>46093</v>
      </c>
      <c r="D911" t="inlineStr">
        <is>
          <t>SKÅNE LÄN</t>
        </is>
      </c>
      <c r="E911" t="inlineStr">
        <is>
          <t>HÄSSLEHOLM</t>
        </is>
      </c>
      <c r="G911" t="n">
        <v>3.2</v>
      </c>
      <c r="H911" t="n">
        <v>0</v>
      </c>
      <c r="I911" t="n">
        <v>0</v>
      </c>
      <c r="J911" t="n">
        <v>0</v>
      </c>
      <c r="K911" t="n">
        <v>0</v>
      </c>
      <c r="L911" t="n">
        <v>0</v>
      </c>
      <c r="M911" t="n">
        <v>0</v>
      </c>
      <c r="N911" t="n">
        <v>0</v>
      </c>
      <c r="O911" t="n">
        <v>0</v>
      </c>
      <c r="P911" t="n">
        <v>0</v>
      </c>
      <c r="Q911" t="n">
        <v>0</v>
      </c>
      <c r="R911" s="2" t="inlineStr"/>
    </row>
    <row r="912" ht="15" customHeight="1">
      <c r="A912" t="inlineStr">
        <is>
          <t>A 47840-2023</t>
        </is>
      </c>
      <c r="B912" s="1" t="n">
        <v>45204</v>
      </c>
      <c r="C912" s="1" t="n">
        <v>46093</v>
      </c>
      <c r="D912" t="inlineStr">
        <is>
          <t>SKÅNE LÄN</t>
        </is>
      </c>
      <c r="E912" t="inlineStr">
        <is>
          <t>HÄSSLEHOLM</t>
        </is>
      </c>
      <c r="G912" t="n">
        <v>2.4</v>
      </c>
      <c r="H912" t="n">
        <v>0</v>
      </c>
      <c r="I912" t="n">
        <v>0</v>
      </c>
      <c r="J912" t="n">
        <v>0</v>
      </c>
      <c r="K912" t="n">
        <v>0</v>
      </c>
      <c r="L912" t="n">
        <v>0</v>
      </c>
      <c r="M912" t="n">
        <v>0</v>
      </c>
      <c r="N912" t="n">
        <v>0</v>
      </c>
      <c r="O912" t="n">
        <v>0</v>
      </c>
      <c r="P912" t="n">
        <v>0</v>
      </c>
      <c r="Q912" t="n">
        <v>0</v>
      </c>
      <c r="R912" s="2" t="inlineStr"/>
    </row>
    <row r="913" ht="15" customHeight="1">
      <c r="A913" t="inlineStr">
        <is>
          <t>A 62376-2025</t>
        </is>
      </c>
      <c r="B913" s="1" t="n">
        <v>46006</v>
      </c>
      <c r="C913" s="1" t="n">
        <v>46093</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34888-2023</t>
        </is>
      </c>
      <c r="B914" s="1" t="n">
        <v>45142.388125</v>
      </c>
      <c r="C914" s="1" t="n">
        <v>46093</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20435-2021</t>
        </is>
      </c>
      <c r="B915" s="1" t="n">
        <v>44315.5793287037</v>
      </c>
      <c r="C915" s="1" t="n">
        <v>46093</v>
      </c>
      <c r="D915" t="inlineStr">
        <is>
          <t>SKÅNE LÄN</t>
        </is>
      </c>
      <c r="E915" t="inlineStr">
        <is>
          <t>HÄSSLEHOLM</t>
        </is>
      </c>
      <c r="G915" t="n">
        <v>4.8</v>
      </c>
      <c r="H915" t="n">
        <v>0</v>
      </c>
      <c r="I915" t="n">
        <v>0</v>
      </c>
      <c r="J915" t="n">
        <v>0</v>
      </c>
      <c r="K915" t="n">
        <v>0</v>
      </c>
      <c r="L915" t="n">
        <v>0</v>
      </c>
      <c r="M915" t="n">
        <v>0</v>
      </c>
      <c r="N915" t="n">
        <v>0</v>
      </c>
      <c r="O915" t="n">
        <v>0</v>
      </c>
      <c r="P915" t="n">
        <v>0</v>
      </c>
      <c r="Q915" t="n">
        <v>0</v>
      </c>
      <c r="R915" s="2" t="inlineStr"/>
    </row>
    <row r="916" ht="15" customHeight="1">
      <c r="A916" t="inlineStr">
        <is>
          <t>A 53085-2022</t>
        </is>
      </c>
      <c r="B916" s="1" t="n">
        <v>44873</v>
      </c>
      <c r="C916" s="1" t="n">
        <v>46093</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46813-2024</t>
        </is>
      </c>
      <c r="B917" s="1" t="n">
        <v>45583</v>
      </c>
      <c r="C917" s="1" t="n">
        <v>46093</v>
      </c>
      <c r="D917" t="inlineStr">
        <is>
          <t>SKÅNE LÄN</t>
        </is>
      </c>
      <c r="E917" t="inlineStr">
        <is>
          <t>HÄSSLEHOLM</t>
        </is>
      </c>
      <c r="G917" t="n">
        <v>14.9</v>
      </c>
      <c r="H917" t="n">
        <v>0</v>
      </c>
      <c r="I917" t="n">
        <v>0</v>
      </c>
      <c r="J917" t="n">
        <v>0</v>
      </c>
      <c r="K917" t="n">
        <v>0</v>
      </c>
      <c r="L917" t="n">
        <v>0</v>
      </c>
      <c r="M917" t="n">
        <v>0</v>
      </c>
      <c r="N917" t="n">
        <v>0</v>
      </c>
      <c r="O917" t="n">
        <v>0</v>
      </c>
      <c r="P917" t="n">
        <v>0</v>
      </c>
      <c r="Q917" t="n">
        <v>0</v>
      </c>
      <c r="R917" s="2" t="inlineStr"/>
    </row>
    <row r="918" ht="15" customHeight="1">
      <c r="A918" t="inlineStr">
        <is>
          <t>A 62271-2025</t>
        </is>
      </c>
      <c r="B918" s="1" t="n">
        <v>46006.62256944444</v>
      </c>
      <c r="C918" s="1" t="n">
        <v>46093</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62264-2025</t>
        </is>
      </c>
      <c r="B919" s="1" t="n">
        <v>46006.61644675926</v>
      </c>
      <c r="C919" s="1" t="n">
        <v>46093</v>
      </c>
      <c r="D919" t="inlineStr">
        <is>
          <t>SKÅNE LÄN</t>
        </is>
      </c>
      <c r="E919" t="inlineStr">
        <is>
          <t>HÄSSLEHOLM</t>
        </is>
      </c>
      <c r="G919" t="n">
        <v>7.5</v>
      </c>
      <c r="H919" t="n">
        <v>0</v>
      </c>
      <c r="I919" t="n">
        <v>0</v>
      </c>
      <c r="J919" t="n">
        <v>0</v>
      </c>
      <c r="K919" t="n">
        <v>0</v>
      </c>
      <c r="L919" t="n">
        <v>0</v>
      </c>
      <c r="M919" t="n">
        <v>0</v>
      </c>
      <c r="N919" t="n">
        <v>0</v>
      </c>
      <c r="O919" t="n">
        <v>0</v>
      </c>
      <c r="P919" t="n">
        <v>0</v>
      </c>
      <c r="Q919" t="n">
        <v>0</v>
      </c>
      <c r="R919" s="2" t="inlineStr"/>
    </row>
    <row r="920" ht="15" customHeight="1">
      <c r="A920" t="inlineStr">
        <is>
          <t>A 16388-2025</t>
        </is>
      </c>
      <c r="B920" s="1" t="n">
        <v>45751.42787037037</v>
      </c>
      <c r="C920" s="1" t="n">
        <v>46093</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16668-2025</t>
        </is>
      </c>
      <c r="B921" s="1" t="n">
        <v>45754.43009259259</v>
      </c>
      <c r="C921" s="1" t="n">
        <v>46093</v>
      </c>
      <c r="D921" t="inlineStr">
        <is>
          <t>SKÅNE LÄN</t>
        </is>
      </c>
      <c r="E921" t="inlineStr">
        <is>
          <t>HÄSSLEHOLM</t>
        </is>
      </c>
      <c r="G921" t="n">
        <v>4</v>
      </c>
      <c r="H921" t="n">
        <v>0</v>
      </c>
      <c r="I921" t="n">
        <v>0</v>
      </c>
      <c r="J921" t="n">
        <v>0</v>
      </c>
      <c r="K921" t="n">
        <v>0</v>
      </c>
      <c r="L921" t="n">
        <v>0</v>
      </c>
      <c r="M921" t="n">
        <v>0</v>
      </c>
      <c r="N921" t="n">
        <v>0</v>
      </c>
      <c r="O921" t="n">
        <v>0</v>
      </c>
      <c r="P921" t="n">
        <v>0</v>
      </c>
      <c r="Q921" t="n">
        <v>0</v>
      </c>
      <c r="R921" s="2" t="inlineStr"/>
    </row>
    <row r="922" ht="15" customHeight="1">
      <c r="A922" t="inlineStr">
        <is>
          <t>A 9709-2023</t>
        </is>
      </c>
      <c r="B922" s="1" t="n">
        <v>44984.48376157408</v>
      </c>
      <c r="C922" s="1" t="n">
        <v>46093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13646-2024</t>
        </is>
      </c>
      <c r="B923" s="1" t="n">
        <v>45387</v>
      </c>
      <c r="C923" s="1" t="n">
        <v>46093</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21867-2023</t>
        </is>
      </c>
      <c r="B924" s="1" t="n">
        <v>45063</v>
      </c>
      <c r="C924" s="1" t="n">
        <v>46093</v>
      </c>
      <c r="D924" t="inlineStr">
        <is>
          <t>SKÅNE LÄN</t>
        </is>
      </c>
      <c r="E924" t="inlineStr">
        <is>
          <t>HÄSSLEHOLM</t>
        </is>
      </c>
      <c r="G924" t="n">
        <v>7.6</v>
      </c>
      <c r="H924" t="n">
        <v>0</v>
      </c>
      <c r="I924" t="n">
        <v>0</v>
      </c>
      <c r="J924" t="n">
        <v>0</v>
      </c>
      <c r="K924" t="n">
        <v>0</v>
      </c>
      <c r="L924" t="n">
        <v>0</v>
      </c>
      <c r="M924" t="n">
        <v>0</v>
      </c>
      <c r="N924" t="n">
        <v>0</v>
      </c>
      <c r="O924" t="n">
        <v>0</v>
      </c>
      <c r="P924" t="n">
        <v>0</v>
      </c>
      <c r="Q924" t="n">
        <v>0</v>
      </c>
      <c r="R924" s="2" t="inlineStr"/>
    </row>
    <row r="925" ht="15" customHeight="1">
      <c r="A925" t="inlineStr">
        <is>
          <t>A 13087-2023</t>
        </is>
      </c>
      <c r="B925" s="1" t="n">
        <v>45001</v>
      </c>
      <c r="C925" s="1" t="n">
        <v>46093</v>
      </c>
      <c r="D925" t="inlineStr">
        <is>
          <t>SKÅNE LÄN</t>
        </is>
      </c>
      <c r="E925" t="inlineStr">
        <is>
          <t>HÄSSLEHOLM</t>
        </is>
      </c>
      <c r="G925" t="n">
        <v>3.8</v>
      </c>
      <c r="H925" t="n">
        <v>0</v>
      </c>
      <c r="I925" t="n">
        <v>0</v>
      </c>
      <c r="J925" t="n">
        <v>0</v>
      </c>
      <c r="K925" t="n">
        <v>0</v>
      </c>
      <c r="L925" t="n">
        <v>0</v>
      </c>
      <c r="M925" t="n">
        <v>0</v>
      </c>
      <c r="N925" t="n">
        <v>0</v>
      </c>
      <c r="O925" t="n">
        <v>0</v>
      </c>
      <c r="P925" t="n">
        <v>0</v>
      </c>
      <c r="Q925" t="n">
        <v>0</v>
      </c>
      <c r="R925" s="2" t="inlineStr"/>
    </row>
    <row r="926" ht="15" customHeight="1">
      <c r="A926" t="inlineStr">
        <is>
          <t>A 52968-2022</t>
        </is>
      </c>
      <c r="B926" s="1" t="n">
        <v>44875</v>
      </c>
      <c r="C926" s="1" t="n">
        <v>46093</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63284-2025</t>
        </is>
      </c>
      <c r="B927" s="1" t="n">
        <v>46010</v>
      </c>
      <c r="C927" s="1" t="n">
        <v>46093</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54798-2025</t>
        </is>
      </c>
      <c r="B928" s="1" t="n">
        <v>45966</v>
      </c>
      <c r="C928" s="1" t="n">
        <v>46093</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62167-2022</t>
        </is>
      </c>
      <c r="B929" s="1" t="n">
        <v>44915</v>
      </c>
      <c r="C929" s="1" t="n">
        <v>46093</v>
      </c>
      <c r="D929" t="inlineStr">
        <is>
          <t>SKÅNE LÄN</t>
        </is>
      </c>
      <c r="E929" t="inlineStr">
        <is>
          <t>HÄSSLEHOLM</t>
        </is>
      </c>
      <c r="F929" t="inlineStr">
        <is>
          <t>Kyrkan</t>
        </is>
      </c>
      <c r="G929" t="n">
        <v>3.1</v>
      </c>
      <c r="H929" t="n">
        <v>0</v>
      </c>
      <c r="I929" t="n">
        <v>0</v>
      </c>
      <c r="J929" t="n">
        <v>0</v>
      </c>
      <c r="K929" t="n">
        <v>0</v>
      </c>
      <c r="L929" t="n">
        <v>0</v>
      </c>
      <c r="M929" t="n">
        <v>0</v>
      </c>
      <c r="N929" t="n">
        <v>0</v>
      </c>
      <c r="O929" t="n">
        <v>0</v>
      </c>
      <c r="P929" t="n">
        <v>0</v>
      </c>
      <c r="Q929" t="n">
        <v>0</v>
      </c>
      <c r="R929" s="2" t="inlineStr"/>
    </row>
    <row r="930" ht="15" customHeight="1">
      <c r="A930" t="inlineStr">
        <is>
          <t>A 63354-2025</t>
        </is>
      </c>
      <c r="B930" s="1" t="n">
        <v>46010.66957175926</v>
      </c>
      <c r="C930" s="1" t="n">
        <v>46093</v>
      </c>
      <c r="D930" t="inlineStr">
        <is>
          <t>SKÅNE LÄN</t>
        </is>
      </c>
      <c r="E930" t="inlineStr">
        <is>
          <t>HÄSSLEHOLM</t>
        </is>
      </c>
      <c r="G930" t="n">
        <v>1.3</v>
      </c>
      <c r="H930" t="n">
        <v>0</v>
      </c>
      <c r="I930" t="n">
        <v>0</v>
      </c>
      <c r="J930" t="n">
        <v>0</v>
      </c>
      <c r="K930" t="n">
        <v>0</v>
      </c>
      <c r="L930" t="n">
        <v>0</v>
      </c>
      <c r="M930" t="n">
        <v>0</v>
      </c>
      <c r="N930" t="n">
        <v>0</v>
      </c>
      <c r="O930" t="n">
        <v>0</v>
      </c>
      <c r="P930" t="n">
        <v>0</v>
      </c>
      <c r="Q930" t="n">
        <v>0</v>
      </c>
      <c r="R930" s="2" t="inlineStr"/>
    </row>
    <row r="931" ht="15" customHeight="1">
      <c r="A931" t="inlineStr">
        <is>
          <t>A 62234-2022</t>
        </is>
      </c>
      <c r="B931" s="1" t="n">
        <v>44922</v>
      </c>
      <c r="C931" s="1" t="n">
        <v>46093</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44741-2023</t>
        </is>
      </c>
      <c r="B932" s="1" t="n">
        <v>45190.38804398148</v>
      </c>
      <c r="C932" s="1" t="n">
        <v>46093</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27349-2025</t>
        </is>
      </c>
      <c r="B933" s="1" t="n">
        <v>45812</v>
      </c>
      <c r="C933" s="1" t="n">
        <v>46093</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9397-2025</t>
        </is>
      </c>
      <c r="B934" s="1" t="n">
        <v>45715.37361111111</v>
      </c>
      <c r="C934" s="1" t="n">
        <v>46093</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5757-2026</t>
        </is>
      </c>
      <c r="B935" s="1" t="n">
        <v>46051.61309027778</v>
      </c>
      <c r="C935" s="1" t="n">
        <v>46093</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50899-2024</t>
        </is>
      </c>
      <c r="B936" s="1" t="n">
        <v>45602.68584490741</v>
      </c>
      <c r="C936" s="1" t="n">
        <v>46093</v>
      </c>
      <c r="D936" t="inlineStr">
        <is>
          <t>SKÅNE LÄN</t>
        </is>
      </c>
      <c r="E936" t="inlineStr">
        <is>
          <t>HÄSSLEHOLM</t>
        </is>
      </c>
      <c r="G936" t="n">
        <v>1.7</v>
      </c>
      <c r="H936" t="n">
        <v>0</v>
      </c>
      <c r="I936" t="n">
        <v>0</v>
      </c>
      <c r="J936" t="n">
        <v>0</v>
      </c>
      <c r="K936" t="n">
        <v>0</v>
      </c>
      <c r="L936" t="n">
        <v>0</v>
      </c>
      <c r="M936" t="n">
        <v>0</v>
      </c>
      <c r="N936" t="n">
        <v>0</v>
      </c>
      <c r="O936" t="n">
        <v>0</v>
      </c>
      <c r="P936" t="n">
        <v>0</v>
      </c>
      <c r="Q936" t="n">
        <v>0</v>
      </c>
      <c r="R936" s="2" t="inlineStr"/>
    </row>
    <row r="937" ht="15" customHeight="1">
      <c r="A937" t="inlineStr">
        <is>
          <t>A 48624-2021</t>
        </is>
      </c>
      <c r="B937" s="1" t="n">
        <v>44452</v>
      </c>
      <c r="C937" s="1" t="n">
        <v>46093</v>
      </c>
      <c r="D937" t="inlineStr">
        <is>
          <t>SKÅNE LÄN</t>
        </is>
      </c>
      <c r="E937" t="inlineStr">
        <is>
          <t>HÄSSLEHOLM</t>
        </is>
      </c>
      <c r="G937" t="n">
        <v>2.2</v>
      </c>
      <c r="H937" t="n">
        <v>0</v>
      </c>
      <c r="I937" t="n">
        <v>0</v>
      </c>
      <c r="J937" t="n">
        <v>0</v>
      </c>
      <c r="K937" t="n">
        <v>0</v>
      </c>
      <c r="L937" t="n">
        <v>0</v>
      </c>
      <c r="M937" t="n">
        <v>0</v>
      </c>
      <c r="N937" t="n">
        <v>0</v>
      </c>
      <c r="O937" t="n">
        <v>0</v>
      </c>
      <c r="P937" t="n">
        <v>0</v>
      </c>
      <c r="Q937" t="n">
        <v>0</v>
      </c>
      <c r="R937" s="2" t="inlineStr"/>
    </row>
    <row r="938" ht="15" customHeight="1">
      <c r="A938" t="inlineStr">
        <is>
          <t>A 5759-2026</t>
        </is>
      </c>
      <c r="B938" s="1" t="n">
        <v>46051.61814814815</v>
      </c>
      <c r="C938" s="1" t="n">
        <v>46093</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62417-2025</t>
        </is>
      </c>
      <c r="B939" s="1" t="n">
        <v>46007</v>
      </c>
      <c r="C939" s="1" t="n">
        <v>46093</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10802-2024</t>
        </is>
      </c>
      <c r="B940" s="1" t="n">
        <v>45369</v>
      </c>
      <c r="C940" s="1" t="n">
        <v>46093</v>
      </c>
      <c r="D940" t="inlineStr">
        <is>
          <t>SKÅNE LÄN</t>
        </is>
      </c>
      <c r="E940" t="inlineStr">
        <is>
          <t>HÄSSLEHOLM</t>
        </is>
      </c>
      <c r="G940" t="n">
        <v>3.4</v>
      </c>
      <c r="H940" t="n">
        <v>0</v>
      </c>
      <c r="I940" t="n">
        <v>0</v>
      </c>
      <c r="J940" t="n">
        <v>0</v>
      </c>
      <c r="K940" t="n">
        <v>0</v>
      </c>
      <c r="L940" t="n">
        <v>0</v>
      </c>
      <c r="M940" t="n">
        <v>0</v>
      </c>
      <c r="N940" t="n">
        <v>0</v>
      </c>
      <c r="O940" t="n">
        <v>0</v>
      </c>
      <c r="P940" t="n">
        <v>0</v>
      </c>
      <c r="Q940" t="n">
        <v>0</v>
      </c>
      <c r="R940" s="2" t="inlineStr"/>
    </row>
    <row r="941" ht="15" customHeight="1">
      <c r="A941" t="inlineStr">
        <is>
          <t>A 6449-2026</t>
        </is>
      </c>
      <c r="B941" s="1" t="n">
        <v>46055.87239583334</v>
      </c>
      <c r="C941" s="1" t="n">
        <v>46093</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48046-2023</t>
        </is>
      </c>
      <c r="B942" s="1" t="n">
        <v>45204.85201388889</v>
      </c>
      <c r="C942" s="1" t="n">
        <v>46093</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11607-2025</t>
        </is>
      </c>
      <c r="B943" s="1" t="n">
        <v>45727</v>
      </c>
      <c r="C943" s="1" t="n">
        <v>46093</v>
      </c>
      <c r="D943" t="inlineStr">
        <is>
          <t>SKÅNE LÄN</t>
        </is>
      </c>
      <c r="E943" t="inlineStr">
        <is>
          <t>HÄSSLEHOLM</t>
        </is>
      </c>
      <c r="G943" t="n">
        <v>4.1</v>
      </c>
      <c r="H943" t="n">
        <v>0</v>
      </c>
      <c r="I943" t="n">
        <v>0</v>
      </c>
      <c r="J943" t="n">
        <v>0</v>
      </c>
      <c r="K943" t="n">
        <v>0</v>
      </c>
      <c r="L943" t="n">
        <v>0</v>
      </c>
      <c r="M943" t="n">
        <v>0</v>
      </c>
      <c r="N943" t="n">
        <v>0</v>
      </c>
      <c r="O943" t="n">
        <v>0</v>
      </c>
      <c r="P943" t="n">
        <v>0</v>
      </c>
      <c r="Q943" t="n">
        <v>0</v>
      </c>
      <c r="R943" s="2" t="inlineStr"/>
    </row>
    <row r="944" ht="15" customHeight="1">
      <c r="A944" t="inlineStr">
        <is>
          <t>A 13808-2021</t>
        </is>
      </c>
      <c r="B944" s="1" t="n">
        <v>44276</v>
      </c>
      <c r="C944" s="1" t="n">
        <v>46093</v>
      </c>
      <c r="D944" t="inlineStr">
        <is>
          <t>SKÅNE LÄN</t>
        </is>
      </c>
      <c r="E944" t="inlineStr">
        <is>
          <t>HÄSSLEHOLM</t>
        </is>
      </c>
      <c r="G944" t="n">
        <v>10.3</v>
      </c>
      <c r="H944" t="n">
        <v>0</v>
      </c>
      <c r="I944" t="n">
        <v>0</v>
      </c>
      <c r="J944" t="n">
        <v>0</v>
      </c>
      <c r="K944" t="n">
        <v>0</v>
      </c>
      <c r="L944" t="n">
        <v>0</v>
      </c>
      <c r="M944" t="n">
        <v>0</v>
      </c>
      <c r="N944" t="n">
        <v>0</v>
      </c>
      <c r="O944" t="n">
        <v>0</v>
      </c>
      <c r="P944" t="n">
        <v>0</v>
      </c>
      <c r="Q944" t="n">
        <v>0</v>
      </c>
      <c r="R944" s="2" t="inlineStr"/>
    </row>
    <row r="945" ht="15" customHeight="1">
      <c r="A945" t="inlineStr">
        <is>
          <t>A 49106-2023</t>
        </is>
      </c>
      <c r="B945" s="1" t="n">
        <v>45210</v>
      </c>
      <c r="C945" s="1" t="n">
        <v>46093</v>
      </c>
      <c r="D945" t="inlineStr">
        <is>
          <t>SKÅNE LÄN</t>
        </is>
      </c>
      <c r="E945" t="inlineStr">
        <is>
          <t>HÄSSLEHOLM</t>
        </is>
      </c>
      <c r="G945" t="n">
        <v>0.3</v>
      </c>
      <c r="H945" t="n">
        <v>0</v>
      </c>
      <c r="I945" t="n">
        <v>0</v>
      </c>
      <c r="J945" t="n">
        <v>0</v>
      </c>
      <c r="K945" t="n">
        <v>0</v>
      </c>
      <c r="L945" t="n">
        <v>0</v>
      </c>
      <c r="M945" t="n">
        <v>0</v>
      </c>
      <c r="N945" t="n">
        <v>0</v>
      </c>
      <c r="O945" t="n">
        <v>0</v>
      </c>
      <c r="P945" t="n">
        <v>0</v>
      </c>
      <c r="Q945" t="n">
        <v>0</v>
      </c>
      <c r="R945" s="2" t="inlineStr"/>
    </row>
    <row r="946" ht="15" customHeight="1">
      <c r="A946" t="inlineStr">
        <is>
          <t>A 58815-2023</t>
        </is>
      </c>
      <c r="B946" s="1" t="n">
        <v>45247</v>
      </c>
      <c r="C946" s="1" t="n">
        <v>46093</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63710-2025</t>
        </is>
      </c>
      <c r="B947" s="1" t="n">
        <v>46014.62143518519</v>
      </c>
      <c r="C947" s="1" t="n">
        <v>46093</v>
      </c>
      <c r="D947" t="inlineStr">
        <is>
          <t>SKÅNE LÄN</t>
        </is>
      </c>
      <c r="E947" t="inlineStr">
        <is>
          <t>HÄSSLEHOLM</t>
        </is>
      </c>
      <c r="G947" t="n">
        <v>1.3</v>
      </c>
      <c r="H947" t="n">
        <v>0</v>
      </c>
      <c r="I947" t="n">
        <v>0</v>
      </c>
      <c r="J947" t="n">
        <v>0</v>
      </c>
      <c r="K947" t="n">
        <v>0</v>
      </c>
      <c r="L947" t="n">
        <v>0</v>
      </c>
      <c r="M947" t="n">
        <v>0</v>
      </c>
      <c r="N947" t="n">
        <v>0</v>
      </c>
      <c r="O947" t="n">
        <v>0</v>
      </c>
      <c r="P947" t="n">
        <v>0</v>
      </c>
      <c r="Q947" t="n">
        <v>0</v>
      </c>
      <c r="R947" s="2" t="inlineStr"/>
    </row>
    <row r="948" ht="15" customHeight="1">
      <c r="A948" t="inlineStr">
        <is>
          <t>A 6309-2026</t>
        </is>
      </c>
      <c r="B948" s="1" t="n">
        <v>46055.57369212963</v>
      </c>
      <c r="C948" s="1" t="n">
        <v>46093</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9697-2023</t>
        </is>
      </c>
      <c r="B949" s="1" t="n">
        <v>44984</v>
      </c>
      <c r="C949" s="1" t="n">
        <v>46093</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27478-2023</t>
        </is>
      </c>
      <c r="B950" s="1" t="n">
        <v>45092</v>
      </c>
      <c r="C950" s="1" t="n">
        <v>46093</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6295-2026</t>
        </is>
      </c>
      <c r="B951" s="1" t="n">
        <v>46055.56115740741</v>
      </c>
      <c r="C951" s="1" t="n">
        <v>46093</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1170-2025</t>
        </is>
      </c>
      <c r="B952" s="1" t="n">
        <v>45667.29226851852</v>
      </c>
      <c r="C952" s="1" t="n">
        <v>46093</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63510-2025</t>
        </is>
      </c>
      <c r="B953" s="1" t="n">
        <v>46013.49172453704</v>
      </c>
      <c r="C953" s="1" t="n">
        <v>46093</v>
      </c>
      <c r="D953" t="inlineStr">
        <is>
          <t>SKÅNE LÄN</t>
        </is>
      </c>
      <c r="E953" t="inlineStr">
        <is>
          <t>HÄSSLEHOLM</t>
        </is>
      </c>
      <c r="F953" t="inlineStr">
        <is>
          <t>Kommuner</t>
        </is>
      </c>
      <c r="G953" t="n">
        <v>2</v>
      </c>
      <c r="H953" t="n">
        <v>0</v>
      </c>
      <c r="I953" t="n">
        <v>0</v>
      </c>
      <c r="J953" t="n">
        <v>0</v>
      </c>
      <c r="K953" t="n">
        <v>0</v>
      </c>
      <c r="L953" t="n">
        <v>0</v>
      </c>
      <c r="M953" t="n">
        <v>0</v>
      </c>
      <c r="N953" t="n">
        <v>0</v>
      </c>
      <c r="O953" t="n">
        <v>0</v>
      </c>
      <c r="P953" t="n">
        <v>0</v>
      </c>
      <c r="Q953" t="n">
        <v>0</v>
      </c>
      <c r="R953" s="2" t="inlineStr"/>
    </row>
    <row r="954" ht="15" customHeight="1">
      <c r="A954" t="inlineStr">
        <is>
          <t>A 57749-2023</t>
        </is>
      </c>
      <c r="B954" s="1" t="n">
        <v>45246</v>
      </c>
      <c r="C954" s="1" t="n">
        <v>46093</v>
      </c>
      <c r="D954" t="inlineStr">
        <is>
          <t>SKÅNE LÄN</t>
        </is>
      </c>
      <c r="E954" t="inlineStr">
        <is>
          <t>HÄSSLEHOLM</t>
        </is>
      </c>
      <c r="G954" t="n">
        <v>2.7</v>
      </c>
      <c r="H954" t="n">
        <v>0</v>
      </c>
      <c r="I954" t="n">
        <v>0</v>
      </c>
      <c r="J954" t="n">
        <v>0</v>
      </c>
      <c r="K954" t="n">
        <v>0</v>
      </c>
      <c r="L954" t="n">
        <v>0</v>
      </c>
      <c r="M954" t="n">
        <v>0</v>
      </c>
      <c r="N954" t="n">
        <v>0</v>
      </c>
      <c r="O954" t="n">
        <v>0</v>
      </c>
      <c r="P954" t="n">
        <v>0</v>
      </c>
      <c r="Q954" t="n">
        <v>0</v>
      </c>
      <c r="R954" s="2" t="inlineStr"/>
    </row>
    <row r="955" ht="15" customHeight="1">
      <c r="A955" t="inlineStr">
        <is>
          <t>A 6299-2026</t>
        </is>
      </c>
      <c r="B955" s="1" t="n">
        <v>46055.56623842593</v>
      </c>
      <c r="C955" s="1" t="n">
        <v>46093</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44940-2023</t>
        </is>
      </c>
      <c r="B956" s="1" t="n">
        <v>45190.68653935185</v>
      </c>
      <c r="C956" s="1" t="n">
        <v>46093</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63473-2025</t>
        </is>
      </c>
      <c r="B957" s="1" t="n">
        <v>46013.44364583334</v>
      </c>
      <c r="C957" s="1" t="n">
        <v>46093</v>
      </c>
      <c r="D957" t="inlineStr">
        <is>
          <t>SKÅNE LÄN</t>
        </is>
      </c>
      <c r="E957" t="inlineStr">
        <is>
          <t>HÄSSLEHOLM</t>
        </is>
      </c>
      <c r="F957" t="inlineStr">
        <is>
          <t>Kommuner</t>
        </is>
      </c>
      <c r="G957" t="n">
        <v>5.9</v>
      </c>
      <c r="H957" t="n">
        <v>0</v>
      </c>
      <c r="I957" t="n">
        <v>0</v>
      </c>
      <c r="J957" t="n">
        <v>0</v>
      </c>
      <c r="K957" t="n">
        <v>0</v>
      </c>
      <c r="L957" t="n">
        <v>0</v>
      </c>
      <c r="M957" t="n">
        <v>0</v>
      </c>
      <c r="N957" t="n">
        <v>0</v>
      </c>
      <c r="O957" t="n">
        <v>0</v>
      </c>
      <c r="P957" t="n">
        <v>0</v>
      </c>
      <c r="Q957" t="n">
        <v>0</v>
      </c>
      <c r="R957" s="2" t="inlineStr"/>
    </row>
    <row r="958" ht="15" customHeight="1">
      <c r="A958" t="inlineStr">
        <is>
          <t>A 63487-2025</t>
        </is>
      </c>
      <c r="B958" s="1" t="n">
        <v>46013.46878472222</v>
      </c>
      <c r="C958" s="1" t="n">
        <v>46093</v>
      </c>
      <c r="D958" t="inlineStr">
        <is>
          <t>SKÅNE LÄN</t>
        </is>
      </c>
      <c r="E958" t="inlineStr">
        <is>
          <t>HÄSSLEHOLM</t>
        </is>
      </c>
      <c r="F958" t="inlineStr">
        <is>
          <t>Kommuner</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18800-2023</t>
        </is>
      </c>
      <c r="B959" s="1" t="n">
        <v>45044</v>
      </c>
      <c r="C959" s="1" t="n">
        <v>46093</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25206-2023</t>
        </is>
      </c>
      <c r="B960" s="1" t="n">
        <v>45086.59318287037</v>
      </c>
      <c r="C960" s="1" t="n">
        <v>46093</v>
      </c>
      <c r="D960" t="inlineStr">
        <is>
          <t>SKÅNE LÄN</t>
        </is>
      </c>
      <c r="E960" t="inlineStr">
        <is>
          <t>HÄSSLEHOLM</t>
        </is>
      </c>
      <c r="G960" t="n">
        <v>2.9</v>
      </c>
      <c r="H960" t="n">
        <v>0</v>
      </c>
      <c r="I960" t="n">
        <v>0</v>
      </c>
      <c r="J960" t="n">
        <v>0</v>
      </c>
      <c r="K960" t="n">
        <v>0</v>
      </c>
      <c r="L960" t="n">
        <v>0</v>
      </c>
      <c r="M960" t="n">
        <v>0</v>
      </c>
      <c r="N960" t="n">
        <v>0</v>
      </c>
      <c r="O960" t="n">
        <v>0</v>
      </c>
      <c r="P960" t="n">
        <v>0</v>
      </c>
      <c r="Q960" t="n">
        <v>0</v>
      </c>
      <c r="R960" s="2" t="inlineStr"/>
    </row>
    <row r="961" ht="15" customHeight="1">
      <c r="A961" t="inlineStr">
        <is>
          <t>A 63414-2025</t>
        </is>
      </c>
      <c r="B961" s="1" t="n">
        <v>46013.32008101852</v>
      </c>
      <c r="C961" s="1" t="n">
        <v>46093</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5116-2023</t>
        </is>
      </c>
      <c r="B962" s="1" t="n">
        <v>44958.67546296296</v>
      </c>
      <c r="C962" s="1" t="n">
        <v>46093</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6363-2026</t>
        </is>
      </c>
      <c r="B963" s="1" t="n">
        <v>46055.62319444444</v>
      </c>
      <c r="C963" s="1" t="n">
        <v>46093</v>
      </c>
      <c r="D963" t="inlineStr">
        <is>
          <t>SKÅNE LÄN</t>
        </is>
      </c>
      <c r="E963" t="inlineStr">
        <is>
          <t>HÄSSLEHOLM</t>
        </is>
      </c>
      <c r="G963" t="n">
        <v>4.4</v>
      </c>
      <c r="H963" t="n">
        <v>0</v>
      </c>
      <c r="I963" t="n">
        <v>0</v>
      </c>
      <c r="J963" t="n">
        <v>0</v>
      </c>
      <c r="K963" t="n">
        <v>0</v>
      </c>
      <c r="L963" t="n">
        <v>0</v>
      </c>
      <c r="M963" t="n">
        <v>0</v>
      </c>
      <c r="N963" t="n">
        <v>0</v>
      </c>
      <c r="O963" t="n">
        <v>0</v>
      </c>
      <c r="P963" t="n">
        <v>0</v>
      </c>
      <c r="Q963" t="n">
        <v>0</v>
      </c>
      <c r="R963" s="2" t="inlineStr"/>
    </row>
    <row r="964" ht="15" customHeight="1">
      <c r="A964" t="inlineStr">
        <is>
          <t>A 8160-2024</t>
        </is>
      </c>
      <c r="B964" s="1" t="n">
        <v>45351</v>
      </c>
      <c r="C964" s="1" t="n">
        <v>46093</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63415-2025</t>
        </is>
      </c>
      <c r="B965" s="1" t="n">
        <v>46013.32163194445</v>
      </c>
      <c r="C965" s="1" t="n">
        <v>46093</v>
      </c>
      <c r="D965" t="inlineStr">
        <is>
          <t>SKÅNE LÄN</t>
        </is>
      </c>
      <c r="E965" t="inlineStr">
        <is>
          <t>HÄSSLEHOLM</t>
        </is>
      </c>
      <c r="G965" t="n">
        <v>1.3</v>
      </c>
      <c r="H965" t="n">
        <v>0</v>
      </c>
      <c r="I965" t="n">
        <v>0</v>
      </c>
      <c r="J965" t="n">
        <v>0</v>
      </c>
      <c r="K965" t="n">
        <v>0</v>
      </c>
      <c r="L965" t="n">
        <v>0</v>
      </c>
      <c r="M965" t="n">
        <v>0</v>
      </c>
      <c r="N965" t="n">
        <v>0</v>
      </c>
      <c r="O965" t="n">
        <v>0</v>
      </c>
      <c r="P965" t="n">
        <v>0</v>
      </c>
      <c r="Q965" t="n">
        <v>0</v>
      </c>
      <c r="R965" s="2" t="inlineStr"/>
    </row>
    <row r="966" ht="15" customHeight="1">
      <c r="A966" t="inlineStr">
        <is>
          <t>A 63416-2025</t>
        </is>
      </c>
      <c r="B966" s="1" t="n">
        <v>46013.3232175926</v>
      </c>
      <c r="C966" s="1" t="n">
        <v>46093</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63476-2025</t>
        </is>
      </c>
      <c r="B967" s="1" t="n">
        <v>46013.44621527778</v>
      </c>
      <c r="C967" s="1" t="n">
        <v>46093</v>
      </c>
      <c r="D967" t="inlineStr">
        <is>
          <t>SKÅNE LÄN</t>
        </is>
      </c>
      <c r="E967" t="inlineStr">
        <is>
          <t>HÄSSLEHOLM</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10220-2023</t>
        </is>
      </c>
      <c r="B968" s="1" t="n">
        <v>44986.60916666667</v>
      </c>
      <c r="C968" s="1" t="n">
        <v>46093</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47450-2025</t>
        </is>
      </c>
      <c r="B969" s="1" t="n">
        <v>45930</v>
      </c>
      <c r="C969" s="1" t="n">
        <v>46093</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6316-2026</t>
        </is>
      </c>
      <c r="B970" s="1" t="n">
        <v>46055</v>
      </c>
      <c r="C970" s="1" t="n">
        <v>46093</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63709-2025</t>
        </is>
      </c>
      <c r="B971" s="1" t="n">
        <v>46014.61700231482</v>
      </c>
      <c r="C971" s="1" t="n">
        <v>46093</v>
      </c>
      <c r="D971" t="inlineStr">
        <is>
          <t>SKÅNE LÄN</t>
        </is>
      </c>
      <c r="E971" t="inlineStr">
        <is>
          <t>HÄSSLEHOLM</t>
        </is>
      </c>
      <c r="G971" t="n">
        <v>1.7</v>
      </c>
      <c r="H971" t="n">
        <v>0</v>
      </c>
      <c r="I971" t="n">
        <v>0</v>
      </c>
      <c r="J971" t="n">
        <v>0</v>
      </c>
      <c r="K971" t="n">
        <v>0</v>
      </c>
      <c r="L971" t="n">
        <v>0</v>
      </c>
      <c r="M971" t="n">
        <v>0</v>
      </c>
      <c r="N971" t="n">
        <v>0</v>
      </c>
      <c r="O971" t="n">
        <v>0</v>
      </c>
      <c r="P971" t="n">
        <v>0</v>
      </c>
      <c r="Q971" t="n">
        <v>0</v>
      </c>
      <c r="R971" s="2" t="inlineStr"/>
    </row>
    <row r="972" ht="15" customHeight="1">
      <c r="A972" t="inlineStr">
        <is>
          <t>A 41680-2024</t>
        </is>
      </c>
      <c r="B972" s="1" t="n">
        <v>45560</v>
      </c>
      <c r="C972" s="1" t="n">
        <v>46093</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25611-2024</t>
        </is>
      </c>
      <c r="B973" s="1" t="n">
        <v>45463</v>
      </c>
      <c r="C973" s="1" t="n">
        <v>46093</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6328-2026</t>
        </is>
      </c>
      <c r="B974" s="1" t="n">
        <v>46055</v>
      </c>
      <c r="C974" s="1" t="n">
        <v>46093</v>
      </c>
      <c r="D974" t="inlineStr">
        <is>
          <t>SKÅNE LÄN</t>
        </is>
      </c>
      <c r="E974" t="inlineStr">
        <is>
          <t>HÄSSLEHOLM</t>
        </is>
      </c>
      <c r="G974" t="n">
        <v>1.9</v>
      </c>
      <c r="H974" t="n">
        <v>0</v>
      </c>
      <c r="I974" t="n">
        <v>0</v>
      </c>
      <c r="J974" t="n">
        <v>0</v>
      </c>
      <c r="K974" t="n">
        <v>0</v>
      </c>
      <c r="L974" t="n">
        <v>0</v>
      </c>
      <c r="M974" t="n">
        <v>0</v>
      </c>
      <c r="N974" t="n">
        <v>0</v>
      </c>
      <c r="O974" t="n">
        <v>0</v>
      </c>
      <c r="P974" t="n">
        <v>0</v>
      </c>
      <c r="Q974" t="n">
        <v>0</v>
      </c>
      <c r="R974" s="2" t="inlineStr"/>
    </row>
    <row r="975" ht="15" customHeight="1">
      <c r="A975" t="inlineStr">
        <is>
          <t>A 7244-2026</t>
        </is>
      </c>
      <c r="B975" s="1" t="n">
        <v>46058.58646990741</v>
      </c>
      <c r="C975" s="1" t="n">
        <v>46093</v>
      </c>
      <c r="D975" t="inlineStr">
        <is>
          <t>SKÅNE LÄN</t>
        </is>
      </c>
      <c r="E975" t="inlineStr">
        <is>
          <t>HÄSSLEHOLM</t>
        </is>
      </c>
      <c r="G975" t="n">
        <v>7</v>
      </c>
      <c r="H975" t="n">
        <v>0</v>
      </c>
      <c r="I975" t="n">
        <v>0</v>
      </c>
      <c r="J975" t="n">
        <v>0</v>
      </c>
      <c r="K975" t="n">
        <v>0</v>
      </c>
      <c r="L975" t="n">
        <v>0</v>
      </c>
      <c r="M975" t="n">
        <v>0</v>
      </c>
      <c r="N975" t="n">
        <v>0</v>
      </c>
      <c r="O975" t="n">
        <v>0</v>
      </c>
      <c r="P975" t="n">
        <v>0</v>
      </c>
      <c r="Q975" t="n">
        <v>0</v>
      </c>
      <c r="R975" s="2" t="inlineStr"/>
    </row>
    <row r="976" ht="15" customHeight="1">
      <c r="A976" t="inlineStr">
        <is>
          <t>A 47432-2025</t>
        </is>
      </c>
      <c r="B976" s="1" t="n">
        <v>45930</v>
      </c>
      <c r="C976" s="1" t="n">
        <v>46093</v>
      </c>
      <c r="D976" t="inlineStr">
        <is>
          <t>SKÅNE LÄN</t>
        </is>
      </c>
      <c r="E976" t="inlineStr">
        <is>
          <t>HÄSSLEHOLM</t>
        </is>
      </c>
      <c r="G976" t="n">
        <v>3.1</v>
      </c>
      <c r="H976" t="n">
        <v>0</v>
      </c>
      <c r="I976" t="n">
        <v>0</v>
      </c>
      <c r="J976" t="n">
        <v>0</v>
      </c>
      <c r="K976" t="n">
        <v>0</v>
      </c>
      <c r="L976" t="n">
        <v>0</v>
      </c>
      <c r="M976" t="n">
        <v>0</v>
      </c>
      <c r="N976" t="n">
        <v>0</v>
      </c>
      <c r="O976" t="n">
        <v>0</v>
      </c>
      <c r="P976" t="n">
        <v>0</v>
      </c>
      <c r="Q976" t="n">
        <v>0</v>
      </c>
      <c r="R976" s="2" t="inlineStr"/>
    </row>
    <row r="977" ht="15" customHeight="1">
      <c r="A977" t="inlineStr">
        <is>
          <t>A 26536-2022</t>
        </is>
      </c>
      <c r="B977" s="1" t="n">
        <v>44739.45496527778</v>
      </c>
      <c r="C977" s="1" t="n">
        <v>46093</v>
      </c>
      <c r="D977" t="inlineStr">
        <is>
          <t>SKÅNE LÄN</t>
        </is>
      </c>
      <c r="E977" t="inlineStr">
        <is>
          <t>HÄSSLEHOLM</t>
        </is>
      </c>
      <c r="G977" t="n">
        <v>3.1</v>
      </c>
      <c r="H977" t="n">
        <v>0</v>
      </c>
      <c r="I977" t="n">
        <v>0</v>
      </c>
      <c r="J977" t="n">
        <v>0</v>
      </c>
      <c r="K977" t="n">
        <v>0</v>
      </c>
      <c r="L977" t="n">
        <v>0</v>
      </c>
      <c r="M977" t="n">
        <v>0</v>
      </c>
      <c r="N977" t="n">
        <v>0</v>
      </c>
      <c r="O977" t="n">
        <v>0</v>
      </c>
      <c r="P977" t="n">
        <v>0</v>
      </c>
      <c r="Q977" t="n">
        <v>0</v>
      </c>
      <c r="R977" s="2" t="inlineStr"/>
    </row>
    <row r="978" ht="15" customHeight="1">
      <c r="A978" t="inlineStr">
        <is>
          <t>A 16334-2024</t>
        </is>
      </c>
      <c r="B978" s="1" t="n">
        <v>45407.54856481482</v>
      </c>
      <c r="C978" s="1" t="n">
        <v>46093</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63712-2025</t>
        </is>
      </c>
      <c r="B979" s="1" t="n">
        <v>46014.63092592593</v>
      </c>
      <c r="C979" s="1" t="n">
        <v>46093</v>
      </c>
      <c r="D979" t="inlineStr">
        <is>
          <t>SKÅNE LÄN</t>
        </is>
      </c>
      <c r="E979" t="inlineStr">
        <is>
          <t>HÄSSLEHOLM</t>
        </is>
      </c>
      <c r="G979" t="n">
        <v>3.9</v>
      </c>
      <c r="H979" t="n">
        <v>0</v>
      </c>
      <c r="I979" t="n">
        <v>0</v>
      </c>
      <c r="J979" t="n">
        <v>0</v>
      </c>
      <c r="K979" t="n">
        <v>0</v>
      </c>
      <c r="L979" t="n">
        <v>0</v>
      </c>
      <c r="M979" t="n">
        <v>0</v>
      </c>
      <c r="N979" t="n">
        <v>0</v>
      </c>
      <c r="O979" t="n">
        <v>0</v>
      </c>
      <c r="P979" t="n">
        <v>0</v>
      </c>
      <c r="Q979" t="n">
        <v>0</v>
      </c>
      <c r="R979" s="2" t="inlineStr"/>
    </row>
    <row r="980" ht="15" customHeight="1">
      <c r="A980" t="inlineStr">
        <is>
          <t>A 47422-2025</t>
        </is>
      </c>
      <c r="B980" s="1" t="n">
        <v>45930</v>
      </c>
      <c r="C980" s="1" t="n">
        <v>46093</v>
      </c>
      <c r="D980" t="inlineStr">
        <is>
          <t>SKÅNE LÄN</t>
        </is>
      </c>
      <c r="E980" t="inlineStr">
        <is>
          <t>HÄSSLEHOLM</t>
        </is>
      </c>
      <c r="G980" t="n">
        <v>3.5</v>
      </c>
      <c r="H980" t="n">
        <v>0</v>
      </c>
      <c r="I980" t="n">
        <v>0</v>
      </c>
      <c r="J980" t="n">
        <v>0</v>
      </c>
      <c r="K980" t="n">
        <v>0</v>
      </c>
      <c r="L980" t="n">
        <v>0</v>
      </c>
      <c r="M980" t="n">
        <v>0</v>
      </c>
      <c r="N980" t="n">
        <v>0</v>
      </c>
      <c r="O980" t="n">
        <v>0</v>
      </c>
      <c r="P980" t="n">
        <v>0</v>
      </c>
      <c r="Q980" t="n">
        <v>0</v>
      </c>
      <c r="R980" s="2" t="inlineStr"/>
    </row>
    <row r="981" ht="15" customHeight="1">
      <c r="A981" t="inlineStr">
        <is>
          <t>A 6877-2026</t>
        </is>
      </c>
      <c r="B981" s="1" t="n">
        <v>46057.45768518518</v>
      </c>
      <c r="C981" s="1" t="n">
        <v>46093</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41873-2023</t>
        </is>
      </c>
      <c r="B982" s="1" t="n">
        <v>45176</v>
      </c>
      <c r="C982" s="1" t="n">
        <v>46093</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7785-2026</t>
        </is>
      </c>
      <c r="B983" s="1" t="n">
        <v>46062.58422453704</v>
      </c>
      <c r="C983" s="1" t="n">
        <v>46093</v>
      </c>
      <c r="D983" t="inlineStr">
        <is>
          <t>SKÅNE LÄN</t>
        </is>
      </c>
      <c r="E983" t="inlineStr">
        <is>
          <t>HÄSSLEHOLM</t>
        </is>
      </c>
      <c r="G983" t="n">
        <v>2.3</v>
      </c>
      <c r="H983" t="n">
        <v>0</v>
      </c>
      <c r="I983" t="n">
        <v>0</v>
      </c>
      <c r="J983" t="n">
        <v>0</v>
      </c>
      <c r="K983" t="n">
        <v>0</v>
      </c>
      <c r="L983" t="n">
        <v>0</v>
      </c>
      <c r="M983" t="n">
        <v>0</v>
      </c>
      <c r="N983" t="n">
        <v>0</v>
      </c>
      <c r="O983" t="n">
        <v>0</v>
      </c>
      <c r="P983" t="n">
        <v>0</v>
      </c>
      <c r="Q983" t="n">
        <v>0</v>
      </c>
      <c r="R983" s="2" t="inlineStr"/>
    </row>
    <row r="984" ht="15" customHeight="1">
      <c r="A984" t="inlineStr">
        <is>
          <t>A 60973-2024</t>
        </is>
      </c>
      <c r="B984" s="1" t="n">
        <v>45644</v>
      </c>
      <c r="C984" s="1" t="n">
        <v>46093</v>
      </c>
      <c r="D984" t="inlineStr">
        <is>
          <t>SKÅNE LÄN</t>
        </is>
      </c>
      <c r="E984" t="inlineStr">
        <is>
          <t>HÄSSLEHOLM</t>
        </is>
      </c>
      <c r="G984" t="n">
        <v>3.6</v>
      </c>
      <c r="H984" t="n">
        <v>0</v>
      </c>
      <c r="I984" t="n">
        <v>0</v>
      </c>
      <c r="J984" t="n">
        <v>0</v>
      </c>
      <c r="K984" t="n">
        <v>0</v>
      </c>
      <c r="L984" t="n">
        <v>0</v>
      </c>
      <c r="M984" t="n">
        <v>0</v>
      </c>
      <c r="N984" t="n">
        <v>0</v>
      </c>
      <c r="O984" t="n">
        <v>0</v>
      </c>
      <c r="P984" t="n">
        <v>0</v>
      </c>
      <c r="Q984" t="n">
        <v>0</v>
      </c>
      <c r="R984" s="2" t="inlineStr"/>
    </row>
    <row r="985" ht="15" customHeight="1">
      <c r="A985" t="inlineStr">
        <is>
          <t>A 38228-2021</t>
        </is>
      </c>
      <c r="B985" s="1" t="n">
        <v>44405</v>
      </c>
      <c r="C985" s="1" t="n">
        <v>46093</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14655-2025</t>
        </is>
      </c>
      <c r="B986" s="1" t="n">
        <v>45742.5072337963</v>
      </c>
      <c r="C986" s="1" t="n">
        <v>46093</v>
      </c>
      <c r="D986" t="inlineStr">
        <is>
          <t>SKÅNE LÄN</t>
        </is>
      </c>
      <c r="E986" t="inlineStr">
        <is>
          <t>HÄSSLEHOLM</t>
        </is>
      </c>
      <c r="G986" t="n">
        <v>4.5</v>
      </c>
      <c r="H986" t="n">
        <v>0</v>
      </c>
      <c r="I986" t="n">
        <v>0</v>
      </c>
      <c r="J986" t="n">
        <v>0</v>
      </c>
      <c r="K986" t="n">
        <v>0</v>
      </c>
      <c r="L986" t="n">
        <v>0</v>
      </c>
      <c r="M986" t="n">
        <v>0</v>
      </c>
      <c r="N986" t="n">
        <v>0</v>
      </c>
      <c r="O986" t="n">
        <v>0</v>
      </c>
      <c r="P986" t="n">
        <v>0</v>
      </c>
      <c r="Q986" t="n">
        <v>0</v>
      </c>
      <c r="R986" s="2" t="inlineStr"/>
    </row>
    <row r="987" ht="15" customHeight="1">
      <c r="A987" t="inlineStr">
        <is>
          <t>A 7721-2026</t>
        </is>
      </c>
      <c r="B987" s="1" t="n">
        <v>46059</v>
      </c>
      <c r="C987" s="1" t="n">
        <v>46093</v>
      </c>
      <c r="D987" t="inlineStr">
        <is>
          <t>SKÅNE LÄN</t>
        </is>
      </c>
      <c r="E987" t="inlineStr">
        <is>
          <t>HÄSSLEHOLM</t>
        </is>
      </c>
      <c r="G987" t="n">
        <v>3.3</v>
      </c>
      <c r="H987" t="n">
        <v>0</v>
      </c>
      <c r="I987" t="n">
        <v>0</v>
      </c>
      <c r="J987" t="n">
        <v>0</v>
      </c>
      <c r="K987" t="n">
        <v>0</v>
      </c>
      <c r="L987" t="n">
        <v>0</v>
      </c>
      <c r="M987" t="n">
        <v>0</v>
      </c>
      <c r="N987" t="n">
        <v>0</v>
      </c>
      <c r="O987" t="n">
        <v>0</v>
      </c>
      <c r="P987" t="n">
        <v>0</v>
      </c>
      <c r="Q987" t="n">
        <v>0</v>
      </c>
      <c r="R987" s="2" t="inlineStr"/>
    </row>
    <row r="988" ht="15" customHeight="1">
      <c r="A988" t="inlineStr">
        <is>
          <t>A 59763-2022</t>
        </is>
      </c>
      <c r="B988" s="1" t="n">
        <v>44900</v>
      </c>
      <c r="C988" s="1" t="n">
        <v>46093</v>
      </c>
      <c r="D988" t="inlineStr">
        <is>
          <t>SKÅNE LÄN</t>
        </is>
      </c>
      <c r="E988" t="inlineStr">
        <is>
          <t>HÄSSLEHOLM</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43061-2024</t>
        </is>
      </c>
      <c r="B989" s="1" t="n">
        <v>45567</v>
      </c>
      <c r="C989" s="1" t="n">
        <v>46093</v>
      </c>
      <c r="D989" t="inlineStr">
        <is>
          <t>SKÅNE LÄN</t>
        </is>
      </c>
      <c r="E989" t="inlineStr">
        <is>
          <t>HÄSSLEHOLM</t>
        </is>
      </c>
      <c r="G989" t="n">
        <v>4.5</v>
      </c>
      <c r="H989" t="n">
        <v>0</v>
      </c>
      <c r="I989" t="n">
        <v>0</v>
      </c>
      <c r="J989" t="n">
        <v>0</v>
      </c>
      <c r="K989" t="n">
        <v>0</v>
      </c>
      <c r="L989" t="n">
        <v>0</v>
      </c>
      <c r="M989" t="n">
        <v>0</v>
      </c>
      <c r="N989" t="n">
        <v>0</v>
      </c>
      <c r="O989" t="n">
        <v>0</v>
      </c>
      <c r="P989" t="n">
        <v>0</v>
      </c>
      <c r="Q989" t="n">
        <v>0</v>
      </c>
      <c r="R989" s="2" t="inlineStr"/>
    </row>
    <row r="990" ht="15" customHeight="1">
      <c r="A990" t="inlineStr">
        <is>
          <t>A 21328-2023</t>
        </is>
      </c>
      <c r="B990" s="1" t="n">
        <v>45062</v>
      </c>
      <c r="C990" s="1" t="n">
        <v>46093</v>
      </c>
      <c r="D990" t="inlineStr">
        <is>
          <t>SKÅNE LÄN</t>
        </is>
      </c>
      <c r="E990" t="inlineStr">
        <is>
          <t>HÄSSLEHOLM</t>
        </is>
      </c>
      <c r="G990" t="n">
        <v>2.1</v>
      </c>
      <c r="H990" t="n">
        <v>0</v>
      </c>
      <c r="I990" t="n">
        <v>0</v>
      </c>
      <c r="J990" t="n">
        <v>0</v>
      </c>
      <c r="K990" t="n">
        <v>0</v>
      </c>
      <c r="L990" t="n">
        <v>0</v>
      </c>
      <c r="M990" t="n">
        <v>0</v>
      </c>
      <c r="N990" t="n">
        <v>0</v>
      </c>
      <c r="O990" t="n">
        <v>0</v>
      </c>
      <c r="P990" t="n">
        <v>0</v>
      </c>
      <c r="Q990" t="n">
        <v>0</v>
      </c>
      <c r="R990" s="2" t="inlineStr"/>
    </row>
    <row r="991" ht="15" customHeight="1">
      <c r="A991" t="inlineStr">
        <is>
          <t>A 10277-2023</t>
        </is>
      </c>
      <c r="B991" s="1" t="n">
        <v>44986</v>
      </c>
      <c r="C991" s="1" t="n">
        <v>46093</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10290-2023</t>
        </is>
      </c>
      <c r="B992" s="1" t="n">
        <v>44986</v>
      </c>
      <c r="C992" s="1" t="n">
        <v>46093</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6619-2024</t>
        </is>
      </c>
      <c r="B993" s="1" t="n">
        <v>45341.6021412037</v>
      </c>
      <c r="C993" s="1" t="n">
        <v>46093</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20666-2023</t>
        </is>
      </c>
      <c r="B994" s="1" t="n">
        <v>45058.35664351852</v>
      </c>
      <c r="C994" s="1" t="n">
        <v>46093</v>
      </c>
      <c r="D994" t="inlineStr">
        <is>
          <t>SKÅNE LÄN</t>
        </is>
      </c>
      <c r="E994" t="inlineStr">
        <is>
          <t>HÄSSLEHOLM</t>
        </is>
      </c>
      <c r="F994" t="inlineStr">
        <is>
          <t>Kyrkan</t>
        </is>
      </c>
      <c r="G994" t="n">
        <v>1.3</v>
      </c>
      <c r="H994" t="n">
        <v>0</v>
      </c>
      <c r="I994" t="n">
        <v>0</v>
      </c>
      <c r="J994" t="n">
        <v>0</v>
      </c>
      <c r="K994" t="n">
        <v>0</v>
      </c>
      <c r="L994" t="n">
        <v>0</v>
      </c>
      <c r="M994" t="n">
        <v>0</v>
      </c>
      <c r="N994" t="n">
        <v>0</v>
      </c>
      <c r="O994" t="n">
        <v>0</v>
      </c>
      <c r="P994" t="n">
        <v>0</v>
      </c>
      <c r="Q994" t="n">
        <v>0</v>
      </c>
      <c r="R994" s="2" t="inlineStr"/>
    </row>
    <row r="995" ht="15" customHeight="1">
      <c r="A995" t="inlineStr">
        <is>
          <t>A 19593-2023</t>
        </is>
      </c>
      <c r="B995" s="1" t="n">
        <v>45050.75895833333</v>
      </c>
      <c r="C995" s="1" t="n">
        <v>46093</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7494-2023</t>
        </is>
      </c>
      <c r="B996" s="1" t="n">
        <v>44971.70835648148</v>
      </c>
      <c r="C996" s="1" t="n">
        <v>46093</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6087-2025</t>
        </is>
      </c>
      <c r="B997" s="1" t="n">
        <v>45697.69782407407</v>
      </c>
      <c r="C997" s="1" t="n">
        <v>46093</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47394-2025</t>
        </is>
      </c>
      <c r="B998" s="1" t="n">
        <v>45930</v>
      </c>
      <c r="C998" s="1" t="n">
        <v>46093</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50571-2023</t>
        </is>
      </c>
      <c r="B999" s="1" t="n">
        <v>45217.38359953704</v>
      </c>
      <c r="C999" s="1" t="n">
        <v>46093</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18041-2023</t>
        </is>
      </c>
      <c r="B1000" s="1" t="n">
        <v>45040</v>
      </c>
      <c r="C1000" s="1" t="n">
        <v>46093</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8539-2026</t>
        </is>
      </c>
      <c r="B1001" s="1" t="n">
        <v>46064</v>
      </c>
      <c r="C1001" s="1" t="n">
        <v>46093</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16950-2025</t>
        </is>
      </c>
      <c r="B1002" s="1" t="n">
        <v>45755</v>
      </c>
      <c r="C1002" s="1" t="n">
        <v>46093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58618-2024</t>
        </is>
      </c>
      <c r="B1003" s="1" t="n">
        <v>45635.56150462963</v>
      </c>
      <c r="C1003" s="1" t="n">
        <v>46093</v>
      </c>
      <c r="D1003" t="inlineStr">
        <is>
          <t>SKÅNE LÄN</t>
        </is>
      </c>
      <c r="E1003" t="inlineStr">
        <is>
          <t>HÄSSLEHOLM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52337-2023</t>
        </is>
      </c>
      <c r="B1004" s="1" t="n">
        <v>45224.66359953704</v>
      </c>
      <c r="C1004" s="1" t="n">
        <v>46093</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8674-2026</t>
        </is>
      </c>
      <c r="B1005" s="1" t="n">
        <v>46066.4059837963</v>
      </c>
      <c r="C1005" s="1" t="n">
        <v>46093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54426-2025</t>
        </is>
      </c>
      <c r="B1006" s="1" t="n">
        <v>45965</v>
      </c>
      <c r="C1006" s="1" t="n">
        <v>46093</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13084-2025</t>
        </is>
      </c>
      <c r="B1007" s="1" t="n">
        <v>45734</v>
      </c>
      <c r="C1007" s="1" t="n">
        <v>46093</v>
      </c>
      <c r="D1007" t="inlineStr">
        <is>
          <t>SKÅNE LÄN</t>
        </is>
      </c>
      <c r="E1007" t="inlineStr">
        <is>
          <t>HÄSSLEHOLM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8538-2026</t>
        </is>
      </c>
      <c r="B1008" s="1" t="n">
        <v>46064</v>
      </c>
      <c r="C1008" s="1" t="n">
        <v>46093</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8852-2026</t>
        </is>
      </c>
      <c r="B1009" s="1" t="n">
        <v>46066.66105324074</v>
      </c>
      <c r="C1009" s="1" t="n">
        <v>46093</v>
      </c>
      <c r="D1009" t="inlineStr">
        <is>
          <t>SKÅNE LÄN</t>
        </is>
      </c>
      <c r="E1009" t="inlineStr">
        <is>
          <t>HÄSSLEHOLM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27991-2024</t>
        </is>
      </c>
      <c r="B1010" s="1" t="n">
        <v>45476</v>
      </c>
      <c r="C1010" s="1" t="n">
        <v>46093</v>
      </c>
      <c r="D1010" t="inlineStr">
        <is>
          <t>SKÅNE LÄN</t>
        </is>
      </c>
      <c r="E1010" t="inlineStr">
        <is>
          <t>HÄSSLEHOLM</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6612-2024</t>
        </is>
      </c>
      <c r="B1011" s="1" t="n">
        <v>45341.58859953703</v>
      </c>
      <c r="C1011" s="1" t="n">
        <v>46093</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5887-2025</t>
        </is>
      </c>
      <c r="B1012" s="1" t="n">
        <v>45695.37925925926</v>
      </c>
      <c r="C1012" s="1" t="n">
        <v>46093</v>
      </c>
      <c r="D1012" t="inlineStr">
        <is>
          <t>SKÅNE LÄN</t>
        </is>
      </c>
      <c r="E1012" t="inlineStr">
        <is>
          <t>HÄSSLEHOLM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8760-2024</t>
        </is>
      </c>
      <c r="B1013" s="1" t="n">
        <v>45356.53420138889</v>
      </c>
      <c r="C1013" s="1" t="n">
        <v>46093</v>
      </c>
      <c r="D1013" t="inlineStr">
        <is>
          <t>SKÅNE LÄN</t>
        </is>
      </c>
      <c r="E1013" t="inlineStr">
        <is>
          <t>HÄSSLEHOLM</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48889-2024</t>
        </is>
      </c>
      <c r="B1014" s="1" t="n">
        <v>45594.33754629629</v>
      </c>
      <c r="C1014" s="1" t="n">
        <v>46093</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2567-2024</t>
        </is>
      </c>
      <c r="B1015" s="1" t="n">
        <v>45313.62460648148</v>
      </c>
      <c r="C1015" s="1" t="n">
        <v>46093</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706-2026</t>
        </is>
      </c>
      <c r="B1016" s="1" t="n">
        <v>46029.61739583333</v>
      </c>
      <c r="C1016" s="1" t="n">
        <v>46093</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931-2026</t>
        </is>
      </c>
      <c r="B1017" s="1" t="n">
        <v>46030.51495370371</v>
      </c>
      <c r="C1017" s="1" t="n">
        <v>46093</v>
      </c>
      <c r="D1017" t="inlineStr">
        <is>
          <t>SKÅNE LÄN</t>
        </is>
      </c>
      <c r="E1017" t="inlineStr">
        <is>
          <t>HÄSSLEHOLM</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47352-2025</t>
        </is>
      </c>
      <c r="B1018" s="1" t="n">
        <v>45930</v>
      </c>
      <c r="C1018" s="1" t="n">
        <v>46093</v>
      </c>
      <c r="D1018" t="inlineStr">
        <is>
          <t>SKÅNE LÄN</t>
        </is>
      </c>
      <c r="E1018" t="inlineStr">
        <is>
          <t>HÄSSLEHOLM</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29994-2023</t>
        </is>
      </c>
      <c r="B1019" s="1" t="n">
        <v>45109.60038194444</v>
      </c>
      <c r="C1019" s="1" t="n">
        <v>46093</v>
      </c>
      <c r="D1019" t="inlineStr">
        <is>
          <t>SKÅNE LÄN</t>
        </is>
      </c>
      <c r="E1019" t="inlineStr">
        <is>
          <t>HÄSSLEHOLM</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20872-2025</t>
        </is>
      </c>
      <c r="B1020" s="1" t="n">
        <v>45777.34688657407</v>
      </c>
      <c r="C1020" s="1" t="n">
        <v>46093</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21091-2025</t>
        </is>
      </c>
      <c r="B1021" s="1" t="n">
        <v>45777</v>
      </c>
      <c r="C1021" s="1" t="n">
        <v>46093</v>
      </c>
      <c r="D1021" t="inlineStr">
        <is>
          <t>SKÅNE LÄN</t>
        </is>
      </c>
      <c r="E1021" t="inlineStr">
        <is>
          <t>HÄSSLEHOLM</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21206-2025</t>
        </is>
      </c>
      <c r="B1022" s="1" t="n">
        <v>45779.48318287037</v>
      </c>
      <c r="C1022" s="1" t="n">
        <v>46093</v>
      </c>
      <c r="D1022" t="inlineStr">
        <is>
          <t>SKÅNE LÄN</t>
        </is>
      </c>
      <c r="E1022" t="inlineStr">
        <is>
          <t>HÄSSLEHOLM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29845-2024</t>
        </is>
      </c>
      <c r="B1023" s="1" t="n">
        <v>45485.6212037037</v>
      </c>
      <c r="C1023" s="1" t="n">
        <v>46093</v>
      </c>
      <c r="D1023" t="inlineStr">
        <is>
          <t>SKÅNE LÄN</t>
        </is>
      </c>
      <c r="E1023" t="inlineStr">
        <is>
          <t>HÄSSLEHOLM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20006-2025</t>
        </is>
      </c>
      <c r="B1024" s="1" t="n">
        <v>45772.05032407407</v>
      </c>
      <c r="C1024" s="1" t="n">
        <v>46093</v>
      </c>
      <c r="D1024" t="inlineStr">
        <is>
          <t>SKÅNE LÄN</t>
        </is>
      </c>
      <c r="E1024" t="inlineStr">
        <is>
          <t>HÄSSLEHOLM</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1640-2026</t>
        </is>
      </c>
      <c r="B1025" s="1" t="n">
        <v>46034.4961574074</v>
      </c>
      <c r="C1025" s="1" t="n">
        <v>46093</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61533-2024</t>
        </is>
      </c>
      <c r="B1026" s="1" t="n">
        <v>45646</v>
      </c>
      <c r="C1026" s="1" t="n">
        <v>46093</v>
      </c>
      <c r="D1026" t="inlineStr">
        <is>
          <t>SKÅNE LÄN</t>
        </is>
      </c>
      <c r="E1026" t="inlineStr">
        <is>
          <t>HÄSSLEHOLM</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61537-2024</t>
        </is>
      </c>
      <c r="B1027" s="1" t="n">
        <v>45646</v>
      </c>
      <c r="C1027" s="1" t="n">
        <v>46093</v>
      </c>
      <c r="D1027" t="inlineStr">
        <is>
          <t>SKÅNE LÄN</t>
        </is>
      </c>
      <c r="E1027" t="inlineStr">
        <is>
          <t>HÄSSLEHOLM</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21638-2025</t>
        </is>
      </c>
      <c r="B1028" s="1" t="n">
        <v>45783.43087962963</v>
      </c>
      <c r="C1028" s="1" t="n">
        <v>46093</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7818-2024</t>
        </is>
      </c>
      <c r="B1029" s="1" t="n">
        <v>45349.68872685185</v>
      </c>
      <c r="C1029" s="1" t="n">
        <v>46093</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39111-2023</t>
        </is>
      </c>
      <c r="B1030" s="1" t="n">
        <v>45164.87140046297</v>
      </c>
      <c r="C1030" s="1" t="n">
        <v>46093</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60851-2024</t>
        </is>
      </c>
      <c r="B1031" s="1" t="n">
        <v>45644.66182870371</v>
      </c>
      <c r="C1031" s="1" t="n">
        <v>46093</v>
      </c>
      <c r="D1031" t="inlineStr">
        <is>
          <t>SKÅNE LÄN</t>
        </is>
      </c>
      <c r="E1031" t="inlineStr">
        <is>
          <t>HÄSSLEHOLM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317-2025</t>
        </is>
      </c>
      <c r="B1032" s="1" t="n">
        <v>45660</v>
      </c>
      <c r="C1032" s="1" t="n">
        <v>46093</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21625-2025</t>
        </is>
      </c>
      <c r="B1033" s="1" t="n">
        <v>45783.41252314814</v>
      </c>
      <c r="C1033" s="1" t="n">
        <v>46093</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58632-2025</t>
        </is>
      </c>
      <c r="B1034" s="1" t="n">
        <v>45986</v>
      </c>
      <c r="C1034" s="1" t="n">
        <v>46093</v>
      </c>
      <c r="D1034" t="inlineStr">
        <is>
          <t>SKÅNE LÄN</t>
        </is>
      </c>
      <c r="E1034" t="inlineStr">
        <is>
          <t>HÄSSLEHOLM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8367-2026</t>
        </is>
      </c>
      <c r="B1035" s="1" t="n">
        <v>46064</v>
      </c>
      <c r="C1035" s="1" t="n">
        <v>46093</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60920-2024</t>
        </is>
      </c>
      <c r="B1036" s="1" t="n">
        <v>45645.34442129629</v>
      </c>
      <c r="C1036" s="1" t="n">
        <v>46093</v>
      </c>
      <c r="D1036" t="inlineStr">
        <is>
          <t>SKÅNE LÄN</t>
        </is>
      </c>
      <c r="E1036" t="inlineStr">
        <is>
          <t>HÄSSLEHOLM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1703-2025</t>
        </is>
      </c>
      <c r="B1037" s="1" t="n">
        <v>45670.80732638889</v>
      </c>
      <c r="C1037" s="1" t="n">
        <v>46093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2306-2026</t>
        </is>
      </c>
      <c r="B1038" s="1" t="n">
        <v>46034</v>
      </c>
      <c r="C1038" s="1" t="n">
        <v>46093</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22024-2025</t>
        </is>
      </c>
      <c r="B1039" s="1" t="n">
        <v>45784.85322916666</v>
      </c>
      <c r="C1039" s="1" t="n">
        <v>46093</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29274-2023</t>
        </is>
      </c>
      <c r="B1040" s="1" t="n">
        <v>45105</v>
      </c>
      <c r="C1040" s="1" t="n">
        <v>46093</v>
      </c>
      <c r="D1040" t="inlineStr">
        <is>
          <t>SKÅNE LÄN</t>
        </is>
      </c>
      <c r="E1040" t="inlineStr">
        <is>
          <t>HÄSSLEHOLM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34890-2023</t>
        </is>
      </c>
      <c r="B1041" s="1" t="n">
        <v>45142.39475694444</v>
      </c>
      <c r="C1041" s="1" t="n">
        <v>46093</v>
      </c>
      <c r="D1041" t="inlineStr">
        <is>
          <t>SKÅNE LÄN</t>
        </is>
      </c>
      <c r="E1041" t="inlineStr">
        <is>
          <t>HÄSSLEHOLM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1645-2026</t>
        </is>
      </c>
      <c r="B1042" s="1" t="n">
        <v>46034.5069212963</v>
      </c>
      <c r="C1042" s="1" t="n">
        <v>46093</v>
      </c>
      <c r="D1042" t="inlineStr">
        <is>
          <t>SKÅNE LÄN</t>
        </is>
      </c>
      <c r="E1042" t="inlineStr">
        <is>
          <t>HÄSSLEHOLM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3886-2024</t>
        </is>
      </c>
      <c r="B1043" s="1" t="n">
        <v>45322.44539351852</v>
      </c>
      <c r="C1043" s="1" t="n">
        <v>46093</v>
      </c>
      <c r="D1043" t="inlineStr">
        <is>
          <t>SKÅNE LÄN</t>
        </is>
      </c>
      <c r="E1043" t="inlineStr">
        <is>
          <t>HÄSSLEHOLM</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1656-2026</t>
        </is>
      </c>
      <c r="B1044" s="1" t="n">
        <v>46034.54035879629</v>
      </c>
      <c r="C1044" s="1" t="n">
        <v>46093</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61932-2023</t>
        </is>
      </c>
      <c r="B1045" s="1" t="n">
        <v>45266.53761574074</v>
      </c>
      <c r="C1045" s="1" t="n">
        <v>46093</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13149-2024</t>
        </is>
      </c>
      <c r="B1046" s="1" t="n">
        <v>45386</v>
      </c>
      <c r="C1046" s="1" t="n">
        <v>46093</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10051-2026</t>
        </is>
      </c>
      <c r="B1047" s="1" t="n">
        <v>46073</v>
      </c>
      <c r="C1047" s="1" t="n">
        <v>46093</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1659-2026</t>
        </is>
      </c>
      <c r="B1048" s="1" t="n">
        <v>46034.55335648148</v>
      </c>
      <c r="C1048" s="1" t="n">
        <v>46093</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53466-2024</t>
        </is>
      </c>
      <c r="B1049" s="1" t="n">
        <v>45614.55304398148</v>
      </c>
      <c r="C1049" s="1" t="n">
        <v>46093</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10230-2025</t>
        </is>
      </c>
      <c r="B1050" s="1" t="n">
        <v>45720</v>
      </c>
      <c r="C1050" s="1" t="n">
        <v>46093</v>
      </c>
      <c r="D1050" t="inlineStr">
        <is>
          <t>SKÅNE LÄN</t>
        </is>
      </c>
      <c r="E1050" t="inlineStr">
        <is>
          <t>HÄSSLEHOLM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2618-2026</t>
        </is>
      </c>
      <c r="B1051" s="1" t="n">
        <v>46035</v>
      </c>
      <c r="C1051" s="1" t="n">
        <v>46093</v>
      </c>
      <c r="D1051" t="inlineStr">
        <is>
          <t>SKÅNE LÄN</t>
        </is>
      </c>
      <c r="E1051" t="inlineStr">
        <is>
          <t>HÄSSLEHOLM</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19735-2023</t>
        </is>
      </c>
      <c r="B1052" s="1" t="n">
        <v>45051.52199074074</v>
      </c>
      <c r="C1052" s="1" t="n">
        <v>46093</v>
      </c>
      <c r="D1052" t="inlineStr">
        <is>
          <t>SKÅNE LÄN</t>
        </is>
      </c>
      <c r="E1052" t="inlineStr">
        <is>
          <t>HÄSSLEHOLM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48797-2023</t>
        </is>
      </c>
      <c r="B1053" s="1" t="n">
        <v>45209.24986111111</v>
      </c>
      <c r="C1053" s="1" t="n">
        <v>46093</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5532-2025</t>
        </is>
      </c>
      <c r="B1054" s="1" t="n">
        <v>45693</v>
      </c>
      <c r="C1054" s="1" t="n">
        <v>46093</v>
      </c>
      <c r="D1054" t="inlineStr">
        <is>
          <t>SKÅNE LÄN</t>
        </is>
      </c>
      <c r="E1054" t="inlineStr">
        <is>
          <t>HÄSSLEHOLM</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55662-2022</t>
        </is>
      </c>
      <c r="B1055" s="1" t="n">
        <v>44883</v>
      </c>
      <c r="C1055" s="1" t="n">
        <v>46093</v>
      </c>
      <c r="D1055" t="inlineStr">
        <is>
          <t>SKÅNE LÄN</t>
        </is>
      </c>
      <c r="E1055" t="inlineStr">
        <is>
          <t>HÄSSLEHOLM</t>
        </is>
      </c>
      <c r="F1055" t="inlineStr">
        <is>
          <t>Övriga Aktiebolag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29844-2024</t>
        </is>
      </c>
      <c r="B1056" s="1" t="n">
        <v>45485</v>
      </c>
      <c r="C1056" s="1" t="n">
        <v>46093</v>
      </c>
      <c r="D1056" t="inlineStr">
        <is>
          <t>SKÅNE LÄN</t>
        </is>
      </c>
      <c r="E1056" t="inlineStr">
        <is>
          <t>HÄSSLEHOLM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40536-2024</t>
        </is>
      </c>
      <c r="B1057" s="1" t="n">
        <v>45555.61314814815</v>
      </c>
      <c r="C1057" s="1" t="n">
        <v>46093</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2617-2026</t>
        </is>
      </c>
      <c r="B1058" s="1" t="n">
        <v>46035</v>
      </c>
      <c r="C1058" s="1" t="n">
        <v>46093</v>
      </c>
      <c r="D1058" t="inlineStr">
        <is>
          <t>SKÅNE LÄN</t>
        </is>
      </c>
      <c r="E1058" t="inlineStr">
        <is>
          <t>HÄSSLEHOLM</t>
        </is>
      </c>
      <c r="F1058" t="inlineStr">
        <is>
          <t>Kyrkan</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33266-2024</t>
        </is>
      </c>
      <c r="B1059" s="1" t="n">
        <v>45518</v>
      </c>
      <c r="C1059" s="1" t="n">
        <v>46093</v>
      </c>
      <c r="D1059" t="inlineStr">
        <is>
          <t>SKÅNE LÄN</t>
        </is>
      </c>
      <c r="E1059" t="inlineStr">
        <is>
          <t>HÄSSLEHOLM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56386-2023</t>
        </is>
      </c>
      <c r="B1060" s="1" t="n">
        <v>45243</v>
      </c>
      <c r="C1060" s="1" t="n">
        <v>46093</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2490-2024</t>
        </is>
      </c>
      <c r="B1061" s="1" t="n">
        <v>45313.43649305555</v>
      </c>
      <c r="C1061" s="1" t="n">
        <v>46093</v>
      </c>
      <c r="D1061" t="inlineStr">
        <is>
          <t>SKÅNE LÄN</t>
        </is>
      </c>
      <c r="E1061" t="inlineStr">
        <is>
          <t>HÄSSLEHOLM</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50244-2024</t>
        </is>
      </c>
      <c r="B1062" s="1" t="n">
        <v>45600.56502314815</v>
      </c>
      <c r="C1062" s="1" t="n">
        <v>46093</v>
      </c>
      <c r="D1062" t="inlineStr">
        <is>
          <t>SKÅNE LÄN</t>
        </is>
      </c>
      <c r="E1062" t="inlineStr">
        <is>
          <t>HÄSSLEHOLM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9924-2025</t>
        </is>
      </c>
      <c r="B1063" s="1" t="n">
        <v>45717.72505787037</v>
      </c>
      <c r="C1063" s="1" t="n">
        <v>46093</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13007-2024</t>
        </is>
      </c>
      <c r="B1064" s="1" t="n">
        <v>45385.57092592592</v>
      </c>
      <c r="C1064" s="1" t="n">
        <v>46093</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23007-2025</t>
        </is>
      </c>
      <c r="B1065" s="1" t="n">
        <v>45790</v>
      </c>
      <c r="C1065" s="1" t="n">
        <v>46093</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7221-2025</t>
        </is>
      </c>
      <c r="B1066" s="1" t="n">
        <v>45701</v>
      </c>
      <c r="C1066" s="1" t="n">
        <v>46093</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74030-2021</t>
        </is>
      </c>
      <c r="B1067" s="1" t="n">
        <v>44553</v>
      </c>
      <c r="C1067" s="1" t="n">
        <v>46093</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27606-2024</t>
        </is>
      </c>
      <c r="B1068" s="1" t="n">
        <v>45474</v>
      </c>
      <c r="C1068" s="1" t="n">
        <v>46093</v>
      </c>
      <c r="D1068" t="inlineStr">
        <is>
          <t>SKÅNE LÄN</t>
        </is>
      </c>
      <c r="E1068" t="inlineStr">
        <is>
          <t>HÄSSLEHOLM</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58689-2025</t>
        </is>
      </c>
      <c r="B1069" s="1" t="n">
        <v>45986</v>
      </c>
      <c r="C1069" s="1" t="n">
        <v>46093</v>
      </c>
      <c r="D1069" t="inlineStr">
        <is>
          <t>SKÅNE LÄN</t>
        </is>
      </c>
      <c r="E1069" t="inlineStr">
        <is>
          <t>HÄSSLEHOLM</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56735-2024</t>
        </is>
      </c>
      <c r="B1070" s="1" t="n">
        <v>45628.36234953703</v>
      </c>
      <c r="C1070" s="1" t="n">
        <v>46093</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2621-2025</t>
        </is>
      </c>
      <c r="B1071" s="1" t="n">
        <v>45675.60765046296</v>
      </c>
      <c r="C1071" s="1" t="n">
        <v>46093</v>
      </c>
      <c r="D1071" t="inlineStr">
        <is>
          <t>SKÅNE LÄN</t>
        </is>
      </c>
      <c r="E1071" t="inlineStr">
        <is>
          <t>HÄSSLEHOLM</t>
        </is>
      </c>
      <c r="F1071" t="inlineStr">
        <is>
          <t>Kommuner</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23005-2025</t>
        </is>
      </c>
      <c r="B1072" s="1" t="n">
        <v>45790</v>
      </c>
      <c r="C1072" s="1" t="n">
        <v>46093</v>
      </c>
      <c r="D1072" t="inlineStr">
        <is>
          <t>SKÅNE LÄN</t>
        </is>
      </c>
      <c r="E1072" t="inlineStr">
        <is>
          <t>HÄSSLEHOLM</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8737-2025</t>
        </is>
      </c>
      <c r="B1073" s="1" t="n">
        <v>45712.54578703704</v>
      </c>
      <c r="C1073" s="1" t="n">
        <v>46093</v>
      </c>
      <c r="D1073" t="inlineStr">
        <is>
          <t>SKÅNE LÄN</t>
        </is>
      </c>
      <c r="E1073" t="inlineStr">
        <is>
          <t>HÄSSLEHOLM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22587-2025</t>
        </is>
      </c>
      <c r="B1074" s="1" t="n">
        <v>45789.39974537037</v>
      </c>
      <c r="C1074" s="1" t="n">
        <v>46093</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22592-2025</t>
        </is>
      </c>
      <c r="B1075" s="1" t="n">
        <v>45789.40502314815</v>
      </c>
      <c r="C1075" s="1" t="n">
        <v>46093</v>
      </c>
      <c r="D1075" t="inlineStr">
        <is>
          <t>SKÅNE LÄN</t>
        </is>
      </c>
      <c r="E1075" t="inlineStr">
        <is>
          <t>HÄSSLEHOLM</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17171-2025</t>
        </is>
      </c>
      <c r="B1076" s="1" t="n">
        <v>45755</v>
      </c>
      <c r="C1076" s="1" t="n">
        <v>46093</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13954-2023</t>
        </is>
      </c>
      <c r="B1077" s="1" t="n">
        <v>45008</v>
      </c>
      <c r="C1077" s="1" t="n">
        <v>46093</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51018-2023</t>
        </is>
      </c>
      <c r="B1078" s="1" t="n">
        <v>45218</v>
      </c>
      <c r="C1078" s="1" t="n">
        <v>46093</v>
      </c>
      <c r="D1078" t="inlineStr">
        <is>
          <t>SKÅNE LÄN</t>
        </is>
      </c>
      <c r="E1078" t="inlineStr">
        <is>
          <t>HÄSSLEHOLM</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40152-2024</t>
        </is>
      </c>
      <c r="B1079" s="1" t="n">
        <v>45554</v>
      </c>
      <c r="C1079" s="1" t="n">
        <v>46093</v>
      </c>
      <c r="D1079" t="inlineStr">
        <is>
          <t>SKÅNE LÄN</t>
        </is>
      </c>
      <c r="E1079" t="inlineStr">
        <is>
          <t>HÄSSLEHOLM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31254-2024</t>
        </is>
      </c>
      <c r="B1080" s="1" t="n">
        <v>45503</v>
      </c>
      <c r="C1080" s="1" t="n">
        <v>46093</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27825-2024</t>
        </is>
      </c>
      <c r="B1081" s="1" t="n">
        <v>45475</v>
      </c>
      <c r="C1081" s="1" t="n">
        <v>46093</v>
      </c>
      <c r="D1081" t="inlineStr">
        <is>
          <t>SKÅNE LÄN</t>
        </is>
      </c>
      <c r="E1081" t="inlineStr">
        <is>
          <t>HÄSSLEHOLM</t>
        </is>
      </c>
      <c r="F1081" t="inlineStr">
        <is>
          <t>Kommuner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37764-2022</t>
        </is>
      </c>
      <c r="B1082" s="1" t="n">
        <v>44810</v>
      </c>
      <c r="C1082" s="1" t="n">
        <v>46093</v>
      </c>
      <c r="D1082" t="inlineStr">
        <is>
          <t>SKÅNE LÄN</t>
        </is>
      </c>
      <c r="E1082" t="inlineStr">
        <is>
          <t>HÄSSLEHOLM</t>
        </is>
      </c>
      <c r="F1082" t="inlineStr">
        <is>
          <t>Kyrkan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37486-2024</t>
        </is>
      </c>
      <c r="B1083" s="1" t="n">
        <v>45541</v>
      </c>
      <c r="C1083" s="1" t="n">
        <v>46093</v>
      </c>
      <c r="D1083" t="inlineStr">
        <is>
          <t>SKÅNE LÄN</t>
        </is>
      </c>
      <c r="E1083" t="inlineStr">
        <is>
          <t>HÄSSLEHOLM</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44838-2023</t>
        </is>
      </c>
      <c r="B1084" s="1" t="n">
        <v>45190</v>
      </c>
      <c r="C1084" s="1" t="n">
        <v>46093</v>
      </c>
      <c r="D1084" t="inlineStr">
        <is>
          <t>SKÅNE LÄN</t>
        </is>
      </c>
      <c r="E1084" t="inlineStr">
        <is>
          <t>HÄSSLEHOLM</t>
        </is>
      </c>
      <c r="F1084" t="inlineStr">
        <is>
          <t>Kommuner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15072-2024</t>
        </is>
      </c>
      <c r="B1085" s="1" t="n">
        <v>45399.5996875</v>
      </c>
      <c r="C1085" s="1" t="n">
        <v>46093</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16930-2024</t>
        </is>
      </c>
      <c r="B1086" s="1" t="n">
        <v>45411</v>
      </c>
      <c r="C1086" s="1" t="n">
        <v>46093</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11262-2025</t>
        </is>
      </c>
      <c r="B1087" s="1" t="n">
        <v>45726</v>
      </c>
      <c r="C1087" s="1" t="n">
        <v>46093</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5395-2024</t>
        </is>
      </c>
      <c r="B1088" s="1" t="n">
        <v>45331</v>
      </c>
      <c r="C1088" s="1" t="n">
        <v>46093</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56069-2024</t>
        </is>
      </c>
      <c r="B1089" s="1" t="n">
        <v>45624.38006944444</v>
      </c>
      <c r="C1089" s="1" t="n">
        <v>46093</v>
      </c>
      <c r="D1089" t="inlineStr">
        <is>
          <t>SKÅNE LÄN</t>
        </is>
      </c>
      <c r="E1089" t="inlineStr">
        <is>
          <t>HÄSSLEHOLM</t>
        </is>
      </c>
      <c r="F1089" t="inlineStr">
        <is>
          <t>Övriga Aktiebolag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60797-2024</t>
        </is>
      </c>
      <c r="B1090" s="1" t="n">
        <v>45644</v>
      </c>
      <c r="C1090" s="1" t="n">
        <v>46093</v>
      </c>
      <c r="D1090" t="inlineStr">
        <is>
          <t>SKÅNE LÄN</t>
        </is>
      </c>
      <c r="E1090" t="inlineStr">
        <is>
          <t>HÄSSLEHOLM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24034-2025</t>
        </is>
      </c>
      <c r="B1091" s="1" t="n">
        <v>45796.48251157408</v>
      </c>
      <c r="C1091" s="1" t="n">
        <v>46093</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24039-2025</t>
        </is>
      </c>
      <c r="B1092" s="1" t="n">
        <v>45796.48675925926</v>
      </c>
      <c r="C1092" s="1" t="n">
        <v>46093</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7681-2025</t>
        </is>
      </c>
      <c r="B1093" s="1" t="n">
        <v>45706.36758101852</v>
      </c>
      <c r="C1093" s="1" t="n">
        <v>46093</v>
      </c>
      <c r="D1093" t="inlineStr">
        <is>
          <t>SKÅNE LÄN</t>
        </is>
      </c>
      <c r="E1093" t="inlineStr">
        <is>
          <t>HÄSSLEHOLM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24032-2025</t>
        </is>
      </c>
      <c r="B1094" s="1" t="n">
        <v>45796.478125</v>
      </c>
      <c r="C1094" s="1" t="n">
        <v>46093</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5252-2025</t>
        </is>
      </c>
      <c r="B1095" s="1" t="n">
        <v>45692.3449537037</v>
      </c>
      <c r="C1095" s="1" t="n">
        <v>46093</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24047-2025</t>
        </is>
      </c>
      <c r="B1096" s="1" t="n">
        <v>45796.49528935185</v>
      </c>
      <c r="C1096" s="1" t="n">
        <v>46093</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60789-2024</t>
        </is>
      </c>
      <c r="B1097" s="1" t="n">
        <v>45644</v>
      </c>
      <c r="C1097" s="1" t="n">
        <v>46093</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24029-2025</t>
        </is>
      </c>
      <c r="B1098" s="1" t="n">
        <v>45796.47552083333</v>
      </c>
      <c r="C1098" s="1" t="n">
        <v>46093</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24675-2025</t>
        </is>
      </c>
      <c r="B1099" s="1" t="n">
        <v>45798.653125</v>
      </c>
      <c r="C1099" s="1" t="n">
        <v>46093</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3298-2026</t>
        </is>
      </c>
      <c r="B1100" s="1" t="n">
        <v>46041</v>
      </c>
      <c r="C1100" s="1" t="n">
        <v>46093</v>
      </c>
      <c r="D1100" t="inlineStr">
        <is>
          <t>SKÅNE LÄN</t>
        </is>
      </c>
      <c r="E1100" t="inlineStr">
        <is>
          <t>HÄSSLEHOLM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10562-2025</t>
        </is>
      </c>
      <c r="B1101" s="1" t="n">
        <v>45721.52913194444</v>
      </c>
      <c r="C1101" s="1" t="n">
        <v>46093</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26857-2025</t>
        </is>
      </c>
      <c r="B1102" s="1" t="n">
        <v>45810</v>
      </c>
      <c r="C1102" s="1" t="n">
        <v>46093</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56065-2025</t>
        </is>
      </c>
      <c r="B1103" s="1" t="n">
        <v>45973</v>
      </c>
      <c r="C1103" s="1" t="n">
        <v>46093</v>
      </c>
      <c r="D1103" t="inlineStr">
        <is>
          <t>SKÅNE LÄN</t>
        </is>
      </c>
      <c r="E1103" t="inlineStr">
        <is>
          <t>HÄSSLEHOLM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32512-2024</t>
        </is>
      </c>
      <c r="B1104" s="1" t="n">
        <v>45513.45613425926</v>
      </c>
      <c r="C1104" s="1" t="n">
        <v>46093</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55522-2024</t>
        </is>
      </c>
      <c r="B1105" s="1" t="n">
        <v>45622</v>
      </c>
      <c r="C1105" s="1" t="n">
        <v>46093</v>
      </c>
      <c r="D1105" t="inlineStr">
        <is>
          <t>SKÅNE LÄN</t>
        </is>
      </c>
      <c r="E1105" t="inlineStr">
        <is>
          <t>HÄSSLEHOLM</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5242-2025</t>
        </is>
      </c>
      <c r="B1106" s="1" t="n">
        <v>45692.32883101852</v>
      </c>
      <c r="C1106" s="1" t="n">
        <v>46093</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54807-2025</t>
        </is>
      </c>
      <c r="B1107" s="1" t="n">
        <v>45966</v>
      </c>
      <c r="C1107" s="1" t="n">
        <v>46093</v>
      </c>
      <c r="D1107" t="inlineStr">
        <is>
          <t>SKÅNE LÄN</t>
        </is>
      </c>
      <c r="E1107" t="inlineStr">
        <is>
          <t>HÄSSLEHOLM</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32008-2024</t>
        </is>
      </c>
      <c r="B1108" s="1" t="n">
        <v>45510</v>
      </c>
      <c r="C1108" s="1" t="n">
        <v>46093</v>
      </c>
      <c r="D1108" t="inlineStr">
        <is>
          <t>SKÅNE LÄN</t>
        </is>
      </c>
      <c r="E1108" t="inlineStr">
        <is>
          <t>HÄSSLEHOLM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3904-2026</t>
        </is>
      </c>
      <c r="B1109" s="1" t="n">
        <v>46043.69711805556</v>
      </c>
      <c r="C1109" s="1" t="n">
        <v>46093</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42735-2024</t>
        </is>
      </c>
      <c r="B1110" s="1" t="n">
        <v>45566.47274305556</v>
      </c>
      <c r="C1110" s="1" t="n">
        <v>46093</v>
      </c>
      <c r="D1110" t="inlineStr">
        <is>
          <t>SKÅNE LÄN</t>
        </is>
      </c>
      <c r="E1110" t="inlineStr">
        <is>
          <t>HÄSSLEHOLM</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24658-2025</t>
        </is>
      </c>
      <c r="B1111" s="1" t="n">
        <v>45798.64134259259</v>
      </c>
      <c r="C1111" s="1" t="n">
        <v>46093</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24250-2025</t>
        </is>
      </c>
      <c r="B1112" s="1" t="n">
        <v>45797.40260416667</v>
      </c>
      <c r="C1112" s="1" t="n">
        <v>46093</v>
      </c>
      <c r="D1112" t="inlineStr">
        <is>
          <t>SKÅNE LÄN</t>
        </is>
      </c>
      <c r="E1112" t="inlineStr">
        <is>
          <t>HÄSSLEHOLM</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11998-2026</t>
        </is>
      </c>
      <c r="B1113" s="1" t="n">
        <v>46085</v>
      </c>
      <c r="C1113" s="1" t="n">
        <v>46093</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32826-2024</t>
        </is>
      </c>
      <c r="B1114" s="1" t="n">
        <v>45516.59056712963</v>
      </c>
      <c r="C1114" s="1" t="n">
        <v>46093</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24985-2025</t>
        </is>
      </c>
      <c r="B1115" s="1" t="n">
        <v>45799.60256944445</v>
      </c>
      <c r="C1115" s="1" t="n">
        <v>46093</v>
      </c>
      <c r="D1115" t="inlineStr">
        <is>
          <t>SKÅNE LÄN</t>
        </is>
      </c>
      <c r="E1115" t="inlineStr">
        <is>
          <t>HÄSSLEHOLM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3715-2026</t>
        </is>
      </c>
      <c r="B1116" s="1" t="n">
        <v>46043.48746527778</v>
      </c>
      <c r="C1116" s="1" t="n">
        <v>46093</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27837-2024</t>
        </is>
      </c>
      <c r="B1117" s="1" t="n">
        <v>45475</v>
      </c>
      <c r="C1117" s="1" t="n">
        <v>46093</v>
      </c>
      <c r="D1117" t="inlineStr">
        <is>
          <t>SKÅNE LÄN</t>
        </is>
      </c>
      <c r="E1117" t="inlineStr">
        <is>
          <t>HÄSSLEHOLM</t>
        </is>
      </c>
      <c r="F1117" t="inlineStr">
        <is>
          <t>Kommuner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29659-2024</t>
        </is>
      </c>
      <c r="B1118" s="1" t="n">
        <v>45484.92587962963</v>
      </c>
      <c r="C1118" s="1" t="n">
        <v>46093</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1679-2022</t>
        </is>
      </c>
      <c r="B1119" s="1" t="n">
        <v>44573</v>
      </c>
      <c r="C1119" s="1" t="n">
        <v>46093</v>
      </c>
      <c r="D1119" t="inlineStr">
        <is>
          <t>SKÅNE LÄN</t>
        </is>
      </c>
      <c r="E1119" t="inlineStr">
        <is>
          <t>HÄSSLEHOLM</t>
        </is>
      </c>
      <c r="F1119" t="inlineStr">
        <is>
          <t>Kyrkan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259-2024</t>
        </is>
      </c>
      <c r="B1120" s="1" t="n">
        <v>45294</v>
      </c>
      <c r="C1120" s="1" t="n">
        <v>46093</v>
      </c>
      <c r="D1120" t="inlineStr">
        <is>
          <t>SKÅNE LÄN</t>
        </is>
      </c>
      <c r="E1120" t="inlineStr">
        <is>
          <t>HÄSSLEHOLM</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3862-2026</t>
        </is>
      </c>
      <c r="B1121" s="1" t="n">
        <v>46043.62646990741</v>
      </c>
      <c r="C1121" s="1" t="n">
        <v>46093</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25372-2025</t>
        </is>
      </c>
      <c r="B1122" s="1" t="n">
        <v>45799</v>
      </c>
      <c r="C1122" s="1" t="n">
        <v>46093</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9399-2025</t>
        </is>
      </c>
      <c r="B1123" s="1" t="n">
        <v>45715.37861111111</v>
      </c>
      <c r="C1123" s="1" t="n">
        <v>46093</v>
      </c>
      <c r="D1123" t="inlineStr">
        <is>
          <t>SKÅNE LÄN</t>
        </is>
      </c>
      <c r="E1123" t="inlineStr">
        <is>
          <t>HÄSSLEHOLM</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11999-2026</t>
        </is>
      </c>
      <c r="B1124" s="1" t="n">
        <v>46085</v>
      </c>
      <c r="C1124" s="1" t="n">
        <v>46093</v>
      </c>
      <c r="D1124" t="inlineStr">
        <is>
          <t>SKÅNE LÄN</t>
        </is>
      </c>
      <c r="E1124" t="inlineStr">
        <is>
          <t>HÄSSLEHOLM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51565-2023</t>
        </is>
      </c>
      <c r="B1125" s="1" t="n">
        <v>45222</v>
      </c>
      <c r="C1125" s="1" t="n">
        <v>46093</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25430-2025</t>
        </is>
      </c>
      <c r="B1126" s="1" t="n">
        <v>45800.78212962963</v>
      </c>
      <c r="C1126" s="1" t="n">
        <v>46093</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11470-2025</t>
        </is>
      </c>
      <c r="B1127" s="1" t="n">
        <v>45726</v>
      </c>
      <c r="C1127" s="1" t="n">
        <v>46093</v>
      </c>
      <c r="D1127" t="inlineStr">
        <is>
          <t>SKÅNE LÄN</t>
        </is>
      </c>
      <c r="E1127" t="inlineStr">
        <is>
          <t>HÄSSLEHOLM</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25615-2025</t>
        </is>
      </c>
      <c r="B1128" s="1" t="n">
        <v>45803</v>
      </c>
      <c r="C1128" s="1" t="n">
        <v>46093</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25431-2025</t>
        </is>
      </c>
      <c r="B1129" s="1" t="n">
        <v>45800.78340277778</v>
      </c>
      <c r="C1129" s="1" t="n">
        <v>46093</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25432-2025</t>
        </is>
      </c>
      <c r="B1130" s="1" t="n">
        <v>45800.7847800926</v>
      </c>
      <c r="C1130" s="1" t="n">
        <v>46093</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11412-2025</t>
        </is>
      </c>
      <c r="B1131" s="1" t="n">
        <v>45726</v>
      </c>
      <c r="C1131" s="1" t="n">
        <v>46093</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11466-2025</t>
        </is>
      </c>
      <c r="B1132" s="1" t="n">
        <v>45726</v>
      </c>
      <c r="C1132" s="1" t="n">
        <v>46093</v>
      </c>
      <c r="D1132" t="inlineStr">
        <is>
          <t>SKÅNE LÄN</t>
        </is>
      </c>
      <c r="E1132" t="inlineStr">
        <is>
          <t>HÄSSLEHOLM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26232-2025</t>
        </is>
      </c>
      <c r="B1133" s="1" t="n">
        <v>45805.56642361111</v>
      </c>
      <c r="C1133" s="1" t="n">
        <v>46093</v>
      </c>
      <c r="D1133" t="inlineStr">
        <is>
          <t>SKÅNE LÄN</t>
        </is>
      </c>
      <c r="E1133" t="inlineStr">
        <is>
          <t>HÄSSLEHOLM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12493-2026</t>
        </is>
      </c>
      <c r="B1134" s="1" t="n">
        <v>46090</v>
      </c>
      <c r="C1134" s="1" t="n">
        <v>46093</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26244-2025</t>
        </is>
      </c>
      <c r="B1135" s="1" t="n">
        <v>45805.57364583333</v>
      </c>
      <c r="C1135" s="1" t="n">
        <v>46093</v>
      </c>
      <c r="D1135" t="inlineStr">
        <is>
          <t>SKÅNE LÄN</t>
        </is>
      </c>
      <c r="E1135" t="inlineStr">
        <is>
          <t>HÄSSLEHOLM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38358-2024</t>
        </is>
      </c>
      <c r="B1136" s="1" t="n">
        <v>45545.79068287037</v>
      </c>
      <c r="C1136" s="1" t="n">
        <v>46093</v>
      </c>
      <c r="D1136" t="inlineStr">
        <is>
          <t>SKÅNE LÄN</t>
        </is>
      </c>
      <c r="E1136" t="inlineStr">
        <is>
          <t>HÄSSLEHOLM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32154-2024</t>
        </is>
      </c>
      <c r="B1137" s="1" t="n">
        <v>45511</v>
      </c>
      <c r="C1137" s="1" t="n">
        <v>46093</v>
      </c>
      <c r="D1137" t="inlineStr">
        <is>
          <t>SKÅNE LÄN</t>
        </is>
      </c>
      <c r="E1137" t="inlineStr">
        <is>
          <t>HÄSSLEHOLM</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4981-2026</t>
        </is>
      </c>
      <c r="B1138" s="1" t="n">
        <v>46049.37100694444</v>
      </c>
      <c r="C1138" s="1" t="n">
        <v>46093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16368-2025</t>
        </is>
      </c>
      <c r="B1139" s="1" t="n">
        <v>45751</v>
      </c>
      <c r="C1139" s="1" t="n">
        <v>46093</v>
      </c>
      <c r="D1139" t="inlineStr">
        <is>
          <t>SKÅNE LÄN</t>
        </is>
      </c>
      <c r="E1139" t="inlineStr">
        <is>
          <t>HÄSSLEHOLM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5516-2026</t>
        </is>
      </c>
      <c r="B1140" s="1" t="n">
        <v>46050.64197916666</v>
      </c>
      <c r="C1140" s="1" t="n">
        <v>46093</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27393-2025</t>
        </is>
      </c>
      <c r="B1141" s="1" t="n">
        <v>45812.68295138889</v>
      </c>
      <c r="C1141" s="1" t="n">
        <v>46093</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4994-2026</t>
        </is>
      </c>
      <c r="B1142" s="1" t="n">
        <v>46049</v>
      </c>
      <c r="C1142" s="1" t="n">
        <v>46093</v>
      </c>
      <c r="D1142" t="inlineStr">
        <is>
          <t>SKÅNE LÄN</t>
        </is>
      </c>
      <c r="E1142" t="inlineStr">
        <is>
          <t>HÄSSLEHOLM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5103-2026</t>
        </is>
      </c>
      <c r="B1143" s="1" t="n">
        <v>46049.56725694444</v>
      </c>
      <c r="C1143" s="1" t="n">
        <v>46093</v>
      </c>
      <c r="D1143" t="inlineStr">
        <is>
          <t>SKÅNE LÄN</t>
        </is>
      </c>
      <c r="E1143" t="inlineStr">
        <is>
          <t>HÄSSLEHOLM</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5497-2026</t>
        </is>
      </c>
      <c r="B1144" s="1" t="n">
        <v>46050.61875</v>
      </c>
      <c r="C1144" s="1" t="n">
        <v>46093</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5503-2026</t>
        </is>
      </c>
      <c r="B1145" s="1" t="n">
        <v>46050.62509259259</v>
      </c>
      <c r="C1145" s="1" t="n">
        <v>46093</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28240-2025</t>
        </is>
      </c>
      <c r="B1146" s="1" t="n">
        <v>45817</v>
      </c>
      <c r="C1146" s="1" t="n">
        <v>46093</v>
      </c>
      <c r="D1146" t="inlineStr">
        <is>
          <t>SKÅNE LÄN</t>
        </is>
      </c>
      <c r="E1146" t="inlineStr">
        <is>
          <t>HÄSSLEHOLM</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28095-2025</t>
        </is>
      </c>
      <c r="B1147" s="1" t="n">
        <v>45817</v>
      </c>
      <c r="C1147" s="1" t="n">
        <v>46093</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27940-2025</t>
        </is>
      </c>
      <c r="B1148" s="1" t="n">
        <v>45817.50439814815</v>
      </c>
      <c r="C1148" s="1" t="n">
        <v>46093</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27887-2025</t>
        </is>
      </c>
      <c r="B1149" s="1" t="n">
        <v>45817.45994212963</v>
      </c>
      <c r="C1149" s="1" t="n">
        <v>46093</v>
      </c>
      <c r="D1149" t="inlineStr">
        <is>
          <t>SKÅNE LÄN</t>
        </is>
      </c>
      <c r="E1149" t="inlineStr">
        <is>
          <t>HÄSSLEHOLM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49827-2022</t>
        </is>
      </c>
      <c r="B1150" s="1" t="n">
        <v>44859</v>
      </c>
      <c r="C1150" s="1" t="n">
        <v>46093</v>
      </c>
      <c r="D1150" t="inlineStr">
        <is>
          <t>SKÅNE LÄN</t>
        </is>
      </c>
      <c r="E1150" t="inlineStr">
        <is>
          <t>HÄSSLEHOLM</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28251-2025</t>
        </is>
      </c>
      <c r="B1151" s="1" t="n">
        <v>45817</v>
      </c>
      <c r="C1151" s="1" t="n">
        <v>46093</v>
      </c>
      <c r="D1151" t="inlineStr">
        <is>
          <t>SKÅNE LÄN</t>
        </is>
      </c>
      <c r="E1151" t="inlineStr">
        <is>
          <t>HÄSSLEHOLM</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27934-2025</t>
        </is>
      </c>
      <c r="B1152" s="1" t="n">
        <v>45817.49761574074</v>
      </c>
      <c r="C1152" s="1" t="n">
        <v>46093</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28122-2025</t>
        </is>
      </c>
      <c r="B1153" s="1" t="n">
        <v>45817</v>
      </c>
      <c r="C1153" s="1" t="n">
        <v>46093</v>
      </c>
      <c r="D1153" t="inlineStr">
        <is>
          <t>SKÅNE LÄN</t>
        </is>
      </c>
      <c r="E1153" t="inlineStr">
        <is>
          <t>HÄSSLEHOLM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29170-2025</t>
        </is>
      </c>
      <c r="B1154" s="1" t="n">
        <v>45821.69766203704</v>
      </c>
      <c r="C1154" s="1" t="n">
        <v>46093</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29168-2025</t>
        </is>
      </c>
      <c r="B1155" s="1" t="n">
        <v>45821.69547453704</v>
      </c>
      <c r="C1155" s="1" t="n">
        <v>46093</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29171-2025</t>
        </is>
      </c>
      <c r="B1156" s="1" t="n">
        <v>45821.69863425926</v>
      </c>
      <c r="C1156" s="1" t="n">
        <v>46093</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30010-2025</t>
        </is>
      </c>
      <c r="B1157" s="1" t="n">
        <v>45826</v>
      </c>
      <c r="C1157" s="1" t="n">
        <v>46093</v>
      </c>
      <c r="D1157" t="inlineStr">
        <is>
          <t>SKÅNE LÄN</t>
        </is>
      </c>
      <c r="E1157" t="inlineStr">
        <is>
          <t>HÄSSLEHOLM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31159-2025</t>
        </is>
      </c>
      <c r="B1158" s="1" t="n">
        <v>45832.65322916667</v>
      </c>
      <c r="C1158" s="1" t="n">
        <v>46093</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32585-2025</t>
        </is>
      </c>
      <c r="B1159" s="1" t="n">
        <v>45838.60021990741</v>
      </c>
      <c r="C1159" s="1" t="n">
        <v>46093</v>
      </c>
      <c r="D1159" t="inlineStr">
        <is>
          <t>SKÅNE LÄN</t>
        </is>
      </c>
      <c r="E1159" t="inlineStr">
        <is>
          <t>HÄSSLEHOLM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32592-2025</t>
        </is>
      </c>
      <c r="B1160" s="1" t="n">
        <v>45838.61020833333</v>
      </c>
      <c r="C1160" s="1" t="n">
        <v>46093</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29649-2025</t>
        </is>
      </c>
      <c r="B1161" s="1" t="n">
        <v>45825.47446759259</v>
      </c>
      <c r="C1161" s="1" t="n">
        <v>46093</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33948-2025</t>
        </is>
      </c>
      <c r="B1162" s="1" t="n">
        <v>45842.65945601852</v>
      </c>
      <c r="C1162" s="1" t="n">
        <v>46093</v>
      </c>
      <c r="D1162" t="inlineStr">
        <is>
          <t>SKÅNE LÄN</t>
        </is>
      </c>
      <c r="E1162" t="inlineStr">
        <is>
          <t>HÄSSLEHOLM</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33875-2025</t>
        </is>
      </c>
      <c r="B1163" s="1" t="n">
        <v>45842.55300925926</v>
      </c>
      <c r="C1163" s="1" t="n">
        <v>46093</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33877-2025</t>
        </is>
      </c>
      <c r="B1164" s="1" t="n">
        <v>45842.55564814815</v>
      </c>
      <c r="C1164" s="1" t="n">
        <v>46093</v>
      </c>
      <c r="D1164" t="inlineStr">
        <is>
          <t>SKÅNE LÄN</t>
        </is>
      </c>
      <c r="E1164" t="inlineStr">
        <is>
          <t>HÄSSLEHOLM</t>
        </is>
      </c>
      <c r="G1164" t="n">
        <v>3.9</v>
      </c>
      <c r="H1164" t="n">
        <v>0</v>
      </c>
      <c r="I1164" t="n">
        <v>0</v>
      </c>
      <c r="J1164" t="n">
        <v>0</v>
      </c>
      <c r="K1164" t="n">
        <v>0</v>
      </c>
      <c r="L1164" t="n">
        <v>0</v>
      </c>
      <c r="M1164" t="n">
        <v>0</v>
      </c>
      <c r="N1164" t="n">
        <v>0</v>
      </c>
      <c r="O1164" t="n">
        <v>0</v>
      </c>
      <c r="P1164" t="n">
        <v>0</v>
      </c>
      <c r="Q1164" t="n">
        <v>0</v>
      </c>
      <c r="R1164" s="2" t="inlineStr"/>
    </row>
    <row r="1165">
      <c r="A1165" t="inlineStr">
        <is>
          <t>A 33879-2025</t>
        </is>
      </c>
      <c r="B1165" s="1" t="n">
        <v>45842.55766203703</v>
      </c>
      <c r="C1165" s="1" t="n">
        <v>46093</v>
      </c>
      <c r="D1165" t="inlineStr">
        <is>
          <t>SKÅNE LÄN</t>
        </is>
      </c>
      <c r="E1165" t="inlineStr">
        <is>
          <t>HÄSSLEHOLM</t>
        </is>
      </c>
      <c r="G1165" t="n">
        <v>6.1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2026-03-12T11:17:20Z</dcterms:created>
  <dcterms:modified xmlns:dcterms="http://purl.org/dc/terms/" xmlns:xsi="http://www.w3.org/2001/XMLSchema-instance" xsi:type="dcterms:W3CDTF">2026-03-12T11:17:21Z</dcterms:modified>
</cp:coreProperties>
</file>