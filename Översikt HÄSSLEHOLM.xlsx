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46136</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46136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46136</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4615-2025</t>
        </is>
      </c>
      <c r="B7" s="1" t="n">
        <v>45687</v>
      </c>
      <c r="C7" s="1" t="n">
        <v>46136</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46136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4598-2025</t>
        </is>
      </c>
      <c r="B9" s="1" t="n">
        <v>45687</v>
      </c>
      <c r="C9" s="1" t="n">
        <v>46136</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46136</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46136</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46136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46136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46136</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46136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46136</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46136</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46136</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46136</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46136</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13894-2026</t>
        </is>
      </c>
      <c r="B24" s="1" t="n">
        <v>46098</v>
      </c>
      <c r="C24" s="1" t="n">
        <v>46136</v>
      </c>
      <c r="D24" t="inlineStr">
        <is>
          <t>SKÅNE LÄN</t>
        </is>
      </c>
      <c r="E24" t="inlineStr">
        <is>
          <t>HÄSSLEHOLM</t>
        </is>
      </c>
      <c r="G24" t="n">
        <v>2.6</v>
      </c>
      <c r="H24" t="n">
        <v>1</v>
      </c>
      <c r="I24" t="n">
        <v>0</v>
      </c>
      <c r="J24" t="n">
        <v>1</v>
      </c>
      <c r="K24" t="n">
        <v>0</v>
      </c>
      <c r="L24" t="n">
        <v>0</v>
      </c>
      <c r="M24" t="n">
        <v>0</v>
      </c>
      <c r="N24" t="n">
        <v>0</v>
      </c>
      <c r="O24" t="n">
        <v>1</v>
      </c>
      <c r="P24" t="n">
        <v>0</v>
      </c>
      <c r="Q24" t="n">
        <v>1</v>
      </c>
      <c r="R24" s="2" t="inlineStr">
        <is>
          <t>Entita</t>
        </is>
      </c>
      <c r="S24">
        <f>HYPERLINK("https://klasma.github.io/Logging_1293/artfynd/A 13894-2026 artfynd.xlsx", "A 13894-2026")</f>
        <v/>
      </c>
      <c r="T24">
        <f>HYPERLINK("https://klasma.github.io/Logging_1293/kartor/A 13894-2026 karta.png", "A 13894-2026")</f>
        <v/>
      </c>
      <c r="V24">
        <f>HYPERLINK("https://klasma.github.io/Logging_1293/klagomål/A 13894-2026 FSC-klagomål.docx", "A 13894-2026")</f>
        <v/>
      </c>
      <c r="W24">
        <f>HYPERLINK("https://klasma.github.io/Logging_1293/klagomålsmail/A 13894-2026 FSC-klagomål mail.docx", "A 13894-2026")</f>
        <v/>
      </c>
      <c r="X24">
        <f>HYPERLINK("https://klasma.github.io/Logging_1293/tillsyn/A 13894-2026 tillsynsbegäran.docx", "A 13894-2026")</f>
        <v/>
      </c>
      <c r="Y24">
        <f>HYPERLINK("https://klasma.github.io/Logging_1293/tillsynsmail/A 13894-2026 tillsynsbegäran mail.docx", "A 13894-2026")</f>
        <v/>
      </c>
      <c r="Z24">
        <f>HYPERLINK("https://klasma.github.io/Logging_1293/fåglar/A 13894-2026 prioriterade fågelarter.docx", "A 13894-2026")</f>
        <v/>
      </c>
    </row>
    <row r="25" ht="15" customHeight="1">
      <c r="A25" t="inlineStr">
        <is>
          <t>A 9289-2025</t>
        </is>
      </c>
      <c r="B25" s="1" t="n">
        <v>45714</v>
      </c>
      <c r="C25" s="1" t="n">
        <v>46136</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40613-2025</t>
        </is>
      </c>
      <c r="B26" s="1" t="n">
        <v>45896</v>
      </c>
      <c r="C26" s="1" t="n">
        <v>46136</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14933-2023</t>
        </is>
      </c>
      <c r="B27" s="1" t="n">
        <v>45014</v>
      </c>
      <c r="C27" s="1" t="n">
        <v>46136</v>
      </c>
      <c r="D27" t="inlineStr">
        <is>
          <t>SKÅNE LÄN</t>
        </is>
      </c>
      <c r="E27" t="inlineStr">
        <is>
          <t>HÄSSLEHOLM</t>
        </is>
      </c>
      <c r="G27" t="n">
        <v>1.2</v>
      </c>
      <c r="H27" t="n">
        <v>0</v>
      </c>
      <c r="I27" t="n">
        <v>0</v>
      </c>
      <c r="J27" t="n">
        <v>0</v>
      </c>
      <c r="K27" t="n">
        <v>1</v>
      </c>
      <c r="L27" t="n">
        <v>0</v>
      </c>
      <c r="M27" t="n">
        <v>0</v>
      </c>
      <c r="N27" t="n">
        <v>0</v>
      </c>
      <c r="O27" t="n">
        <v>1</v>
      </c>
      <c r="P27" t="n">
        <v>1</v>
      </c>
      <c r="Q27" t="n">
        <v>1</v>
      </c>
      <c r="R27" s="2" t="inlineStr">
        <is>
          <t>Småvänderot</t>
        </is>
      </c>
      <c r="S27">
        <f>HYPERLINK("https://klasma.github.io/Logging_1293/artfynd/A 14933-2023 artfynd.xlsx", "A 14933-2023")</f>
        <v/>
      </c>
      <c r="T27">
        <f>HYPERLINK("https://klasma.github.io/Logging_1293/kartor/A 14933-2023 karta.png", "A 14933-2023")</f>
        <v/>
      </c>
      <c r="V27">
        <f>HYPERLINK("https://klasma.github.io/Logging_1293/klagomål/A 14933-2023 FSC-klagomål.docx", "A 14933-2023")</f>
        <v/>
      </c>
      <c r="W27">
        <f>HYPERLINK("https://klasma.github.io/Logging_1293/klagomålsmail/A 14933-2023 FSC-klagomål mail.docx", "A 14933-2023")</f>
        <v/>
      </c>
      <c r="X27">
        <f>HYPERLINK("https://klasma.github.io/Logging_1293/tillsyn/A 14933-2023 tillsynsbegäran.docx", "A 14933-2023")</f>
        <v/>
      </c>
      <c r="Y27">
        <f>HYPERLINK("https://klasma.github.io/Logging_1293/tillsynsmail/A 14933-2023 tillsynsbegäran mail.docx", "A 14933-2023")</f>
        <v/>
      </c>
    </row>
    <row r="28" ht="15" customHeight="1">
      <c r="A28" t="inlineStr">
        <is>
          <t>A 8223-2025</t>
        </is>
      </c>
      <c r="B28" s="1" t="n">
        <v>45708.46127314815</v>
      </c>
      <c r="C28" s="1" t="n">
        <v>46136</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36690-2025</t>
        </is>
      </c>
      <c r="B29" s="1" t="n">
        <v>45873.42915509259</v>
      </c>
      <c r="C29" s="1" t="n">
        <v>46136</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57533-2025</t>
        </is>
      </c>
      <c r="B30" s="1" t="n">
        <v>45980.63923611111</v>
      </c>
      <c r="C30" s="1" t="n">
        <v>46136</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16107-2025</t>
        </is>
      </c>
      <c r="B31" s="1" t="n">
        <v>45750.34537037037</v>
      </c>
      <c r="C31" s="1" t="n">
        <v>46136</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49572-2022</t>
        </is>
      </c>
      <c r="B32" s="1" t="n">
        <v>44862.335</v>
      </c>
      <c r="C32" s="1" t="n">
        <v>46136</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46136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46136</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46136</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46136</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46136</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46136</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46136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46136</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46136</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46136</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46136</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46136</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46136</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46136</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46136</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46136</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46136</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46136</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46136</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46136</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46136</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46136</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46136</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46136</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46136</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46136</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46136</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46136</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46136</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46136</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46136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46136</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46136</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46136</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46136</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46136</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46136</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46136</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46136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46136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46136</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46136</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46136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46136</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46136</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46136</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46136</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46136</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46136</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46136</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46136</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46136</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63972-2021</t>
        </is>
      </c>
      <c r="B111" s="1" t="n">
        <v>44509.89649305555</v>
      </c>
      <c r="C111" s="1" t="n">
        <v>46136</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46136</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46136</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46136</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46136</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46136</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46136</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46136</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46136</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46136</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46136</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46136</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46136</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46136</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46136</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46136</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15423-2022</t>
        </is>
      </c>
      <c r="B127" s="1" t="n">
        <v>44659</v>
      </c>
      <c r="C127" s="1" t="n">
        <v>46136</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46136</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25383-2021</t>
        </is>
      </c>
      <c r="B129" s="1" t="n">
        <v>44342</v>
      </c>
      <c r="C129" s="1" t="n">
        <v>46136</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51159-2021</t>
        </is>
      </c>
      <c r="B130" s="1" t="n">
        <v>44461</v>
      </c>
      <c r="C130" s="1" t="n">
        <v>46136</v>
      </c>
      <c r="D130" t="inlineStr">
        <is>
          <t>SKÅNE LÄN</t>
        </is>
      </c>
      <c r="E130" t="inlineStr">
        <is>
          <t>HÄSSLEHOLM</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27330-2021</t>
        </is>
      </c>
      <c r="B131" s="1" t="n">
        <v>44351</v>
      </c>
      <c r="C131" s="1" t="n">
        <v>46136</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354-2022</t>
        </is>
      </c>
      <c r="B132" s="1" t="n">
        <v>44565.62510416667</v>
      </c>
      <c r="C132" s="1" t="n">
        <v>46136</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32892-2021</t>
        </is>
      </c>
      <c r="B133" s="1" t="n">
        <v>44375</v>
      </c>
      <c r="C133" s="1" t="n">
        <v>46136</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39102-2022</t>
        </is>
      </c>
      <c r="B134" s="1" t="n">
        <v>44817.43260416666</v>
      </c>
      <c r="C134" s="1" t="n">
        <v>46136</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47112-2021</t>
        </is>
      </c>
      <c r="B135" s="1" t="n">
        <v>44446</v>
      </c>
      <c r="C135" s="1" t="n">
        <v>46136</v>
      </c>
      <c r="D135" t="inlineStr">
        <is>
          <t>SKÅNE LÄN</t>
        </is>
      </c>
      <c r="E135" t="inlineStr">
        <is>
          <t>HÄSSLEHOLM</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6414-2022</t>
        </is>
      </c>
      <c r="B136" s="1" t="n">
        <v>44600</v>
      </c>
      <c r="C136" s="1" t="n">
        <v>46136</v>
      </c>
      <c r="D136" t="inlineStr">
        <is>
          <t>SKÅNE LÄN</t>
        </is>
      </c>
      <c r="E136" t="inlineStr">
        <is>
          <t>HÄSSLEHOLM</t>
        </is>
      </c>
      <c r="G136" t="n">
        <v>2.9</v>
      </c>
      <c r="H136" t="n">
        <v>0</v>
      </c>
      <c r="I136" t="n">
        <v>0</v>
      </c>
      <c r="J136" t="n">
        <v>0</v>
      </c>
      <c r="K136" t="n">
        <v>0</v>
      </c>
      <c r="L136" t="n">
        <v>0</v>
      </c>
      <c r="M136" t="n">
        <v>0</v>
      </c>
      <c r="N136" t="n">
        <v>0</v>
      </c>
      <c r="O136" t="n">
        <v>0</v>
      </c>
      <c r="P136" t="n">
        <v>0</v>
      </c>
      <c r="Q136" t="n">
        <v>0</v>
      </c>
      <c r="R136" s="2" t="inlineStr"/>
    </row>
    <row r="137" ht="15" customHeight="1">
      <c r="A137" t="inlineStr">
        <is>
          <t>A 56431-2021</t>
        </is>
      </c>
      <c r="B137" s="1" t="n">
        <v>44480</v>
      </c>
      <c r="C137" s="1" t="n">
        <v>46136</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52567-2021</t>
        </is>
      </c>
      <c r="B138" s="1" t="n">
        <v>44466</v>
      </c>
      <c r="C138" s="1" t="n">
        <v>46136</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74297-2021</t>
        </is>
      </c>
      <c r="B139" s="1" t="n">
        <v>44558</v>
      </c>
      <c r="C139" s="1" t="n">
        <v>46136</v>
      </c>
      <c r="D139" t="inlineStr">
        <is>
          <t>SKÅNE LÄN</t>
        </is>
      </c>
      <c r="E139" t="inlineStr">
        <is>
          <t>HÄSSLEHOLM</t>
        </is>
      </c>
      <c r="F139" t="inlineStr">
        <is>
          <t>Kyrkan</t>
        </is>
      </c>
      <c r="G139" t="n">
        <v>3.8</v>
      </c>
      <c r="H139" t="n">
        <v>0</v>
      </c>
      <c r="I139" t="n">
        <v>0</v>
      </c>
      <c r="J139" t="n">
        <v>0</v>
      </c>
      <c r="K139" t="n">
        <v>0</v>
      </c>
      <c r="L139" t="n">
        <v>0</v>
      </c>
      <c r="M139" t="n">
        <v>0</v>
      </c>
      <c r="N139" t="n">
        <v>0</v>
      </c>
      <c r="O139" t="n">
        <v>0</v>
      </c>
      <c r="P139" t="n">
        <v>0</v>
      </c>
      <c r="Q139" t="n">
        <v>0</v>
      </c>
      <c r="R139" s="2" t="inlineStr"/>
    </row>
    <row r="140" ht="15" customHeight="1">
      <c r="A140" t="inlineStr">
        <is>
          <t>A 52295-2021</t>
        </is>
      </c>
      <c r="B140" s="1" t="n">
        <v>44463</v>
      </c>
      <c r="C140" s="1" t="n">
        <v>46136</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68909-2021</t>
        </is>
      </c>
      <c r="B141" s="1" t="n">
        <v>44530.46730324074</v>
      </c>
      <c r="C141" s="1" t="n">
        <v>46136</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23003-2021</t>
        </is>
      </c>
      <c r="B142" s="1" t="n">
        <v>44328</v>
      </c>
      <c r="C142" s="1" t="n">
        <v>46136</v>
      </c>
      <c r="D142" t="inlineStr">
        <is>
          <t>SKÅNE LÄN</t>
        </is>
      </c>
      <c r="E142" t="inlineStr">
        <is>
          <t>HÄSSLEHOLM</t>
        </is>
      </c>
      <c r="G142" t="n">
        <v>4.4</v>
      </c>
      <c r="H142" t="n">
        <v>0</v>
      </c>
      <c r="I142" t="n">
        <v>0</v>
      </c>
      <c r="J142" t="n">
        <v>0</v>
      </c>
      <c r="K142" t="n">
        <v>0</v>
      </c>
      <c r="L142" t="n">
        <v>0</v>
      </c>
      <c r="M142" t="n">
        <v>0</v>
      </c>
      <c r="N142" t="n">
        <v>0</v>
      </c>
      <c r="O142" t="n">
        <v>0</v>
      </c>
      <c r="P142" t="n">
        <v>0</v>
      </c>
      <c r="Q142" t="n">
        <v>0</v>
      </c>
      <c r="R142" s="2" t="inlineStr"/>
    </row>
    <row r="143" ht="15" customHeight="1">
      <c r="A143" t="inlineStr">
        <is>
          <t>A 5091-2022</t>
        </is>
      </c>
      <c r="B143" s="1" t="n">
        <v>44593.85114583333</v>
      </c>
      <c r="C143" s="1" t="n">
        <v>46136</v>
      </c>
      <c r="D143" t="inlineStr">
        <is>
          <t>SKÅNE LÄN</t>
        </is>
      </c>
      <c r="E143" t="inlineStr">
        <is>
          <t>HÄSSLEHOLM</t>
        </is>
      </c>
      <c r="G143" t="n">
        <v>2.5</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46136</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15986-2022</t>
        </is>
      </c>
      <c r="B145" s="1" t="n">
        <v>44664</v>
      </c>
      <c r="C145" s="1" t="n">
        <v>46136</v>
      </c>
      <c r="D145" t="inlineStr">
        <is>
          <t>SKÅNE LÄN</t>
        </is>
      </c>
      <c r="E145" t="inlineStr">
        <is>
          <t>HÄSSLEHOLM</t>
        </is>
      </c>
      <c r="F145" t="inlineStr">
        <is>
          <t>Kyrkan</t>
        </is>
      </c>
      <c r="G145" t="n">
        <v>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46136</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51888-2021</t>
        </is>
      </c>
      <c r="B147" s="1" t="n">
        <v>44462</v>
      </c>
      <c r="C147" s="1" t="n">
        <v>46136</v>
      </c>
      <c r="D147" t="inlineStr">
        <is>
          <t>SKÅNE LÄN</t>
        </is>
      </c>
      <c r="E147" t="inlineStr">
        <is>
          <t>HÄSSLEHOLM</t>
        </is>
      </c>
      <c r="G147" t="n">
        <v>5.6</v>
      </c>
      <c r="H147" t="n">
        <v>0</v>
      </c>
      <c r="I147" t="n">
        <v>0</v>
      </c>
      <c r="J147" t="n">
        <v>0</v>
      </c>
      <c r="K147" t="n">
        <v>0</v>
      </c>
      <c r="L147" t="n">
        <v>0</v>
      </c>
      <c r="M147" t="n">
        <v>0</v>
      </c>
      <c r="N147" t="n">
        <v>0</v>
      </c>
      <c r="O147" t="n">
        <v>0</v>
      </c>
      <c r="P147" t="n">
        <v>0</v>
      </c>
      <c r="Q147" t="n">
        <v>0</v>
      </c>
      <c r="R147" s="2" t="inlineStr"/>
    </row>
    <row r="148" ht="15" customHeight="1">
      <c r="A148" t="inlineStr">
        <is>
          <t>A 29143-2021</t>
        </is>
      </c>
      <c r="B148" s="1" t="n">
        <v>44358.6319212963</v>
      </c>
      <c r="C148" s="1" t="n">
        <v>46136</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44669-2022</t>
        </is>
      </c>
      <c r="B149" s="1" t="n">
        <v>44840</v>
      </c>
      <c r="C149" s="1" t="n">
        <v>46136</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26386-2022</t>
        </is>
      </c>
      <c r="B150" s="1" t="n">
        <v>44735.6803125</v>
      </c>
      <c r="C150" s="1" t="n">
        <v>46136</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46136</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46136</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2858-2022</t>
        </is>
      </c>
      <c r="B153" s="1" t="n">
        <v>44581</v>
      </c>
      <c r="C153" s="1" t="n">
        <v>46136</v>
      </c>
      <c r="D153" t="inlineStr">
        <is>
          <t>SKÅNE LÄN</t>
        </is>
      </c>
      <c r="E153" t="inlineStr">
        <is>
          <t>HÄSSLEHOLM</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27959-2022</t>
        </is>
      </c>
      <c r="B154" s="1" t="n">
        <v>44744</v>
      </c>
      <c r="C154" s="1" t="n">
        <v>46136</v>
      </c>
      <c r="D154" t="inlineStr">
        <is>
          <t>SKÅNE LÄN</t>
        </is>
      </c>
      <c r="E154" t="inlineStr">
        <is>
          <t>HÄSSLEHOLM</t>
        </is>
      </c>
      <c r="G154" t="n">
        <v>3</v>
      </c>
      <c r="H154" t="n">
        <v>0</v>
      </c>
      <c r="I154" t="n">
        <v>0</v>
      </c>
      <c r="J154" t="n">
        <v>0</v>
      </c>
      <c r="K154" t="n">
        <v>0</v>
      </c>
      <c r="L154" t="n">
        <v>0</v>
      </c>
      <c r="M154" t="n">
        <v>0</v>
      </c>
      <c r="N154" t="n">
        <v>0</v>
      </c>
      <c r="O154" t="n">
        <v>0</v>
      </c>
      <c r="P154" t="n">
        <v>0</v>
      </c>
      <c r="Q154" t="n">
        <v>0</v>
      </c>
      <c r="R154" s="2" t="inlineStr"/>
    </row>
    <row r="155" ht="15" customHeight="1">
      <c r="A155" t="inlineStr">
        <is>
          <t>A 418-2022</t>
        </is>
      </c>
      <c r="B155" s="1" t="n">
        <v>44565.84958333334</v>
      </c>
      <c r="C155" s="1" t="n">
        <v>46136</v>
      </c>
      <c r="D155" t="inlineStr">
        <is>
          <t>SKÅNE LÄN</t>
        </is>
      </c>
      <c r="E155" t="inlineStr">
        <is>
          <t>HÄSSLEHOLM</t>
        </is>
      </c>
      <c r="G155" t="n">
        <v>0</v>
      </c>
      <c r="H155" t="n">
        <v>0</v>
      </c>
      <c r="I155" t="n">
        <v>0</v>
      </c>
      <c r="J155" t="n">
        <v>0</v>
      </c>
      <c r="K155" t="n">
        <v>0</v>
      </c>
      <c r="L155" t="n">
        <v>0</v>
      </c>
      <c r="M155" t="n">
        <v>0</v>
      </c>
      <c r="N155" t="n">
        <v>0</v>
      </c>
      <c r="O155" t="n">
        <v>0</v>
      </c>
      <c r="P155" t="n">
        <v>0</v>
      </c>
      <c r="Q155" t="n">
        <v>0</v>
      </c>
      <c r="R155" s="2" t="inlineStr"/>
    </row>
    <row r="156" ht="15" customHeight="1">
      <c r="A156" t="inlineStr">
        <is>
          <t>A 23830-2021</t>
        </is>
      </c>
      <c r="B156" s="1" t="n">
        <v>44335</v>
      </c>
      <c r="C156" s="1" t="n">
        <v>46136</v>
      </c>
      <c r="D156" t="inlineStr">
        <is>
          <t>SKÅNE LÄN</t>
        </is>
      </c>
      <c r="E156" t="inlineStr">
        <is>
          <t>HÄSSLEHOLM</t>
        </is>
      </c>
      <c r="G156" t="n">
        <v>18.7</v>
      </c>
      <c r="H156" t="n">
        <v>0</v>
      </c>
      <c r="I156" t="n">
        <v>0</v>
      </c>
      <c r="J156" t="n">
        <v>0</v>
      </c>
      <c r="K156" t="n">
        <v>0</v>
      </c>
      <c r="L156" t="n">
        <v>0</v>
      </c>
      <c r="M156" t="n">
        <v>0</v>
      </c>
      <c r="N156" t="n">
        <v>0</v>
      </c>
      <c r="O156" t="n">
        <v>0</v>
      </c>
      <c r="P156" t="n">
        <v>0</v>
      </c>
      <c r="Q156" t="n">
        <v>0</v>
      </c>
      <c r="R156" s="2" t="inlineStr"/>
    </row>
    <row r="157" ht="15" customHeight="1">
      <c r="A157" t="inlineStr">
        <is>
          <t>A 55394-2022</t>
        </is>
      </c>
      <c r="B157" s="1" t="n">
        <v>44887.57112268519</v>
      </c>
      <c r="C157" s="1" t="n">
        <v>46136</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51893-2021</t>
        </is>
      </c>
      <c r="B158" s="1" t="n">
        <v>44462</v>
      </c>
      <c r="C158" s="1" t="n">
        <v>46136</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45357-2022</t>
        </is>
      </c>
      <c r="B159" s="1" t="n">
        <v>44844.61952546296</v>
      </c>
      <c r="C159" s="1" t="n">
        <v>46136</v>
      </c>
      <c r="D159" t="inlineStr">
        <is>
          <t>SKÅNE LÄN</t>
        </is>
      </c>
      <c r="E159" t="inlineStr">
        <is>
          <t>HÄSSLEHOLM</t>
        </is>
      </c>
      <c r="G159" t="n">
        <v>5.8</v>
      </c>
      <c r="H159" t="n">
        <v>0</v>
      </c>
      <c r="I159" t="n">
        <v>0</v>
      </c>
      <c r="J159" t="n">
        <v>0</v>
      </c>
      <c r="K159" t="n">
        <v>0</v>
      </c>
      <c r="L159" t="n">
        <v>0</v>
      </c>
      <c r="M159" t="n">
        <v>0</v>
      </c>
      <c r="N159" t="n">
        <v>0</v>
      </c>
      <c r="O159" t="n">
        <v>0</v>
      </c>
      <c r="P159" t="n">
        <v>0</v>
      </c>
      <c r="Q159" t="n">
        <v>0</v>
      </c>
      <c r="R159" s="2" t="inlineStr"/>
    </row>
    <row r="160" ht="15" customHeight="1">
      <c r="A160" t="inlineStr">
        <is>
          <t>A 45989-2021</t>
        </is>
      </c>
      <c r="B160" s="1" t="n">
        <v>44441.74627314815</v>
      </c>
      <c r="C160" s="1" t="n">
        <v>46136</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7904-2022</t>
        </is>
      </c>
      <c r="B161" s="1" t="n">
        <v>44607</v>
      </c>
      <c r="C161" s="1" t="n">
        <v>46136</v>
      </c>
      <c r="D161" t="inlineStr">
        <is>
          <t>SKÅNE LÄN</t>
        </is>
      </c>
      <c r="E161" t="inlineStr">
        <is>
          <t>HÄSSLEHOLM</t>
        </is>
      </c>
      <c r="F161" t="inlineStr">
        <is>
          <t>Kyrkan</t>
        </is>
      </c>
      <c r="G161" t="n">
        <v>3.9</v>
      </c>
      <c r="H161" t="n">
        <v>0</v>
      </c>
      <c r="I161" t="n">
        <v>0</v>
      </c>
      <c r="J161" t="n">
        <v>0</v>
      </c>
      <c r="K161" t="n">
        <v>0</v>
      </c>
      <c r="L161" t="n">
        <v>0</v>
      </c>
      <c r="M161" t="n">
        <v>0</v>
      </c>
      <c r="N161" t="n">
        <v>0</v>
      </c>
      <c r="O161" t="n">
        <v>0</v>
      </c>
      <c r="P161" t="n">
        <v>0</v>
      </c>
      <c r="Q161" t="n">
        <v>0</v>
      </c>
      <c r="R161" s="2" t="inlineStr"/>
    </row>
    <row r="162" ht="15" customHeight="1">
      <c r="A162" t="inlineStr">
        <is>
          <t>A 51895-2021</t>
        </is>
      </c>
      <c r="B162" s="1" t="n">
        <v>44462</v>
      </c>
      <c r="C162" s="1" t="n">
        <v>46136</v>
      </c>
      <c r="D162" t="inlineStr">
        <is>
          <t>SKÅNE LÄN</t>
        </is>
      </c>
      <c r="E162" t="inlineStr">
        <is>
          <t>HÄSSLEHOLM</t>
        </is>
      </c>
      <c r="G162" t="n">
        <v>5.7</v>
      </c>
      <c r="H162" t="n">
        <v>0</v>
      </c>
      <c r="I162" t="n">
        <v>0</v>
      </c>
      <c r="J162" t="n">
        <v>0</v>
      </c>
      <c r="K162" t="n">
        <v>0</v>
      </c>
      <c r="L162" t="n">
        <v>0</v>
      </c>
      <c r="M162" t="n">
        <v>0</v>
      </c>
      <c r="N162" t="n">
        <v>0</v>
      </c>
      <c r="O162" t="n">
        <v>0</v>
      </c>
      <c r="P162" t="n">
        <v>0</v>
      </c>
      <c r="Q162" t="n">
        <v>0</v>
      </c>
      <c r="R162" s="2" t="inlineStr"/>
    </row>
    <row r="163" ht="15" customHeight="1">
      <c r="A163" t="inlineStr">
        <is>
          <t>A 7250-2022</t>
        </is>
      </c>
      <c r="B163" s="1" t="n">
        <v>44606</v>
      </c>
      <c r="C163" s="1" t="n">
        <v>46136</v>
      </c>
      <c r="D163" t="inlineStr">
        <is>
          <t>SKÅNE LÄN</t>
        </is>
      </c>
      <c r="E163" t="inlineStr">
        <is>
          <t>HÄSSLEHOLM</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219-2022</t>
        </is>
      </c>
      <c r="B164" s="1" t="n">
        <v>44564</v>
      </c>
      <c r="C164" s="1" t="n">
        <v>46136</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6048-2022</t>
        </is>
      </c>
      <c r="B165" s="1" t="n">
        <v>44599.5174537037</v>
      </c>
      <c r="C165" s="1" t="n">
        <v>46136</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55412-2022</t>
        </is>
      </c>
      <c r="B166" s="1" t="n">
        <v>44882</v>
      </c>
      <c r="C166" s="1" t="n">
        <v>46136</v>
      </c>
      <c r="D166" t="inlineStr">
        <is>
          <t>SKÅNE LÄN</t>
        </is>
      </c>
      <c r="E166" t="inlineStr">
        <is>
          <t>HÄSSLEHOLM</t>
        </is>
      </c>
      <c r="F166" t="inlineStr">
        <is>
          <t>Övriga Aktiebolag</t>
        </is>
      </c>
      <c r="G166" t="n">
        <v>4</v>
      </c>
      <c r="H166" t="n">
        <v>0</v>
      </c>
      <c r="I166" t="n">
        <v>0</v>
      </c>
      <c r="J166" t="n">
        <v>0</v>
      </c>
      <c r="K166" t="n">
        <v>0</v>
      </c>
      <c r="L166" t="n">
        <v>0</v>
      </c>
      <c r="M166" t="n">
        <v>0</v>
      </c>
      <c r="N166" t="n">
        <v>0</v>
      </c>
      <c r="O166" t="n">
        <v>0</v>
      </c>
      <c r="P166" t="n">
        <v>0</v>
      </c>
      <c r="Q166" t="n">
        <v>0</v>
      </c>
      <c r="R166" s="2" t="inlineStr"/>
    </row>
    <row r="167" ht="15" customHeight="1">
      <c r="A167" t="inlineStr">
        <is>
          <t>A 53576-2022</t>
        </is>
      </c>
      <c r="B167" s="1" t="n">
        <v>44875</v>
      </c>
      <c r="C167" s="1" t="n">
        <v>46136</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6253-2022</t>
        </is>
      </c>
      <c r="B168" s="1" t="n">
        <v>44600</v>
      </c>
      <c r="C168" s="1" t="n">
        <v>46136</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7262-2022</t>
        </is>
      </c>
      <c r="B169" s="1" t="n">
        <v>44606</v>
      </c>
      <c r="C169" s="1" t="n">
        <v>46136</v>
      </c>
      <c r="D169" t="inlineStr">
        <is>
          <t>SKÅNE LÄN</t>
        </is>
      </c>
      <c r="E169" t="inlineStr">
        <is>
          <t>HÄSSLEHOLM</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23967-2022</t>
        </is>
      </c>
      <c r="B170" s="1" t="n">
        <v>44722.74079861111</v>
      </c>
      <c r="C170" s="1" t="n">
        <v>46136</v>
      </c>
      <c r="D170" t="inlineStr">
        <is>
          <t>SKÅNE LÄN</t>
        </is>
      </c>
      <c r="E170" t="inlineStr">
        <is>
          <t>HÄSSLEHOLM</t>
        </is>
      </c>
      <c r="F170" t="inlineStr">
        <is>
          <t>Kyrkan</t>
        </is>
      </c>
      <c r="G170" t="n">
        <v>12.4</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44512.55935185185</v>
      </c>
      <c r="C171" s="1" t="n">
        <v>46136</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25464-2022</t>
        </is>
      </c>
      <c r="B172" s="1" t="n">
        <v>44729</v>
      </c>
      <c r="C172" s="1" t="n">
        <v>46136</v>
      </c>
      <c r="D172" t="inlineStr">
        <is>
          <t>SKÅNE LÄN</t>
        </is>
      </c>
      <c r="E172" t="inlineStr">
        <is>
          <t>HÄSSLEHOLM</t>
        </is>
      </c>
      <c r="G172" t="n">
        <v>21</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46136</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44760.50783564815</v>
      </c>
      <c r="C174" s="1" t="n">
        <v>46136</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46136</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25955-2022</t>
        </is>
      </c>
      <c r="B176" s="1" t="n">
        <v>44734</v>
      </c>
      <c r="C176" s="1" t="n">
        <v>46136</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46136</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20657-2022</t>
        </is>
      </c>
      <c r="B178" s="1" t="n">
        <v>44700</v>
      </c>
      <c r="C178" s="1" t="n">
        <v>46136</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7306-2025</t>
        </is>
      </c>
      <c r="B179" s="1" t="n">
        <v>45702</v>
      </c>
      <c r="C179" s="1" t="n">
        <v>46136</v>
      </c>
      <c r="D179" t="inlineStr">
        <is>
          <t>SKÅNE LÄN</t>
        </is>
      </c>
      <c r="E179" t="inlineStr">
        <is>
          <t>HÄSSLEHOLM</t>
        </is>
      </c>
      <c r="F179" t="inlineStr">
        <is>
          <t>Övriga Aktiebolag</t>
        </is>
      </c>
      <c r="G179" t="n">
        <v>3.3</v>
      </c>
      <c r="H179" t="n">
        <v>0</v>
      </c>
      <c r="I179" t="n">
        <v>0</v>
      </c>
      <c r="J179" t="n">
        <v>0</v>
      </c>
      <c r="K179" t="n">
        <v>0</v>
      </c>
      <c r="L179" t="n">
        <v>0</v>
      </c>
      <c r="M179" t="n">
        <v>0</v>
      </c>
      <c r="N179" t="n">
        <v>0</v>
      </c>
      <c r="O179" t="n">
        <v>0</v>
      </c>
      <c r="P179" t="n">
        <v>0</v>
      </c>
      <c r="Q179" t="n">
        <v>0</v>
      </c>
      <c r="R179" s="2" t="inlineStr"/>
    </row>
    <row r="180" ht="15" customHeight="1">
      <c r="A180" t="inlineStr">
        <is>
          <t>A 7308-2025</t>
        </is>
      </c>
      <c r="B180" s="1" t="n">
        <v>45702</v>
      </c>
      <c r="C180" s="1" t="n">
        <v>46136</v>
      </c>
      <c r="D180" t="inlineStr">
        <is>
          <t>SKÅNE LÄN</t>
        </is>
      </c>
      <c r="E180" t="inlineStr">
        <is>
          <t>HÄSSLEHOLM</t>
        </is>
      </c>
      <c r="F180" t="inlineStr">
        <is>
          <t>Övriga Aktiebolag</t>
        </is>
      </c>
      <c r="G180" t="n">
        <v>4.8</v>
      </c>
      <c r="H180" t="n">
        <v>0</v>
      </c>
      <c r="I180" t="n">
        <v>0</v>
      </c>
      <c r="J180" t="n">
        <v>0</v>
      </c>
      <c r="K180" t="n">
        <v>0</v>
      </c>
      <c r="L180" t="n">
        <v>0</v>
      </c>
      <c r="M180" t="n">
        <v>0</v>
      </c>
      <c r="N180" t="n">
        <v>0</v>
      </c>
      <c r="O180" t="n">
        <v>0</v>
      </c>
      <c r="P180" t="n">
        <v>0</v>
      </c>
      <c r="Q180" t="n">
        <v>0</v>
      </c>
      <c r="R180" s="2" t="inlineStr"/>
    </row>
    <row r="181" ht="15" customHeight="1">
      <c r="A181" t="inlineStr">
        <is>
          <t>A 25788-2021</t>
        </is>
      </c>
      <c r="B181" s="1" t="n">
        <v>44343</v>
      </c>
      <c r="C181" s="1" t="n">
        <v>46136</v>
      </c>
      <c r="D181" t="inlineStr">
        <is>
          <t>SKÅNE LÄN</t>
        </is>
      </c>
      <c r="E181" t="inlineStr">
        <is>
          <t>HÄSSLEHOLM</t>
        </is>
      </c>
      <c r="G181" t="n">
        <v>4.8</v>
      </c>
      <c r="H181" t="n">
        <v>0</v>
      </c>
      <c r="I181" t="n">
        <v>0</v>
      </c>
      <c r="J181" t="n">
        <v>0</v>
      </c>
      <c r="K181" t="n">
        <v>0</v>
      </c>
      <c r="L181" t="n">
        <v>0</v>
      </c>
      <c r="M181" t="n">
        <v>0</v>
      </c>
      <c r="N181" t="n">
        <v>0</v>
      </c>
      <c r="O181" t="n">
        <v>0</v>
      </c>
      <c r="P181" t="n">
        <v>0</v>
      </c>
      <c r="Q181" t="n">
        <v>0</v>
      </c>
      <c r="R181" s="2" t="inlineStr"/>
    </row>
    <row r="182" ht="15" customHeight="1">
      <c r="A182" t="inlineStr">
        <is>
          <t>A 4512-2024</t>
        </is>
      </c>
      <c r="B182" s="1" t="n">
        <v>45327.6312962963</v>
      </c>
      <c r="C182" s="1" t="n">
        <v>46136</v>
      </c>
      <c r="D182" t="inlineStr">
        <is>
          <t>SKÅNE LÄN</t>
        </is>
      </c>
      <c r="E182" t="inlineStr">
        <is>
          <t>HÄSSLEHOLM</t>
        </is>
      </c>
      <c r="G182" t="n">
        <v>2</v>
      </c>
      <c r="H182" t="n">
        <v>0</v>
      </c>
      <c r="I182" t="n">
        <v>0</v>
      </c>
      <c r="J182" t="n">
        <v>0</v>
      </c>
      <c r="K182" t="n">
        <v>0</v>
      </c>
      <c r="L182" t="n">
        <v>0</v>
      </c>
      <c r="M182" t="n">
        <v>0</v>
      </c>
      <c r="N182" t="n">
        <v>0</v>
      </c>
      <c r="O182" t="n">
        <v>0</v>
      </c>
      <c r="P182" t="n">
        <v>0</v>
      </c>
      <c r="Q182" t="n">
        <v>0</v>
      </c>
      <c r="R182" s="2" t="inlineStr"/>
    </row>
    <row r="183" ht="15" customHeight="1">
      <c r="A183" t="inlineStr">
        <is>
          <t>A 4916-2024</t>
        </is>
      </c>
      <c r="B183" s="1" t="n">
        <v>45329</v>
      </c>
      <c r="C183" s="1" t="n">
        <v>46136</v>
      </c>
      <c r="D183" t="inlineStr">
        <is>
          <t>SKÅNE LÄN</t>
        </is>
      </c>
      <c r="E183" t="inlineStr">
        <is>
          <t>HÄSSLEHOLM</t>
        </is>
      </c>
      <c r="G183" t="n">
        <v>1.3</v>
      </c>
      <c r="H183" t="n">
        <v>0</v>
      </c>
      <c r="I183" t="n">
        <v>0</v>
      </c>
      <c r="J183" t="n">
        <v>0</v>
      </c>
      <c r="K183" t="n">
        <v>0</v>
      </c>
      <c r="L183" t="n">
        <v>0</v>
      </c>
      <c r="M183" t="n">
        <v>0</v>
      </c>
      <c r="N183" t="n">
        <v>0</v>
      </c>
      <c r="O183" t="n">
        <v>0</v>
      </c>
      <c r="P183" t="n">
        <v>0</v>
      </c>
      <c r="Q183" t="n">
        <v>0</v>
      </c>
      <c r="R183" s="2" t="inlineStr"/>
    </row>
    <row r="184" ht="15" customHeight="1">
      <c r="A184" t="inlineStr">
        <is>
          <t>A 26642-2023</t>
        </is>
      </c>
      <c r="B184" s="1" t="n">
        <v>45092.8975</v>
      </c>
      <c r="C184" s="1" t="n">
        <v>46136</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5016-2024</t>
        </is>
      </c>
      <c r="B185" s="1" t="n">
        <v>45329</v>
      </c>
      <c r="C185" s="1" t="n">
        <v>46136</v>
      </c>
      <c r="D185" t="inlineStr">
        <is>
          <t>SKÅNE LÄN</t>
        </is>
      </c>
      <c r="E185" t="inlineStr">
        <is>
          <t>HÄSSLEHOLM</t>
        </is>
      </c>
      <c r="G185" t="n">
        <v>3.2</v>
      </c>
      <c r="H185" t="n">
        <v>0</v>
      </c>
      <c r="I185" t="n">
        <v>0</v>
      </c>
      <c r="J185" t="n">
        <v>0</v>
      </c>
      <c r="K185" t="n">
        <v>0</v>
      </c>
      <c r="L185" t="n">
        <v>0</v>
      </c>
      <c r="M185" t="n">
        <v>0</v>
      </c>
      <c r="N185" t="n">
        <v>0</v>
      </c>
      <c r="O185" t="n">
        <v>0</v>
      </c>
      <c r="P185" t="n">
        <v>0</v>
      </c>
      <c r="Q185" t="n">
        <v>0</v>
      </c>
      <c r="R185" s="2" t="inlineStr"/>
    </row>
    <row r="186" ht="15" customHeight="1">
      <c r="A186" t="inlineStr">
        <is>
          <t>A 20279-2025</t>
        </is>
      </c>
      <c r="B186" s="1" t="n">
        <v>45774.38643518519</v>
      </c>
      <c r="C186" s="1" t="n">
        <v>46136</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18580-2023</t>
        </is>
      </c>
      <c r="B187" s="1" t="n">
        <v>45043.37037037037</v>
      </c>
      <c r="C187" s="1" t="n">
        <v>46136</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62199-2022</t>
        </is>
      </c>
      <c r="B188" s="1" t="n">
        <v>44915</v>
      </c>
      <c r="C188" s="1" t="n">
        <v>46136</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17335-2024</t>
        </is>
      </c>
      <c r="B189" s="1" t="n">
        <v>45414.5687962963</v>
      </c>
      <c r="C189" s="1" t="n">
        <v>46136</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9323-2025</t>
        </is>
      </c>
      <c r="B190" s="1" t="n">
        <v>45714.73532407408</v>
      </c>
      <c r="C190" s="1" t="n">
        <v>46136</v>
      </c>
      <c r="D190" t="inlineStr">
        <is>
          <t>SKÅNE LÄN</t>
        </is>
      </c>
      <c r="E190" t="inlineStr">
        <is>
          <t>HÄSSLEHOLM</t>
        </is>
      </c>
      <c r="G190" t="n">
        <v>5.2</v>
      </c>
      <c r="H190" t="n">
        <v>0</v>
      </c>
      <c r="I190" t="n">
        <v>0</v>
      </c>
      <c r="J190" t="n">
        <v>0</v>
      </c>
      <c r="K190" t="n">
        <v>0</v>
      </c>
      <c r="L190" t="n">
        <v>0</v>
      </c>
      <c r="M190" t="n">
        <v>0</v>
      </c>
      <c r="N190" t="n">
        <v>0</v>
      </c>
      <c r="O190" t="n">
        <v>0</v>
      </c>
      <c r="P190" t="n">
        <v>0</v>
      </c>
      <c r="Q190" t="n">
        <v>0</v>
      </c>
      <c r="R190" s="2" t="inlineStr"/>
    </row>
    <row r="191" ht="15" customHeight="1">
      <c r="A191" t="inlineStr">
        <is>
          <t>A 50000-2023</t>
        </is>
      </c>
      <c r="B191" s="1" t="n">
        <v>45215.4434837963</v>
      </c>
      <c r="C191" s="1" t="n">
        <v>46136</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677-2024</t>
        </is>
      </c>
      <c r="B192" s="1" t="n">
        <v>45300</v>
      </c>
      <c r="C192" s="1" t="n">
        <v>46136</v>
      </c>
      <c r="D192" t="inlineStr">
        <is>
          <t>SKÅNE LÄN</t>
        </is>
      </c>
      <c r="E192" t="inlineStr">
        <is>
          <t>HÄSSLEHOLM</t>
        </is>
      </c>
      <c r="G192" t="n">
        <v>6.8</v>
      </c>
      <c r="H192" t="n">
        <v>0</v>
      </c>
      <c r="I192" t="n">
        <v>0</v>
      </c>
      <c r="J192" t="n">
        <v>0</v>
      </c>
      <c r="K192" t="n">
        <v>0</v>
      </c>
      <c r="L192" t="n">
        <v>0</v>
      </c>
      <c r="M192" t="n">
        <v>0</v>
      </c>
      <c r="N192" t="n">
        <v>0</v>
      </c>
      <c r="O192" t="n">
        <v>0</v>
      </c>
      <c r="P192" t="n">
        <v>0</v>
      </c>
      <c r="Q192" t="n">
        <v>0</v>
      </c>
      <c r="R192" s="2" t="inlineStr"/>
    </row>
    <row r="193" ht="15" customHeight="1">
      <c r="A193" t="inlineStr">
        <is>
          <t>A 50607-2023</t>
        </is>
      </c>
      <c r="B193" s="1" t="n">
        <v>45210</v>
      </c>
      <c r="C193" s="1" t="n">
        <v>46136</v>
      </c>
      <c r="D193" t="inlineStr">
        <is>
          <t>SKÅNE LÄN</t>
        </is>
      </c>
      <c r="E193" t="inlineStr">
        <is>
          <t>HÄSSLEHOLM</t>
        </is>
      </c>
      <c r="G193" t="n">
        <v>1.8</v>
      </c>
      <c r="H193" t="n">
        <v>0</v>
      </c>
      <c r="I193" t="n">
        <v>0</v>
      </c>
      <c r="J193" t="n">
        <v>0</v>
      </c>
      <c r="K193" t="n">
        <v>0</v>
      </c>
      <c r="L193" t="n">
        <v>0</v>
      </c>
      <c r="M193" t="n">
        <v>0</v>
      </c>
      <c r="N193" t="n">
        <v>0</v>
      </c>
      <c r="O193" t="n">
        <v>0</v>
      </c>
      <c r="P193" t="n">
        <v>0</v>
      </c>
      <c r="Q193" t="n">
        <v>0</v>
      </c>
      <c r="R193" s="2" t="inlineStr"/>
    </row>
    <row r="194" ht="15" customHeight="1">
      <c r="A194" t="inlineStr">
        <is>
          <t>A 50616-2023</t>
        </is>
      </c>
      <c r="B194" s="1" t="n">
        <v>45210</v>
      </c>
      <c r="C194" s="1" t="n">
        <v>46136</v>
      </c>
      <c r="D194" t="inlineStr">
        <is>
          <t>SKÅNE LÄN</t>
        </is>
      </c>
      <c r="E194" t="inlineStr">
        <is>
          <t>HÄSSLEHOLM</t>
        </is>
      </c>
      <c r="G194" t="n">
        <v>1.1</v>
      </c>
      <c r="H194" t="n">
        <v>0</v>
      </c>
      <c r="I194" t="n">
        <v>0</v>
      </c>
      <c r="J194" t="n">
        <v>0</v>
      </c>
      <c r="K194" t="n">
        <v>0</v>
      </c>
      <c r="L194" t="n">
        <v>0</v>
      </c>
      <c r="M194" t="n">
        <v>0</v>
      </c>
      <c r="N194" t="n">
        <v>0</v>
      </c>
      <c r="O194" t="n">
        <v>0</v>
      </c>
      <c r="P194" t="n">
        <v>0</v>
      </c>
      <c r="Q194" t="n">
        <v>0</v>
      </c>
      <c r="R194" s="2" t="inlineStr"/>
    </row>
    <row r="195" ht="15" customHeight="1">
      <c r="A195" t="inlineStr">
        <is>
          <t>A 49250-2022</t>
        </is>
      </c>
      <c r="B195" s="1" t="n">
        <v>44858</v>
      </c>
      <c r="C195" s="1" t="n">
        <v>46136</v>
      </c>
      <c r="D195" t="inlineStr">
        <is>
          <t>SKÅNE LÄN</t>
        </is>
      </c>
      <c r="E195" t="inlineStr">
        <is>
          <t>HÄSSLEHOLM</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23946-2023</t>
        </is>
      </c>
      <c r="B196" s="1" t="n">
        <v>45078.61601851852</v>
      </c>
      <c r="C196" s="1" t="n">
        <v>46136</v>
      </c>
      <c r="D196" t="inlineStr">
        <is>
          <t>SKÅNE LÄN</t>
        </is>
      </c>
      <c r="E196" t="inlineStr">
        <is>
          <t>HÄSSLEHOLM</t>
        </is>
      </c>
      <c r="G196" t="n">
        <v>0.2</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45356.52271990741</v>
      </c>
      <c r="C197" s="1" t="n">
        <v>46136</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10020-2024</t>
        </is>
      </c>
      <c r="B198" s="1" t="n">
        <v>45363.96944444445</v>
      </c>
      <c r="C198" s="1" t="n">
        <v>46136</v>
      </c>
      <c r="D198" t="inlineStr">
        <is>
          <t>SKÅNE LÄN</t>
        </is>
      </c>
      <c r="E198" t="inlineStr">
        <is>
          <t>HÄSSLEHOLM</t>
        </is>
      </c>
      <c r="G198" t="n">
        <v>5.3</v>
      </c>
      <c r="H198" t="n">
        <v>0</v>
      </c>
      <c r="I198" t="n">
        <v>0</v>
      </c>
      <c r="J198" t="n">
        <v>0</v>
      </c>
      <c r="K198" t="n">
        <v>0</v>
      </c>
      <c r="L198" t="n">
        <v>0</v>
      </c>
      <c r="M198" t="n">
        <v>0</v>
      </c>
      <c r="N198" t="n">
        <v>0</v>
      </c>
      <c r="O198" t="n">
        <v>0</v>
      </c>
      <c r="P198" t="n">
        <v>0</v>
      </c>
      <c r="Q198" t="n">
        <v>0</v>
      </c>
      <c r="R198" s="2" t="inlineStr"/>
    </row>
    <row r="199" ht="15" customHeight="1">
      <c r="A199" t="inlineStr">
        <is>
          <t>A 12936-2025</t>
        </is>
      </c>
      <c r="B199" s="1" t="n">
        <v>45734</v>
      </c>
      <c r="C199" s="1" t="n">
        <v>46136</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28236-2022</t>
        </is>
      </c>
      <c r="B200" s="1" t="n">
        <v>44746</v>
      </c>
      <c r="C200" s="1" t="n">
        <v>46136</v>
      </c>
      <c r="D200" t="inlineStr">
        <is>
          <t>SKÅNE LÄN</t>
        </is>
      </c>
      <c r="E200" t="inlineStr">
        <is>
          <t>HÄSSLEHOLM</t>
        </is>
      </c>
      <c r="G200" t="n">
        <v>3.5</v>
      </c>
      <c r="H200" t="n">
        <v>0</v>
      </c>
      <c r="I200" t="n">
        <v>0</v>
      </c>
      <c r="J200" t="n">
        <v>0</v>
      </c>
      <c r="K200" t="n">
        <v>0</v>
      </c>
      <c r="L200" t="n">
        <v>0</v>
      </c>
      <c r="M200" t="n">
        <v>0</v>
      </c>
      <c r="N200" t="n">
        <v>0</v>
      </c>
      <c r="O200" t="n">
        <v>0</v>
      </c>
      <c r="P200" t="n">
        <v>0</v>
      </c>
      <c r="Q200" t="n">
        <v>0</v>
      </c>
      <c r="R200" s="2" t="inlineStr"/>
    </row>
    <row r="201" ht="15" customHeight="1">
      <c r="A201" t="inlineStr">
        <is>
          <t>A 15036-2024</t>
        </is>
      </c>
      <c r="B201" s="1" t="n">
        <v>45399.48100694444</v>
      </c>
      <c r="C201" s="1" t="n">
        <v>46136</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8749-2024</t>
        </is>
      </c>
      <c r="B202" s="1" t="n">
        <v>45356.50387731481</v>
      </c>
      <c r="C202" s="1" t="n">
        <v>46136</v>
      </c>
      <c r="D202" t="inlineStr">
        <is>
          <t>SKÅNE LÄN</t>
        </is>
      </c>
      <c r="E202" t="inlineStr">
        <is>
          <t>HÄSSLEHOLM</t>
        </is>
      </c>
      <c r="G202" t="n">
        <v>2.9</v>
      </c>
      <c r="H202" t="n">
        <v>0</v>
      </c>
      <c r="I202" t="n">
        <v>0</v>
      </c>
      <c r="J202" t="n">
        <v>0</v>
      </c>
      <c r="K202" t="n">
        <v>0</v>
      </c>
      <c r="L202" t="n">
        <v>0</v>
      </c>
      <c r="M202" t="n">
        <v>0</v>
      </c>
      <c r="N202" t="n">
        <v>0</v>
      </c>
      <c r="O202" t="n">
        <v>0</v>
      </c>
      <c r="P202" t="n">
        <v>0</v>
      </c>
      <c r="Q202" t="n">
        <v>0</v>
      </c>
      <c r="R202" s="2" t="inlineStr"/>
    </row>
    <row r="203" ht="15" customHeight="1">
      <c r="A203" t="inlineStr">
        <is>
          <t>A 8752-2024</t>
        </is>
      </c>
      <c r="B203" s="1" t="n">
        <v>45356</v>
      </c>
      <c r="C203" s="1" t="n">
        <v>46136</v>
      </c>
      <c r="D203" t="inlineStr">
        <is>
          <t>SKÅNE LÄN</t>
        </is>
      </c>
      <c r="E203" t="inlineStr">
        <is>
          <t>HÄSSLEHOLM</t>
        </is>
      </c>
      <c r="G203" t="n">
        <v>3.4</v>
      </c>
      <c r="H203" t="n">
        <v>0</v>
      </c>
      <c r="I203" t="n">
        <v>0</v>
      </c>
      <c r="J203" t="n">
        <v>0</v>
      </c>
      <c r="K203" t="n">
        <v>0</v>
      </c>
      <c r="L203" t="n">
        <v>0</v>
      </c>
      <c r="M203" t="n">
        <v>0</v>
      </c>
      <c r="N203" t="n">
        <v>0</v>
      </c>
      <c r="O203" t="n">
        <v>0</v>
      </c>
      <c r="P203" t="n">
        <v>0</v>
      </c>
      <c r="Q203" t="n">
        <v>0</v>
      </c>
      <c r="R203" s="2" t="inlineStr"/>
    </row>
    <row r="204" ht="15" customHeight="1">
      <c r="A204" t="inlineStr">
        <is>
          <t>A 15562-2024</t>
        </is>
      </c>
      <c r="B204" s="1" t="n">
        <v>45401.64975694445</v>
      </c>
      <c r="C204" s="1" t="n">
        <v>46136</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42906-2022</t>
        </is>
      </c>
      <c r="B205" s="1" t="n">
        <v>44833</v>
      </c>
      <c r="C205" s="1" t="n">
        <v>46136</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44697-2021</t>
        </is>
      </c>
      <c r="B206" s="1" t="n">
        <v>44438</v>
      </c>
      <c r="C206" s="1" t="n">
        <v>46136</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53067-2022</t>
        </is>
      </c>
      <c r="B207" s="1" t="n">
        <v>44873</v>
      </c>
      <c r="C207" s="1" t="n">
        <v>46136</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58915-2023</t>
        </is>
      </c>
      <c r="B208" s="1" t="n">
        <v>45250</v>
      </c>
      <c r="C208" s="1" t="n">
        <v>46136</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61929-2023</t>
        </is>
      </c>
      <c r="B209" s="1" t="n">
        <v>45266</v>
      </c>
      <c r="C209" s="1" t="n">
        <v>46136</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20494-2024</t>
        </is>
      </c>
      <c r="B210" s="1" t="n">
        <v>45435</v>
      </c>
      <c r="C210" s="1" t="n">
        <v>46136</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27177-2024</t>
        </is>
      </c>
      <c r="B211" s="1" t="n">
        <v>45471.57201388889</v>
      </c>
      <c r="C211" s="1" t="n">
        <v>46136</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42428-2022</t>
        </is>
      </c>
      <c r="B212" s="1" t="n">
        <v>44831</v>
      </c>
      <c r="C212" s="1" t="n">
        <v>46136</v>
      </c>
      <c r="D212" t="inlineStr">
        <is>
          <t>SKÅNE LÄN</t>
        </is>
      </c>
      <c r="E212" t="inlineStr">
        <is>
          <t>HÄSSLEHOLM</t>
        </is>
      </c>
      <c r="G212" t="n">
        <v>2.8</v>
      </c>
      <c r="H212" t="n">
        <v>0</v>
      </c>
      <c r="I212" t="n">
        <v>0</v>
      </c>
      <c r="J212" t="n">
        <v>0</v>
      </c>
      <c r="K212" t="n">
        <v>0</v>
      </c>
      <c r="L212" t="n">
        <v>0</v>
      </c>
      <c r="M212" t="n">
        <v>0</v>
      </c>
      <c r="N212" t="n">
        <v>0</v>
      </c>
      <c r="O212" t="n">
        <v>0</v>
      </c>
      <c r="P212" t="n">
        <v>0</v>
      </c>
      <c r="Q212" t="n">
        <v>0</v>
      </c>
      <c r="R212" s="2" t="inlineStr"/>
    </row>
    <row r="213" ht="15" customHeight="1">
      <c r="A213" t="inlineStr">
        <is>
          <t>A 57033-2022</t>
        </is>
      </c>
      <c r="B213" s="1" t="n">
        <v>44895.31270833333</v>
      </c>
      <c r="C213" s="1" t="n">
        <v>46136</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22595-2024</t>
        </is>
      </c>
      <c r="B214" s="1" t="n">
        <v>45447.61053240741</v>
      </c>
      <c r="C214" s="1" t="n">
        <v>46136</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1120-2024</t>
        </is>
      </c>
      <c r="B215" s="1" t="n">
        <v>45302.4452662037</v>
      </c>
      <c r="C215" s="1" t="n">
        <v>46136</v>
      </c>
      <c r="D215" t="inlineStr">
        <is>
          <t>SKÅNE LÄN</t>
        </is>
      </c>
      <c r="E215" t="inlineStr">
        <is>
          <t>HÄSSLEHOLM</t>
        </is>
      </c>
      <c r="G215" t="n">
        <v>2.7</v>
      </c>
      <c r="H215" t="n">
        <v>0</v>
      </c>
      <c r="I215" t="n">
        <v>0</v>
      </c>
      <c r="J215" t="n">
        <v>0</v>
      </c>
      <c r="K215" t="n">
        <v>0</v>
      </c>
      <c r="L215" t="n">
        <v>0</v>
      </c>
      <c r="M215" t="n">
        <v>0</v>
      </c>
      <c r="N215" t="n">
        <v>0</v>
      </c>
      <c r="O215" t="n">
        <v>0</v>
      </c>
      <c r="P215" t="n">
        <v>0</v>
      </c>
      <c r="Q215" t="n">
        <v>0</v>
      </c>
      <c r="R215" s="2" t="inlineStr"/>
    </row>
    <row r="216" ht="15" customHeight="1">
      <c r="A216" t="inlineStr">
        <is>
          <t>A 61186-2022</t>
        </is>
      </c>
      <c r="B216" s="1" t="n">
        <v>44915.50745370371</v>
      </c>
      <c r="C216" s="1" t="n">
        <v>46136</v>
      </c>
      <c r="D216" t="inlineStr">
        <is>
          <t>SKÅNE LÄN</t>
        </is>
      </c>
      <c r="E216" t="inlineStr">
        <is>
          <t>HÄSSLEHOLM</t>
        </is>
      </c>
      <c r="G216" t="n">
        <v>2.9</v>
      </c>
      <c r="H216" t="n">
        <v>0</v>
      </c>
      <c r="I216" t="n">
        <v>0</v>
      </c>
      <c r="J216" t="n">
        <v>0</v>
      </c>
      <c r="K216" t="n">
        <v>0</v>
      </c>
      <c r="L216" t="n">
        <v>0</v>
      </c>
      <c r="M216" t="n">
        <v>0</v>
      </c>
      <c r="N216" t="n">
        <v>0</v>
      </c>
      <c r="O216" t="n">
        <v>0</v>
      </c>
      <c r="P216" t="n">
        <v>0</v>
      </c>
      <c r="Q216" t="n">
        <v>0</v>
      </c>
      <c r="R216" s="2" t="inlineStr"/>
    </row>
    <row r="217" ht="15" customHeight="1">
      <c r="A217" t="inlineStr">
        <is>
          <t>A 13018-2024</t>
        </is>
      </c>
      <c r="B217" s="1" t="n">
        <v>45385.58274305556</v>
      </c>
      <c r="C217" s="1" t="n">
        <v>46136</v>
      </c>
      <c r="D217" t="inlineStr">
        <is>
          <t>SKÅNE LÄN</t>
        </is>
      </c>
      <c r="E217" t="inlineStr">
        <is>
          <t>HÄSSLEHOLM</t>
        </is>
      </c>
      <c r="G217" t="n">
        <v>4.8</v>
      </c>
      <c r="H217" t="n">
        <v>0</v>
      </c>
      <c r="I217" t="n">
        <v>0</v>
      </c>
      <c r="J217" t="n">
        <v>0</v>
      </c>
      <c r="K217" t="n">
        <v>0</v>
      </c>
      <c r="L217" t="n">
        <v>0</v>
      </c>
      <c r="M217" t="n">
        <v>0</v>
      </c>
      <c r="N217" t="n">
        <v>0</v>
      </c>
      <c r="O217" t="n">
        <v>0</v>
      </c>
      <c r="P217" t="n">
        <v>0</v>
      </c>
      <c r="Q217" t="n">
        <v>0</v>
      </c>
      <c r="R217" s="2" t="inlineStr"/>
    </row>
    <row r="218" ht="15" customHeight="1">
      <c r="A218" t="inlineStr">
        <is>
          <t>A 38148-2022</t>
        </is>
      </c>
      <c r="B218" s="1" t="n">
        <v>44811</v>
      </c>
      <c r="C218" s="1" t="n">
        <v>46136</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42776-2021</t>
        </is>
      </c>
      <c r="B219" s="1" t="n">
        <v>44428</v>
      </c>
      <c r="C219" s="1" t="n">
        <v>46136</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34342-2021</t>
        </is>
      </c>
      <c r="B220" s="1" t="n">
        <v>44379</v>
      </c>
      <c r="C220" s="1" t="n">
        <v>46136</v>
      </c>
      <c r="D220" t="inlineStr">
        <is>
          <t>SKÅNE LÄN</t>
        </is>
      </c>
      <c r="E220" t="inlineStr">
        <is>
          <t>HÄSSLEHOLM</t>
        </is>
      </c>
      <c r="G220" t="n">
        <v>7</v>
      </c>
      <c r="H220" t="n">
        <v>0</v>
      </c>
      <c r="I220" t="n">
        <v>0</v>
      </c>
      <c r="J220" t="n">
        <v>0</v>
      </c>
      <c r="K220" t="n">
        <v>0</v>
      </c>
      <c r="L220" t="n">
        <v>0</v>
      </c>
      <c r="M220" t="n">
        <v>0</v>
      </c>
      <c r="N220" t="n">
        <v>0</v>
      </c>
      <c r="O220" t="n">
        <v>0</v>
      </c>
      <c r="P220" t="n">
        <v>0</v>
      </c>
      <c r="Q220" t="n">
        <v>0</v>
      </c>
      <c r="R220" s="2" t="inlineStr"/>
    </row>
    <row r="221" ht="15" customHeight="1">
      <c r="A221" t="inlineStr">
        <is>
          <t>A 22594-2024</t>
        </is>
      </c>
      <c r="B221" s="1" t="n">
        <v>45447.60892361111</v>
      </c>
      <c r="C221" s="1" t="n">
        <v>46136</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12780-2024</t>
        </is>
      </c>
      <c r="B222" s="1" t="n">
        <v>45384.59726851852</v>
      </c>
      <c r="C222" s="1" t="n">
        <v>46136</v>
      </c>
      <c r="D222" t="inlineStr">
        <is>
          <t>SKÅNE LÄN</t>
        </is>
      </c>
      <c r="E222" t="inlineStr">
        <is>
          <t>HÄSSLEHOLM</t>
        </is>
      </c>
      <c r="G222" t="n">
        <v>0.7</v>
      </c>
      <c r="H222" t="n">
        <v>0</v>
      </c>
      <c r="I222" t="n">
        <v>0</v>
      </c>
      <c r="J222" t="n">
        <v>0</v>
      </c>
      <c r="K222" t="n">
        <v>0</v>
      </c>
      <c r="L222" t="n">
        <v>0</v>
      </c>
      <c r="M222" t="n">
        <v>0</v>
      </c>
      <c r="N222" t="n">
        <v>0</v>
      </c>
      <c r="O222" t="n">
        <v>0</v>
      </c>
      <c r="P222" t="n">
        <v>0</v>
      </c>
      <c r="Q222" t="n">
        <v>0</v>
      </c>
      <c r="R222" s="2" t="inlineStr"/>
    </row>
    <row r="223" ht="15" customHeight="1">
      <c r="A223" t="inlineStr">
        <is>
          <t>A 55056-2021</t>
        </is>
      </c>
      <c r="B223" s="1" t="n">
        <v>44474.62072916667</v>
      </c>
      <c r="C223" s="1" t="n">
        <v>46136</v>
      </c>
      <c r="D223" t="inlineStr">
        <is>
          <t>SKÅNE LÄN</t>
        </is>
      </c>
      <c r="E223" t="inlineStr">
        <is>
          <t>HÄSSLEHOLM</t>
        </is>
      </c>
      <c r="G223" t="n">
        <v>2.5</v>
      </c>
      <c r="H223" t="n">
        <v>0</v>
      </c>
      <c r="I223" t="n">
        <v>0</v>
      </c>
      <c r="J223" t="n">
        <v>0</v>
      </c>
      <c r="K223" t="n">
        <v>0</v>
      </c>
      <c r="L223" t="n">
        <v>0</v>
      </c>
      <c r="M223" t="n">
        <v>0</v>
      </c>
      <c r="N223" t="n">
        <v>0</v>
      </c>
      <c r="O223" t="n">
        <v>0</v>
      </c>
      <c r="P223" t="n">
        <v>0</v>
      </c>
      <c r="Q223" t="n">
        <v>0</v>
      </c>
      <c r="R223" s="2" t="inlineStr"/>
    </row>
    <row r="224" ht="15" customHeight="1">
      <c r="A224" t="inlineStr">
        <is>
          <t>A 28457-2024</t>
        </is>
      </c>
      <c r="B224" s="1" t="n">
        <v>45477.68884259259</v>
      </c>
      <c r="C224" s="1" t="n">
        <v>46136</v>
      </c>
      <c r="D224" t="inlineStr">
        <is>
          <t>SKÅNE LÄN</t>
        </is>
      </c>
      <c r="E224" t="inlineStr">
        <is>
          <t>HÄSSLEHOLM</t>
        </is>
      </c>
      <c r="G224" t="n">
        <v>0.7</v>
      </c>
      <c r="H224" t="n">
        <v>0</v>
      </c>
      <c r="I224" t="n">
        <v>0</v>
      </c>
      <c r="J224" t="n">
        <v>0</v>
      </c>
      <c r="K224" t="n">
        <v>0</v>
      </c>
      <c r="L224" t="n">
        <v>0</v>
      </c>
      <c r="M224" t="n">
        <v>0</v>
      </c>
      <c r="N224" t="n">
        <v>0</v>
      </c>
      <c r="O224" t="n">
        <v>0</v>
      </c>
      <c r="P224" t="n">
        <v>0</v>
      </c>
      <c r="Q224" t="n">
        <v>0</v>
      </c>
      <c r="R224" s="2" t="inlineStr"/>
    </row>
    <row r="225" ht="15" customHeight="1">
      <c r="A225" t="inlineStr">
        <is>
          <t>A 4042-2023</t>
        </is>
      </c>
      <c r="B225" s="1" t="n">
        <v>44952.59950231481</v>
      </c>
      <c r="C225" s="1" t="n">
        <v>46136</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3123-2023</t>
        </is>
      </c>
      <c r="B226" s="1" t="n">
        <v>44946.4925</v>
      </c>
      <c r="C226" s="1" t="n">
        <v>46136</v>
      </c>
      <c r="D226" t="inlineStr">
        <is>
          <t>SKÅNE LÄN</t>
        </is>
      </c>
      <c r="E226" t="inlineStr">
        <is>
          <t>HÄSSLEHOLM</t>
        </is>
      </c>
      <c r="G226" t="n">
        <v>3.5</v>
      </c>
      <c r="H226" t="n">
        <v>0</v>
      </c>
      <c r="I226" t="n">
        <v>0</v>
      </c>
      <c r="J226" t="n">
        <v>0</v>
      </c>
      <c r="K226" t="n">
        <v>0</v>
      </c>
      <c r="L226" t="n">
        <v>0</v>
      </c>
      <c r="M226" t="n">
        <v>0</v>
      </c>
      <c r="N226" t="n">
        <v>0</v>
      </c>
      <c r="O226" t="n">
        <v>0</v>
      </c>
      <c r="P226" t="n">
        <v>0</v>
      </c>
      <c r="Q226" t="n">
        <v>0</v>
      </c>
      <c r="R226" s="2" t="inlineStr"/>
    </row>
    <row r="227" ht="15" customHeight="1">
      <c r="A227" t="inlineStr">
        <is>
          <t>A 3126-2023</t>
        </is>
      </c>
      <c r="B227" s="1" t="n">
        <v>44946.49570601852</v>
      </c>
      <c r="C227" s="1" t="n">
        <v>46136</v>
      </c>
      <c r="D227" t="inlineStr">
        <is>
          <t>SKÅNE LÄN</t>
        </is>
      </c>
      <c r="E227" t="inlineStr">
        <is>
          <t>HÄSSLEHOLM</t>
        </is>
      </c>
      <c r="G227" t="n">
        <v>2.2</v>
      </c>
      <c r="H227" t="n">
        <v>0</v>
      </c>
      <c r="I227" t="n">
        <v>0</v>
      </c>
      <c r="J227" t="n">
        <v>0</v>
      </c>
      <c r="K227" t="n">
        <v>0</v>
      </c>
      <c r="L227" t="n">
        <v>0</v>
      </c>
      <c r="M227" t="n">
        <v>0</v>
      </c>
      <c r="N227" t="n">
        <v>0</v>
      </c>
      <c r="O227" t="n">
        <v>0</v>
      </c>
      <c r="P227" t="n">
        <v>0</v>
      </c>
      <c r="Q227" t="n">
        <v>0</v>
      </c>
      <c r="R227" s="2" t="inlineStr"/>
    </row>
    <row r="228" ht="15" customHeight="1">
      <c r="A228" t="inlineStr">
        <is>
          <t>A 25213-2023</t>
        </is>
      </c>
      <c r="B228" s="1" t="n">
        <v>45086.60010416667</v>
      </c>
      <c r="C228" s="1" t="n">
        <v>46136</v>
      </c>
      <c r="D228" t="inlineStr">
        <is>
          <t>SKÅNE LÄN</t>
        </is>
      </c>
      <c r="E228" t="inlineStr">
        <is>
          <t>HÄSSLEHOLM</t>
        </is>
      </c>
      <c r="G228" t="n">
        <v>7.2</v>
      </c>
      <c r="H228" t="n">
        <v>0</v>
      </c>
      <c r="I228" t="n">
        <v>0</v>
      </c>
      <c r="J228" t="n">
        <v>0</v>
      </c>
      <c r="K228" t="n">
        <v>0</v>
      </c>
      <c r="L228" t="n">
        <v>0</v>
      </c>
      <c r="M228" t="n">
        <v>0</v>
      </c>
      <c r="N228" t="n">
        <v>0</v>
      </c>
      <c r="O228" t="n">
        <v>0</v>
      </c>
      <c r="P228" t="n">
        <v>0</v>
      </c>
      <c r="Q228" t="n">
        <v>0</v>
      </c>
      <c r="R228" s="2" t="inlineStr"/>
    </row>
    <row r="229" ht="15" customHeight="1">
      <c r="A229" t="inlineStr">
        <is>
          <t>A 24865-2024</t>
        </is>
      </c>
      <c r="B229" s="1" t="n">
        <v>45461.48974537037</v>
      </c>
      <c r="C229" s="1" t="n">
        <v>46136</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51287-2022</t>
        </is>
      </c>
      <c r="B230" s="1" t="n">
        <v>44868.83146990741</v>
      </c>
      <c r="C230" s="1" t="n">
        <v>46136</v>
      </c>
      <c r="D230" t="inlineStr">
        <is>
          <t>SKÅNE LÄN</t>
        </is>
      </c>
      <c r="E230" t="inlineStr">
        <is>
          <t>HÄSSLEHOLM</t>
        </is>
      </c>
      <c r="G230" t="n">
        <v>2.2</v>
      </c>
      <c r="H230" t="n">
        <v>0</v>
      </c>
      <c r="I230" t="n">
        <v>0</v>
      </c>
      <c r="J230" t="n">
        <v>0</v>
      </c>
      <c r="K230" t="n">
        <v>0</v>
      </c>
      <c r="L230" t="n">
        <v>0</v>
      </c>
      <c r="M230" t="n">
        <v>0</v>
      </c>
      <c r="N230" t="n">
        <v>0</v>
      </c>
      <c r="O230" t="n">
        <v>0</v>
      </c>
      <c r="P230" t="n">
        <v>0</v>
      </c>
      <c r="Q230" t="n">
        <v>0</v>
      </c>
      <c r="R230" s="2" t="inlineStr"/>
    </row>
    <row r="231" ht="15" customHeight="1">
      <c r="A231" t="inlineStr">
        <is>
          <t>A 33927-2021</t>
        </is>
      </c>
      <c r="B231" s="1" t="n">
        <v>44378</v>
      </c>
      <c r="C231" s="1" t="n">
        <v>46136</v>
      </c>
      <c r="D231" t="inlineStr">
        <is>
          <t>SKÅNE LÄN</t>
        </is>
      </c>
      <c r="E231" t="inlineStr">
        <is>
          <t>HÄSSLEHOLM</t>
        </is>
      </c>
      <c r="G231" t="n">
        <v>16.7</v>
      </c>
      <c r="H231" t="n">
        <v>0</v>
      </c>
      <c r="I231" t="n">
        <v>0</v>
      </c>
      <c r="J231" t="n">
        <v>0</v>
      </c>
      <c r="K231" t="n">
        <v>0</v>
      </c>
      <c r="L231" t="n">
        <v>0</v>
      </c>
      <c r="M231" t="n">
        <v>0</v>
      </c>
      <c r="N231" t="n">
        <v>0</v>
      </c>
      <c r="O231" t="n">
        <v>0</v>
      </c>
      <c r="P231" t="n">
        <v>0</v>
      </c>
      <c r="Q231" t="n">
        <v>0</v>
      </c>
      <c r="R231" s="2" t="inlineStr"/>
    </row>
    <row r="232" ht="15" customHeight="1">
      <c r="A232" t="inlineStr">
        <is>
          <t>A 25057-2024</t>
        </is>
      </c>
      <c r="B232" s="1" t="n">
        <v>45462</v>
      </c>
      <c r="C232" s="1" t="n">
        <v>46136</v>
      </c>
      <c r="D232" t="inlineStr">
        <is>
          <t>SKÅNE LÄN</t>
        </is>
      </c>
      <c r="E232" t="inlineStr">
        <is>
          <t>HÄSSLEHOLM</t>
        </is>
      </c>
      <c r="G232" t="n">
        <v>4.3</v>
      </c>
      <c r="H232" t="n">
        <v>0</v>
      </c>
      <c r="I232" t="n">
        <v>0</v>
      </c>
      <c r="J232" t="n">
        <v>0</v>
      </c>
      <c r="K232" t="n">
        <v>0</v>
      </c>
      <c r="L232" t="n">
        <v>0</v>
      </c>
      <c r="M232" t="n">
        <v>0</v>
      </c>
      <c r="N232" t="n">
        <v>0</v>
      </c>
      <c r="O232" t="n">
        <v>0</v>
      </c>
      <c r="P232" t="n">
        <v>0</v>
      </c>
      <c r="Q232" t="n">
        <v>0</v>
      </c>
      <c r="R232" s="2" t="inlineStr"/>
    </row>
    <row r="233" ht="15" customHeight="1">
      <c r="A233" t="inlineStr">
        <is>
          <t>A 12468-2024</t>
        </is>
      </c>
      <c r="B233" s="1" t="n">
        <v>45379</v>
      </c>
      <c r="C233" s="1" t="n">
        <v>46136</v>
      </c>
      <c r="D233" t="inlineStr">
        <is>
          <t>SKÅNE LÄN</t>
        </is>
      </c>
      <c r="E233" t="inlineStr">
        <is>
          <t>HÄSSLEHOLM</t>
        </is>
      </c>
      <c r="G233" t="n">
        <v>15.5</v>
      </c>
      <c r="H233" t="n">
        <v>0</v>
      </c>
      <c r="I233" t="n">
        <v>0</v>
      </c>
      <c r="J233" t="n">
        <v>0</v>
      </c>
      <c r="K233" t="n">
        <v>0</v>
      </c>
      <c r="L233" t="n">
        <v>0</v>
      </c>
      <c r="M233" t="n">
        <v>0</v>
      </c>
      <c r="N233" t="n">
        <v>0</v>
      </c>
      <c r="O233" t="n">
        <v>0</v>
      </c>
      <c r="P233" t="n">
        <v>0</v>
      </c>
      <c r="Q233" t="n">
        <v>0</v>
      </c>
      <c r="R233" s="2" t="inlineStr"/>
    </row>
    <row r="234" ht="15" customHeight="1">
      <c r="A234" t="inlineStr">
        <is>
          <t>A 10028-2024</t>
        </is>
      </c>
      <c r="B234" s="1" t="n">
        <v>45363.97292824074</v>
      </c>
      <c r="C234" s="1" t="n">
        <v>46136</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57665-2022</t>
        </is>
      </c>
      <c r="B235" s="1" t="n">
        <v>44897.4494212963</v>
      </c>
      <c r="C235" s="1" t="n">
        <v>46136</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57676-2022</t>
        </is>
      </c>
      <c r="B236" s="1" t="n">
        <v>44897</v>
      </c>
      <c r="C236" s="1" t="n">
        <v>46136</v>
      </c>
      <c r="D236" t="inlineStr">
        <is>
          <t>SKÅNE LÄN</t>
        </is>
      </c>
      <c r="E236" t="inlineStr">
        <is>
          <t>HÄSSLEHOLM</t>
        </is>
      </c>
      <c r="G236" t="n">
        <v>1</v>
      </c>
      <c r="H236" t="n">
        <v>0</v>
      </c>
      <c r="I236" t="n">
        <v>0</v>
      </c>
      <c r="J236" t="n">
        <v>0</v>
      </c>
      <c r="K236" t="n">
        <v>0</v>
      </c>
      <c r="L236" t="n">
        <v>0</v>
      </c>
      <c r="M236" t="n">
        <v>0</v>
      </c>
      <c r="N236" t="n">
        <v>0</v>
      </c>
      <c r="O236" t="n">
        <v>0</v>
      </c>
      <c r="P236" t="n">
        <v>0</v>
      </c>
      <c r="Q236" t="n">
        <v>0</v>
      </c>
      <c r="R236" s="2" t="inlineStr"/>
    </row>
    <row r="237" ht="15" customHeight="1">
      <c r="A237" t="inlineStr">
        <is>
          <t>A 4009-2024</t>
        </is>
      </c>
      <c r="B237" s="1" t="n">
        <v>45323</v>
      </c>
      <c r="C237" s="1" t="n">
        <v>46136</v>
      </c>
      <c r="D237" t="inlineStr">
        <is>
          <t>SKÅNE LÄN</t>
        </is>
      </c>
      <c r="E237" t="inlineStr">
        <is>
          <t>HÄSSLEHOLM</t>
        </is>
      </c>
      <c r="G237" t="n">
        <v>2.4</v>
      </c>
      <c r="H237" t="n">
        <v>0</v>
      </c>
      <c r="I237" t="n">
        <v>0</v>
      </c>
      <c r="J237" t="n">
        <v>0</v>
      </c>
      <c r="K237" t="n">
        <v>0</v>
      </c>
      <c r="L237" t="n">
        <v>0</v>
      </c>
      <c r="M237" t="n">
        <v>0</v>
      </c>
      <c r="N237" t="n">
        <v>0</v>
      </c>
      <c r="O237" t="n">
        <v>0</v>
      </c>
      <c r="P237" t="n">
        <v>0</v>
      </c>
      <c r="Q237" t="n">
        <v>0</v>
      </c>
      <c r="R237" s="2" t="inlineStr"/>
    </row>
    <row r="238" ht="15" customHeight="1">
      <c r="A238" t="inlineStr">
        <is>
          <t>A 60848-2022</t>
        </is>
      </c>
      <c r="B238" s="1" t="n">
        <v>44914</v>
      </c>
      <c r="C238" s="1" t="n">
        <v>46136</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61158-2022</t>
        </is>
      </c>
      <c r="B239" s="1" t="n">
        <v>44915.47112268519</v>
      </c>
      <c r="C239" s="1" t="n">
        <v>46136</v>
      </c>
      <c r="D239" t="inlineStr">
        <is>
          <t>SKÅNE LÄN</t>
        </is>
      </c>
      <c r="E239" t="inlineStr">
        <is>
          <t>HÄSSLEHOLM</t>
        </is>
      </c>
      <c r="G239" t="n">
        <v>8.4</v>
      </c>
      <c r="H239" t="n">
        <v>0</v>
      </c>
      <c r="I239" t="n">
        <v>0</v>
      </c>
      <c r="J239" t="n">
        <v>0</v>
      </c>
      <c r="K239" t="n">
        <v>0</v>
      </c>
      <c r="L239" t="n">
        <v>0</v>
      </c>
      <c r="M239" t="n">
        <v>0</v>
      </c>
      <c r="N239" t="n">
        <v>0</v>
      </c>
      <c r="O239" t="n">
        <v>0</v>
      </c>
      <c r="P239" t="n">
        <v>0</v>
      </c>
      <c r="Q239" t="n">
        <v>0</v>
      </c>
      <c r="R239" s="2" t="inlineStr"/>
    </row>
    <row r="240" ht="15" customHeight="1">
      <c r="A240" t="inlineStr">
        <is>
          <t>A 3507-2024</t>
        </is>
      </c>
      <c r="B240" s="1" t="n">
        <v>45320.4906712963</v>
      </c>
      <c r="C240" s="1" t="n">
        <v>46136</v>
      </c>
      <c r="D240" t="inlineStr">
        <is>
          <t>SKÅNE LÄN</t>
        </is>
      </c>
      <c r="E240" t="inlineStr">
        <is>
          <t>HÄSSLEHOLM</t>
        </is>
      </c>
      <c r="G240" t="n">
        <v>6.4</v>
      </c>
      <c r="H240" t="n">
        <v>0</v>
      </c>
      <c r="I240" t="n">
        <v>0</v>
      </c>
      <c r="J240" t="n">
        <v>0</v>
      </c>
      <c r="K240" t="n">
        <v>0</v>
      </c>
      <c r="L240" t="n">
        <v>0</v>
      </c>
      <c r="M240" t="n">
        <v>0</v>
      </c>
      <c r="N240" t="n">
        <v>0</v>
      </c>
      <c r="O240" t="n">
        <v>0</v>
      </c>
      <c r="P240" t="n">
        <v>0</v>
      </c>
      <c r="Q240" t="n">
        <v>0</v>
      </c>
      <c r="R240" s="2" t="inlineStr"/>
    </row>
    <row r="241" ht="15" customHeight="1">
      <c r="A241" t="inlineStr">
        <is>
          <t>A 4119-2024</t>
        </is>
      </c>
      <c r="B241" s="1" t="n">
        <v>45323.67920138889</v>
      </c>
      <c r="C241" s="1" t="n">
        <v>46136</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48877-2024</t>
        </is>
      </c>
      <c r="B242" s="1" t="n">
        <v>45594.31729166667</v>
      </c>
      <c r="C242" s="1" t="n">
        <v>46136</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47647-2024</t>
        </is>
      </c>
      <c r="B243" s="1" t="n">
        <v>45588</v>
      </c>
      <c r="C243" s="1" t="n">
        <v>46136</v>
      </c>
      <c r="D243" t="inlineStr">
        <is>
          <t>SKÅNE LÄN</t>
        </is>
      </c>
      <c r="E243" t="inlineStr">
        <is>
          <t>HÄSSLEHOLM</t>
        </is>
      </c>
      <c r="G243" t="n">
        <v>6.5</v>
      </c>
      <c r="H243" t="n">
        <v>0</v>
      </c>
      <c r="I243" t="n">
        <v>0</v>
      </c>
      <c r="J243" t="n">
        <v>0</v>
      </c>
      <c r="K243" t="n">
        <v>0</v>
      </c>
      <c r="L243" t="n">
        <v>0</v>
      </c>
      <c r="M243" t="n">
        <v>0</v>
      </c>
      <c r="N243" t="n">
        <v>0</v>
      </c>
      <c r="O243" t="n">
        <v>0</v>
      </c>
      <c r="P243" t="n">
        <v>0</v>
      </c>
      <c r="Q243" t="n">
        <v>0</v>
      </c>
      <c r="R243" s="2" t="inlineStr"/>
    </row>
    <row r="244" ht="15" customHeight="1">
      <c r="A244" t="inlineStr">
        <is>
          <t>A 1619-2022</t>
        </is>
      </c>
      <c r="B244" s="1" t="n">
        <v>44573</v>
      </c>
      <c r="C244" s="1" t="n">
        <v>46136</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57649-2022</t>
        </is>
      </c>
      <c r="B245" s="1" t="n">
        <v>44897.42755787037</v>
      </c>
      <c r="C245" s="1" t="n">
        <v>46136</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54671-2022</t>
        </is>
      </c>
      <c r="B246" s="1" t="n">
        <v>44883</v>
      </c>
      <c r="C246" s="1" t="n">
        <v>46136</v>
      </c>
      <c r="D246" t="inlineStr">
        <is>
          <t>SKÅNE LÄN</t>
        </is>
      </c>
      <c r="E246" t="inlineStr">
        <is>
          <t>HÄSSLEHOLM</t>
        </is>
      </c>
      <c r="G246" t="n">
        <v>1.4</v>
      </c>
      <c r="H246" t="n">
        <v>0</v>
      </c>
      <c r="I246" t="n">
        <v>0</v>
      </c>
      <c r="J246" t="n">
        <v>0</v>
      </c>
      <c r="K246" t="n">
        <v>0</v>
      </c>
      <c r="L246" t="n">
        <v>0</v>
      </c>
      <c r="M246" t="n">
        <v>0</v>
      </c>
      <c r="N246" t="n">
        <v>0</v>
      </c>
      <c r="O246" t="n">
        <v>0</v>
      </c>
      <c r="P246" t="n">
        <v>0</v>
      </c>
      <c r="Q246" t="n">
        <v>0</v>
      </c>
      <c r="R246" s="2" t="inlineStr"/>
    </row>
    <row r="247" ht="15" customHeight="1">
      <c r="A247" t="inlineStr">
        <is>
          <t>A 53887-2023</t>
        </is>
      </c>
      <c r="B247" s="1" t="n">
        <v>45231.52675925926</v>
      </c>
      <c r="C247" s="1" t="n">
        <v>46136</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49167-2022</t>
        </is>
      </c>
      <c r="B248" s="1" t="n">
        <v>44860</v>
      </c>
      <c r="C248" s="1" t="n">
        <v>46136</v>
      </c>
      <c r="D248" t="inlineStr">
        <is>
          <t>SKÅNE LÄN</t>
        </is>
      </c>
      <c r="E248" t="inlineStr">
        <is>
          <t>HÄSSLEHOLM</t>
        </is>
      </c>
      <c r="G248" t="n">
        <v>1.3</v>
      </c>
      <c r="H248" t="n">
        <v>0</v>
      </c>
      <c r="I248" t="n">
        <v>0</v>
      </c>
      <c r="J248" t="n">
        <v>0</v>
      </c>
      <c r="K248" t="n">
        <v>0</v>
      </c>
      <c r="L248" t="n">
        <v>0</v>
      </c>
      <c r="M248" t="n">
        <v>0</v>
      </c>
      <c r="N248" t="n">
        <v>0</v>
      </c>
      <c r="O248" t="n">
        <v>0</v>
      </c>
      <c r="P248" t="n">
        <v>0</v>
      </c>
      <c r="Q248" t="n">
        <v>0</v>
      </c>
      <c r="R248" s="2" t="inlineStr"/>
    </row>
    <row r="249" ht="15" customHeight="1">
      <c r="A249" t="inlineStr">
        <is>
          <t>A 28071-2023</t>
        </is>
      </c>
      <c r="B249" s="1" t="n">
        <v>45099.37755787037</v>
      </c>
      <c r="C249" s="1" t="n">
        <v>46136</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22132-2024</t>
        </is>
      </c>
      <c r="B250" s="1" t="n">
        <v>45444.37234953704</v>
      </c>
      <c r="C250" s="1" t="n">
        <v>46136</v>
      </c>
      <c r="D250" t="inlineStr">
        <is>
          <t>SKÅNE LÄN</t>
        </is>
      </c>
      <c r="E250" t="inlineStr">
        <is>
          <t>HÄSSLEHOLM</t>
        </is>
      </c>
      <c r="G250" t="n">
        <v>3.1</v>
      </c>
      <c r="H250" t="n">
        <v>0</v>
      </c>
      <c r="I250" t="n">
        <v>0</v>
      </c>
      <c r="J250" t="n">
        <v>0</v>
      </c>
      <c r="K250" t="n">
        <v>0</v>
      </c>
      <c r="L250" t="n">
        <v>0</v>
      </c>
      <c r="M250" t="n">
        <v>0</v>
      </c>
      <c r="N250" t="n">
        <v>0</v>
      </c>
      <c r="O250" t="n">
        <v>0</v>
      </c>
      <c r="P250" t="n">
        <v>0</v>
      </c>
      <c r="Q250" t="n">
        <v>0</v>
      </c>
      <c r="R250" s="2" t="inlineStr"/>
    </row>
    <row r="251" ht="15" customHeight="1">
      <c r="A251" t="inlineStr">
        <is>
          <t>A 54171-2022</t>
        </is>
      </c>
      <c r="B251" s="1" t="n">
        <v>44881</v>
      </c>
      <c r="C251" s="1" t="n">
        <v>46136</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3245-2022</t>
        </is>
      </c>
      <c r="B252" s="1" t="n">
        <v>44583.39136574074</v>
      </c>
      <c r="C252" s="1" t="n">
        <v>46136</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4787-2023</t>
        </is>
      </c>
      <c r="B253" s="1" t="n">
        <v>44957.60079861111</v>
      </c>
      <c r="C253" s="1" t="n">
        <v>46136</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4788-2023</t>
        </is>
      </c>
      <c r="B254" s="1" t="n">
        <v>44957.60130787037</v>
      </c>
      <c r="C254" s="1" t="n">
        <v>46136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32210-2024</t>
        </is>
      </c>
      <c r="B255" s="1" t="n">
        <v>45511.67777777778</v>
      </c>
      <c r="C255" s="1" t="n">
        <v>46136</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23864-2024</t>
        </is>
      </c>
      <c r="B256" s="1" t="n">
        <v>45455</v>
      </c>
      <c r="C256" s="1" t="n">
        <v>46136</v>
      </c>
      <c r="D256" t="inlineStr">
        <is>
          <t>SKÅNE LÄN</t>
        </is>
      </c>
      <c r="E256" t="inlineStr">
        <is>
          <t>HÄSSLEHOLM</t>
        </is>
      </c>
      <c r="G256" t="n">
        <v>6.2</v>
      </c>
      <c r="H256" t="n">
        <v>0</v>
      </c>
      <c r="I256" t="n">
        <v>0</v>
      </c>
      <c r="J256" t="n">
        <v>0</v>
      </c>
      <c r="K256" t="n">
        <v>0</v>
      </c>
      <c r="L256" t="n">
        <v>0</v>
      </c>
      <c r="M256" t="n">
        <v>0</v>
      </c>
      <c r="N256" t="n">
        <v>0</v>
      </c>
      <c r="O256" t="n">
        <v>0</v>
      </c>
      <c r="P256" t="n">
        <v>0</v>
      </c>
      <c r="Q256" t="n">
        <v>0</v>
      </c>
      <c r="R256" s="2" t="inlineStr"/>
    </row>
    <row r="257" ht="15" customHeight="1">
      <c r="A257" t="inlineStr">
        <is>
          <t>A 59431-2023</t>
        </is>
      </c>
      <c r="B257" s="1" t="n">
        <v>45254.29207175926</v>
      </c>
      <c r="C257" s="1" t="n">
        <v>46136</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59433-2023</t>
        </is>
      </c>
      <c r="B258" s="1" t="n">
        <v>45254.29768518519</v>
      </c>
      <c r="C258" s="1" t="n">
        <v>46136</v>
      </c>
      <c r="D258" t="inlineStr">
        <is>
          <t>SKÅNE LÄN</t>
        </is>
      </c>
      <c r="E258" t="inlineStr">
        <is>
          <t>HÄSSLEHOLM</t>
        </is>
      </c>
      <c r="G258" t="n">
        <v>3.1</v>
      </c>
      <c r="H258" t="n">
        <v>0</v>
      </c>
      <c r="I258" t="n">
        <v>0</v>
      </c>
      <c r="J258" t="n">
        <v>0</v>
      </c>
      <c r="K258" t="n">
        <v>0</v>
      </c>
      <c r="L258" t="n">
        <v>0</v>
      </c>
      <c r="M258" t="n">
        <v>0</v>
      </c>
      <c r="N258" t="n">
        <v>0</v>
      </c>
      <c r="O258" t="n">
        <v>0</v>
      </c>
      <c r="P258" t="n">
        <v>0</v>
      </c>
      <c r="Q258" t="n">
        <v>0</v>
      </c>
      <c r="R258" s="2" t="inlineStr"/>
    </row>
    <row r="259" ht="15" customHeight="1">
      <c r="A259" t="inlineStr">
        <is>
          <t>A 31255-2024</t>
        </is>
      </c>
      <c r="B259" s="1" t="n">
        <v>45503.69114583333</v>
      </c>
      <c r="C259" s="1" t="n">
        <v>46136</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54174-2022</t>
        </is>
      </c>
      <c r="B260" s="1" t="n">
        <v>44881</v>
      </c>
      <c r="C260" s="1" t="n">
        <v>46136</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52235-2021</t>
        </is>
      </c>
      <c r="B261" s="1" t="n">
        <v>44463.60085648148</v>
      </c>
      <c r="C261" s="1" t="n">
        <v>46136</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53302-2022</t>
        </is>
      </c>
      <c r="B262" s="1" t="n">
        <v>44877</v>
      </c>
      <c r="C262" s="1" t="n">
        <v>46136</v>
      </c>
      <c r="D262" t="inlineStr">
        <is>
          <t>SKÅNE LÄN</t>
        </is>
      </c>
      <c r="E262" t="inlineStr">
        <is>
          <t>HÄSSLEHOLM</t>
        </is>
      </c>
      <c r="G262" t="n">
        <v>0.1</v>
      </c>
      <c r="H262" t="n">
        <v>0</v>
      </c>
      <c r="I262" t="n">
        <v>0</v>
      </c>
      <c r="J262" t="n">
        <v>0</v>
      </c>
      <c r="K262" t="n">
        <v>0</v>
      </c>
      <c r="L262" t="n">
        <v>0</v>
      </c>
      <c r="M262" t="n">
        <v>0</v>
      </c>
      <c r="N262" t="n">
        <v>0</v>
      </c>
      <c r="O262" t="n">
        <v>0</v>
      </c>
      <c r="P262" t="n">
        <v>0</v>
      </c>
      <c r="Q262" t="n">
        <v>0</v>
      </c>
      <c r="R262" s="2" t="inlineStr"/>
    </row>
    <row r="263" ht="15" customHeight="1">
      <c r="A263" t="inlineStr">
        <is>
          <t>A 24985-2025</t>
        </is>
      </c>
      <c r="B263" s="1" t="n">
        <v>45799.60256944445</v>
      </c>
      <c r="C263" s="1" t="n">
        <v>46136</v>
      </c>
      <c r="D263" t="inlineStr">
        <is>
          <t>SKÅNE LÄN</t>
        </is>
      </c>
      <c r="E263" t="inlineStr">
        <is>
          <t>HÄSSLEHOLM</t>
        </is>
      </c>
      <c r="G263" t="n">
        <v>2.3</v>
      </c>
      <c r="H263" t="n">
        <v>0</v>
      </c>
      <c r="I263" t="n">
        <v>0</v>
      </c>
      <c r="J263" t="n">
        <v>0</v>
      </c>
      <c r="K263" t="n">
        <v>0</v>
      </c>
      <c r="L263" t="n">
        <v>0</v>
      </c>
      <c r="M263" t="n">
        <v>0</v>
      </c>
      <c r="N263" t="n">
        <v>0</v>
      </c>
      <c r="O263" t="n">
        <v>0</v>
      </c>
      <c r="P263" t="n">
        <v>0</v>
      </c>
      <c r="Q263" t="n">
        <v>0</v>
      </c>
      <c r="R263" s="2" t="inlineStr"/>
    </row>
    <row r="264" ht="15" customHeight="1">
      <c r="A264" t="inlineStr">
        <is>
          <t>A 62041-2022</t>
        </is>
      </c>
      <c r="B264" s="1" t="n">
        <v>44918.55743055556</v>
      </c>
      <c r="C264" s="1" t="n">
        <v>46136</v>
      </c>
      <c r="D264" t="inlineStr">
        <is>
          <t>SKÅNE LÄN</t>
        </is>
      </c>
      <c r="E264" t="inlineStr">
        <is>
          <t>HÄSSLEHOLM</t>
        </is>
      </c>
      <c r="G264" t="n">
        <v>2.8</v>
      </c>
      <c r="H264" t="n">
        <v>0</v>
      </c>
      <c r="I264" t="n">
        <v>0</v>
      </c>
      <c r="J264" t="n">
        <v>0</v>
      </c>
      <c r="K264" t="n">
        <v>0</v>
      </c>
      <c r="L264" t="n">
        <v>0</v>
      </c>
      <c r="M264" t="n">
        <v>0</v>
      </c>
      <c r="N264" t="n">
        <v>0</v>
      </c>
      <c r="O264" t="n">
        <v>0</v>
      </c>
      <c r="P264" t="n">
        <v>0</v>
      </c>
      <c r="Q264" t="n">
        <v>0</v>
      </c>
      <c r="R264" s="2" t="inlineStr"/>
    </row>
    <row r="265" ht="15" customHeight="1">
      <c r="A265" t="inlineStr">
        <is>
          <t>A 52642-2021</t>
        </is>
      </c>
      <c r="B265" s="1" t="n">
        <v>44466.64298611111</v>
      </c>
      <c r="C265" s="1" t="n">
        <v>46136</v>
      </c>
      <c r="D265" t="inlineStr">
        <is>
          <t>SKÅNE LÄN</t>
        </is>
      </c>
      <c r="E265" t="inlineStr">
        <is>
          <t>HÄSSLEHOLM</t>
        </is>
      </c>
      <c r="G265" t="n">
        <v>3.7</v>
      </c>
      <c r="H265" t="n">
        <v>0</v>
      </c>
      <c r="I265" t="n">
        <v>0</v>
      </c>
      <c r="J265" t="n">
        <v>0</v>
      </c>
      <c r="K265" t="n">
        <v>0</v>
      </c>
      <c r="L265" t="n">
        <v>0</v>
      </c>
      <c r="M265" t="n">
        <v>0</v>
      </c>
      <c r="N265" t="n">
        <v>0</v>
      </c>
      <c r="O265" t="n">
        <v>0</v>
      </c>
      <c r="P265" t="n">
        <v>0</v>
      </c>
      <c r="Q265" t="n">
        <v>0</v>
      </c>
      <c r="R265" s="2" t="inlineStr"/>
    </row>
    <row r="266" ht="15" customHeight="1">
      <c r="A266" t="inlineStr">
        <is>
          <t>A 29850-2024</t>
        </is>
      </c>
      <c r="B266" s="1" t="n">
        <v>45485.64620370371</v>
      </c>
      <c r="C266" s="1" t="n">
        <v>46136</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27837-2024</t>
        </is>
      </c>
      <c r="B267" s="1" t="n">
        <v>45475</v>
      </c>
      <c r="C267" s="1" t="n">
        <v>46136</v>
      </c>
      <c r="D267" t="inlineStr">
        <is>
          <t>SKÅNE LÄN</t>
        </is>
      </c>
      <c r="E267" t="inlineStr">
        <is>
          <t>HÄSSLEHOLM</t>
        </is>
      </c>
      <c r="F267" t="inlineStr">
        <is>
          <t>Kommuner</t>
        </is>
      </c>
      <c r="G267" t="n">
        <v>2.3</v>
      </c>
      <c r="H267" t="n">
        <v>0</v>
      </c>
      <c r="I267" t="n">
        <v>0</v>
      </c>
      <c r="J267" t="n">
        <v>0</v>
      </c>
      <c r="K267" t="n">
        <v>0</v>
      </c>
      <c r="L267" t="n">
        <v>0</v>
      </c>
      <c r="M267" t="n">
        <v>0</v>
      </c>
      <c r="N267" t="n">
        <v>0</v>
      </c>
      <c r="O267" t="n">
        <v>0</v>
      </c>
      <c r="P267" t="n">
        <v>0</v>
      </c>
      <c r="Q267" t="n">
        <v>0</v>
      </c>
      <c r="R267" s="2" t="inlineStr"/>
    </row>
    <row r="268" ht="15" customHeight="1">
      <c r="A268" t="inlineStr">
        <is>
          <t>A 29659-2024</t>
        </is>
      </c>
      <c r="B268" s="1" t="n">
        <v>45484.92587962963</v>
      </c>
      <c r="C268" s="1" t="n">
        <v>46136</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35711-2024</t>
        </is>
      </c>
      <c r="B269" s="1" t="n">
        <v>45532</v>
      </c>
      <c r="C269" s="1" t="n">
        <v>46136</v>
      </c>
      <c r="D269" t="inlineStr">
        <is>
          <t>SKÅNE LÄN</t>
        </is>
      </c>
      <c r="E269" t="inlineStr">
        <is>
          <t>HÄSSLEHOLM</t>
        </is>
      </c>
      <c r="G269" t="n">
        <v>1.4</v>
      </c>
      <c r="H269" t="n">
        <v>0</v>
      </c>
      <c r="I269" t="n">
        <v>0</v>
      </c>
      <c r="J269" t="n">
        <v>0</v>
      </c>
      <c r="K269" t="n">
        <v>0</v>
      </c>
      <c r="L269" t="n">
        <v>0</v>
      </c>
      <c r="M269" t="n">
        <v>0</v>
      </c>
      <c r="N269" t="n">
        <v>0</v>
      </c>
      <c r="O269" t="n">
        <v>0</v>
      </c>
      <c r="P269" t="n">
        <v>0</v>
      </c>
      <c r="Q269" t="n">
        <v>0</v>
      </c>
      <c r="R269" s="2" t="inlineStr"/>
    </row>
    <row r="270" ht="15" customHeight="1">
      <c r="A270" t="inlineStr">
        <is>
          <t>A 40734-2024</t>
        </is>
      </c>
      <c r="B270" s="1" t="n">
        <v>45558</v>
      </c>
      <c r="C270" s="1" t="n">
        <v>46136</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40738-2024</t>
        </is>
      </c>
      <c r="B271" s="1" t="n">
        <v>45558</v>
      </c>
      <c r="C271" s="1" t="n">
        <v>46136</v>
      </c>
      <c r="D271" t="inlineStr">
        <is>
          <t>SKÅNE LÄN</t>
        </is>
      </c>
      <c r="E271" t="inlineStr">
        <is>
          <t>HÄSSLEHOLM</t>
        </is>
      </c>
      <c r="G271" t="n">
        <v>2.6</v>
      </c>
      <c r="H271" t="n">
        <v>0</v>
      </c>
      <c r="I271" t="n">
        <v>0</v>
      </c>
      <c r="J271" t="n">
        <v>0</v>
      </c>
      <c r="K271" t="n">
        <v>0</v>
      </c>
      <c r="L271" t="n">
        <v>0</v>
      </c>
      <c r="M271" t="n">
        <v>0</v>
      </c>
      <c r="N271" t="n">
        <v>0</v>
      </c>
      <c r="O271" t="n">
        <v>0</v>
      </c>
      <c r="P271" t="n">
        <v>0</v>
      </c>
      <c r="Q271" t="n">
        <v>0</v>
      </c>
      <c r="R271" s="2" t="inlineStr"/>
    </row>
    <row r="272" ht="15" customHeight="1">
      <c r="A272" t="inlineStr">
        <is>
          <t>A 1679-2022</t>
        </is>
      </c>
      <c r="B272" s="1" t="n">
        <v>44573</v>
      </c>
      <c r="C272" s="1" t="n">
        <v>46136</v>
      </c>
      <c r="D272" t="inlineStr">
        <is>
          <t>SKÅNE LÄN</t>
        </is>
      </c>
      <c r="E272" t="inlineStr">
        <is>
          <t>HÄSSLEHOLM</t>
        </is>
      </c>
      <c r="F272" t="inlineStr">
        <is>
          <t>Kyrkan</t>
        </is>
      </c>
      <c r="G272" t="n">
        <v>4.3</v>
      </c>
      <c r="H272" t="n">
        <v>0</v>
      </c>
      <c r="I272" t="n">
        <v>0</v>
      </c>
      <c r="J272" t="n">
        <v>0</v>
      </c>
      <c r="K272" t="n">
        <v>0</v>
      </c>
      <c r="L272" t="n">
        <v>0</v>
      </c>
      <c r="M272" t="n">
        <v>0</v>
      </c>
      <c r="N272" t="n">
        <v>0</v>
      </c>
      <c r="O272" t="n">
        <v>0</v>
      </c>
      <c r="P272" t="n">
        <v>0</v>
      </c>
      <c r="Q272" t="n">
        <v>0</v>
      </c>
      <c r="R272" s="2" t="inlineStr"/>
    </row>
    <row r="273" ht="15" customHeight="1">
      <c r="A273" t="inlineStr">
        <is>
          <t>A 1560-2023</t>
        </is>
      </c>
      <c r="B273" s="1" t="n">
        <v>44937</v>
      </c>
      <c r="C273" s="1" t="n">
        <v>46136</v>
      </c>
      <c r="D273" t="inlineStr">
        <is>
          <t>SKÅNE LÄN</t>
        </is>
      </c>
      <c r="E273" t="inlineStr">
        <is>
          <t>HÄSSLEHOLM</t>
        </is>
      </c>
      <c r="G273" t="n">
        <v>6.8</v>
      </c>
      <c r="H273" t="n">
        <v>0</v>
      </c>
      <c r="I273" t="n">
        <v>0</v>
      </c>
      <c r="J273" t="n">
        <v>0</v>
      </c>
      <c r="K273" t="n">
        <v>0</v>
      </c>
      <c r="L273" t="n">
        <v>0</v>
      </c>
      <c r="M273" t="n">
        <v>0</v>
      </c>
      <c r="N273" t="n">
        <v>0</v>
      </c>
      <c r="O273" t="n">
        <v>0</v>
      </c>
      <c r="P273" t="n">
        <v>0</v>
      </c>
      <c r="Q273" t="n">
        <v>0</v>
      </c>
      <c r="R273" s="2" t="inlineStr"/>
    </row>
    <row r="274" ht="15" customHeight="1">
      <c r="A274" t="inlineStr">
        <is>
          <t>A 259-2024</t>
        </is>
      </c>
      <c r="B274" s="1" t="n">
        <v>45294</v>
      </c>
      <c r="C274" s="1" t="n">
        <v>46136</v>
      </c>
      <c r="D274" t="inlineStr">
        <is>
          <t>SKÅNE LÄN</t>
        </is>
      </c>
      <c r="E274" t="inlineStr">
        <is>
          <t>HÄSSLEHOLM</t>
        </is>
      </c>
      <c r="G274" t="n">
        <v>8</v>
      </c>
      <c r="H274" t="n">
        <v>0</v>
      </c>
      <c r="I274" t="n">
        <v>0</v>
      </c>
      <c r="J274" t="n">
        <v>0</v>
      </c>
      <c r="K274" t="n">
        <v>0</v>
      </c>
      <c r="L274" t="n">
        <v>0</v>
      </c>
      <c r="M274" t="n">
        <v>0</v>
      </c>
      <c r="N274" t="n">
        <v>0</v>
      </c>
      <c r="O274" t="n">
        <v>0</v>
      </c>
      <c r="P274" t="n">
        <v>0</v>
      </c>
      <c r="Q274" t="n">
        <v>0</v>
      </c>
      <c r="R274" s="2" t="inlineStr"/>
    </row>
    <row r="275" ht="15" customHeight="1">
      <c r="A275" t="inlineStr">
        <is>
          <t>A 37141-2021</t>
        </is>
      </c>
      <c r="B275" s="1" t="n">
        <v>44396</v>
      </c>
      <c r="C275" s="1" t="n">
        <v>46136</v>
      </c>
      <c r="D275" t="inlineStr">
        <is>
          <t>SKÅNE LÄN</t>
        </is>
      </c>
      <c r="E275" t="inlineStr">
        <is>
          <t>HÄSSLEHOLM</t>
        </is>
      </c>
      <c r="G275" t="n">
        <v>12.8</v>
      </c>
      <c r="H275" t="n">
        <v>0</v>
      </c>
      <c r="I275" t="n">
        <v>0</v>
      </c>
      <c r="J275" t="n">
        <v>0</v>
      </c>
      <c r="K275" t="n">
        <v>0</v>
      </c>
      <c r="L275" t="n">
        <v>0</v>
      </c>
      <c r="M275" t="n">
        <v>0</v>
      </c>
      <c r="N275" t="n">
        <v>0</v>
      </c>
      <c r="O275" t="n">
        <v>0</v>
      </c>
      <c r="P275" t="n">
        <v>0</v>
      </c>
      <c r="Q275" t="n">
        <v>0</v>
      </c>
      <c r="R275" s="2" t="inlineStr"/>
    </row>
    <row r="276" ht="15" customHeight="1">
      <c r="A276" t="inlineStr">
        <is>
          <t>A 25372-2025</t>
        </is>
      </c>
      <c r="B276" s="1" t="n">
        <v>45799</v>
      </c>
      <c r="C276" s="1" t="n">
        <v>46136</v>
      </c>
      <c r="D276" t="inlineStr">
        <is>
          <t>SKÅNE LÄN</t>
        </is>
      </c>
      <c r="E276" t="inlineStr">
        <is>
          <t>HÄSSLEHOLM</t>
        </is>
      </c>
      <c r="G276" t="n">
        <v>3.1</v>
      </c>
      <c r="H276" t="n">
        <v>0</v>
      </c>
      <c r="I276" t="n">
        <v>0</v>
      </c>
      <c r="J276" t="n">
        <v>0</v>
      </c>
      <c r="K276" t="n">
        <v>0</v>
      </c>
      <c r="L276" t="n">
        <v>0</v>
      </c>
      <c r="M276" t="n">
        <v>0</v>
      </c>
      <c r="N276" t="n">
        <v>0</v>
      </c>
      <c r="O276" t="n">
        <v>0</v>
      </c>
      <c r="P276" t="n">
        <v>0</v>
      </c>
      <c r="Q276" t="n">
        <v>0</v>
      </c>
      <c r="R276" s="2" t="inlineStr"/>
    </row>
    <row r="277" ht="15" customHeight="1">
      <c r="A277" t="inlineStr">
        <is>
          <t>A 9399-2025</t>
        </is>
      </c>
      <c r="B277" s="1" t="n">
        <v>45715.37861111111</v>
      </c>
      <c r="C277" s="1" t="n">
        <v>46136</v>
      </c>
      <c r="D277" t="inlineStr">
        <is>
          <t>SKÅNE LÄN</t>
        </is>
      </c>
      <c r="E277" t="inlineStr">
        <is>
          <t>HÄSSLEHOLM</t>
        </is>
      </c>
      <c r="G277" t="n">
        <v>5.2</v>
      </c>
      <c r="H277" t="n">
        <v>0</v>
      </c>
      <c r="I277" t="n">
        <v>0</v>
      </c>
      <c r="J277" t="n">
        <v>0</v>
      </c>
      <c r="K277" t="n">
        <v>0</v>
      </c>
      <c r="L277" t="n">
        <v>0</v>
      </c>
      <c r="M277" t="n">
        <v>0</v>
      </c>
      <c r="N277" t="n">
        <v>0</v>
      </c>
      <c r="O277" t="n">
        <v>0</v>
      </c>
      <c r="P277" t="n">
        <v>0</v>
      </c>
      <c r="Q277" t="n">
        <v>0</v>
      </c>
      <c r="R277" s="2" t="inlineStr"/>
    </row>
    <row r="278" ht="15" customHeight="1">
      <c r="A278" t="inlineStr">
        <is>
          <t>A 34342-2021</t>
        </is>
      </c>
      <c r="B278" s="1" t="n">
        <v>44379</v>
      </c>
      <c r="C278" s="1" t="n">
        <v>46136</v>
      </c>
      <c r="D278" t="inlineStr">
        <is>
          <t>SKÅNE LÄN</t>
        </is>
      </c>
      <c r="E278" t="inlineStr">
        <is>
          <t>HÄSSLEHOLM</t>
        </is>
      </c>
      <c r="G278" t="n">
        <v>7</v>
      </c>
      <c r="H278" t="n">
        <v>0</v>
      </c>
      <c r="I278" t="n">
        <v>0</v>
      </c>
      <c r="J278" t="n">
        <v>0</v>
      </c>
      <c r="K278" t="n">
        <v>0</v>
      </c>
      <c r="L278" t="n">
        <v>0</v>
      </c>
      <c r="M278" t="n">
        <v>0</v>
      </c>
      <c r="N278" t="n">
        <v>0</v>
      </c>
      <c r="O278" t="n">
        <v>0</v>
      </c>
      <c r="P278" t="n">
        <v>0</v>
      </c>
      <c r="Q278" t="n">
        <v>0</v>
      </c>
      <c r="R278" s="2" t="inlineStr"/>
    </row>
    <row r="279" ht="15" customHeight="1">
      <c r="A279" t="inlineStr">
        <is>
          <t>A 45399-2022</t>
        </is>
      </c>
      <c r="B279" s="1" t="n">
        <v>44844.70513888889</v>
      </c>
      <c r="C279" s="1" t="n">
        <v>46136</v>
      </c>
      <c r="D279" t="inlineStr">
        <is>
          <t>SKÅNE LÄN</t>
        </is>
      </c>
      <c r="E279" t="inlineStr">
        <is>
          <t>HÄSSLEHOLM</t>
        </is>
      </c>
      <c r="G279" t="n">
        <v>0</v>
      </c>
      <c r="H279" t="n">
        <v>0</v>
      </c>
      <c r="I279" t="n">
        <v>0</v>
      </c>
      <c r="J279" t="n">
        <v>0</v>
      </c>
      <c r="K279" t="n">
        <v>0</v>
      </c>
      <c r="L279" t="n">
        <v>0</v>
      </c>
      <c r="M279" t="n">
        <v>0</v>
      </c>
      <c r="N279" t="n">
        <v>0</v>
      </c>
      <c r="O279" t="n">
        <v>0</v>
      </c>
      <c r="P279" t="n">
        <v>0</v>
      </c>
      <c r="Q279" t="n">
        <v>0</v>
      </c>
      <c r="R279" s="2" t="inlineStr"/>
    </row>
    <row r="280" ht="15" customHeight="1">
      <c r="A280" t="inlineStr">
        <is>
          <t>A 49379-2021</t>
        </is>
      </c>
      <c r="B280" s="1" t="n">
        <v>44454</v>
      </c>
      <c r="C280" s="1" t="n">
        <v>46136</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32881-2024</t>
        </is>
      </c>
      <c r="B281" s="1" t="n">
        <v>45516</v>
      </c>
      <c r="C281" s="1" t="n">
        <v>46136</v>
      </c>
      <c r="D281" t="inlineStr">
        <is>
          <t>SKÅNE LÄN</t>
        </is>
      </c>
      <c r="E281" t="inlineStr">
        <is>
          <t>HÄSSLEHOLM</t>
        </is>
      </c>
      <c r="G281" t="n">
        <v>6.3</v>
      </c>
      <c r="H281" t="n">
        <v>0</v>
      </c>
      <c r="I281" t="n">
        <v>0</v>
      </c>
      <c r="J281" t="n">
        <v>0</v>
      </c>
      <c r="K281" t="n">
        <v>0</v>
      </c>
      <c r="L281" t="n">
        <v>0</v>
      </c>
      <c r="M281" t="n">
        <v>0</v>
      </c>
      <c r="N281" t="n">
        <v>0</v>
      </c>
      <c r="O281" t="n">
        <v>0</v>
      </c>
      <c r="P281" t="n">
        <v>0</v>
      </c>
      <c r="Q281" t="n">
        <v>0</v>
      </c>
      <c r="R281" s="2" t="inlineStr"/>
    </row>
    <row r="282" ht="15" customHeight="1">
      <c r="A282" t="inlineStr">
        <is>
          <t>A 2743-2023</t>
        </is>
      </c>
      <c r="B282" s="1" t="n">
        <v>44944</v>
      </c>
      <c r="C282" s="1" t="n">
        <v>46136</v>
      </c>
      <c r="D282" t="inlineStr">
        <is>
          <t>SKÅNE LÄN</t>
        </is>
      </c>
      <c r="E282" t="inlineStr">
        <is>
          <t>HÄSSLEHOLM</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51565-2023</t>
        </is>
      </c>
      <c r="B283" s="1" t="n">
        <v>45222</v>
      </c>
      <c r="C283" s="1" t="n">
        <v>46136</v>
      </c>
      <c r="D283" t="inlineStr">
        <is>
          <t>SKÅNE LÄN</t>
        </is>
      </c>
      <c r="E283" t="inlineStr">
        <is>
          <t>HÄSSLEHOLM</t>
        </is>
      </c>
      <c r="G283" t="n">
        <v>2.1</v>
      </c>
      <c r="H283" t="n">
        <v>0</v>
      </c>
      <c r="I283" t="n">
        <v>0</v>
      </c>
      <c r="J283" t="n">
        <v>0</v>
      </c>
      <c r="K283" t="n">
        <v>0</v>
      </c>
      <c r="L283" t="n">
        <v>0</v>
      </c>
      <c r="M283" t="n">
        <v>0</v>
      </c>
      <c r="N283" t="n">
        <v>0</v>
      </c>
      <c r="O283" t="n">
        <v>0</v>
      </c>
      <c r="P283" t="n">
        <v>0</v>
      </c>
      <c r="Q283" t="n">
        <v>0</v>
      </c>
      <c r="R283" s="2" t="inlineStr"/>
    </row>
    <row r="284" ht="15" customHeight="1">
      <c r="A284" t="inlineStr">
        <is>
          <t>A 706-2026</t>
        </is>
      </c>
      <c r="B284" s="1" t="n">
        <v>46029.61739583333</v>
      </c>
      <c r="C284" s="1" t="n">
        <v>46136</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25430-2025</t>
        </is>
      </c>
      <c r="B285" s="1" t="n">
        <v>45800.78212962963</v>
      </c>
      <c r="C285" s="1" t="n">
        <v>46136</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11470-2025</t>
        </is>
      </c>
      <c r="B286" s="1" t="n">
        <v>45726</v>
      </c>
      <c r="C286" s="1" t="n">
        <v>46136</v>
      </c>
      <c r="D286" t="inlineStr">
        <is>
          <t>SKÅNE LÄN</t>
        </is>
      </c>
      <c r="E286" t="inlineStr">
        <is>
          <t>HÄSSLEHOLM</t>
        </is>
      </c>
      <c r="G286" t="n">
        <v>0.4</v>
      </c>
      <c r="H286" t="n">
        <v>0</v>
      </c>
      <c r="I286" t="n">
        <v>0</v>
      </c>
      <c r="J286" t="n">
        <v>0</v>
      </c>
      <c r="K286" t="n">
        <v>0</v>
      </c>
      <c r="L286" t="n">
        <v>0</v>
      </c>
      <c r="M286" t="n">
        <v>0</v>
      </c>
      <c r="N286" t="n">
        <v>0</v>
      </c>
      <c r="O286" t="n">
        <v>0</v>
      </c>
      <c r="P286" t="n">
        <v>0</v>
      </c>
      <c r="Q286" t="n">
        <v>0</v>
      </c>
      <c r="R286" s="2" t="inlineStr"/>
    </row>
    <row r="287" ht="15" customHeight="1">
      <c r="A287" t="inlineStr">
        <is>
          <t>A 25615-2025</t>
        </is>
      </c>
      <c r="B287" s="1" t="n">
        <v>45803</v>
      </c>
      <c r="C287" s="1" t="n">
        <v>46136</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931-2026</t>
        </is>
      </c>
      <c r="B288" s="1" t="n">
        <v>46030.51495370371</v>
      </c>
      <c r="C288" s="1" t="n">
        <v>46136</v>
      </c>
      <c r="D288" t="inlineStr">
        <is>
          <t>SKÅNE LÄN</t>
        </is>
      </c>
      <c r="E288" t="inlineStr">
        <is>
          <t>HÄSSLEHOLM</t>
        </is>
      </c>
      <c r="F288" t="inlineStr">
        <is>
          <t>Övriga Aktiebolag</t>
        </is>
      </c>
      <c r="G288" t="n">
        <v>2.3</v>
      </c>
      <c r="H288" t="n">
        <v>0</v>
      </c>
      <c r="I288" t="n">
        <v>0</v>
      </c>
      <c r="J288" t="n">
        <v>0</v>
      </c>
      <c r="K288" t="n">
        <v>0</v>
      </c>
      <c r="L288" t="n">
        <v>0</v>
      </c>
      <c r="M288" t="n">
        <v>0</v>
      </c>
      <c r="N288" t="n">
        <v>0</v>
      </c>
      <c r="O288" t="n">
        <v>0</v>
      </c>
      <c r="P288" t="n">
        <v>0</v>
      </c>
      <c r="Q288" t="n">
        <v>0</v>
      </c>
      <c r="R288" s="2" t="inlineStr"/>
    </row>
    <row r="289" ht="15" customHeight="1">
      <c r="A289" t="inlineStr">
        <is>
          <t>A 25431-2025</t>
        </is>
      </c>
      <c r="B289" s="1" t="n">
        <v>45800.78340277778</v>
      </c>
      <c r="C289" s="1" t="n">
        <v>46136</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25432-2025</t>
        </is>
      </c>
      <c r="B290" s="1" t="n">
        <v>45800.7847800926</v>
      </c>
      <c r="C290" s="1" t="n">
        <v>46136</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62044-2022</t>
        </is>
      </c>
      <c r="B291" s="1" t="n">
        <v>44918.55976851852</v>
      </c>
      <c r="C291" s="1" t="n">
        <v>46136</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11412-2025</t>
        </is>
      </c>
      <c r="B292" s="1" t="n">
        <v>45726</v>
      </c>
      <c r="C292" s="1" t="n">
        <v>46136</v>
      </c>
      <c r="D292" t="inlineStr">
        <is>
          <t>SKÅNE LÄN</t>
        </is>
      </c>
      <c r="E292" t="inlineStr">
        <is>
          <t>HÄSSLEHOLM</t>
        </is>
      </c>
      <c r="G292" t="n">
        <v>2.1</v>
      </c>
      <c r="H292" t="n">
        <v>0</v>
      </c>
      <c r="I292" t="n">
        <v>0</v>
      </c>
      <c r="J292" t="n">
        <v>0</v>
      </c>
      <c r="K292" t="n">
        <v>0</v>
      </c>
      <c r="L292" t="n">
        <v>0</v>
      </c>
      <c r="M292" t="n">
        <v>0</v>
      </c>
      <c r="N292" t="n">
        <v>0</v>
      </c>
      <c r="O292" t="n">
        <v>0</v>
      </c>
      <c r="P292" t="n">
        <v>0</v>
      </c>
      <c r="Q292" t="n">
        <v>0</v>
      </c>
      <c r="R292" s="2" t="inlineStr"/>
    </row>
    <row r="293" ht="15" customHeight="1">
      <c r="A293" t="inlineStr">
        <is>
          <t>A 6164-2023</t>
        </is>
      </c>
      <c r="B293" s="1" t="n">
        <v>44964.66871527778</v>
      </c>
      <c r="C293" s="1" t="n">
        <v>46136</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11466-2025</t>
        </is>
      </c>
      <c r="B294" s="1" t="n">
        <v>45726</v>
      </c>
      <c r="C294" s="1" t="n">
        <v>46136</v>
      </c>
      <c r="D294" t="inlineStr">
        <is>
          <t>SKÅNE LÄN</t>
        </is>
      </c>
      <c r="E294" t="inlineStr">
        <is>
          <t>HÄSSLEHOLM</t>
        </is>
      </c>
      <c r="G294" t="n">
        <v>3.2</v>
      </c>
      <c r="H294" t="n">
        <v>0</v>
      </c>
      <c r="I294" t="n">
        <v>0</v>
      </c>
      <c r="J294" t="n">
        <v>0</v>
      </c>
      <c r="K294" t="n">
        <v>0</v>
      </c>
      <c r="L294" t="n">
        <v>0</v>
      </c>
      <c r="M294" t="n">
        <v>0</v>
      </c>
      <c r="N294" t="n">
        <v>0</v>
      </c>
      <c r="O294" t="n">
        <v>0</v>
      </c>
      <c r="P294" t="n">
        <v>0</v>
      </c>
      <c r="Q294" t="n">
        <v>0</v>
      </c>
      <c r="R294" s="2" t="inlineStr"/>
    </row>
    <row r="295" ht="15" customHeight="1">
      <c r="A295" t="inlineStr">
        <is>
          <t>A 37318-2024</t>
        </is>
      </c>
      <c r="B295" s="1" t="n">
        <v>45540</v>
      </c>
      <c r="C295" s="1" t="n">
        <v>46136</v>
      </c>
      <c r="D295" t="inlineStr">
        <is>
          <t>SKÅNE LÄN</t>
        </is>
      </c>
      <c r="E295" t="inlineStr">
        <is>
          <t>HÄSSLEHOLM</t>
        </is>
      </c>
      <c r="G295" t="n">
        <v>3.9</v>
      </c>
      <c r="H295" t="n">
        <v>0</v>
      </c>
      <c r="I295" t="n">
        <v>0</v>
      </c>
      <c r="J295" t="n">
        <v>0</v>
      </c>
      <c r="K295" t="n">
        <v>0</v>
      </c>
      <c r="L295" t="n">
        <v>0</v>
      </c>
      <c r="M295" t="n">
        <v>0</v>
      </c>
      <c r="N295" t="n">
        <v>0</v>
      </c>
      <c r="O295" t="n">
        <v>0</v>
      </c>
      <c r="P295" t="n">
        <v>0</v>
      </c>
      <c r="Q295" t="n">
        <v>0</v>
      </c>
      <c r="R295" s="2" t="inlineStr"/>
    </row>
    <row r="296" ht="15" customHeight="1">
      <c r="A296" t="inlineStr">
        <is>
          <t>A 58891-2022</t>
        </is>
      </c>
      <c r="B296" s="1" t="n">
        <v>44896</v>
      </c>
      <c r="C296" s="1" t="n">
        <v>46136</v>
      </c>
      <c r="D296" t="inlineStr">
        <is>
          <t>SKÅNE LÄN</t>
        </is>
      </c>
      <c r="E296" t="inlineStr">
        <is>
          <t>HÄSSLEHOLM</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37324-2024</t>
        </is>
      </c>
      <c r="B297" s="1" t="n">
        <v>45540.50104166667</v>
      </c>
      <c r="C297" s="1" t="n">
        <v>46136</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25176-2024</t>
        </is>
      </c>
      <c r="B298" s="1" t="n">
        <v>45462.54582175926</v>
      </c>
      <c r="C298" s="1" t="n">
        <v>46136</v>
      </c>
      <c r="D298" t="inlineStr">
        <is>
          <t>SKÅNE LÄN</t>
        </is>
      </c>
      <c r="E298" t="inlineStr">
        <is>
          <t>HÄSSLEHOLM</t>
        </is>
      </c>
      <c r="G298" t="n">
        <v>3.8</v>
      </c>
      <c r="H298" t="n">
        <v>0</v>
      </c>
      <c r="I298" t="n">
        <v>0</v>
      </c>
      <c r="J298" t="n">
        <v>0</v>
      </c>
      <c r="K298" t="n">
        <v>0</v>
      </c>
      <c r="L298" t="n">
        <v>0</v>
      </c>
      <c r="M298" t="n">
        <v>0</v>
      </c>
      <c r="N298" t="n">
        <v>0</v>
      </c>
      <c r="O298" t="n">
        <v>0</v>
      </c>
      <c r="P298" t="n">
        <v>0</v>
      </c>
      <c r="Q298" t="n">
        <v>0</v>
      </c>
      <c r="R298" s="2" t="inlineStr"/>
    </row>
    <row r="299" ht="15" customHeight="1">
      <c r="A299" t="inlineStr">
        <is>
          <t>A 26232-2025</t>
        </is>
      </c>
      <c r="B299" s="1" t="n">
        <v>45805.56642361111</v>
      </c>
      <c r="C299" s="1" t="n">
        <v>46136</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1640-2026</t>
        </is>
      </c>
      <c r="B300" s="1" t="n">
        <v>46034.4961574074</v>
      </c>
      <c r="C300" s="1" t="n">
        <v>46136</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26244-2025</t>
        </is>
      </c>
      <c r="B301" s="1" t="n">
        <v>45805.57364583333</v>
      </c>
      <c r="C301" s="1" t="n">
        <v>46136</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2306-2026</t>
        </is>
      </c>
      <c r="B302" s="1" t="n">
        <v>46034</v>
      </c>
      <c r="C302" s="1" t="n">
        <v>46136</v>
      </c>
      <c r="D302" t="inlineStr">
        <is>
          <t>SKÅNE LÄN</t>
        </is>
      </c>
      <c r="E302" t="inlineStr">
        <is>
          <t>HÄSSLEHOLM</t>
        </is>
      </c>
      <c r="G302" t="n">
        <v>3.4</v>
      </c>
      <c r="H302" t="n">
        <v>0</v>
      </c>
      <c r="I302" t="n">
        <v>0</v>
      </c>
      <c r="J302" t="n">
        <v>0</v>
      </c>
      <c r="K302" t="n">
        <v>0</v>
      </c>
      <c r="L302" t="n">
        <v>0</v>
      </c>
      <c r="M302" t="n">
        <v>0</v>
      </c>
      <c r="N302" t="n">
        <v>0</v>
      </c>
      <c r="O302" t="n">
        <v>0</v>
      </c>
      <c r="P302" t="n">
        <v>0</v>
      </c>
      <c r="Q302" t="n">
        <v>0</v>
      </c>
      <c r="R302" s="2" t="inlineStr"/>
    </row>
    <row r="303" ht="15" customHeight="1">
      <c r="A303" t="inlineStr">
        <is>
          <t>A 1645-2026</t>
        </is>
      </c>
      <c r="B303" s="1" t="n">
        <v>46034.5069212963</v>
      </c>
      <c r="C303" s="1" t="n">
        <v>46136</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1656-2026</t>
        </is>
      </c>
      <c r="B304" s="1" t="n">
        <v>46034.54035879629</v>
      </c>
      <c r="C304" s="1" t="n">
        <v>46136</v>
      </c>
      <c r="D304" t="inlineStr">
        <is>
          <t>SKÅNE LÄN</t>
        </is>
      </c>
      <c r="E304" t="inlineStr">
        <is>
          <t>HÄSSLEHOLM</t>
        </is>
      </c>
      <c r="G304" t="n">
        <v>1.7</v>
      </c>
      <c r="H304" t="n">
        <v>0</v>
      </c>
      <c r="I304" t="n">
        <v>0</v>
      </c>
      <c r="J304" t="n">
        <v>0</v>
      </c>
      <c r="K304" t="n">
        <v>0</v>
      </c>
      <c r="L304" t="n">
        <v>0</v>
      </c>
      <c r="M304" t="n">
        <v>0</v>
      </c>
      <c r="N304" t="n">
        <v>0</v>
      </c>
      <c r="O304" t="n">
        <v>0</v>
      </c>
      <c r="P304" t="n">
        <v>0</v>
      </c>
      <c r="Q304" t="n">
        <v>0</v>
      </c>
      <c r="R304" s="2" t="inlineStr"/>
    </row>
    <row r="305" ht="15" customHeight="1">
      <c r="A305" t="inlineStr">
        <is>
          <t>A 38358-2024</t>
        </is>
      </c>
      <c r="B305" s="1" t="n">
        <v>45545.79068287037</v>
      </c>
      <c r="C305" s="1" t="n">
        <v>46136</v>
      </c>
      <c r="D305" t="inlineStr">
        <is>
          <t>SKÅNE LÄN</t>
        </is>
      </c>
      <c r="E305" t="inlineStr">
        <is>
          <t>HÄSSLEHOLM</t>
        </is>
      </c>
      <c r="G305" t="n">
        <v>9</v>
      </c>
      <c r="H305" t="n">
        <v>0</v>
      </c>
      <c r="I305" t="n">
        <v>0</v>
      </c>
      <c r="J305" t="n">
        <v>0</v>
      </c>
      <c r="K305" t="n">
        <v>0</v>
      </c>
      <c r="L305" t="n">
        <v>0</v>
      </c>
      <c r="M305" t="n">
        <v>0</v>
      </c>
      <c r="N305" t="n">
        <v>0</v>
      </c>
      <c r="O305" t="n">
        <v>0</v>
      </c>
      <c r="P305" t="n">
        <v>0</v>
      </c>
      <c r="Q305" t="n">
        <v>0</v>
      </c>
      <c r="R305" s="2" t="inlineStr"/>
    </row>
    <row r="306" ht="15" customHeight="1">
      <c r="A306" t="inlineStr">
        <is>
          <t>A 1659-2026</t>
        </is>
      </c>
      <c r="B306" s="1" t="n">
        <v>46034.55335648148</v>
      </c>
      <c r="C306" s="1" t="n">
        <v>46136</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3726-2024</t>
        </is>
      </c>
      <c r="B307" s="1" t="n">
        <v>45321</v>
      </c>
      <c r="C307" s="1" t="n">
        <v>46136</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2618-2026</t>
        </is>
      </c>
      <c r="B308" s="1" t="n">
        <v>46035</v>
      </c>
      <c r="C308" s="1" t="n">
        <v>46136</v>
      </c>
      <c r="D308" t="inlineStr">
        <is>
          <t>SKÅNE LÄN</t>
        </is>
      </c>
      <c r="E308" t="inlineStr">
        <is>
          <t>HÄSSLEHOLM</t>
        </is>
      </c>
      <c r="F308" t="inlineStr">
        <is>
          <t>Kyrkan</t>
        </is>
      </c>
      <c r="G308" t="n">
        <v>4.8</v>
      </c>
      <c r="H308" t="n">
        <v>0</v>
      </c>
      <c r="I308" t="n">
        <v>0</v>
      </c>
      <c r="J308" t="n">
        <v>0</v>
      </c>
      <c r="K308" t="n">
        <v>0</v>
      </c>
      <c r="L308" t="n">
        <v>0</v>
      </c>
      <c r="M308" t="n">
        <v>0</v>
      </c>
      <c r="N308" t="n">
        <v>0</v>
      </c>
      <c r="O308" t="n">
        <v>0</v>
      </c>
      <c r="P308" t="n">
        <v>0</v>
      </c>
      <c r="Q308" t="n">
        <v>0</v>
      </c>
      <c r="R308" s="2" t="inlineStr"/>
    </row>
    <row r="309" ht="15" customHeight="1">
      <c r="A309" t="inlineStr">
        <is>
          <t>A 39044-2024</t>
        </is>
      </c>
      <c r="B309" s="1" t="n">
        <v>45548.47707175926</v>
      </c>
      <c r="C309" s="1" t="n">
        <v>46136</v>
      </c>
      <c r="D309" t="inlineStr">
        <is>
          <t>SKÅNE LÄN</t>
        </is>
      </c>
      <c r="E309" t="inlineStr">
        <is>
          <t>HÄSSLEHOLM</t>
        </is>
      </c>
      <c r="G309" t="n">
        <v>2.8</v>
      </c>
      <c r="H309" t="n">
        <v>0</v>
      </c>
      <c r="I309" t="n">
        <v>0</v>
      </c>
      <c r="J309" t="n">
        <v>0</v>
      </c>
      <c r="K309" t="n">
        <v>0</v>
      </c>
      <c r="L309" t="n">
        <v>0</v>
      </c>
      <c r="M309" t="n">
        <v>0</v>
      </c>
      <c r="N309" t="n">
        <v>0</v>
      </c>
      <c r="O309" t="n">
        <v>0</v>
      </c>
      <c r="P309" t="n">
        <v>0</v>
      </c>
      <c r="Q309" t="n">
        <v>0</v>
      </c>
      <c r="R309" s="2" t="inlineStr"/>
    </row>
    <row r="310" ht="15" customHeight="1">
      <c r="A310" t="inlineStr">
        <is>
          <t>A 2617-2026</t>
        </is>
      </c>
      <c r="B310" s="1" t="n">
        <v>46035</v>
      </c>
      <c r="C310" s="1" t="n">
        <v>46136</v>
      </c>
      <c r="D310" t="inlineStr">
        <is>
          <t>SKÅNE LÄN</t>
        </is>
      </c>
      <c r="E310" t="inlineStr">
        <is>
          <t>HÄSSLEHOLM</t>
        </is>
      </c>
      <c r="F310" t="inlineStr">
        <is>
          <t>Kyrkan</t>
        </is>
      </c>
      <c r="G310" t="n">
        <v>5.5</v>
      </c>
      <c r="H310" t="n">
        <v>0</v>
      </c>
      <c r="I310" t="n">
        <v>0</v>
      </c>
      <c r="J310" t="n">
        <v>0</v>
      </c>
      <c r="K310" t="n">
        <v>0</v>
      </c>
      <c r="L310" t="n">
        <v>0</v>
      </c>
      <c r="M310" t="n">
        <v>0</v>
      </c>
      <c r="N310" t="n">
        <v>0</v>
      </c>
      <c r="O310" t="n">
        <v>0</v>
      </c>
      <c r="P310" t="n">
        <v>0</v>
      </c>
      <c r="Q310" t="n">
        <v>0</v>
      </c>
      <c r="R310" s="2" t="inlineStr"/>
    </row>
    <row r="311" ht="15" customHeight="1">
      <c r="A311" t="inlineStr">
        <is>
          <t>A 14255-2024</t>
        </is>
      </c>
      <c r="B311" s="1" t="n">
        <v>45393</v>
      </c>
      <c r="C311" s="1" t="n">
        <v>46136</v>
      </c>
      <c r="D311" t="inlineStr">
        <is>
          <t>SKÅNE LÄN</t>
        </is>
      </c>
      <c r="E311" t="inlineStr">
        <is>
          <t>HÄSSLEHOLM</t>
        </is>
      </c>
      <c r="G311" t="n">
        <v>11.9</v>
      </c>
      <c r="H311" t="n">
        <v>0</v>
      </c>
      <c r="I311" t="n">
        <v>0</v>
      </c>
      <c r="J311" t="n">
        <v>0</v>
      </c>
      <c r="K311" t="n">
        <v>0</v>
      </c>
      <c r="L311" t="n">
        <v>0</v>
      </c>
      <c r="M311" t="n">
        <v>0</v>
      </c>
      <c r="N311" t="n">
        <v>0</v>
      </c>
      <c r="O311" t="n">
        <v>0</v>
      </c>
      <c r="P311" t="n">
        <v>0</v>
      </c>
      <c r="Q311" t="n">
        <v>0</v>
      </c>
      <c r="R311" s="2" t="inlineStr"/>
    </row>
    <row r="312" ht="15" customHeight="1">
      <c r="A312" t="inlineStr">
        <is>
          <t>A 20058-2023</t>
        </is>
      </c>
      <c r="B312" s="1" t="n">
        <v>45054.68476851852</v>
      </c>
      <c r="C312" s="1" t="n">
        <v>46136</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10897-2023</t>
        </is>
      </c>
      <c r="B313" s="1" t="n">
        <v>44985</v>
      </c>
      <c r="C313" s="1" t="n">
        <v>46136</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16108-2025</t>
        </is>
      </c>
      <c r="B314" s="1" t="n">
        <v>45750.34667824074</v>
      </c>
      <c r="C314" s="1" t="n">
        <v>46136</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56986-2024</t>
        </is>
      </c>
      <c r="B315" s="1" t="n">
        <v>45626</v>
      </c>
      <c r="C315" s="1" t="n">
        <v>46136</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49111-2023</t>
        </is>
      </c>
      <c r="B316" s="1" t="n">
        <v>45210.44464120371</v>
      </c>
      <c r="C316" s="1" t="n">
        <v>46136</v>
      </c>
      <c r="D316" t="inlineStr">
        <is>
          <t>SKÅNE LÄN</t>
        </is>
      </c>
      <c r="E316" t="inlineStr">
        <is>
          <t>HÄSSLEHOLM</t>
        </is>
      </c>
      <c r="G316" t="n">
        <v>0.2</v>
      </c>
      <c r="H316" t="n">
        <v>0</v>
      </c>
      <c r="I316" t="n">
        <v>0</v>
      </c>
      <c r="J316" t="n">
        <v>0</v>
      </c>
      <c r="K316" t="n">
        <v>0</v>
      </c>
      <c r="L316" t="n">
        <v>0</v>
      </c>
      <c r="M316" t="n">
        <v>0</v>
      </c>
      <c r="N316" t="n">
        <v>0</v>
      </c>
      <c r="O316" t="n">
        <v>0</v>
      </c>
      <c r="P316" t="n">
        <v>0</v>
      </c>
      <c r="Q316" t="n">
        <v>0</v>
      </c>
      <c r="R316" s="2" t="inlineStr"/>
    </row>
    <row r="317" ht="15" customHeight="1">
      <c r="A317" t="inlineStr">
        <is>
          <t>A 16368-2025</t>
        </is>
      </c>
      <c r="B317" s="1" t="n">
        <v>45751</v>
      </c>
      <c r="C317" s="1" t="n">
        <v>46136</v>
      </c>
      <c r="D317" t="inlineStr">
        <is>
          <t>SKÅNE LÄN</t>
        </is>
      </c>
      <c r="E317" t="inlineStr">
        <is>
          <t>HÄSSLEHOLM</t>
        </is>
      </c>
      <c r="G317" t="n">
        <v>5</v>
      </c>
      <c r="H317" t="n">
        <v>0</v>
      </c>
      <c r="I317" t="n">
        <v>0</v>
      </c>
      <c r="J317" t="n">
        <v>0</v>
      </c>
      <c r="K317" t="n">
        <v>0</v>
      </c>
      <c r="L317" t="n">
        <v>0</v>
      </c>
      <c r="M317" t="n">
        <v>0</v>
      </c>
      <c r="N317" t="n">
        <v>0</v>
      </c>
      <c r="O317" t="n">
        <v>0</v>
      </c>
      <c r="P317" t="n">
        <v>0</v>
      </c>
      <c r="Q317" t="n">
        <v>0</v>
      </c>
      <c r="R317" s="2" t="inlineStr"/>
    </row>
    <row r="318" ht="15" customHeight="1">
      <c r="A318" t="inlineStr">
        <is>
          <t>A 34299-2024</t>
        </is>
      </c>
      <c r="B318" s="1" t="n">
        <v>45524</v>
      </c>
      <c r="C318" s="1" t="n">
        <v>46136</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27393-2025</t>
        </is>
      </c>
      <c r="B319" s="1" t="n">
        <v>45812.68295138889</v>
      </c>
      <c r="C319" s="1" t="n">
        <v>46136</v>
      </c>
      <c r="D319" t="inlineStr">
        <is>
          <t>SKÅNE LÄN</t>
        </is>
      </c>
      <c r="E319" t="inlineStr">
        <is>
          <t>HÄSSLEHOLM</t>
        </is>
      </c>
      <c r="G319" t="n">
        <v>1</v>
      </c>
      <c r="H319" t="n">
        <v>0</v>
      </c>
      <c r="I319" t="n">
        <v>0</v>
      </c>
      <c r="J319" t="n">
        <v>0</v>
      </c>
      <c r="K319" t="n">
        <v>0</v>
      </c>
      <c r="L319" t="n">
        <v>0</v>
      </c>
      <c r="M319" t="n">
        <v>0</v>
      </c>
      <c r="N319" t="n">
        <v>0</v>
      </c>
      <c r="O319" t="n">
        <v>0</v>
      </c>
      <c r="P319" t="n">
        <v>0</v>
      </c>
      <c r="Q319" t="n">
        <v>0</v>
      </c>
      <c r="R319" s="2" t="inlineStr"/>
    </row>
    <row r="320" ht="15" customHeight="1">
      <c r="A320" t="inlineStr">
        <is>
          <t>A 4734-2025</t>
        </is>
      </c>
      <c r="B320" s="1" t="n">
        <v>45688.44030092593</v>
      </c>
      <c r="C320" s="1" t="n">
        <v>46136</v>
      </c>
      <c r="D320" t="inlineStr">
        <is>
          <t>SKÅNE LÄN</t>
        </is>
      </c>
      <c r="E320" t="inlineStr">
        <is>
          <t>HÄSSLEHOLM</t>
        </is>
      </c>
      <c r="G320" t="n">
        <v>19.6</v>
      </c>
      <c r="H320" t="n">
        <v>0</v>
      </c>
      <c r="I320" t="n">
        <v>0</v>
      </c>
      <c r="J320" t="n">
        <v>0</v>
      </c>
      <c r="K320" t="n">
        <v>0</v>
      </c>
      <c r="L320" t="n">
        <v>0</v>
      </c>
      <c r="M320" t="n">
        <v>0</v>
      </c>
      <c r="N320" t="n">
        <v>0</v>
      </c>
      <c r="O320" t="n">
        <v>0</v>
      </c>
      <c r="P320" t="n">
        <v>0</v>
      </c>
      <c r="Q320" t="n">
        <v>0</v>
      </c>
      <c r="R320" s="2" t="inlineStr"/>
    </row>
    <row r="321" ht="15" customHeight="1">
      <c r="A321" t="inlineStr">
        <is>
          <t>A 60846-2022</t>
        </is>
      </c>
      <c r="B321" s="1" t="n">
        <v>44914</v>
      </c>
      <c r="C321" s="1" t="n">
        <v>46136</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54408-2024</t>
        </is>
      </c>
      <c r="B322" s="1" t="n">
        <v>45617.47263888889</v>
      </c>
      <c r="C322" s="1" t="n">
        <v>46136</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14008-2023</t>
        </is>
      </c>
      <c r="B323" s="1" t="n">
        <v>45008.56725694444</v>
      </c>
      <c r="C323" s="1" t="n">
        <v>46136</v>
      </c>
      <c r="D323" t="inlineStr">
        <is>
          <t>SKÅNE LÄN</t>
        </is>
      </c>
      <c r="E323" t="inlineStr">
        <is>
          <t>HÄSSLEHOLM</t>
        </is>
      </c>
      <c r="G323" t="n">
        <v>3.3</v>
      </c>
      <c r="H323" t="n">
        <v>0</v>
      </c>
      <c r="I323" t="n">
        <v>0</v>
      </c>
      <c r="J323" t="n">
        <v>0</v>
      </c>
      <c r="K323" t="n">
        <v>0</v>
      </c>
      <c r="L323" t="n">
        <v>0</v>
      </c>
      <c r="M323" t="n">
        <v>0</v>
      </c>
      <c r="N323" t="n">
        <v>0</v>
      </c>
      <c r="O323" t="n">
        <v>0</v>
      </c>
      <c r="P323" t="n">
        <v>0</v>
      </c>
      <c r="Q323" t="n">
        <v>0</v>
      </c>
      <c r="R323" s="2" t="inlineStr"/>
    </row>
    <row r="324" ht="15" customHeight="1">
      <c r="A324" t="inlineStr">
        <is>
          <t>A 20493-2024</t>
        </is>
      </c>
      <c r="B324" s="1" t="n">
        <v>45435</v>
      </c>
      <c r="C324" s="1" t="n">
        <v>46136</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13851-2025</t>
        </is>
      </c>
      <c r="B325" s="1" t="n">
        <v>45737.56777777777</v>
      </c>
      <c r="C325" s="1" t="n">
        <v>46136</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3298-2026</t>
        </is>
      </c>
      <c r="B326" s="1" t="n">
        <v>46041</v>
      </c>
      <c r="C326" s="1" t="n">
        <v>46136</v>
      </c>
      <c r="D326" t="inlineStr">
        <is>
          <t>SKÅNE LÄN</t>
        </is>
      </c>
      <c r="E326" t="inlineStr">
        <is>
          <t>HÄSSLEHOLM</t>
        </is>
      </c>
      <c r="G326" t="n">
        <v>1.2</v>
      </c>
      <c r="H326" t="n">
        <v>0</v>
      </c>
      <c r="I326" t="n">
        <v>0</v>
      </c>
      <c r="J326" t="n">
        <v>0</v>
      </c>
      <c r="K326" t="n">
        <v>0</v>
      </c>
      <c r="L326" t="n">
        <v>0</v>
      </c>
      <c r="M326" t="n">
        <v>0</v>
      </c>
      <c r="N326" t="n">
        <v>0</v>
      </c>
      <c r="O326" t="n">
        <v>0</v>
      </c>
      <c r="P326" t="n">
        <v>0</v>
      </c>
      <c r="Q326" t="n">
        <v>0</v>
      </c>
      <c r="R326" s="2" t="inlineStr"/>
    </row>
    <row r="327" ht="15" customHeight="1">
      <c r="A327" t="inlineStr">
        <is>
          <t>A 41874-2024</t>
        </is>
      </c>
      <c r="B327" s="1" t="n">
        <v>45561</v>
      </c>
      <c r="C327" s="1" t="n">
        <v>46136</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11798-2022</t>
        </is>
      </c>
      <c r="B328" s="1" t="n">
        <v>44634.64900462963</v>
      </c>
      <c r="C328" s="1" t="n">
        <v>46136</v>
      </c>
      <c r="D328" t="inlineStr">
        <is>
          <t>SKÅNE LÄN</t>
        </is>
      </c>
      <c r="E328" t="inlineStr">
        <is>
          <t>HÄSSLEHOLM</t>
        </is>
      </c>
      <c r="G328" t="n">
        <v>2.8</v>
      </c>
      <c r="H328" t="n">
        <v>0</v>
      </c>
      <c r="I328" t="n">
        <v>0</v>
      </c>
      <c r="J328" t="n">
        <v>0</v>
      </c>
      <c r="K328" t="n">
        <v>0</v>
      </c>
      <c r="L328" t="n">
        <v>0</v>
      </c>
      <c r="M328" t="n">
        <v>0</v>
      </c>
      <c r="N328" t="n">
        <v>0</v>
      </c>
      <c r="O328" t="n">
        <v>0</v>
      </c>
      <c r="P328" t="n">
        <v>0</v>
      </c>
      <c r="Q328" t="n">
        <v>0</v>
      </c>
      <c r="R328" s="2" t="inlineStr"/>
    </row>
    <row r="329" ht="15" customHeight="1">
      <c r="A329" t="inlineStr">
        <is>
          <t>A 13890-2024</t>
        </is>
      </c>
      <c r="B329" s="1" t="n">
        <v>45391</v>
      </c>
      <c r="C329" s="1" t="n">
        <v>46136</v>
      </c>
      <c r="D329" t="inlineStr">
        <is>
          <t>SKÅNE LÄN</t>
        </is>
      </c>
      <c r="E329" t="inlineStr">
        <is>
          <t>HÄSSLEHOLM</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3904-2026</t>
        </is>
      </c>
      <c r="B330" s="1" t="n">
        <v>46043.69711805556</v>
      </c>
      <c r="C330" s="1" t="n">
        <v>46136</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39223-2024</t>
        </is>
      </c>
      <c r="B331" s="1" t="n">
        <v>45550</v>
      </c>
      <c r="C331" s="1" t="n">
        <v>46136</v>
      </c>
      <c r="D331" t="inlineStr">
        <is>
          <t>SKÅNE LÄN</t>
        </is>
      </c>
      <c r="E331" t="inlineStr">
        <is>
          <t>HÄSSLEHOLM</t>
        </is>
      </c>
      <c r="G331" t="n">
        <v>3.1</v>
      </c>
      <c r="H331" t="n">
        <v>0</v>
      </c>
      <c r="I331" t="n">
        <v>0</v>
      </c>
      <c r="J331" t="n">
        <v>0</v>
      </c>
      <c r="K331" t="n">
        <v>0</v>
      </c>
      <c r="L331" t="n">
        <v>0</v>
      </c>
      <c r="M331" t="n">
        <v>0</v>
      </c>
      <c r="N331" t="n">
        <v>0</v>
      </c>
      <c r="O331" t="n">
        <v>0</v>
      </c>
      <c r="P331" t="n">
        <v>0</v>
      </c>
      <c r="Q331" t="n">
        <v>0</v>
      </c>
      <c r="R331" s="2" t="inlineStr"/>
    </row>
    <row r="332" ht="15" customHeight="1">
      <c r="A332" t="inlineStr">
        <is>
          <t>A 28240-2025</t>
        </is>
      </c>
      <c r="B332" s="1" t="n">
        <v>45817</v>
      </c>
      <c r="C332" s="1" t="n">
        <v>46136</v>
      </c>
      <c r="D332" t="inlineStr">
        <is>
          <t>SKÅNE LÄN</t>
        </is>
      </c>
      <c r="E332" t="inlineStr">
        <is>
          <t>HÄSSLEHOLM</t>
        </is>
      </c>
      <c r="G332" t="n">
        <v>7.7</v>
      </c>
      <c r="H332" t="n">
        <v>0</v>
      </c>
      <c r="I332" t="n">
        <v>0</v>
      </c>
      <c r="J332" t="n">
        <v>0</v>
      </c>
      <c r="K332" t="n">
        <v>0</v>
      </c>
      <c r="L332" t="n">
        <v>0</v>
      </c>
      <c r="M332" t="n">
        <v>0</v>
      </c>
      <c r="N332" t="n">
        <v>0</v>
      </c>
      <c r="O332" t="n">
        <v>0</v>
      </c>
      <c r="P332" t="n">
        <v>0</v>
      </c>
      <c r="Q332" t="n">
        <v>0</v>
      </c>
      <c r="R332" s="2" t="inlineStr"/>
    </row>
    <row r="333" ht="15" customHeight="1">
      <c r="A333" t="inlineStr">
        <is>
          <t>A 13932-2023</t>
        </is>
      </c>
      <c r="B333" s="1" t="n">
        <v>45008.43935185186</v>
      </c>
      <c r="C333" s="1" t="n">
        <v>46136</v>
      </c>
      <c r="D333" t="inlineStr">
        <is>
          <t>SKÅNE LÄN</t>
        </is>
      </c>
      <c r="E333" t="inlineStr">
        <is>
          <t>HÄSSLEHOLM</t>
        </is>
      </c>
      <c r="G333" t="n">
        <v>3.3</v>
      </c>
      <c r="H333" t="n">
        <v>0</v>
      </c>
      <c r="I333" t="n">
        <v>0</v>
      </c>
      <c r="J333" t="n">
        <v>0</v>
      </c>
      <c r="K333" t="n">
        <v>0</v>
      </c>
      <c r="L333" t="n">
        <v>0</v>
      </c>
      <c r="M333" t="n">
        <v>0</v>
      </c>
      <c r="N333" t="n">
        <v>0</v>
      </c>
      <c r="O333" t="n">
        <v>0</v>
      </c>
      <c r="P333" t="n">
        <v>0</v>
      </c>
      <c r="Q333" t="n">
        <v>0</v>
      </c>
      <c r="R333" s="2" t="inlineStr"/>
    </row>
    <row r="334" ht="15" customHeight="1">
      <c r="A334" t="inlineStr">
        <is>
          <t>A 3715-2026</t>
        </is>
      </c>
      <c r="B334" s="1" t="n">
        <v>46043.48746527778</v>
      </c>
      <c r="C334" s="1" t="n">
        <v>46136</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28095-2025</t>
        </is>
      </c>
      <c r="B335" s="1" t="n">
        <v>45817</v>
      </c>
      <c r="C335" s="1" t="n">
        <v>46136</v>
      </c>
      <c r="D335" t="inlineStr">
        <is>
          <t>SKÅNE LÄN</t>
        </is>
      </c>
      <c r="E335" t="inlineStr">
        <is>
          <t>HÄSSLEHOLM</t>
        </is>
      </c>
      <c r="G335" t="n">
        <v>2.5</v>
      </c>
      <c r="H335" t="n">
        <v>0</v>
      </c>
      <c r="I335" t="n">
        <v>0</v>
      </c>
      <c r="J335" t="n">
        <v>0</v>
      </c>
      <c r="K335" t="n">
        <v>0</v>
      </c>
      <c r="L335" t="n">
        <v>0</v>
      </c>
      <c r="M335" t="n">
        <v>0</v>
      </c>
      <c r="N335" t="n">
        <v>0</v>
      </c>
      <c r="O335" t="n">
        <v>0</v>
      </c>
      <c r="P335" t="n">
        <v>0</v>
      </c>
      <c r="Q335" t="n">
        <v>0</v>
      </c>
      <c r="R335" s="2" t="inlineStr"/>
    </row>
    <row r="336" ht="15" customHeight="1">
      <c r="A336" t="inlineStr">
        <is>
          <t>A 17138-2025</t>
        </is>
      </c>
      <c r="B336" s="1" t="n">
        <v>45755.80378472222</v>
      </c>
      <c r="C336" s="1" t="n">
        <v>46136</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3862-2026</t>
        </is>
      </c>
      <c r="B337" s="1" t="n">
        <v>46043.62646990741</v>
      </c>
      <c r="C337" s="1" t="n">
        <v>46136</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15512-2025</t>
        </is>
      </c>
      <c r="B338" s="1" t="n">
        <v>45747</v>
      </c>
      <c r="C338" s="1" t="n">
        <v>46136</v>
      </c>
      <c r="D338" t="inlineStr">
        <is>
          <t>SKÅNE LÄN</t>
        </is>
      </c>
      <c r="E338" t="inlineStr">
        <is>
          <t>HÄSSLEHOLM</t>
        </is>
      </c>
      <c r="G338" t="n">
        <v>3.5</v>
      </c>
      <c r="H338" t="n">
        <v>0</v>
      </c>
      <c r="I338" t="n">
        <v>0</v>
      </c>
      <c r="J338" t="n">
        <v>0</v>
      </c>
      <c r="K338" t="n">
        <v>0</v>
      </c>
      <c r="L338" t="n">
        <v>0</v>
      </c>
      <c r="M338" t="n">
        <v>0</v>
      </c>
      <c r="N338" t="n">
        <v>0</v>
      </c>
      <c r="O338" t="n">
        <v>0</v>
      </c>
      <c r="P338" t="n">
        <v>0</v>
      </c>
      <c r="Q338" t="n">
        <v>0</v>
      </c>
      <c r="R338" s="2" t="inlineStr"/>
    </row>
    <row r="339" ht="15" customHeight="1">
      <c r="A339" t="inlineStr">
        <is>
          <t>A 27940-2025</t>
        </is>
      </c>
      <c r="B339" s="1" t="n">
        <v>45817.50439814815</v>
      </c>
      <c r="C339" s="1" t="n">
        <v>46136</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27887-2025</t>
        </is>
      </c>
      <c r="B340" s="1" t="n">
        <v>45817.45994212963</v>
      </c>
      <c r="C340" s="1" t="n">
        <v>46136</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49827-2022</t>
        </is>
      </c>
      <c r="B341" s="1" t="n">
        <v>44859</v>
      </c>
      <c r="C341" s="1" t="n">
        <v>46136</v>
      </c>
      <c r="D341" t="inlineStr">
        <is>
          <t>SKÅNE LÄN</t>
        </is>
      </c>
      <c r="E341" t="inlineStr">
        <is>
          <t>HÄSSLEHOLM</t>
        </is>
      </c>
      <c r="G341" t="n">
        <v>6.1</v>
      </c>
      <c r="H341" t="n">
        <v>0</v>
      </c>
      <c r="I341" t="n">
        <v>0</v>
      </c>
      <c r="J341" t="n">
        <v>0</v>
      </c>
      <c r="K341" t="n">
        <v>0</v>
      </c>
      <c r="L341" t="n">
        <v>0</v>
      </c>
      <c r="M341" t="n">
        <v>0</v>
      </c>
      <c r="N341" t="n">
        <v>0</v>
      </c>
      <c r="O341" t="n">
        <v>0</v>
      </c>
      <c r="P341" t="n">
        <v>0</v>
      </c>
      <c r="Q341" t="n">
        <v>0</v>
      </c>
      <c r="R341" s="2" t="inlineStr"/>
    </row>
    <row r="342" ht="15" customHeight="1">
      <c r="A342" t="inlineStr">
        <is>
          <t>A 14700-2023</t>
        </is>
      </c>
      <c r="B342" s="1" t="n">
        <v>45014.38376157408</v>
      </c>
      <c r="C342" s="1" t="n">
        <v>46136</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28251-2025</t>
        </is>
      </c>
      <c r="B343" s="1" t="n">
        <v>45817</v>
      </c>
      <c r="C343" s="1" t="n">
        <v>46136</v>
      </c>
      <c r="D343" t="inlineStr">
        <is>
          <t>SKÅNE LÄN</t>
        </is>
      </c>
      <c r="E343" t="inlineStr">
        <is>
          <t>HÄSSLEHOLM</t>
        </is>
      </c>
      <c r="G343" t="n">
        <v>7.2</v>
      </c>
      <c r="H343" t="n">
        <v>0</v>
      </c>
      <c r="I343" t="n">
        <v>0</v>
      </c>
      <c r="J343" t="n">
        <v>0</v>
      </c>
      <c r="K343" t="n">
        <v>0</v>
      </c>
      <c r="L343" t="n">
        <v>0</v>
      </c>
      <c r="M343" t="n">
        <v>0</v>
      </c>
      <c r="N343" t="n">
        <v>0</v>
      </c>
      <c r="O343" t="n">
        <v>0</v>
      </c>
      <c r="P343" t="n">
        <v>0</v>
      </c>
      <c r="Q343" t="n">
        <v>0</v>
      </c>
      <c r="R343" s="2" t="inlineStr"/>
    </row>
    <row r="344" ht="15" customHeight="1">
      <c r="A344" t="inlineStr">
        <is>
          <t>A 3531-2023</t>
        </is>
      </c>
      <c r="B344" s="1" t="n">
        <v>44950</v>
      </c>
      <c r="C344" s="1" t="n">
        <v>46136</v>
      </c>
      <c r="D344" t="inlineStr">
        <is>
          <t>SKÅNE LÄN</t>
        </is>
      </c>
      <c r="E344" t="inlineStr">
        <is>
          <t>HÄSSLEHOLM</t>
        </is>
      </c>
      <c r="G344" t="n">
        <v>10.1</v>
      </c>
      <c r="H344" t="n">
        <v>0</v>
      </c>
      <c r="I344" t="n">
        <v>0</v>
      </c>
      <c r="J344" t="n">
        <v>0</v>
      </c>
      <c r="K344" t="n">
        <v>0</v>
      </c>
      <c r="L344" t="n">
        <v>0</v>
      </c>
      <c r="M344" t="n">
        <v>0</v>
      </c>
      <c r="N344" t="n">
        <v>0</v>
      </c>
      <c r="O344" t="n">
        <v>0</v>
      </c>
      <c r="P344" t="n">
        <v>0</v>
      </c>
      <c r="Q344" t="n">
        <v>0</v>
      </c>
      <c r="R344" s="2" t="inlineStr"/>
    </row>
    <row r="345" ht="15" customHeight="1">
      <c r="A345" t="inlineStr">
        <is>
          <t>A 27934-2025</t>
        </is>
      </c>
      <c r="B345" s="1" t="n">
        <v>45817.49761574074</v>
      </c>
      <c r="C345" s="1" t="n">
        <v>46136</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4579-2025</t>
        </is>
      </c>
      <c r="B346" s="1" t="n">
        <v>45687.5009375</v>
      </c>
      <c r="C346" s="1" t="n">
        <v>46136</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26403-2024</t>
        </is>
      </c>
      <c r="B347" s="1" t="n">
        <v>45469.44505787037</v>
      </c>
      <c r="C347" s="1" t="n">
        <v>46136</v>
      </c>
      <c r="D347" t="inlineStr">
        <is>
          <t>SKÅNE LÄN</t>
        </is>
      </c>
      <c r="E347" t="inlineStr">
        <is>
          <t>HÄSSLEHOLM</t>
        </is>
      </c>
      <c r="G347" t="n">
        <v>2.6</v>
      </c>
      <c r="H347" t="n">
        <v>0</v>
      </c>
      <c r="I347" t="n">
        <v>0</v>
      </c>
      <c r="J347" t="n">
        <v>0</v>
      </c>
      <c r="K347" t="n">
        <v>0</v>
      </c>
      <c r="L347" t="n">
        <v>0</v>
      </c>
      <c r="M347" t="n">
        <v>0</v>
      </c>
      <c r="N347" t="n">
        <v>0</v>
      </c>
      <c r="O347" t="n">
        <v>0</v>
      </c>
      <c r="P347" t="n">
        <v>0</v>
      </c>
      <c r="Q347" t="n">
        <v>0</v>
      </c>
      <c r="R347" s="2" t="inlineStr"/>
    </row>
    <row r="348" ht="15" customHeight="1">
      <c r="A348" t="inlineStr">
        <is>
          <t>A 26403-2024</t>
        </is>
      </c>
      <c r="B348" s="1" t="n">
        <v>45469.44505787037</v>
      </c>
      <c r="C348" s="1" t="n">
        <v>46136</v>
      </c>
      <c r="D348" t="inlineStr">
        <is>
          <t>SKÅNE LÄN</t>
        </is>
      </c>
      <c r="E348" t="inlineStr">
        <is>
          <t>HÄSSLEHOLM</t>
        </is>
      </c>
      <c r="G348" t="n">
        <v>2.6</v>
      </c>
      <c r="H348" t="n">
        <v>0</v>
      </c>
      <c r="I348" t="n">
        <v>0</v>
      </c>
      <c r="J348" t="n">
        <v>0</v>
      </c>
      <c r="K348" t="n">
        <v>0</v>
      </c>
      <c r="L348" t="n">
        <v>0</v>
      </c>
      <c r="M348" t="n">
        <v>0</v>
      </c>
      <c r="N348" t="n">
        <v>0</v>
      </c>
      <c r="O348" t="n">
        <v>0</v>
      </c>
      <c r="P348" t="n">
        <v>0</v>
      </c>
      <c r="Q348" t="n">
        <v>0</v>
      </c>
      <c r="R348" s="2" t="inlineStr"/>
    </row>
    <row r="349" ht="15" customHeight="1">
      <c r="A349" t="inlineStr">
        <is>
          <t>A 18623-2023</t>
        </is>
      </c>
      <c r="B349" s="1" t="n">
        <v>45043</v>
      </c>
      <c r="C349" s="1" t="n">
        <v>46136</v>
      </c>
      <c r="D349" t="inlineStr">
        <is>
          <t>SKÅNE LÄN</t>
        </is>
      </c>
      <c r="E349" t="inlineStr">
        <is>
          <t>HÄSSLEHOLM</t>
        </is>
      </c>
      <c r="G349" t="n">
        <v>3.2</v>
      </c>
      <c r="H349" t="n">
        <v>0</v>
      </c>
      <c r="I349" t="n">
        <v>0</v>
      </c>
      <c r="J349" t="n">
        <v>0</v>
      </c>
      <c r="K349" t="n">
        <v>0</v>
      </c>
      <c r="L349" t="n">
        <v>0</v>
      </c>
      <c r="M349" t="n">
        <v>0</v>
      </c>
      <c r="N349" t="n">
        <v>0</v>
      </c>
      <c r="O349" t="n">
        <v>0</v>
      </c>
      <c r="P349" t="n">
        <v>0</v>
      </c>
      <c r="Q349" t="n">
        <v>0</v>
      </c>
      <c r="R349" s="2" t="inlineStr"/>
    </row>
    <row r="350" ht="15" customHeight="1">
      <c r="A350" t="inlineStr">
        <is>
          <t>A 28122-2025</t>
        </is>
      </c>
      <c r="B350" s="1" t="n">
        <v>45817</v>
      </c>
      <c r="C350" s="1" t="n">
        <v>46136</v>
      </c>
      <c r="D350" t="inlineStr">
        <is>
          <t>SKÅNE LÄN</t>
        </is>
      </c>
      <c r="E350" t="inlineStr">
        <is>
          <t>HÄSSLEHOLM</t>
        </is>
      </c>
      <c r="G350" t="n">
        <v>2.4</v>
      </c>
      <c r="H350" t="n">
        <v>0</v>
      </c>
      <c r="I350" t="n">
        <v>0</v>
      </c>
      <c r="J350" t="n">
        <v>0</v>
      </c>
      <c r="K350" t="n">
        <v>0</v>
      </c>
      <c r="L350" t="n">
        <v>0</v>
      </c>
      <c r="M350" t="n">
        <v>0</v>
      </c>
      <c r="N350" t="n">
        <v>0</v>
      </c>
      <c r="O350" t="n">
        <v>0</v>
      </c>
      <c r="P350" t="n">
        <v>0</v>
      </c>
      <c r="Q350" t="n">
        <v>0</v>
      </c>
      <c r="R350" s="2" t="inlineStr"/>
    </row>
    <row r="351" ht="15" customHeight="1">
      <c r="A351" t="inlineStr">
        <is>
          <t>A 10115-2024</t>
        </is>
      </c>
      <c r="B351" s="1" t="n">
        <v>45364.55339120371</v>
      </c>
      <c r="C351" s="1" t="n">
        <v>46136</v>
      </c>
      <c r="D351" t="inlineStr">
        <is>
          <t>SKÅNE LÄN</t>
        </is>
      </c>
      <c r="E351" t="inlineStr">
        <is>
          <t>HÄSSLEHOLM</t>
        </is>
      </c>
      <c r="G351" t="n">
        <v>7</v>
      </c>
      <c r="H351" t="n">
        <v>0</v>
      </c>
      <c r="I351" t="n">
        <v>0</v>
      </c>
      <c r="J351" t="n">
        <v>0</v>
      </c>
      <c r="K351" t="n">
        <v>0</v>
      </c>
      <c r="L351" t="n">
        <v>0</v>
      </c>
      <c r="M351" t="n">
        <v>0</v>
      </c>
      <c r="N351" t="n">
        <v>0</v>
      </c>
      <c r="O351" t="n">
        <v>0</v>
      </c>
      <c r="P351" t="n">
        <v>0</v>
      </c>
      <c r="Q351" t="n">
        <v>0</v>
      </c>
      <c r="R351" s="2" t="inlineStr"/>
    </row>
    <row r="352" ht="15" customHeight="1">
      <c r="A352" t="inlineStr">
        <is>
          <t>A 3663-2024</t>
        </is>
      </c>
      <c r="B352" s="1" t="n">
        <v>45321.34775462963</v>
      </c>
      <c r="C352" s="1" t="n">
        <v>46136</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67801-2021</t>
        </is>
      </c>
      <c r="B353" s="1" t="n">
        <v>44525</v>
      </c>
      <c r="C353" s="1" t="n">
        <v>46136</v>
      </c>
      <c r="D353" t="inlineStr">
        <is>
          <t>SKÅNE LÄN</t>
        </is>
      </c>
      <c r="E353" t="inlineStr">
        <is>
          <t>HÄSSLEHOLM</t>
        </is>
      </c>
      <c r="G353" t="n">
        <v>2.2</v>
      </c>
      <c r="H353" t="n">
        <v>0</v>
      </c>
      <c r="I353" t="n">
        <v>0</v>
      </c>
      <c r="J353" t="n">
        <v>0</v>
      </c>
      <c r="K353" t="n">
        <v>0</v>
      </c>
      <c r="L353" t="n">
        <v>0</v>
      </c>
      <c r="M353" t="n">
        <v>0</v>
      </c>
      <c r="N353" t="n">
        <v>0</v>
      </c>
      <c r="O353" t="n">
        <v>0</v>
      </c>
      <c r="P353" t="n">
        <v>0</v>
      </c>
      <c r="Q353" t="n">
        <v>0</v>
      </c>
      <c r="R353" s="2" t="inlineStr"/>
    </row>
    <row r="354" ht="15" customHeight="1">
      <c r="A354" t="inlineStr">
        <is>
          <t>A 45398-2024</t>
        </is>
      </c>
      <c r="B354" s="1" t="n">
        <v>45576.56260416667</v>
      </c>
      <c r="C354" s="1" t="n">
        <v>46136</v>
      </c>
      <c r="D354" t="inlineStr">
        <is>
          <t>SKÅNE LÄN</t>
        </is>
      </c>
      <c r="E354" t="inlineStr">
        <is>
          <t>HÄSSLEHOLM</t>
        </is>
      </c>
      <c r="G354" t="n">
        <v>4.2</v>
      </c>
      <c r="H354" t="n">
        <v>0</v>
      </c>
      <c r="I354" t="n">
        <v>0</v>
      </c>
      <c r="J354" t="n">
        <v>0</v>
      </c>
      <c r="K354" t="n">
        <v>0</v>
      </c>
      <c r="L354" t="n">
        <v>0</v>
      </c>
      <c r="M354" t="n">
        <v>0</v>
      </c>
      <c r="N354" t="n">
        <v>0</v>
      </c>
      <c r="O354" t="n">
        <v>0</v>
      </c>
      <c r="P354" t="n">
        <v>0</v>
      </c>
      <c r="Q354" t="n">
        <v>0</v>
      </c>
      <c r="R354" s="2" t="inlineStr"/>
    </row>
    <row r="355" ht="15" customHeight="1">
      <c r="A355" t="inlineStr">
        <is>
          <t>A 4809-2025</t>
        </is>
      </c>
      <c r="B355" s="1" t="n">
        <v>45688.60148148148</v>
      </c>
      <c r="C355" s="1" t="n">
        <v>46136</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59030-2024</t>
        </is>
      </c>
      <c r="B356" s="1" t="n">
        <v>45636.68916666666</v>
      </c>
      <c r="C356" s="1" t="n">
        <v>46136</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4981-2026</t>
        </is>
      </c>
      <c r="B357" s="1" t="n">
        <v>46049.37100694444</v>
      </c>
      <c r="C357" s="1" t="n">
        <v>46136</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24776-2025</t>
        </is>
      </c>
      <c r="B358" s="1" t="n">
        <v>45799.40640046296</v>
      </c>
      <c r="C358" s="1" t="n">
        <v>46136</v>
      </c>
      <c r="D358" t="inlineStr">
        <is>
          <t>SKÅNE LÄN</t>
        </is>
      </c>
      <c r="E358" t="inlineStr">
        <is>
          <t>HÄSSLEHOLM</t>
        </is>
      </c>
      <c r="G358" t="n">
        <v>5.4</v>
      </c>
      <c r="H358" t="n">
        <v>0</v>
      </c>
      <c r="I358" t="n">
        <v>0</v>
      </c>
      <c r="J358" t="n">
        <v>0</v>
      </c>
      <c r="K358" t="n">
        <v>0</v>
      </c>
      <c r="L358" t="n">
        <v>0</v>
      </c>
      <c r="M358" t="n">
        <v>0</v>
      </c>
      <c r="N358" t="n">
        <v>0</v>
      </c>
      <c r="O358" t="n">
        <v>0</v>
      </c>
      <c r="P358" t="n">
        <v>0</v>
      </c>
      <c r="Q358" t="n">
        <v>0</v>
      </c>
      <c r="R358" s="2" t="inlineStr"/>
    </row>
    <row r="359" ht="15" customHeight="1">
      <c r="A359" t="inlineStr">
        <is>
          <t>A 7481-2023</t>
        </is>
      </c>
      <c r="B359" s="1" t="n">
        <v>44971</v>
      </c>
      <c r="C359" s="1" t="n">
        <v>46136</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5516-2026</t>
        </is>
      </c>
      <c r="B360" s="1" t="n">
        <v>46050.64197916666</v>
      </c>
      <c r="C360" s="1" t="n">
        <v>46136</v>
      </c>
      <c r="D360" t="inlineStr">
        <is>
          <t>SKÅNE LÄN</t>
        </is>
      </c>
      <c r="E360" t="inlineStr">
        <is>
          <t>HÄSSLEHOLM</t>
        </is>
      </c>
      <c r="G360" t="n">
        <v>1.9</v>
      </c>
      <c r="H360" t="n">
        <v>0</v>
      </c>
      <c r="I360" t="n">
        <v>0</v>
      </c>
      <c r="J360" t="n">
        <v>0</v>
      </c>
      <c r="K360" t="n">
        <v>0</v>
      </c>
      <c r="L360" t="n">
        <v>0</v>
      </c>
      <c r="M360" t="n">
        <v>0</v>
      </c>
      <c r="N360" t="n">
        <v>0</v>
      </c>
      <c r="O360" t="n">
        <v>0</v>
      </c>
      <c r="P360" t="n">
        <v>0</v>
      </c>
      <c r="Q360" t="n">
        <v>0</v>
      </c>
      <c r="R360" s="2" t="inlineStr"/>
    </row>
    <row r="361" ht="15" customHeight="1">
      <c r="A361" t="inlineStr">
        <is>
          <t>A 4994-2026</t>
        </is>
      </c>
      <c r="B361" s="1" t="n">
        <v>46049</v>
      </c>
      <c r="C361" s="1" t="n">
        <v>46136</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35150-2023</t>
        </is>
      </c>
      <c r="B362" s="1" t="n">
        <v>45145</v>
      </c>
      <c r="C362" s="1" t="n">
        <v>46136</v>
      </c>
      <c r="D362" t="inlineStr">
        <is>
          <t>SKÅNE LÄN</t>
        </is>
      </c>
      <c r="E362" t="inlineStr">
        <is>
          <t>HÄSSLEHOLM</t>
        </is>
      </c>
      <c r="G362" t="n">
        <v>4.9</v>
      </c>
      <c r="H362" t="n">
        <v>0</v>
      </c>
      <c r="I362" t="n">
        <v>0</v>
      </c>
      <c r="J362" t="n">
        <v>0</v>
      </c>
      <c r="K362" t="n">
        <v>0</v>
      </c>
      <c r="L362" t="n">
        <v>0</v>
      </c>
      <c r="M362" t="n">
        <v>0</v>
      </c>
      <c r="N362" t="n">
        <v>0</v>
      </c>
      <c r="O362" t="n">
        <v>0</v>
      </c>
      <c r="P362" t="n">
        <v>0</v>
      </c>
      <c r="Q362" t="n">
        <v>0</v>
      </c>
      <c r="R362" s="2" t="inlineStr"/>
    </row>
    <row r="363" ht="15" customHeight="1">
      <c r="A363" t="inlineStr">
        <is>
          <t>A 5103-2026</t>
        </is>
      </c>
      <c r="B363" s="1" t="n">
        <v>46049.56725694444</v>
      </c>
      <c r="C363" s="1" t="n">
        <v>46136</v>
      </c>
      <c r="D363" t="inlineStr">
        <is>
          <t>SKÅNE LÄN</t>
        </is>
      </c>
      <c r="E363" t="inlineStr">
        <is>
          <t>HÄSSLEHOLM</t>
        </is>
      </c>
      <c r="G363" t="n">
        <v>5.4</v>
      </c>
      <c r="H363" t="n">
        <v>0</v>
      </c>
      <c r="I363" t="n">
        <v>0</v>
      </c>
      <c r="J363" t="n">
        <v>0</v>
      </c>
      <c r="K363" t="n">
        <v>0</v>
      </c>
      <c r="L363" t="n">
        <v>0</v>
      </c>
      <c r="M363" t="n">
        <v>0</v>
      </c>
      <c r="N363" t="n">
        <v>0</v>
      </c>
      <c r="O363" t="n">
        <v>0</v>
      </c>
      <c r="P363" t="n">
        <v>0</v>
      </c>
      <c r="Q363" t="n">
        <v>0</v>
      </c>
      <c r="R363" s="2" t="inlineStr"/>
    </row>
    <row r="364" ht="15" customHeight="1">
      <c r="A364" t="inlineStr">
        <is>
          <t>A 5497-2026</t>
        </is>
      </c>
      <c r="B364" s="1" t="n">
        <v>46050.61875</v>
      </c>
      <c r="C364" s="1" t="n">
        <v>46136</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5503-2026</t>
        </is>
      </c>
      <c r="B365" s="1" t="n">
        <v>46050.62509259259</v>
      </c>
      <c r="C365" s="1" t="n">
        <v>46136</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29170-2025</t>
        </is>
      </c>
      <c r="B366" s="1" t="n">
        <v>45821.69766203704</v>
      </c>
      <c r="C366" s="1" t="n">
        <v>46136</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12507-2022</t>
        </is>
      </c>
      <c r="B367" s="1" t="n">
        <v>44638</v>
      </c>
      <c r="C367" s="1" t="n">
        <v>46136</v>
      </c>
      <c r="D367" t="inlineStr">
        <is>
          <t>SKÅNE LÄN</t>
        </is>
      </c>
      <c r="E367" t="inlineStr">
        <is>
          <t>HÄSSLEHOLM</t>
        </is>
      </c>
      <c r="G367" t="n">
        <v>2.7</v>
      </c>
      <c r="H367" t="n">
        <v>0</v>
      </c>
      <c r="I367" t="n">
        <v>0</v>
      </c>
      <c r="J367" t="n">
        <v>0</v>
      </c>
      <c r="K367" t="n">
        <v>0</v>
      </c>
      <c r="L367" t="n">
        <v>0</v>
      </c>
      <c r="M367" t="n">
        <v>0</v>
      </c>
      <c r="N367" t="n">
        <v>0</v>
      </c>
      <c r="O367" t="n">
        <v>0</v>
      </c>
      <c r="P367" t="n">
        <v>0</v>
      </c>
      <c r="Q367" t="n">
        <v>0</v>
      </c>
      <c r="R367" s="2" t="inlineStr"/>
    </row>
    <row r="368" ht="15" customHeight="1">
      <c r="A368" t="inlineStr">
        <is>
          <t>A 29168-2025</t>
        </is>
      </c>
      <c r="B368" s="1" t="n">
        <v>45821.69547453704</v>
      </c>
      <c r="C368" s="1" t="n">
        <v>46136</v>
      </c>
      <c r="D368" t="inlineStr">
        <is>
          <t>SKÅNE LÄN</t>
        </is>
      </c>
      <c r="E368" t="inlineStr">
        <is>
          <t>HÄSSLEHOLM</t>
        </is>
      </c>
      <c r="G368" t="n">
        <v>1.7</v>
      </c>
      <c r="H368" t="n">
        <v>0</v>
      </c>
      <c r="I368" t="n">
        <v>0</v>
      </c>
      <c r="J368" t="n">
        <v>0</v>
      </c>
      <c r="K368" t="n">
        <v>0</v>
      </c>
      <c r="L368" t="n">
        <v>0</v>
      </c>
      <c r="M368" t="n">
        <v>0</v>
      </c>
      <c r="N368" t="n">
        <v>0</v>
      </c>
      <c r="O368" t="n">
        <v>0</v>
      </c>
      <c r="P368" t="n">
        <v>0</v>
      </c>
      <c r="Q368" t="n">
        <v>0</v>
      </c>
      <c r="R368" s="2" t="inlineStr"/>
    </row>
    <row r="369" ht="15" customHeight="1">
      <c r="A369" t="inlineStr">
        <is>
          <t>A 29171-2025</t>
        </is>
      </c>
      <c r="B369" s="1" t="n">
        <v>45821.69863425926</v>
      </c>
      <c r="C369" s="1" t="n">
        <v>46136</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22690-2022</t>
        </is>
      </c>
      <c r="B370" s="1" t="n">
        <v>44714.5421875</v>
      </c>
      <c r="C370" s="1" t="n">
        <v>46136</v>
      </c>
      <c r="D370" t="inlineStr">
        <is>
          <t>SKÅNE LÄN</t>
        </is>
      </c>
      <c r="E370" t="inlineStr">
        <is>
          <t>HÄSSLEHOLM</t>
        </is>
      </c>
      <c r="G370" t="n">
        <v>1.7</v>
      </c>
      <c r="H370" t="n">
        <v>0</v>
      </c>
      <c r="I370" t="n">
        <v>0</v>
      </c>
      <c r="J370" t="n">
        <v>0</v>
      </c>
      <c r="K370" t="n">
        <v>0</v>
      </c>
      <c r="L370" t="n">
        <v>0</v>
      </c>
      <c r="M370" t="n">
        <v>0</v>
      </c>
      <c r="N370" t="n">
        <v>0</v>
      </c>
      <c r="O370" t="n">
        <v>0</v>
      </c>
      <c r="P370" t="n">
        <v>0</v>
      </c>
      <c r="Q370" t="n">
        <v>0</v>
      </c>
      <c r="R370" s="2" t="inlineStr"/>
    </row>
    <row r="371" ht="15" customHeight="1">
      <c r="A371" t="inlineStr">
        <is>
          <t>A 57079-2022</t>
        </is>
      </c>
      <c r="B371" s="1" t="n">
        <v>44895</v>
      </c>
      <c r="C371" s="1" t="n">
        <v>46136</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9239-2025</t>
        </is>
      </c>
      <c r="B372" s="1" t="n">
        <v>45714</v>
      </c>
      <c r="C372" s="1" t="n">
        <v>46136</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16121-2025</t>
        </is>
      </c>
      <c r="B373" s="1" t="n">
        <v>45750.40384259259</v>
      </c>
      <c r="C373" s="1" t="n">
        <v>46136</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5757-2026</t>
        </is>
      </c>
      <c r="B374" s="1" t="n">
        <v>46051.61309027778</v>
      </c>
      <c r="C374" s="1" t="n">
        <v>46136</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28599-2024</t>
        </is>
      </c>
      <c r="B375" s="1" t="n">
        <v>45478.4247800926</v>
      </c>
      <c r="C375" s="1" t="n">
        <v>46136</v>
      </c>
      <c r="D375" t="inlineStr">
        <is>
          <t>SKÅNE LÄN</t>
        </is>
      </c>
      <c r="E375" t="inlineStr">
        <is>
          <t>HÄSSLEHOLM</t>
        </is>
      </c>
      <c r="G375" t="n">
        <v>8.6</v>
      </c>
      <c r="H375" t="n">
        <v>0</v>
      </c>
      <c r="I375" t="n">
        <v>0</v>
      </c>
      <c r="J375" t="n">
        <v>0</v>
      </c>
      <c r="K375" t="n">
        <v>0</v>
      </c>
      <c r="L375" t="n">
        <v>0</v>
      </c>
      <c r="M375" t="n">
        <v>0</v>
      </c>
      <c r="N375" t="n">
        <v>0</v>
      </c>
      <c r="O375" t="n">
        <v>0</v>
      </c>
      <c r="P375" t="n">
        <v>0</v>
      </c>
      <c r="Q375" t="n">
        <v>0</v>
      </c>
      <c r="R375" s="2" t="inlineStr"/>
    </row>
    <row r="376" ht="15" customHeight="1">
      <c r="A376" t="inlineStr">
        <is>
          <t>A 61498-2022</t>
        </is>
      </c>
      <c r="B376" s="1" t="n">
        <v>44910</v>
      </c>
      <c r="C376" s="1" t="n">
        <v>46136</v>
      </c>
      <c r="D376" t="inlineStr">
        <is>
          <t>SKÅNE LÄN</t>
        </is>
      </c>
      <c r="E376" t="inlineStr">
        <is>
          <t>HÄSSLEHOLM</t>
        </is>
      </c>
      <c r="F376" t="inlineStr">
        <is>
          <t>Kyrkan</t>
        </is>
      </c>
      <c r="G376" t="n">
        <v>3.2</v>
      </c>
      <c r="H376" t="n">
        <v>0</v>
      </c>
      <c r="I376" t="n">
        <v>0</v>
      </c>
      <c r="J376" t="n">
        <v>0</v>
      </c>
      <c r="K376" t="n">
        <v>0</v>
      </c>
      <c r="L376" t="n">
        <v>0</v>
      </c>
      <c r="M376" t="n">
        <v>0</v>
      </c>
      <c r="N376" t="n">
        <v>0</v>
      </c>
      <c r="O376" t="n">
        <v>0</v>
      </c>
      <c r="P376" t="n">
        <v>0</v>
      </c>
      <c r="Q376" t="n">
        <v>0</v>
      </c>
      <c r="R376" s="2" t="inlineStr"/>
    </row>
    <row r="377" ht="15" customHeight="1">
      <c r="A377" t="inlineStr">
        <is>
          <t>A 30010-2025</t>
        </is>
      </c>
      <c r="B377" s="1" t="n">
        <v>45826</v>
      </c>
      <c r="C377" s="1" t="n">
        <v>46136</v>
      </c>
      <c r="D377" t="inlineStr">
        <is>
          <t>SKÅNE LÄN</t>
        </is>
      </c>
      <c r="E377" t="inlineStr">
        <is>
          <t>HÄSSLEHOLM</t>
        </is>
      </c>
      <c r="G377" t="n">
        <v>4.5</v>
      </c>
      <c r="H377" t="n">
        <v>0</v>
      </c>
      <c r="I377" t="n">
        <v>0</v>
      </c>
      <c r="J377" t="n">
        <v>0</v>
      </c>
      <c r="K377" t="n">
        <v>0</v>
      </c>
      <c r="L377" t="n">
        <v>0</v>
      </c>
      <c r="M377" t="n">
        <v>0</v>
      </c>
      <c r="N377" t="n">
        <v>0</v>
      </c>
      <c r="O377" t="n">
        <v>0</v>
      </c>
      <c r="P377" t="n">
        <v>0</v>
      </c>
      <c r="Q377" t="n">
        <v>0</v>
      </c>
      <c r="R377" s="2" t="inlineStr"/>
    </row>
    <row r="378" ht="15" customHeight="1">
      <c r="A378" t="inlineStr">
        <is>
          <t>A 15417-2022</t>
        </is>
      </c>
      <c r="B378" s="1" t="n">
        <v>44659</v>
      </c>
      <c r="C378" s="1" t="n">
        <v>46136</v>
      </c>
      <c r="D378" t="inlineStr">
        <is>
          <t>SKÅNE LÄN</t>
        </is>
      </c>
      <c r="E378" t="inlineStr">
        <is>
          <t>HÄSSLEHOLM</t>
        </is>
      </c>
      <c r="F378" t="inlineStr">
        <is>
          <t>Kyrkan</t>
        </is>
      </c>
      <c r="G378" t="n">
        <v>2.9</v>
      </c>
      <c r="H378" t="n">
        <v>0</v>
      </c>
      <c r="I378" t="n">
        <v>0</v>
      </c>
      <c r="J378" t="n">
        <v>0</v>
      </c>
      <c r="K378" t="n">
        <v>0</v>
      </c>
      <c r="L378" t="n">
        <v>0</v>
      </c>
      <c r="M378" t="n">
        <v>0</v>
      </c>
      <c r="N378" t="n">
        <v>0</v>
      </c>
      <c r="O378" t="n">
        <v>0</v>
      </c>
      <c r="P378" t="n">
        <v>0</v>
      </c>
      <c r="Q378" t="n">
        <v>0</v>
      </c>
      <c r="R378" s="2" t="inlineStr"/>
    </row>
    <row r="379" ht="15" customHeight="1">
      <c r="A379" t="inlineStr">
        <is>
          <t>A 36240-2023</t>
        </is>
      </c>
      <c r="B379" s="1" t="n">
        <v>45150.89295138889</v>
      </c>
      <c r="C379" s="1" t="n">
        <v>46136</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13282-2026</t>
        </is>
      </c>
      <c r="B380" s="1" t="n">
        <v>46093.75166666666</v>
      </c>
      <c r="C380" s="1" t="n">
        <v>46136</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5759-2026</t>
        </is>
      </c>
      <c r="B381" s="1" t="n">
        <v>46051.61814814815</v>
      </c>
      <c r="C381" s="1" t="n">
        <v>46136</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20564-2023</t>
        </is>
      </c>
      <c r="B382" s="1" t="n">
        <v>45057</v>
      </c>
      <c r="C382" s="1" t="n">
        <v>46136</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58632-2025</t>
        </is>
      </c>
      <c r="B383" s="1" t="n">
        <v>45986</v>
      </c>
      <c r="C383" s="1" t="n">
        <v>46136</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11446-2025</t>
        </is>
      </c>
      <c r="B384" s="1" t="n">
        <v>45726</v>
      </c>
      <c r="C384" s="1" t="n">
        <v>46136</v>
      </c>
      <c r="D384" t="inlineStr">
        <is>
          <t>SKÅNE LÄN</t>
        </is>
      </c>
      <c r="E384" t="inlineStr">
        <is>
          <t>HÄSSLEHOLM</t>
        </is>
      </c>
      <c r="G384" t="n">
        <v>1.9</v>
      </c>
      <c r="H384" t="n">
        <v>0</v>
      </c>
      <c r="I384" t="n">
        <v>0</v>
      </c>
      <c r="J384" t="n">
        <v>0</v>
      </c>
      <c r="K384" t="n">
        <v>0</v>
      </c>
      <c r="L384" t="n">
        <v>0</v>
      </c>
      <c r="M384" t="n">
        <v>0</v>
      </c>
      <c r="N384" t="n">
        <v>0</v>
      </c>
      <c r="O384" t="n">
        <v>0</v>
      </c>
      <c r="P384" t="n">
        <v>0</v>
      </c>
      <c r="Q384" t="n">
        <v>0</v>
      </c>
      <c r="R384" s="2" t="inlineStr"/>
    </row>
    <row r="385" ht="15" customHeight="1">
      <c r="A385" t="inlineStr">
        <is>
          <t>A 41694-2024</t>
        </is>
      </c>
      <c r="B385" s="1" t="n">
        <v>45560.68341435185</v>
      </c>
      <c r="C385" s="1" t="n">
        <v>46136</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13886-2026</t>
        </is>
      </c>
      <c r="B386" s="1" t="n">
        <v>46098</v>
      </c>
      <c r="C386" s="1" t="n">
        <v>46136</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47757-2024</t>
        </is>
      </c>
      <c r="B387" s="1" t="n">
        <v>45588.55075231481</v>
      </c>
      <c r="C387" s="1" t="n">
        <v>46136</v>
      </c>
      <c r="D387" t="inlineStr">
        <is>
          <t>SKÅNE LÄN</t>
        </is>
      </c>
      <c r="E387" t="inlineStr">
        <is>
          <t>HÄSSLEHOLM</t>
        </is>
      </c>
      <c r="G387" t="n">
        <v>5.5</v>
      </c>
      <c r="H387" t="n">
        <v>0</v>
      </c>
      <c r="I387" t="n">
        <v>0</v>
      </c>
      <c r="J387" t="n">
        <v>0</v>
      </c>
      <c r="K387" t="n">
        <v>0</v>
      </c>
      <c r="L387" t="n">
        <v>0</v>
      </c>
      <c r="M387" t="n">
        <v>0</v>
      </c>
      <c r="N387" t="n">
        <v>0</v>
      </c>
      <c r="O387" t="n">
        <v>0</v>
      </c>
      <c r="P387" t="n">
        <v>0</v>
      </c>
      <c r="Q387" t="n">
        <v>0</v>
      </c>
      <c r="R387" s="2" t="inlineStr"/>
    </row>
    <row r="388" ht="15" customHeight="1">
      <c r="A388" t="inlineStr">
        <is>
          <t>A 16860-2025</t>
        </is>
      </c>
      <c r="B388" s="1" t="n">
        <v>45751</v>
      </c>
      <c r="C388" s="1" t="n">
        <v>46136</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2663-2023</t>
        </is>
      </c>
      <c r="B389" s="1" t="n">
        <v>44942</v>
      </c>
      <c r="C389" s="1" t="n">
        <v>46136</v>
      </c>
      <c r="D389" t="inlineStr">
        <is>
          <t>SKÅNE LÄN</t>
        </is>
      </c>
      <c r="E389" t="inlineStr">
        <is>
          <t>HÄSSLEHOLM</t>
        </is>
      </c>
      <c r="F389" t="inlineStr">
        <is>
          <t>Kyrkan</t>
        </is>
      </c>
      <c r="G389" t="n">
        <v>0.8</v>
      </c>
      <c r="H389" t="n">
        <v>0</v>
      </c>
      <c r="I389" t="n">
        <v>0</v>
      </c>
      <c r="J389" t="n">
        <v>0</v>
      </c>
      <c r="K389" t="n">
        <v>0</v>
      </c>
      <c r="L389" t="n">
        <v>0</v>
      </c>
      <c r="M389" t="n">
        <v>0</v>
      </c>
      <c r="N389" t="n">
        <v>0</v>
      </c>
      <c r="O389" t="n">
        <v>0</v>
      </c>
      <c r="P389" t="n">
        <v>0</v>
      </c>
      <c r="Q389" t="n">
        <v>0</v>
      </c>
      <c r="R389" s="2" t="inlineStr"/>
    </row>
    <row r="390" ht="15" customHeight="1">
      <c r="A390" t="inlineStr">
        <is>
          <t>A 9556-2025</t>
        </is>
      </c>
      <c r="B390" s="1" t="n">
        <v>45714</v>
      </c>
      <c r="C390" s="1" t="n">
        <v>46136</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7192-2025</t>
        </is>
      </c>
      <c r="B391" s="1" t="n">
        <v>45702.44746527778</v>
      </c>
      <c r="C391" s="1" t="n">
        <v>46136</v>
      </c>
      <c r="D391" t="inlineStr">
        <is>
          <t>SKÅNE LÄN</t>
        </is>
      </c>
      <c r="E391" t="inlineStr">
        <is>
          <t>HÄSSLEHOLM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27954-2022</t>
        </is>
      </c>
      <c r="B392" s="1" t="n">
        <v>44743</v>
      </c>
      <c r="C392" s="1" t="n">
        <v>46136</v>
      </c>
      <c r="D392" t="inlineStr">
        <is>
          <t>SKÅNE LÄN</t>
        </is>
      </c>
      <c r="E392" t="inlineStr">
        <is>
          <t>HÄSSLEHOLM</t>
        </is>
      </c>
      <c r="G392" t="n">
        <v>9.4</v>
      </c>
      <c r="H392" t="n">
        <v>0</v>
      </c>
      <c r="I392" t="n">
        <v>0</v>
      </c>
      <c r="J392" t="n">
        <v>0</v>
      </c>
      <c r="K392" t="n">
        <v>0</v>
      </c>
      <c r="L392" t="n">
        <v>0</v>
      </c>
      <c r="M392" t="n">
        <v>0</v>
      </c>
      <c r="N392" t="n">
        <v>0</v>
      </c>
      <c r="O392" t="n">
        <v>0</v>
      </c>
      <c r="P392" t="n">
        <v>0</v>
      </c>
      <c r="Q392" t="n">
        <v>0</v>
      </c>
      <c r="R392" s="2" t="inlineStr"/>
    </row>
    <row r="393" ht="15" customHeight="1">
      <c r="A393" t="inlineStr">
        <is>
          <t>A 13588-2026</t>
        </is>
      </c>
      <c r="B393" s="1" t="n">
        <v>46095.80452546296</v>
      </c>
      <c r="C393" s="1" t="n">
        <v>46136</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45984-2021</t>
        </is>
      </c>
      <c r="B394" s="1" t="n">
        <v>44441</v>
      </c>
      <c r="C394" s="1" t="n">
        <v>46136</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31159-2025</t>
        </is>
      </c>
      <c r="B395" s="1" t="n">
        <v>45832.65322916667</v>
      </c>
      <c r="C395" s="1" t="n">
        <v>46136</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61170-2022</t>
        </is>
      </c>
      <c r="B396" s="1" t="n">
        <v>44915.48543981482</v>
      </c>
      <c r="C396" s="1" t="n">
        <v>46136</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39453-2025</t>
        </is>
      </c>
      <c r="B397" s="1" t="n">
        <v>45889</v>
      </c>
      <c r="C397" s="1" t="n">
        <v>46136</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6835-2023</t>
        </is>
      </c>
      <c r="B398" s="1" t="n">
        <v>44967</v>
      </c>
      <c r="C398" s="1" t="n">
        <v>46136</v>
      </c>
      <c r="D398" t="inlineStr">
        <is>
          <t>SKÅNE LÄN</t>
        </is>
      </c>
      <c r="E398" t="inlineStr">
        <is>
          <t>HÄSSLEHOLM</t>
        </is>
      </c>
      <c r="G398" t="n">
        <v>4.8</v>
      </c>
      <c r="H398" t="n">
        <v>0</v>
      </c>
      <c r="I398" t="n">
        <v>0</v>
      </c>
      <c r="J398" t="n">
        <v>0</v>
      </c>
      <c r="K398" t="n">
        <v>0</v>
      </c>
      <c r="L398" t="n">
        <v>0</v>
      </c>
      <c r="M398" t="n">
        <v>0</v>
      </c>
      <c r="N398" t="n">
        <v>0</v>
      </c>
      <c r="O398" t="n">
        <v>0</v>
      </c>
      <c r="P398" t="n">
        <v>0</v>
      </c>
      <c r="Q398" t="n">
        <v>0</v>
      </c>
      <c r="R398" s="2" t="inlineStr"/>
    </row>
    <row r="399" ht="15" customHeight="1">
      <c r="A399" t="inlineStr">
        <is>
          <t>A 6309-2026</t>
        </is>
      </c>
      <c r="B399" s="1" t="n">
        <v>46055.57369212963</v>
      </c>
      <c r="C399" s="1" t="n">
        <v>46136</v>
      </c>
      <c r="D399" t="inlineStr">
        <is>
          <t>SKÅNE LÄN</t>
        </is>
      </c>
      <c r="E399" t="inlineStr">
        <is>
          <t>HÄSSLEHOLM</t>
        </is>
      </c>
      <c r="G399" t="n">
        <v>3.5</v>
      </c>
      <c r="H399" t="n">
        <v>0</v>
      </c>
      <c r="I399" t="n">
        <v>0</v>
      </c>
      <c r="J399" t="n">
        <v>0</v>
      </c>
      <c r="K399" t="n">
        <v>0</v>
      </c>
      <c r="L399" t="n">
        <v>0</v>
      </c>
      <c r="M399" t="n">
        <v>0</v>
      </c>
      <c r="N399" t="n">
        <v>0</v>
      </c>
      <c r="O399" t="n">
        <v>0</v>
      </c>
      <c r="P399" t="n">
        <v>0</v>
      </c>
      <c r="Q399" t="n">
        <v>0</v>
      </c>
      <c r="R399" s="2" t="inlineStr"/>
    </row>
    <row r="400" ht="15" customHeight="1">
      <c r="A400" t="inlineStr">
        <is>
          <t>A 6299-2026</t>
        </is>
      </c>
      <c r="B400" s="1" t="n">
        <v>46055.56623842593</v>
      </c>
      <c r="C400" s="1" t="n">
        <v>46136</v>
      </c>
      <c r="D400" t="inlineStr">
        <is>
          <t>SKÅNE LÄN</t>
        </is>
      </c>
      <c r="E400" t="inlineStr">
        <is>
          <t>HÄSSLEHOLM</t>
        </is>
      </c>
      <c r="G400" t="n">
        <v>5.2</v>
      </c>
      <c r="H400" t="n">
        <v>0</v>
      </c>
      <c r="I400" t="n">
        <v>0</v>
      </c>
      <c r="J400" t="n">
        <v>0</v>
      </c>
      <c r="K400" t="n">
        <v>0</v>
      </c>
      <c r="L400" t="n">
        <v>0</v>
      </c>
      <c r="M400" t="n">
        <v>0</v>
      </c>
      <c r="N400" t="n">
        <v>0</v>
      </c>
      <c r="O400" t="n">
        <v>0</v>
      </c>
      <c r="P400" t="n">
        <v>0</v>
      </c>
      <c r="Q400" t="n">
        <v>0</v>
      </c>
      <c r="R400" s="2" t="inlineStr"/>
    </row>
    <row r="401" ht="15" customHeight="1">
      <c r="A401" t="inlineStr">
        <is>
          <t>A 6363-2026</t>
        </is>
      </c>
      <c r="B401" s="1" t="n">
        <v>46055.62319444444</v>
      </c>
      <c r="C401" s="1" t="n">
        <v>46136</v>
      </c>
      <c r="D401" t="inlineStr">
        <is>
          <t>SKÅNE LÄN</t>
        </is>
      </c>
      <c r="E401" t="inlineStr">
        <is>
          <t>HÄSSLEHOLM</t>
        </is>
      </c>
      <c r="G401" t="n">
        <v>4.4</v>
      </c>
      <c r="H401" t="n">
        <v>0</v>
      </c>
      <c r="I401" t="n">
        <v>0</v>
      </c>
      <c r="J401" t="n">
        <v>0</v>
      </c>
      <c r="K401" t="n">
        <v>0</v>
      </c>
      <c r="L401" t="n">
        <v>0</v>
      </c>
      <c r="M401" t="n">
        <v>0</v>
      </c>
      <c r="N401" t="n">
        <v>0</v>
      </c>
      <c r="O401" t="n">
        <v>0</v>
      </c>
      <c r="P401" t="n">
        <v>0</v>
      </c>
      <c r="Q401" t="n">
        <v>0</v>
      </c>
      <c r="R401" s="2" t="inlineStr"/>
    </row>
    <row r="402" ht="15" customHeight="1">
      <c r="A402" t="inlineStr">
        <is>
          <t>A 6449-2026</t>
        </is>
      </c>
      <c r="B402" s="1" t="n">
        <v>46055.87239583334</v>
      </c>
      <c r="C402" s="1" t="n">
        <v>46136</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6295-2026</t>
        </is>
      </c>
      <c r="B403" s="1" t="n">
        <v>46055.56115740741</v>
      </c>
      <c r="C403" s="1" t="n">
        <v>46136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31933-2024</t>
        </is>
      </c>
      <c r="B404" s="1" t="n">
        <v>45510.41123842593</v>
      </c>
      <c r="C404" s="1" t="n">
        <v>46136</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9098-2022</t>
        </is>
      </c>
      <c r="B405" s="1" t="n">
        <v>44615</v>
      </c>
      <c r="C405" s="1" t="n">
        <v>46136</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12338-2024</t>
        </is>
      </c>
      <c r="B406" s="1" t="n">
        <v>45378.72869212963</v>
      </c>
      <c r="C406" s="1" t="n">
        <v>46136</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34883-2023</t>
        </is>
      </c>
      <c r="B407" s="1" t="n">
        <v>45142.37902777778</v>
      </c>
      <c r="C407" s="1" t="n">
        <v>46136</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34886-2023</t>
        </is>
      </c>
      <c r="B408" s="1" t="n">
        <v>45142.38450231482</v>
      </c>
      <c r="C408" s="1" t="n">
        <v>46136</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7476-2025</t>
        </is>
      </c>
      <c r="B409" s="1" t="n">
        <v>45702</v>
      </c>
      <c r="C409" s="1" t="n">
        <v>46136</v>
      </c>
      <c r="D409" t="inlineStr">
        <is>
          <t>SKÅNE LÄN</t>
        </is>
      </c>
      <c r="E409" t="inlineStr">
        <is>
          <t>HÄSSLEHOLM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54659-2023</t>
        </is>
      </c>
      <c r="B410" s="1" t="n">
        <v>45235</v>
      </c>
      <c r="C410" s="1" t="n">
        <v>46136</v>
      </c>
      <c r="D410" t="inlineStr">
        <is>
          <t>SKÅNE LÄN</t>
        </is>
      </c>
      <c r="E410" t="inlineStr">
        <is>
          <t>HÄSSLEHOLM</t>
        </is>
      </c>
      <c r="G410" t="n">
        <v>5</v>
      </c>
      <c r="H410" t="n">
        <v>0</v>
      </c>
      <c r="I410" t="n">
        <v>0</v>
      </c>
      <c r="J410" t="n">
        <v>0</v>
      </c>
      <c r="K410" t="n">
        <v>0</v>
      </c>
      <c r="L410" t="n">
        <v>0</v>
      </c>
      <c r="M410" t="n">
        <v>0</v>
      </c>
      <c r="N410" t="n">
        <v>0</v>
      </c>
      <c r="O410" t="n">
        <v>0</v>
      </c>
      <c r="P410" t="n">
        <v>0</v>
      </c>
      <c r="Q410" t="n">
        <v>0</v>
      </c>
      <c r="R410" s="2" t="inlineStr"/>
    </row>
    <row r="411" ht="15" customHeight="1">
      <c r="A411" t="inlineStr">
        <is>
          <t>A 13842-2026</t>
        </is>
      </c>
      <c r="B411" s="1" t="n">
        <v>46098.37758101852</v>
      </c>
      <c r="C411" s="1" t="n">
        <v>46136</v>
      </c>
      <c r="D411" t="inlineStr">
        <is>
          <t>SKÅNE LÄN</t>
        </is>
      </c>
      <c r="E411" t="inlineStr">
        <is>
          <t>HÄSSLEHOLM</t>
        </is>
      </c>
      <c r="G411" t="n">
        <v>10</v>
      </c>
      <c r="H411" t="n">
        <v>0</v>
      </c>
      <c r="I411" t="n">
        <v>0</v>
      </c>
      <c r="J411" t="n">
        <v>0</v>
      </c>
      <c r="K411" t="n">
        <v>0</v>
      </c>
      <c r="L411" t="n">
        <v>0</v>
      </c>
      <c r="M411" t="n">
        <v>0</v>
      </c>
      <c r="N411" t="n">
        <v>0</v>
      </c>
      <c r="O411" t="n">
        <v>0</v>
      </c>
      <c r="P411" t="n">
        <v>0</v>
      </c>
      <c r="Q411" t="n">
        <v>0</v>
      </c>
      <c r="R411" s="2" t="inlineStr"/>
    </row>
    <row r="412" ht="15" customHeight="1">
      <c r="A412" t="inlineStr">
        <is>
          <t>A 13910-2026</t>
        </is>
      </c>
      <c r="B412" s="1" t="n">
        <v>46098</v>
      </c>
      <c r="C412" s="1" t="n">
        <v>46136</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13906-2026</t>
        </is>
      </c>
      <c r="B413" s="1" t="n">
        <v>46098</v>
      </c>
      <c r="C413" s="1" t="n">
        <v>46136</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39457-2025</t>
        </is>
      </c>
      <c r="B414" s="1" t="n">
        <v>45889.76887731482</v>
      </c>
      <c r="C414" s="1" t="n">
        <v>46136</v>
      </c>
      <c r="D414" t="inlineStr">
        <is>
          <t>SKÅNE LÄN</t>
        </is>
      </c>
      <c r="E414" t="inlineStr">
        <is>
          <t>HÄSSLEHOLM</t>
        </is>
      </c>
      <c r="G414" t="n">
        <v>6.6</v>
      </c>
      <c r="H414" t="n">
        <v>0</v>
      </c>
      <c r="I414" t="n">
        <v>0</v>
      </c>
      <c r="J414" t="n">
        <v>0</v>
      </c>
      <c r="K414" t="n">
        <v>0</v>
      </c>
      <c r="L414" t="n">
        <v>0</v>
      </c>
      <c r="M414" t="n">
        <v>0</v>
      </c>
      <c r="N414" t="n">
        <v>0</v>
      </c>
      <c r="O414" t="n">
        <v>0</v>
      </c>
      <c r="P414" t="n">
        <v>0</v>
      </c>
      <c r="Q414" t="n">
        <v>0</v>
      </c>
      <c r="R414" s="2" t="inlineStr"/>
    </row>
    <row r="415" ht="15" customHeight="1">
      <c r="A415" t="inlineStr">
        <is>
          <t>A 12558-2023</t>
        </is>
      </c>
      <c r="B415" s="1" t="n">
        <v>45000.36103009259</v>
      </c>
      <c r="C415" s="1" t="n">
        <v>46136</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13673-2023</t>
        </is>
      </c>
      <c r="B416" s="1" t="n">
        <v>45006.87957175926</v>
      </c>
      <c r="C416" s="1" t="n">
        <v>46136</v>
      </c>
      <c r="D416" t="inlineStr">
        <is>
          <t>SKÅNE LÄN</t>
        </is>
      </c>
      <c r="E416" t="inlineStr">
        <is>
          <t>HÄSSLEHOLM</t>
        </is>
      </c>
      <c r="G416" t="n">
        <v>3.2</v>
      </c>
      <c r="H416" t="n">
        <v>0</v>
      </c>
      <c r="I416" t="n">
        <v>0</v>
      </c>
      <c r="J416" t="n">
        <v>0</v>
      </c>
      <c r="K416" t="n">
        <v>0</v>
      </c>
      <c r="L416" t="n">
        <v>0</v>
      </c>
      <c r="M416" t="n">
        <v>0</v>
      </c>
      <c r="N416" t="n">
        <v>0</v>
      </c>
      <c r="O416" t="n">
        <v>0</v>
      </c>
      <c r="P416" t="n">
        <v>0</v>
      </c>
      <c r="Q416" t="n">
        <v>0</v>
      </c>
      <c r="R416" s="2" t="inlineStr"/>
    </row>
    <row r="417" ht="15" customHeight="1">
      <c r="A417" t="inlineStr">
        <is>
          <t>A 48844-2023</t>
        </is>
      </c>
      <c r="B417" s="1" t="n">
        <v>45209</v>
      </c>
      <c r="C417" s="1" t="n">
        <v>46136</v>
      </c>
      <c r="D417" t="inlineStr">
        <is>
          <t>SKÅNE LÄN</t>
        </is>
      </c>
      <c r="E417" t="inlineStr">
        <is>
          <t>HÄSSLEHOLM</t>
        </is>
      </c>
      <c r="G417" t="n">
        <v>4</v>
      </c>
      <c r="H417" t="n">
        <v>0</v>
      </c>
      <c r="I417" t="n">
        <v>0</v>
      </c>
      <c r="J417" t="n">
        <v>0</v>
      </c>
      <c r="K417" t="n">
        <v>0</v>
      </c>
      <c r="L417" t="n">
        <v>0</v>
      </c>
      <c r="M417" t="n">
        <v>0</v>
      </c>
      <c r="N417" t="n">
        <v>0</v>
      </c>
      <c r="O417" t="n">
        <v>0</v>
      </c>
      <c r="P417" t="n">
        <v>0</v>
      </c>
      <c r="Q417" t="n">
        <v>0</v>
      </c>
      <c r="R417" s="2" t="inlineStr"/>
    </row>
    <row r="418" ht="15" customHeight="1">
      <c r="A418" t="inlineStr">
        <is>
          <t>A 14540-2026</t>
        </is>
      </c>
      <c r="B418" s="1" t="n">
        <v>46100.67826388889</v>
      </c>
      <c r="C418" s="1" t="n">
        <v>46136</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6877-2026</t>
        </is>
      </c>
      <c r="B419" s="1" t="n">
        <v>46057.45768518518</v>
      </c>
      <c r="C419" s="1" t="n">
        <v>46136</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14538-2026</t>
        </is>
      </c>
      <c r="B420" s="1" t="n">
        <v>46100.67711805556</v>
      </c>
      <c r="C420" s="1" t="n">
        <v>46136</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7244-2026</t>
        </is>
      </c>
      <c r="B421" s="1" t="n">
        <v>46058.58646990741</v>
      </c>
      <c r="C421" s="1" t="n">
        <v>46136</v>
      </c>
      <c r="D421" t="inlineStr">
        <is>
          <t>SKÅNE LÄN</t>
        </is>
      </c>
      <c r="E421" t="inlineStr">
        <is>
          <t>HÄSSLEHOLM</t>
        </is>
      </c>
      <c r="G421" t="n">
        <v>7</v>
      </c>
      <c r="H421" t="n">
        <v>0</v>
      </c>
      <c r="I421" t="n">
        <v>0</v>
      </c>
      <c r="J421" t="n">
        <v>0</v>
      </c>
      <c r="K421" t="n">
        <v>0</v>
      </c>
      <c r="L421" t="n">
        <v>0</v>
      </c>
      <c r="M421" t="n">
        <v>0</v>
      </c>
      <c r="N421" t="n">
        <v>0</v>
      </c>
      <c r="O421" t="n">
        <v>0</v>
      </c>
      <c r="P421" t="n">
        <v>0</v>
      </c>
      <c r="Q421" t="n">
        <v>0</v>
      </c>
      <c r="R421" s="2" t="inlineStr"/>
    </row>
    <row r="422" ht="15" customHeight="1">
      <c r="A422" t="inlineStr">
        <is>
          <t>A 21329-2023</t>
        </is>
      </c>
      <c r="B422" s="1" t="n">
        <v>45062</v>
      </c>
      <c r="C422" s="1" t="n">
        <v>46136</v>
      </c>
      <c r="D422" t="inlineStr">
        <is>
          <t>SKÅNE LÄN</t>
        </is>
      </c>
      <c r="E422" t="inlineStr">
        <is>
          <t>HÄSSLEHOLM</t>
        </is>
      </c>
      <c r="G422" t="n">
        <v>1.1</v>
      </c>
      <c r="H422" t="n">
        <v>0</v>
      </c>
      <c r="I422" t="n">
        <v>0</v>
      </c>
      <c r="J422" t="n">
        <v>0</v>
      </c>
      <c r="K422" t="n">
        <v>0</v>
      </c>
      <c r="L422" t="n">
        <v>0</v>
      </c>
      <c r="M422" t="n">
        <v>0</v>
      </c>
      <c r="N422" t="n">
        <v>0</v>
      </c>
      <c r="O422" t="n">
        <v>0</v>
      </c>
      <c r="P422" t="n">
        <v>0</v>
      </c>
      <c r="Q422" t="n">
        <v>0</v>
      </c>
      <c r="R422" s="2" t="inlineStr"/>
    </row>
    <row r="423" ht="15" customHeight="1">
      <c r="A423" t="inlineStr">
        <is>
          <t>A 45222-2023</t>
        </is>
      </c>
      <c r="B423" s="1" t="n">
        <v>45191</v>
      </c>
      <c r="C423" s="1" t="n">
        <v>46136</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13310-2025</t>
        </is>
      </c>
      <c r="B424" s="1" t="n">
        <v>45735.58814814815</v>
      </c>
      <c r="C424" s="1" t="n">
        <v>46136</v>
      </c>
      <c r="D424" t="inlineStr">
        <is>
          <t>SKÅNE LÄN</t>
        </is>
      </c>
      <c r="E424" t="inlineStr">
        <is>
          <t>HÄSSLEHOLM</t>
        </is>
      </c>
      <c r="G424" t="n">
        <v>2</v>
      </c>
      <c r="H424" t="n">
        <v>0</v>
      </c>
      <c r="I424" t="n">
        <v>0</v>
      </c>
      <c r="J424" t="n">
        <v>0</v>
      </c>
      <c r="K424" t="n">
        <v>0</v>
      </c>
      <c r="L424" t="n">
        <v>0</v>
      </c>
      <c r="M424" t="n">
        <v>0</v>
      </c>
      <c r="N424" t="n">
        <v>0</v>
      </c>
      <c r="O424" t="n">
        <v>0</v>
      </c>
      <c r="P424" t="n">
        <v>0</v>
      </c>
      <c r="Q424" t="n">
        <v>0</v>
      </c>
      <c r="R424" s="2" t="inlineStr"/>
    </row>
    <row r="425" ht="15" customHeight="1">
      <c r="A425" t="inlineStr">
        <is>
          <t>A 14191-2026</t>
        </is>
      </c>
      <c r="B425" s="1" t="n">
        <v>46099.528125</v>
      </c>
      <c r="C425" s="1" t="n">
        <v>46136</v>
      </c>
      <c r="D425" t="inlineStr">
        <is>
          <t>SKÅNE LÄN</t>
        </is>
      </c>
      <c r="E425" t="inlineStr">
        <is>
          <t>HÄSSLEHOLM</t>
        </is>
      </c>
      <c r="G425" t="n">
        <v>0.5</v>
      </c>
      <c r="H425" t="n">
        <v>0</v>
      </c>
      <c r="I425" t="n">
        <v>0</v>
      </c>
      <c r="J425" t="n">
        <v>0</v>
      </c>
      <c r="K425" t="n">
        <v>0</v>
      </c>
      <c r="L425" t="n">
        <v>0</v>
      </c>
      <c r="M425" t="n">
        <v>0</v>
      </c>
      <c r="N425" t="n">
        <v>0</v>
      </c>
      <c r="O425" t="n">
        <v>0</v>
      </c>
      <c r="P425" t="n">
        <v>0</v>
      </c>
      <c r="Q425" t="n">
        <v>0</v>
      </c>
      <c r="R425" s="2" t="inlineStr"/>
    </row>
    <row r="426" ht="15" customHeight="1">
      <c r="A426" t="inlineStr">
        <is>
          <t>A 14471-2026</t>
        </is>
      </c>
      <c r="B426" s="1" t="n">
        <v>46100.56711805556</v>
      </c>
      <c r="C426" s="1" t="n">
        <v>46136</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32585-2025</t>
        </is>
      </c>
      <c r="B427" s="1" t="n">
        <v>45838.60021990741</v>
      </c>
      <c r="C427" s="1" t="n">
        <v>46136</v>
      </c>
      <c r="D427" t="inlineStr">
        <is>
          <t>SKÅNE LÄN</t>
        </is>
      </c>
      <c r="E427" t="inlineStr">
        <is>
          <t>HÄSSLEHOLM</t>
        </is>
      </c>
      <c r="G427" t="n">
        <v>2.1</v>
      </c>
      <c r="H427" t="n">
        <v>0</v>
      </c>
      <c r="I427" t="n">
        <v>0</v>
      </c>
      <c r="J427" t="n">
        <v>0</v>
      </c>
      <c r="K427" t="n">
        <v>0</v>
      </c>
      <c r="L427" t="n">
        <v>0</v>
      </c>
      <c r="M427" t="n">
        <v>0</v>
      </c>
      <c r="N427" t="n">
        <v>0</v>
      </c>
      <c r="O427" t="n">
        <v>0</v>
      </c>
      <c r="P427" t="n">
        <v>0</v>
      </c>
      <c r="Q427" t="n">
        <v>0</v>
      </c>
      <c r="R427" s="2" t="inlineStr"/>
    </row>
    <row r="428" ht="15" customHeight="1">
      <c r="A428" t="inlineStr">
        <is>
          <t>A 25538-2024</t>
        </is>
      </c>
      <c r="B428" s="1" t="n">
        <v>45463</v>
      </c>
      <c r="C428" s="1" t="n">
        <v>46136</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14541-2026</t>
        </is>
      </c>
      <c r="B429" s="1" t="n">
        <v>46100.67851851852</v>
      </c>
      <c r="C429" s="1" t="n">
        <v>46136</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32592-2025</t>
        </is>
      </c>
      <c r="B430" s="1" t="n">
        <v>45838.61020833333</v>
      </c>
      <c r="C430" s="1" t="n">
        <v>46136</v>
      </c>
      <c r="D430" t="inlineStr">
        <is>
          <t>SKÅNE LÄN</t>
        </is>
      </c>
      <c r="E430" t="inlineStr">
        <is>
          <t>HÄSSLEHOLM</t>
        </is>
      </c>
      <c r="G430" t="n">
        <v>2.1</v>
      </c>
      <c r="H430" t="n">
        <v>0</v>
      </c>
      <c r="I430" t="n">
        <v>0</v>
      </c>
      <c r="J430" t="n">
        <v>0</v>
      </c>
      <c r="K430" t="n">
        <v>0</v>
      </c>
      <c r="L430" t="n">
        <v>0</v>
      </c>
      <c r="M430" t="n">
        <v>0</v>
      </c>
      <c r="N430" t="n">
        <v>0</v>
      </c>
      <c r="O430" t="n">
        <v>0</v>
      </c>
      <c r="P430" t="n">
        <v>0</v>
      </c>
      <c r="Q430" t="n">
        <v>0</v>
      </c>
      <c r="R430" s="2" t="inlineStr"/>
    </row>
    <row r="431" ht="15" customHeight="1">
      <c r="A431" t="inlineStr">
        <is>
          <t>A 39366-2025</t>
        </is>
      </c>
      <c r="B431" s="1" t="n">
        <v>45889</v>
      </c>
      <c r="C431" s="1" t="n">
        <v>46136</v>
      </c>
      <c r="D431" t="inlineStr">
        <is>
          <t>SKÅNE LÄN</t>
        </is>
      </c>
      <c r="E431" t="inlineStr">
        <is>
          <t>HÄSSLEHOLM</t>
        </is>
      </c>
      <c r="G431" t="n">
        <v>1</v>
      </c>
      <c r="H431" t="n">
        <v>0</v>
      </c>
      <c r="I431" t="n">
        <v>0</v>
      </c>
      <c r="J431" t="n">
        <v>0</v>
      </c>
      <c r="K431" t="n">
        <v>0</v>
      </c>
      <c r="L431" t="n">
        <v>0</v>
      </c>
      <c r="M431" t="n">
        <v>0</v>
      </c>
      <c r="N431" t="n">
        <v>0</v>
      </c>
      <c r="O431" t="n">
        <v>0</v>
      </c>
      <c r="P431" t="n">
        <v>0</v>
      </c>
      <c r="Q431" t="n">
        <v>0</v>
      </c>
      <c r="R431" s="2" t="inlineStr"/>
    </row>
    <row r="432" ht="15" customHeight="1">
      <c r="A432" t="inlineStr">
        <is>
          <t>A 15055-2023</t>
        </is>
      </c>
      <c r="B432" s="1" t="n">
        <v>45015</v>
      </c>
      <c r="C432" s="1" t="n">
        <v>46136</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14965-2026</t>
        </is>
      </c>
      <c r="B433" s="1" t="n">
        <v>46104.56096064814</v>
      </c>
      <c r="C433" s="1" t="n">
        <v>46136</v>
      </c>
      <c r="D433" t="inlineStr">
        <is>
          <t>SKÅNE LÄN</t>
        </is>
      </c>
      <c r="E433" t="inlineStr">
        <is>
          <t>HÄSSLEHOLM</t>
        </is>
      </c>
      <c r="G433" t="n">
        <v>2.7</v>
      </c>
      <c r="H433" t="n">
        <v>0</v>
      </c>
      <c r="I433" t="n">
        <v>0</v>
      </c>
      <c r="J433" t="n">
        <v>0</v>
      </c>
      <c r="K433" t="n">
        <v>0</v>
      </c>
      <c r="L433" t="n">
        <v>0</v>
      </c>
      <c r="M433" t="n">
        <v>0</v>
      </c>
      <c r="N433" t="n">
        <v>0</v>
      </c>
      <c r="O433" t="n">
        <v>0</v>
      </c>
      <c r="P433" t="n">
        <v>0</v>
      </c>
      <c r="Q433" t="n">
        <v>0</v>
      </c>
      <c r="R433" s="2" t="inlineStr"/>
    </row>
    <row r="434" ht="15" customHeight="1">
      <c r="A434" t="inlineStr">
        <is>
          <t>A 25324-2024</t>
        </is>
      </c>
      <c r="B434" s="1" t="n">
        <v>45462.804375</v>
      </c>
      <c r="C434" s="1" t="n">
        <v>46136</v>
      </c>
      <c r="D434" t="inlineStr">
        <is>
          <t>SKÅNE LÄN</t>
        </is>
      </c>
      <c r="E434" t="inlineStr">
        <is>
          <t>HÄSSLEHOLM</t>
        </is>
      </c>
      <c r="G434" t="n">
        <v>0.2</v>
      </c>
      <c r="H434" t="n">
        <v>0</v>
      </c>
      <c r="I434" t="n">
        <v>0</v>
      </c>
      <c r="J434" t="n">
        <v>0</v>
      </c>
      <c r="K434" t="n">
        <v>0</v>
      </c>
      <c r="L434" t="n">
        <v>0</v>
      </c>
      <c r="M434" t="n">
        <v>0</v>
      </c>
      <c r="N434" t="n">
        <v>0</v>
      </c>
      <c r="O434" t="n">
        <v>0</v>
      </c>
      <c r="P434" t="n">
        <v>0</v>
      </c>
      <c r="Q434" t="n">
        <v>0</v>
      </c>
      <c r="R434" s="2" t="inlineStr"/>
    </row>
    <row r="435" ht="15" customHeight="1">
      <c r="A435" t="inlineStr">
        <is>
          <t>A 14971-2026</t>
        </is>
      </c>
      <c r="B435" s="1" t="n">
        <v>46104.56393518519</v>
      </c>
      <c r="C435" s="1" t="n">
        <v>46136</v>
      </c>
      <c r="D435" t="inlineStr">
        <is>
          <t>SKÅNE LÄN</t>
        </is>
      </c>
      <c r="E435" t="inlineStr">
        <is>
          <t>HÄSSLEHOLM</t>
        </is>
      </c>
      <c r="G435" t="n">
        <v>2.8</v>
      </c>
      <c r="H435" t="n">
        <v>0</v>
      </c>
      <c r="I435" t="n">
        <v>0</v>
      </c>
      <c r="J435" t="n">
        <v>0</v>
      </c>
      <c r="K435" t="n">
        <v>0</v>
      </c>
      <c r="L435" t="n">
        <v>0</v>
      </c>
      <c r="M435" t="n">
        <v>0</v>
      </c>
      <c r="N435" t="n">
        <v>0</v>
      </c>
      <c r="O435" t="n">
        <v>0</v>
      </c>
      <c r="P435" t="n">
        <v>0</v>
      </c>
      <c r="Q435" t="n">
        <v>0</v>
      </c>
      <c r="R435" s="2" t="inlineStr"/>
    </row>
    <row r="436" ht="15" customHeight="1">
      <c r="A436" t="inlineStr">
        <is>
          <t>A 63473-2025</t>
        </is>
      </c>
      <c r="B436" s="1" t="n">
        <v>46013.44364583334</v>
      </c>
      <c r="C436" s="1" t="n">
        <v>46136</v>
      </c>
      <c r="D436" t="inlineStr">
        <is>
          <t>SKÅNE LÄN</t>
        </is>
      </c>
      <c r="E436" t="inlineStr">
        <is>
          <t>HÄSSLEHOLM</t>
        </is>
      </c>
      <c r="F436" t="inlineStr">
        <is>
          <t>Kommuner</t>
        </is>
      </c>
      <c r="G436" t="n">
        <v>5.9</v>
      </c>
      <c r="H436" t="n">
        <v>0</v>
      </c>
      <c r="I436" t="n">
        <v>0</v>
      </c>
      <c r="J436" t="n">
        <v>0</v>
      </c>
      <c r="K436" t="n">
        <v>0</v>
      </c>
      <c r="L436" t="n">
        <v>0</v>
      </c>
      <c r="M436" t="n">
        <v>0</v>
      </c>
      <c r="N436" t="n">
        <v>0</v>
      </c>
      <c r="O436" t="n">
        <v>0</v>
      </c>
      <c r="P436" t="n">
        <v>0</v>
      </c>
      <c r="Q436" t="n">
        <v>0</v>
      </c>
      <c r="R436" s="2" t="inlineStr"/>
    </row>
    <row r="437" ht="15" customHeight="1">
      <c r="A437" t="inlineStr">
        <is>
          <t>A 2290-2024</t>
        </is>
      </c>
      <c r="B437" s="1" t="n">
        <v>45310</v>
      </c>
      <c r="C437" s="1" t="n">
        <v>46136</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13316-2023</t>
        </is>
      </c>
      <c r="B438" s="1" t="n">
        <v>45005.39013888889</v>
      </c>
      <c r="C438" s="1" t="n">
        <v>46136</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14549-2026</t>
        </is>
      </c>
      <c r="B439" s="1" t="n">
        <v>46100</v>
      </c>
      <c r="C439" s="1" t="n">
        <v>46136</v>
      </c>
      <c r="D439" t="inlineStr">
        <is>
          <t>SKÅNE LÄN</t>
        </is>
      </c>
      <c r="E439" t="inlineStr">
        <is>
          <t>HÄSSLEHOLM</t>
        </is>
      </c>
      <c r="G439" t="n">
        <v>1.4</v>
      </c>
      <c r="H439" t="n">
        <v>0</v>
      </c>
      <c r="I439" t="n">
        <v>0</v>
      </c>
      <c r="J439" t="n">
        <v>0</v>
      </c>
      <c r="K439" t="n">
        <v>0</v>
      </c>
      <c r="L439" t="n">
        <v>0</v>
      </c>
      <c r="M439" t="n">
        <v>0</v>
      </c>
      <c r="N439" t="n">
        <v>0</v>
      </c>
      <c r="O439" t="n">
        <v>0</v>
      </c>
      <c r="P439" t="n">
        <v>0</v>
      </c>
      <c r="Q439" t="n">
        <v>0</v>
      </c>
      <c r="R439" s="2" t="inlineStr"/>
    </row>
    <row r="440" ht="15" customHeight="1">
      <c r="A440" t="inlineStr">
        <is>
          <t>A 7721-2026</t>
        </is>
      </c>
      <c r="B440" s="1" t="n">
        <v>46059</v>
      </c>
      <c r="C440" s="1" t="n">
        <v>46136</v>
      </c>
      <c r="D440" t="inlineStr">
        <is>
          <t>SKÅNE LÄN</t>
        </is>
      </c>
      <c r="E440" t="inlineStr">
        <is>
          <t>HÄSSLEHOLM</t>
        </is>
      </c>
      <c r="G440" t="n">
        <v>3.3</v>
      </c>
      <c r="H440" t="n">
        <v>0</v>
      </c>
      <c r="I440" t="n">
        <v>0</v>
      </c>
      <c r="J440" t="n">
        <v>0</v>
      </c>
      <c r="K440" t="n">
        <v>0</v>
      </c>
      <c r="L440" t="n">
        <v>0</v>
      </c>
      <c r="M440" t="n">
        <v>0</v>
      </c>
      <c r="N440" t="n">
        <v>0</v>
      </c>
      <c r="O440" t="n">
        <v>0</v>
      </c>
      <c r="P440" t="n">
        <v>0</v>
      </c>
      <c r="Q440" t="n">
        <v>0</v>
      </c>
      <c r="R440" s="2" t="inlineStr"/>
    </row>
    <row r="441" ht="15" customHeight="1">
      <c r="A441" t="inlineStr">
        <is>
          <t>A 65235-2021</t>
        </is>
      </c>
      <c r="B441" s="1" t="n">
        <v>44515</v>
      </c>
      <c r="C441" s="1" t="n">
        <v>46136</v>
      </c>
      <c r="D441" t="inlineStr">
        <is>
          <t>SKÅNE LÄN</t>
        </is>
      </c>
      <c r="E441" t="inlineStr">
        <is>
          <t>HÄSSLEHOLM</t>
        </is>
      </c>
      <c r="G441" t="n">
        <v>2.5</v>
      </c>
      <c r="H441" t="n">
        <v>0</v>
      </c>
      <c r="I441" t="n">
        <v>0</v>
      </c>
      <c r="J441" t="n">
        <v>0</v>
      </c>
      <c r="K441" t="n">
        <v>0</v>
      </c>
      <c r="L441" t="n">
        <v>0</v>
      </c>
      <c r="M441" t="n">
        <v>0</v>
      </c>
      <c r="N441" t="n">
        <v>0</v>
      </c>
      <c r="O441" t="n">
        <v>0</v>
      </c>
      <c r="P441" t="n">
        <v>0</v>
      </c>
      <c r="Q441" t="n">
        <v>0</v>
      </c>
      <c r="R441" s="2" t="inlineStr"/>
    </row>
    <row r="442" ht="15" customHeight="1">
      <c r="A442" t="inlineStr">
        <is>
          <t>A 13358-2023</t>
        </is>
      </c>
      <c r="B442" s="1" t="n">
        <v>45005</v>
      </c>
      <c r="C442" s="1" t="n">
        <v>46136</v>
      </c>
      <c r="D442" t="inlineStr">
        <is>
          <t>SKÅNE LÄN</t>
        </is>
      </c>
      <c r="E442" t="inlineStr">
        <is>
          <t>HÄSSLEHOLM</t>
        </is>
      </c>
      <c r="F442" t="inlineStr">
        <is>
          <t>Övriga Aktiebolag</t>
        </is>
      </c>
      <c r="G442" t="n">
        <v>0.5</v>
      </c>
      <c r="H442" t="n">
        <v>0</v>
      </c>
      <c r="I442" t="n">
        <v>0</v>
      </c>
      <c r="J442" t="n">
        <v>0</v>
      </c>
      <c r="K442" t="n">
        <v>0</v>
      </c>
      <c r="L442" t="n">
        <v>0</v>
      </c>
      <c r="M442" t="n">
        <v>0</v>
      </c>
      <c r="N442" t="n">
        <v>0</v>
      </c>
      <c r="O442" t="n">
        <v>0</v>
      </c>
      <c r="P442" t="n">
        <v>0</v>
      </c>
      <c r="Q442" t="n">
        <v>0</v>
      </c>
      <c r="R442" s="2" t="inlineStr"/>
    </row>
    <row r="443" ht="15" customHeight="1">
      <c r="A443" t="inlineStr">
        <is>
          <t>A 5316-2023</t>
        </is>
      </c>
      <c r="B443" s="1" t="n">
        <v>44959</v>
      </c>
      <c r="C443" s="1" t="n">
        <v>46136</v>
      </c>
      <c r="D443" t="inlineStr">
        <is>
          <t>SKÅNE LÄN</t>
        </is>
      </c>
      <c r="E443" t="inlineStr">
        <is>
          <t>HÄSSLEHOLM</t>
        </is>
      </c>
      <c r="G443" t="n">
        <v>2.1</v>
      </c>
      <c r="H443" t="n">
        <v>0</v>
      </c>
      <c r="I443" t="n">
        <v>0</v>
      </c>
      <c r="J443" t="n">
        <v>0</v>
      </c>
      <c r="K443" t="n">
        <v>0</v>
      </c>
      <c r="L443" t="n">
        <v>0</v>
      </c>
      <c r="M443" t="n">
        <v>0</v>
      </c>
      <c r="N443" t="n">
        <v>0</v>
      </c>
      <c r="O443" t="n">
        <v>0</v>
      </c>
      <c r="P443" t="n">
        <v>0</v>
      </c>
      <c r="Q443" t="n">
        <v>0</v>
      </c>
      <c r="R443" s="2" t="inlineStr"/>
    </row>
    <row r="444" ht="15" customHeight="1">
      <c r="A444" t="inlineStr">
        <is>
          <t>A 7785-2026</t>
        </is>
      </c>
      <c r="B444" s="1" t="n">
        <v>46062.58422453704</v>
      </c>
      <c r="C444" s="1" t="n">
        <v>46136</v>
      </c>
      <c r="D444" t="inlineStr">
        <is>
          <t>SKÅNE LÄN</t>
        </is>
      </c>
      <c r="E444" t="inlineStr">
        <is>
          <t>HÄSSLEHOLM</t>
        </is>
      </c>
      <c r="G444" t="n">
        <v>2.3</v>
      </c>
      <c r="H444" t="n">
        <v>0</v>
      </c>
      <c r="I444" t="n">
        <v>0</v>
      </c>
      <c r="J444" t="n">
        <v>0</v>
      </c>
      <c r="K444" t="n">
        <v>0</v>
      </c>
      <c r="L444" t="n">
        <v>0</v>
      </c>
      <c r="M444" t="n">
        <v>0</v>
      </c>
      <c r="N444" t="n">
        <v>0</v>
      </c>
      <c r="O444" t="n">
        <v>0</v>
      </c>
      <c r="P444" t="n">
        <v>0</v>
      </c>
      <c r="Q444" t="n">
        <v>0</v>
      </c>
      <c r="R444" s="2" t="inlineStr"/>
    </row>
    <row r="445" ht="15" customHeight="1">
      <c r="A445" t="inlineStr">
        <is>
          <t>A 32794-2023</t>
        </is>
      </c>
      <c r="B445" s="1" t="n">
        <v>45124.40446759259</v>
      </c>
      <c r="C445" s="1" t="n">
        <v>46136</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28211-2022</t>
        </is>
      </c>
      <c r="B446" s="1" t="n">
        <v>44746</v>
      </c>
      <c r="C446" s="1" t="n">
        <v>46136</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12162-2023</t>
        </is>
      </c>
      <c r="B447" s="1" t="n">
        <v>44998.49619212963</v>
      </c>
      <c r="C447" s="1" t="n">
        <v>46136</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29649-2025</t>
        </is>
      </c>
      <c r="B448" s="1" t="n">
        <v>45825.47446759259</v>
      </c>
      <c r="C448" s="1" t="n">
        <v>46136</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8538-2026</t>
        </is>
      </c>
      <c r="B449" s="1" t="n">
        <v>46064</v>
      </c>
      <c r="C449" s="1" t="n">
        <v>46136</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14702-2025</t>
        </is>
      </c>
      <c r="B450" s="1" t="n">
        <v>45742.60403935185</v>
      </c>
      <c r="C450" s="1" t="n">
        <v>46136</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9669-2025</t>
        </is>
      </c>
      <c r="B451" s="1" t="n">
        <v>45716.32921296296</v>
      </c>
      <c r="C451" s="1" t="n">
        <v>46136</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33948-2025</t>
        </is>
      </c>
      <c r="B452" s="1" t="n">
        <v>45842.65945601852</v>
      </c>
      <c r="C452" s="1" t="n">
        <v>46136</v>
      </c>
      <c r="D452" t="inlineStr">
        <is>
          <t>SKÅNE LÄN</t>
        </is>
      </c>
      <c r="E452" t="inlineStr">
        <is>
          <t>HÄSSLEHOLM</t>
        </is>
      </c>
      <c r="G452" t="n">
        <v>8.5</v>
      </c>
      <c r="H452" t="n">
        <v>0</v>
      </c>
      <c r="I452" t="n">
        <v>0</v>
      </c>
      <c r="J452" t="n">
        <v>0</v>
      </c>
      <c r="K452" t="n">
        <v>0</v>
      </c>
      <c r="L452" t="n">
        <v>0</v>
      </c>
      <c r="M452" t="n">
        <v>0</v>
      </c>
      <c r="N452" t="n">
        <v>0</v>
      </c>
      <c r="O452" t="n">
        <v>0</v>
      </c>
      <c r="P452" t="n">
        <v>0</v>
      </c>
      <c r="Q452" t="n">
        <v>0</v>
      </c>
      <c r="R452" s="2" t="inlineStr"/>
    </row>
    <row r="453" ht="15" customHeight="1">
      <c r="A453" t="inlineStr">
        <is>
          <t>A 59109-2023</t>
        </is>
      </c>
      <c r="B453" s="1" t="n">
        <v>45253.30819444444</v>
      </c>
      <c r="C453" s="1" t="n">
        <v>46136</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39934-2025</t>
        </is>
      </c>
      <c r="B454" s="1" t="n">
        <v>45891.71465277778</v>
      </c>
      <c r="C454" s="1" t="n">
        <v>46136</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39937-2025</t>
        </is>
      </c>
      <c r="B455" s="1" t="n">
        <v>45891.73162037037</v>
      </c>
      <c r="C455" s="1" t="n">
        <v>46136</v>
      </c>
      <c r="D455" t="inlineStr">
        <is>
          <t>SKÅNE LÄN</t>
        </is>
      </c>
      <c r="E455" t="inlineStr">
        <is>
          <t>HÄSSLEHOLM</t>
        </is>
      </c>
      <c r="G455" t="n">
        <v>4.5</v>
      </c>
      <c r="H455" t="n">
        <v>0</v>
      </c>
      <c r="I455" t="n">
        <v>0</v>
      </c>
      <c r="J455" t="n">
        <v>0</v>
      </c>
      <c r="K455" t="n">
        <v>0</v>
      </c>
      <c r="L455" t="n">
        <v>0</v>
      </c>
      <c r="M455" t="n">
        <v>0</v>
      </c>
      <c r="N455" t="n">
        <v>0</v>
      </c>
      <c r="O455" t="n">
        <v>0</v>
      </c>
      <c r="P455" t="n">
        <v>0</v>
      </c>
      <c r="Q455" t="n">
        <v>0</v>
      </c>
      <c r="R455" s="2" t="inlineStr"/>
    </row>
    <row r="456" ht="15" customHeight="1">
      <c r="A456" t="inlineStr">
        <is>
          <t>A 9555-2025</t>
        </is>
      </c>
      <c r="B456" s="1" t="n">
        <v>45714</v>
      </c>
      <c r="C456" s="1" t="n">
        <v>46136</v>
      </c>
      <c r="D456" t="inlineStr">
        <is>
          <t>SKÅNE LÄN</t>
        </is>
      </c>
      <c r="E456" t="inlineStr">
        <is>
          <t>HÄSSLEHOLM</t>
        </is>
      </c>
      <c r="G456" t="n">
        <v>5.4</v>
      </c>
      <c r="H456" t="n">
        <v>0</v>
      </c>
      <c r="I456" t="n">
        <v>0</v>
      </c>
      <c r="J456" t="n">
        <v>0</v>
      </c>
      <c r="K456" t="n">
        <v>0</v>
      </c>
      <c r="L456" t="n">
        <v>0</v>
      </c>
      <c r="M456" t="n">
        <v>0</v>
      </c>
      <c r="N456" t="n">
        <v>0</v>
      </c>
      <c r="O456" t="n">
        <v>0</v>
      </c>
      <c r="P456" t="n">
        <v>0</v>
      </c>
      <c r="Q456" t="n">
        <v>0</v>
      </c>
      <c r="R456" s="2" t="inlineStr"/>
    </row>
    <row r="457" ht="15" customHeight="1">
      <c r="A457" t="inlineStr">
        <is>
          <t>A 40241-2025</t>
        </is>
      </c>
      <c r="B457" s="1" t="n">
        <v>45894.87251157407</v>
      </c>
      <c r="C457" s="1" t="n">
        <v>46136</v>
      </c>
      <c r="D457" t="inlineStr">
        <is>
          <t>SKÅNE LÄN</t>
        </is>
      </c>
      <c r="E457" t="inlineStr">
        <is>
          <t>HÄSSLEHOLM</t>
        </is>
      </c>
      <c r="G457" t="n">
        <v>3.8</v>
      </c>
      <c r="H457" t="n">
        <v>0</v>
      </c>
      <c r="I457" t="n">
        <v>0</v>
      </c>
      <c r="J457" t="n">
        <v>0</v>
      </c>
      <c r="K457" t="n">
        <v>0</v>
      </c>
      <c r="L457" t="n">
        <v>0</v>
      </c>
      <c r="M457" t="n">
        <v>0</v>
      </c>
      <c r="N457" t="n">
        <v>0</v>
      </c>
      <c r="O457" t="n">
        <v>0</v>
      </c>
      <c r="P457" t="n">
        <v>0</v>
      </c>
      <c r="Q457" t="n">
        <v>0</v>
      </c>
      <c r="R457" s="2" t="inlineStr"/>
    </row>
    <row r="458" ht="15" customHeight="1">
      <c r="A458" t="inlineStr">
        <is>
          <t>A 33875-2025</t>
        </is>
      </c>
      <c r="B458" s="1" t="n">
        <v>45842.55300925926</v>
      </c>
      <c r="C458" s="1" t="n">
        <v>46136</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58888-2024</t>
        </is>
      </c>
      <c r="B459" s="1" t="n">
        <v>45636.45962962963</v>
      </c>
      <c r="C459" s="1" t="n">
        <v>46136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21028-2021</t>
        </is>
      </c>
      <c r="B460" s="1" t="n">
        <v>44319</v>
      </c>
      <c r="C460" s="1" t="n">
        <v>46136</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6165-2023</t>
        </is>
      </c>
      <c r="B461" s="1" t="n">
        <v>44964.67114583333</v>
      </c>
      <c r="C461" s="1" t="n">
        <v>46136</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33877-2025</t>
        </is>
      </c>
      <c r="B462" s="1" t="n">
        <v>45842.55564814815</v>
      </c>
      <c r="C462" s="1" t="n">
        <v>46136</v>
      </c>
      <c r="D462" t="inlineStr">
        <is>
          <t>SKÅNE LÄN</t>
        </is>
      </c>
      <c r="E462" t="inlineStr">
        <is>
          <t>HÄSSLEHOLM</t>
        </is>
      </c>
      <c r="G462" t="n">
        <v>3.9</v>
      </c>
      <c r="H462" t="n">
        <v>0</v>
      </c>
      <c r="I462" t="n">
        <v>0</v>
      </c>
      <c r="J462" t="n">
        <v>0</v>
      </c>
      <c r="K462" t="n">
        <v>0</v>
      </c>
      <c r="L462" t="n">
        <v>0</v>
      </c>
      <c r="M462" t="n">
        <v>0</v>
      </c>
      <c r="N462" t="n">
        <v>0</v>
      </c>
      <c r="O462" t="n">
        <v>0</v>
      </c>
      <c r="P462" t="n">
        <v>0</v>
      </c>
      <c r="Q462" t="n">
        <v>0</v>
      </c>
      <c r="R462" s="2" t="inlineStr"/>
    </row>
    <row r="463" ht="15" customHeight="1">
      <c r="A463" t="inlineStr">
        <is>
          <t>A 33879-2025</t>
        </is>
      </c>
      <c r="B463" s="1" t="n">
        <v>45842.55766203703</v>
      </c>
      <c r="C463" s="1" t="n">
        <v>46136</v>
      </c>
      <c r="D463" t="inlineStr">
        <is>
          <t>SKÅNE LÄN</t>
        </is>
      </c>
      <c r="E463" t="inlineStr">
        <is>
          <t>HÄSSLEHOLM</t>
        </is>
      </c>
      <c r="G463" t="n">
        <v>6.1</v>
      </c>
      <c r="H463" t="n">
        <v>0</v>
      </c>
      <c r="I463" t="n">
        <v>0</v>
      </c>
      <c r="J463" t="n">
        <v>0</v>
      </c>
      <c r="K463" t="n">
        <v>0</v>
      </c>
      <c r="L463" t="n">
        <v>0</v>
      </c>
      <c r="M463" t="n">
        <v>0</v>
      </c>
      <c r="N463" t="n">
        <v>0</v>
      </c>
      <c r="O463" t="n">
        <v>0</v>
      </c>
      <c r="P463" t="n">
        <v>0</v>
      </c>
      <c r="Q463" t="n">
        <v>0</v>
      </c>
      <c r="R463" s="2" t="inlineStr"/>
    </row>
    <row r="464" ht="15" customHeight="1">
      <c r="A464" t="inlineStr">
        <is>
          <t>A 14981-2026</t>
        </is>
      </c>
      <c r="B464" s="1" t="n">
        <v>46104</v>
      </c>
      <c r="C464" s="1" t="n">
        <v>46136</v>
      </c>
      <c r="D464" t="inlineStr">
        <is>
          <t>SKÅNE LÄN</t>
        </is>
      </c>
      <c r="E464" t="inlineStr">
        <is>
          <t>HÄSSLEHOLM</t>
        </is>
      </c>
      <c r="G464" t="n">
        <v>7.7</v>
      </c>
      <c r="H464" t="n">
        <v>0</v>
      </c>
      <c r="I464" t="n">
        <v>0</v>
      </c>
      <c r="J464" t="n">
        <v>0</v>
      </c>
      <c r="K464" t="n">
        <v>0</v>
      </c>
      <c r="L464" t="n">
        <v>0</v>
      </c>
      <c r="M464" t="n">
        <v>0</v>
      </c>
      <c r="N464" t="n">
        <v>0</v>
      </c>
      <c r="O464" t="n">
        <v>0</v>
      </c>
      <c r="P464" t="n">
        <v>0</v>
      </c>
      <c r="Q464" t="n">
        <v>0</v>
      </c>
      <c r="R464" s="2" t="inlineStr"/>
    </row>
    <row r="465" ht="15" customHeight="1">
      <c r="A465" t="inlineStr">
        <is>
          <t>A 33562-2025</t>
        </is>
      </c>
      <c r="B465" s="1" t="n">
        <v>45841.57803240741</v>
      </c>
      <c r="C465" s="1" t="n">
        <v>46136</v>
      </c>
      <c r="D465" t="inlineStr">
        <is>
          <t>SKÅNE LÄN</t>
        </is>
      </c>
      <c r="E465" t="inlineStr">
        <is>
          <t>HÄSSLEHOLM</t>
        </is>
      </c>
      <c r="G465" t="n">
        <v>2.8</v>
      </c>
      <c r="H465" t="n">
        <v>0</v>
      </c>
      <c r="I465" t="n">
        <v>0</v>
      </c>
      <c r="J465" t="n">
        <v>0</v>
      </c>
      <c r="K465" t="n">
        <v>0</v>
      </c>
      <c r="L465" t="n">
        <v>0</v>
      </c>
      <c r="M465" t="n">
        <v>0</v>
      </c>
      <c r="N465" t="n">
        <v>0</v>
      </c>
      <c r="O465" t="n">
        <v>0</v>
      </c>
      <c r="P465" t="n">
        <v>0</v>
      </c>
      <c r="Q465" t="n">
        <v>0</v>
      </c>
      <c r="R465" s="2" t="inlineStr"/>
    </row>
    <row r="466" ht="15" customHeight="1">
      <c r="A466" t="inlineStr">
        <is>
          <t>A 33950-2025</t>
        </is>
      </c>
      <c r="B466" s="1" t="n">
        <v>45842</v>
      </c>
      <c r="C466" s="1" t="n">
        <v>46136</v>
      </c>
      <c r="D466" t="inlineStr">
        <is>
          <t>SKÅNE LÄN</t>
        </is>
      </c>
      <c r="E466" t="inlineStr">
        <is>
          <t>HÄSSLEHOLM</t>
        </is>
      </c>
      <c r="G466" t="n">
        <v>5.7</v>
      </c>
      <c r="H466" t="n">
        <v>0</v>
      </c>
      <c r="I466" t="n">
        <v>0</v>
      </c>
      <c r="J466" t="n">
        <v>0</v>
      </c>
      <c r="K466" t="n">
        <v>0</v>
      </c>
      <c r="L466" t="n">
        <v>0</v>
      </c>
      <c r="M466" t="n">
        <v>0</v>
      </c>
      <c r="N466" t="n">
        <v>0</v>
      </c>
      <c r="O466" t="n">
        <v>0</v>
      </c>
      <c r="P466" t="n">
        <v>0</v>
      </c>
      <c r="Q466" t="n">
        <v>0</v>
      </c>
      <c r="R466" s="2" t="inlineStr"/>
    </row>
    <row r="467" ht="15" customHeight="1">
      <c r="A467" t="inlineStr">
        <is>
          <t>A 8539-2026</t>
        </is>
      </c>
      <c r="B467" s="1" t="n">
        <v>46064</v>
      </c>
      <c r="C467" s="1" t="n">
        <v>46136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16017-2023</t>
        </is>
      </c>
      <c r="B468" s="1" t="n">
        <v>45026</v>
      </c>
      <c r="C468" s="1" t="n">
        <v>46136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8367-2026</t>
        </is>
      </c>
      <c r="B469" s="1" t="n">
        <v>46064</v>
      </c>
      <c r="C469" s="1" t="n">
        <v>46136</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31989-2024</t>
        </is>
      </c>
      <c r="B470" s="1" t="n">
        <v>45510.58085648148</v>
      </c>
      <c r="C470" s="1" t="n">
        <v>46136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35640-2023</t>
        </is>
      </c>
      <c r="B471" s="1" t="n">
        <v>45147</v>
      </c>
      <c r="C471" s="1" t="n">
        <v>46136</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41400-2025</t>
        </is>
      </c>
      <c r="B472" s="1" t="n">
        <v>45901</v>
      </c>
      <c r="C472" s="1" t="n">
        <v>46136</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48771-2024</t>
        </is>
      </c>
      <c r="B473" s="1" t="n">
        <v>45593.61284722222</v>
      </c>
      <c r="C473" s="1" t="n">
        <v>46136</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24241-2023</t>
        </is>
      </c>
      <c r="B474" s="1" t="n">
        <v>45079.61476851852</v>
      </c>
      <c r="C474" s="1" t="n">
        <v>46136</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15881-2026</t>
        </is>
      </c>
      <c r="B475" s="1" t="n">
        <v>46107</v>
      </c>
      <c r="C475" s="1" t="n">
        <v>46136</v>
      </c>
      <c r="D475" t="inlineStr">
        <is>
          <t>SKÅNE LÄN</t>
        </is>
      </c>
      <c r="E475" t="inlineStr">
        <is>
          <t>HÄSSLEHOLM</t>
        </is>
      </c>
      <c r="F475" t="inlineStr">
        <is>
          <t>Kyrkan</t>
        </is>
      </c>
      <c r="G475" t="n">
        <v>2.2</v>
      </c>
      <c r="H475" t="n">
        <v>0</v>
      </c>
      <c r="I475" t="n">
        <v>0</v>
      </c>
      <c r="J475" t="n">
        <v>0</v>
      </c>
      <c r="K475" t="n">
        <v>0</v>
      </c>
      <c r="L475" t="n">
        <v>0</v>
      </c>
      <c r="M475" t="n">
        <v>0</v>
      </c>
      <c r="N475" t="n">
        <v>0</v>
      </c>
      <c r="O475" t="n">
        <v>0</v>
      </c>
      <c r="P475" t="n">
        <v>0</v>
      </c>
      <c r="Q475" t="n">
        <v>0</v>
      </c>
      <c r="R475" s="2" t="inlineStr"/>
    </row>
    <row r="476" ht="15" customHeight="1">
      <c r="A476" t="inlineStr">
        <is>
          <t>A 23987-2024</t>
        </is>
      </c>
      <c r="B476" s="1" t="n">
        <v>45456</v>
      </c>
      <c r="C476" s="1" t="n">
        <v>46136</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8852-2026</t>
        </is>
      </c>
      <c r="B477" s="1" t="n">
        <v>46066.66105324074</v>
      </c>
      <c r="C477" s="1" t="n">
        <v>46136</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34174-2025</t>
        </is>
      </c>
      <c r="B478" s="1" t="n">
        <v>45844</v>
      </c>
      <c r="C478" s="1" t="n">
        <v>46136</v>
      </c>
      <c r="D478" t="inlineStr">
        <is>
          <t>SKÅNE LÄN</t>
        </is>
      </c>
      <c r="E478" t="inlineStr">
        <is>
          <t>HÄSSLEHOLM</t>
        </is>
      </c>
      <c r="G478" t="n">
        <v>4.7</v>
      </c>
      <c r="H478" t="n">
        <v>0</v>
      </c>
      <c r="I478" t="n">
        <v>0</v>
      </c>
      <c r="J478" t="n">
        <v>0</v>
      </c>
      <c r="K478" t="n">
        <v>0</v>
      </c>
      <c r="L478" t="n">
        <v>0</v>
      </c>
      <c r="M478" t="n">
        <v>0</v>
      </c>
      <c r="N478" t="n">
        <v>0</v>
      </c>
      <c r="O478" t="n">
        <v>0</v>
      </c>
      <c r="P478" t="n">
        <v>0</v>
      </c>
      <c r="Q478" t="n">
        <v>0</v>
      </c>
      <c r="R478" s="2" t="inlineStr"/>
    </row>
    <row r="479" ht="15" customHeight="1">
      <c r="A479" t="inlineStr">
        <is>
          <t>A 19739-2023</t>
        </is>
      </c>
      <c r="B479" s="1" t="n">
        <v>45051</v>
      </c>
      <c r="C479" s="1" t="n">
        <v>46136</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59246-2024</t>
        </is>
      </c>
      <c r="B480" s="1" t="n">
        <v>45636</v>
      </c>
      <c r="C480" s="1" t="n">
        <v>46136</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15882-2026</t>
        </is>
      </c>
      <c r="B481" s="1" t="n">
        <v>46107</v>
      </c>
      <c r="C481" s="1" t="n">
        <v>46136</v>
      </c>
      <c r="D481" t="inlineStr">
        <is>
          <t>SKÅNE LÄN</t>
        </is>
      </c>
      <c r="E481" t="inlineStr">
        <is>
          <t>HÄSSLEHOLM</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23666-2023</t>
        </is>
      </c>
      <c r="B482" s="1" t="n">
        <v>45077</v>
      </c>
      <c r="C482" s="1" t="n">
        <v>46136</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34177-2025</t>
        </is>
      </c>
      <c r="B483" s="1" t="n">
        <v>45844</v>
      </c>
      <c r="C483" s="1" t="n">
        <v>46136</v>
      </c>
      <c r="D483" t="inlineStr">
        <is>
          <t>SKÅNE LÄN</t>
        </is>
      </c>
      <c r="E483" t="inlineStr">
        <is>
          <t>HÄSSLEHOLM</t>
        </is>
      </c>
      <c r="G483" t="n">
        <v>3</v>
      </c>
      <c r="H483" t="n">
        <v>0</v>
      </c>
      <c r="I483" t="n">
        <v>0</v>
      </c>
      <c r="J483" t="n">
        <v>0</v>
      </c>
      <c r="K483" t="n">
        <v>0</v>
      </c>
      <c r="L483" t="n">
        <v>0</v>
      </c>
      <c r="M483" t="n">
        <v>0</v>
      </c>
      <c r="N483" t="n">
        <v>0</v>
      </c>
      <c r="O483" t="n">
        <v>0</v>
      </c>
      <c r="P483" t="n">
        <v>0</v>
      </c>
      <c r="Q483" t="n">
        <v>0</v>
      </c>
      <c r="R483" s="2" t="inlineStr"/>
    </row>
    <row r="484" ht="15" customHeight="1">
      <c r="A484" t="inlineStr">
        <is>
          <t>A 22678-2025</t>
        </is>
      </c>
      <c r="B484" s="1" t="n">
        <v>45789.49725694444</v>
      </c>
      <c r="C484" s="1" t="n">
        <v>46136</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35237-2023</t>
        </is>
      </c>
      <c r="B485" s="1" t="n">
        <v>45145.74532407407</v>
      </c>
      <c r="C485" s="1" t="n">
        <v>46136</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32958-2023</t>
        </is>
      </c>
      <c r="B486" s="1" t="n">
        <v>45125.52142361111</v>
      </c>
      <c r="C486" s="1" t="n">
        <v>46136</v>
      </c>
      <c r="D486" t="inlineStr">
        <is>
          <t>SKÅNE LÄN</t>
        </is>
      </c>
      <c r="E486" t="inlineStr">
        <is>
          <t>HÄSSLEHOLM</t>
        </is>
      </c>
      <c r="G486" t="n">
        <v>7.9</v>
      </c>
      <c r="H486" t="n">
        <v>0</v>
      </c>
      <c r="I486" t="n">
        <v>0</v>
      </c>
      <c r="J486" t="n">
        <v>0</v>
      </c>
      <c r="K486" t="n">
        <v>0</v>
      </c>
      <c r="L486" t="n">
        <v>0</v>
      </c>
      <c r="M486" t="n">
        <v>0</v>
      </c>
      <c r="N486" t="n">
        <v>0</v>
      </c>
      <c r="O486" t="n">
        <v>0</v>
      </c>
      <c r="P486" t="n">
        <v>0</v>
      </c>
      <c r="Q486" t="n">
        <v>0</v>
      </c>
      <c r="R486" s="2" t="inlineStr"/>
    </row>
    <row r="487" ht="15" customHeight="1">
      <c r="A487" t="inlineStr">
        <is>
          <t>A 8674-2026</t>
        </is>
      </c>
      <c r="B487" s="1" t="n">
        <v>46066.4059837963</v>
      </c>
      <c r="C487" s="1" t="n">
        <v>46136</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260-2024</t>
        </is>
      </c>
      <c r="B488" s="1" t="n">
        <v>45294</v>
      </c>
      <c r="C488" s="1" t="n">
        <v>46136</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57275-2023</t>
        </is>
      </c>
      <c r="B489" s="1" t="n">
        <v>45245.58886574074</v>
      </c>
      <c r="C489" s="1" t="n">
        <v>46136</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15979-2026</t>
        </is>
      </c>
      <c r="B490" s="1" t="n">
        <v>46108.35431712963</v>
      </c>
      <c r="C490" s="1" t="n">
        <v>46136</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27304-2023</t>
        </is>
      </c>
      <c r="B491" s="1" t="n">
        <v>45096.65199074074</v>
      </c>
      <c r="C491" s="1" t="n">
        <v>46136</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46136</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58689-2025</t>
        </is>
      </c>
      <c r="B493" s="1" t="n">
        <v>45986</v>
      </c>
      <c r="C493" s="1" t="n">
        <v>46136</v>
      </c>
      <c r="D493" t="inlineStr">
        <is>
          <t>SKÅNE LÄN</t>
        </is>
      </c>
      <c r="E493" t="inlineStr">
        <is>
          <t>HÄSSLEHOLM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6845-2023</t>
        </is>
      </c>
      <c r="B494" s="1" t="n">
        <v>44967</v>
      </c>
      <c r="C494" s="1" t="n">
        <v>46136</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34869-2025</t>
        </is>
      </c>
      <c r="B495" s="1" t="n">
        <v>45849</v>
      </c>
      <c r="C495" s="1" t="n">
        <v>46136</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32834-2024</t>
        </is>
      </c>
      <c r="B496" s="1" t="n">
        <v>45516.6025</v>
      </c>
      <c r="C496" s="1" t="n">
        <v>46136</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49199-2024</t>
        </is>
      </c>
      <c r="B497" s="1" t="n">
        <v>45595</v>
      </c>
      <c r="C497" s="1" t="n">
        <v>46136</v>
      </c>
      <c r="D497" t="inlineStr">
        <is>
          <t>SKÅNE LÄN</t>
        </is>
      </c>
      <c r="E497" t="inlineStr">
        <is>
          <t>HÄSSLEHOLM</t>
        </is>
      </c>
      <c r="G497" t="n">
        <v>5.2</v>
      </c>
      <c r="H497" t="n">
        <v>0</v>
      </c>
      <c r="I497" t="n">
        <v>0</v>
      </c>
      <c r="J497" t="n">
        <v>0</v>
      </c>
      <c r="K497" t="n">
        <v>0</v>
      </c>
      <c r="L497" t="n">
        <v>0</v>
      </c>
      <c r="M497" t="n">
        <v>0</v>
      </c>
      <c r="N497" t="n">
        <v>0</v>
      </c>
      <c r="O497" t="n">
        <v>0</v>
      </c>
      <c r="P497" t="n">
        <v>0</v>
      </c>
      <c r="Q497" t="n">
        <v>0</v>
      </c>
      <c r="R497" s="2" t="inlineStr"/>
    </row>
    <row r="498" ht="15" customHeight="1">
      <c r="A498" t="inlineStr">
        <is>
          <t>A 58886-2024</t>
        </is>
      </c>
      <c r="B498" s="1" t="n">
        <v>45636.45380787037</v>
      </c>
      <c r="C498" s="1" t="n">
        <v>46136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13345-2025</t>
        </is>
      </c>
      <c r="B499" s="1" t="n">
        <v>45735.63017361111</v>
      </c>
      <c r="C499" s="1" t="n">
        <v>46136</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35259-2025</t>
        </is>
      </c>
      <c r="B500" s="1" t="n">
        <v>45853.76912037037</v>
      </c>
      <c r="C500" s="1" t="n">
        <v>46136</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20970-2025</t>
        </is>
      </c>
      <c r="B501" s="1" t="n">
        <v>45777.45417824074</v>
      </c>
      <c r="C501" s="1" t="n">
        <v>46136</v>
      </c>
      <c r="D501" t="inlineStr">
        <is>
          <t>SKÅNE LÄN</t>
        </is>
      </c>
      <c r="E501" t="inlineStr">
        <is>
          <t>HÄSSLEHOLM</t>
        </is>
      </c>
      <c r="G501" t="n">
        <v>2.2</v>
      </c>
      <c r="H501" t="n">
        <v>0</v>
      </c>
      <c r="I501" t="n">
        <v>0</v>
      </c>
      <c r="J501" t="n">
        <v>0</v>
      </c>
      <c r="K501" t="n">
        <v>0</v>
      </c>
      <c r="L501" t="n">
        <v>0</v>
      </c>
      <c r="M501" t="n">
        <v>0</v>
      </c>
      <c r="N501" t="n">
        <v>0</v>
      </c>
      <c r="O501" t="n">
        <v>0</v>
      </c>
      <c r="P501" t="n">
        <v>0</v>
      </c>
      <c r="Q501" t="n">
        <v>0</v>
      </c>
      <c r="R501" s="2" t="inlineStr"/>
    </row>
    <row r="502" ht="15" customHeight="1">
      <c r="A502" t="inlineStr">
        <is>
          <t>A 17413-2025</t>
        </is>
      </c>
      <c r="B502" s="1" t="n">
        <v>45757.37480324074</v>
      </c>
      <c r="C502" s="1" t="n">
        <v>46136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41401-2025</t>
        </is>
      </c>
      <c r="B503" s="1" t="n">
        <v>45901</v>
      </c>
      <c r="C503" s="1" t="n">
        <v>46136</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12469-2023</t>
        </is>
      </c>
      <c r="B504" s="1" t="n">
        <v>44999.62109953703</v>
      </c>
      <c r="C504" s="1" t="n">
        <v>46136</v>
      </c>
      <c r="D504" t="inlineStr">
        <is>
          <t>SKÅNE LÄN</t>
        </is>
      </c>
      <c r="E504" t="inlineStr">
        <is>
          <t>HÄSSLEHOLM</t>
        </is>
      </c>
      <c r="G504" t="n">
        <v>2.6</v>
      </c>
      <c r="H504" t="n">
        <v>0</v>
      </c>
      <c r="I504" t="n">
        <v>0</v>
      </c>
      <c r="J504" t="n">
        <v>0</v>
      </c>
      <c r="K504" t="n">
        <v>0</v>
      </c>
      <c r="L504" t="n">
        <v>0</v>
      </c>
      <c r="M504" t="n">
        <v>0</v>
      </c>
      <c r="N504" t="n">
        <v>0</v>
      </c>
      <c r="O504" t="n">
        <v>0</v>
      </c>
      <c r="P504" t="n">
        <v>0</v>
      </c>
      <c r="Q504" t="n">
        <v>0</v>
      </c>
      <c r="R504" s="2" t="inlineStr"/>
    </row>
    <row r="505" ht="15" customHeight="1">
      <c r="A505" t="inlineStr">
        <is>
          <t>A 48663-2024</t>
        </is>
      </c>
      <c r="B505" s="1" t="n">
        <v>45593.48892361111</v>
      </c>
      <c r="C505" s="1" t="n">
        <v>46136</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50659-2023</t>
        </is>
      </c>
      <c r="B506" s="1" t="n">
        <v>45217</v>
      </c>
      <c r="C506" s="1" t="n">
        <v>46136</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27464-2022</t>
        </is>
      </c>
      <c r="B507" s="1" t="n">
        <v>44742.58704861111</v>
      </c>
      <c r="C507" s="1" t="n">
        <v>46136</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16476-2026</t>
        </is>
      </c>
      <c r="B508" s="1" t="n">
        <v>46112.38662037037</v>
      </c>
      <c r="C508" s="1" t="n">
        <v>46136</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50525-2024</t>
        </is>
      </c>
      <c r="B509" s="1" t="n">
        <v>45601</v>
      </c>
      <c r="C509" s="1" t="n">
        <v>46136</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26857-2025</t>
        </is>
      </c>
      <c r="B510" s="1" t="n">
        <v>45810</v>
      </c>
      <c r="C510" s="1" t="n">
        <v>46136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27242-2022</t>
        </is>
      </c>
      <c r="B511" s="1" t="n">
        <v>44741</v>
      </c>
      <c r="C511" s="1" t="n">
        <v>46136</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27197-2021</t>
        </is>
      </c>
      <c r="B512" s="1" t="n">
        <v>44350</v>
      </c>
      <c r="C512" s="1" t="n">
        <v>46136</v>
      </c>
      <c r="D512" t="inlineStr">
        <is>
          <t>SKÅNE LÄN</t>
        </is>
      </c>
      <c r="E512" t="inlineStr">
        <is>
          <t>HÄSSLEHOLM</t>
        </is>
      </c>
      <c r="G512" t="n">
        <v>1.8</v>
      </c>
      <c r="H512" t="n">
        <v>0</v>
      </c>
      <c r="I512" t="n">
        <v>0</v>
      </c>
      <c r="J512" t="n">
        <v>0</v>
      </c>
      <c r="K512" t="n">
        <v>0</v>
      </c>
      <c r="L512" t="n">
        <v>0</v>
      </c>
      <c r="M512" t="n">
        <v>0</v>
      </c>
      <c r="N512" t="n">
        <v>0</v>
      </c>
      <c r="O512" t="n">
        <v>0</v>
      </c>
      <c r="P512" t="n">
        <v>0</v>
      </c>
      <c r="Q512" t="n">
        <v>0</v>
      </c>
      <c r="R512" s="2" t="inlineStr"/>
    </row>
    <row r="513" ht="15" customHeight="1">
      <c r="A513" t="inlineStr">
        <is>
          <t>A 16470-2026</t>
        </is>
      </c>
      <c r="B513" s="1" t="n">
        <v>46112.37516203704</v>
      </c>
      <c r="C513" s="1" t="n">
        <v>46136</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36085-2025</t>
        </is>
      </c>
      <c r="B514" s="1" t="n">
        <v>45866.46190972222</v>
      </c>
      <c r="C514" s="1" t="n">
        <v>46136</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33465-2024</t>
        </is>
      </c>
      <c r="B515" s="1" t="n">
        <v>45519.59619212963</v>
      </c>
      <c r="C515" s="1" t="n">
        <v>46136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36130-2025</t>
        </is>
      </c>
      <c r="B516" s="1" t="n">
        <v>45866.62273148148</v>
      </c>
      <c r="C516" s="1" t="n">
        <v>46136</v>
      </c>
      <c r="D516" t="inlineStr">
        <is>
          <t>SKÅNE LÄN</t>
        </is>
      </c>
      <c r="E516" t="inlineStr">
        <is>
          <t>HÄSSLEHOLM</t>
        </is>
      </c>
      <c r="G516" t="n">
        <v>4.7</v>
      </c>
      <c r="H516" t="n">
        <v>0</v>
      </c>
      <c r="I516" t="n">
        <v>0</v>
      </c>
      <c r="J516" t="n">
        <v>0</v>
      </c>
      <c r="K516" t="n">
        <v>0</v>
      </c>
      <c r="L516" t="n">
        <v>0</v>
      </c>
      <c r="M516" t="n">
        <v>0</v>
      </c>
      <c r="N516" t="n">
        <v>0</v>
      </c>
      <c r="O516" t="n">
        <v>0</v>
      </c>
      <c r="P516" t="n">
        <v>0</v>
      </c>
      <c r="Q516" t="n">
        <v>0</v>
      </c>
      <c r="R516" s="2" t="inlineStr"/>
    </row>
    <row r="517" ht="15" customHeight="1">
      <c r="A517" t="inlineStr">
        <is>
          <t>A 32154-2024</t>
        </is>
      </c>
      <c r="B517" s="1" t="n">
        <v>45511</v>
      </c>
      <c r="C517" s="1" t="n">
        <v>46136</v>
      </c>
      <c r="D517" t="inlineStr">
        <is>
          <t>SKÅNE LÄN</t>
        </is>
      </c>
      <c r="E517" t="inlineStr">
        <is>
          <t>HÄSSLEHOLM</t>
        </is>
      </c>
      <c r="G517" t="n">
        <v>6.4</v>
      </c>
      <c r="H517" t="n">
        <v>0</v>
      </c>
      <c r="I517" t="n">
        <v>0</v>
      </c>
      <c r="J517" t="n">
        <v>0</v>
      </c>
      <c r="K517" t="n">
        <v>0</v>
      </c>
      <c r="L517" t="n">
        <v>0</v>
      </c>
      <c r="M517" t="n">
        <v>0</v>
      </c>
      <c r="N517" t="n">
        <v>0</v>
      </c>
      <c r="O517" t="n">
        <v>0</v>
      </c>
      <c r="P517" t="n">
        <v>0</v>
      </c>
      <c r="Q517" t="n">
        <v>0</v>
      </c>
      <c r="R517" s="2" t="inlineStr"/>
    </row>
    <row r="518" ht="15" customHeight="1">
      <c r="A518" t="inlineStr">
        <is>
          <t>A 31986-2023</t>
        </is>
      </c>
      <c r="B518" s="1" t="n">
        <v>45119</v>
      </c>
      <c r="C518" s="1" t="n">
        <v>46136</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19666-2025</t>
        </is>
      </c>
      <c r="B519" s="1" t="n">
        <v>45770.69326388889</v>
      </c>
      <c r="C519" s="1" t="n">
        <v>46136</v>
      </c>
      <c r="D519" t="inlineStr">
        <is>
          <t>SKÅNE LÄN</t>
        </is>
      </c>
      <c r="E519" t="inlineStr">
        <is>
          <t>HÄSSLEHOLM</t>
        </is>
      </c>
      <c r="G519" t="n">
        <v>2.4</v>
      </c>
      <c r="H519" t="n">
        <v>0</v>
      </c>
      <c r="I519" t="n">
        <v>0</v>
      </c>
      <c r="J519" t="n">
        <v>0</v>
      </c>
      <c r="K519" t="n">
        <v>0</v>
      </c>
      <c r="L519" t="n">
        <v>0</v>
      </c>
      <c r="M519" t="n">
        <v>0</v>
      </c>
      <c r="N519" t="n">
        <v>0</v>
      </c>
      <c r="O519" t="n">
        <v>0</v>
      </c>
      <c r="P519" t="n">
        <v>0</v>
      </c>
      <c r="Q519" t="n">
        <v>0</v>
      </c>
      <c r="R519" s="2" t="inlineStr"/>
    </row>
    <row r="520" ht="15" customHeight="1">
      <c r="A520" t="inlineStr">
        <is>
          <t>A 41209-2023</t>
        </is>
      </c>
      <c r="B520" s="1" t="n">
        <v>45174.43481481481</v>
      </c>
      <c r="C520" s="1" t="n">
        <v>46136</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61197-2024</t>
        </is>
      </c>
      <c r="B521" s="1" t="n">
        <v>45645.63184027778</v>
      </c>
      <c r="C521" s="1" t="n">
        <v>46136</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36361-2025</t>
        </is>
      </c>
      <c r="B522" s="1" t="n">
        <v>45867</v>
      </c>
      <c r="C522" s="1" t="n">
        <v>46136</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13549-2025</t>
        </is>
      </c>
      <c r="B523" s="1" t="n">
        <v>45736</v>
      </c>
      <c r="C523" s="1" t="n">
        <v>46136</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35833-2023</t>
        </is>
      </c>
      <c r="B524" s="1" t="n">
        <v>45148</v>
      </c>
      <c r="C524" s="1" t="n">
        <v>46136</v>
      </c>
      <c r="D524" t="inlineStr">
        <is>
          <t>SKÅNE LÄN</t>
        </is>
      </c>
      <c r="E524" t="inlineStr">
        <is>
          <t>HÄSSLEHOLM</t>
        </is>
      </c>
      <c r="F524" t="inlineStr">
        <is>
          <t>Kommuner</t>
        </is>
      </c>
      <c r="G524" t="n">
        <v>2</v>
      </c>
      <c r="H524" t="n">
        <v>0</v>
      </c>
      <c r="I524" t="n">
        <v>0</v>
      </c>
      <c r="J524" t="n">
        <v>0</v>
      </c>
      <c r="K524" t="n">
        <v>0</v>
      </c>
      <c r="L524" t="n">
        <v>0</v>
      </c>
      <c r="M524" t="n">
        <v>0</v>
      </c>
      <c r="N524" t="n">
        <v>0</v>
      </c>
      <c r="O524" t="n">
        <v>0</v>
      </c>
      <c r="P524" t="n">
        <v>0</v>
      </c>
      <c r="Q524" t="n">
        <v>0</v>
      </c>
      <c r="R524" s="2" t="inlineStr"/>
    </row>
    <row r="525" ht="15" customHeight="1">
      <c r="A525" t="inlineStr">
        <is>
          <t>A 36358-2025</t>
        </is>
      </c>
      <c r="B525" s="1" t="n">
        <v>45867</v>
      </c>
      <c r="C525" s="1" t="n">
        <v>46136</v>
      </c>
      <c r="D525" t="inlineStr">
        <is>
          <t>SKÅNE LÄN</t>
        </is>
      </c>
      <c r="E525" t="inlineStr">
        <is>
          <t>HÄSSLEHOLM</t>
        </is>
      </c>
      <c r="G525" t="n">
        <v>2.8</v>
      </c>
      <c r="H525" t="n">
        <v>0</v>
      </c>
      <c r="I525" t="n">
        <v>0</v>
      </c>
      <c r="J525" t="n">
        <v>0</v>
      </c>
      <c r="K525" t="n">
        <v>0</v>
      </c>
      <c r="L525" t="n">
        <v>0</v>
      </c>
      <c r="M525" t="n">
        <v>0</v>
      </c>
      <c r="N525" t="n">
        <v>0</v>
      </c>
      <c r="O525" t="n">
        <v>0</v>
      </c>
      <c r="P525" t="n">
        <v>0</v>
      </c>
      <c r="Q525" t="n">
        <v>0</v>
      </c>
      <c r="R525" s="2" t="inlineStr"/>
    </row>
    <row r="526" ht="15" customHeight="1">
      <c r="A526" t="inlineStr">
        <is>
          <t>A 36359-2025</t>
        </is>
      </c>
      <c r="B526" s="1" t="n">
        <v>45867</v>
      </c>
      <c r="C526" s="1" t="n">
        <v>46136</v>
      </c>
      <c r="D526" t="inlineStr">
        <is>
          <t>SKÅNE LÄN</t>
        </is>
      </c>
      <c r="E526" t="inlineStr">
        <is>
          <t>HÄSSLEHOLM</t>
        </is>
      </c>
      <c r="G526" t="n">
        <v>2.2</v>
      </c>
      <c r="H526" t="n">
        <v>0</v>
      </c>
      <c r="I526" t="n">
        <v>0</v>
      </c>
      <c r="J526" t="n">
        <v>0</v>
      </c>
      <c r="K526" t="n">
        <v>0</v>
      </c>
      <c r="L526" t="n">
        <v>0</v>
      </c>
      <c r="M526" t="n">
        <v>0</v>
      </c>
      <c r="N526" t="n">
        <v>0</v>
      </c>
      <c r="O526" t="n">
        <v>0</v>
      </c>
      <c r="P526" t="n">
        <v>0</v>
      </c>
      <c r="Q526" t="n">
        <v>0</v>
      </c>
      <c r="R526" s="2" t="inlineStr"/>
    </row>
    <row r="527" ht="15" customHeight="1">
      <c r="A527" t="inlineStr">
        <is>
          <t>A 36259-2025</t>
        </is>
      </c>
      <c r="B527" s="1" t="n">
        <v>45867.59799768519</v>
      </c>
      <c r="C527" s="1" t="n">
        <v>46136</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57491-2024</t>
        </is>
      </c>
      <c r="B528" s="1" t="n">
        <v>45629</v>
      </c>
      <c r="C528" s="1" t="n">
        <v>46136</v>
      </c>
      <c r="D528" t="inlineStr">
        <is>
          <t>SKÅNE LÄN</t>
        </is>
      </c>
      <c r="E528" t="inlineStr">
        <is>
          <t>HÄSSLEHOLM</t>
        </is>
      </c>
      <c r="G528" t="n">
        <v>3.2</v>
      </c>
      <c r="H528" t="n">
        <v>0</v>
      </c>
      <c r="I528" t="n">
        <v>0</v>
      </c>
      <c r="J528" t="n">
        <v>0</v>
      </c>
      <c r="K528" t="n">
        <v>0</v>
      </c>
      <c r="L528" t="n">
        <v>0</v>
      </c>
      <c r="M528" t="n">
        <v>0</v>
      </c>
      <c r="N528" t="n">
        <v>0</v>
      </c>
      <c r="O528" t="n">
        <v>0</v>
      </c>
      <c r="P528" t="n">
        <v>0</v>
      </c>
      <c r="Q528" t="n">
        <v>0</v>
      </c>
      <c r="R528" s="2" t="inlineStr"/>
    </row>
    <row r="529" ht="15" customHeight="1">
      <c r="A529" t="inlineStr">
        <is>
          <t>A 58250-2024</t>
        </is>
      </c>
      <c r="B529" s="1" t="n">
        <v>45632.55643518519</v>
      </c>
      <c r="C529" s="1" t="n">
        <v>46136</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26207-2021</t>
        </is>
      </c>
      <c r="B530" s="1" t="n">
        <v>44347</v>
      </c>
      <c r="C530" s="1" t="n">
        <v>46136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6798-2025</t>
        </is>
      </c>
      <c r="B531" s="1" t="n">
        <v>45700.668125</v>
      </c>
      <c r="C531" s="1" t="n">
        <v>46136</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8209-2025</t>
        </is>
      </c>
      <c r="B532" s="1" t="n">
        <v>45708.44244212963</v>
      </c>
      <c r="C532" s="1" t="n">
        <v>46136</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69357-2021</t>
        </is>
      </c>
      <c r="B533" s="1" t="n">
        <v>44531</v>
      </c>
      <c r="C533" s="1" t="n">
        <v>46136</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36938-2025</t>
        </is>
      </c>
      <c r="B534" s="1" t="n">
        <v>45874.58476851852</v>
      </c>
      <c r="C534" s="1" t="n">
        <v>46136</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37898-2021</t>
        </is>
      </c>
      <c r="B535" s="1" t="n">
        <v>44403</v>
      </c>
      <c r="C535" s="1" t="n">
        <v>46136</v>
      </c>
      <c r="D535" t="inlineStr">
        <is>
          <t>SKÅNE LÄN</t>
        </is>
      </c>
      <c r="E535" t="inlineStr">
        <is>
          <t>HÄSSLEHOLM</t>
        </is>
      </c>
      <c r="F535" t="inlineStr">
        <is>
          <t>Kommuner</t>
        </is>
      </c>
      <c r="G535" t="n">
        <v>8.4</v>
      </c>
      <c r="H535" t="n">
        <v>0</v>
      </c>
      <c r="I535" t="n">
        <v>0</v>
      </c>
      <c r="J535" t="n">
        <v>0</v>
      </c>
      <c r="K535" t="n">
        <v>0</v>
      </c>
      <c r="L535" t="n">
        <v>0</v>
      </c>
      <c r="M535" t="n">
        <v>0</v>
      </c>
      <c r="N535" t="n">
        <v>0</v>
      </c>
      <c r="O535" t="n">
        <v>0</v>
      </c>
      <c r="P535" t="n">
        <v>0</v>
      </c>
      <c r="Q535" t="n">
        <v>0</v>
      </c>
      <c r="R535" s="2" t="inlineStr"/>
    </row>
    <row r="536" ht="15" customHeight="1">
      <c r="A536" t="inlineStr">
        <is>
          <t>A 35810-2023</t>
        </is>
      </c>
      <c r="B536" s="1" t="n">
        <v>45148.44046296296</v>
      </c>
      <c r="C536" s="1" t="n">
        <v>46136</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10051-2026</t>
        </is>
      </c>
      <c r="B537" s="1" t="n">
        <v>46073</v>
      </c>
      <c r="C537" s="1" t="n">
        <v>46136</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23172-2022</t>
        </is>
      </c>
      <c r="B538" s="1" t="n">
        <v>44719</v>
      </c>
      <c r="C538" s="1" t="n">
        <v>46136</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23173-2022</t>
        </is>
      </c>
      <c r="B539" s="1" t="n">
        <v>44719.72155092593</v>
      </c>
      <c r="C539" s="1" t="n">
        <v>46136</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52608-2023</t>
        </is>
      </c>
      <c r="B540" s="1" t="n">
        <v>45219</v>
      </c>
      <c r="C540" s="1" t="n">
        <v>46136</v>
      </c>
      <c r="D540" t="inlineStr">
        <is>
          <t>SKÅNE LÄN</t>
        </is>
      </c>
      <c r="E540" t="inlineStr">
        <is>
          <t>HÄSSLEHOLM</t>
        </is>
      </c>
      <c r="F540" t="inlineStr">
        <is>
          <t>Övriga Aktiebolag</t>
        </is>
      </c>
      <c r="G540" t="n">
        <v>2.1</v>
      </c>
      <c r="H540" t="n">
        <v>0</v>
      </c>
      <c r="I540" t="n">
        <v>0</v>
      </c>
      <c r="J540" t="n">
        <v>0</v>
      </c>
      <c r="K540" t="n">
        <v>0</v>
      </c>
      <c r="L540" t="n">
        <v>0</v>
      </c>
      <c r="M540" t="n">
        <v>0</v>
      </c>
      <c r="N540" t="n">
        <v>0</v>
      </c>
      <c r="O540" t="n">
        <v>0</v>
      </c>
      <c r="P540" t="n">
        <v>0</v>
      </c>
      <c r="Q540" t="n">
        <v>0</v>
      </c>
      <c r="R540" s="2" t="inlineStr"/>
    </row>
    <row r="541" ht="15" customHeight="1">
      <c r="A541" t="inlineStr">
        <is>
          <t>A 8239-2025</t>
        </is>
      </c>
      <c r="B541" s="1" t="n">
        <v>45708.47984953703</v>
      </c>
      <c r="C541" s="1" t="n">
        <v>46136</v>
      </c>
      <c r="D541" t="inlineStr">
        <is>
          <t>SKÅNE LÄN</t>
        </is>
      </c>
      <c r="E541" t="inlineStr">
        <is>
          <t>HÄSSLEHOLM</t>
        </is>
      </c>
      <c r="G541" t="n">
        <v>2.7</v>
      </c>
      <c r="H541" t="n">
        <v>0</v>
      </c>
      <c r="I541" t="n">
        <v>0</v>
      </c>
      <c r="J541" t="n">
        <v>0</v>
      </c>
      <c r="K541" t="n">
        <v>0</v>
      </c>
      <c r="L541" t="n">
        <v>0</v>
      </c>
      <c r="M541" t="n">
        <v>0</v>
      </c>
      <c r="N541" t="n">
        <v>0</v>
      </c>
      <c r="O541" t="n">
        <v>0</v>
      </c>
      <c r="P541" t="n">
        <v>0</v>
      </c>
      <c r="Q541" t="n">
        <v>0</v>
      </c>
      <c r="R541" s="2" t="inlineStr"/>
    </row>
    <row r="542" ht="15" customHeight="1">
      <c r="A542" t="inlineStr">
        <is>
          <t>A 56355-2023</t>
        </is>
      </c>
      <c r="B542" s="1" t="n">
        <v>45243.3702662037</v>
      </c>
      <c r="C542" s="1" t="n">
        <v>46136</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9394-2025</t>
        </is>
      </c>
      <c r="B543" s="1" t="n">
        <v>45715.36387731481</v>
      </c>
      <c r="C543" s="1" t="n">
        <v>46136</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7305-2025</t>
        </is>
      </c>
      <c r="B544" s="1" t="n">
        <v>45702</v>
      </c>
      <c r="C544" s="1" t="n">
        <v>46136</v>
      </c>
      <c r="D544" t="inlineStr">
        <is>
          <t>SKÅNE LÄN</t>
        </is>
      </c>
      <c r="E544" t="inlineStr">
        <is>
          <t>HÄSSLEHOLM</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56065-2025</t>
        </is>
      </c>
      <c r="B545" s="1" t="n">
        <v>45973</v>
      </c>
      <c r="C545" s="1" t="n">
        <v>46136</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52341-2023</t>
        </is>
      </c>
      <c r="B546" s="1" t="n">
        <v>45224.67006944444</v>
      </c>
      <c r="C546" s="1" t="n">
        <v>46136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37286-2025</t>
        </is>
      </c>
      <c r="B547" s="1" t="n">
        <v>45876.50116898148</v>
      </c>
      <c r="C547" s="1" t="n">
        <v>46136</v>
      </c>
      <c r="D547" t="inlineStr">
        <is>
          <t>SKÅNE LÄN</t>
        </is>
      </c>
      <c r="E547" t="inlineStr">
        <is>
          <t>HÄSSLEHOLM</t>
        </is>
      </c>
      <c r="G547" t="n">
        <v>2.9</v>
      </c>
      <c r="H547" t="n">
        <v>0</v>
      </c>
      <c r="I547" t="n">
        <v>0</v>
      </c>
      <c r="J547" t="n">
        <v>0</v>
      </c>
      <c r="K547" t="n">
        <v>0</v>
      </c>
      <c r="L547" t="n">
        <v>0</v>
      </c>
      <c r="M547" t="n">
        <v>0</v>
      </c>
      <c r="N547" t="n">
        <v>0</v>
      </c>
      <c r="O547" t="n">
        <v>0</v>
      </c>
      <c r="P547" t="n">
        <v>0</v>
      </c>
      <c r="Q547" t="n">
        <v>0</v>
      </c>
      <c r="R547" s="2" t="inlineStr"/>
    </row>
    <row r="548" ht="15" customHeight="1">
      <c r="A548" t="inlineStr">
        <is>
          <t>A 27173-2024</t>
        </is>
      </c>
      <c r="B548" s="1" t="n">
        <v>45471.57048611111</v>
      </c>
      <c r="C548" s="1" t="n">
        <v>46136</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37271-2025</t>
        </is>
      </c>
      <c r="B549" s="1" t="n">
        <v>45876.47828703704</v>
      </c>
      <c r="C549" s="1" t="n">
        <v>46136</v>
      </c>
      <c r="D549" t="inlineStr">
        <is>
          <t>SKÅNE LÄN</t>
        </is>
      </c>
      <c r="E549" t="inlineStr">
        <is>
          <t>HÄSSLEHOLM</t>
        </is>
      </c>
      <c r="G549" t="n">
        <v>4.1</v>
      </c>
      <c r="H549" t="n">
        <v>0</v>
      </c>
      <c r="I549" t="n">
        <v>0</v>
      </c>
      <c r="J549" t="n">
        <v>0</v>
      </c>
      <c r="K549" t="n">
        <v>0</v>
      </c>
      <c r="L549" t="n">
        <v>0</v>
      </c>
      <c r="M549" t="n">
        <v>0</v>
      </c>
      <c r="N549" t="n">
        <v>0</v>
      </c>
      <c r="O549" t="n">
        <v>0</v>
      </c>
      <c r="P549" t="n">
        <v>0</v>
      </c>
      <c r="Q549" t="n">
        <v>0</v>
      </c>
      <c r="R549" s="2" t="inlineStr"/>
    </row>
    <row r="550" ht="15" customHeight="1">
      <c r="A550" t="inlineStr">
        <is>
          <t>A 32008-2024</t>
        </is>
      </c>
      <c r="B550" s="1" t="n">
        <v>45510</v>
      </c>
      <c r="C550" s="1" t="n">
        <v>46136</v>
      </c>
      <c r="D550" t="inlineStr">
        <is>
          <t>SKÅNE LÄN</t>
        </is>
      </c>
      <c r="E550" t="inlineStr">
        <is>
          <t>HÄSSLEHOLM</t>
        </is>
      </c>
      <c r="G550" t="n">
        <v>5.1</v>
      </c>
      <c r="H550" t="n">
        <v>0</v>
      </c>
      <c r="I550" t="n">
        <v>0</v>
      </c>
      <c r="J550" t="n">
        <v>0</v>
      </c>
      <c r="K550" t="n">
        <v>0</v>
      </c>
      <c r="L550" t="n">
        <v>0</v>
      </c>
      <c r="M550" t="n">
        <v>0</v>
      </c>
      <c r="N550" t="n">
        <v>0</v>
      </c>
      <c r="O550" t="n">
        <v>0</v>
      </c>
      <c r="P550" t="n">
        <v>0</v>
      </c>
      <c r="Q550" t="n">
        <v>0</v>
      </c>
      <c r="R550" s="2" t="inlineStr"/>
    </row>
    <row r="551" ht="15" customHeight="1">
      <c r="A551" t="inlineStr">
        <is>
          <t>A 15800-2025</t>
        </is>
      </c>
      <c r="B551" s="1" t="n">
        <v>45748.64831018518</v>
      </c>
      <c r="C551" s="1" t="n">
        <v>46136</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40780-2022</t>
        </is>
      </c>
      <c r="B552" s="1" t="n">
        <v>44820</v>
      </c>
      <c r="C552" s="1" t="n">
        <v>46136</v>
      </c>
      <c r="D552" t="inlineStr">
        <is>
          <t>SKÅNE LÄN</t>
        </is>
      </c>
      <c r="E552" t="inlineStr">
        <is>
          <t>HÄSSLEHOLM</t>
        </is>
      </c>
      <c r="G552" t="n">
        <v>7.4</v>
      </c>
      <c r="H552" t="n">
        <v>0</v>
      </c>
      <c r="I552" t="n">
        <v>0</v>
      </c>
      <c r="J552" t="n">
        <v>0</v>
      </c>
      <c r="K552" t="n">
        <v>0</v>
      </c>
      <c r="L552" t="n">
        <v>0</v>
      </c>
      <c r="M552" t="n">
        <v>0</v>
      </c>
      <c r="N552" t="n">
        <v>0</v>
      </c>
      <c r="O552" t="n">
        <v>0</v>
      </c>
      <c r="P552" t="n">
        <v>0</v>
      </c>
      <c r="Q552" t="n">
        <v>0</v>
      </c>
      <c r="R552" s="2" t="inlineStr"/>
    </row>
    <row r="553" ht="15" customHeight="1">
      <c r="A553" t="inlineStr">
        <is>
          <t>A 51245-2023</t>
        </is>
      </c>
      <c r="B553" s="1" t="n">
        <v>45212</v>
      </c>
      <c r="C553" s="1" t="n">
        <v>46136</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32981-2025</t>
        </is>
      </c>
      <c r="B554" s="1" t="n">
        <v>45839.86820601852</v>
      </c>
      <c r="C554" s="1" t="n">
        <v>46136</v>
      </c>
      <c r="D554" t="inlineStr">
        <is>
          <t>SKÅNE LÄN</t>
        </is>
      </c>
      <c r="E554" t="inlineStr">
        <is>
          <t>HÄSSLEHOLM</t>
        </is>
      </c>
      <c r="G554" t="n">
        <v>2.7</v>
      </c>
      <c r="H554" t="n">
        <v>0</v>
      </c>
      <c r="I554" t="n">
        <v>0</v>
      </c>
      <c r="J554" t="n">
        <v>0</v>
      </c>
      <c r="K554" t="n">
        <v>0</v>
      </c>
      <c r="L554" t="n">
        <v>0</v>
      </c>
      <c r="M554" t="n">
        <v>0</v>
      </c>
      <c r="N554" t="n">
        <v>0</v>
      </c>
      <c r="O554" t="n">
        <v>0</v>
      </c>
      <c r="P554" t="n">
        <v>0</v>
      </c>
      <c r="Q554" t="n">
        <v>0</v>
      </c>
      <c r="R554" s="2" t="inlineStr"/>
    </row>
    <row r="555" ht="15" customHeight="1">
      <c r="A555" t="inlineStr">
        <is>
          <t>A 18109-2025</t>
        </is>
      </c>
      <c r="B555" s="1" t="n">
        <v>45761</v>
      </c>
      <c r="C555" s="1" t="n">
        <v>46136</v>
      </c>
      <c r="D555" t="inlineStr">
        <is>
          <t>SKÅNE LÄN</t>
        </is>
      </c>
      <c r="E555" t="inlineStr">
        <is>
          <t>HÄSSLEHOLM</t>
        </is>
      </c>
      <c r="G555" t="n">
        <v>1.4</v>
      </c>
      <c r="H555" t="n">
        <v>0</v>
      </c>
      <c r="I555" t="n">
        <v>0</v>
      </c>
      <c r="J555" t="n">
        <v>0</v>
      </c>
      <c r="K555" t="n">
        <v>0</v>
      </c>
      <c r="L555" t="n">
        <v>0</v>
      </c>
      <c r="M555" t="n">
        <v>0</v>
      </c>
      <c r="N555" t="n">
        <v>0</v>
      </c>
      <c r="O555" t="n">
        <v>0</v>
      </c>
      <c r="P555" t="n">
        <v>0</v>
      </c>
      <c r="Q555" t="n">
        <v>0</v>
      </c>
      <c r="R555" s="2" t="inlineStr"/>
    </row>
    <row r="556" ht="15" customHeight="1">
      <c r="A556" t="inlineStr">
        <is>
          <t>A 16862-2025</t>
        </is>
      </c>
      <c r="B556" s="1" t="n">
        <v>45751</v>
      </c>
      <c r="C556" s="1" t="n">
        <v>46136</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17996-2026</t>
        </is>
      </c>
      <c r="B557" s="1" t="n">
        <v>46124.87434027778</v>
      </c>
      <c r="C557" s="1" t="n">
        <v>46136</v>
      </c>
      <c r="D557" t="inlineStr">
        <is>
          <t>SKÅNE LÄN</t>
        </is>
      </c>
      <c r="E557" t="inlineStr">
        <is>
          <t>HÄSSLEHOLM</t>
        </is>
      </c>
      <c r="G557" t="n">
        <v>1.4</v>
      </c>
      <c r="H557" t="n">
        <v>0</v>
      </c>
      <c r="I557" t="n">
        <v>0</v>
      </c>
      <c r="J557" t="n">
        <v>0</v>
      </c>
      <c r="K557" t="n">
        <v>0</v>
      </c>
      <c r="L557" t="n">
        <v>0</v>
      </c>
      <c r="M557" t="n">
        <v>0</v>
      </c>
      <c r="N557" t="n">
        <v>0</v>
      </c>
      <c r="O557" t="n">
        <v>0</v>
      </c>
      <c r="P557" t="n">
        <v>0</v>
      </c>
      <c r="Q557" t="n">
        <v>0</v>
      </c>
      <c r="R557" s="2" t="inlineStr"/>
    </row>
    <row r="558" ht="15" customHeight="1">
      <c r="A558" t="inlineStr">
        <is>
          <t>A 41680-2024</t>
        </is>
      </c>
      <c r="B558" s="1" t="n">
        <v>45560</v>
      </c>
      <c r="C558" s="1" t="n">
        <v>46136</v>
      </c>
      <c r="D558" t="inlineStr">
        <is>
          <t>SKÅNE LÄN</t>
        </is>
      </c>
      <c r="E558" t="inlineStr">
        <is>
          <t>HÄSSLEHOLM</t>
        </is>
      </c>
      <c r="G558" t="n">
        <v>0.2</v>
      </c>
      <c r="H558" t="n">
        <v>0</v>
      </c>
      <c r="I558" t="n">
        <v>0</v>
      </c>
      <c r="J558" t="n">
        <v>0</v>
      </c>
      <c r="K558" t="n">
        <v>0</v>
      </c>
      <c r="L558" t="n">
        <v>0</v>
      </c>
      <c r="M558" t="n">
        <v>0</v>
      </c>
      <c r="N558" t="n">
        <v>0</v>
      </c>
      <c r="O558" t="n">
        <v>0</v>
      </c>
      <c r="P558" t="n">
        <v>0</v>
      </c>
      <c r="Q558" t="n">
        <v>0</v>
      </c>
      <c r="R558" s="2" t="inlineStr"/>
    </row>
    <row r="559" ht="15" customHeight="1">
      <c r="A559" t="inlineStr">
        <is>
          <t>A 63476-2025</t>
        </is>
      </c>
      <c r="B559" s="1" t="n">
        <v>46013.44621527778</v>
      </c>
      <c r="C559" s="1" t="n">
        <v>46136</v>
      </c>
      <c r="D559" t="inlineStr">
        <is>
          <t>SKÅNE LÄN</t>
        </is>
      </c>
      <c r="E559" t="inlineStr">
        <is>
          <t>HÄSSLEHOLM</t>
        </is>
      </c>
      <c r="F559" t="inlineStr">
        <is>
          <t>Kommuner</t>
        </is>
      </c>
      <c r="G559" t="n">
        <v>0.6</v>
      </c>
      <c r="H559" t="n">
        <v>0</v>
      </c>
      <c r="I559" t="n">
        <v>0</v>
      </c>
      <c r="J559" t="n">
        <v>0</v>
      </c>
      <c r="K559" t="n">
        <v>0</v>
      </c>
      <c r="L559" t="n">
        <v>0</v>
      </c>
      <c r="M559" t="n">
        <v>0</v>
      </c>
      <c r="N559" t="n">
        <v>0</v>
      </c>
      <c r="O559" t="n">
        <v>0</v>
      </c>
      <c r="P559" t="n">
        <v>0</v>
      </c>
      <c r="Q559" t="n">
        <v>0</v>
      </c>
      <c r="R559" s="2" t="inlineStr"/>
    </row>
    <row r="560" ht="15" customHeight="1">
      <c r="A560" t="inlineStr">
        <is>
          <t>A 48747-2022</t>
        </is>
      </c>
      <c r="B560" s="1" t="n">
        <v>44859</v>
      </c>
      <c r="C560" s="1" t="n">
        <v>46136</v>
      </c>
      <c r="D560" t="inlineStr">
        <is>
          <t>SKÅNE LÄN</t>
        </is>
      </c>
      <c r="E560" t="inlineStr">
        <is>
          <t>HÄSSLEHOLM</t>
        </is>
      </c>
      <c r="G560" t="n">
        <v>1.9</v>
      </c>
      <c r="H560" t="n">
        <v>0</v>
      </c>
      <c r="I560" t="n">
        <v>0</v>
      </c>
      <c r="J560" t="n">
        <v>0</v>
      </c>
      <c r="K560" t="n">
        <v>0</v>
      </c>
      <c r="L560" t="n">
        <v>0</v>
      </c>
      <c r="M560" t="n">
        <v>0</v>
      </c>
      <c r="N560" t="n">
        <v>0</v>
      </c>
      <c r="O560" t="n">
        <v>0</v>
      </c>
      <c r="P560" t="n">
        <v>0</v>
      </c>
      <c r="Q560" t="n">
        <v>0</v>
      </c>
      <c r="R560" s="2" t="inlineStr"/>
    </row>
    <row r="561" ht="15" customHeight="1">
      <c r="A561" t="inlineStr">
        <is>
          <t>A 7153-2025</t>
        </is>
      </c>
      <c r="B561" s="1" t="n">
        <v>45702.38512731482</v>
      </c>
      <c r="C561" s="1" t="n">
        <v>46136</v>
      </c>
      <c r="D561" t="inlineStr">
        <is>
          <t>SKÅNE LÄN</t>
        </is>
      </c>
      <c r="E561" t="inlineStr">
        <is>
          <t>HÄSSLEHOLM</t>
        </is>
      </c>
      <c r="G561" t="n">
        <v>2.7</v>
      </c>
      <c r="H561" t="n">
        <v>0</v>
      </c>
      <c r="I561" t="n">
        <v>0</v>
      </c>
      <c r="J561" t="n">
        <v>0</v>
      </c>
      <c r="K561" t="n">
        <v>0</v>
      </c>
      <c r="L561" t="n">
        <v>0</v>
      </c>
      <c r="M561" t="n">
        <v>0</v>
      </c>
      <c r="N561" t="n">
        <v>0</v>
      </c>
      <c r="O561" t="n">
        <v>0</v>
      </c>
      <c r="P561" t="n">
        <v>0</v>
      </c>
      <c r="Q561" t="n">
        <v>0</v>
      </c>
      <c r="R561" s="2" t="inlineStr"/>
    </row>
    <row r="562" ht="15" customHeight="1">
      <c r="A562" t="inlineStr">
        <is>
          <t>A 7581-2023</t>
        </is>
      </c>
      <c r="B562" s="1" t="n">
        <v>44972.39556712963</v>
      </c>
      <c r="C562" s="1" t="n">
        <v>46136</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17835-2026</t>
        </is>
      </c>
      <c r="B563" s="1" t="n">
        <v>46121</v>
      </c>
      <c r="C563" s="1" t="n">
        <v>46136</v>
      </c>
      <c r="D563" t="inlineStr">
        <is>
          <t>SKÅNE LÄN</t>
        </is>
      </c>
      <c r="E563" t="inlineStr">
        <is>
          <t>HÄSSLEHOLM</t>
        </is>
      </c>
      <c r="G563" t="n">
        <v>12.6</v>
      </c>
      <c r="H563" t="n">
        <v>0</v>
      </c>
      <c r="I563" t="n">
        <v>0</v>
      </c>
      <c r="J563" t="n">
        <v>0</v>
      </c>
      <c r="K563" t="n">
        <v>0</v>
      </c>
      <c r="L563" t="n">
        <v>0</v>
      </c>
      <c r="M563" t="n">
        <v>0</v>
      </c>
      <c r="N563" t="n">
        <v>0</v>
      </c>
      <c r="O563" t="n">
        <v>0</v>
      </c>
      <c r="P563" t="n">
        <v>0</v>
      </c>
      <c r="Q563" t="n">
        <v>0</v>
      </c>
      <c r="R563" s="2" t="inlineStr"/>
    </row>
    <row r="564" ht="15" customHeight="1">
      <c r="A564" t="inlineStr">
        <is>
          <t>A 17844-2026</t>
        </is>
      </c>
      <c r="B564" s="1" t="n">
        <v>46121</v>
      </c>
      <c r="C564" s="1" t="n">
        <v>46136</v>
      </c>
      <c r="D564" t="inlineStr">
        <is>
          <t>SKÅNE LÄN</t>
        </is>
      </c>
      <c r="E564" t="inlineStr">
        <is>
          <t>HÄSSLEHOLM</t>
        </is>
      </c>
      <c r="G564" t="n">
        <v>3</v>
      </c>
      <c r="H564" t="n">
        <v>0</v>
      </c>
      <c r="I564" t="n">
        <v>0</v>
      </c>
      <c r="J564" t="n">
        <v>0</v>
      </c>
      <c r="K564" t="n">
        <v>0</v>
      </c>
      <c r="L564" t="n">
        <v>0</v>
      </c>
      <c r="M564" t="n">
        <v>0</v>
      </c>
      <c r="N564" t="n">
        <v>0</v>
      </c>
      <c r="O564" t="n">
        <v>0</v>
      </c>
      <c r="P564" t="n">
        <v>0</v>
      </c>
      <c r="Q564" t="n">
        <v>0</v>
      </c>
      <c r="R564" s="2" t="inlineStr"/>
    </row>
    <row r="565" ht="15" customHeight="1">
      <c r="A565" t="inlineStr">
        <is>
          <t>A 21141-2024</t>
        </is>
      </c>
      <c r="B565" s="1" t="n">
        <v>45440.39012731481</v>
      </c>
      <c r="C565" s="1" t="n">
        <v>46136</v>
      </c>
      <c r="D565" t="inlineStr">
        <is>
          <t>SKÅNE LÄN</t>
        </is>
      </c>
      <c r="E565" t="inlineStr">
        <is>
          <t>HÄSSLEHOLM</t>
        </is>
      </c>
      <c r="G565" t="n">
        <v>1.3</v>
      </c>
      <c r="H565" t="n">
        <v>0</v>
      </c>
      <c r="I565" t="n">
        <v>0</v>
      </c>
      <c r="J565" t="n">
        <v>0</v>
      </c>
      <c r="K565" t="n">
        <v>0</v>
      </c>
      <c r="L565" t="n">
        <v>0</v>
      </c>
      <c r="M565" t="n">
        <v>0</v>
      </c>
      <c r="N565" t="n">
        <v>0</v>
      </c>
      <c r="O565" t="n">
        <v>0</v>
      </c>
      <c r="P565" t="n">
        <v>0</v>
      </c>
      <c r="Q565" t="n">
        <v>0</v>
      </c>
      <c r="R565" s="2" t="inlineStr"/>
    </row>
    <row r="566" ht="15" customHeight="1">
      <c r="A566" t="inlineStr">
        <is>
          <t>A 56767-2025</t>
        </is>
      </c>
      <c r="B566" s="1" t="n">
        <v>45978.38178240741</v>
      </c>
      <c r="C566" s="1" t="n">
        <v>46136</v>
      </c>
      <c r="D566" t="inlineStr">
        <is>
          <t>SKÅNE LÄN</t>
        </is>
      </c>
      <c r="E566" t="inlineStr">
        <is>
          <t>HÄSSLEHOLM</t>
        </is>
      </c>
      <c r="G566" t="n">
        <v>1.7</v>
      </c>
      <c r="H566" t="n">
        <v>0</v>
      </c>
      <c r="I566" t="n">
        <v>0</v>
      </c>
      <c r="J566" t="n">
        <v>0</v>
      </c>
      <c r="K566" t="n">
        <v>0</v>
      </c>
      <c r="L566" t="n">
        <v>0</v>
      </c>
      <c r="M566" t="n">
        <v>0</v>
      </c>
      <c r="N566" t="n">
        <v>0</v>
      </c>
      <c r="O566" t="n">
        <v>0</v>
      </c>
      <c r="P566" t="n">
        <v>0</v>
      </c>
      <c r="Q566" t="n">
        <v>0</v>
      </c>
      <c r="R566" s="2" t="inlineStr"/>
    </row>
    <row r="567" ht="15" customHeight="1">
      <c r="A567" t="inlineStr">
        <is>
          <t>A 56769-2025</t>
        </is>
      </c>
      <c r="B567" s="1" t="n">
        <v>45978.38429398148</v>
      </c>
      <c r="C567" s="1" t="n">
        <v>46136</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18398-2026</t>
        </is>
      </c>
      <c r="B568" s="1" t="n">
        <v>46126.66273148148</v>
      </c>
      <c r="C568" s="1" t="n">
        <v>46136</v>
      </c>
      <c r="D568" t="inlineStr">
        <is>
          <t>SKÅNE LÄN</t>
        </is>
      </c>
      <c r="E568" t="inlineStr">
        <is>
          <t>HÄSSLEHOLM</t>
        </is>
      </c>
      <c r="G568" t="n">
        <v>1.9</v>
      </c>
      <c r="H568" t="n">
        <v>0</v>
      </c>
      <c r="I568" t="n">
        <v>0</v>
      </c>
      <c r="J568" t="n">
        <v>0</v>
      </c>
      <c r="K568" t="n">
        <v>0</v>
      </c>
      <c r="L568" t="n">
        <v>0</v>
      </c>
      <c r="M568" t="n">
        <v>0</v>
      </c>
      <c r="N568" t="n">
        <v>0</v>
      </c>
      <c r="O568" t="n">
        <v>0</v>
      </c>
      <c r="P568" t="n">
        <v>0</v>
      </c>
      <c r="Q568" t="n">
        <v>0</v>
      </c>
      <c r="R568" s="2" t="inlineStr"/>
    </row>
    <row r="569" ht="15" customHeight="1">
      <c r="A569" t="inlineStr">
        <is>
          <t>A 11603-2025</t>
        </is>
      </c>
      <c r="B569" s="1" t="n">
        <v>45727</v>
      </c>
      <c r="C569" s="1" t="n">
        <v>46136</v>
      </c>
      <c r="D569" t="inlineStr">
        <is>
          <t>SKÅNE LÄN</t>
        </is>
      </c>
      <c r="E569" t="inlineStr">
        <is>
          <t>HÄSSLEHOLM</t>
        </is>
      </c>
      <c r="G569" t="n">
        <v>5.6</v>
      </c>
      <c r="H569" t="n">
        <v>0</v>
      </c>
      <c r="I569" t="n">
        <v>0</v>
      </c>
      <c r="J569" t="n">
        <v>0</v>
      </c>
      <c r="K569" t="n">
        <v>0</v>
      </c>
      <c r="L569" t="n">
        <v>0</v>
      </c>
      <c r="M569" t="n">
        <v>0</v>
      </c>
      <c r="N569" t="n">
        <v>0</v>
      </c>
      <c r="O569" t="n">
        <v>0</v>
      </c>
      <c r="P569" t="n">
        <v>0</v>
      </c>
      <c r="Q569" t="n">
        <v>0</v>
      </c>
      <c r="R569" s="2" t="inlineStr"/>
    </row>
    <row r="570" ht="15" customHeight="1">
      <c r="A570" t="inlineStr">
        <is>
          <t>A 13712-2025</t>
        </is>
      </c>
      <c r="B570" s="1" t="n">
        <v>45737</v>
      </c>
      <c r="C570" s="1" t="n">
        <v>46136</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46288-2023</t>
        </is>
      </c>
      <c r="B571" s="1" t="n">
        <v>45197.30221064815</v>
      </c>
      <c r="C571" s="1" t="n">
        <v>46136</v>
      </c>
      <c r="D571" t="inlineStr">
        <is>
          <t>SKÅNE LÄN</t>
        </is>
      </c>
      <c r="E571" t="inlineStr">
        <is>
          <t>HÄSSLEHOLM</t>
        </is>
      </c>
      <c r="G571" t="n">
        <v>3</v>
      </c>
      <c r="H571" t="n">
        <v>0</v>
      </c>
      <c r="I571" t="n">
        <v>0</v>
      </c>
      <c r="J571" t="n">
        <v>0</v>
      </c>
      <c r="K571" t="n">
        <v>0</v>
      </c>
      <c r="L571" t="n">
        <v>0</v>
      </c>
      <c r="M571" t="n">
        <v>0</v>
      </c>
      <c r="N571" t="n">
        <v>0</v>
      </c>
      <c r="O571" t="n">
        <v>0</v>
      </c>
      <c r="P571" t="n">
        <v>0</v>
      </c>
      <c r="Q571" t="n">
        <v>0</v>
      </c>
      <c r="R571" s="2" t="inlineStr"/>
    </row>
    <row r="572" ht="15" customHeight="1">
      <c r="A572" t="inlineStr">
        <is>
          <t>A 1557-2023</t>
        </is>
      </c>
      <c r="B572" s="1" t="n">
        <v>44937</v>
      </c>
      <c r="C572" s="1" t="n">
        <v>46136</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57967-2023</t>
        </is>
      </c>
      <c r="B573" s="1" t="n">
        <v>45247.57984953704</v>
      </c>
      <c r="C573" s="1" t="n">
        <v>46136</v>
      </c>
      <c r="D573" t="inlineStr">
        <is>
          <t>SKÅNE LÄN</t>
        </is>
      </c>
      <c r="E573" t="inlineStr">
        <is>
          <t>HÄSSLEHOLM</t>
        </is>
      </c>
      <c r="G573" t="n">
        <v>8.6</v>
      </c>
      <c r="H573" t="n">
        <v>0</v>
      </c>
      <c r="I573" t="n">
        <v>0</v>
      </c>
      <c r="J573" t="n">
        <v>0</v>
      </c>
      <c r="K573" t="n">
        <v>0</v>
      </c>
      <c r="L573" t="n">
        <v>0</v>
      </c>
      <c r="M573" t="n">
        <v>0</v>
      </c>
      <c r="N573" t="n">
        <v>0</v>
      </c>
      <c r="O573" t="n">
        <v>0</v>
      </c>
      <c r="P573" t="n">
        <v>0</v>
      </c>
      <c r="Q573" t="n">
        <v>0</v>
      </c>
      <c r="R573" s="2" t="inlineStr"/>
    </row>
    <row r="574" ht="15" customHeight="1">
      <c r="A574" t="inlineStr">
        <is>
          <t>A 19744-2023</t>
        </is>
      </c>
      <c r="B574" s="1" t="n">
        <v>45051</v>
      </c>
      <c r="C574" s="1" t="n">
        <v>46136</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15990-2023</t>
        </is>
      </c>
      <c r="B575" s="1" t="n">
        <v>45023.39584490741</v>
      </c>
      <c r="C575" s="1" t="n">
        <v>46136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47907-2021</t>
        </is>
      </c>
      <c r="B576" s="1" t="n">
        <v>44448</v>
      </c>
      <c r="C576" s="1" t="n">
        <v>46136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7513-2025</t>
        </is>
      </c>
      <c r="B577" s="1" t="n">
        <v>45702</v>
      </c>
      <c r="C577" s="1" t="n">
        <v>46136</v>
      </c>
      <c r="D577" t="inlineStr">
        <is>
          <t>SKÅNE LÄN</t>
        </is>
      </c>
      <c r="E577" t="inlineStr">
        <is>
          <t>HÄSSLEHOLM</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45400-2022</t>
        </is>
      </c>
      <c r="B578" s="1" t="n">
        <v>44844.713125</v>
      </c>
      <c r="C578" s="1" t="n">
        <v>46136</v>
      </c>
      <c r="D578" t="inlineStr">
        <is>
          <t>SKÅNE LÄN</t>
        </is>
      </c>
      <c r="E578" t="inlineStr">
        <is>
          <t>HÄSSLEHOLM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18483-2026</t>
        </is>
      </c>
      <c r="B579" s="1" t="n">
        <v>46127.44652777778</v>
      </c>
      <c r="C579" s="1" t="n">
        <v>46136</v>
      </c>
      <c r="D579" t="inlineStr">
        <is>
          <t>SKÅNE LÄN</t>
        </is>
      </c>
      <c r="E579" t="inlineStr">
        <is>
          <t>HÄSSLEHOLM</t>
        </is>
      </c>
      <c r="G579" t="n">
        <v>2.9</v>
      </c>
      <c r="H579" t="n">
        <v>0</v>
      </c>
      <c r="I579" t="n">
        <v>0</v>
      </c>
      <c r="J579" t="n">
        <v>0</v>
      </c>
      <c r="K579" t="n">
        <v>0</v>
      </c>
      <c r="L579" t="n">
        <v>0</v>
      </c>
      <c r="M579" t="n">
        <v>0</v>
      </c>
      <c r="N579" t="n">
        <v>0</v>
      </c>
      <c r="O579" t="n">
        <v>0</v>
      </c>
      <c r="P579" t="n">
        <v>0</v>
      </c>
      <c r="Q579" t="n">
        <v>0</v>
      </c>
      <c r="R579" s="2" t="inlineStr"/>
    </row>
    <row r="580" ht="15" customHeight="1">
      <c r="A580" t="inlineStr">
        <is>
          <t>A 18484-2026</t>
        </is>
      </c>
      <c r="B580" s="1" t="n">
        <v>46126</v>
      </c>
      <c r="C580" s="1" t="n">
        <v>46136</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11998-2026</t>
        </is>
      </c>
      <c r="B581" s="1" t="n">
        <v>46085</v>
      </c>
      <c r="C581" s="1" t="n">
        <v>46136</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54874-2022</t>
        </is>
      </c>
      <c r="B582" s="1" t="n">
        <v>44881</v>
      </c>
      <c r="C582" s="1" t="n">
        <v>46136</v>
      </c>
      <c r="D582" t="inlineStr">
        <is>
          <t>SKÅNE LÄN</t>
        </is>
      </c>
      <c r="E582" t="inlineStr">
        <is>
          <t>HÄSSLEHOLM</t>
        </is>
      </c>
      <c r="G582" t="n">
        <v>8.1</v>
      </c>
      <c r="H582" t="n">
        <v>0</v>
      </c>
      <c r="I582" t="n">
        <v>0</v>
      </c>
      <c r="J582" t="n">
        <v>0</v>
      </c>
      <c r="K582" t="n">
        <v>0</v>
      </c>
      <c r="L582" t="n">
        <v>0</v>
      </c>
      <c r="M582" t="n">
        <v>0</v>
      </c>
      <c r="N582" t="n">
        <v>0</v>
      </c>
      <c r="O582" t="n">
        <v>0</v>
      </c>
      <c r="P582" t="n">
        <v>0</v>
      </c>
      <c r="Q582" t="n">
        <v>0</v>
      </c>
      <c r="R582" s="2" t="inlineStr"/>
    </row>
    <row r="583" ht="15" customHeight="1">
      <c r="A583" t="inlineStr">
        <is>
          <t>A 1706-2025</t>
        </is>
      </c>
      <c r="B583" s="1" t="n">
        <v>45670</v>
      </c>
      <c r="C583" s="1" t="n">
        <v>46136</v>
      </c>
      <c r="D583" t="inlineStr">
        <is>
          <t>SKÅNE LÄN</t>
        </is>
      </c>
      <c r="E583" t="inlineStr">
        <is>
          <t>HÄSSLEHOLM</t>
        </is>
      </c>
      <c r="G583" t="n">
        <v>5</v>
      </c>
      <c r="H583" t="n">
        <v>0</v>
      </c>
      <c r="I583" t="n">
        <v>0</v>
      </c>
      <c r="J583" t="n">
        <v>0</v>
      </c>
      <c r="K583" t="n">
        <v>0</v>
      </c>
      <c r="L583" t="n">
        <v>0</v>
      </c>
      <c r="M583" t="n">
        <v>0</v>
      </c>
      <c r="N583" t="n">
        <v>0</v>
      </c>
      <c r="O583" t="n">
        <v>0</v>
      </c>
      <c r="P583" t="n">
        <v>0</v>
      </c>
      <c r="Q583" t="n">
        <v>0</v>
      </c>
      <c r="R583" s="2" t="inlineStr"/>
    </row>
    <row r="584" ht="15" customHeight="1">
      <c r="A584" t="inlineStr">
        <is>
          <t>A 11999-2026</t>
        </is>
      </c>
      <c r="B584" s="1" t="n">
        <v>46085</v>
      </c>
      <c r="C584" s="1" t="n">
        <v>46136</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61625-2022</t>
        </is>
      </c>
      <c r="B585" s="1" t="n">
        <v>44916</v>
      </c>
      <c r="C585" s="1" t="n">
        <v>46136</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31268-2024</t>
        </is>
      </c>
      <c r="B586" s="1" t="n">
        <v>45504</v>
      </c>
      <c r="C586" s="1" t="n">
        <v>46136</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13856-2025</t>
        </is>
      </c>
      <c r="B587" s="1" t="n">
        <v>45737.57289351852</v>
      </c>
      <c r="C587" s="1" t="n">
        <v>46136</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36568-2024</t>
        </is>
      </c>
      <c r="B588" s="1" t="n">
        <v>45537</v>
      </c>
      <c r="C588" s="1" t="n">
        <v>46136</v>
      </c>
      <c r="D588" t="inlineStr">
        <is>
          <t>SKÅNE LÄN</t>
        </is>
      </c>
      <c r="E588" t="inlineStr">
        <is>
          <t>HÄSSLEHOLM</t>
        </is>
      </c>
      <c r="G588" t="n">
        <v>4.3</v>
      </c>
      <c r="H588" t="n">
        <v>0</v>
      </c>
      <c r="I588" t="n">
        <v>0</v>
      </c>
      <c r="J588" t="n">
        <v>0</v>
      </c>
      <c r="K588" t="n">
        <v>0</v>
      </c>
      <c r="L588" t="n">
        <v>0</v>
      </c>
      <c r="M588" t="n">
        <v>0</v>
      </c>
      <c r="N588" t="n">
        <v>0</v>
      </c>
      <c r="O588" t="n">
        <v>0</v>
      </c>
      <c r="P588" t="n">
        <v>0</v>
      </c>
      <c r="Q588" t="n">
        <v>0</v>
      </c>
      <c r="R588" s="2" t="inlineStr"/>
    </row>
    <row r="589" ht="15" customHeight="1">
      <c r="A589" t="inlineStr">
        <is>
          <t>A 32794-2021</t>
        </is>
      </c>
      <c r="B589" s="1" t="n">
        <v>44375</v>
      </c>
      <c r="C589" s="1" t="n">
        <v>46136</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13961-2023</t>
        </is>
      </c>
      <c r="B590" s="1" t="n">
        <v>45008</v>
      </c>
      <c r="C590" s="1" t="n">
        <v>46136</v>
      </c>
      <c r="D590" t="inlineStr">
        <is>
          <t>SKÅNE LÄN</t>
        </is>
      </c>
      <c r="E590" t="inlineStr">
        <is>
          <t>HÄSSLEHOLM</t>
        </is>
      </c>
      <c r="G590" t="n">
        <v>3.8</v>
      </c>
      <c r="H590" t="n">
        <v>0</v>
      </c>
      <c r="I590" t="n">
        <v>0</v>
      </c>
      <c r="J590" t="n">
        <v>0</v>
      </c>
      <c r="K590" t="n">
        <v>0</v>
      </c>
      <c r="L590" t="n">
        <v>0</v>
      </c>
      <c r="M590" t="n">
        <v>0</v>
      </c>
      <c r="N590" t="n">
        <v>0</v>
      </c>
      <c r="O590" t="n">
        <v>0</v>
      </c>
      <c r="P590" t="n">
        <v>0</v>
      </c>
      <c r="Q590" t="n">
        <v>0</v>
      </c>
      <c r="R590" s="2" t="inlineStr"/>
    </row>
    <row r="591" ht="15" customHeight="1">
      <c r="A591" t="inlineStr">
        <is>
          <t>A 42520-2025</t>
        </is>
      </c>
      <c r="B591" s="1" t="n">
        <v>45905.54846064815</v>
      </c>
      <c r="C591" s="1" t="n">
        <v>46136</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43333-2025</t>
        </is>
      </c>
      <c r="B592" s="1" t="n">
        <v>45910</v>
      </c>
      <c r="C592" s="1" t="n">
        <v>46136</v>
      </c>
      <c r="D592" t="inlineStr">
        <is>
          <t>SKÅNE LÄN</t>
        </is>
      </c>
      <c r="E592" t="inlineStr">
        <is>
          <t>HÄSSLEHOLM</t>
        </is>
      </c>
      <c r="G592" t="n">
        <v>10.1</v>
      </c>
      <c r="H592" t="n">
        <v>0</v>
      </c>
      <c r="I592" t="n">
        <v>0</v>
      </c>
      <c r="J592" t="n">
        <v>0</v>
      </c>
      <c r="K592" t="n">
        <v>0</v>
      </c>
      <c r="L592" t="n">
        <v>0</v>
      </c>
      <c r="M592" t="n">
        <v>0</v>
      </c>
      <c r="N592" t="n">
        <v>0</v>
      </c>
      <c r="O592" t="n">
        <v>0</v>
      </c>
      <c r="P592" t="n">
        <v>0</v>
      </c>
      <c r="Q592" t="n">
        <v>0</v>
      </c>
      <c r="R592" s="2" t="inlineStr"/>
    </row>
    <row r="593" ht="15" customHeight="1">
      <c r="A593" t="inlineStr">
        <is>
          <t>A 43332-2025</t>
        </is>
      </c>
      <c r="B593" s="1" t="n">
        <v>45910.70217592592</v>
      </c>
      <c r="C593" s="1" t="n">
        <v>46136</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43516-2025</t>
        </is>
      </c>
      <c r="B594" s="1" t="n">
        <v>45911</v>
      </c>
      <c r="C594" s="1" t="n">
        <v>46136</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3855-2023</t>
        </is>
      </c>
      <c r="B595" s="1" t="n">
        <v>44951.69708333333</v>
      </c>
      <c r="C595" s="1" t="n">
        <v>46136</v>
      </c>
      <c r="D595" t="inlineStr">
        <is>
          <t>SKÅNE LÄN</t>
        </is>
      </c>
      <c r="E595" t="inlineStr">
        <is>
          <t>HÄSSLEHOLM</t>
        </is>
      </c>
      <c r="G595" t="n">
        <v>2.3</v>
      </c>
      <c r="H595" t="n">
        <v>0</v>
      </c>
      <c r="I595" t="n">
        <v>0</v>
      </c>
      <c r="J595" t="n">
        <v>0</v>
      </c>
      <c r="K595" t="n">
        <v>0</v>
      </c>
      <c r="L595" t="n">
        <v>0</v>
      </c>
      <c r="M595" t="n">
        <v>0</v>
      </c>
      <c r="N595" t="n">
        <v>0</v>
      </c>
      <c r="O595" t="n">
        <v>0</v>
      </c>
      <c r="P595" t="n">
        <v>0</v>
      </c>
      <c r="Q595" t="n">
        <v>0</v>
      </c>
      <c r="R595" s="2" t="inlineStr"/>
    </row>
    <row r="596" ht="15" customHeight="1">
      <c r="A596" t="inlineStr">
        <is>
          <t>A 34301-2024</t>
        </is>
      </c>
      <c r="B596" s="1" t="n">
        <v>45524</v>
      </c>
      <c r="C596" s="1" t="n">
        <v>46136</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15060-2023</t>
        </is>
      </c>
      <c r="B597" s="1" t="n">
        <v>45015.69832175926</v>
      </c>
      <c r="C597" s="1" t="n">
        <v>46136</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54171-2021</t>
        </is>
      </c>
      <c r="B598" s="1" t="n">
        <v>44470</v>
      </c>
      <c r="C598" s="1" t="n">
        <v>46136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43738-2025</t>
        </is>
      </c>
      <c r="B599" s="1" t="n">
        <v>45912.45037037037</v>
      </c>
      <c r="C599" s="1" t="n">
        <v>46136</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43741-2025</t>
        </is>
      </c>
      <c r="B600" s="1" t="n">
        <v>45912.45541666666</v>
      </c>
      <c r="C600" s="1" t="n">
        <v>46136</v>
      </c>
      <c r="D600" t="inlineStr">
        <is>
          <t>SKÅNE LÄN</t>
        </is>
      </c>
      <c r="E600" t="inlineStr">
        <is>
          <t>HÄSSLEHOLM</t>
        </is>
      </c>
      <c r="G600" t="n">
        <v>4.3</v>
      </c>
      <c r="H600" t="n">
        <v>0</v>
      </c>
      <c r="I600" t="n">
        <v>0</v>
      </c>
      <c r="J600" t="n">
        <v>0</v>
      </c>
      <c r="K600" t="n">
        <v>0</v>
      </c>
      <c r="L600" t="n">
        <v>0</v>
      </c>
      <c r="M600" t="n">
        <v>0</v>
      </c>
      <c r="N600" t="n">
        <v>0</v>
      </c>
      <c r="O600" t="n">
        <v>0</v>
      </c>
      <c r="P600" t="n">
        <v>0</v>
      </c>
      <c r="Q600" t="n">
        <v>0</v>
      </c>
      <c r="R600" s="2" t="inlineStr"/>
    </row>
    <row r="601" ht="15" customHeight="1">
      <c r="A601" t="inlineStr">
        <is>
          <t>A 19003-2026</t>
        </is>
      </c>
      <c r="B601" s="1" t="n">
        <v>46129.86017361111</v>
      </c>
      <c r="C601" s="1" t="n">
        <v>46136</v>
      </c>
      <c r="D601" t="inlineStr">
        <is>
          <t>SKÅNE LÄN</t>
        </is>
      </c>
      <c r="E601" t="inlineStr">
        <is>
          <t>HÄSSLEHOLM</t>
        </is>
      </c>
      <c r="G601" t="n">
        <v>9</v>
      </c>
      <c r="H601" t="n">
        <v>0</v>
      </c>
      <c r="I601" t="n">
        <v>0</v>
      </c>
      <c r="J601" t="n">
        <v>0</v>
      </c>
      <c r="K601" t="n">
        <v>0</v>
      </c>
      <c r="L601" t="n">
        <v>0</v>
      </c>
      <c r="M601" t="n">
        <v>0</v>
      </c>
      <c r="N601" t="n">
        <v>0</v>
      </c>
      <c r="O601" t="n">
        <v>0</v>
      </c>
      <c r="P601" t="n">
        <v>0</v>
      </c>
      <c r="Q601" t="n">
        <v>0</v>
      </c>
      <c r="R601" s="2" t="inlineStr"/>
    </row>
    <row r="602" ht="15" customHeight="1">
      <c r="A602" t="inlineStr">
        <is>
          <t>A 13347-2025</t>
        </is>
      </c>
      <c r="B602" s="1" t="n">
        <v>45735.63175925926</v>
      </c>
      <c r="C602" s="1" t="n">
        <v>46136</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43869-2025</t>
        </is>
      </c>
      <c r="B603" s="1" t="n">
        <v>45912.66452546296</v>
      </c>
      <c r="C603" s="1" t="n">
        <v>46136</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19240-2026</t>
        </is>
      </c>
      <c r="B604" s="1" t="n">
        <v>46132</v>
      </c>
      <c r="C604" s="1" t="n">
        <v>46136</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13198-2025</t>
        </is>
      </c>
      <c r="B605" s="1" t="n">
        <v>45735</v>
      </c>
      <c r="C605" s="1" t="n">
        <v>46136</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3135-2023</t>
        </is>
      </c>
      <c r="B606" s="1" t="n">
        <v>44946.51672453704</v>
      </c>
      <c r="C606" s="1" t="n">
        <v>46136</v>
      </c>
      <c r="D606" t="inlineStr">
        <is>
          <t>SKÅNE LÄN</t>
        </is>
      </c>
      <c r="E606" t="inlineStr">
        <is>
          <t>HÄSSLEHOLM</t>
        </is>
      </c>
      <c r="G606" t="n">
        <v>7.2</v>
      </c>
      <c r="H606" t="n">
        <v>0</v>
      </c>
      <c r="I606" t="n">
        <v>0</v>
      </c>
      <c r="J606" t="n">
        <v>0</v>
      </c>
      <c r="K606" t="n">
        <v>0</v>
      </c>
      <c r="L606" t="n">
        <v>0</v>
      </c>
      <c r="M606" t="n">
        <v>0</v>
      </c>
      <c r="N606" t="n">
        <v>0</v>
      </c>
      <c r="O606" t="n">
        <v>0</v>
      </c>
      <c r="P606" t="n">
        <v>0</v>
      </c>
      <c r="Q606" t="n">
        <v>0</v>
      </c>
      <c r="R606" s="2" t="inlineStr"/>
    </row>
    <row r="607" ht="15" customHeight="1">
      <c r="A607" t="inlineStr">
        <is>
          <t>A 59429-2023</t>
        </is>
      </c>
      <c r="B607" s="1" t="n">
        <v>45254.2875</v>
      </c>
      <c r="C607" s="1" t="n">
        <v>46136</v>
      </c>
      <c r="D607" t="inlineStr">
        <is>
          <t>SKÅNE LÄN</t>
        </is>
      </c>
      <c r="E607" t="inlineStr">
        <is>
          <t>HÄSSLEHOLM</t>
        </is>
      </c>
      <c r="G607" t="n">
        <v>0</v>
      </c>
      <c r="H607" t="n">
        <v>0</v>
      </c>
      <c r="I607" t="n">
        <v>0</v>
      </c>
      <c r="J607" t="n">
        <v>0</v>
      </c>
      <c r="K607" t="n">
        <v>0</v>
      </c>
      <c r="L607" t="n">
        <v>0</v>
      </c>
      <c r="M607" t="n">
        <v>0</v>
      </c>
      <c r="N607" t="n">
        <v>0</v>
      </c>
      <c r="O607" t="n">
        <v>0</v>
      </c>
      <c r="P607" t="n">
        <v>0</v>
      </c>
      <c r="Q607" t="n">
        <v>0</v>
      </c>
      <c r="R607" s="2" t="inlineStr"/>
    </row>
    <row r="608" ht="15" customHeight="1">
      <c r="A608" t="inlineStr">
        <is>
          <t>A 40202-2022</t>
        </is>
      </c>
      <c r="B608" s="1" t="n">
        <v>44820.60614583334</v>
      </c>
      <c r="C608" s="1" t="n">
        <v>46136</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12493-2026</t>
        </is>
      </c>
      <c r="B609" s="1" t="n">
        <v>46090</v>
      </c>
      <c r="C609" s="1" t="n">
        <v>46136</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19101-2026</t>
        </is>
      </c>
      <c r="B610" s="1" t="n">
        <v>46132.43923611111</v>
      </c>
      <c r="C610" s="1" t="n">
        <v>46136</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54326-2022</t>
        </is>
      </c>
      <c r="B611" s="1" t="n">
        <v>44882.42965277778</v>
      </c>
      <c r="C611" s="1" t="n">
        <v>46136</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41998-2021</t>
        </is>
      </c>
      <c r="B612" s="1" t="n">
        <v>44425</v>
      </c>
      <c r="C612" s="1" t="n">
        <v>46136</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61524-2022</t>
        </is>
      </c>
      <c r="B613" s="1" t="n">
        <v>44910</v>
      </c>
      <c r="C613" s="1" t="n">
        <v>46136</v>
      </c>
      <c r="D613" t="inlineStr">
        <is>
          <t>SKÅNE LÄN</t>
        </is>
      </c>
      <c r="E613" t="inlineStr">
        <is>
          <t>HÄSSLEHOLM</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44330-2025</t>
        </is>
      </c>
      <c r="B614" s="1" t="n">
        <v>45916.42120370371</v>
      </c>
      <c r="C614" s="1" t="n">
        <v>46136</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61533-2022</t>
        </is>
      </c>
      <c r="B615" s="1" t="n">
        <v>44910</v>
      </c>
      <c r="C615" s="1" t="n">
        <v>46136</v>
      </c>
      <c r="D615" t="inlineStr">
        <is>
          <t>SKÅNE LÄN</t>
        </is>
      </c>
      <c r="E615" t="inlineStr">
        <is>
          <t>HÄSSLEHOLM</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44523-2025</t>
        </is>
      </c>
      <c r="B616" s="1" t="n">
        <v>45916</v>
      </c>
      <c r="C616" s="1" t="n">
        <v>46136</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44515-2025</t>
        </is>
      </c>
      <c r="B617" s="1" t="n">
        <v>45916.7062037037</v>
      </c>
      <c r="C617" s="1" t="n">
        <v>46136</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44624-2025</t>
        </is>
      </c>
      <c r="B618" s="1" t="n">
        <v>45917.47152777778</v>
      </c>
      <c r="C618" s="1" t="n">
        <v>46136</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44611-2025</t>
        </is>
      </c>
      <c r="B619" s="1" t="n">
        <v>45917.45109953704</v>
      </c>
      <c r="C619" s="1" t="n">
        <v>46136</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45084-2025</t>
        </is>
      </c>
      <c r="B620" s="1" t="n">
        <v>45918</v>
      </c>
      <c r="C620" s="1" t="n">
        <v>46136</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44616-2025</t>
        </is>
      </c>
      <c r="B621" s="1" t="n">
        <v>45917.45572916666</v>
      </c>
      <c r="C621" s="1" t="n">
        <v>46136</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8619-2023</t>
        </is>
      </c>
      <c r="B622" s="1" t="n">
        <v>44977.81979166667</v>
      </c>
      <c r="C622" s="1" t="n">
        <v>46136</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44614-2025</t>
        </is>
      </c>
      <c r="B623" s="1" t="n">
        <v>45917.45422453704</v>
      </c>
      <c r="C623" s="1" t="n">
        <v>46136</v>
      </c>
      <c r="D623" t="inlineStr">
        <is>
          <t>SKÅNE LÄN</t>
        </is>
      </c>
      <c r="E623" t="inlineStr">
        <is>
          <t>HÄSSLEHOLM</t>
        </is>
      </c>
      <c r="G623" t="n">
        <v>5.4</v>
      </c>
      <c r="H623" t="n">
        <v>0</v>
      </c>
      <c r="I623" t="n">
        <v>0</v>
      </c>
      <c r="J623" t="n">
        <v>0</v>
      </c>
      <c r="K623" t="n">
        <v>0</v>
      </c>
      <c r="L623" t="n">
        <v>0</v>
      </c>
      <c r="M623" t="n">
        <v>0</v>
      </c>
      <c r="N623" t="n">
        <v>0</v>
      </c>
      <c r="O623" t="n">
        <v>0</v>
      </c>
      <c r="P623" t="n">
        <v>0</v>
      </c>
      <c r="Q623" t="n">
        <v>0</v>
      </c>
      <c r="R623" s="2" t="inlineStr"/>
    </row>
    <row r="624" ht="15" customHeight="1">
      <c r="A624" t="inlineStr">
        <is>
          <t>A 49219-2021</t>
        </is>
      </c>
      <c r="B624" s="1" t="n">
        <v>44454</v>
      </c>
      <c r="C624" s="1" t="n">
        <v>46136</v>
      </c>
      <c r="D624" t="inlineStr">
        <is>
          <t>SKÅNE LÄN</t>
        </is>
      </c>
      <c r="E624" t="inlineStr">
        <is>
          <t>HÄSSLEHOLM</t>
        </is>
      </c>
      <c r="G624" t="n">
        <v>7.8</v>
      </c>
      <c r="H624" t="n">
        <v>0</v>
      </c>
      <c r="I624" t="n">
        <v>0</v>
      </c>
      <c r="J624" t="n">
        <v>0</v>
      </c>
      <c r="K624" t="n">
        <v>0</v>
      </c>
      <c r="L624" t="n">
        <v>0</v>
      </c>
      <c r="M624" t="n">
        <v>0</v>
      </c>
      <c r="N624" t="n">
        <v>0</v>
      </c>
      <c r="O624" t="n">
        <v>0</v>
      </c>
      <c r="P624" t="n">
        <v>0</v>
      </c>
      <c r="Q624" t="n">
        <v>0</v>
      </c>
      <c r="R624" s="2" t="inlineStr"/>
    </row>
    <row r="625" ht="15" customHeight="1">
      <c r="A625" t="inlineStr">
        <is>
          <t>A 19318-2026</t>
        </is>
      </c>
      <c r="B625" s="1" t="n">
        <v>46133.39378472222</v>
      </c>
      <c r="C625" s="1" t="n">
        <v>46136</v>
      </c>
      <c r="D625" t="inlineStr">
        <is>
          <t>SKÅNE LÄN</t>
        </is>
      </c>
      <c r="E625" t="inlineStr">
        <is>
          <t>HÄSSLEHOLM</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46000-2021</t>
        </is>
      </c>
      <c r="B626" s="1" t="n">
        <v>44441</v>
      </c>
      <c r="C626" s="1" t="n">
        <v>46136</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62171-2022</t>
        </is>
      </c>
      <c r="B627" s="1" t="n">
        <v>44915</v>
      </c>
      <c r="C627" s="1" t="n">
        <v>46136</v>
      </c>
      <c r="D627" t="inlineStr">
        <is>
          <t>SKÅNE LÄN</t>
        </is>
      </c>
      <c r="E627" t="inlineStr">
        <is>
          <t>HÄSSLEHOLM</t>
        </is>
      </c>
      <c r="F627" t="inlineStr">
        <is>
          <t>Kyrkan</t>
        </is>
      </c>
      <c r="G627" t="n">
        <v>9</v>
      </c>
      <c r="H627" t="n">
        <v>0</v>
      </c>
      <c r="I627" t="n">
        <v>0</v>
      </c>
      <c r="J627" t="n">
        <v>0</v>
      </c>
      <c r="K627" t="n">
        <v>0</v>
      </c>
      <c r="L627" t="n">
        <v>0</v>
      </c>
      <c r="M627" t="n">
        <v>0</v>
      </c>
      <c r="N627" t="n">
        <v>0</v>
      </c>
      <c r="O627" t="n">
        <v>0</v>
      </c>
      <c r="P627" t="n">
        <v>0</v>
      </c>
      <c r="Q627" t="n">
        <v>0</v>
      </c>
      <c r="R627" s="2" t="inlineStr"/>
    </row>
    <row r="628" ht="15" customHeight="1">
      <c r="A628" t="inlineStr">
        <is>
          <t>A 32100-2024</t>
        </is>
      </c>
      <c r="B628" s="1" t="n">
        <v>45511.41451388889</v>
      </c>
      <c r="C628" s="1" t="n">
        <v>46136</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33481-2024</t>
        </is>
      </c>
      <c r="B629" s="1" t="n">
        <v>45519</v>
      </c>
      <c r="C629" s="1" t="n">
        <v>46136</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45495-2025</t>
        </is>
      </c>
      <c r="B630" s="1" t="n">
        <v>45922.56369212963</v>
      </c>
      <c r="C630" s="1" t="n">
        <v>46136</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48807-2021</t>
        </is>
      </c>
      <c r="B631" s="1" t="n">
        <v>44452</v>
      </c>
      <c r="C631" s="1" t="n">
        <v>46136</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45176-2025</t>
        </is>
      </c>
      <c r="B632" s="1" t="n">
        <v>45919.52307870371</v>
      </c>
      <c r="C632" s="1" t="n">
        <v>46136</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54176-2022</t>
        </is>
      </c>
      <c r="B633" s="1" t="n">
        <v>44881</v>
      </c>
      <c r="C633" s="1" t="n">
        <v>46136</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13199-2026</t>
        </is>
      </c>
      <c r="B634" s="1" t="n">
        <v>46093</v>
      </c>
      <c r="C634" s="1" t="n">
        <v>46136</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45273-2025</t>
        </is>
      </c>
      <c r="B635" s="1" t="n">
        <v>45919.70486111111</v>
      </c>
      <c r="C635" s="1" t="n">
        <v>46136</v>
      </c>
      <c r="D635" t="inlineStr">
        <is>
          <t>SKÅNE LÄN</t>
        </is>
      </c>
      <c r="E635" t="inlineStr">
        <is>
          <t>HÄSSLEHOLM</t>
        </is>
      </c>
      <c r="G635" t="n">
        <v>4.4</v>
      </c>
      <c r="H635" t="n">
        <v>0</v>
      </c>
      <c r="I635" t="n">
        <v>0</v>
      </c>
      <c r="J635" t="n">
        <v>0</v>
      </c>
      <c r="K635" t="n">
        <v>0</v>
      </c>
      <c r="L635" t="n">
        <v>0</v>
      </c>
      <c r="M635" t="n">
        <v>0</v>
      </c>
      <c r="N635" t="n">
        <v>0</v>
      </c>
      <c r="O635" t="n">
        <v>0</v>
      </c>
      <c r="P635" t="n">
        <v>0</v>
      </c>
      <c r="Q635" t="n">
        <v>0</v>
      </c>
      <c r="R635" s="2" t="inlineStr"/>
    </row>
    <row r="636" ht="15" customHeight="1">
      <c r="A636" t="inlineStr">
        <is>
          <t>A 16614-2025</t>
        </is>
      </c>
      <c r="B636" s="1" t="n">
        <v>45754.283125</v>
      </c>
      <c r="C636" s="1" t="n">
        <v>46136</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45314-2025</t>
        </is>
      </c>
      <c r="B637" s="1" t="n">
        <v>45921.81738425926</v>
      </c>
      <c r="C637" s="1" t="n">
        <v>46136</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23723-2023</t>
        </is>
      </c>
      <c r="B638" s="1" t="n">
        <v>45077</v>
      </c>
      <c r="C638" s="1" t="n">
        <v>46136</v>
      </c>
      <c r="D638" t="inlineStr">
        <is>
          <t>SKÅNE LÄN</t>
        </is>
      </c>
      <c r="E638" t="inlineStr">
        <is>
          <t>HÄSSLEHOLM</t>
        </is>
      </c>
      <c r="G638" t="n">
        <v>3.9</v>
      </c>
      <c r="H638" t="n">
        <v>0</v>
      </c>
      <c r="I638" t="n">
        <v>0</v>
      </c>
      <c r="J638" t="n">
        <v>0</v>
      </c>
      <c r="K638" t="n">
        <v>0</v>
      </c>
      <c r="L638" t="n">
        <v>0</v>
      </c>
      <c r="M638" t="n">
        <v>0</v>
      </c>
      <c r="N638" t="n">
        <v>0</v>
      </c>
      <c r="O638" t="n">
        <v>0</v>
      </c>
      <c r="P638" t="n">
        <v>0</v>
      </c>
      <c r="Q638" t="n">
        <v>0</v>
      </c>
      <c r="R638" s="2" t="inlineStr"/>
    </row>
    <row r="639" ht="15" customHeight="1">
      <c r="A639" t="inlineStr">
        <is>
          <t>A 54807-2025</t>
        </is>
      </c>
      <c r="B639" s="1" t="n">
        <v>45966</v>
      </c>
      <c r="C639" s="1" t="n">
        <v>46136</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45516-2025</t>
        </is>
      </c>
      <c r="B640" s="1" t="n">
        <v>45922</v>
      </c>
      <c r="C640" s="1" t="n">
        <v>46136</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4945-2022</t>
        </is>
      </c>
      <c r="B641" s="1" t="n">
        <v>44593</v>
      </c>
      <c r="C641" s="1" t="n">
        <v>46136</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45514-2025</t>
        </is>
      </c>
      <c r="B642" s="1" t="n">
        <v>45922</v>
      </c>
      <c r="C642" s="1" t="n">
        <v>46136</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13280-2026</t>
        </is>
      </c>
      <c r="B643" s="1" t="n">
        <v>46093.74789351852</v>
      </c>
      <c r="C643" s="1" t="n">
        <v>46136</v>
      </c>
      <c r="D643" t="inlineStr">
        <is>
          <t>SKÅNE LÄN</t>
        </is>
      </c>
      <c r="E643" t="inlineStr">
        <is>
          <t>HÄSSLEHOLM</t>
        </is>
      </c>
      <c r="G643" t="n">
        <v>4.4</v>
      </c>
      <c r="H643" t="n">
        <v>0</v>
      </c>
      <c r="I643" t="n">
        <v>0</v>
      </c>
      <c r="J643" t="n">
        <v>0</v>
      </c>
      <c r="K643" t="n">
        <v>0</v>
      </c>
      <c r="L643" t="n">
        <v>0</v>
      </c>
      <c r="M643" t="n">
        <v>0</v>
      </c>
      <c r="N643" t="n">
        <v>0</v>
      </c>
      <c r="O643" t="n">
        <v>0</v>
      </c>
      <c r="P643" t="n">
        <v>0</v>
      </c>
      <c r="Q643" t="n">
        <v>0</v>
      </c>
      <c r="R643" s="2" t="inlineStr"/>
    </row>
    <row r="644" ht="15" customHeight="1">
      <c r="A644" t="inlineStr">
        <is>
          <t>A 45221-2025</t>
        </is>
      </c>
      <c r="B644" s="1" t="n">
        <v>45919.57760416667</v>
      </c>
      <c r="C644" s="1" t="n">
        <v>46136</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45414-2025</t>
        </is>
      </c>
      <c r="B645" s="1" t="n">
        <v>45920</v>
      </c>
      <c r="C645" s="1" t="n">
        <v>46136</v>
      </c>
      <c r="D645" t="inlineStr">
        <is>
          <t>SKÅNE LÄN</t>
        </is>
      </c>
      <c r="E645" t="inlineStr">
        <is>
          <t>HÄSSLEHOLM</t>
        </is>
      </c>
      <c r="G645" t="n">
        <v>14.7</v>
      </c>
      <c r="H645" t="n">
        <v>0</v>
      </c>
      <c r="I645" t="n">
        <v>0</v>
      </c>
      <c r="J645" t="n">
        <v>0</v>
      </c>
      <c r="K645" t="n">
        <v>0</v>
      </c>
      <c r="L645" t="n">
        <v>0</v>
      </c>
      <c r="M645" t="n">
        <v>0</v>
      </c>
      <c r="N645" t="n">
        <v>0</v>
      </c>
      <c r="O645" t="n">
        <v>0</v>
      </c>
      <c r="P645" t="n">
        <v>0</v>
      </c>
      <c r="Q645" t="n">
        <v>0</v>
      </c>
      <c r="R645" s="2" t="inlineStr"/>
    </row>
    <row r="646" ht="15" customHeight="1">
      <c r="A646" t="inlineStr">
        <is>
          <t>A 45443-2025</t>
        </is>
      </c>
      <c r="B646" s="1" t="n">
        <v>45920</v>
      </c>
      <c r="C646" s="1" t="n">
        <v>46136</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45496-2025</t>
        </is>
      </c>
      <c r="B647" s="1" t="n">
        <v>45922</v>
      </c>
      <c r="C647" s="1" t="n">
        <v>46136</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45458-2025</t>
        </is>
      </c>
      <c r="B648" s="1" t="n">
        <v>45920</v>
      </c>
      <c r="C648" s="1" t="n">
        <v>46136</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45465-2025</t>
        </is>
      </c>
      <c r="B649" s="1" t="n">
        <v>45920</v>
      </c>
      <c r="C649" s="1" t="n">
        <v>46136</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47248-2023</t>
        </is>
      </c>
      <c r="B650" s="1" t="n">
        <v>45202</v>
      </c>
      <c r="C650" s="1" t="n">
        <v>46136</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38306-2022</t>
        </is>
      </c>
      <c r="B651" s="1" t="n">
        <v>44812.57515046297</v>
      </c>
      <c r="C651" s="1" t="n">
        <v>46136</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9678-2025</t>
        </is>
      </c>
      <c r="B652" s="1" t="n">
        <v>45716</v>
      </c>
      <c r="C652" s="1" t="n">
        <v>46136</v>
      </c>
      <c r="D652" t="inlineStr">
        <is>
          <t>SKÅNE LÄN</t>
        </is>
      </c>
      <c r="E652" t="inlineStr">
        <is>
          <t>HÄSSLEHOLM</t>
        </is>
      </c>
      <c r="G652" t="n">
        <v>2.1</v>
      </c>
      <c r="H652" t="n">
        <v>0</v>
      </c>
      <c r="I652" t="n">
        <v>0</v>
      </c>
      <c r="J652" t="n">
        <v>0</v>
      </c>
      <c r="K652" t="n">
        <v>0</v>
      </c>
      <c r="L652" t="n">
        <v>0</v>
      </c>
      <c r="M652" t="n">
        <v>0</v>
      </c>
      <c r="N652" t="n">
        <v>0</v>
      </c>
      <c r="O652" t="n">
        <v>0</v>
      </c>
      <c r="P652" t="n">
        <v>0</v>
      </c>
      <c r="Q652" t="n">
        <v>0</v>
      </c>
      <c r="R652" s="2" t="inlineStr"/>
    </row>
    <row r="653" ht="15" customHeight="1">
      <c r="A653" t="inlineStr">
        <is>
          <t>A 45683-2025</t>
        </is>
      </c>
      <c r="B653" s="1" t="n">
        <v>45923.37590277778</v>
      </c>
      <c r="C653" s="1" t="n">
        <v>46136</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35845-2022</t>
        </is>
      </c>
      <c r="B654" s="1" t="n">
        <v>44802</v>
      </c>
      <c r="C654" s="1" t="n">
        <v>46136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47394-2025</t>
        </is>
      </c>
      <c r="B655" s="1" t="n">
        <v>45930</v>
      </c>
      <c r="C655" s="1" t="n">
        <v>46136</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54798-2025</t>
        </is>
      </c>
      <c r="B656" s="1" t="n">
        <v>45966</v>
      </c>
      <c r="C656" s="1" t="n">
        <v>46136</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47422-2025</t>
        </is>
      </c>
      <c r="B657" s="1" t="n">
        <v>45930</v>
      </c>
      <c r="C657" s="1" t="n">
        <v>46136</v>
      </c>
      <c r="D657" t="inlineStr">
        <is>
          <t>SKÅNE LÄN</t>
        </is>
      </c>
      <c r="E657" t="inlineStr">
        <is>
          <t>HÄSSLEHOLM</t>
        </is>
      </c>
      <c r="G657" t="n">
        <v>2.3</v>
      </c>
      <c r="H657" t="n">
        <v>0</v>
      </c>
      <c r="I657" t="n">
        <v>0</v>
      </c>
      <c r="J657" t="n">
        <v>0</v>
      </c>
      <c r="K657" t="n">
        <v>0</v>
      </c>
      <c r="L657" t="n">
        <v>0</v>
      </c>
      <c r="M657" t="n">
        <v>0</v>
      </c>
      <c r="N657" t="n">
        <v>0</v>
      </c>
      <c r="O657" t="n">
        <v>0</v>
      </c>
      <c r="P657" t="n">
        <v>0</v>
      </c>
      <c r="Q657" t="n">
        <v>0</v>
      </c>
      <c r="R657" s="2" t="inlineStr"/>
    </row>
    <row r="658" ht="15" customHeight="1">
      <c r="A658" t="inlineStr">
        <is>
          <t>A 19642-2026</t>
        </is>
      </c>
      <c r="B658" s="1" t="n">
        <v>46134.57986111111</v>
      </c>
      <c r="C658" s="1" t="n">
        <v>46136</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12503-2022</t>
        </is>
      </c>
      <c r="B659" s="1" t="n">
        <v>44638</v>
      </c>
      <c r="C659" s="1" t="n">
        <v>46136</v>
      </c>
      <c r="D659" t="inlineStr">
        <is>
          <t>SKÅNE LÄN</t>
        </is>
      </c>
      <c r="E659" t="inlineStr">
        <is>
          <t>HÄSSLEHOLM</t>
        </is>
      </c>
      <c r="G659" t="n">
        <v>1.3</v>
      </c>
      <c r="H659" t="n">
        <v>0</v>
      </c>
      <c r="I659" t="n">
        <v>0</v>
      </c>
      <c r="J659" t="n">
        <v>0</v>
      </c>
      <c r="K659" t="n">
        <v>0</v>
      </c>
      <c r="L659" t="n">
        <v>0</v>
      </c>
      <c r="M659" t="n">
        <v>0</v>
      </c>
      <c r="N659" t="n">
        <v>0</v>
      </c>
      <c r="O659" t="n">
        <v>0</v>
      </c>
      <c r="P659" t="n">
        <v>0</v>
      </c>
      <c r="Q659" t="n">
        <v>0</v>
      </c>
      <c r="R659" s="2" t="inlineStr"/>
    </row>
    <row r="660" ht="15" customHeight="1">
      <c r="A660" t="inlineStr">
        <is>
          <t>A 11121-2023</t>
        </is>
      </c>
      <c r="B660" s="1" t="n">
        <v>44986</v>
      </c>
      <c r="C660" s="1" t="n">
        <v>46136</v>
      </c>
      <c r="D660" t="inlineStr">
        <is>
          <t>SKÅNE LÄN</t>
        </is>
      </c>
      <c r="E660" t="inlineStr">
        <is>
          <t>HÄSSLEHOLM</t>
        </is>
      </c>
      <c r="F660" t="inlineStr">
        <is>
          <t>Kommuner</t>
        </is>
      </c>
      <c r="G660" t="n">
        <v>5.8</v>
      </c>
      <c r="H660" t="n">
        <v>0</v>
      </c>
      <c r="I660" t="n">
        <v>0</v>
      </c>
      <c r="J660" t="n">
        <v>0</v>
      </c>
      <c r="K660" t="n">
        <v>0</v>
      </c>
      <c r="L660" t="n">
        <v>0</v>
      </c>
      <c r="M660" t="n">
        <v>0</v>
      </c>
      <c r="N660" t="n">
        <v>0</v>
      </c>
      <c r="O660" t="n">
        <v>0</v>
      </c>
      <c r="P660" t="n">
        <v>0</v>
      </c>
      <c r="Q660" t="n">
        <v>0</v>
      </c>
      <c r="R660" s="2" t="inlineStr"/>
    </row>
    <row r="661" ht="15" customHeight="1">
      <c r="A661" t="inlineStr">
        <is>
          <t>A 47352-2025</t>
        </is>
      </c>
      <c r="B661" s="1" t="n">
        <v>45930</v>
      </c>
      <c r="C661" s="1" t="n">
        <v>46136</v>
      </c>
      <c r="D661" t="inlineStr">
        <is>
          <t>SKÅNE LÄN</t>
        </is>
      </c>
      <c r="E661" t="inlineStr">
        <is>
          <t>HÄSSLEHOLM</t>
        </is>
      </c>
      <c r="G661" t="n">
        <v>15.9</v>
      </c>
      <c r="H661" t="n">
        <v>0</v>
      </c>
      <c r="I661" t="n">
        <v>0</v>
      </c>
      <c r="J661" t="n">
        <v>0</v>
      </c>
      <c r="K661" t="n">
        <v>0</v>
      </c>
      <c r="L661" t="n">
        <v>0</v>
      </c>
      <c r="M661" t="n">
        <v>0</v>
      </c>
      <c r="N661" t="n">
        <v>0</v>
      </c>
      <c r="O661" t="n">
        <v>0</v>
      </c>
      <c r="P661" t="n">
        <v>0</v>
      </c>
      <c r="Q661" t="n">
        <v>0</v>
      </c>
      <c r="R661" s="2" t="inlineStr"/>
    </row>
    <row r="662" ht="15" customHeight="1">
      <c r="A662" t="inlineStr">
        <is>
          <t>A 47432-2025</t>
        </is>
      </c>
      <c r="B662" s="1" t="n">
        <v>45930</v>
      </c>
      <c r="C662" s="1" t="n">
        <v>46136</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47450-2025</t>
        </is>
      </c>
      <c r="B663" s="1" t="n">
        <v>45930</v>
      </c>
      <c r="C663" s="1" t="n">
        <v>46136</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23950-2023</t>
        </is>
      </c>
      <c r="B664" s="1" t="n">
        <v>45078.61771990741</v>
      </c>
      <c r="C664" s="1" t="n">
        <v>46136</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23952-2023</t>
        </is>
      </c>
      <c r="B665" s="1" t="n">
        <v>45078.62064814815</v>
      </c>
      <c r="C665" s="1" t="n">
        <v>46136</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45763-2025</t>
        </is>
      </c>
      <c r="B666" s="1" t="n">
        <v>45923.51778935185</v>
      </c>
      <c r="C666" s="1" t="n">
        <v>46136</v>
      </c>
      <c r="D666" t="inlineStr">
        <is>
          <t>SKÅNE LÄN</t>
        </is>
      </c>
      <c r="E666" t="inlineStr">
        <is>
          <t>HÄSSLEHOLM</t>
        </is>
      </c>
      <c r="G666" t="n">
        <v>4.8</v>
      </c>
      <c r="H666" t="n">
        <v>0</v>
      </c>
      <c r="I666" t="n">
        <v>0</v>
      </c>
      <c r="J666" t="n">
        <v>0</v>
      </c>
      <c r="K666" t="n">
        <v>0</v>
      </c>
      <c r="L666" t="n">
        <v>0</v>
      </c>
      <c r="M666" t="n">
        <v>0</v>
      </c>
      <c r="N666" t="n">
        <v>0</v>
      </c>
      <c r="O666" t="n">
        <v>0</v>
      </c>
      <c r="P666" t="n">
        <v>0</v>
      </c>
      <c r="Q666" t="n">
        <v>0</v>
      </c>
      <c r="R666" s="2" t="inlineStr"/>
    </row>
    <row r="667" ht="15" customHeight="1">
      <c r="A667" t="inlineStr">
        <is>
          <t>A 45764-2025</t>
        </is>
      </c>
      <c r="B667" s="1" t="n">
        <v>45923.52037037037</v>
      </c>
      <c r="C667" s="1" t="n">
        <v>46136</v>
      </c>
      <c r="D667" t="inlineStr">
        <is>
          <t>SKÅNE LÄN</t>
        </is>
      </c>
      <c r="E667" t="inlineStr">
        <is>
          <t>HÄSSLEHOLM</t>
        </is>
      </c>
      <c r="G667" t="n">
        <v>6.3</v>
      </c>
      <c r="H667" t="n">
        <v>0</v>
      </c>
      <c r="I667" t="n">
        <v>0</v>
      </c>
      <c r="J667" t="n">
        <v>0</v>
      </c>
      <c r="K667" t="n">
        <v>0</v>
      </c>
      <c r="L667" t="n">
        <v>0</v>
      </c>
      <c r="M667" t="n">
        <v>0</v>
      </c>
      <c r="N667" t="n">
        <v>0</v>
      </c>
      <c r="O667" t="n">
        <v>0</v>
      </c>
      <c r="P667" t="n">
        <v>0</v>
      </c>
      <c r="Q667" t="n">
        <v>0</v>
      </c>
      <c r="R667" s="2" t="inlineStr"/>
    </row>
    <row r="668" ht="15" customHeight="1">
      <c r="A668" t="inlineStr">
        <is>
          <t>A 11116-2023</t>
        </is>
      </c>
      <c r="B668" s="1" t="n">
        <v>44986</v>
      </c>
      <c r="C668" s="1" t="n">
        <v>46136</v>
      </c>
      <c r="D668" t="inlineStr">
        <is>
          <t>SKÅNE LÄN</t>
        </is>
      </c>
      <c r="E668" t="inlineStr">
        <is>
          <t>HÄSSLEHOLM</t>
        </is>
      </c>
      <c r="F668" t="inlineStr">
        <is>
          <t>Kommuner</t>
        </is>
      </c>
      <c r="G668" t="n">
        <v>15.1</v>
      </c>
      <c r="H668" t="n">
        <v>0</v>
      </c>
      <c r="I668" t="n">
        <v>0</v>
      </c>
      <c r="J668" t="n">
        <v>0</v>
      </c>
      <c r="K668" t="n">
        <v>0</v>
      </c>
      <c r="L668" t="n">
        <v>0</v>
      </c>
      <c r="M668" t="n">
        <v>0</v>
      </c>
      <c r="N668" t="n">
        <v>0</v>
      </c>
      <c r="O668" t="n">
        <v>0</v>
      </c>
      <c r="P668" t="n">
        <v>0</v>
      </c>
      <c r="Q668" t="n">
        <v>0</v>
      </c>
      <c r="R668" s="2" t="inlineStr"/>
    </row>
    <row r="669" ht="15" customHeight="1">
      <c r="A669" t="inlineStr">
        <is>
          <t>A 45762-2025</t>
        </is>
      </c>
      <c r="B669" s="1" t="n">
        <v>45923.51548611111</v>
      </c>
      <c r="C669" s="1" t="n">
        <v>46136</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19831-2026</t>
        </is>
      </c>
      <c r="B670" s="1" t="n">
        <v>46135.59394675926</v>
      </c>
      <c r="C670" s="1" t="n">
        <v>46136</v>
      </c>
      <c r="D670" t="inlineStr">
        <is>
          <t>SKÅNE LÄN</t>
        </is>
      </c>
      <c r="E670" t="inlineStr">
        <is>
          <t>HÄSSLEHOLM</t>
        </is>
      </c>
      <c r="G670" t="n">
        <v>2.8</v>
      </c>
      <c r="H670" t="n">
        <v>0</v>
      </c>
      <c r="I670" t="n">
        <v>0</v>
      </c>
      <c r="J670" t="n">
        <v>0</v>
      </c>
      <c r="K670" t="n">
        <v>0</v>
      </c>
      <c r="L670" t="n">
        <v>0</v>
      </c>
      <c r="M670" t="n">
        <v>0</v>
      </c>
      <c r="N670" t="n">
        <v>0</v>
      </c>
      <c r="O670" t="n">
        <v>0</v>
      </c>
      <c r="P670" t="n">
        <v>0</v>
      </c>
      <c r="Q670" t="n">
        <v>0</v>
      </c>
      <c r="R670" s="2" t="inlineStr"/>
    </row>
    <row r="671" ht="15" customHeight="1">
      <c r="A671" t="inlineStr">
        <is>
          <t>A 9668-2025</t>
        </is>
      </c>
      <c r="B671" s="1" t="n">
        <v>45716</v>
      </c>
      <c r="C671" s="1" t="n">
        <v>46136</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46605-2025</t>
        </is>
      </c>
      <c r="B672" s="1" t="n">
        <v>45926.41214120371</v>
      </c>
      <c r="C672" s="1" t="n">
        <v>46136</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2144-2023</t>
        </is>
      </c>
      <c r="B673" s="1" t="n">
        <v>44940.79054398148</v>
      </c>
      <c r="C673" s="1" t="n">
        <v>46136</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46761-2025</t>
        </is>
      </c>
      <c r="B674" s="1" t="n">
        <v>45926.62289351852</v>
      </c>
      <c r="C674" s="1" t="n">
        <v>46136</v>
      </c>
      <c r="D674" t="inlineStr">
        <is>
          <t>SKÅNE LÄN</t>
        </is>
      </c>
      <c r="E674" t="inlineStr">
        <is>
          <t>HÄSSLEHOLM</t>
        </is>
      </c>
      <c r="G674" t="n">
        <v>1.6</v>
      </c>
      <c r="H674" t="n">
        <v>0</v>
      </c>
      <c r="I674" t="n">
        <v>0</v>
      </c>
      <c r="J674" t="n">
        <v>0</v>
      </c>
      <c r="K674" t="n">
        <v>0</v>
      </c>
      <c r="L674" t="n">
        <v>0</v>
      </c>
      <c r="M674" t="n">
        <v>0</v>
      </c>
      <c r="N674" t="n">
        <v>0</v>
      </c>
      <c r="O674" t="n">
        <v>0</v>
      </c>
      <c r="P674" t="n">
        <v>0</v>
      </c>
      <c r="Q674" t="n">
        <v>0</v>
      </c>
      <c r="R674" s="2" t="inlineStr"/>
    </row>
    <row r="675" ht="15" customHeight="1">
      <c r="A675" t="inlineStr">
        <is>
          <t>A 61680-2022</t>
        </is>
      </c>
      <c r="B675" s="1" t="n">
        <v>44917.36372685185</v>
      </c>
      <c r="C675" s="1" t="n">
        <v>46136</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46786-2025</t>
        </is>
      </c>
      <c r="B676" s="1" t="n">
        <v>45926.64484953704</v>
      </c>
      <c r="C676" s="1" t="n">
        <v>46136</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16550-2025</t>
        </is>
      </c>
      <c r="B677" s="1" t="n">
        <v>45751.69412037037</v>
      </c>
      <c r="C677" s="1" t="n">
        <v>46136</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16285-2025</t>
        </is>
      </c>
      <c r="B678" s="1" t="n">
        <v>45751.30045138889</v>
      </c>
      <c r="C678" s="1" t="n">
        <v>46136</v>
      </c>
      <c r="D678" t="inlineStr">
        <is>
          <t>SKÅNE LÄN</t>
        </is>
      </c>
      <c r="E678" t="inlineStr">
        <is>
          <t>HÄSSLEHOLM</t>
        </is>
      </c>
      <c r="G678" t="n">
        <v>2</v>
      </c>
      <c r="H678" t="n">
        <v>0</v>
      </c>
      <c r="I678" t="n">
        <v>0</v>
      </c>
      <c r="J678" t="n">
        <v>0</v>
      </c>
      <c r="K678" t="n">
        <v>0</v>
      </c>
      <c r="L678" t="n">
        <v>0</v>
      </c>
      <c r="M678" t="n">
        <v>0</v>
      </c>
      <c r="N678" t="n">
        <v>0</v>
      </c>
      <c r="O678" t="n">
        <v>0</v>
      </c>
      <c r="P678" t="n">
        <v>0</v>
      </c>
      <c r="Q678" t="n">
        <v>0</v>
      </c>
      <c r="R678" s="2" t="inlineStr"/>
    </row>
    <row r="679" ht="15" customHeight="1">
      <c r="A679" t="inlineStr">
        <is>
          <t>A 5780-2024</t>
        </is>
      </c>
      <c r="B679" s="1" t="n">
        <v>45335.41983796296</v>
      </c>
      <c r="C679" s="1" t="n">
        <v>46136</v>
      </c>
      <c r="D679" t="inlineStr">
        <is>
          <t>SKÅNE LÄN</t>
        </is>
      </c>
      <c r="E679" t="inlineStr">
        <is>
          <t>HÄSSLEHOLM</t>
        </is>
      </c>
      <c r="G679" t="n">
        <v>2.5</v>
      </c>
      <c r="H679" t="n">
        <v>0</v>
      </c>
      <c r="I679" t="n">
        <v>0</v>
      </c>
      <c r="J679" t="n">
        <v>0</v>
      </c>
      <c r="K679" t="n">
        <v>0</v>
      </c>
      <c r="L679" t="n">
        <v>0</v>
      </c>
      <c r="M679" t="n">
        <v>0</v>
      </c>
      <c r="N679" t="n">
        <v>0</v>
      </c>
      <c r="O679" t="n">
        <v>0</v>
      </c>
      <c r="P679" t="n">
        <v>0</v>
      </c>
      <c r="Q679" t="n">
        <v>0</v>
      </c>
      <c r="R679" s="2" t="inlineStr"/>
    </row>
    <row r="680" ht="15" customHeight="1">
      <c r="A680" t="inlineStr">
        <is>
          <t>A 47259-2025</t>
        </is>
      </c>
      <c r="B680" s="1" t="n">
        <v>45930</v>
      </c>
      <c r="C680" s="1" t="n">
        <v>46136</v>
      </c>
      <c r="D680" t="inlineStr">
        <is>
          <t>SKÅNE LÄN</t>
        </is>
      </c>
      <c r="E680" t="inlineStr">
        <is>
          <t>HÄSSLEHOLM</t>
        </is>
      </c>
      <c r="G680" t="n">
        <v>1.6</v>
      </c>
      <c r="H680" t="n">
        <v>0</v>
      </c>
      <c r="I680" t="n">
        <v>0</v>
      </c>
      <c r="J680" t="n">
        <v>0</v>
      </c>
      <c r="K680" t="n">
        <v>0</v>
      </c>
      <c r="L680" t="n">
        <v>0</v>
      </c>
      <c r="M680" t="n">
        <v>0</v>
      </c>
      <c r="N680" t="n">
        <v>0</v>
      </c>
      <c r="O680" t="n">
        <v>0</v>
      </c>
      <c r="P680" t="n">
        <v>0</v>
      </c>
      <c r="Q680" t="n">
        <v>0</v>
      </c>
      <c r="R680" s="2" t="inlineStr"/>
    </row>
    <row r="681" ht="15" customHeight="1">
      <c r="A681" t="inlineStr">
        <is>
          <t>A 47473-2025</t>
        </is>
      </c>
      <c r="B681" s="1" t="n">
        <v>45930.67763888889</v>
      </c>
      <c r="C681" s="1" t="n">
        <v>46136</v>
      </c>
      <c r="D681" t="inlineStr">
        <is>
          <t>SKÅNE LÄN</t>
        </is>
      </c>
      <c r="E681" t="inlineStr">
        <is>
          <t>HÄSSLEHOLM</t>
        </is>
      </c>
      <c r="G681" t="n">
        <v>4.7</v>
      </c>
      <c r="H681" t="n">
        <v>0</v>
      </c>
      <c r="I681" t="n">
        <v>0</v>
      </c>
      <c r="J681" t="n">
        <v>0</v>
      </c>
      <c r="K681" t="n">
        <v>0</v>
      </c>
      <c r="L681" t="n">
        <v>0</v>
      </c>
      <c r="M681" t="n">
        <v>0</v>
      </c>
      <c r="N681" t="n">
        <v>0</v>
      </c>
      <c r="O681" t="n">
        <v>0</v>
      </c>
      <c r="P681" t="n">
        <v>0</v>
      </c>
      <c r="Q681" t="n">
        <v>0</v>
      </c>
      <c r="R681" s="2" t="inlineStr"/>
    </row>
    <row r="682" ht="15" customHeight="1">
      <c r="A682" t="inlineStr">
        <is>
          <t>A 46855-2025</t>
        </is>
      </c>
      <c r="B682" s="1" t="n">
        <v>45928.88497685185</v>
      </c>
      <c r="C682" s="1" t="n">
        <v>46136</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47466-2025</t>
        </is>
      </c>
      <c r="B683" s="1" t="n">
        <v>45930.66677083333</v>
      </c>
      <c r="C683" s="1" t="n">
        <v>46136</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15897-2025</t>
        </is>
      </c>
      <c r="B684" s="1" t="n">
        <v>45749.41598379629</v>
      </c>
      <c r="C684" s="1" t="n">
        <v>46136</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61504-2022</t>
        </is>
      </c>
      <c r="B685" s="1" t="n">
        <v>44910</v>
      </c>
      <c r="C685" s="1" t="n">
        <v>46136</v>
      </c>
      <c r="D685" t="inlineStr">
        <is>
          <t>SKÅNE LÄN</t>
        </is>
      </c>
      <c r="E685" t="inlineStr">
        <is>
          <t>HÄSSLEHOLM</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29275-2023</t>
        </is>
      </c>
      <c r="B686" s="1" t="n">
        <v>45105</v>
      </c>
      <c r="C686" s="1" t="n">
        <v>46136</v>
      </c>
      <c r="D686" t="inlineStr">
        <is>
          <t>SKÅNE LÄN</t>
        </is>
      </c>
      <c r="E686" t="inlineStr">
        <is>
          <t>HÄSSLEHOLM</t>
        </is>
      </c>
      <c r="G686" t="n">
        <v>2.1</v>
      </c>
      <c r="H686" t="n">
        <v>0</v>
      </c>
      <c r="I686" t="n">
        <v>0</v>
      </c>
      <c r="J686" t="n">
        <v>0</v>
      </c>
      <c r="K686" t="n">
        <v>0</v>
      </c>
      <c r="L686" t="n">
        <v>0</v>
      </c>
      <c r="M686" t="n">
        <v>0</v>
      </c>
      <c r="N686" t="n">
        <v>0</v>
      </c>
      <c r="O686" t="n">
        <v>0</v>
      </c>
      <c r="P686" t="n">
        <v>0</v>
      </c>
      <c r="Q686" t="n">
        <v>0</v>
      </c>
      <c r="R686" s="2" t="inlineStr"/>
    </row>
    <row r="687" ht="15" customHeight="1">
      <c r="A687" t="inlineStr">
        <is>
          <t>A 27502-2023</t>
        </is>
      </c>
      <c r="B687" s="1" t="n">
        <v>45092</v>
      </c>
      <c r="C687" s="1" t="n">
        <v>46136</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47126-2025</t>
        </is>
      </c>
      <c r="B688" s="1" t="n">
        <v>45929.685625</v>
      </c>
      <c r="C688" s="1" t="n">
        <v>46136</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47127-2025</t>
        </is>
      </c>
      <c r="B689" s="1" t="n">
        <v>45929.6893287037</v>
      </c>
      <c r="C689" s="1" t="n">
        <v>46136</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54473-2023</t>
        </is>
      </c>
      <c r="B690" s="1" t="n">
        <v>45233</v>
      </c>
      <c r="C690" s="1" t="n">
        <v>46136</v>
      </c>
      <c r="D690" t="inlineStr">
        <is>
          <t>SKÅNE LÄN</t>
        </is>
      </c>
      <c r="E690" t="inlineStr">
        <is>
          <t>HÄSSLEHOLM</t>
        </is>
      </c>
      <c r="G690" t="n">
        <v>24.5</v>
      </c>
      <c r="H690" t="n">
        <v>0</v>
      </c>
      <c r="I690" t="n">
        <v>0</v>
      </c>
      <c r="J690" t="n">
        <v>0</v>
      </c>
      <c r="K690" t="n">
        <v>0</v>
      </c>
      <c r="L690" t="n">
        <v>0</v>
      </c>
      <c r="M690" t="n">
        <v>0</v>
      </c>
      <c r="N690" t="n">
        <v>0</v>
      </c>
      <c r="O690" t="n">
        <v>0</v>
      </c>
      <c r="P690" t="n">
        <v>0</v>
      </c>
      <c r="Q690" t="n">
        <v>0</v>
      </c>
      <c r="R690" s="2" t="inlineStr"/>
    </row>
    <row r="691" ht="15" customHeight="1">
      <c r="A691" t="inlineStr">
        <is>
          <t>A 26641-2023</t>
        </is>
      </c>
      <c r="B691" s="1" t="n">
        <v>45092.89619212963</v>
      </c>
      <c r="C691" s="1" t="n">
        <v>46136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25726-2025</t>
        </is>
      </c>
      <c r="B692" s="1" t="n">
        <v>45803</v>
      </c>
      <c r="C692" s="1" t="n">
        <v>46136</v>
      </c>
      <c r="D692" t="inlineStr">
        <is>
          <t>SKÅNE LÄN</t>
        </is>
      </c>
      <c r="E692" t="inlineStr">
        <is>
          <t>HÄSSLEHOLM</t>
        </is>
      </c>
      <c r="G692" t="n">
        <v>5.5</v>
      </c>
      <c r="H692" t="n">
        <v>0</v>
      </c>
      <c r="I692" t="n">
        <v>0</v>
      </c>
      <c r="J692" t="n">
        <v>0</v>
      </c>
      <c r="K692" t="n">
        <v>0</v>
      </c>
      <c r="L692" t="n">
        <v>0</v>
      </c>
      <c r="M692" t="n">
        <v>0</v>
      </c>
      <c r="N692" t="n">
        <v>0</v>
      </c>
      <c r="O692" t="n">
        <v>0</v>
      </c>
      <c r="P692" t="n">
        <v>0</v>
      </c>
      <c r="Q692" t="n">
        <v>0</v>
      </c>
      <c r="R692" s="2" t="inlineStr"/>
    </row>
    <row r="693" ht="15" customHeight="1">
      <c r="A693" t="inlineStr">
        <is>
          <t>A 51752-2023</t>
        </is>
      </c>
      <c r="B693" s="1" t="n">
        <v>45222</v>
      </c>
      <c r="C693" s="1" t="n">
        <v>46136</v>
      </c>
      <c r="D693" t="inlineStr">
        <is>
          <t>SKÅNE LÄN</t>
        </is>
      </c>
      <c r="E693" t="inlineStr">
        <is>
          <t>HÄSSLEHOLM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20800-2023</t>
        </is>
      </c>
      <c r="B694" s="1" t="n">
        <v>45058.61640046296</v>
      </c>
      <c r="C694" s="1" t="n">
        <v>46136</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49219-2024</t>
        </is>
      </c>
      <c r="B695" s="1" t="n">
        <v>45595.40923611111</v>
      </c>
      <c r="C695" s="1" t="n">
        <v>46136</v>
      </c>
      <c r="D695" t="inlineStr">
        <is>
          <t>SKÅNE LÄN</t>
        </is>
      </c>
      <c r="E695" t="inlineStr">
        <is>
          <t>HÄSSLEHOLM</t>
        </is>
      </c>
      <c r="G695" t="n">
        <v>1.8</v>
      </c>
      <c r="H695" t="n">
        <v>0</v>
      </c>
      <c r="I695" t="n">
        <v>0</v>
      </c>
      <c r="J695" t="n">
        <v>0</v>
      </c>
      <c r="K695" t="n">
        <v>0</v>
      </c>
      <c r="L695" t="n">
        <v>0</v>
      </c>
      <c r="M695" t="n">
        <v>0</v>
      </c>
      <c r="N695" t="n">
        <v>0</v>
      </c>
      <c r="O695" t="n">
        <v>0</v>
      </c>
      <c r="P695" t="n">
        <v>0</v>
      </c>
      <c r="Q695" t="n">
        <v>0</v>
      </c>
      <c r="R695" s="2" t="inlineStr"/>
    </row>
    <row r="696" ht="15" customHeight="1">
      <c r="A696" t="inlineStr">
        <is>
          <t>A 7152-2025</t>
        </is>
      </c>
      <c r="B696" s="1" t="n">
        <v>45702.3837037037</v>
      </c>
      <c r="C696" s="1" t="n">
        <v>46136</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7160-2025</t>
        </is>
      </c>
      <c r="B697" s="1" t="n">
        <v>45702.3875462963</v>
      </c>
      <c r="C697" s="1" t="n">
        <v>46136</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14939-2023</t>
        </is>
      </c>
      <c r="B698" s="1" t="n">
        <v>45014</v>
      </c>
      <c r="C698" s="1" t="n">
        <v>46136</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48184-2025</t>
        </is>
      </c>
      <c r="B699" s="1" t="n">
        <v>45933.46131944445</v>
      </c>
      <c r="C699" s="1" t="n">
        <v>46136</v>
      </c>
      <c r="D699" t="inlineStr">
        <is>
          <t>SKÅNE LÄN</t>
        </is>
      </c>
      <c r="E699" t="inlineStr">
        <is>
          <t>HÄSSLEHOLM</t>
        </is>
      </c>
      <c r="G699" t="n">
        <v>3</v>
      </c>
      <c r="H699" t="n">
        <v>0</v>
      </c>
      <c r="I699" t="n">
        <v>0</v>
      </c>
      <c r="J699" t="n">
        <v>0</v>
      </c>
      <c r="K699" t="n">
        <v>0</v>
      </c>
      <c r="L699" t="n">
        <v>0</v>
      </c>
      <c r="M699" t="n">
        <v>0</v>
      </c>
      <c r="N699" t="n">
        <v>0</v>
      </c>
      <c r="O699" t="n">
        <v>0</v>
      </c>
      <c r="P699" t="n">
        <v>0</v>
      </c>
      <c r="Q699" t="n">
        <v>0</v>
      </c>
      <c r="R699" s="2" t="inlineStr"/>
    </row>
    <row r="700" ht="15" customHeight="1">
      <c r="A700" t="inlineStr">
        <is>
          <t>A 48185-2025</t>
        </is>
      </c>
      <c r="B700" s="1" t="n">
        <v>45933.46434027778</v>
      </c>
      <c r="C700" s="1" t="n">
        <v>46136</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15104-2023</t>
        </is>
      </c>
      <c r="B701" s="1" t="n">
        <v>45016.40576388889</v>
      </c>
      <c r="C701" s="1" t="n">
        <v>46136</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66321-2021</t>
        </is>
      </c>
      <c r="B702" s="1" t="n">
        <v>44518</v>
      </c>
      <c r="C702" s="1" t="n">
        <v>46136</v>
      </c>
      <c r="D702" t="inlineStr">
        <is>
          <t>SKÅNE LÄN</t>
        </is>
      </c>
      <c r="E702" t="inlineStr">
        <is>
          <t>HÄSSLEHOLM</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48722-2025</t>
        </is>
      </c>
      <c r="B703" s="1" t="n">
        <v>45935</v>
      </c>
      <c r="C703" s="1" t="n">
        <v>46136</v>
      </c>
      <c r="D703" t="inlineStr">
        <is>
          <t>SKÅNE LÄN</t>
        </is>
      </c>
      <c r="E703" t="inlineStr">
        <is>
          <t>HÄSSLEHOLM</t>
        </is>
      </c>
      <c r="G703" t="n">
        <v>4.3</v>
      </c>
      <c r="H703" t="n">
        <v>0</v>
      </c>
      <c r="I703" t="n">
        <v>0</v>
      </c>
      <c r="J703" t="n">
        <v>0</v>
      </c>
      <c r="K703" t="n">
        <v>0</v>
      </c>
      <c r="L703" t="n">
        <v>0</v>
      </c>
      <c r="M703" t="n">
        <v>0</v>
      </c>
      <c r="N703" t="n">
        <v>0</v>
      </c>
      <c r="O703" t="n">
        <v>0</v>
      </c>
      <c r="P703" t="n">
        <v>0</v>
      </c>
      <c r="Q703" t="n">
        <v>0</v>
      </c>
      <c r="R703" s="2" t="inlineStr"/>
    </row>
    <row r="704" ht="15" customHeight="1">
      <c r="A704" t="inlineStr">
        <is>
          <t>A 21494-2023</t>
        </is>
      </c>
      <c r="B704" s="1" t="n">
        <v>45063</v>
      </c>
      <c r="C704" s="1" t="n">
        <v>46136</v>
      </c>
      <c r="D704" t="inlineStr">
        <is>
          <t>SKÅNE LÄN</t>
        </is>
      </c>
      <c r="E704" t="inlineStr">
        <is>
          <t>HÄSSLEHOLM</t>
        </is>
      </c>
      <c r="G704" t="n">
        <v>3.7</v>
      </c>
      <c r="H704" t="n">
        <v>0</v>
      </c>
      <c r="I704" t="n">
        <v>0</v>
      </c>
      <c r="J704" t="n">
        <v>0</v>
      </c>
      <c r="K704" t="n">
        <v>0</v>
      </c>
      <c r="L704" t="n">
        <v>0</v>
      </c>
      <c r="M704" t="n">
        <v>0</v>
      </c>
      <c r="N704" t="n">
        <v>0</v>
      </c>
      <c r="O704" t="n">
        <v>0</v>
      </c>
      <c r="P704" t="n">
        <v>0</v>
      </c>
      <c r="Q704" t="n">
        <v>0</v>
      </c>
      <c r="R704" s="2" t="inlineStr"/>
    </row>
    <row r="705" ht="15" customHeight="1">
      <c r="A705" t="inlineStr">
        <is>
          <t>A 21495-2023</t>
        </is>
      </c>
      <c r="B705" s="1" t="n">
        <v>45063</v>
      </c>
      <c r="C705" s="1" t="n">
        <v>46136</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40739-2024</t>
        </is>
      </c>
      <c r="B706" s="1" t="n">
        <v>45558</v>
      </c>
      <c r="C706" s="1" t="n">
        <v>46136</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49135-2025</t>
        </is>
      </c>
      <c r="B707" s="1" t="n">
        <v>45938.00990740741</v>
      </c>
      <c r="C707" s="1" t="n">
        <v>46136</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49136-2025</t>
        </is>
      </c>
      <c r="B708" s="1" t="n">
        <v>45938.01277777777</v>
      </c>
      <c r="C708" s="1" t="n">
        <v>46136</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49137-2025</t>
        </is>
      </c>
      <c r="B709" s="1" t="n">
        <v>45938.05672453704</v>
      </c>
      <c r="C709" s="1" t="n">
        <v>46136</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64884-2023</t>
        </is>
      </c>
      <c r="B710" s="1" t="n">
        <v>45282.57809027778</v>
      </c>
      <c r="C710" s="1" t="n">
        <v>46136</v>
      </c>
      <c r="D710" t="inlineStr">
        <is>
          <t>SKÅNE LÄN</t>
        </is>
      </c>
      <c r="E710" t="inlineStr">
        <is>
          <t>HÄSSLEHOLM</t>
        </is>
      </c>
      <c r="G710" t="n">
        <v>4.6</v>
      </c>
      <c r="H710" t="n">
        <v>0</v>
      </c>
      <c r="I710" t="n">
        <v>0</v>
      </c>
      <c r="J710" t="n">
        <v>0</v>
      </c>
      <c r="K710" t="n">
        <v>0</v>
      </c>
      <c r="L710" t="n">
        <v>0</v>
      </c>
      <c r="M710" t="n">
        <v>0</v>
      </c>
      <c r="N710" t="n">
        <v>0</v>
      </c>
      <c r="O710" t="n">
        <v>0</v>
      </c>
      <c r="P710" t="n">
        <v>0</v>
      </c>
      <c r="Q710" t="n">
        <v>0</v>
      </c>
      <c r="R710" s="2" t="inlineStr"/>
    </row>
    <row r="711" ht="15" customHeight="1">
      <c r="A711" t="inlineStr">
        <is>
          <t>A 22140-2023</t>
        </is>
      </c>
      <c r="B711" s="1" t="n">
        <v>45065</v>
      </c>
      <c r="C711" s="1" t="n">
        <v>46136</v>
      </c>
      <c r="D711" t="inlineStr">
        <is>
          <t>SKÅNE LÄN</t>
        </is>
      </c>
      <c r="E711" t="inlineStr">
        <is>
          <t>HÄSSLEHOLM</t>
        </is>
      </c>
      <c r="G711" t="n">
        <v>6.7</v>
      </c>
      <c r="H711" t="n">
        <v>0</v>
      </c>
      <c r="I711" t="n">
        <v>0</v>
      </c>
      <c r="J711" t="n">
        <v>0</v>
      </c>
      <c r="K711" t="n">
        <v>0</v>
      </c>
      <c r="L711" t="n">
        <v>0</v>
      </c>
      <c r="M711" t="n">
        <v>0</v>
      </c>
      <c r="N711" t="n">
        <v>0</v>
      </c>
      <c r="O711" t="n">
        <v>0</v>
      </c>
      <c r="P711" t="n">
        <v>0</v>
      </c>
      <c r="Q711" t="n">
        <v>0</v>
      </c>
      <c r="R711" s="2" t="inlineStr"/>
    </row>
    <row r="712" ht="15" customHeight="1">
      <c r="A712" t="inlineStr">
        <is>
          <t>A 31944-2023</t>
        </is>
      </c>
      <c r="B712" s="1" t="n">
        <v>45119.34895833334</v>
      </c>
      <c r="C712" s="1" t="n">
        <v>46136</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7890-2024</t>
        </is>
      </c>
      <c r="B713" s="1" t="n">
        <v>45350.40780092592</v>
      </c>
      <c r="C713" s="1" t="n">
        <v>46136</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31946-2023</t>
        </is>
      </c>
      <c r="B714" s="1" t="n">
        <v>45119.35158564815</v>
      </c>
      <c r="C714" s="1" t="n">
        <v>46136</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8755-2024</t>
        </is>
      </c>
      <c r="B715" s="1" t="n">
        <v>45356</v>
      </c>
      <c r="C715" s="1" t="n">
        <v>46136</v>
      </c>
      <c r="D715" t="inlineStr">
        <is>
          <t>SKÅNE LÄN</t>
        </is>
      </c>
      <c r="E715" t="inlineStr">
        <is>
          <t>HÄSSLEHOLM</t>
        </is>
      </c>
      <c r="G715" t="n">
        <v>1.4</v>
      </c>
      <c r="H715" t="n">
        <v>0</v>
      </c>
      <c r="I715" t="n">
        <v>0</v>
      </c>
      <c r="J715" t="n">
        <v>0</v>
      </c>
      <c r="K715" t="n">
        <v>0</v>
      </c>
      <c r="L715" t="n">
        <v>0</v>
      </c>
      <c r="M715" t="n">
        <v>0</v>
      </c>
      <c r="N715" t="n">
        <v>0</v>
      </c>
      <c r="O715" t="n">
        <v>0</v>
      </c>
      <c r="P715" t="n">
        <v>0</v>
      </c>
      <c r="Q715" t="n">
        <v>0</v>
      </c>
      <c r="R715" s="2" t="inlineStr"/>
    </row>
    <row r="716" ht="15" customHeight="1">
      <c r="A716" t="inlineStr">
        <is>
          <t>A 61178-2022</t>
        </is>
      </c>
      <c r="B716" s="1" t="n">
        <v>44915</v>
      </c>
      <c r="C716" s="1" t="n">
        <v>46136</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61185-2022</t>
        </is>
      </c>
      <c r="B717" s="1" t="n">
        <v>44915</v>
      </c>
      <c r="C717" s="1" t="n">
        <v>46136</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61691-2021</t>
        </is>
      </c>
      <c r="B718" s="1" t="n">
        <v>44501</v>
      </c>
      <c r="C718" s="1" t="n">
        <v>46136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25221-2023</t>
        </is>
      </c>
      <c r="B719" s="1" t="n">
        <v>45086.60842592592</v>
      </c>
      <c r="C719" s="1" t="n">
        <v>46136</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59390-2021</t>
        </is>
      </c>
      <c r="B720" s="1" t="n">
        <v>44490</v>
      </c>
      <c r="C720" s="1" t="n">
        <v>46136</v>
      </c>
      <c r="D720" t="inlineStr">
        <is>
          <t>SKÅNE LÄN</t>
        </is>
      </c>
      <c r="E720" t="inlineStr">
        <is>
          <t>HÄSSLEHOLM</t>
        </is>
      </c>
      <c r="G720" t="n">
        <v>7.1</v>
      </c>
      <c r="H720" t="n">
        <v>0</v>
      </c>
      <c r="I720" t="n">
        <v>0</v>
      </c>
      <c r="J720" t="n">
        <v>0</v>
      </c>
      <c r="K720" t="n">
        <v>0</v>
      </c>
      <c r="L720" t="n">
        <v>0</v>
      </c>
      <c r="M720" t="n">
        <v>0</v>
      </c>
      <c r="N720" t="n">
        <v>0</v>
      </c>
      <c r="O720" t="n">
        <v>0</v>
      </c>
      <c r="P720" t="n">
        <v>0</v>
      </c>
      <c r="Q720" t="n">
        <v>0</v>
      </c>
      <c r="R720" s="2" t="inlineStr"/>
    </row>
    <row r="721" ht="15" customHeight="1">
      <c r="A721" t="inlineStr">
        <is>
          <t>A 50564-2023</t>
        </is>
      </c>
      <c r="B721" s="1" t="n">
        <v>45217.37957175926</v>
      </c>
      <c r="C721" s="1" t="n">
        <v>46136</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15133-2023</t>
        </is>
      </c>
      <c r="B722" s="1" t="n">
        <v>45016</v>
      </c>
      <c r="C722" s="1" t="n">
        <v>46136</v>
      </c>
      <c r="D722" t="inlineStr">
        <is>
          <t>SKÅNE LÄN</t>
        </is>
      </c>
      <c r="E722" t="inlineStr">
        <is>
          <t>HÄSSLEHOLM</t>
        </is>
      </c>
      <c r="G722" t="n">
        <v>7.8</v>
      </c>
      <c r="H722" t="n">
        <v>0</v>
      </c>
      <c r="I722" t="n">
        <v>0</v>
      </c>
      <c r="J722" t="n">
        <v>0</v>
      </c>
      <c r="K722" t="n">
        <v>0</v>
      </c>
      <c r="L722" t="n">
        <v>0</v>
      </c>
      <c r="M722" t="n">
        <v>0</v>
      </c>
      <c r="N722" t="n">
        <v>0</v>
      </c>
      <c r="O722" t="n">
        <v>0</v>
      </c>
      <c r="P722" t="n">
        <v>0</v>
      </c>
      <c r="Q722" t="n">
        <v>0</v>
      </c>
      <c r="R722" s="2" t="inlineStr"/>
    </row>
    <row r="723" ht="15" customHeight="1">
      <c r="A723" t="inlineStr">
        <is>
          <t>A 49845-2025</t>
        </is>
      </c>
      <c r="B723" s="1" t="n">
        <v>45940.48015046296</v>
      </c>
      <c r="C723" s="1" t="n">
        <v>46136</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15053-2023</t>
        </is>
      </c>
      <c r="B724" s="1" t="n">
        <v>45015</v>
      </c>
      <c r="C724" s="1" t="n">
        <v>46136</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23857-2024</t>
        </is>
      </c>
      <c r="B725" s="1" t="n">
        <v>45455</v>
      </c>
      <c r="C725" s="1" t="n">
        <v>46136</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35644-2023</t>
        </is>
      </c>
      <c r="B726" s="1" t="n">
        <v>45147</v>
      </c>
      <c r="C726" s="1" t="n">
        <v>46136</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46136</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8433-2024</t>
        </is>
      </c>
      <c r="B728" s="1" t="n">
        <v>45353.48434027778</v>
      </c>
      <c r="C728" s="1" t="n">
        <v>46136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62055-2023</t>
        </is>
      </c>
      <c r="B729" s="1" t="n">
        <v>45266.70287037037</v>
      </c>
      <c r="C729" s="1" t="n">
        <v>46136</v>
      </c>
      <c r="D729" t="inlineStr">
        <is>
          <t>SKÅNE LÄN</t>
        </is>
      </c>
      <c r="E729" t="inlineStr">
        <is>
          <t>HÄSSLEHOLM</t>
        </is>
      </c>
      <c r="G729" t="n">
        <v>5.2</v>
      </c>
      <c r="H729" t="n">
        <v>0</v>
      </c>
      <c r="I729" t="n">
        <v>0</v>
      </c>
      <c r="J729" t="n">
        <v>0</v>
      </c>
      <c r="K729" t="n">
        <v>0</v>
      </c>
      <c r="L729" t="n">
        <v>0</v>
      </c>
      <c r="M729" t="n">
        <v>0</v>
      </c>
      <c r="N729" t="n">
        <v>0</v>
      </c>
      <c r="O729" t="n">
        <v>0</v>
      </c>
      <c r="P729" t="n">
        <v>0</v>
      </c>
      <c r="Q729" t="n">
        <v>0</v>
      </c>
      <c r="R729" s="2" t="inlineStr"/>
    </row>
    <row r="730" ht="15" customHeight="1">
      <c r="A730" t="inlineStr">
        <is>
          <t>A 13555-2025</t>
        </is>
      </c>
      <c r="B730" s="1" t="n">
        <v>45736</v>
      </c>
      <c r="C730" s="1" t="n">
        <v>46136</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24904-2025</t>
        </is>
      </c>
      <c r="B731" s="1" t="n">
        <v>45799</v>
      </c>
      <c r="C731" s="1" t="n">
        <v>46136</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50676-2025</t>
        </is>
      </c>
      <c r="B732" s="1" t="n">
        <v>45945</v>
      </c>
      <c r="C732" s="1" t="n">
        <v>46136</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28632-2024</t>
        </is>
      </c>
      <c r="B733" s="1" t="n">
        <v>45478</v>
      </c>
      <c r="C733" s="1" t="n">
        <v>46136</v>
      </c>
      <c r="D733" t="inlineStr">
        <is>
          <t>SKÅNE LÄN</t>
        </is>
      </c>
      <c r="E733" t="inlineStr">
        <is>
          <t>HÄSSLEHOLM</t>
        </is>
      </c>
      <c r="G733" t="n">
        <v>4</v>
      </c>
      <c r="H733" t="n">
        <v>0</v>
      </c>
      <c r="I733" t="n">
        <v>0</v>
      </c>
      <c r="J733" t="n">
        <v>0</v>
      </c>
      <c r="K733" t="n">
        <v>0</v>
      </c>
      <c r="L733" t="n">
        <v>0</v>
      </c>
      <c r="M733" t="n">
        <v>0</v>
      </c>
      <c r="N733" t="n">
        <v>0</v>
      </c>
      <c r="O733" t="n">
        <v>0</v>
      </c>
      <c r="P733" t="n">
        <v>0</v>
      </c>
      <c r="Q733" t="n">
        <v>0</v>
      </c>
      <c r="R733" s="2" t="inlineStr"/>
    </row>
    <row r="734" ht="15" customHeight="1">
      <c r="A734" t="inlineStr">
        <is>
          <t>A 50677-2025</t>
        </is>
      </c>
      <c r="B734" s="1" t="n">
        <v>45945</v>
      </c>
      <c r="C734" s="1" t="n">
        <v>46136</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50834-2025</t>
        </is>
      </c>
      <c r="B735" s="1" t="n">
        <v>45946.55746527778</v>
      </c>
      <c r="C735" s="1" t="n">
        <v>46136</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50839-2025</t>
        </is>
      </c>
      <c r="B736" s="1" t="n">
        <v>45946</v>
      </c>
      <c r="C736" s="1" t="n">
        <v>46136</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50678-2025</t>
        </is>
      </c>
      <c r="B737" s="1" t="n">
        <v>45945</v>
      </c>
      <c r="C737" s="1" t="n">
        <v>46136</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35712-2024</t>
        </is>
      </c>
      <c r="B738" s="1" t="n">
        <v>45532</v>
      </c>
      <c r="C738" s="1" t="n">
        <v>46136</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1886-2025</t>
        </is>
      </c>
      <c r="B739" s="1" t="n">
        <v>45671</v>
      </c>
      <c r="C739" s="1" t="n">
        <v>46136</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15536-2025</t>
        </is>
      </c>
      <c r="B740" s="1" t="n">
        <v>45747</v>
      </c>
      <c r="C740" s="1" t="n">
        <v>46136</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50829-2025</t>
        </is>
      </c>
      <c r="B741" s="1" t="n">
        <v>45946.55309027778</v>
      </c>
      <c r="C741" s="1" t="n">
        <v>46136</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33466-2024</t>
        </is>
      </c>
      <c r="B742" s="1" t="n">
        <v>45519</v>
      </c>
      <c r="C742" s="1" t="n">
        <v>46136</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26397-2023</t>
        </is>
      </c>
      <c r="B743" s="1" t="n">
        <v>45087</v>
      </c>
      <c r="C743" s="1" t="n">
        <v>46136</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49824-2024</t>
        </is>
      </c>
      <c r="B744" s="1" t="n">
        <v>45597</v>
      </c>
      <c r="C744" s="1" t="n">
        <v>46136</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27175-2024</t>
        </is>
      </c>
      <c r="B745" s="1" t="n">
        <v>45471.57111111111</v>
      </c>
      <c r="C745" s="1" t="n">
        <v>46136</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1197-2024</t>
        </is>
      </c>
      <c r="B746" s="1" t="n">
        <v>45302</v>
      </c>
      <c r="C746" s="1" t="n">
        <v>46136</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48097-2024</t>
        </is>
      </c>
      <c r="B747" s="1" t="n">
        <v>45589.61413194444</v>
      </c>
      <c r="C747" s="1" t="n">
        <v>46136</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53077-2022</t>
        </is>
      </c>
      <c r="B748" s="1" t="n">
        <v>44873</v>
      </c>
      <c r="C748" s="1" t="n">
        <v>46136</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51024-2025</t>
        </is>
      </c>
      <c r="B749" s="1" t="n">
        <v>45947.395</v>
      </c>
      <c r="C749" s="1" t="n">
        <v>46136</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19020-2024</t>
        </is>
      </c>
      <c r="B750" s="1" t="n">
        <v>45427.66167824074</v>
      </c>
      <c r="C750" s="1" t="n">
        <v>46136</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52912-2022</t>
        </is>
      </c>
      <c r="B751" s="1" t="n">
        <v>44872</v>
      </c>
      <c r="C751" s="1" t="n">
        <v>46136</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24640-2023</t>
        </is>
      </c>
      <c r="B752" s="1" t="n">
        <v>45084.43181712963</v>
      </c>
      <c r="C752" s="1" t="n">
        <v>46136</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22535-2024</t>
        </is>
      </c>
      <c r="B753" s="1" t="n">
        <v>45447</v>
      </c>
      <c r="C753" s="1" t="n">
        <v>46136</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30007-2023</t>
        </is>
      </c>
      <c r="B754" s="1" t="n">
        <v>45109.80349537037</v>
      </c>
      <c r="C754" s="1" t="n">
        <v>46136</v>
      </c>
      <c r="D754" t="inlineStr">
        <is>
          <t>SKÅNE LÄN</t>
        </is>
      </c>
      <c r="E754" t="inlineStr">
        <is>
          <t>HÄSSLEHOLM</t>
        </is>
      </c>
      <c r="G754" t="n">
        <v>2.2</v>
      </c>
      <c r="H754" t="n">
        <v>0</v>
      </c>
      <c r="I754" t="n">
        <v>0</v>
      </c>
      <c r="J754" t="n">
        <v>0</v>
      </c>
      <c r="K754" t="n">
        <v>0</v>
      </c>
      <c r="L754" t="n">
        <v>0</v>
      </c>
      <c r="M754" t="n">
        <v>0</v>
      </c>
      <c r="N754" t="n">
        <v>0</v>
      </c>
      <c r="O754" t="n">
        <v>0</v>
      </c>
      <c r="P754" t="n">
        <v>0</v>
      </c>
      <c r="Q754" t="n">
        <v>0</v>
      </c>
      <c r="R754" s="2" t="inlineStr"/>
    </row>
    <row r="755" ht="15" customHeight="1">
      <c r="A755" t="inlineStr">
        <is>
          <t>A 1289-2024</t>
        </is>
      </c>
      <c r="B755" s="1" t="n">
        <v>45303.32234953704</v>
      </c>
      <c r="C755" s="1" t="n">
        <v>46136</v>
      </c>
      <c r="D755" t="inlineStr">
        <is>
          <t>SKÅNE LÄN</t>
        </is>
      </c>
      <c r="E755" t="inlineStr">
        <is>
          <t>HÄSSLEHOLM</t>
        </is>
      </c>
      <c r="G755" t="n">
        <v>4.6</v>
      </c>
      <c r="H755" t="n">
        <v>0</v>
      </c>
      <c r="I755" t="n">
        <v>0</v>
      </c>
      <c r="J755" t="n">
        <v>0</v>
      </c>
      <c r="K755" t="n">
        <v>0</v>
      </c>
      <c r="L755" t="n">
        <v>0</v>
      </c>
      <c r="M755" t="n">
        <v>0</v>
      </c>
      <c r="N755" t="n">
        <v>0</v>
      </c>
      <c r="O755" t="n">
        <v>0</v>
      </c>
      <c r="P755" t="n">
        <v>0</v>
      </c>
      <c r="Q755" t="n">
        <v>0</v>
      </c>
      <c r="R755" s="2" t="inlineStr"/>
    </row>
    <row r="756" ht="15" customHeight="1">
      <c r="A756" t="inlineStr">
        <is>
          <t>A 51097-2025</t>
        </is>
      </c>
      <c r="B756" s="1" t="n">
        <v>45947.48018518519</v>
      </c>
      <c r="C756" s="1" t="n">
        <v>46136</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11715-2023</t>
        </is>
      </c>
      <c r="B757" s="1" t="n">
        <v>44992</v>
      </c>
      <c r="C757" s="1" t="n">
        <v>46136</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25606-2024</t>
        </is>
      </c>
      <c r="B758" s="1" t="n">
        <v>45463.63179398148</v>
      </c>
      <c r="C758" s="1" t="n">
        <v>46136</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1538-2024</t>
        </is>
      </c>
      <c r="B759" s="1" t="n">
        <v>45306</v>
      </c>
      <c r="C759" s="1" t="n">
        <v>46136</v>
      </c>
      <c r="D759" t="inlineStr">
        <is>
          <t>SKÅNE LÄN</t>
        </is>
      </c>
      <c r="E759" t="inlineStr">
        <is>
          <t>HÄSSLEHOLM</t>
        </is>
      </c>
      <c r="G759" t="n">
        <v>4.8</v>
      </c>
      <c r="H759" t="n">
        <v>0</v>
      </c>
      <c r="I759" t="n">
        <v>0</v>
      </c>
      <c r="J759" t="n">
        <v>0</v>
      </c>
      <c r="K759" t="n">
        <v>0</v>
      </c>
      <c r="L759" t="n">
        <v>0</v>
      </c>
      <c r="M759" t="n">
        <v>0</v>
      </c>
      <c r="N759" t="n">
        <v>0</v>
      </c>
      <c r="O759" t="n">
        <v>0</v>
      </c>
      <c r="P759" t="n">
        <v>0</v>
      </c>
      <c r="Q759" t="n">
        <v>0</v>
      </c>
      <c r="R759" s="2" t="inlineStr"/>
    </row>
    <row r="760" ht="15" customHeight="1">
      <c r="A760" t="inlineStr">
        <is>
          <t>A 25533-2024</t>
        </is>
      </c>
      <c r="B760" s="1" t="n">
        <v>45463</v>
      </c>
      <c r="C760" s="1" t="n">
        <v>46136</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51795-2025</t>
        </is>
      </c>
      <c r="B761" s="1" t="n">
        <v>45951</v>
      </c>
      <c r="C761" s="1" t="n">
        <v>46136</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51796-2025</t>
        </is>
      </c>
      <c r="B762" s="1" t="n">
        <v>45951.74546296296</v>
      </c>
      <c r="C762" s="1" t="n">
        <v>46136</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31934-2024</t>
        </is>
      </c>
      <c r="B763" s="1" t="n">
        <v>45510.41177083334</v>
      </c>
      <c r="C763" s="1" t="n">
        <v>46136</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29847-2024</t>
        </is>
      </c>
      <c r="B764" s="1" t="n">
        <v>45485.6278587963</v>
      </c>
      <c r="C764" s="1" t="n">
        <v>46136</v>
      </c>
      <c r="D764" t="inlineStr">
        <is>
          <t>SKÅNE LÄN</t>
        </is>
      </c>
      <c r="E764" t="inlineStr">
        <is>
          <t>HÄSSLEHOLM</t>
        </is>
      </c>
      <c r="G764" t="n">
        <v>1.2</v>
      </c>
      <c r="H764" t="n">
        <v>0</v>
      </c>
      <c r="I764" t="n">
        <v>0</v>
      </c>
      <c r="J764" t="n">
        <v>0</v>
      </c>
      <c r="K764" t="n">
        <v>0</v>
      </c>
      <c r="L764" t="n">
        <v>0</v>
      </c>
      <c r="M764" t="n">
        <v>0</v>
      </c>
      <c r="N764" t="n">
        <v>0</v>
      </c>
      <c r="O764" t="n">
        <v>0</v>
      </c>
      <c r="P764" t="n">
        <v>0</v>
      </c>
      <c r="Q764" t="n">
        <v>0</v>
      </c>
      <c r="R764" s="2" t="inlineStr"/>
    </row>
    <row r="765" ht="15" customHeight="1">
      <c r="A765" t="inlineStr">
        <is>
          <t>A 7653-2024</t>
        </is>
      </c>
      <c r="B765" s="1" t="n">
        <v>45348.69043981482</v>
      </c>
      <c r="C765" s="1" t="n">
        <v>46136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51640-2025</t>
        </is>
      </c>
      <c r="B766" s="1" t="n">
        <v>45951.44361111111</v>
      </c>
      <c r="C766" s="1" t="n">
        <v>46136</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51597-2025</t>
        </is>
      </c>
      <c r="B767" s="1" t="n">
        <v>45951.37163194444</v>
      </c>
      <c r="C767" s="1" t="n">
        <v>46136</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12570-2023</t>
        </is>
      </c>
      <c r="B768" s="1" t="n">
        <v>44999</v>
      </c>
      <c r="C768" s="1" t="n">
        <v>46136</v>
      </c>
      <c r="D768" t="inlineStr">
        <is>
          <t>SKÅNE LÄN</t>
        </is>
      </c>
      <c r="E768" t="inlineStr">
        <is>
          <t>HÄSSLEHOLM</t>
        </is>
      </c>
      <c r="G768" t="n">
        <v>3.4</v>
      </c>
      <c r="H768" t="n">
        <v>0</v>
      </c>
      <c r="I768" t="n">
        <v>0</v>
      </c>
      <c r="J768" t="n">
        <v>0</v>
      </c>
      <c r="K768" t="n">
        <v>0</v>
      </c>
      <c r="L768" t="n">
        <v>0</v>
      </c>
      <c r="M768" t="n">
        <v>0</v>
      </c>
      <c r="N768" t="n">
        <v>0</v>
      </c>
      <c r="O768" t="n">
        <v>0</v>
      </c>
      <c r="P768" t="n">
        <v>0</v>
      </c>
      <c r="Q768" t="n">
        <v>0</v>
      </c>
      <c r="R768" s="2" t="inlineStr"/>
    </row>
    <row r="769" ht="15" customHeight="1">
      <c r="A769" t="inlineStr">
        <is>
          <t>A 52126-2025</t>
        </is>
      </c>
      <c r="B769" s="1" t="n">
        <v>45952.72109953704</v>
      </c>
      <c r="C769" s="1" t="n">
        <v>46136</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14926-2024</t>
        </is>
      </c>
      <c r="B770" s="1" t="n">
        <v>45398</v>
      </c>
      <c r="C770" s="1" t="n">
        <v>46136</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2688-2024</t>
        </is>
      </c>
      <c r="B771" s="1" t="n">
        <v>45314</v>
      </c>
      <c r="C771" s="1" t="n">
        <v>46136</v>
      </c>
      <c r="D771" t="inlineStr">
        <is>
          <t>SKÅNE LÄN</t>
        </is>
      </c>
      <c r="E771" t="inlineStr">
        <is>
          <t>HÄSSLEHOLM</t>
        </is>
      </c>
      <c r="F771" t="inlineStr">
        <is>
          <t>Övriga Aktiebolag</t>
        </is>
      </c>
      <c r="G771" t="n">
        <v>2.8</v>
      </c>
      <c r="H771" t="n">
        <v>0</v>
      </c>
      <c r="I771" t="n">
        <v>0</v>
      </c>
      <c r="J771" t="n">
        <v>0</v>
      </c>
      <c r="K771" t="n">
        <v>0</v>
      </c>
      <c r="L771" t="n">
        <v>0</v>
      </c>
      <c r="M771" t="n">
        <v>0</v>
      </c>
      <c r="N771" t="n">
        <v>0</v>
      </c>
      <c r="O771" t="n">
        <v>0</v>
      </c>
      <c r="P771" t="n">
        <v>0</v>
      </c>
      <c r="Q771" t="n">
        <v>0</v>
      </c>
      <c r="R771" s="2" t="inlineStr"/>
    </row>
    <row r="772" ht="15" customHeight="1">
      <c r="A772" t="inlineStr">
        <is>
          <t>A 36733-2023</t>
        </is>
      </c>
      <c r="B772" s="1" t="n">
        <v>45153.69989583334</v>
      </c>
      <c r="C772" s="1" t="n">
        <v>46136</v>
      </c>
      <c r="D772" t="inlineStr">
        <is>
          <t>SKÅNE LÄN</t>
        </is>
      </c>
      <c r="E772" t="inlineStr">
        <is>
          <t>HÄSSLEHOLM</t>
        </is>
      </c>
      <c r="G772" t="n">
        <v>4.8</v>
      </c>
      <c r="H772" t="n">
        <v>0</v>
      </c>
      <c r="I772" t="n">
        <v>0</v>
      </c>
      <c r="J772" t="n">
        <v>0</v>
      </c>
      <c r="K772" t="n">
        <v>0</v>
      </c>
      <c r="L772" t="n">
        <v>0</v>
      </c>
      <c r="M772" t="n">
        <v>0</v>
      </c>
      <c r="N772" t="n">
        <v>0</v>
      </c>
      <c r="O772" t="n">
        <v>0</v>
      </c>
      <c r="P772" t="n">
        <v>0</v>
      </c>
      <c r="Q772" t="n">
        <v>0</v>
      </c>
      <c r="R772" s="2" t="inlineStr"/>
    </row>
    <row r="773" ht="15" customHeight="1">
      <c r="A773" t="inlineStr">
        <is>
          <t>A 8244-2023</t>
        </is>
      </c>
      <c r="B773" s="1" t="n">
        <v>44974</v>
      </c>
      <c r="C773" s="1" t="n">
        <v>46136</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8246-2023</t>
        </is>
      </c>
      <c r="B774" s="1" t="n">
        <v>44974</v>
      </c>
      <c r="C774" s="1" t="n">
        <v>46136</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34834-2023</t>
        </is>
      </c>
      <c r="B775" s="1" t="n">
        <v>45141.7199537037</v>
      </c>
      <c r="C775" s="1" t="n">
        <v>46136</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24679-2023</t>
        </is>
      </c>
      <c r="B776" s="1" t="n">
        <v>45084</v>
      </c>
      <c r="C776" s="1" t="n">
        <v>46136</v>
      </c>
      <c r="D776" t="inlineStr">
        <is>
          <t>SKÅNE LÄN</t>
        </is>
      </c>
      <c r="E776" t="inlineStr">
        <is>
          <t>HÄSSLEHOLM</t>
        </is>
      </c>
      <c r="G776" t="n">
        <v>7.1</v>
      </c>
      <c r="H776" t="n">
        <v>0</v>
      </c>
      <c r="I776" t="n">
        <v>0</v>
      </c>
      <c r="J776" t="n">
        <v>0</v>
      </c>
      <c r="K776" t="n">
        <v>0</v>
      </c>
      <c r="L776" t="n">
        <v>0</v>
      </c>
      <c r="M776" t="n">
        <v>0</v>
      </c>
      <c r="N776" t="n">
        <v>0</v>
      </c>
      <c r="O776" t="n">
        <v>0</v>
      </c>
      <c r="P776" t="n">
        <v>0</v>
      </c>
      <c r="Q776" t="n">
        <v>0</v>
      </c>
      <c r="R776" s="2" t="inlineStr"/>
    </row>
    <row r="777" ht="15" customHeight="1">
      <c r="A777" t="inlineStr">
        <is>
          <t>A 15508-2023</t>
        </is>
      </c>
      <c r="B777" s="1" t="n">
        <v>45020.50045138889</v>
      </c>
      <c r="C777" s="1" t="n">
        <v>46136</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53018-2025</t>
        </is>
      </c>
      <c r="B778" s="1" t="n">
        <v>45957.90064814815</v>
      </c>
      <c r="C778" s="1" t="n">
        <v>46136</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34187-2023</t>
        </is>
      </c>
      <c r="B779" s="1" t="n">
        <v>45138</v>
      </c>
      <c r="C779" s="1" t="n">
        <v>46136</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53056-2025</t>
        </is>
      </c>
      <c r="B780" s="1" t="n">
        <v>45958.36518518518</v>
      </c>
      <c r="C780" s="1" t="n">
        <v>46136</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11019-2025</t>
        </is>
      </c>
      <c r="B781" s="1" t="n">
        <v>45723</v>
      </c>
      <c r="C781" s="1" t="n">
        <v>46136</v>
      </c>
      <c r="D781" t="inlineStr">
        <is>
          <t>SKÅNE LÄN</t>
        </is>
      </c>
      <c r="E781" t="inlineStr">
        <is>
          <t>HÄSSLEHOLM</t>
        </is>
      </c>
      <c r="G781" t="n">
        <v>3.2</v>
      </c>
      <c r="H781" t="n">
        <v>0</v>
      </c>
      <c r="I781" t="n">
        <v>0</v>
      </c>
      <c r="J781" t="n">
        <v>0</v>
      </c>
      <c r="K781" t="n">
        <v>0</v>
      </c>
      <c r="L781" t="n">
        <v>0</v>
      </c>
      <c r="M781" t="n">
        <v>0</v>
      </c>
      <c r="N781" t="n">
        <v>0</v>
      </c>
      <c r="O781" t="n">
        <v>0</v>
      </c>
      <c r="P781" t="n">
        <v>0</v>
      </c>
      <c r="Q781" t="n">
        <v>0</v>
      </c>
      <c r="R781" s="2" t="inlineStr"/>
    </row>
    <row r="782" ht="15" customHeight="1">
      <c r="A782" t="inlineStr">
        <is>
          <t>A 56062-2024</t>
        </is>
      </c>
      <c r="B782" s="1" t="n">
        <v>45624.37105324074</v>
      </c>
      <c r="C782" s="1" t="n">
        <v>46136</v>
      </c>
      <c r="D782" t="inlineStr">
        <is>
          <t>SKÅNE LÄN</t>
        </is>
      </c>
      <c r="E782" t="inlineStr">
        <is>
          <t>HÄSSLEHOLM</t>
        </is>
      </c>
      <c r="F782" t="inlineStr">
        <is>
          <t>Övriga Aktiebolag</t>
        </is>
      </c>
      <c r="G782" t="n">
        <v>0.6</v>
      </c>
      <c r="H782" t="n">
        <v>0</v>
      </c>
      <c r="I782" t="n">
        <v>0</v>
      </c>
      <c r="J782" t="n">
        <v>0</v>
      </c>
      <c r="K782" t="n">
        <v>0</v>
      </c>
      <c r="L782" t="n">
        <v>0</v>
      </c>
      <c r="M782" t="n">
        <v>0</v>
      </c>
      <c r="N782" t="n">
        <v>0</v>
      </c>
      <c r="O782" t="n">
        <v>0</v>
      </c>
      <c r="P782" t="n">
        <v>0</v>
      </c>
      <c r="Q782" t="n">
        <v>0</v>
      </c>
      <c r="R782" s="2" t="inlineStr"/>
    </row>
    <row r="783" ht="15" customHeight="1">
      <c r="A783" t="inlineStr">
        <is>
          <t>A 45299-2024</t>
        </is>
      </c>
      <c r="B783" s="1" t="n">
        <v>45576.40599537037</v>
      </c>
      <c r="C783" s="1" t="n">
        <v>46136</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34369-2023</t>
        </is>
      </c>
      <c r="B784" s="1" t="n">
        <v>45139.47817129629</v>
      </c>
      <c r="C784" s="1" t="n">
        <v>46136</v>
      </c>
      <c r="D784" t="inlineStr">
        <is>
          <t>SKÅNE LÄN</t>
        </is>
      </c>
      <c r="E784" t="inlineStr">
        <is>
          <t>HÄSSLEHOLM</t>
        </is>
      </c>
      <c r="G784" t="n">
        <v>2</v>
      </c>
      <c r="H784" t="n">
        <v>0</v>
      </c>
      <c r="I784" t="n">
        <v>0</v>
      </c>
      <c r="J784" t="n">
        <v>0</v>
      </c>
      <c r="K784" t="n">
        <v>0</v>
      </c>
      <c r="L784" t="n">
        <v>0</v>
      </c>
      <c r="M784" t="n">
        <v>0</v>
      </c>
      <c r="N784" t="n">
        <v>0</v>
      </c>
      <c r="O784" t="n">
        <v>0</v>
      </c>
      <c r="P784" t="n">
        <v>0</v>
      </c>
      <c r="Q784" t="n">
        <v>0</v>
      </c>
      <c r="R784" s="2" t="inlineStr"/>
    </row>
    <row r="785" ht="15" customHeight="1">
      <c r="A785" t="inlineStr">
        <is>
          <t>A 53020-2025</t>
        </is>
      </c>
      <c r="B785" s="1" t="n">
        <v>45957.90707175926</v>
      </c>
      <c r="C785" s="1" t="n">
        <v>46136</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8378-2023</t>
        </is>
      </c>
      <c r="B786" s="1" t="n">
        <v>44971</v>
      </c>
      <c r="C786" s="1" t="n">
        <v>46136</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60704-2023</t>
        </is>
      </c>
      <c r="B787" s="1" t="n">
        <v>45260.51340277777</v>
      </c>
      <c r="C787" s="1" t="n">
        <v>46136</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61569-2023</t>
        </is>
      </c>
      <c r="B788" s="1" t="n">
        <v>45265</v>
      </c>
      <c r="C788" s="1" t="n">
        <v>46136</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53424-2025</t>
        </is>
      </c>
      <c r="B789" s="1" t="n">
        <v>45959</v>
      </c>
      <c r="C789" s="1" t="n">
        <v>46136</v>
      </c>
      <c r="D789" t="inlineStr">
        <is>
          <t>SKÅNE LÄN</t>
        </is>
      </c>
      <c r="E789" t="inlineStr">
        <is>
          <t>HÄSSLEHOLM</t>
        </is>
      </c>
      <c r="G789" t="n">
        <v>3.4</v>
      </c>
      <c r="H789" t="n">
        <v>0</v>
      </c>
      <c r="I789" t="n">
        <v>0</v>
      </c>
      <c r="J789" t="n">
        <v>0</v>
      </c>
      <c r="K789" t="n">
        <v>0</v>
      </c>
      <c r="L789" t="n">
        <v>0</v>
      </c>
      <c r="M789" t="n">
        <v>0</v>
      </c>
      <c r="N789" t="n">
        <v>0</v>
      </c>
      <c r="O789" t="n">
        <v>0</v>
      </c>
      <c r="P789" t="n">
        <v>0</v>
      </c>
      <c r="Q789" t="n">
        <v>0</v>
      </c>
      <c r="R789" s="2" t="inlineStr"/>
    </row>
    <row r="790" ht="15" customHeight="1">
      <c r="A790" t="inlineStr">
        <is>
          <t>A 315-2022</t>
        </is>
      </c>
      <c r="B790" s="1" t="n">
        <v>44565.55630787037</v>
      </c>
      <c r="C790" s="1" t="n">
        <v>46136</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31161-2024</t>
        </is>
      </c>
      <c r="B791" s="1" t="n">
        <v>45503</v>
      </c>
      <c r="C791" s="1" t="n">
        <v>46136</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33067-2024</t>
        </is>
      </c>
      <c r="B792" s="1" t="n">
        <v>45517.6520949074</v>
      </c>
      <c r="C792" s="1" t="n">
        <v>46136</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38888-2023</t>
        </is>
      </c>
      <c r="B793" s="1" t="n">
        <v>45161</v>
      </c>
      <c r="C793" s="1" t="n">
        <v>46136</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5992-2022</t>
        </is>
      </c>
      <c r="B794" s="1" t="n">
        <v>44599</v>
      </c>
      <c r="C794" s="1" t="n">
        <v>46136</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11240-2023</t>
        </is>
      </c>
      <c r="B795" s="1" t="n">
        <v>44992</v>
      </c>
      <c r="C795" s="1" t="n">
        <v>46136</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3248-2022</t>
        </is>
      </c>
      <c r="B796" s="1" t="n">
        <v>44583</v>
      </c>
      <c r="C796" s="1" t="n">
        <v>46136</v>
      </c>
      <c r="D796" t="inlineStr">
        <is>
          <t>SKÅNE LÄN</t>
        </is>
      </c>
      <c r="E796" t="inlineStr">
        <is>
          <t>HÄSSLEHOLM</t>
        </is>
      </c>
      <c r="G796" t="n">
        <v>3</v>
      </c>
      <c r="H796" t="n">
        <v>0</v>
      </c>
      <c r="I796" t="n">
        <v>0</v>
      </c>
      <c r="J796" t="n">
        <v>0</v>
      </c>
      <c r="K796" t="n">
        <v>0</v>
      </c>
      <c r="L796" t="n">
        <v>0</v>
      </c>
      <c r="M796" t="n">
        <v>0</v>
      </c>
      <c r="N796" t="n">
        <v>0</v>
      </c>
      <c r="O796" t="n">
        <v>0</v>
      </c>
      <c r="P796" t="n">
        <v>0</v>
      </c>
      <c r="Q796" t="n">
        <v>0</v>
      </c>
      <c r="R796" s="2" t="inlineStr"/>
    </row>
    <row r="797" ht="15" customHeight="1">
      <c r="A797" t="inlineStr">
        <is>
          <t>A 47161-2025</t>
        </is>
      </c>
      <c r="B797" s="1" t="n">
        <v>45929</v>
      </c>
      <c r="C797" s="1" t="n">
        <v>46136</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54668-2025</t>
        </is>
      </c>
      <c r="B798" s="1" t="n">
        <v>45966.40803240741</v>
      </c>
      <c r="C798" s="1" t="n">
        <v>46136</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6310-2025</t>
        </is>
      </c>
      <c r="B799" s="1" t="n">
        <v>45698</v>
      </c>
      <c r="C799" s="1" t="n">
        <v>46136</v>
      </c>
      <c r="D799" t="inlineStr">
        <is>
          <t>SKÅNE LÄN</t>
        </is>
      </c>
      <c r="E799" t="inlineStr">
        <is>
          <t>HÄSSLEHOLM</t>
        </is>
      </c>
      <c r="G799" t="n">
        <v>2.7</v>
      </c>
      <c r="H799" t="n">
        <v>0</v>
      </c>
      <c r="I799" t="n">
        <v>0</v>
      </c>
      <c r="J799" t="n">
        <v>0</v>
      </c>
      <c r="K799" t="n">
        <v>0</v>
      </c>
      <c r="L799" t="n">
        <v>0</v>
      </c>
      <c r="M799" t="n">
        <v>0</v>
      </c>
      <c r="N799" t="n">
        <v>0</v>
      </c>
      <c r="O799" t="n">
        <v>0</v>
      </c>
      <c r="P799" t="n">
        <v>0</v>
      </c>
      <c r="Q799" t="n">
        <v>0</v>
      </c>
      <c r="R799" s="2" t="inlineStr"/>
    </row>
    <row r="800" ht="15" customHeight="1">
      <c r="A800" t="inlineStr">
        <is>
          <t>A 54763-2025</t>
        </is>
      </c>
      <c r="B800" s="1" t="n">
        <v>45966.60167824074</v>
      </c>
      <c r="C800" s="1" t="n">
        <v>46136</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16474-2025</t>
        </is>
      </c>
      <c r="B801" s="1" t="n">
        <v>45751.56834490741</v>
      </c>
      <c r="C801" s="1" t="n">
        <v>46136</v>
      </c>
      <c r="D801" t="inlineStr">
        <is>
          <t>SKÅNE LÄN</t>
        </is>
      </c>
      <c r="E801" t="inlineStr">
        <is>
          <t>HÄSSLEHOLM</t>
        </is>
      </c>
      <c r="G801" t="n">
        <v>5.9</v>
      </c>
      <c r="H801" t="n">
        <v>0</v>
      </c>
      <c r="I801" t="n">
        <v>0</v>
      </c>
      <c r="J801" t="n">
        <v>0</v>
      </c>
      <c r="K801" t="n">
        <v>0</v>
      </c>
      <c r="L801" t="n">
        <v>0</v>
      </c>
      <c r="M801" t="n">
        <v>0</v>
      </c>
      <c r="N801" t="n">
        <v>0</v>
      </c>
      <c r="O801" t="n">
        <v>0</v>
      </c>
      <c r="P801" t="n">
        <v>0</v>
      </c>
      <c r="Q801" t="n">
        <v>0</v>
      </c>
      <c r="R801" s="2" t="inlineStr"/>
    </row>
    <row r="802" ht="15" customHeight="1">
      <c r="A802" t="inlineStr">
        <is>
          <t>A 8524-2024</t>
        </is>
      </c>
      <c r="B802" s="1" t="n">
        <v>45355.48570601852</v>
      </c>
      <c r="C802" s="1" t="n">
        <v>46136</v>
      </c>
      <c r="D802" t="inlineStr">
        <is>
          <t>SKÅNE LÄN</t>
        </is>
      </c>
      <c r="E802" t="inlineStr">
        <is>
          <t>HÄSSLEHOLM</t>
        </is>
      </c>
      <c r="G802" t="n">
        <v>4</v>
      </c>
      <c r="H802" t="n">
        <v>0</v>
      </c>
      <c r="I802" t="n">
        <v>0</v>
      </c>
      <c r="J802" t="n">
        <v>0</v>
      </c>
      <c r="K802" t="n">
        <v>0</v>
      </c>
      <c r="L802" t="n">
        <v>0</v>
      </c>
      <c r="M802" t="n">
        <v>0</v>
      </c>
      <c r="N802" t="n">
        <v>0</v>
      </c>
      <c r="O802" t="n">
        <v>0</v>
      </c>
      <c r="P802" t="n">
        <v>0</v>
      </c>
      <c r="Q802" t="n">
        <v>0</v>
      </c>
      <c r="R802" s="2" t="inlineStr"/>
    </row>
    <row r="803" ht="15" customHeight="1">
      <c r="A803" t="inlineStr">
        <is>
          <t>A 22157-2024</t>
        </is>
      </c>
      <c r="B803" s="1" t="n">
        <v>45445.85290509259</v>
      </c>
      <c r="C803" s="1" t="n">
        <v>46136</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54664-2025</t>
        </is>
      </c>
      <c r="B804" s="1" t="n">
        <v>45966.40738425926</v>
      </c>
      <c r="C804" s="1" t="n">
        <v>46136</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14145-2023</t>
        </is>
      </c>
      <c r="B805" s="1" t="n">
        <v>45009</v>
      </c>
      <c r="C805" s="1" t="n">
        <v>46136</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54771-2025</t>
        </is>
      </c>
      <c r="B806" s="1" t="n">
        <v>45966.60829861111</v>
      </c>
      <c r="C806" s="1" t="n">
        <v>46136</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12344-2023</t>
        </is>
      </c>
      <c r="B807" s="1" t="n">
        <v>44999</v>
      </c>
      <c r="C807" s="1" t="n">
        <v>46136</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58272-2024</t>
        </is>
      </c>
      <c r="B808" s="1" t="n">
        <v>45632.57025462963</v>
      </c>
      <c r="C808" s="1" t="n">
        <v>46136</v>
      </c>
      <c r="D808" t="inlineStr">
        <is>
          <t>SKÅNE LÄN</t>
        </is>
      </c>
      <c r="E808" t="inlineStr">
        <is>
          <t>HÄSSLEHOLM</t>
        </is>
      </c>
      <c r="G808" t="n">
        <v>2.3</v>
      </c>
      <c r="H808" t="n">
        <v>0</v>
      </c>
      <c r="I808" t="n">
        <v>0</v>
      </c>
      <c r="J808" t="n">
        <v>0</v>
      </c>
      <c r="K808" t="n">
        <v>0</v>
      </c>
      <c r="L808" t="n">
        <v>0</v>
      </c>
      <c r="M808" t="n">
        <v>0</v>
      </c>
      <c r="N808" t="n">
        <v>0</v>
      </c>
      <c r="O808" t="n">
        <v>0</v>
      </c>
      <c r="P808" t="n">
        <v>0</v>
      </c>
      <c r="Q808" t="n">
        <v>0</v>
      </c>
      <c r="R808" s="2" t="inlineStr"/>
    </row>
    <row r="809" ht="15" customHeight="1">
      <c r="A809" t="inlineStr">
        <is>
          <t>A 31391-2023</t>
        </is>
      </c>
      <c r="B809" s="1" t="n">
        <v>45114.56143518518</v>
      </c>
      <c r="C809" s="1" t="n">
        <v>46136</v>
      </c>
      <c r="D809" t="inlineStr">
        <is>
          <t>SKÅNE LÄN</t>
        </is>
      </c>
      <c r="E809" t="inlineStr">
        <is>
          <t>HÄSSLEHOLM</t>
        </is>
      </c>
      <c r="G809" t="n">
        <v>3.1</v>
      </c>
      <c r="H809" t="n">
        <v>0</v>
      </c>
      <c r="I809" t="n">
        <v>0</v>
      </c>
      <c r="J809" t="n">
        <v>0</v>
      </c>
      <c r="K809" t="n">
        <v>0</v>
      </c>
      <c r="L809" t="n">
        <v>0</v>
      </c>
      <c r="M809" t="n">
        <v>0</v>
      </c>
      <c r="N809" t="n">
        <v>0</v>
      </c>
      <c r="O809" t="n">
        <v>0</v>
      </c>
      <c r="P809" t="n">
        <v>0</v>
      </c>
      <c r="Q809" t="n">
        <v>0</v>
      </c>
      <c r="R809" s="2" t="inlineStr"/>
    </row>
    <row r="810" ht="15" customHeight="1">
      <c r="A810" t="inlineStr">
        <is>
          <t>A 45361-2023</t>
        </is>
      </c>
      <c r="B810" s="1" t="n">
        <v>45192.49068287037</v>
      </c>
      <c r="C810" s="1" t="n">
        <v>46136</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45220-2023</t>
        </is>
      </c>
      <c r="B811" s="1" t="n">
        <v>45191</v>
      </c>
      <c r="C811" s="1" t="n">
        <v>46136</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38712-2024</t>
        </is>
      </c>
      <c r="B812" s="1" t="n">
        <v>45547</v>
      </c>
      <c r="C812" s="1" t="n">
        <v>46136</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57647-2024</t>
        </is>
      </c>
      <c r="B813" s="1" t="n">
        <v>45630</v>
      </c>
      <c r="C813" s="1" t="n">
        <v>46136</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55268-2025</t>
        </is>
      </c>
      <c r="B814" s="1" t="n">
        <v>45968.6715625</v>
      </c>
      <c r="C814" s="1" t="n">
        <v>46136</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27297-2023</t>
        </is>
      </c>
      <c r="B815" s="1" t="n">
        <v>45096</v>
      </c>
      <c r="C815" s="1" t="n">
        <v>46136</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61182-2024</t>
        </is>
      </c>
      <c r="B816" s="1" t="n">
        <v>45645</v>
      </c>
      <c r="C816" s="1" t="n">
        <v>46136</v>
      </c>
      <c r="D816" t="inlineStr">
        <is>
          <t>SKÅNE LÄN</t>
        </is>
      </c>
      <c r="E816" t="inlineStr">
        <is>
          <t>HÄSSLEHOLM</t>
        </is>
      </c>
      <c r="G816" t="n">
        <v>3.2</v>
      </c>
      <c r="H816" t="n">
        <v>0</v>
      </c>
      <c r="I816" t="n">
        <v>0</v>
      </c>
      <c r="J816" t="n">
        <v>0</v>
      </c>
      <c r="K816" t="n">
        <v>0</v>
      </c>
      <c r="L816" t="n">
        <v>0</v>
      </c>
      <c r="M816" t="n">
        <v>0</v>
      </c>
      <c r="N816" t="n">
        <v>0</v>
      </c>
      <c r="O816" t="n">
        <v>0</v>
      </c>
      <c r="P816" t="n">
        <v>0</v>
      </c>
      <c r="Q816" t="n">
        <v>0</v>
      </c>
      <c r="R816" s="2" t="inlineStr"/>
    </row>
    <row r="817" ht="15" customHeight="1">
      <c r="A817" t="inlineStr">
        <is>
          <t>A 55549-2025</t>
        </is>
      </c>
      <c r="B817" s="1" t="n">
        <v>45971.63805555556</v>
      </c>
      <c r="C817" s="1" t="n">
        <v>46136</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55455-2025</t>
        </is>
      </c>
      <c r="B818" s="1" t="n">
        <v>45971</v>
      </c>
      <c r="C818" s="1" t="n">
        <v>46136</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13990-2022</t>
        </is>
      </c>
      <c r="B819" s="1" t="n">
        <v>44650</v>
      </c>
      <c r="C819" s="1" t="n">
        <v>46136</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9747-2024</t>
        </is>
      </c>
      <c r="B820" s="1" t="n">
        <v>45362</v>
      </c>
      <c r="C820" s="1" t="n">
        <v>46136</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55458-2025</t>
        </is>
      </c>
      <c r="B821" s="1" t="n">
        <v>45971</v>
      </c>
      <c r="C821" s="1" t="n">
        <v>46136</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25219-2023</t>
        </is>
      </c>
      <c r="B822" s="1" t="n">
        <v>45086.60541666667</v>
      </c>
      <c r="C822" s="1" t="n">
        <v>46136</v>
      </c>
      <c r="D822" t="inlineStr">
        <is>
          <t>SKÅNE LÄN</t>
        </is>
      </c>
      <c r="E822" t="inlineStr">
        <is>
          <t>HÄSSLEHOLM</t>
        </is>
      </c>
      <c r="G822" t="n">
        <v>6.9</v>
      </c>
      <c r="H822" t="n">
        <v>0</v>
      </c>
      <c r="I822" t="n">
        <v>0</v>
      </c>
      <c r="J822" t="n">
        <v>0</v>
      </c>
      <c r="K822" t="n">
        <v>0</v>
      </c>
      <c r="L822" t="n">
        <v>0</v>
      </c>
      <c r="M822" t="n">
        <v>0</v>
      </c>
      <c r="N822" t="n">
        <v>0</v>
      </c>
      <c r="O822" t="n">
        <v>0</v>
      </c>
      <c r="P822" t="n">
        <v>0</v>
      </c>
      <c r="Q822" t="n">
        <v>0</v>
      </c>
      <c r="R822" s="2" t="inlineStr"/>
    </row>
    <row r="823" ht="15" customHeight="1">
      <c r="A823" t="inlineStr">
        <is>
          <t>A 9302-2025</t>
        </is>
      </c>
      <c r="B823" s="1" t="n">
        <v>45714.67233796296</v>
      </c>
      <c r="C823" s="1" t="n">
        <v>46136</v>
      </c>
      <c r="D823" t="inlineStr">
        <is>
          <t>SKÅNE LÄN</t>
        </is>
      </c>
      <c r="E823" t="inlineStr">
        <is>
          <t>HÄSSLEHOLM</t>
        </is>
      </c>
      <c r="G823" t="n">
        <v>2.6</v>
      </c>
      <c r="H823" t="n">
        <v>0</v>
      </c>
      <c r="I823" t="n">
        <v>0</v>
      </c>
      <c r="J823" t="n">
        <v>0</v>
      </c>
      <c r="K823" t="n">
        <v>0</v>
      </c>
      <c r="L823" t="n">
        <v>0</v>
      </c>
      <c r="M823" t="n">
        <v>0</v>
      </c>
      <c r="N823" t="n">
        <v>0</v>
      </c>
      <c r="O823" t="n">
        <v>0</v>
      </c>
      <c r="P823" t="n">
        <v>0</v>
      </c>
      <c r="Q823" t="n">
        <v>0</v>
      </c>
      <c r="R823" s="2" t="inlineStr"/>
    </row>
    <row r="824" ht="15" customHeight="1">
      <c r="A824" t="inlineStr">
        <is>
          <t>A 9322-2025</t>
        </is>
      </c>
      <c r="B824" s="1" t="n">
        <v>45714.72241898148</v>
      </c>
      <c r="C824" s="1" t="n">
        <v>46136</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37300-2023</t>
        </is>
      </c>
      <c r="B825" s="1" t="n">
        <v>45156</v>
      </c>
      <c r="C825" s="1" t="n">
        <v>46136</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39915-2023</t>
        </is>
      </c>
      <c r="B826" s="1" t="n">
        <v>45168.4684375</v>
      </c>
      <c r="C826" s="1" t="n">
        <v>46136</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35890-2023</t>
        </is>
      </c>
      <c r="B827" s="1" t="n">
        <v>45148</v>
      </c>
      <c r="C827" s="1" t="n">
        <v>46136</v>
      </c>
      <c r="D827" t="inlineStr">
        <is>
          <t>SKÅNE LÄN</t>
        </is>
      </c>
      <c r="E827" t="inlineStr">
        <is>
          <t>HÄSSLEHOLM</t>
        </is>
      </c>
      <c r="G827" t="n">
        <v>2</v>
      </c>
      <c r="H827" t="n">
        <v>0</v>
      </c>
      <c r="I827" t="n">
        <v>0</v>
      </c>
      <c r="J827" t="n">
        <v>0</v>
      </c>
      <c r="K827" t="n">
        <v>0</v>
      </c>
      <c r="L827" t="n">
        <v>0</v>
      </c>
      <c r="M827" t="n">
        <v>0</v>
      </c>
      <c r="N827" t="n">
        <v>0</v>
      </c>
      <c r="O827" t="n">
        <v>0</v>
      </c>
      <c r="P827" t="n">
        <v>0</v>
      </c>
      <c r="Q827" t="n">
        <v>0</v>
      </c>
      <c r="R827" s="2" t="inlineStr"/>
    </row>
    <row r="828" ht="15" customHeight="1">
      <c r="A828" t="inlineStr">
        <is>
          <t>A 35895-2023</t>
        </is>
      </c>
      <c r="B828" s="1" t="n">
        <v>45148</v>
      </c>
      <c r="C828" s="1" t="n">
        <v>46136</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4750-2024</t>
        </is>
      </c>
      <c r="B829" s="1" t="n">
        <v>45328</v>
      </c>
      <c r="C829" s="1" t="n">
        <v>46136</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23956-2023</t>
        </is>
      </c>
      <c r="B830" s="1" t="n">
        <v>45078.62302083334</v>
      </c>
      <c r="C830" s="1" t="n">
        <v>46136</v>
      </c>
      <c r="D830" t="inlineStr">
        <is>
          <t>SKÅNE LÄN</t>
        </is>
      </c>
      <c r="E830" t="inlineStr">
        <is>
          <t>HÄSSLEHOLM</t>
        </is>
      </c>
      <c r="G830" t="n">
        <v>0.1</v>
      </c>
      <c r="H830" t="n">
        <v>0</v>
      </c>
      <c r="I830" t="n">
        <v>0</v>
      </c>
      <c r="J830" t="n">
        <v>0</v>
      </c>
      <c r="K830" t="n">
        <v>0</v>
      </c>
      <c r="L830" t="n">
        <v>0</v>
      </c>
      <c r="M830" t="n">
        <v>0</v>
      </c>
      <c r="N830" t="n">
        <v>0</v>
      </c>
      <c r="O830" t="n">
        <v>0</v>
      </c>
      <c r="P830" t="n">
        <v>0</v>
      </c>
      <c r="Q830" t="n">
        <v>0</v>
      </c>
      <c r="R830" s="2" t="inlineStr"/>
    </row>
    <row r="831" ht="15" customHeight="1">
      <c r="A831" t="inlineStr">
        <is>
          <t>A 11708-2025</t>
        </is>
      </c>
      <c r="B831" s="1" t="n">
        <v>45727.58626157408</v>
      </c>
      <c r="C831" s="1" t="n">
        <v>46136</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48112-2024</t>
        </is>
      </c>
      <c r="B832" s="1" t="n">
        <v>45589.6295949074</v>
      </c>
      <c r="C832" s="1" t="n">
        <v>46136</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56794-2025</t>
        </is>
      </c>
      <c r="B833" s="1" t="n">
        <v>45978.43039351852</v>
      </c>
      <c r="C833" s="1" t="n">
        <v>46136</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56667-2025</t>
        </is>
      </c>
      <c r="B834" s="1" t="n">
        <v>45975.68508101852</v>
      </c>
      <c r="C834" s="1" t="n">
        <v>46136</v>
      </c>
      <c r="D834" t="inlineStr">
        <is>
          <t>SKÅNE LÄN</t>
        </is>
      </c>
      <c r="E834" t="inlineStr">
        <is>
          <t>HÄSSLEHOLM</t>
        </is>
      </c>
      <c r="G834" t="n">
        <v>4.4</v>
      </c>
      <c r="H834" t="n">
        <v>0</v>
      </c>
      <c r="I834" t="n">
        <v>0</v>
      </c>
      <c r="J834" t="n">
        <v>0</v>
      </c>
      <c r="K834" t="n">
        <v>0</v>
      </c>
      <c r="L834" t="n">
        <v>0</v>
      </c>
      <c r="M834" t="n">
        <v>0</v>
      </c>
      <c r="N834" t="n">
        <v>0</v>
      </c>
      <c r="O834" t="n">
        <v>0</v>
      </c>
      <c r="P834" t="n">
        <v>0</v>
      </c>
      <c r="Q834" t="n">
        <v>0</v>
      </c>
      <c r="R834" s="2" t="inlineStr"/>
    </row>
    <row r="835" ht="15" customHeight="1">
      <c r="A835" t="inlineStr">
        <is>
          <t>A 56798-2025</t>
        </is>
      </c>
      <c r="B835" s="1" t="n">
        <v>45978.43378472222</v>
      </c>
      <c r="C835" s="1" t="n">
        <v>46136</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24246-2023</t>
        </is>
      </c>
      <c r="B836" s="1" t="n">
        <v>45079</v>
      </c>
      <c r="C836" s="1" t="n">
        <v>46136</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24249-2023</t>
        </is>
      </c>
      <c r="B837" s="1" t="n">
        <v>45079.62466435185</v>
      </c>
      <c r="C837" s="1" t="n">
        <v>46136</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52548-2023</t>
        </is>
      </c>
      <c r="B838" s="1" t="n">
        <v>45218</v>
      </c>
      <c r="C838" s="1" t="n">
        <v>46136</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56797-2025</t>
        </is>
      </c>
      <c r="B839" s="1" t="n">
        <v>45978.43273148148</v>
      </c>
      <c r="C839" s="1" t="n">
        <v>46136</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30092-2025</t>
        </is>
      </c>
      <c r="B840" s="1" t="n">
        <v>45826</v>
      </c>
      <c r="C840" s="1" t="n">
        <v>46136</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30109-2025</t>
        </is>
      </c>
      <c r="B841" s="1" t="n">
        <v>45826</v>
      </c>
      <c r="C841" s="1" t="n">
        <v>46136</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55569-2025</t>
        </is>
      </c>
      <c r="B842" s="1" t="n">
        <v>45971</v>
      </c>
      <c r="C842" s="1" t="n">
        <v>46136</v>
      </c>
      <c r="D842" t="inlineStr">
        <is>
          <t>SKÅNE LÄN</t>
        </is>
      </c>
      <c r="E842" t="inlineStr">
        <is>
          <t>HÄSSLEHOLM</t>
        </is>
      </c>
      <c r="G842" t="n">
        <v>4.2</v>
      </c>
      <c r="H842" t="n">
        <v>0</v>
      </c>
      <c r="I842" t="n">
        <v>0</v>
      </c>
      <c r="J842" t="n">
        <v>0</v>
      </c>
      <c r="K842" t="n">
        <v>0</v>
      </c>
      <c r="L842" t="n">
        <v>0</v>
      </c>
      <c r="M842" t="n">
        <v>0</v>
      </c>
      <c r="N842" t="n">
        <v>0</v>
      </c>
      <c r="O842" t="n">
        <v>0</v>
      </c>
      <c r="P842" t="n">
        <v>0</v>
      </c>
      <c r="Q842" t="n">
        <v>0</v>
      </c>
      <c r="R842" s="2" t="inlineStr"/>
    </row>
    <row r="843" ht="15" customHeight="1">
      <c r="A843" t="inlineStr">
        <is>
          <t>A 43696-2024</t>
        </is>
      </c>
      <c r="B843" s="1" t="n">
        <v>45569.58855324074</v>
      </c>
      <c r="C843" s="1" t="n">
        <v>46136</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12182-2025</t>
        </is>
      </c>
      <c r="B844" s="1" t="n">
        <v>45729</v>
      </c>
      <c r="C844" s="1" t="n">
        <v>46136</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20185-2023</t>
        </is>
      </c>
      <c r="B845" s="1" t="n">
        <v>45055.56795138889</v>
      </c>
      <c r="C845" s="1" t="n">
        <v>46136</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38376-2022</t>
        </is>
      </c>
      <c r="B846" s="1" t="n">
        <v>44812</v>
      </c>
      <c r="C846" s="1" t="n">
        <v>46136</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57817-2025</t>
        </is>
      </c>
      <c r="B847" s="1" t="n">
        <v>45981.59475694445</v>
      </c>
      <c r="C847" s="1" t="n">
        <v>46136</v>
      </c>
      <c r="D847" t="inlineStr">
        <is>
          <t>SKÅNE LÄN</t>
        </is>
      </c>
      <c r="E847" t="inlineStr">
        <is>
          <t>HÄSSLEHOLM</t>
        </is>
      </c>
      <c r="G847" t="n">
        <v>3.8</v>
      </c>
      <c r="H847" t="n">
        <v>0</v>
      </c>
      <c r="I847" t="n">
        <v>0</v>
      </c>
      <c r="J847" t="n">
        <v>0</v>
      </c>
      <c r="K847" t="n">
        <v>0</v>
      </c>
      <c r="L847" t="n">
        <v>0</v>
      </c>
      <c r="M847" t="n">
        <v>0</v>
      </c>
      <c r="N847" t="n">
        <v>0</v>
      </c>
      <c r="O847" t="n">
        <v>0</v>
      </c>
      <c r="P847" t="n">
        <v>0</v>
      </c>
      <c r="Q847" t="n">
        <v>0</v>
      </c>
      <c r="R847" s="2" t="inlineStr"/>
    </row>
    <row r="848" ht="15" customHeight="1">
      <c r="A848" t="inlineStr">
        <is>
          <t>A 18908-2023</t>
        </is>
      </c>
      <c r="B848" s="1" t="n">
        <v>45044</v>
      </c>
      <c r="C848" s="1" t="n">
        <v>46136</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61436-2024</t>
        </is>
      </c>
      <c r="B849" s="1" t="n">
        <v>45646.46329861111</v>
      </c>
      <c r="C849" s="1" t="n">
        <v>46136</v>
      </c>
      <c r="D849" t="inlineStr">
        <is>
          <t>SKÅNE LÄN</t>
        </is>
      </c>
      <c r="E849" t="inlineStr">
        <is>
          <t>HÄSSLEHOLM</t>
        </is>
      </c>
      <c r="G849" t="n">
        <v>0.7</v>
      </c>
      <c r="H849" t="n">
        <v>0</v>
      </c>
      <c r="I849" t="n">
        <v>0</v>
      </c>
      <c r="J849" t="n">
        <v>0</v>
      </c>
      <c r="K849" t="n">
        <v>0</v>
      </c>
      <c r="L849" t="n">
        <v>0</v>
      </c>
      <c r="M849" t="n">
        <v>0</v>
      </c>
      <c r="N849" t="n">
        <v>0</v>
      </c>
      <c r="O849" t="n">
        <v>0</v>
      </c>
      <c r="P849" t="n">
        <v>0</v>
      </c>
      <c r="Q849" t="n">
        <v>0</v>
      </c>
      <c r="R849" s="2" t="inlineStr"/>
    </row>
    <row r="850" ht="15" customHeight="1">
      <c r="A850" t="inlineStr">
        <is>
          <t>A 58241-2025</t>
        </is>
      </c>
      <c r="B850" s="1" t="n">
        <v>45985.38797453704</v>
      </c>
      <c r="C850" s="1" t="n">
        <v>46136</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11753-2025</t>
        </is>
      </c>
      <c r="B851" s="1" t="n">
        <v>45727</v>
      </c>
      <c r="C851" s="1" t="n">
        <v>46136</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54435-2024</t>
        </is>
      </c>
      <c r="B852" s="1" t="n">
        <v>45617.49494212963</v>
      </c>
      <c r="C852" s="1" t="n">
        <v>46136</v>
      </c>
      <c r="D852" t="inlineStr">
        <is>
          <t>SKÅNE LÄN</t>
        </is>
      </c>
      <c r="E852" t="inlineStr">
        <is>
          <t>HÄSSLEHOLM</t>
        </is>
      </c>
      <c r="G852" t="n">
        <v>2.3</v>
      </c>
      <c r="H852" t="n">
        <v>0</v>
      </c>
      <c r="I852" t="n">
        <v>0</v>
      </c>
      <c r="J852" t="n">
        <v>0</v>
      </c>
      <c r="K852" t="n">
        <v>0</v>
      </c>
      <c r="L852" t="n">
        <v>0</v>
      </c>
      <c r="M852" t="n">
        <v>0</v>
      </c>
      <c r="N852" t="n">
        <v>0</v>
      </c>
      <c r="O852" t="n">
        <v>0</v>
      </c>
      <c r="P852" t="n">
        <v>0</v>
      </c>
      <c r="Q852" t="n">
        <v>0</v>
      </c>
      <c r="R852" s="2" t="inlineStr"/>
    </row>
    <row r="853" ht="15" customHeight="1">
      <c r="A853" t="inlineStr">
        <is>
          <t>A 720-2025</t>
        </is>
      </c>
      <c r="B853" s="1" t="n">
        <v>45665.3744212963</v>
      </c>
      <c r="C853" s="1" t="n">
        <v>46136</v>
      </c>
      <c r="D853" t="inlineStr">
        <is>
          <t>SKÅNE LÄN</t>
        </is>
      </c>
      <c r="E853" t="inlineStr">
        <is>
          <t>HÄSSLEHOLM</t>
        </is>
      </c>
      <c r="G853" t="n">
        <v>1.3</v>
      </c>
      <c r="H853" t="n">
        <v>0</v>
      </c>
      <c r="I853" t="n">
        <v>0</v>
      </c>
      <c r="J853" t="n">
        <v>0</v>
      </c>
      <c r="K853" t="n">
        <v>0</v>
      </c>
      <c r="L853" t="n">
        <v>0</v>
      </c>
      <c r="M853" t="n">
        <v>0</v>
      </c>
      <c r="N853" t="n">
        <v>0</v>
      </c>
      <c r="O853" t="n">
        <v>0</v>
      </c>
      <c r="P853" t="n">
        <v>0</v>
      </c>
      <c r="Q853" t="n">
        <v>0</v>
      </c>
      <c r="R853" s="2" t="inlineStr"/>
    </row>
    <row r="854" ht="15" customHeight="1">
      <c r="A854" t="inlineStr">
        <is>
          <t>A 31581-2023</t>
        </is>
      </c>
      <c r="B854" s="1" t="n">
        <v>45117.45165509259</v>
      </c>
      <c r="C854" s="1" t="n">
        <v>46136</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58933-2025</t>
        </is>
      </c>
      <c r="B855" s="1" t="n">
        <v>45987.56107638889</v>
      </c>
      <c r="C855" s="1" t="n">
        <v>46136</v>
      </c>
      <c r="D855" t="inlineStr">
        <is>
          <t>SKÅNE LÄN</t>
        </is>
      </c>
      <c r="E855" t="inlineStr">
        <is>
          <t>HÄSSLEHOLM</t>
        </is>
      </c>
      <c r="G855" t="n">
        <v>2.3</v>
      </c>
      <c r="H855" t="n">
        <v>0</v>
      </c>
      <c r="I855" t="n">
        <v>0</v>
      </c>
      <c r="J855" t="n">
        <v>0</v>
      </c>
      <c r="K855" t="n">
        <v>0</v>
      </c>
      <c r="L855" t="n">
        <v>0</v>
      </c>
      <c r="M855" t="n">
        <v>0</v>
      </c>
      <c r="N855" t="n">
        <v>0</v>
      </c>
      <c r="O855" t="n">
        <v>0</v>
      </c>
      <c r="P855" t="n">
        <v>0</v>
      </c>
      <c r="Q855" t="n">
        <v>0</v>
      </c>
      <c r="R855" s="2" t="inlineStr"/>
    </row>
    <row r="856" ht="15" customHeight="1">
      <c r="A856" t="inlineStr">
        <is>
          <t>A 33597-2023</t>
        </is>
      </c>
      <c r="B856" s="1" t="n">
        <v>45132</v>
      </c>
      <c r="C856" s="1" t="n">
        <v>46136</v>
      </c>
      <c r="D856" t="inlineStr">
        <is>
          <t>SKÅNE LÄN</t>
        </is>
      </c>
      <c r="E856" t="inlineStr">
        <is>
          <t>HÄSSLEHOLM</t>
        </is>
      </c>
      <c r="G856" t="n">
        <v>3.9</v>
      </c>
      <c r="H856" t="n">
        <v>0</v>
      </c>
      <c r="I856" t="n">
        <v>0</v>
      </c>
      <c r="J856" t="n">
        <v>0</v>
      </c>
      <c r="K856" t="n">
        <v>0</v>
      </c>
      <c r="L856" t="n">
        <v>0</v>
      </c>
      <c r="M856" t="n">
        <v>0</v>
      </c>
      <c r="N856" t="n">
        <v>0</v>
      </c>
      <c r="O856" t="n">
        <v>0</v>
      </c>
      <c r="P856" t="n">
        <v>0</v>
      </c>
      <c r="Q856" t="n">
        <v>0</v>
      </c>
      <c r="R856" s="2" t="inlineStr"/>
    </row>
    <row r="857" ht="15" customHeight="1">
      <c r="A857" t="inlineStr">
        <is>
          <t>A 33599-2023</t>
        </is>
      </c>
      <c r="B857" s="1" t="n">
        <v>45132</v>
      </c>
      <c r="C857" s="1" t="n">
        <v>46136</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33938-2023</t>
        </is>
      </c>
      <c r="B858" s="1" t="n">
        <v>45124</v>
      </c>
      <c r="C858" s="1" t="n">
        <v>46136</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53055-2021</t>
        </is>
      </c>
      <c r="B859" s="1" t="n">
        <v>44467</v>
      </c>
      <c r="C859" s="1" t="n">
        <v>46136</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22693-2022</t>
        </is>
      </c>
      <c r="B860" s="1" t="n">
        <v>44714.54729166667</v>
      </c>
      <c r="C860" s="1" t="n">
        <v>46136</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35889-2023</t>
        </is>
      </c>
      <c r="B861" s="1" t="n">
        <v>45148</v>
      </c>
      <c r="C861" s="1" t="n">
        <v>46136</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35894-2023</t>
        </is>
      </c>
      <c r="B862" s="1" t="n">
        <v>45148</v>
      </c>
      <c r="C862" s="1" t="n">
        <v>46136</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35974-2022</t>
        </is>
      </c>
      <c r="B863" s="1" t="n">
        <v>44802</v>
      </c>
      <c r="C863" s="1" t="n">
        <v>46136</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24906-2022</t>
        </is>
      </c>
      <c r="B864" s="1" t="n">
        <v>44728</v>
      </c>
      <c r="C864" s="1" t="n">
        <v>46136</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7150-2025</t>
        </is>
      </c>
      <c r="B865" s="1" t="n">
        <v>45702.38239583333</v>
      </c>
      <c r="C865" s="1" t="n">
        <v>46136</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55303-2024</t>
        </is>
      </c>
      <c r="B866" s="1" t="n">
        <v>45621.6434837963</v>
      </c>
      <c r="C866" s="1" t="n">
        <v>46136</v>
      </c>
      <c r="D866" t="inlineStr">
        <is>
          <t>SKÅNE LÄN</t>
        </is>
      </c>
      <c r="E866" t="inlineStr">
        <is>
          <t>HÄSSLEHOLM</t>
        </is>
      </c>
      <c r="G866" t="n">
        <v>3.3</v>
      </c>
      <c r="H866" t="n">
        <v>0</v>
      </c>
      <c r="I866" t="n">
        <v>0</v>
      </c>
      <c r="J866" t="n">
        <v>0</v>
      </c>
      <c r="K866" t="n">
        <v>0</v>
      </c>
      <c r="L866" t="n">
        <v>0</v>
      </c>
      <c r="M866" t="n">
        <v>0</v>
      </c>
      <c r="N866" t="n">
        <v>0</v>
      </c>
      <c r="O866" t="n">
        <v>0</v>
      </c>
      <c r="P866" t="n">
        <v>0</v>
      </c>
      <c r="Q866" t="n">
        <v>0</v>
      </c>
      <c r="R866" s="2" t="inlineStr"/>
    </row>
    <row r="867" ht="15" customHeight="1">
      <c r="A867" t="inlineStr">
        <is>
          <t>A 1616-2025</t>
        </is>
      </c>
      <c r="B867" s="1" t="n">
        <v>45670</v>
      </c>
      <c r="C867" s="1" t="n">
        <v>46136</v>
      </c>
      <c r="D867" t="inlineStr">
        <is>
          <t>SKÅNE LÄN</t>
        </is>
      </c>
      <c r="E867" t="inlineStr">
        <is>
          <t>HÄSSLEHOLM</t>
        </is>
      </c>
      <c r="G867" t="n">
        <v>3.6</v>
      </c>
      <c r="H867" t="n">
        <v>0</v>
      </c>
      <c r="I867" t="n">
        <v>0</v>
      </c>
      <c r="J867" t="n">
        <v>0</v>
      </c>
      <c r="K867" t="n">
        <v>0</v>
      </c>
      <c r="L867" t="n">
        <v>0</v>
      </c>
      <c r="M867" t="n">
        <v>0</v>
      </c>
      <c r="N867" t="n">
        <v>0</v>
      </c>
      <c r="O867" t="n">
        <v>0</v>
      </c>
      <c r="P867" t="n">
        <v>0</v>
      </c>
      <c r="Q867" t="n">
        <v>0</v>
      </c>
      <c r="R867" s="2" t="inlineStr"/>
    </row>
    <row r="868" ht="15" customHeight="1">
      <c r="A868" t="inlineStr">
        <is>
          <t>A 59722-2025</t>
        </is>
      </c>
      <c r="B868" s="1" t="n">
        <v>45992.5474537037</v>
      </c>
      <c r="C868" s="1" t="n">
        <v>46136</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16397-2022</t>
        </is>
      </c>
      <c r="B869" s="1" t="n">
        <v>44671</v>
      </c>
      <c r="C869" s="1" t="n">
        <v>46136</v>
      </c>
      <c r="D869" t="inlineStr">
        <is>
          <t>SKÅNE LÄN</t>
        </is>
      </c>
      <c r="E869" t="inlineStr">
        <is>
          <t>HÄSSLEHOLM</t>
        </is>
      </c>
      <c r="G869" t="n">
        <v>2.7</v>
      </c>
      <c r="H869" t="n">
        <v>0</v>
      </c>
      <c r="I869" t="n">
        <v>0</v>
      </c>
      <c r="J869" t="n">
        <v>0</v>
      </c>
      <c r="K869" t="n">
        <v>0</v>
      </c>
      <c r="L869" t="n">
        <v>0</v>
      </c>
      <c r="M869" t="n">
        <v>0</v>
      </c>
      <c r="N869" t="n">
        <v>0</v>
      </c>
      <c r="O869" t="n">
        <v>0</v>
      </c>
      <c r="P869" t="n">
        <v>0</v>
      </c>
      <c r="Q869" t="n">
        <v>0</v>
      </c>
      <c r="R869" s="2" t="inlineStr"/>
    </row>
    <row r="870" ht="15" customHeight="1">
      <c r="A870" t="inlineStr">
        <is>
          <t>A 16398-2022</t>
        </is>
      </c>
      <c r="B870" s="1" t="n">
        <v>44671</v>
      </c>
      <c r="C870" s="1" t="n">
        <v>46136</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59434-2023</t>
        </is>
      </c>
      <c r="B871" s="1" t="n">
        <v>45254.30440972222</v>
      </c>
      <c r="C871" s="1" t="n">
        <v>46136</v>
      </c>
      <c r="D871" t="inlineStr">
        <is>
          <t>SKÅNE LÄN</t>
        </is>
      </c>
      <c r="E871" t="inlineStr">
        <is>
          <t>HÄSSLEHOLM</t>
        </is>
      </c>
      <c r="G871" t="n">
        <v>3.6</v>
      </c>
      <c r="H871" t="n">
        <v>0</v>
      </c>
      <c r="I871" t="n">
        <v>0</v>
      </c>
      <c r="J871" t="n">
        <v>0</v>
      </c>
      <c r="K871" t="n">
        <v>0</v>
      </c>
      <c r="L871" t="n">
        <v>0</v>
      </c>
      <c r="M871" t="n">
        <v>0</v>
      </c>
      <c r="N871" t="n">
        <v>0</v>
      </c>
      <c r="O871" t="n">
        <v>0</v>
      </c>
      <c r="P871" t="n">
        <v>0</v>
      </c>
      <c r="Q871" t="n">
        <v>0</v>
      </c>
      <c r="R871" s="2" t="inlineStr"/>
    </row>
    <row r="872" ht="15" customHeight="1">
      <c r="A872" t="inlineStr">
        <is>
          <t>A 55284-2023</t>
        </is>
      </c>
      <c r="B872" s="1" t="n">
        <v>45237.74259259259</v>
      </c>
      <c r="C872" s="1" t="n">
        <v>46136</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22384-2024</t>
        </is>
      </c>
      <c r="B873" s="1" t="n">
        <v>45446.65592592592</v>
      </c>
      <c r="C873" s="1" t="n">
        <v>46136</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46641-2023</t>
        </is>
      </c>
      <c r="B874" s="1" t="n">
        <v>45198.44523148148</v>
      </c>
      <c r="C874" s="1" t="n">
        <v>46136</v>
      </c>
      <c r="D874" t="inlineStr">
        <is>
          <t>SKÅNE LÄN</t>
        </is>
      </c>
      <c r="E874" t="inlineStr">
        <is>
          <t>HÄSSLEHOLM</t>
        </is>
      </c>
      <c r="G874" t="n">
        <v>1.2</v>
      </c>
      <c r="H874" t="n">
        <v>0</v>
      </c>
      <c r="I874" t="n">
        <v>0</v>
      </c>
      <c r="J874" t="n">
        <v>0</v>
      </c>
      <c r="K874" t="n">
        <v>0</v>
      </c>
      <c r="L874" t="n">
        <v>0</v>
      </c>
      <c r="M874" t="n">
        <v>0</v>
      </c>
      <c r="N874" t="n">
        <v>0</v>
      </c>
      <c r="O874" t="n">
        <v>0</v>
      </c>
      <c r="P874" t="n">
        <v>0</v>
      </c>
      <c r="Q874" t="n">
        <v>0</v>
      </c>
      <c r="R874" s="2" t="inlineStr"/>
    </row>
    <row r="875" ht="15" customHeight="1">
      <c r="A875" t="inlineStr">
        <is>
          <t>A 46645-2023</t>
        </is>
      </c>
      <c r="B875" s="1" t="n">
        <v>45198.44686342592</v>
      </c>
      <c r="C875" s="1" t="n">
        <v>46136</v>
      </c>
      <c r="D875" t="inlineStr">
        <is>
          <t>SKÅNE LÄN</t>
        </is>
      </c>
      <c r="E875" t="inlineStr">
        <is>
          <t>HÄSSLEHOLM</t>
        </is>
      </c>
      <c r="G875" t="n">
        <v>1.5</v>
      </c>
      <c r="H875" t="n">
        <v>0</v>
      </c>
      <c r="I875" t="n">
        <v>0</v>
      </c>
      <c r="J875" t="n">
        <v>0</v>
      </c>
      <c r="K875" t="n">
        <v>0</v>
      </c>
      <c r="L875" t="n">
        <v>0</v>
      </c>
      <c r="M875" t="n">
        <v>0</v>
      </c>
      <c r="N875" t="n">
        <v>0</v>
      </c>
      <c r="O875" t="n">
        <v>0</v>
      </c>
      <c r="P875" t="n">
        <v>0</v>
      </c>
      <c r="Q875" t="n">
        <v>0</v>
      </c>
      <c r="R875" s="2" t="inlineStr"/>
    </row>
    <row r="876" ht="15" customHeight="1">
      <c r="A876" t="inlineStr">
        <is>
          <t>A 59556-2023</t>
        </is>
      </c>
      <c r="B876" s="1" t="n">
        <v>45254.56313657408</v>
      </c>
      <c r="C876" s="1" t="n">
        <v>46136</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61322-2025</t>
        </is>
      </c>
      <c r="B877" s="1" t="n">
        <v>46000</v>
      </c>
      <c r="C877" s="1" t="n">
        <v>46136</v>
      </c>
      <c r="D877" t="inlineStr">
        <is>
          <t>SKÅNE LÄN</t>
        </is>
      </c>
      <c r="E877" t="inlineStr">
        <is>
          <t>HÄSSLEHOLM</t>
        </is>
      </c>
      <c r="G877" t="n">
        <v>2.2</v>
      </c>
      <c r="H877" t="n">
        <v>0</v>
      </c>
      <c r="I877" t="n">
        <v>0</v>
      </c>
      <c r="J877" t="n">
        <v>0</v>
      </c>
      <c r="K877" t="n">
        <v>0</v>
      </c>
      <c r="L877" t="n">
        <v>0</v>
      </c>
      <c r="M877" t="n">
        <v>0</v>
      </c>
      <c r="N877" t="n">
        <v>0</v>
      </c>
      <c r="O877" t="n">
        <v>0</v>
      </c>
      <c r="P877" t="n">
        <v>0</v>
      </c>
      <c r="Q877" t="n">
        <v>0</v>
      </c>
      <c r="R877" s="2" t="inlineStr"/>
    </row>
    <row r="878" ht="15" customHeight="1">
      <c r="A878" t="inlineStr">
        <is>
          <t>A 9543-2025</t>
        </is>
      </c>
      <c r="B878" s="1" t="n">
        <v>45715</v>
      </c>
      <c r="C878" s="1" t="n">
        <v>46136</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51571-2023</t>
        </is>
      </c>
      <c r="B879" s="1" t="n">
        <v>45222</v>
      </c>
      <c r="C879" s="1" t="n">
        <v>46136</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61474-2025</t>
        </is>
      </c>
      <c r="B880" s="1" t="n">
        <v>46001.61886574074</v>
      </c>
      <c r="C880" s="1" t="n">
        <v>46136</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27291-2023</t>
        </is>
      </c>
      <c r="B881" s="1" t="n">
        <v>45096</v>
      </c>
      <c r="C881" s="1" t="n">
        <v>46136</v>
      </c>
      <c r="D881" t="inlineStr">
        <is>
          <t>SKÅNE LÄN</t>
        </is>
      </c>
      <c r="E881" t="inlineStr">
        <is>
          <t>HÄSSLEHOLM</t>
        </is>
      </c>
      <c r="G881" t="n">
        <v>3.5</v>
      </c>
      <c r="H881" t="n">
        <v>0</v>
      </c>
      <c r="I881" t="n">
        <v>0</v>
      </c>
      <c r="J881" t="n">
        <v>0</v>
      </c>
      <c r="K881" t="n">
        <v>0</v>
      </c>
      <c r="L881" t="n">
        <v>0</v>
      </c>
      <c r="M881" t="n">
        <v>0</v>
      </c>
      <c r="N881" t="n">
        <v>0</v>
      </c>
      <c r="O881" t="n">
        <v>0</v>
      </c>
      <c r="P881" t="n">
        <v>0</v>
      </c>
      <c r="Q881" t="n">
        <v>0</v>
      </c>
      <c r="R881" s="2" t="inlineStr"/>
    </row>
    <row r="882" ht="15" customHeight="1">
      <c r="A882" t="inlineStr">
        <is>
          <t>A 48798-2023</t>
        </is>
      </c>
      <c r="B882" s="1" t="n">
        <v>45209.25318287037</v>
      </c>
      <c r="C882" s="1" t="n">
        <v>46136</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62376-2025</t>
        </is>
      </c>
      <c r="B883" s="1" t="n">
        <v>46006</v>
      </c>
      <c r="C883" s="1" t="n">
        <v>46136</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48627-2023</t>
        </is>
      </c>
      <c r="B884" s="1" t="n">
        <v>45208.57371527778</v>
      </c>
      <c r="C884" s="1" t="n">
        <v>46136</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17152-2025</t>
        </is>
      </c>
      <c r="B885" s="1" t="n">
        <v>45756.33318287037</v>
      </c>
      <c r="C885" s="1" t="n">
        <v>46136</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48326-2023</t>
        </is>
      </c>
      <c r="B886" s="1" t="n">
        <v>45205</v>
      </c>
      <c r="C886" s="1" t="n">
        <v>46136</v>
      </c>
      <c r="D886" t="inlineStr">
        <is>
          <t>SKÅNE LÄN</t>
        </is>
      </c>
      <c r="E886" t="inlineStr">
        <is>
          <t>HÄSSLEHOLM</t>
        </is>
      </c>
      <c r="G886" t="n">
        <v>12.7</v>
      </c>
      <c r="H886" t="n">
        <v>0</v>
      </c>
      <c r="I886" t="n">
        <v>0</v>
      </c>
      <c r="J886" t="n">
        <v>0</v>
      </c>
      <c r="K886" t="n">
        <v>0</v>
      </c>
      <c r="L886" t="n">
        <v>0</v>
      </c>
      <c r="M886" t="n">
        <v>0</v>
      </c>
      <c r="N886" t="n">
        <v>0</v>
      </c>
      <c r="O886" t="n">
        <v>0</v>
      </c>
      <c r="P886" t="n">
        <v>0</v>
      </c>
      <c r="Q886" t="n">
        <v>0</v>
      </c>
      <c r="R886" s="2" t="inlineStr"/>
    </row>
    <row r="887" ht="15" customHeight="1">
      <c r="A887" t="inlineStr">
        <is>
          <t>A 10752-2025</t>
        </is>
      </c>
      <c r="B887" s="1" t="n">
        <v>45722</v>
      </c>
      <c r="C887" s="1" t="n">
        <v>46136</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54462-2022</t>
        </is>
      </c>
      <c r="B888" s="1" t="n">
        <v>44882</v>
      </c>
      <c r="C888" s="1" t="n">
        <v>46136</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3890-2024</t>
        </is>
      </c>
      <c r="B889" s="1" t="n">
        <v>45322.45366898148</v>
      </c>
      <c r="C889" s="1" t="n">
        <v>46136</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46813-2024</t>
        </is>
      </c>
      <c r="B890" s="1" t="n">
        <v>45583</v>
      </c>
      <c r="C890" s="1" t="n">
        <v>46136</v>
      </c>
      <c r="D890" t="inlineStr">
        <is>
          <t>SKÅNE LÄN</t>
        </is>
      </c>
      <c r="E890" t="inlineStr">
        <is>
          <t>HÄSSLEHOLM</t>
        </is>
      </c>
      <c r="G890" t="n">
        <v>14.9</v>
      </c>
      <c r="H890" t="n">
        <v>0</v>
      </c>
      <c r="I890" t="n">
        <v>0</v>
      </c>
      <c r="J890" t="n">
        <v>0</v>
      </c>
      <c r="K890" t="n">
        <v>0</v>
      </c>
      <c r="L890" t="n">
        <v>0</v>
      </c>
      <c r="M890" t="n">
        <v>0</v>
      </c>
      <c r="N890" t="n">
        <v>0</v>
      </c>
      <c r="O890" t="n">
        <v>0</v>
      </c>
      <c r="P890" t="n">
        <v>0</v>
      </c>
      <c r="Q890" t="n">
        <v>0</v>
      </c>
      <c r="R890" s="2" t="inlineStr"/>
    </row>
    <row r="891" ht="15" customHeight="1">
      <c r="A891" t="inlineStr">
        <is>
          <t>A 62271-2025</t>
        </is>
      </c>
      <c r="B891" s="1" t="n">
        <v>46006.62256944444</v>
      </c>
      <c r="C891" s="1" t="n">
        <v>46136</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54471-2023</t>
        </is>
      </c>
      <c r="B892" s="1" t="n">
        <v>45233.4640162037</v>
      </c>
      <c r="C892" s="1" t="n">
        <v>46136</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62264-2025</t>
        </is>
      </c>
      <c r="B893" s="1" t="n">
        <v>46006.61644675926</v>
      </c>
      <c r="C893" s="1" t="n">
        <v>46136</v>
      </c>
      <c r="D893" t="inlineStr">
        <is>
          <t>SKÅNE LÄN</t>
        </is>
      </c>
      <c r="E893" t="inlineStr">
        <is>
          <t>HÄSSLEHOLM</t>
        </is>
      </c>
      <c r="G893" t="n">
        <v>7.5</v>
      </c>
      <c r="H893" t="n">
        <v>0</v>
      </c>
      <c r="I893" t="n">
        <v>0</v>
      </c>
      <c r="J893" t="n">
        <v>0</v>
      </c>
      <c r="K893" t="n">
        <v>0</v>
      </c>
      <c r="L893" t="n">
        <v>0</v>
      </c>
      <c r="M893" t="n">
        <v>0</v>
      </c>
      <c r="N893" t="n">
        <v>0</v>
      </c>
      <c r="O893" t="n">
        <v>0</v>
      </c>
      <c r="P893" t="n">
        <v>0</v>
      </c>
      <c r="Q893" t="n">
        <v>0</v>
      </c>
      <c r="R893" s="2" t="inlineStr"/>
    </row>
    <row r="894" ht="15" customHeight="1">
      <c r="A894" t="inlineStr">
        <is>
          <t>A 57963-2023</t>
        </is>
      </c>
      <c r="B894" s="1" t="n">
        <v>45247.57732638889</v>
      </c>
      <c r="C894" s="1" t="n">
        <v>46136</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59028-2023</t>
        </is>
      </c>
      <c r="B895" s="1" t="n">
        <v>45252.67900462963</v>
      </c>
      <c r="C895" s="1" t="n">
        <v>46136</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13544-2025</t>
        </is>
      </c>
      <c r="B896" s="1" t="n">
        <v>45736</v>
      </c>
      <c r="C896" s="1" t="n">
        <v>46136</v>
      </c>
      <c r="D896" t="inlineStr">
        <is>
          <t>SKÅNE LÄN</t>
        </is>
      </c>
      <c r="E896" t="inlineStr">
        <is>
          <t>HÄSSLEHOLM</t>
        </is>
      </c>
      <c r="G896" t="n">
        <v>2.5</v>
      </c>
      <c r="H896" t="n">
        <v>0</v>
      </c>
      <c r="I896" t="n">
        <v>0</v>
      </c>
      <c r="J896" t="n">
        <v>0</v>
      </c>
      <c r="K896" t="n">
        <v>0</v>
      </c>
      <c r="L896" t="n">
        <v>0</v>
      </c>
      <c r="M896" t="n">
        <v>0</v>
      </c>
      <c r="N896" t="n">
        <v>0</v>
      </c>
      <c r="O896" t="n">
        <v>0</v>
      </c>
      <c r="P896" t="n">
        <v>0</v>
      </c>
      <c r="Q896" t="n">
        <v>0</v>
      </c>
      <c r="R896" s="2" t="inlineStr"/>
    </row>
    <row r="897" ht="15" customHeight="1">
      <c r="A897" t="inlineStr">
        <is>
          <t>A 2712-2024</t>
        </is>
      </c>
      <c r="B897" s="1" t="n">
        <v>45314</v>
      </c>
      <c r="C897" s="1" t="n">
        <v>46136</v>
      </c>
      <c r="D897" t="inlineStr">
        <is>
          <t>SKÅNE LÄN</t>
        </is>
      </c>
      <c r="E897" t="inlineStr">
        <is>
          <t>HÄSSLEHOLM</t>
        </is>
      </c>
      <c r="G897" t="n">
        <v>11.3</v>
      </c>
      <c r="H897" t="n">
        <v>0</v>
      </c>
      <c r="I897" t="n">
        <v>0</v>
      </c>
      <c r="J897" t="n">
        <v>0</v>
      </c>
      <c r="K897" t="n">
        <v>0</v>
      </c>
      <c r="L897" t="n">
        <v>0</v>
      </c>
      <c r="M897" t="n">
        <v>0</v>
      </c>
      <c r="N897" t="n">
        <v>0</v>
      </c>
      <c r="O897" t="n">
        <v>0</v>
      </c>
      <c r="P897" t="n">
        <v>0</v>
      </c>
      <c r="Q897" t="n">
        <v>0</v>
      </c>
      <c r="R897" s="2" t="inlineStr"/>
    </row>
    <row r="898" ht="15" customHeight="1">
      <c r="A898" t="inlineStr">
        <is>
          <t>A 260-2024</t>
        </is>
      </c>
      <c r="B898" s="1" t="n">
        <v>45294</v>
      </c>
      <c r="C898" s="1" t="n">
        <v>46136</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8263-2025</t>
        </is>
      </c>
      <c r="B899" s="1" t="n">
        <v>45708.50398148148</v>
      </c>
      <c r="C899" s="1" t="n">
        <v>46136</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30006-2023</t>
        </is>
      </c>
      <c r="B900" s="1" t="n">
        <v>45109.79962962963</v>
      </c>
      <c r="C900" s="1" t="n">
        <v>46136</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42364-2023</t>
        </is>
      </c>
      <c r="B901" s="1" t="n">
        <v>45180.54754629629</v>
      </c>
      <c r="C901" s="1" t="n">
        <v>46136</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61578-2023</t>
        </is>
      </c>
      <c r="B902" s="1" t="n">
        <v>45265.47399305556</v>
      </c>
      <c r="C902" s="1" t="n">
        <v>46136</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63284-2025</t>
        </is>
      </c>
      <c r="B903" s="1" t="n">
        <v>46010</v>
      </c>
      <c r="C903" s="1" t="n">
        <v>46136</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2597-2024</t>
        </is>
      </c>
      <c r="B904" s="1" t="n">
        <v>45313</v>
      </c>
      <c r="C904" s="1" t="n">
        <v>46136</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63354-2025</t>
        </is>
      </c>
      <c r="B905" s="1" t="n">
        <v>46010.66957175926</v>
      </c>
      <c r="C905" s="1" t="n">
        <v>46136</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27349-2025</t>
        </is>
      </c>
      <c r="B906" s="1" t="n">
        <v>45812</v>
      </c>
      <c r="C906" s="1" t="n">
        <v>46136</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62277-2023</t>
        </is>
      </c>
      <c r="B907" s="1" t="n">
        <v>45266</v>
      </c>
      <c r="C907" s="1" t="n">
        <v>46136</v>
      </c>
      <c r="D907" t="inlineStr">
        <is>
          <t>SKÅNE LÄN</t>
        </is>
      </c>
      <c r="E907" t="inlineStr">
        <is>
          <t>HÄSSLEHOLM</t>
        </is>
      </c>
      <c r="G907" t="n">
        <v>1.2</v>
      </c>
      <c r="H907" t="n">
        <v>0</v>
      </c>
      <c r="I907" t="n">
        <v>0</v>
      </c>
      <c r="J907" t="n">
        <v>0</v>
      </c>
      <c r="K907" t="n">
        <v>0</v>
      </c>
      <c r="L907" t="n">
        <v>0</v>
      </c>
      <c r="M907" t="n">
        <v>0</v>
      </c>
      <c r="N907" t="n">
        <v>0</v>
      </c>
      <c r="O907" t="n">
        <v>0</v>
      </c>
      <c r="P907" t="n">
        <v>0</v>
      </c>
      <c r="Q907" t="n">
        <v>0</v>
      </c>
      <c r="R907" s="2" t="inlineStr"/>
    </row>
    <row r="908" ht="15" customHeight="1">
      <c r="A908" t="inlineStr">
        <is>
          <t>A 3888-2024</t>
        </is>
      </c>
      <c r="B908" s="1" t="n">
        <v>45322.45089120371</v>
      </c>
      <c r="C908" s="1" t="n">
        <v>46136</v>
      </c>
      <c r="D908" t="inlineStr">
        <is>
          <t>SKÅNE LÄN</t>
        </is>
      </c>
      <c r="E908" t="inlineStr">
        <is>
          <t>HÄSSLEHOLM</t>
        </is>
      </c>
      <c r="G908" t="n">
        <v>2.4</v>
      </c>
      <c r="H908" t="n">
        <v>0</v>
      </c>
      <c r="I908" t="n">
        <v>0</v>
      </c>
      <c r="J908" t="n">
        <v>0</v>
      </c>
      <c r="K908" t="n">
        <v>0</v>
      </c>
      <c r="L908" t="n">
        <v>0</v>
      </c>
      <c r="M908" t="n">
        <v>0</v>
      </c>
      <c r="N908" t="n">
        <v>0</v>
      </c>
      <c r="O908" t="n">
        <v>0</v>
      </c>
      <c r="P908" t="n">
        <v>0</v>
      </c>
      <c r="Q908" t="n">
        <v>0</v>
      </c>
      <c r="R908" s="2" t="inlineStr"/>
    </row>
    <row r="909" ht="15" customHeight="1">
      <c r="A909" t="inlineStr">
        <is>
          <t>A 3889-2024</t>
        </is>
      </c>
      <c r="B909" s="1" t="n">
        <v>45322.45234953704</v>
      </c>
      <c r="C909" s="1" t="n">
        <v>46136</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62417-2025</t>
        </is>
      </c>
      <c r="B910" s="1" t="n">
        <v>46007</v>
      </c>
      <c r="C910" s="1" t="n">
        <v>46136</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8249-2023</t>
        </is>
      </c>
      <c r="B911" s="1" t="n">
        <v>44974</v>
      </c>
      <c r="C911" s="1" t="n">
        <v>46136</v>
      </c>
      <c r="D911" t="inlineStr">
        <is>
          <t>SKÅNE LÄN</t>
        </is>
      </c>
      <c r="E911" t="inlineStr">
        <is>
          <t>HÄSSLEHOLM</t>
        </is>
      </c>
      <c r="G911" t="n">
        <v>5.8</v>
      </c>
      <c r="H911" t="n">
        <v>0</v>
      </c>
      <c r="I911" t="n">
        <v>0</v>
      </c>
      <c r="J911" t="n">
        <v>0</v>
      </c>
      <c r="K911" t="n">
        <v>0</v>
      </c>
      <c r="L911" t="n">
        <v>0</v>
      </c>
      <c r="M911" t="n">
        <v>0</v>
      </c>
      <c r="N911" t="n">
        <v>0</v>
      </c>
      <c r="O911" t="n">
        <v>0</v>
      </c>
      <c r="P911" t="n">
        <v>0</v>
      </c>
      <c r="Q911" t="n">
        <v>0</v>
      </c>
      <c r="R911" s="2" t="inlineStr"/>
    </row>
    <row r="912" ht="15" customHeight="1">
      <c r="A912" t="inlineStr">
        <is>
          <t>A 3480-2024</t>
        </is>
      </c>
      <c r="B912" s="1" t="n">
        <v>45320.43998842593</v>
      </c>
      <c r="C912" s="1" t="n">
        <v>46136</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63710-2025</t>
        </is>
      </c>
      <c r="B913" s="1" t="n">
        <v>46014.62143518519</v>
      </c>
      <c r="C913" s="1" t="n">
        <v>46136</v>
      </c>
      <c r="D913" t="inlineStr">
        <is>
          <t>SKÅNE LÄN</t>
        </is>
      </c>
      <c r="E913" t="inlineStr">
        <is>
          <t>HÄSSLEHOLM</t>
        </is>
      </c>
      <c r="G913" t="n">
        <v>1.3</v>
      </c>
      <c r="H913" t="n">
        <v>0</v>
      </c>
      <c r="I913" t="n">
        <v>0</v>
      </c>
      <c r="J913" t="n">
        <v>0</v>
      </c>
      <c r="K913" t="n">
        <v>0</v>
      </c>
      <c r="L913" t="n">
        <v>0</v>
      </c>
      <c r="M913" t="n">
        <v>0</v>
      </c>
      <c r="N913" t="n">
        <v>0</v>
      </c>
      <c r="O913" t="n">
        <v>0</v>
      </c>
      <c r="P913" t="n">
        <v>0</v>
      </c>
      <c r="Q913" t="n">
        <v>0</v>
      </c>
      <c r="R913" s="2" t="inlineStr"/>
    </row>
    <row r="914" ht="15" customHeight="1">
      <c r="A914" t="inlineStr">
        <is>
          <t>A 63510-2025</t>
        </is>
      </c>
      <c r="B914" s="1" t="n">
        <v>46013.49172453704</v>
      </c>
      <c r="C914" s="1" t="n">
        <v>46136</v>
      </c>
      <c r="D914" t="inlineStr">
        <is>
          <t>SKÅNE LÄN</t>
        </is>
      </c>
      <c r="E914" t="inlineStr">
        <is>
          <t>HÄSSLEHOLM</t>
        </is>
      </c>
      <c r="F914" t="inlineStr">
        <is>
          <t>Kommuner</t>
        </is>
      </c>
      <c r="G914" t="n">
        <v>2</v>
      </c>
      <c r="H914" t="n">
        <v>0</v>
      </c>
      <c r="I914" t="n">
        <v>0</v>
      </c>
      <c r="J914" t="n">
        <v>0</v>
      </c>
      <c r="K914" t="n">
        <v>0</v>
      </c>
      <c r="L914" t="n">
        <v>0</v>
      </c>
      <c r="M914" t="n">
        <v>0</v>
      </c>
      <c r="N914" t="n">
        <v>0</v>
      </c>
      <c r="O914" t="n">
        <v>0</v>
      </c>
      <c r="P914" t="n">
        <v>0</v>
      </c>
      <c r="Q914" t="n">
        <v>0</v>
      </c>
      <c r="R914" s="2" t="inlineStr"/>
    </row>
    <row r="915" ht="15" customHeight="1">
      <c r="A915" t="inlineStr">
        <is>
          <t>A 63487-2025</t>
        </is>
      </c>
      <c r="B915" s="1" t="n">
        <v>46013.46878472222</v>
      </c>
      <c r="C915" s="1" t="n">
        <v>46136</v>
      </c>
      <c r="D915" t="inlineStr">
        <is>
          <t>SKÅNE LÄN</t>
        </is>
      </c>
      <c r="E915" t="inlineStr">
        <is>
          <t>HÄSSLEHOLM</t>
        </is>
      </c>
      <c r="F915" t="inlineStr">
        <is>
          <t>Kommuner</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63414-2025</t>
        </is>
      </c>
      <c r="B916" s="1" t="n">
        <v>46013.32008101852</v>
      </c>
      <c r="C916" s="1" t="n">
        <v>46136</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55218-2023</t>
        </is>
      </c>
      <c r="B917" s="1" t="n">
        <v>45237</v>
      </c>
      <c r="C917" s="1" t="n">
        <v>46136</v>
      </c>
      <c r="D917" t="inlineStr">
        <is>
          <t>SKÅNE LÄN</t>
        </is>
      </c>
      <c r="E917" t="inlineStr">
        <is>
          <t>HÄSSLEHOLM</t>
        </is>
      </c>
      <c r="G917" t="n">
        <v>2</v>
      </c>
      <c r="H917" t="n">
        <v>0</v>
      </c>
      <c r="I917" t="n">
        <v>0</v>
      </c>
      <c r="J917" t="n">
        <v>0</v>
      </c>
      <c r="K917" t="n">
        <v>0</v>
      </c>
      <c r="L917" t="n">
        <v>0</v>
      </c>
      <c r="M917" t="n">
        <v>0</v>
      </c>
      <c r="N917" t="n">
        <v>0</v>
      </c>
      <c r="O917" t="n">
        <v>0</v>
      </c>
      <c r="P917" t="n">
        <v>0</v>
      </c>
      <c r="Q917" t="n">
        <v>0</v>
      </c>
      <c r="R917" s="2" t="inlineStr"/>
    </row>
    <row r="918" ht="15" customHeight="1">
      <c r="A918" t="inlineStr">
        <is>
          <t>A 8160-2024</t>
        </is>
      </c>
      <c r="B918" s="1" t="n">
        <v>45351</v>
      </c>
      <c r="C918" s="1" t="n">
        <v>46136</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63415-2025</t>
        </is>
      </c>
      <c r="B919" s="1" t="n">
        <v>46013.32163194445</v>
      </c>
      <c r="C919" s="1" t="n">
        <v>46136</v>
      </c>
      <c r="D919" t="inlineStr">
        <is>
          <t>SKÅNE LÄN</t>
        </is>
      </c>
      <c r="E919" t="inlineStr">
        <is>
          <t>HÄSSLEHOLM</t>
        </is>
      </c>
      <c r="G919" t="n">
        <v>1.3</v>
      </c>
      <c r="H919" t="n">
        <v>0</v>
      </c>
      <c r="I919" t="n">
        <v>0</v>
      </c>
      <c r="J919" t="n">
        <v>0</v>
      </c>
      <c r="K919" t="n">
        <v>0</v>
      </c>
      <c r="L919" t="n">
        <v>0</v>
      </c>
      <c r="M919" t="n">
        <v>0</v>
      </c>
      <c r="N919" t="n">
        <v>0</v>
      </c>
      <c r="O919" t="n">
        <v>0</v>
      </c>
      <c r="P919" t="n">
        <v>0</v>
      </c>
      <c r="Q919" t="n">
        <v>0</v>
      </c>
      <c r="R919" s="2" t="inlineStr"/>
    </row>
    <row r="920" ht="15" customHeight="1">
      <c r="A920" t="inlineStr">
        <is>
          <t>A 63416-2025</t>
        </is>
      </c>
      <c r="B920" s="1" t="n">
        <v>46013.3232175926</v>
      </c>
      <c r="C920" s="1" t="n">
        <v>46136</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1119-2024</t>
        </is>
      </c>
      <c r="B921" s="1" t="n">
        <v>45302</v>
      </c>
      <c r="C921" s="1" t="n">
        <v>46136</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9393-2025</t>
        </is>
      </c>
      <c r="B922" s="1" t="n">
        <v>45715.36230324074</v>
      </c>
      <c r="C922" s="1" t="n">
        <v>46136</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6316-2026</t>
        </is>
      </c>
      <c r="B923" s="1" t="n">
        <v>46055</v>
      </c>
      <c r="C923" s="1" t="n">
        <v>46136</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63709-2025</t>
        </is>
      </c>
      <c r="B924" s="1" t="n">
        <v>46014.61700231482</v>
      </c>
      <c r="C924" s="1" t="n">
        <v>46136</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11422-2025</t>
        </is>
      </c>
      <c r="B925" s="1" t="n">
        <v>45726</v>
      </c>
      <c r="C925" s="1" t="n">
        <v>46136</v>
      </c>
      <c r="D925" t="inlineStr">
        <is>
          <t>SKÅNE LÄN</t>
        </is>
      </c>
      <c r="E925" t="inlineStr">
        <is>
          <t>HÄSSLEHOLM</t>
        </is>
      </c>
      <c r="G925" t="n">
        <v>14.9</v>
      </c>
      <c r="H925" t="n">
        <v>0</v>
      </c>
      <c r="I925" t="n">
        <v>0</v>
      </c>
      <c r="J925" t="n">
        <v>0</v>
      </c>
      <c r="K925" t="n">
        <v>0</v>
      </c>
      <c r="L925" t="n">
        <v>0</v>
      </c>
      <c r="M925" t="n">
        <v>0</v>
      </c>
      <c r="N925" t="n">
        <v>0</v>
      </c>
      <c r="O925" t="n">
        <v>0</v>
      </c>
      <c r="P925" t="n">
        <v>0</v>
      </c>
      <c r="Q925" t="n">
        <v>0</v>
      </c>
      <c r="R925" s="2" t="inlineStr"/>
    </row>
    <row r="926" ht="15" customHeight="1">
      <c r="A926" t="inlineStr">
        <is>
          <t>A 6328-2026</t>
        </is>
      </c>
      <c r="B926" s="1" t="n">
        <v>46055</v>
      </c>
      <c r="C926" s="1" t="n">
        <v>46136</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63712-2025</t>
        </is>
      </c>
      <c r="B927" s="1" t="n">
        <v>46014.63092592593</v>
      </c>
      <c r="C927" s="1" t="n">
        <v>46136</v>
      </c>
      <c r="D927" t="inlineStr">
        <is>
          <t>SKÅNE LÄN</t>
        </is>
      </c>
      <c r="E927" t="inlineStr">
        <is>
          <t>HÄSSLEHOLM</t>
        </is>
      </c>
      <c r="G927" t="n">
        <v>3.9</v>
      </c>
      <c r="H927" t="n">
        <v>0</v>
      </c>
      <c r="I927" t="n">
        <v>0</v>
      </c>
      <c r="J927" t="n">
        <v>0</v>
      </c>
      <c r="K927" t="n">
        <v>0</v>
      </c>
      <c r="L927" t="n">
        <v>0</v>
      </c>
      <c r="M927" t="n">
        <v>0</v>
      </c>
      <c r="N927" t="n">
        <v>0</v>
      </c>
      <c r="O927" t="n">
        <v>0</v>
      </c>
      <c r="P927" t="n">
        <v>0</v>
      </c>
      <c r="Q927" t="n">
        <v>0</v>
      </c>
      <c r="R927" s="2" t="inlineStr"/>
    </row>
    <row r="928" ht="15" customHeight="1">
      <c r="A928" t="inlineStr">
        <is>
          <t>A 57277-2023</t>
        </is>
      </c>
      <c r="B928" s="1" t="n">
        <v>45245.59104166667</v>
      </c>
      <c r="C928" s="1" t="n">
        <v>46136</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9611-2025</t>
        </is>
      </c>
      <c r="B929" s="1" t="n">
        <v>45715</v>
      </c>
      <c r="C929" s="1" t="n">
        <v>46136</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5284-2023</t>
        </is>
      </c>
      <c r="B930" s="1" t="n">
        <v>44959.50608796296</v>
      </c>
      <c r="C930" s="1" t="n">
        <v>46136</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5285-2023</t>
        </is>
      </c>
      <c r="B931" s="1" t="n">
        <v>44959.50783564815</v>
      </c>
      <c r="C931" s="1" t="n">
        <v>46136</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57272-2023</t>
        </is>
      </c>
      <c r="B932" s="1" t="n">
        <v>45245</v>
      </c>
      <c r="C932" s="1" t="n">
        <v>46136</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2479-2024</t>
        </is>
      </c>
      <c r="B933" s="1" t="n">
        <v>45313.40148148148</v>
      </c>
      <c r="C933" s="1" t="n">
        <v>46136</v>
      </c>
      <c r="D933" t="inlineStr">
        <is>
          <t>SKÅNE LÄN</t>
        </is>
      </c>
      <c r="E933" t="inlineStr">
        <is>
          <t>HÄSSLEHOLM</t>
        </is>
      </c>
      <c r="G933" t="n">
        <v>1.2</v>
      </c>
      <c r="H933" t="n">
        <v>0</v>
      </c>
      <c r="I933" t="n">
        <v>0</v>
      </c>
      <c r="J933" t="n">
        <v>0</v>
      </c>
      <c r="K933" t="n">
        <v>0</v>
      </c>
      <c r="L933" t="n">
        <v>0</v>
      </c>
      <c r="M933" t="n">
        <v>0</v>
      </c>
      <c r="N933" t="n">
        <v>0</v>
      </c>
      <c r="O933" t="n">
        <v>0</v>
      </c>
      <c r="P933" t="n">
        <v>0</v>
      </c>
      <c r="Q933" t="n">
        <v>0</v>
      </c>
      <c r="R933" s="2" t="inlineStr"/>
    </row>
    <row r="934" ht="15" customHeight="1">
      <c r="A934" t="inlineStr">
        <is>
          <t>A 31160-2024</t>
        </is>
      </c>
      <c r="B934" s="1" t="n">
        <v>45503</v>
      </c>
      <c r="C934" s="1" t="n">
        <v>46136</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50664-2023</t>
        </is>
      </c>
      <c r="B935" s="1" t="n">
        <v>45217</v>
      </c>
      <c r="C935" s="1" t="n">
        <v>46136</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56490-2021</t>
        </is>
      </c>
      <c r="B936" s="1" t="n">
        <v>44480</v>
      </c>
      <c r="C936" s="1" t="n">
        <v>46136</v>
      </c>
      <c r="D936" t="inlineStr">
        <is>
          <t>SKÅNE LÄN</t>
        </is>
      </c>
      <c r="E936" t="inlineStr">
        <is>
          <t>HÄSSLEHOLM</t>
        </is>
      </c>
      <c r="F936" t="inlineStr">
        <is>
          <t>Kyrkan</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417-2022</t>
        </is>
      </c>
      <c r="B937" s="1" t="n">
        <v>44565.84615740741</v>
      </c>
      <c r="C937" s="1" t="n">
        <v>46136</v>
      </c>
      <c r="D937" t="inlineStr">
        <is>
          <t>SKÅNE LÄN</t>
        </is>
      </c>
      <c r="E937" t="inlineStr">
        <is>
          <t>HÄSSLEHOLM</t>
        </is>
      </c>
      <c r="G937" t="n">
        <v>0</v>
      </c>
      <c r="H937" t="n">
        <v>0</v>
      </c>
      <c r="I937" t="n">
        <v>0</v>
      </c>
      <c r="J937" t="n">
        <v>0</v>
      </c>
      <c r="K937" t="n">
        <v>0</v>
      </c>
      <c r="L937" t="n">
        <v>0</v>
      </c>
      <c r="M937" t="n">
        <v>0</v>
      </c>
      <c r="N937" t="n">
        <v>0</v>
      </c>
      <c r="O937" t="n">
        <v>0</v>
      </c>
      <c r="P937" t="n">
        <v>0</v>
      </c>
      <c r="Q937" t="n">
        <v>0</v>
      </c>
      <c r="R937" s="2" t="inlineStr"/>
    </row>
    <row r="938" ht="15" customHeight="1">
      <c r="A938" t="inlineStr">
        <is>
          <t>A 61934-2023</t>
        </is>
      </c>
      <c r="B938" s="1" t="n">
        <v>45266.54125</v>
      </c>
      <c r="C938" s="1" t="n">
        <v>46136</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41459-2022</t>
        </is>
      </c>
      <c r="B939" s="1" t="n">
        <v>44826.93372685185</v>
      </c>
      <c r="C939" s="1" t="n">
        <v>46136</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46136</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54426-2025</t>
        </is>
      </c>
      <c r="B941" s="1" t="n">
        <v>45965</v>
      </c>
      <c r="C941" s="1" t="n">
        <v>46136</v>
      </c>
      <c r="D941" t="inlineStr">
        <is>
          <t>SKÅNE LÄN</t>
        </is>
      </c>
      <c r="E941" t="inlineStr">
        <is>
          <t>HÄSSLEHOLM</t>
        </is>
      </c>
      <c r="G941" t="n">
        <v>3.7</v>
      </c>
      <c r="H941" t="n">
        <v>0</v>
      </c>
      <c r="I941" t="n">
        <v>0</v>
      </c>
      <c r="J941" t="n">
        <v>0</v>
      </c>
      <c r="K941" t="n">
        <v>0</v>
      </c>
      <c r="L941" t="n">
        <v>0</v>
      </c>
      <c r="M941" t="n">
        <v>0</v>
      </c>
      <c r="N941" t="n">
        <v>0</v>
      </c>
      <c r="O941" t="n">
        <v>0</v>
      </c>
      <c r="P941" t="n">
        <v>0</v>
      </c>
      <c r="Q941" t="n">
        <v>0</v>
      </c>
      <c r="R941" s="2" t="inlineStr"/>
    </row>
    <row r="942" ht="15" customHeight="1">
      <c r="A942" t="inlineStr">
        <is>
          <t>A 54658-2023</t>
        </is>
      </c>
      <c r="B942" s="1" t="n">
        <v>45235</v>
      </c>
      <c r="C942" s="1" t="n">
        <v>46136</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42370-2023</t>
        </is>
      </c>
      <c r="B943" s="1" t="n">
        <v>45180</v>
      </c>
      <c r="C943" s="1" t="n">
        <v>46136</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16951-2025</t>
        </is>
      </c>
      <c r="B944" s="1" t="n">
        <v>45755</v>
      </c>
      <c r="C944" s="1" t="n">
        <v>46136</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18063-2023</t>
        </is>
      </c>
      <c r="B945" s="1" t="n">
        <v>45040.62850694444</v>
      </c>
      <c r="C945" s="1" t="n">
        <v>46136</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14674-2025</t>
        </is>
      </c>
      <c r="B946" s="1" t="n">
        <v>45742.55548611111</v>
      </c>
      <c r="C946" s="1" t="n">
        <v>46136</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54777-2022</t>
        </is>
      </c>
      <c r="B947" s="1" t="n">
        <v>44883</v>
      </c>
      <c r="C947" s="1" t="n">
        <v>46136</v>
      </c>
      <c r="D947" t="inlineStr">
        <is>
          <t>SKÅNE LÄN</t>
        </is>
      </c>
      <c r="E947" t="inlineStr">
        <is>
          <t>HÄSSLEHOLM</t>
        </is>
      </c>
      <c r="G947" t="n">
        <v>1.7</v>
      </c>
      <c r="H947" t="n">
        <v>0</v>
      </c>
      <c r="I947" t="n">
        <v>0</v>
      </c>
      <c r="J947" t="n">
        <v>0</v>
      </c>
      <c r="K947" t="n">
        <v>0</v>
      </c>
      <c r="L947" t="n">
        <v>0</v>
      </c>
      <c r="M947" t="n">
        <v>0</v>
      </c>
      <c r="N947" t="n">
        <v>0</v>
      </c>
      <c r="O947" t="n">
        <v>0</v>
      </c>
      <c r="P947" t="n">
        <v>0</v>
      </c>
      <c r="Q947" t="n">
        <v>0</v>
      </c>
      <c r="R947" s="2" t="inlineStr"/>
    </row>
    <row r="948" ht="15" customHeight="1">
      <c r="A948" t="inlineStr">
        <is>
          <t>A 23683-2023</t>
        </is>
      </c>
      <c r="B948" s="1" t="n">
        <v>45077</v>
      </c>
      <c r="C948" s="1" t="n">
        <v>46136</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23955-2023</t>
        </is>
      </c>
      <c r="B949" s="1" t="n">
        <v>45078.62217592593</v>
      </c>
      <c r="C949" s="1" t="n">
        <v>46136</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23860-2024</t>
        </is>
      </c>
      <c r="B950" s="1" t="n">
        <v>45455</v>
      </c>
      <c r="C950" s="1" t="n">
        <v>46136</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524-2024</t>
        </is>
      </c>
      <c r="B951" s="1" t="n">
        <v>45299</v>
      </c>
      <c r="C951" s="1" t="n">
        <v>46136</v>
      </c>
      <c r="D951" t="inlineStr">
        <is>
          <t>SKÅNE LÄN</t>
        </is>
      </c>
      <c r="E951" t="inlineStr">
        <is>
          <t>HÄSSLEHOLM</t>
        </is>
      </c>
      <c r="G951" t="n">
        <v>29.4</v>
      </c>
      <c r="H951" t="n">
        <v>0</v>
      </c>
      <c r="I951" t="n">
        <v>0</v>
      </c>
      <c r="J951" t="n">
        <v>0</v>
      </c>
      <c r="K951" t="n">
        <v>0</v>
      </c>
      <c r="L951" t="n">
        <v>0</v>
      </c>
      <c r="M951" t="n">
        <v>0</v>
      </c>
      <c r="N951" t="n">
        <v>0</v>
      </c>
      <c r="O951" t="n">
        <v>0</v>
      </c>
      <c r="P951" t="n">
        <v>0</v>
      </c>
      <c r="Q951" t="n">
        <v>0</v>
      </c>
      <c r="R951" s="2" t="inlineStr"/>
    </row>
    <row r="952" ht="15" customHeight="1">
      <c r="A952" t="inlineStr">
        <is>
          <t>A 54518-2022</t>
        </is>
      </c>
      <c r="B952" s="1" t="n">
        <v>44882</v>
      </c>
      <c r="C952" s="1" t="n">
        <v>46136</v>
      </c>
      <c r="D952" t="inlineStr">
        <is>
          <t>SKÅNE LÄN</t>
        </is>
      </c>
      <c r="E952" t="inlineStr">
        <is>
          <t>HÄSSLEHOLM</t>
        </is>
      </c>
      <c r="F952" t="inlineStr">
        <is>
          <t>Övriga Aktiebolag</t>
        </is>
      </c>
      <c r="G952" t="n">
        <v>6.8</v>
      </c>
      <c r="H952" t="n">
        <v>0</v>
      </c>
      <c r="I952" t="n">
        <v>0</v>
      </c>
      <c r="J952" t="n">
        <v>0</v>
      </c>
      <c r="K952" t="n">
        <v>0</v>
      </c>
      <c r="L952" t="n">
        <v>0</v>
      </c>
      <c r="M952" t="n">
        <v>0</v>
      </c>
      <c r="N952" t="n">
        <v>0</v>
      </c>
      <c r="O952" t="n">
        <v>0</v>
      </c>
      <c r="P952" t="n">
        <v>0</v>
      </c>
      <c r="Q952" t="n">
        <v>0</v>
      </c>
      <c r="R952" s="2" t="inlineStr"/>
    </row>
    <row r="953" ht="15" customHeight="1">
      <c r="A953" t="inlineStr">
        <is>
          <t>A 7094-2023</t>
        </is>
      </c>
      <c r="B953" s="1" t="n">
        <v>44970.36958333333</v>
      </c>
      <c r="C953" s="1" t="n">
        <v>46136</v>
      </c>
      <c r="D953" t="inlineStr">
        <is>
          <t>SKÅNE LÄN</t>
        </is>
      </c>
      <c r="E953" t="inlineStr">
        <is>
          <t>HÄSSLEHOLM</t>
        </is>
      </c>
      <c r="G953" t="n">
        <v>3.6</v>
      </c>
      <c r="H953" t="n">
        <v>0</v>
      </c>
      <c r="I953" t="n">
        <v>0</v>
      </c>
      <c r="J953" t="n">
        <v>0</v>
      </c>
      <c r="K953" t="n">
        <v>0</v>
      </c>
      <c r="L953" t="n">
        <v>0</v>
      </c>
      <c r="M953" t="n">
        <v>0</v>
      </c>
      <c r="N953" t="n">
        <v>0</v>
      </c>
      <c r="O953" t="n">
        <v>0</v>
      </c>
      <c r="P953" t="n">
        <v>0</v>
      </c>
      <c r="Q953" t="n">
        <v>0</v>
      </c>
      <c r="R953" s="2" t="inlineStr"/>
    </row>
    <row r="954" ht="15" customHeight="1">
      <c r="A954" t="inlineStr">
        <is>
          <t>A 3500-2024</t>
        </is>
      </c>
      <c r="B954" s="1" t="n">
        <v>45320</v>
      </c>
      <c r="C954" s="1" t="n">
        <v>46136</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11266-2025</t>
        </is>
      </c>
      <c r="B955" s="1" t="n">
        <v>45726</v>
      </c>
      <c r="C955" s="1" t="n">
        <v>46136</v>
      </c>
      <c r="D955" t="inlineStr">
        <is>
          <t>SKÅNE LÄN</t>
        </is>
      </c>
      <c r="E955" t="inlineStr">
        <is>
          <t>HÄSSLEHOLM</t>
        </is>
      </c>
      <c r="G955" t="n">
        <v>0.3</v>
      </c>
      <c r="H955" t="n">
        <v>0</v>
      </c>
      <c r="I955" t="n">
        <v>0</v>
      </c>
      <c r="J955" t="n">
        <v>0</v>
      </c>
      <c r="K955" t="n">
        <v>0</v>
      </c>
      <c r="L955" t="n">
        <v>0</v>
      </c>
      <c r="M955" t="n">
        <v>0</v>
      </c>
      <c r="N955" t="n">
        <v>0</v>
      </c>
      <c r="O955" t="n">
        <v>0</v>
      </c>
      <c r="P955" t="n">
        <v>0</v>
      </c>
      <c r="Q955" t="n">
        <v>0</v>
      </c>
      <c r="R955" s="2" t="inlineStr"/>
    </row>
    <row r="956" ht="15" customHeight="1">
      <c r="A956" t="inlineStr">
        <is>
          <t>A 49950-2023</t>
        </is>
      </c>
      <c r="B956" s="1" t="n">
        <v>45215</v>
      </c>
      <c r="C956" s="1" t="n">
        <v>46136</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29853-2024</t>
        </is>
      </c>
      <c r="B957" s="1" t="n">
        <v>45485.65844907407</v>
      </c>
      <c r="C957" s="1" t="n">
        <v>46136</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57695-2023</t>
        </is>
      </c>
      <c r="B958" s="1" t="n">
        <v>45246</v>
      </c>
      <c r="C958" s="1" t="n">
        <v>46136</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9615-2025</t>
        </is>
      </c>
      <c r="B959" s="1" t="n">
        <v>45715</v>
      </c>
      <c r="C959" s="1" t="n">
        <v>46136</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42232-2022</t>
        </is>
      </c>
      <c r="B960" s="1" t="n">
        <v>44830.77591435185</v>
      </c>
      <c r="C960" s="1" t="n">
        <v>46136</v>
      </c>
      <c r="D960" t="inlineStr">
        <is>
          <t>SKÅNE LÄN</t>
        </is>
      </c>
      <c r="E960" t="inlineStr">
        <is>
          <t>HÄSSLEHOLM</t>
        </is>
      </c>
      <c r="G960" t="n">
        <v>1.3</v>
      </c>
      <c r="H960" t="n">
        <v>0</v>
      </c>
      <c r="I960" t="n">
        <v>0</v>
      </c>
      <c r="J960" t="n">
        <v>0</v>
      </c>
      <c r="K960" t="n">
        <v>0</v>
      </c>
      <c r="L960" t="n">
        <v>0</v>
      </c>
      <c r="M960" t="n">
        <v>0</v>
      </c>
      <c r="N960" t="n">
        <v>0</v>
      </c>
      <c r="O960" t="n">
        <v>0</v>
      </c>
      <c r="P960" t="n">
        <v>0</v>
      </c>
      <c r="Q960" t="n">
        <v>0</v>
      </c>
      <c r="R960" s="2" t="inlineStr"/>
    </row>
    <row r="961" ht="15" customHeight="1">
      <c r="A961" t="inlineStr">
        <is>
          <t>A 38829-2024</t>
        </is>
      </c>
      <c r="B961" s="1" t="n">
        <v>45547.57247685185</v>
      </c>
      <c r="C961" s="1" t="n">
        <v>46136</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25542-2024</t>
        </is>
      </c>
      <c r="B962" s="1" t="n">
        <v>45463</v>
      </c>
      <c r="C962" s="1" t="n">
        <v>46136</v>
      </c>
      <c r="D962" t="inlineStr">
        <is>
          <t>SKÅNE LÄN</t>
        </is>
      </c>
      <c r="E962" t="inlineStr">
        <is>
          <t>HÄSSLEHOLM</t>
        </is>
      </c>
      <c r="G962" t="n">
        <v>6.9</v>
      </c>
      <c r="H962" t="n">
        <v>0</v>
      </c>
      <c r="I962" t="n">
        <v>0</v>
      </c>
      <c r="J962" t="n">
        <v>0</v>
      </c>
      <c r="K962" t="n">
        <v>0</v>
      </c>
      <c r="L962" t="n">
        <v>0</v>
      </c>
      <c r="M962" t="n">
        <v>0</v>
      </c>
      <c r="N962" t="n">
        <v>0</v>
      </c>
      <c r="O962" t="n">
        <v>0</v>
      </c>
      <c r="P962" t="n">
        <v>0</v>
      </c>
      <c r="Q962" t="n">
        <v>0</v>
      </c>
      <c r="R962" s="2" t="inlineStr"/>
    </row>
    <row r="963" ht="15" customHeight="1">
      <c r="A963" t="inlineStr">
        <is>
          <t>A 55454-2021</t>
        </is>
      </c>
      <c r="B963" s="1" t="n">
        <v>44475</v>
      </c>
      <c r="C963" s="1" t="n">
        <v>46136</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61489-2024</t>
        </is>
      </c>
      <c r="B964" s="1" t="n">
        <v>45646.54875</v>
      </c>
      <c r="C964" s="1" t="n">
        <v>46136</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26879-2024</t>
        </is>
      </c>
      <c r="B965" s="1" t="n">
        <v>45470</v>
      </c>
      <c r="C965" s="1" t="n">
        <v>46136</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59728-2022</t>
        </is>
      </c>
      <c r="B966" s="1" t="n">
        <v>44900</v>
      </c>
      <c r="C966" s="1" t="n">
        <v>46136</v>
      </c>
      <c r="D966" t="inlineStr">
        <is>
          <t>SKÅNE LÄN</t>
        </is>
      </c>
      <c r="E966" t="inlineStr">
        <is>
          <t>HÄSSLEHOLM</t>
        </is>
      </c>
      <c r="G966" t="n">
        <v>0.3</v>
      </c>
      <c r="H966" t="n">
        <v>0</v>
      </c>
      <c r="I966" t="n">
        <v>0</v>
      </c>
      <c r="J966" t="n">
        <v>0</v>
      </c>
      <c r="K966" t="n">
        <v>0</v>
      </c>
      <c r="L966" t="n">
        <v>0</v>
      </c>
      <c r="M966" t="n">
        <v>0</v>
      </c>
      <c r="N966" t="n">
        <v>0</v>
      </c>
      <c r="O966" t="n">
        <v>0</v>
      </c>
      <c r="P966" t="n">
        <v>0</v>
      </c>
      <c r="Q966" t="n">
        <v>0</v>
      </c>
      <c r="R966" s="2" t="inlineStr"/>
    </row>
    <row r="967" ht="15" customHeight="1">
      <c r="A967" t="inlineStr">
        <is>
          <t>A 3294-2025</t>
        </is>
      </c>
      <c r="B967" s="1" t="n">
        <v>45679.64125</v>
      </c>
      <c r="C967" s="1" t="n">
        <v>46136</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13897-2024</t>
        </is>
      </c>
      <c r="B968" s="1" t="n">
        <v>45391</v>
      </c>
      <c r="C968" s="1" t="n">
        <v>46136</v>
      </c>
      <c r="D968" t="inlineStr">
        <is>
          <t>SKÅNE LÄN</t>
        </is>
      </c>
      <c r="E968" t="inlineStr">
        <is>
          <t>HÄSSLEHOLM</t>
        </is>
      </c>
      <c r="F968" t="inlineStr">
        <is>
          <t>Kommuner</t>
        </is>
      </c>
      <c r="G968" t="n">
        <v>4</v>
      </c>
      <c r="H968" t="n">
        <v>0</v>
      </c>
      <c r="I968" t="n">
        <v>0</v>
      </c>
      <c r="J968" t="n">
        <v>0</v>
      </c>
      <c r="K968" t="n">
        <v>0</v>
      </c>
      <c r="L968" t="n">
        <v>0</v>
      </c>
      <c r="M968" t="n">
        <v>0</v>
      </c>
      <c r="N968" t="n">
        <v>0</v>
      </c>
      <c r="O968" t="n">
        <v>0</v>
      </c>
      <c r="P968" t="n">
        <v>0</v>
      </c>
      <c r="Q968" t="n">
        <v>0</v>
      </c>
      <c r="R968" s="2" t="inlineStr"/>
    </row>
    <row r="969" ht="15" customHeight="1">
      <c r="A969" t="inlineStr">
        <is>
          <t>A 7604-2024</t>
        </is>
      </c>
      <c r="B969" s="1" t="n">
        <v>45348</v>
      </c>
      <c r="C969" s="1" t="n">
        <v>46136</v>
      </c>
      <c r="D969" t="inlineStr">
        <is>
          <t>SKÅNE LÄN</t>
        </is>
      </c>
      <c r="E969" t="inlineStr">
        <is>
          <t>HÄSSLEHOLM</t>
        </is>
      </c>
      <c r="G969" t="n">
        <v>11.1</v>
      </c>
      <c r="H969" t="n">
        <v>0</v>
      </c>
      <c r="I969" t="n">
        <v>0</v>
      </c>
      <c r="J969" t="n">
        <v>0</v>
      </c>
      <c r="K969" t="n">
        <v>0</v>
      </c>
      <c r="L969" t="n">
        <v>0</v>
      </c>
      <c r="M969" t="n">
        <v>0</v>
      </c>
      <c r="N969" t="n">
        <v>0</v>
      </c>
      <c r="O969" t="n">
        <v>0</v>
      </c>
      <c r="P969" t="n">
        <v>0</v>
      </c>
      <c r="Q969" t="n">
        <v>0</v>
      </c>
      <c r="R969" s="2" t="inlineStr"/>
    </row>
    <row r="970" ht="15" customHeight="1">
      <c r="A970" t="inlineStr">
        <is>
          <t>A 36706-2022</t>
        </is>
      </c>
      <c r="B970" s="1" t="n">
        <v>44805.32891203704</v>
      </c>
      <c r="C970" s="1" t="n">
        <v>46136</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441-2022</t>
        </is>
      </c>
      <c r="B971" s="1" t="n">
        <v>44565.97125</v>
      </c>
      <c r="C971" s="1" t="n">
        <v>46136</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3364-2023</t>
        </is>
      </c>
      <c r="B972" s="1" t="n">
        <v>44949</v>
      </c>
      <c r="C972" s="1" t="n">
        <v>46136</v>
      </c>
      <c r="D972" t="inlineStr">
        <is>
          <t>SKÅNE LÄN</t>
        </is>
      </c>
      <c r="E972" t="inlineStr">
        <is>
          <t>HÄSSLEHOLM</t>
        </is>
      </c>
      <c r="G972" t="n">
        <v>5.1</v>
      </c>
      <c r="H972" t="n">
        <v>0</v>
      </c>
      <c r="I972" t="n">
        <v>0</v>
      </c>
      <c r="J972" t="n">
        <v>0</v>
      </c>
      <c r="K972" t="n">
        <v>0</v>
      </c>
      <c r="L972" t="n">
        <v>0</v>
      </c>
      <c r="M972" t="n">
        <v>0</v>
      </c>
      <c r="N972" t="n">
        <v>0</v>
      </c>
      <c r="O972" t="n">
        <v>0</v>
      </c>
      <c r="P972" t="n">
        <v>0</v>
      </c>
      <c r="Q972" t="n">
        <v>0</v>
      </c>
      <c r="R972" s="2" t="inlineStr"/>
    </row>
    <row r="973" ht="15" customHeight="1">
      <c r="A973" t="inlineStr">
        <is>
          <t>A 43629-2023</t>
        </is>
      </c>
      <c r="B973" s="1" t="n">
        <v>45184</v>
      </c>
      <c r="C973" s="1" t="n">
        <v>46136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57656-2022</t>
        </is>
      </c>
      <c r="B974" s="1" t="n">
        <v>44897.4325925926</v>
      </c>
      <c r="C974" s="1" t="n">
        <v>46136</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8250-2023</t>
        </is>
      </c>
      <c r="B975" s="1" t="n">
        <v>44974</v>
      </c>
      <c r="C975" s="1" t="n">
        <v>46136</v>
      </c>
      <c r="D975" t="inlineStr">
        <is>
          <t>SKÅNE LÄN</t>
        </is>
      </c>
      <c r="E975" t="inlineStr">
        <is>
          <t>HÄSSLEHOLM</t>
        </is>
      </c>
      <c r="G975" t="n">
        <v>3</v>
      </c>
      <c r="H975" t="n">
        <v>0</v>
      </c>
      <c r="I975" t="n">
        <v>0</v>
      </c>
      <c r="J975" t="n">
        <v>0</v>
      </c>
      <c r="K975" t="n">
        <v>0</v>
      </c>
      <c r="L975" t="n">
        <v>0</v>
      </c>
      <c r="M975" t="n">
        <v>0</v>
      </c>
      <c r="N975" t="n">
        <v>0</v>
      </c>
      <c r="O975" t="n">
        <v>0</v>
      </c>
      <c r="P975" t="n">
        <v>0</v>
      </c>
      <c r="Q975" t="n">
        <v>0</v>
      </c>
      <c r="R975" s="2" t="inlineStr"/>
    </row>
    <row r="976" ht="15" customHeight="1">
      <c r="A976" t="inlineStr">
        <is>
          <t>A 6101-2022</t>
        </is>
      </c>
      <c r="B976" s="1" t="n">
        <v>44599.63016203704</v>
      </c>
      <c r="C976" s="1" t="n">
        <v>46136</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6842-2023</t>
        </is>
      </c>
      <c r="B977" s="1" t="n">
        <v>44967</v>
      </c>
      <c r="C977" s="1" t="n">
        <v>46136</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7202-2022</t>
        </is>
      </c>
      <c r="B978" s="1" t="n">
        <v>44606</v>
      </c>
      <c r="C978" s="1" t="n">
        <v>46136</v>
      </c>
      <c r="D978" t="inlineStr">
        <is>
          <t>SKÅNE LÄN</t>
        </is>
      </c>
      <c r="E978" t="inlineStr">
        <is>
          <t>HÄSSLEHOLM</t>
        </is>
      </c>
      <c r="G978" t="n">
        <v>4.7</v>
      </c>
      <c r="H978" t="n">
        <v>0</v>
      </c>
      <c r="I978" t="n">
        <v>0</v>
      </c>
      <c r="J978" t="n">
        <v>0</v>
      </c>
      <c r="K978" t="n">
        <v>0</v>
      </c>
      <c r="L978" t="n">
        <v>0</v>
      </c>
      <c r="M978" t="n">
        <v>0</v>
      </c>
      <c r="N978" t="n">
        <v>0</v>
      </c>
      <c r="O978" t="n">
        <v>0</v>
      </c>
      <c r="P978" t="n">
        <v>0</v>
      </c>
      <c r="Q978" t="n">
        <v>0</v>
      </c>
      <c r="R978" s="2" t="inlineStr"/>
    </row>
    <row r="979" ht="15" customHeight="1">
      <c r="A979" t="inlineStr">
        <is>
          <t>A 5054-2022</t>
        </is>
      </c>
      <c r="B979" s="1" t="n">
        <v>44593.69065972222</v>
      </c>
      <c r="C979" s="1" t="n">
        <v>46136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49181-2024</t>
        </is>
      </c>
      <c r="B980" s="1" t="n">
        <v>45595</v>
      </c>
      <c r="C980" s="1" t="n">
        <v>46136</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3349-2023</t>
        </is>
      </c>
      <c r="B981" s="1" t="n">
        <v>44949</v>
      </c>
      <c r="C981" s="1" t="n">
        <v>46136</v>
      </c>
      <c r="D981" t="inlineStr">
        <is>
          <t>SKÅNE LÄN</t>
        </is>
      </c>
      <c r="E981" t="inlineStr">
        <is>
          <t>HÄSSLEHOLM</t>
        </is>
      </c>
      <c r="G981" t="n">
        <v>2.3</v>
      </c>
      <c r="H981" t="n">
        <v>0</v>
      </c>
      <c r="I981" t="n">
        <v>0</v>
      </c>
      <c r="J981" t="n">
        <v>0</v>
      </c>
      <c r="K981" t="n">
        <v>0</v>
      </c>
      <c r="L981" t="n">
        <v>0</v>
      </c>
      <c r="M981" t="n">
        <v>0</v>
      </c>
      <c r="N981" t="n">
        <v>0</v>
      </c>
      <c r="O981" t="n">
        <v>0</v>
      </c>
      <c r="P981" t="n">
        <v>0</v>
      </c>
      <c r="Q981" t="n">
        <v>0</v>
      </c>
      <c r="R981" s="2" t="inlineStr"/>
    </row>
    <row r="982" ht="15" customHeight="1">
      <c r="A982" t="inlineStr">
        <is>
          <t>A 49384-2021</t>
        </is>
      </c>
      <c r="B982" s="1" t="n">
        <v>44454</v>
      </c>
      <c r="C982" s="1" t="n">
        <v>46136</v>
      </c>
      <c r="D982" t="inlineStr">
        <is>
          <t>SKÅNE LÄN</t>
        </is>
      </c>
      <c r="E982" t="inlineStr">
        <is>
          <t>HÄSSLEHOLM</t>
        </is>
      </c>
      <c r="G982" t="n">
        <v>2.6</v>
      </c>
      <c r="H982" t="n">
        <v>0</v>
      </c>
      <c r="I982" t="n">
        <v>0</v>
      </c>
      <c r="J982" t="n">
        <v>0</v>
      </c>
      <c r="K982" t="n">
        <v>0</v>
      </c>
      <c r="L982" t="n">
        <v>0</v>
      </c>
      <c r="M982" t="n">
        <v>0</v>
      </c>
      <c r="N982" t="n">
        <v>0</v>
      </c>
      <c r="O982" t="n">
        <v>0</v>
      </c>
      <c r="P982" t="n">
        <v>0</v>
      </c>
      <c r="Q982" t="n">
        <v>0</v>
      </c>
      <c r="R982" s="2" t="inlineStr"/>
    </row>
    <row r="983" ht="15" customHeight="1">
      <c r="A983" t="inlineStr">
        <is>
          <t>A 60959-2022</t>
        </is>
      </c>
      <c r="B983" s="1" t="n">
        <v>44914.64777777778</v>
      </c>
      <c r="C983" s="1" t="n">
        <v>46136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3746-2024</t>
        </is>
      </c>
      <c r="B984" s="1" t="n">
        <v>45321.50745370371</v>
      </c>
      <c r="C984" s="1" t="n">
        <v>46136</v>
      </c>
      <c r="D984" t="inlineStr">
        <is>
          <t>SKÅNE LÄN</t>
        </is>
      </c>
      <c r="E984" t="inlineStr">
        <is>
          <t>HÄSSLEHOLM</t>
        </is>
      </c>
      <c r="G984" t="n">
        <v>3.4</v>
      </c>
      <c r="H984" t="n">
        <v>0</v>
      </c>
      <c r="I984" t="n">
        <v>0</v>
      </c>
      <c r="J984" t="n">
        <v>0</v>
      </c>
      <c r="K984" t="n">
        <v>0</v>
      </c>
      <c r="L984" t="n">
        <v>0</v>
      </c>
      <c r="M984" t="n">
        <v>0</v>
      </c>
      <c r="N984" t="n">
        <v>0</v>
      </c>
      <c r="O984" t="n">
        <v>0</v>
      </c>
      <c r="P984" t="n">
        <v>0</v>
      </c>
      <c r="Q984" t="n">
        <v>0</v>
      </c>
      <c r="R984" s="2" t="inlineStr"/>
    </row>
    <row r="985" ht="15" customHeight="1">
      <c r="A985" t="inlineStr">
        <is>
          <t>A 44262-2021</t>
        </is>
      </c>
      <c r="B985" s="1" t="n">
        <v>44434</v>
      </c>
      <c r="C985" s="1" t="n">
        <v>46136</v>
      </c>
      <c r="D985" t="inlineStr">
        <is>
          <t>SKÅNE LÄN</t>
        </is>
      </c>
      <c r="E985" t="inlineStr">
        <is>
          <t>HÄSSLEHOLM</t>
        </is>
      </c>
      <c r="G985" t="n">
        <v>4.7</v>
      </c>
      <c r="H985" t="n">
        <v>0</v>
      </c>
      <c r="I985" t="n">
        <v>0</v>
      </c>
      <c r="J985" t="n">
        <v>0</v>
      </c>
      <c r="K985" t="n">
        <v>0</v>
      </c>
      <c r="L985" t="n">
        <v>0</v>
      </c>
      <c r="M985" t="n">
        <v>0</v>
      </c>
      <c r="N985" t="n">
        <v>0</v>
      </c>
      <c r="O985" t="n">
        <v>0</v>
      </c>
      <c r="P985" t="n">
        <v>0</v>
      </c>
      <c r="Q985" t="n">
        <v>0</v>
      </c>
      <c r="R985" s="2" t="inlineStr"/>
    </row>
    <row r="986" ht="15" customHeight="1">
      <c r="A986" t="inlineStr">
        <is>
          <t>A 1553-2023</t>
        </is>
      </c>
      <c r="B986" s="1" t="n">
        <v>44937</v>
      </c>
      <c r="C986" s="1" t="n">
        <v>46136</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1562-2023</t>
        </is>
      </c>
      <c r="B987" s="1" t="n">
        <v>44937.60450231482</v>
      </c>
      <c r="C987" s="1" t="n">
        <v>46136</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3452-2023</t>
        </is>
      </c>
      <c r="B988" s="1" t="n">
        <v>44949</v>
      </c>
      <c r="C988" s="1" t="n">
        <v>46136</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2596-2024</t>
        </is>
      </c>
      <c r="B989" s="1" t="n">
        <v>45313.69969907407</v>
      </c>
      <c r="C989" s="1" t="n">
        <v>46136</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2681-2024</t>
        </is>
      </c>
      <c r="B990" s="1" t="n">
        <v>45314</v>
      </c>
      <c r="C990" s="1" t="n">
        <v>46136</v>
      </c>
      <c r="D990" t="inlineStr">
        <is>
          <t>SKÅNE LÄN</t>
        </is>
      </c>
      <c r="E990" t="inlineStr">
        <is>
          <t>HÄSSLEHOLM</t>
        </is>
      </c>
      <c r="F990" t="inlineStr">
        <is>
          <t>Övriga Aktiebolag</t>
        </is>
      </c>
      <c r="G990" t="n">
        <v>1.4</v>
      </c>
      <c r="H990" t="n">
        <v>0</v>
      </c>
      <c r="I990" t="n">
        <v>0</v>
      </c>
      <c r="J990" t="n">
        <v>0</v>
      </c>
      <c r="K990" t="n">
        <v>0</v>
      </c>
      <c r="L990" t="n">
        <v>0</v>
      </c>
      <c r="M990" t="n">
        <v>0</v>
      </c>
      <c r="N990" t="n">
        <v>0</v>
      </c>
      <c r="O990" t="n">
        <v>0</v>
      </c>
      <c r="P990" t="n">
        <v>0</v>
      </c>
      <c r="Q990" t="n">
        <v>0</v>
      </c>
      <c r="R990" s="2" t="inlineStr"/>
    </row>
    <row r="991" ht="15" customHeight="1">
      <c r="A991" t="inlineStr">
        <is>
          <t>A 4187-2023</t>
        </is>
      </c>
      <c r="B991" s="1" t="n">
        <v>44953</v>
      </c>
      <c r="C991" s="1" t="n">
        <v>46136</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4382-2023</t>
        </is>
      </c>
      <c r="B992" s="1" t="n">
        <v>44955.61152777778</v>
      </c>
      <c r="C992" s="1" t="n">
        <v>46136</v>
      </c>
      <c r="D992" t="inlineStr">
        <is>
          <t>SKÅNE LÄN</t>
        </is>
      </c>
      <c r="E992" t="inlineStr">
        <is>
          <t>HÄSSLEHOLM</t>
        </is>
      </c>
      <c r="G992" t="n">
        <v>0.3</v>
      </c>
      <c r="H992" t="n">
        <v>0</v>
      </c>
      <c r="I992" t="n">
        <v>0</v>
      </c>
      <c r="J992" t="n">
        <v>0</v>
      </c>
      <c r="K992" t="n">
        <v>0</v>
      </c>
      <c r="L992" t="n">
        <v>0</v>
      </c>
      <c r="M992" t="n">
        <v>0</v>
      </c>
      <c r="N992" t="n">
        <v>0</v>
      </c>
      <c r="O992" t="n">
        <v>0</v>
      </c>
      <c r="P992" t="n">
        <v>0</v>
      </c>
      <c r="Q992" t="n">
        <v>0</v>
      </c>
      <c r="R992" s="2" t="inlineStr"/>
    </row>
    <row r="993" ht="15" customHeight="1">
      <c r="A993" t="inlineStr">
        <is>
          <t>A 49107-2023</t>
        </is>
      </c>
      <c r="B993" s="1" t="n">
        <v>45210.44337962963</v>
      </c>
      <c r="C993" s="1" t="n">
        <v>46136</v>
      </c>
      <c r="D993" t="inlineStr">
        <is>
          <t>SKÅNE LÄN</t>
        </is>
      </c>
      <c r="E993" t="inlineStr">
        <is>
          <t>HÄSSLEHOLM</t>
        </is>
      </c>
      <c r="G993" t="n">
        <v>0.3</v>
      </c>
      <c r="H993" t="n">
        <v>0</v>
      </c>
      <c r="I993" t="n">
        <v>0</v>
      </c>
      <c r="J993" t="n">
        <v>0</v>
      </c>
      <c r="K993" t="n">
        <v>0</v>
      </c>
      <c r="L993" t="n">
        <v>0</v>
      </c>
      <c r="M993" t="n">
        <v>0</v>
      </c>
      <c r="N993" t="n">
        <v>0</v>
      </c>
      <c r="O993" t="n">
        <v>0</v>
      </c>
      <c r="P993" t="n">
        <v>0</v>
      </c>
      <c r="Q993" t="n">
        <v>0</v>
      </c>
      <c r="R993" s="2" t="inlineStr"/>
    </row>
    <row r="994" ht="15" customHeight="1">
      <c r="A994" t="inlineStr">
        <is>
          <t>A 5282-2023</t>
        </is>
      </c>
      <c r="B994" s="1" t="n">
        <v>44959.50471064815</v>
      </c>
      <c r="C994" s="1" t="n">
        <v>46136</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53897-2023</t>
        </is>
      </c>
      <c r="B995" s="1" t="n">
        <v>45231.53934027778</v>
      </c>
      <c r="C995" s="1" t="n">
        <v>46136</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20990-2023</t>
        </is>
      </c>
      <c r="B996" s="1" t="n">
        <v>45061.46186342592</v>
      </c>
      <c r="C996" s="1" t="n">
        <v>46136</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22696-2023</t>
        </is>
      </c>
      <c r="B997" s="1" t="n">
        <v>45071.69464120371</v>
      </c>
      <c r="C997" s="1" t="n">
        <v>46136</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33873-2021</t>
        </is>
      </c>
      <c r="B998" s="1" t="n">
        <v>44378</v>
      </c>
      <c r="C998" s="1" t="n">
        <v>46136</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34348-2022</t>
        </is>
      </c>
      <c r="B999" s="1" t="n">
        <v>44792</v>
      </c>
      <c r="C999" s="1" t="n">
        <v>46136</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6836-2023</t>
        </is>
      </c>
      <c r="B1000" s="1" t="n">
        <v>44967</v>
      </c>
      <c r="C1000" s="1" t="n">
        <v>46136</v>
      </c>
      <c r="D1000" t="inlineStr">
        <is>
          <t>SKÅNE LÄN</t>
        </is>
      </c>
      <c r="E1000" t="inlineStr">
        <is>
          <t>HÄSSLEHOLM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31931-2024</t>
        </is>
      </c>
      <c r="B1001" s="1" t="n">
        <v>45510.40878472223</v>
      </c>
      <c r="C1001" s="1" t="n">
        <v>46136</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8803-2023</t>
        </is>
      </c>
      <c r="B1002" s="1" t="n">
        <v>44978.61712962963</v>
      </c>
      <c r="C1002" s="1" t="n">
        <v>46136</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11681-2023</t>
        </is>
      </c>
      <c r="B1003" s="1" t="n">
        <v>44992</v>
      </c>
      <c r="C1003" s="1" t="n">
        <v>46136</v>
      </c>
      <c r="D1003" t="inlineStr">
        <is>
          <t>SKÅNE LÄN</t>
        </is>
      </c>
      <c r="E1003" t="inlineStr">
        <is>
          <t>HÄSSLEHOLM</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46222-2022</t>
        </is>
      </c>
      <c r="B1004" s="1" t="n">
        <v>44847.58725694445</v>
      </c>
      <c r="C1004" s="1" t="n">
        <v>46136</v>
      </c>
      <c r="D1004" t="inlineStr">
        <is>
          <t>SKÅNE LÄN</t>
        </is>
      </c>
      <c r="E1004" t="inlineStr">
        <is>
          <t>HÄSSLEHOLM</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50249-2024</t>
        </is>
      </c>
      <c r="B1005" s="1" t="n">
        <v>45600.56866898148</v>
      </c>
      <c r="C1005" s="1" t="n">
        <v>46136</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60843-2022</t>
        </is>
      </c>
      <c r="B1006" s="1" t="n">
        <v>44914</v>
      </c>
      <c r="C1006" s="1" t="n">
        <v>46136</v>
      </c>
      <c r="D1006" t="inlineStr">
        <is>
          <t>SKÅNE LÄN</t>
        </is>
      </c>
      <c r="E1006" t="inlineStr">
        <is>
          <t>HÄSSLEHOLM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51040-2024</t>
        </is>
      </c>
      <c r="B1007" s="1" t="n">
        <v>45603.43222222223</v>
      </c>
      <c r="C1007" s="1" t="n">
        <v>46136</v>
      </c>
      <c r="D1007" t="inlineStr">
        <is>
          <t>SKÅNE LÄN</t>
        </is>
      </c>
      <c r="E1007" t="inlineStr">
        <is>
          <t>HÄSSLEHOLM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56881-2021</t>
        </is>
      </c>
      <c r="B1008" s="1" t="n">
        <v>44481</v>
      </c>
      <c r="C1008" s="1" t="n">
        <v>46136</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45653-2024</t>
        </is>
      </c>
      <c r="B1009" s="1" t="n">
        <v>45579.48872685185</v>
      </c>
      <c r="C1009" s="1" t="n">
        <v>46136</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56956-2024</t>
        </is>
      </c>
      <c r="B1010" s="1" t="n">
        <v>45626</v>
      </c>
      <c r="C1010" s="1" t="n">
        <v>46136</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45392-2024</t>
        </is>
      </c>
      <c r="B1011" s="1" t="n">
        <v>45576.55008101852</v>
      </c>
      <c r="C1011" s="1" t="n">
        <v>46136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20187-2023</t>
        </is>
      </c>
      <c r="B1012" s="1" t="n">
        <v>45055.57027777778</v>
      </c>
      <c r="C1012" s="1" t="n">
        <v>46136</v>
      </c>
      <c r="D1012" t="inlineStr">
        <is>
          <t>SKÅNE LÄN</t>
        </is>
      </c>
      <c r="E1012" t="inlineStr">
        <is>
          <t>HÄSSLEHOLM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1543-2024</t>
        </is>
      </c>
      <c r="B1013" s="1" t="n">
        <v>45306</v>
      </c>
      <c r="C1013" s="1" t="n">
        <v>46136</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37038-2022</t>
        </is>
      </c>
      <c r="B1014" s="1" t="n">
        <v>44806.44232638889</v>
      </c>
      <c r="C1014" s="1" t="n">
        <v>46136</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16454-2023</t>
        </is>
      </c>
      <c r="B1015" s="1" t="n">
        <v>45029.48425925926</v>
      </c>
      <c r="C1015" s="1" t="n">
        <v>46136</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31572-2022</t>
        </is>
      </c>
      <c r="B1016" s="1" t="n">
        <v>44775</v>
      </c>
      <c r="C1016" s="1" t="n">
        <v>46136</v>
      </c>
      <c r="D1016" t="inlineStr">
        <is>
          <t>SKÅNE LÄN</t>
        </is>
      </c>
      <c r="E1016" t="inlineStr">
        <is>
          <t>HÄSSLEHOLM</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70087-2021</t>
        </is>
      </c>
      <c r="B1017" s="1" t="n">
        <v>44533</v>
      </c>
      <c r="C1017" s="1" t="n">
        <v>46136</v>
      </c>
      <c r="D1017" t="inlineStr">
        <is>
          <t>SKÅNE LÄN</t>
        </is>
      </c>
      <c r="E1017" t="inlineStr">
        <is>
          <t>HÄSSLEHOLM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9375-2023</t>
        </is>
      </c>
      <c r="B1018" s="1" t="n">
        <v>44981</v>
      </c>
      <c r="C1018" s="1" t="n">
        <v>46136</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29287-2023</t>
        </is>
      </c>
      <c r="B1019" s="1" t="n">
        <v>45098</v>
      </c>
      <c r="C1019" s="1" t="n">
        <v>46136</v>
      </c>
      <c r="D1019" t="inlineStr">
        <is>
          <t>SKÅNE LÄN</t>
        </is>
      </c>
      <c r="E1019" t="inlineStr">
        <is>
          <t>HÄSSLEHOLM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55416-2021</t>
        </is>
      </c>
      <c r="B1020" s="1" t="n">
        <v>44475</v>
      </c>
      <c r="C1020" s="1" t="n">
        <v>46136</v>
      </c>
      <c r="D1020" t="inlineStr">
        <is>
          <t>SKÅNE LÄN</t>
        </is>
      </c>
      <c r="E1020" t="inlineStr">
        <is>
          <t>HÄSSLEHOLM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60509-2023</t>
        </is>
      </c>
      <c r="B1021" s="1" t="n">
        <v>45259</v>
      </c>
      <c r="C1021" s="1" t="n">
        <v>46136</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21310-2022</t>
        </is>
      </c>
      <c r="B1022" s="1" t="n">
        <v>44705</v>
      </c>
      <c r="C1022" s="1" t="n">
        <v>46136</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9485-2023</t>
        </is>
      </c>
      <c r="B1023" s="1" t="n">
        <v>44981.60901620371</v>
      </c>
      <c r="C1023" s="1" t="n">
        <v>46136</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9502-2023</t>
        </is>
      </c>
      <c r="B1024" s="1" t="n">
        <v>44981.63278935185</v>
      </c>
      <c r="C1024" s="1" t="n">
        <v>46136</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10928-2024</t>
        </is>
      </c>
      <c r="B1025" s="1" t="n">
        <v>45370</v>
      </c>
      <c r="C1025" s="1" t="n">
        <v>46136</v>
      </c>
      <c r="D1025" t="inlineStr">
        <is>
          <t>SKÅNE LÄN</t>
        </is>
      </c>
      <c r="E1025" t="inlineStr">
        <is>
          <t>HÄSSLEHOLM</t>
        </is>
      </c>
      <c r="F1025" t="inlineStr">
        <is>
          <t>Övriga Aktiebolag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5890-2023</t>
        </is>
      </c>
      <c r="B1026" s="1" t="n">
        <v>44963.64527777778</v>
      </c>
      <c r="C1026" s="1" t="n">
        <v>46136</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5894-2023</t>
        </is>
      </c>
      <c r="B1027" s="1" t="n">
        <v>44963.65148148148</v>
      </c>
      <c r="C1027" s="1" t="n">
        <v>46136</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12843-2023</t>
        </is>
      </c>
      <c r="B1028" s="1" t="n">
        <v>45001.48423611111</v>
      </c>
      <c r="C1028" s="1" t="n">
        <v>46136</v>
      </c>
      <c r="D1028" t="inlineStr">
        <is>
          <t>SKÅNE LÄN</t>
        </is>
      </c>
      <c r="E1028" t="inlineStr">
        <is>
          <t>HÄSSLEHOLM</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10944-2024</t>
        </is>
      </c>
      <c r="B1029" s="1" t="n">
        <v>45370</v>
      </c>
      <c r="C1029" s="1" t="n">
        <v>46136</v>
      </c>
      <c r="D1029" t="inlineStr">
        <is>
          <t>SKÅNE LÄN</t>
        </is>
      </c>
      <c r="E1029" t="inlineStr">
        <is>
          <t>HÄSSLEHOLM</t>
        </is>
      </c>
      <c r="F1029" t="inlineStr">
        <is>
          <t>Övriga Aktiebolag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13309-2025</t>
        </is>
      </c>
      <c r="B1030" s="1" t="n">
        <v>45735.58512731481</v>
      </c>
      <c r="C1030" s="1" t="n">
        <v>46136</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5980-2024</t>
        </is>
      </c>
      <c r="B1031" s="1" t="n">
        <v>45335</v>
      </c>
      <c r="C1031" s="1" t="n">
        <v>46136</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42372-2024</t>
        </is>
      </c>
      <c r="B1032" s="1" t="n">
        <v>45564.5127199074</v>
      </c>
      <c r="C1032" s="1" t="n">
        <v>46136</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17699-2024</t>
        </is>
      </c>
      <c r="B1033" s="1" t="n">
        <v>45418.46094907408</v>
      </c>
      <c r="C1033" s="1" t="n">
        <v>46136</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17702-2024</t>
        </is>
      </c>
      <c r="B1034" s="1" t="n">
        <v>45418.46534722222</v>
      </c>
      <c r="C1034" s="1" t="n">
        <v>46136</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20566-2023</t>
        </is>
      </c>
      <c r="B1035" s="1" t="n">
        <v>45057</v>
      </c>
      <c r="C1035" s="1" t="n">
        <v>46136</v>
      </c>
      <c r="D1035" t="inlineStr">
        <is>
          <t>SKÅNE LÄN</t>
        </is>
      </c>
      <c r="E1035" t="inlineStr">
        <is>
          <t>HÄSSLEHOLM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32967-2023</t>
        </is>
      </c>
      <c r="B1036" s="1" t="n">
        <v>45125</v>
      </c>
      <c r="C1036" s="1" t="n">
        <v>46136</v>
      </c>
      <c r="D1036" t="inlineStr">
        <is>
          <t>SKÅNE LÄN</t>
        </is>
      </c>
      <c r="E1036" t="inlineStr">
        <is>
          <t>HÄSSLEHOLM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32968-2023</t>
        </is>
      </c>
      <c r="B1037" s="1" t="n">
        <v>45125</v>
      </c>
      <c r="C1037" s="1" t="n">
        <v>46136</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42231-2022</t>
        </is>
      </c>
      <c r="B1038" s="1" t="n">
        <v>44830.77003472222</v>
      </c>
      <c r="C1038" s="1" t="n">
        <v>46136</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54982-2024</t>
        </is>
      </c>
      <c r="B1039" s="1" t="n">
        <v>45620.7580787037</v>
      </c>
      <c r="C1039" s="1" t="n">
        <v>46136</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36795-2023</t>
        </is>
      </c>
      <c r="B1040" s="1" t="n">
        <v>45154.38245370371</v>
      </c>
      <c r="C1040" s="1" t="n">
        <v>46136</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15698-2023</t>
        </is>
      </c>
      <c r="B1041" s="1" t="n">
        <v>45021</v>
      </c>
      <c r="C1041" s="1" t="n">
        <v>46136</v>
      </c>
      <c r="D1041" t="inlineStr">
        <is>
          <t>SKÅNE LÄN</t>
        </is>
      </c>
      <c r="E1041" t="inlineStr">
        <is>
          <t>HÄSSLEHOLM</t>
        </is>
      </c>
      <c r="F1041" t="inlineStr">
        <is>
          <t>Kommuner</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12584-2025</t>
        </is>
      </c>
      <c r="B1042" s="1" t="n">
        <v>45732</v>
      </c>
      <c r="C1042" s="1" t="n">
        <v>46136</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31998-2023</t>
        </is>
      </c>
      <c r="B1043" s="1" t="n">
        <v>45119</v>
      </c>
      <c r="C1043" s="1" t="n">
        <v>46136</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4140-2023</t>
        </is>
      </c>
      <c r="B1044" s="1" t="n">
        <v>44953</v>
      </c>
      <c r="C1044" s="1" t="n">
        <v>46136</v>
      </c>
      <c r="D1044" t="inlineStr">
        <is>
          <t>SKÅNE LÄN</t>
        </is>
      </c>
      <c r="E1044" t="inlineStr">
        <is>
          <t>HÄSSLEHOLM</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25077-2024</t>
        </is>
      </c>
      <c r="B1045" s="1" t="n">
        <v>45462</v>
      </c>
      <c r="C1045" s="1" t="n">
        <v>46136</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46942-2024</t>
        </is>
      </c>
      <c r="B1046" s="1" t="n">
        <v>45585.6684375</v>
      </c>
      <c r="C1046" s="1" t="n">
        <v>46136</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33257-2024</t>
        </is>
      </c>
      <c r="B1047" s="1" t="n">
        <v>45518</v>
      </c>
      <c r="C1047" s="1" t="n">
        <v>46136</v>
      </c>
      <c r="D1047" t="inlineStr">
        <is>
          <t>SKÅNE LÄN</t>
        </is>
      </c>
      <c r="E1047" t="inlineStr">
        <is>
          <t>HÄSSLEHOLM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17492-2025</t>
        </is>
      </c>
      <c r="B1048" s="1" t="n">
        <v>45747</v>
      </c>
      <c r="C1048" s="1" t="n">
        <v>46136</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51618-2024</t>
        </is>
      </c>
      <c r="B1049" s="1" t="n">
        <v>45604.82615740741</v>
      </c>
      <c r="C1049" s="1" t="n">
        <v>46136</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10409-2024</t>
        </is>
      </c>
      <c r="B1050" s="1" t="n">
        <v>45365.6978125</v>
      </c>
      <c r="C1050" s="1" t="n">
        <v>46136</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31995-2023</t>
        </is>
      </c>
      <c r="B1051" s="1" t="n">
        <v>45107</v>
      </c>
      <c r="C1051" s="1" t="n">
        <v>46136</v>
      </c>
      <c r="D1051" t="inlineStr">
        <is>
          <t>SKÅNE LÄN</t>
        </is>
      </c>
      <c r="E1051" t="inlineStr">
        <is>
          <t>HÄSSLEHOLM</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4356-2024</t>
        </is>
      </c>
      <c r="B1052" s="1" t="n">
        <v>45325.36195601852</v>
      </c>
      <c r="C1052" s="1" t="n">
        <v>46136</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47840-2023</t>
        </is>
      </c>
      <c r="B1053" s="1" t="n">
        <v>45204</v>
      </c>
      <c r="C1053" s="1" t="n">
        <v>46136</v>
      </c>
      <c r="D1053" t="inlineStr">
        <is>
          <t>SKÅNE LÄN</t>
        </is>
      </c>
      <c r="E1053" t="inlineStr">
        <is>
          <t>HÄSSLEHOLM</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34888-2023</t>
        </is>
      </c>
      <c r="B1054" s="1" t="n">
        <v>45142.388125</v>
      </c>
      <c r="C1054" s="1" t="n">
        <v>46136</v>
      </c>
      <c r="D1054" t="inlineStr">
        <is>
          <t>SKÅNE LÄN</t>
        </is>
      </c>
      <c r="E1054" t="inlineStr">
        <is>
          <t>HÄSSLEHOLM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20435-2021</t>
        </is>
      </c>
      <c r="B1055" s="1" t="n">
        <v>44315.5793287037</v>
      </c>
      <c r="C1055" s="1" t="n">
        <v>46136</v>
      </c>
      <c r="D1055" t="inlineStr">
        <is>
          <t>SKÅNE LÄN</t>
        </is>
      </c>
      <c r="E1055" t="inlineStr">
        <is>
          <t>HÄSSLEHOLM</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53085-2022</t>
        </is>
      </c>
      <c r="B1056" s="1" t="n">
        <v>44873</v>
      </c>
      <c r="C1056" s="1" t="n">
        <v>46136</v>
      </c>
      <c r="D1056" t="inlineStr">
        <is>
          <t>SKÅNE LÄN</t>
        </is>
      </c>
      <c r="E1056" t="inlineStr">
        <is>
          <t>HÄSSLEHOLM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16388-2025</t>
        </is>
      </c>
      <c r="B1057" s="1" t="n">
        <v>45751.42787037037</v>
      </c>
      <c r="C1057" s="1" t="n">
        <v>46136</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16668-2025</t>
        </is>
      </c>
      <c r="B1058" s="1" t="n">
        <v>45754.43009259259</v>
      </c>
      <c r="C1058" s="1" t="n">
        <v>46136</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9709-2023</t>
        </is>
      </c>
      <c r="B1059" s="1" t="n">
        <v>44984.48376157408</v>
      </c>
      <c r="C1059" s="1" t="n">
        <v>46136</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13646-2024</t>
        </is>
      </c>
      <c r="B1060" s="1" t="n">
        <v>45387</v>
      </c>
      <c r="C1060" s="1" t="n">
        <v>46136</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21867-2023</t>
        </is>
      </c>
      <c r="B1061" s="1" t="n">
        <v>45063</v>
      </c>
      <c r="C1061" s="1" t="n">
        <v>46136</v>
      </c>
      <c r="D1061" t="inlineStr">
        <is>
          <t>SKÅNE LÄN</t>
        </is>
      </c>
      <c r="E1061" t="inlineStr">
        <is>
          <t>HÄSSLEHOLM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13087-2023</t>
        </is>
      </c>
      <c r="B1062" s="1" t="n">
        <v>45001</v>
      </c>
      <c r="C1062" s="1" t="n">
        <v>46136</v>
      </c>
      <c r="D1062" t="inlineStr">
        <is>
          <t>SKÅNE LÄN</t>
        </is>
      </c>
      <c r="E1062" t="inlineStr">
        <is>
          <t>HÄSSLEHOLM</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52968-2022</t>
        </is>
      </c>
      <c r="B1063" s="1" t="n">
        <v>44875</v>
      </c>
      <c r="C1063" s="1" t="n">
        <v>46136</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62167-2022</t>
        </is>
      </c>
      <c r="B1064" s="1" t="n">
        <v>44915</v>
      </c>
      <c r="C1064" s="1" t="n">
        <v>46136</v>
      </c>
      <c r="D1064" t="inlineStr">
        <is>
          <t>SKÅNE LÄN</t>
        </is>
      </c>
      <c r="E1064" t="inlineStr">
        <is>
          <t>HÄSSLEHOLM</t>
        </is>
      </c>
      <c r="F1064" t="inlineStr">
        <is>
          <t>Kyrkan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62234-2022</t>
        </is>
      </c>
      <c r="B1065" s="1" t="n">
        <v>44922</v>
      </c>
      <c r="C1065" s="1" t="n">
        <v>46136</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44741-2023</t>
        </is>
      </c>
      <c r="B1066" s="1" t="n">
        <v>45190.38804398148</v>
      </c>
      <c r="C1066" s="1" t="n">
        <v>46136</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9397-2025</t>
        </is>
      </c>
      <c r="B1067" s="1" t="n">
        <v>45715.37361111111</v>
      </c>
      <c r="C1067" s="1" t="n">
        <v>46136</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50899-2024</t>
        </is>
      </c>
      <c r="B1068" s="1" t="n">
        <v>45602.68584490741</v>
      </c>
      <c r="C1068" s="1" t="n">
        <v>46136</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48624-2021</t>
        </is>
      </c>
      <c r="B1069" s="1" t="n">
        <v>44452</v>
      </c>
      <c r="C1069" s="1" t="n">
        <v>46136</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10802-2024</t>
        </is>
      </c>
      <c r="B1070" s="1" t="n">
        <v>45369</v>
      </c>
      <c r="C1070" s="1" t="n">
        <v>46136</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48046-2023</t>
        </is>
      </c>
      <c r="B1071" s="1" t="n">
        <v>45204.85201388889</v>
      </c>
      <c r="C1071" s="1" t="n">
        <v>46136</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11607-2025</t>
        </is>
      </c>
      <c r="B1072" s="1" t="n">
        <v>45727</v>
      </c>
      <c r="C1072" s="1" t="n">
        <v>46136</v>
      </c>
      <c r="D1072" t="inlineStr">
        <is>
          <t>SKÅNE LÄN</t>
        </is>
      </c>
      <c r="E1072" t="inlineStr">
        <is>
          <t>HÄSSLEHOLM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49106-2023</t>
        </is>
      </c>
      <c r="B1073" s="1" t="n">
        <v>45210</v>
      </c>
      <c r="C1073" s="1" t="n">
        <v>46136</v>
      </c>
      <c r="D1073" t="inlineStr">
        <is>
          <t>SKÅNE LÄN</t>
        </is>
      </c>
      <c r="E1073" t="inlineStr">
        <is>
          <t>HÄSSLEHOLM</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58815-2023</t>
        </is>
      </c>
      <c r="B1074" s="1" t="n">
        <v>45247</v>
      </c>
      <c r="C1074" s="1" t="n">
        <v>46136</v>
      </c>
      <c r="D1074" t="inlineStr">
        <is>
          <t>SKÅNE LÄN</t>
        </is>
      </c>
      <c r="E1074" t="inlineStr">
        <is>
          <t>HÄSSLEHOLM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9697-2023</t>
        </is>
      </c>
      <c r="B1075" s="1" t="n">
        <v>44984</v>
      </c>
      <c r="C1075" s="1" t="n">
        <v>46136</v>
      </c>
      <c r="D1075" t="inlineStr">
        <is>
          <t>SKÅNE LÄN</t>
        </is>
      </c>
      <c r="E1075" t="inlineStr">
        <is>
          <t>HÄSSLEHOLM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27478-2023</t>
        </is>
      </c>
      <c r="B1076" s="1" t="n">
        <v>45092</v>
      </c>
      <c r="C1076" s="1" t="n">
        <v>46136</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1170-2025</t>
        </is>
      </c>
      <c r="B1077" s="1" t="n">
        <v>45667.29226851852</v>
      </c>
      <c r="C1077" s="1" t="n">
        <v>46136</v>
      </c>
      <c r="D1077" t="inlineStr">
        <is>
          <t>SKÅNE LÄN</t>
        </is>
      </c>
      <c r="E1077" t="inlineStr">
        <is>
          <t>HÄSSLEHOLM</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57749-2023</t>
        </is>
      </c>
      <c r="B1078" s="1" t="n">
        <v>45246</v>
      </c>
      <c r="C1078" s="1" t="n">
        <v>46136</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44940-2023</t>
        </is>
      </c>
      <c r="B1079" s="1" t="n">
        <v>45190.68653935185</v>
      </c>
      <c r="C1079" s="1" t="n">
        <v>46136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18800-2023</t>
        </is>
      </c>
      <c r="B1080" s="1" t="n">
        <v>45044</v>
      </c>
      <c r="C1080" s="1" t="n">
        <v>46136</v>
      </c>
      <c r="D1080" t="inlineStr">
        <is>
          <t>SKÅNE LÄN</t>
        </is>
      </c>
      <c r="E1080" t="inlineStr">
        <is>
          <t>HÄSSLEHOLM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25206-2023</t>
        </is>
      </c>
      <c r="B1081" s="1" t="n">
        <v>45086.59318287037</v>
      </c>
      <c r="C1081" s="1" t="n">
        <v>46136</v>
      </c>
      <c r="D1081" t="inlineStr">
        <is>
          <t>SKÅNE LÄN</t>
        </is>
      </c>
      <c r="E1081" t="inlineStr">
        <is>
          <t>HÄSSLEHOLM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5116-2023</t>
        </is>
      </c>
      <c r="B1082" s="1" t="n">
        <v>44958.67546296296</v>
      </c>
      <c r="C1082" s="1" t="n">
        <v>46136</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10220-2023</t>
        </is>
      </c>
      <c r="B1083" s="1" t="n">
        <v>44986.60916666667</v>
      </c>
      <c r="C1083" s="1" t="n">
        <v>46136</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25611-2024</t>
        </is>
      </c>
      <c r="B1084" s="1" t="n">
        <v>45463</v>
      </c>
      <c r="C1084" s="1" t="n">
        <v>46136</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26536-2022</t>
        </is>
      </c>
      <c r="B1085" s="1" t="n">
        <v>44739.45496527778</v>
      </c>
      <c r="C1085" s="1" t="n">
        <v>46136</v>
      </c>
      <c r="D1085" t="inlineStr">
        <is>
          <t>SKÅNE LÄN</t>
        </is>
      </c>
      <c r="E1085" t="inlineStr">
        <is>
          <t>HÄSSLEHOLM</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16334-2024</t>
        </is>
      </c>
      <c r="B1086" s="1" t="n">
        <v>45407.54856481482</v>
      </c>
      <c r="C1086" s="1" t="n">
        <v>46136</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46136</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60973-2024</t>
        </is>
      </c>
      <c r="B1088" s="1" t="n">
        <v>45644</v>
      </c>
      <c r="C1088" s="1" t="n">
        <v>46136</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38228-2021</t>
        </is>
      </c>
      <c r="B1089" s="1" t="n">
        <v>44405</v>
      </c>
      <c r="C1089" s="1" t="n">
        <v>46136</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14655-2025</t>
        </is>
      </c>
      <c r="B1090" s="1" t="n">
        <v>45742.5072337963</v>
      </c>
      <c r="C1090" s="1" t="n">
        <v>46136</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59763-2022</t>
        </is>
      </c>
      <c r="B1091" s="1" t="n">
        <v>44900</v>
      </c>
      <c r="C1091" s="1" t="n">
        <v>46136</v>
      </c>
      <c r="D1091" t="inlineStr">
        <is>
          <t>SKÅNE LÄN</t>
        </is>
      </c>
      <c r="E1091" t="inlineStr">
        <is>
          <t>HÄSSLEHOLM</t>
        </is>
      </c>
      <c r="F1091" t="inlineStr">
        <is>
          <t>Övriga Aktiebolag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43061-2024</t>
        </is>
      </c>
      <c r="B1092" s="1" t="n">
        <v>45567</v>
      </c>
      <c r="C1092" s="1" t="n">
        <v>46136</v>
      </c>
      <c r="D1092" t="inlineStr">
        <is>
          <t>SKÅNE LÄN</t>
        </is>
      </c>
      <c r="E1092" t="inlineStr">
        <is>
          <t>HÄSSLEHOLM</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21328-2023</t>
        </is>
      </c>
      <c r="B1093" s="1" t="n">
        <v>45062</v>
      </c>
      <c r="C1093" s="1" t="n">
        <v>46136</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10277-2023</t>
        </is>
      </c>
      <c r="B1094" s="1" t="n">
        <v>44986</v>
      </c>
      <c r="C1094" s="1" t="n">
        <v>46136</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10290-2023</t>
        </is>
      </c>
      <c r="B1095" s="1" t="n">
        <v>44986</v>
      </c>
      <c r="C1095" s="1" t="n">
        <v>46136</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6619-2024</t>
        </is>
      </c>
      <c r="B1096" s="1" t="n">
        <v>45341.6021412037</v>
      </c>
      <c r="C1096" s="1" t="n">
        <v>46136</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20666-2023</t>
        </is>
      </c>
      <c r="B1097" s="1" t="n">
        <v>45058.35664351852</v>
      </c>
      <c r="C1097" s="1" t="n">
        <v>46136</v>
      </c>
      <c r="D1097" t="inlineStr">
        <is>
          <t>SKÅNE LÄN</t>
        </is>
      </c>
      <c r="E1097" t="inlineStr">
        <is>
          <t>HÄSSLEHOLM</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19593-2023</t>
        </is>
      </c>
      <c r="B1098" s="1" t="n">
        <v>45050.75895833333</v>
      </c>
      <c r="C1098" s="1" t="n">
        <v>46136</v>
      </c>
      <c r="D1098" t="inlineStr">
        <is>
          <t>SKÅNE LÄN</t>
        </is>
      </c>
      <c r="E1098" t="inlineStr">
        <is>
          <t>HÄSSLEHOLM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7494-2023</t>
        </is>
      </c>
      <c r="B1099" s="1" t="n">
        <v>44971.70835648148</v>
      </c>
      <c r="C1099" s="1" t="n">
        <v>46136</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6087-2025</t>
        </is>
      </c>
      <c r="B1100" s="1" t="n">
        <v>45697.69782407407</v>
      </c>
      <c r="C1100" s="1" t="n">
        <v>46136</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50571-2023</t>
        </is>
      </c>
      <c r="B1101" s="1" t="n">
        <v>45217.38359953704</v>
      </c>
      <c r="C1101" s="1" t="n">
        <v>46136</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18041-2023</t>
        </is>
      </c>
      <c r="B1102" s="1" t="n">
        <v>45040</v>
      </c>
      <c r="C1102" s="1" t="n">
        <v>46136</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16950-2025</t>
        </is>
      </c>
      <c r="B1103" s="1" t="n">
        <v>45755</v>
      </c>
      <c r="C1103" s="1" t="n">
        <v>46136</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58618-2024</t>
        </is>
      </c>
      <c r="B1104" s="1" t="n">
        <v>45635.56150462963</v>
      </c>
      <c r="C1104" s="1" t="n">
        <v>46136</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52337-2023</t>
        </is>
      </c>
      <c r="B1105" s="1" t="n">
        <v>45224.66359953704</v>
      </c>
      <c r="C1105" s="1" t="n">
        <v>46136</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13084-2025</t>
        </is>
      </c>
      <c r="B1106" s="1" t="n">
        <v>45734</v>
      </c>
      <c r="C1106" s="1" t="n">
        <v>46136</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27991-2024</t>
        </is>
      </c>
      <c r="B1107" s="1" t="n">
        <v>45476</v>
      </c>
      <c r="C1107" s="1" t="n">
        <v>46136</v>
      </c>
      <c r="D1107" t="inlineStr">
        <is>
          <t>SKÅNE LÄN</t>
        </is>
      </c>
      <c r="E1107" t="inlineStr">
        <is>
          <t>HÄSSLEHOLM</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6612-2024</t>
        </is>
      </c>
      <c r="B1108" s="1" t="n">
        <v>45341.58859953703</v>
      </c>
      <c r="C1108" s="1" t="n">
        <v>46136</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5887-2025</t>
        </is>
      </c>
      <c r="B1109" s="1" t="n">
        <v>45695.37925925926</v>
      </c>
      <c r="C1109" s="1" t="n">
        <v>46136</v>
      </c>
      <c r="D1109" t="inlineStr">
        <is>
          <t>SKÅNE LÄN</t>
        </is>
      </c>
      <c r="E1109" t="inlineStr">
        <is>
          <t>HÄSSLEHOLM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8760-2024</t>
        </is>
      </c>
      <c r="B1110" s="1" t="n">
        <v>45356.53420138889</v>
      </c>
      <c r="C1110" s="1" t="n">
        <v>46136</v>
      </c>
      <c r="D1110" t="inlineStr">
        <is>
          <t>SKÅNE LÄN</t>
        </is>
      </c>
      <c r="E1110" t="inlineStr">
        <is>
          <t>HÄSSLEHOLM</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48889-2024</t>
        </is>
      </c>
      <c r="B1111" s="1" t="n">
        <v>45594.33754629629</v>
      </c>
      <c r="C1111" s="1" t="n">
        <v>46136</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2567-2024</t>
        </is>
      </c>
      <c r="B1112" s="1" t="n">
        <v>45313.62460648148</v>
      </c>
      <c r="C1112" s="1" t="n">
        <v>46136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29994-2023</t>
        </is>
      </c>
      <c r="B1113" s="1" t="n">
        <v>45109.60038194444</v>
      </c>
      <c r="C1113" s="1" t="n">
        <v>46136</v>
      </c>
      <c r="D1113" t="inlineStr">
        <is>
          <t>SKÅNE LÄN</t>
        </is>
      </c>
      <c r="E1113" t="inlineStr">
        <is>
          <t>HÄSSLEHOLM</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20872-2025</t>
        </is>
      </c>
      <c r="B1114" s="1" t="n">
        <v>45777.34688657407</v>
      </c>
      <c r="C1114" s="1" t="n">
        <v>46136</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21091-2025</t>
        </is>
      </c>
      <c r="B1115" s="1" t="n">
        <v>45777</v>
      </c>
      <c r="C1115" s="1" t="n">
        <v>46136</v>
      </c>
      <c r="D1115" t="inlineStr">
        <is>
          <t>SKÅNE LÄN</t>
        </is>
      </c>
      <c r="E1115" t="inlineStr">
        <is>
          <t>HÄSSLEHOLM</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21206-2025</t>
        </is>
      </c>
      <c r="B1116" s="1" t="n">
        <v>45779.48318287037</v>
      </c>
      <c r="C1116" s="1" t="n">
        <v>46136</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46136</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20006-2025</t>
        </is>
      </c>
      <c r="B1118" s="1" t="n">
        <v>45772.05032407407</v>
      </c>
      <c r="C1118" s="1" t="n">
        <v>46136</v>
      </c>
      <c r="D1118" t="inlineStr">
        <is>
          <t>SKÅNE LÄN</t>
        </is>
      </c>
      <c r="E1118" t="inlineStr">
        <is>
          <t>HÄSSLEHOLM</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61533-2024</t>
        </is>
      </c>
      <c r="B1119" s="1" t="n">
        <v>45646</v>
      </c>
      <c r="C1119" s="1" t="n">
        <v>46136</v>
      </c>
      <c r="D1119" t="inlineStr">
        <is>
          <t>SKÅNE LÄN</t>
        </is>
      </c>
      <c r="E1119" t="inlineStr">
        <is>
          <t>HÄSSLEHOLM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61537-2024</t>
        </is>
      </c>
      <c r="B1120" s="1" t="n">
        <v>45646</v>
      </c>
      <c r="C1120" s="1" t="n">
        <v>46136</v>
      </c>
      <c r="D1120" t="inlineStr">
        <is>
          <t>SKÅNE LÄN</t>
        </is>
      </c>
      <c r="E1120" t="inlineStr">
        <is>
          <t>HÄSSLEHOLM</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21638-2025</t>
        </is>
      </c>
      <c r="B1121" s="1" t="n">
        <v>45783.43087962963</v>
      </c>
      <c r="C1121" s="1" t="n">
        <v>46136</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7818-2024</t>
        </is>
      </c>
      <c r="B1122" s="1" t="n">
        <v>45349.68872685185</v>
      </c>
      <c r="C1122" s="1" t="n">
        <v>46136</v>
      </c>
      <c r="D1122" t="inlineStr">
        <is>
          <t>SKÅNE LÄN</t>
        </is>
      </c>
      <c r="E1122" t="inlineStr">
        <is>
          <t>HÄSSLEHOLM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39111-2023</t>
        </is>
      </c>
      <c r="B1123" s="1" t="n">
        <v>45164.87140046297</v>
      </c>
      <c r="C1123" s="1" t="n">
        <v>46136</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60851-2024</t>
        </is>
      </c>
      <c r="B1124" s="1" t="n">
        <v>45644.66182870371</v>
      </c>
      <c r="C1124" s="1" t="n">
        <v>46136</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317-2025</t>
        </is>
      </c>
      <c r="B1125" s="1" t="n">
        <v>45660</v>
      </c>
      <c r="C1125" s="1" t="n">
        <v>46136</v>
      </c>
      <c r="D1125" t="inlineStr">
        <is>
          <t>SKÅNE LÄN</t>
        </is>
      </c>
      <c r="E1125" t="inlineStr">
        <is>
          <t>HÄSSLEHOLM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21625-2025</t>
        </is>
      </c>
      <c r="B1126" s="1" t="n">
        <v>45783.41252314814</v>
      </c>
      <c r="C1126" s="1" t="n">
        <v>46136</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60920-2024</t>
        </is>
      </c>
      <c r="B1127" s="1" t="n">
        <v>45645.34442129629</v>
      </c>
      <c r="C1127" s="1" t="n">
        <v>46136</v>
      </c>
      <c r="D1127" t="inlineStr">
        <is>
          <t>SKÅNE LÄN</t>
        </is>
      </c>
      <c r="E1127" t="inlineStr">
        <is>
          <t>HÄSSLEHOLM</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1703-2025</t>
        </is>
      </c>
      <c r="B1128" s="1" t="n">
        <v>45670.80732638889</v>
      </c>
      <c r="C1128" s="1" t="n">
        <v>46136</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22024-2025</t>
        </is>
      </c>
      <c r="B1129" s="1" t="n">
        <v>45784.85322916666</v>
      </c>
      <c r="C1129" s="1" t="n">
        <v>46136</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29274-2023</t>
        </is>
      </c>
      <c r="B1130" s="1" t="n">
        <v>45105</v>
      </c>
      <c r="C1130" s="1" t="n">
        <v>46136</v>
      </c>
      <c r="D1130" t="inlineStr">
        <is>
          <t>SKÅNE LÄN</t>
        </is>
      </c>
      <c r="E1130" t="inlineStr">
        <is>
          <t>HÄSSLEHOLM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34890-2023</t>
        </is>
      </c>
      <c r="B1131" s="1" t="n">
        <v>45142.39475694444</v>
      </c>
      <c r="C1131" s="1" t="n">
        <v>46136</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3886-2024</t>
        </is>
      </c>
      <c r="B1132" s="1" t="n">
        <v>45322.44539351852</v>
      </c>
      <c r="C1132" s="1" t="n">
        <v>46136</v>
      </c>
      <c r="D1132" t="inlineStr">
        <is>
          <t>SKÅNE LÄN</t>
        </is>
      </c>
      <c r="E1132" t="inlineStr">
        <is>
          <t>HÄSSLEHOLM</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61932-2023</t>
        </is>
      </c>
      <c r="B1133" s="1" t="n">
        <v>45266.53761574074</v>
      </c>
      <c r="C1133" s="1" t="n">
        <v>46136</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13149-2024</t>
        </is>
      </c>
      <c r="B1134" s="1" t="n">
        <v>45386</v>
      </c>
      <c r="C1134" s="1" t="n">
        <v>46136</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53466-2024</t>
        </is>
      </c>
      <c r="B1135" s="1" t="n">
        <v>45614.55304398148</v>
      </c>
      <c r="C1135" s="1" t="n">
        <v>46136</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10230-2025</t>
        </is>
      </c>
      <c r="B1136" s="1" t="n">
        <v>45720</v>
      </c>
      <c r="C1136" s="1" t="n">
        <v>46136</v>
      </c>
      <c r="D1136" t="inlineStr">
        <is>
          <t>SKÅNE LÄN</t>
        </is>
      </c>
      <c r="E1136" t="inlineStr">
        <is>
          <t>HÄSSLEHOLM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19735-2023</t>
        </is>
      </c>
      <c r="B1137" s="1" t="n">
        <v>45051.52199074074</v>
      </c>
      <c r="C1137" s="1" t="n">
        <v>46136</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48797-2023</t>
        </is>
      </c>
      <c r="B1138" s="1" t="n">
        <v>45209.24986111111</v>
      </c>
      <c r="C1138" s="1" t="n">
        <v>46136</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5532-2025</t>
        </is>
      </c>
      <c r="B1139" s="1" t="n">
        <v>45693</v>
      </c>
      <c r="C1139" s="1" t="n">
        <v>46136</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55662-2022</t>
        </is>
      </c>
      <c r="B1140" s="1" t="n">
        <v>44883</v>
      </c>
      <c r="C1140" s="1" t="n">
        <v>46136</v>
      </c>
      <c r="D1140" t="inlineStr">
        <is>
          <t>SKÅNE LÄN</t>
        </is>
      </c>
      <c r="E1140" t="inlineStr">
        <is>
          <t>HÄSSLEHOLM</t>
        </is>
      </c>
      <c r="F1140" t="inlineStr">
        <is>
          <t>Övriga Aktiebolag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29844-2024</t>
        </is>
      </c>
      <c r="B1141" s="1" t="n">
        <v>45485</v>
      </c>
      <c r="C1141" s="1" t="n">
        <v>46136</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40536-2024</t>
        </is>
      </c>
      <c r="B1142" s="1" t="n">
        <v>45555.61314814815</v>
      </c>
      <c r="C1142" s="1" t="n">
        <v>46136</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46136</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56386-2023</t>
        </is>
      </c>
      <c r="B1144" s="1" t="n">
        <v>45243</v>
      </c>
      <c r="C1144" s="1" t="n">
        <v>46136</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2490-2024</t>
        </is>
      </c>
      <c r="B1145" s="1" t="n">
        <v>45313.43649305555</v>
      </c>
      <c r="C1145" s="1" t="n">
        <v>46136</v>
      </c>
      <c r="D1145" t="inlineStr">
        <is>
          <t>SKÅNE LÄN</t>
        </is>
      </c>
      <c r="E1145" t="inlineStr">
        <is>
          <t>HÄSSLEHOLM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50244-2024</t>
        </is>
      </c>
      <c r="B1146" s="1" t="n">
        <v>45600.56502314815</v>
      </c>
      <c r="C1146" s="1" t="n">
        <v>46136</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9924-2025</t>
        </is>
      </c>
      <c r="B1147" s="1" t="n">
        <v>45717.72505787037</v>
      </c>
      <c r="C1147" s="1" t="n">
        <v>46136</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13007-2024</t>
        </is>
      </c>
      <c r="B1148" s="1" t="n">
        <v>45385.57092592592</v>
      </c>
      <c r="C1148" s="1" t="n">
        <v>46136</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23007-2025</t>
        </is>
      </c>
      <c r="B1149" s="1" t="n">
        <v>45790</v>
      </c>
      <c r="C1149" s="1" t="n">
        <v>46136</v>
      </c>
      <c r="D1149" t="inlineStr">
        <is>
          <t>SKÅNE LÄN</t>
        </is>
      </c>
      <c r="E1149" t="inlineStr">
        <is>
          <t>HÄSSLEHOLM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7221-2025</t>
        </is>
      </c>
      <c r="B1150" s="1" t="n">
        <v>45701</v>
      </c>
      <c r="C1150" s="1" t="n">
        <v>46136</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74030-2021</t>
        </is>
      </c>
      <c r="B1151" s="1" t="n">
        <v>44553</v>
      </c>
      <c r="C1151" s="1" t="n">
        <v>46136</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27606-2024</t>
        </is>
      </c>
      <c r="B1152" s="1" t="n">
        <v>45474</v>
      </c>
      <c r="C1152" s="1" t="n">
        <v>46136</v>
      </c>
      <c r="D1152" t="inlineStr">
        <is>
          <t>SKÅNE LÄN</t>
        </is>
      </c>
      <c r="E1152" t="inlineStr">
        <is>
          <t>HÄSSLEHOLM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56735-2024</t>
        </is>
      </c>
      <c r="B1153" s="1" t="n">
        <v>45628.36234953703</v>
      </c>
      <c r="C1153" s="1" t="n">
        <v>46136</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2621-2025</t>
        </is>
      </c>
      <c r="B1154" s="1" t="n">
        <v>45675.60765046296</v>
      </c>
      <c r="C1154" s="1" t="n">
        <v>46136</v>
      </c>
      <c r="D1154" t="inlineStr">
        <is>
          <t>SKÅNE LÄN</t>
        </is>
      </c>
      <c r="E1154" t="inlineStr">
        <is>
          <t>HÄSSLEHOLM</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23005-2025</t>
        </is>
      </c>
      <c r="B1155" s="1" t="n">
        <v>45790</v>
      </c>
      <c r="C1155" s="1" t="n">
        <v>46136</v>
      </c>
      <c r="D1155" t="inlineStr">
        <is>
          <t>SKÅNE LÄN</t>
        </is>
      </c>
      <c r="E1155" t="inlineStr">
        <is>
          <t>HÄSSLEHOLM</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8737-2025</t>
        </is>
      </c>
      <c r="B1156" s="1" t="n">
        <v>45712.54578703704</v>
      </c>
      <c r="C1156" s="1" t="n">
        <v>46136</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22587-2025</t>
        </is>
      </c>
      <c r="B1157" s="1" t="n">
        <v>45789.39974537037</v>
      </c>
      <c r="C1157" s="1" t="n">
        <v>46136</v>
      </c>
      <c r="D1157" t="inlineStr">
        <is>
          <t>SKÅNE LÄN</t>
        </is>
      </c>
      <c r="E1157" t="inlineStr">
        <is>
          <t>HÄSSLEHOLM</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22592-2025</t>
        </is>
      </c>
      <c r="B1158" s="1" t="n">
        <v>45789.40502314815</v>
      </c>
      <c r="C1158" s="1" t="n">
        <v>46136</v>
      </c>
      <c r="D1158" t="inlineStr">
        <is>
          <t>SKÅNE LÄN</t>
        </is>
      </c>
      <c r="E1158" t="inlineStr">
        <is>
          <t>HÄSSLEHOLM</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17171-2025</t>
        </is>
      </c>
      <c r="B1159" s="1" t="n">
        <v>45755</v>
      </c>
      <c r="C1159" s="1" t="n">
        <v>46136</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13954-2023</t>
        </is>
      </c>
      <c r="B1160" s="1" t="n">
        <v>45008</v>
      </c>
      <c r="C1160" s="1" t="n">
        <v>46136</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46136</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40152-2024</t>
        </is>
      </c>
      <c r="B1162" s="1" t="n">
        <v>45554</v>
      </c>
      <c r="C1162" s="1" t="n">
        <v>46136</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31254-2024</t>
        </is>
      </c>
      <c r="B1163" s="1" t="n">
        <v>45503</v>
      </c>
      <c r="C1163" s="1" t="n">
        <v>46136</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27825-2024</t>
        </is>
      </c>
      <c r="B1164" s="1" t="n">
        <v>45475</v>
      </c>
      <c r="C1164" s="1" t="n">
        <v>46136</v>
      </c>
      <c r="D1164" t="inlineStr">
        <is>
          <t>SKÅNE LÄN</t>
        </is>
      </c>
      <c r="E1164" t="inlineStr">
        <is>
          <t>HÄSSLEHOLM</t>
        </is>
      </c>
      <c r="F1164" t="inlineStr">
        <is>
          <t>Kommuner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37764-2022</t>
        </is>
      </c>
      <c r="B1165" s="1" t="n">
        <v>44810</v>
      </c>
      <c r="C1165" s="1" t="n">
        <v>46136</v>
      </c>
      <c r="D1165" t="inlineStr">
        <is>
          <t>SKÅNE LÄN</t>
        </is>
      </c>
      <c r="E1165" t="inlineStr">
        <is>
          <t>HÄSSLEHOLM</t>
        </is>
      </c>
      <c r="F1165" t="inlineStr">
        <is>
          <t>Kyrkan</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37486-2024</t>
        </is>
      </c>
      <c r="B1166" s="1" t="n">
        <v>45541</v>
      </c>
      <c r="C1166" s="1" t="n">
        <v>46136</v>
      </c>
      <c r="D1166" t="inlineStr">
        <is>
          <t>SKÅNE LÄN</t>
        </is>
      </c>
      <c r="E1166" t="inlineStr">
        <is>
          <t>HÄSSLEHOLM</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44838-2023</t>
        </is>
      </c>
      <c r="B1167" s="1" t="n">
        <v>45190</v>
      </c>
      <c r="C1167" s="1" t="n">
        <v>46136</v>
      </c>
      <c r="D1167" t="inlineStr">
        <is>
          <t>SKÅNE LÄN</t>
        </is>
      </c>
      <c r="E1167" t="inlineStr">
        <is>
          <t>HÄSSLEHOLM</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15072-2024</t>
        </is>
      </c>
      <c r="B1168" s="1" t="n">
        <v>45399.5996875</v>
      </c>
      <c r="C1168" s="1" t="n">
        <v>46136</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16930-2024</t>
        </is>
      </c>
      <c r="B1169" s="1" t="n">
        <v>45411</v>
      </c>
      <c r="C1169" s="1" t="n">
        <v>46136</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11262-2025</t>
        </is>
      </c>
      <c r="B1170" s="1" t="n">
        <v>45726</v>
      </c>
      <c r="C1170" s="1" t="n">
        <v>46136</v>
      </c>
      <c r="D1170" t="inlineStr">
        <is>
          <t>SKÅNE LÄN</t>
        </is>
      </c>
      <c r="E1170" t="inlineStr">
        <is>
          <t>HÄSSLEHOLM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5395-2024</t>
        </is>
      </c>
      <c r="B1171" s="1" t="n">
        <v>45331</v>
      </c>
      <c r="C1171" s="1" t="n">
        <v>46136</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56069-2024</t>
        </is>
      </c>
      <c r="B1172" s="1" t="n">
        <v>45624.38006944444</v>
      </c>
      <c r="C1172" s="1" t="n">
        <v>46136</v>
      </c>
      <c r="D1172" t="inlineStr">
        <is>
          <t>SKÅNE LÄN</t>
        </is>
      </c>
      <c r="E1172" t="inlineStr">
        <is>
          <t>HÄSSLEHOLM</t>
        </is>
      </c>
      <c r="F1172" t="inlineStr">
        <is>
          <t>Övriga Aktiebolag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60797-2024</t>
        </is>
      </c>
      <c r="B1173" s="1" t="n">
        <v>45644</v>
      </c>
      <c r="C1173" s="1" t="n">
        <v>46136</v>
      </c>
      <c r="D1173" t="inlineStr">
        <is>
          <t>SKÅNE LÄN</t>
        </is>
      </c>
      <c r="E1173" t="inlineStr">
        <is>
          <t>HÄSSLEHOLM</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24034-2025</t>
        </is>
      </c>
      <c r="B1174" s="1" t="n">
        <v>45796.48251157408</v>
      </c>
      <c r="C1174" s="1" t="n">
        <v>46136</v>
      </c>
      <c r="D1174" t="inlineStr">
        <is>
          <t>SKÅNE LÄN</t>
        </is>
      </c>
      <c r="E1174" t="inlineStr">
        <is>
          <t>HÄSSLEHOLM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24039-2025</t>
        </is>
      </c>
      <c r="B1175" s="1" t="n">
        <v>45796.48675925926</v>
      </c>
      <c r="C1175" s="1" t="n">
        <v>46136</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7681-2025</t>
        </is>
      </c>
      <c r="B1176" s="1" t="n">
        <v>45706.36758101852</v>
      </c>
      <c r="C1176" s="1" t="n">
        <v>46136</v>
      </c>
      <c r="D1176" t="inlineStr">
        <is>
          <t>SKÅNE LÄN</t>
        </is>
      </c>
      <c r="E1176" t="inlineStr">
        <is>
          <t>HÄSSLEHOLM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24032-2025</t>
        </is>
      </c>
      <c r="B1177" s="1" t="n">
        <v>45796.478125</v>
      </c>
      <c r="C1177" s="1" t="n">
        <v>46136</v>
      </c>
      <c r="D1177" t="inlineStr">
        <is>
          <t>SKÅNE LÄN</t>
        </is>
      </c>
      <c r="E1177" t="inlineStr">
        <is>
          <t>HÄSSLEHOLM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5252-2025</t>
        </is>
      </c>
      <c r="B1178" s="1" t="n">
        <v>45692.3449537037</v>
      </c>
      <c r="C1178" s="1" t="n">
        <v>46136</v>
      </c>
      <c r="D1178" t="inlineStr">
        <is>
          <t>SKÅNE LÄN</t>
        </is>
      </c>
      <c r="E1178" t="inlineStr">
        <is>
          <t>HÄSSLEHOLM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24047-2025</t>
        </is>
      </c>
      <c r="B1179" s="1" t="n">
        <v>45796.49528935185</v>
      </c>
      <c r="C1179" s="1" t="n">
        <v>46136</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60789-2024</t>
        </is>
      </c>
      <c r="B1180" s="1" t="n">
        <v>45644</v>
      </c>
      <c r="C1180" s="1" t="n">
        <v>46136</v>
      </c>
      <c r="D1180" t="inlineStr">
        <is>
          <t>SKÅNE LÄN</t>
        </is>
      </c>
      <c r="E1180" t="inlineStr">
        <is>
          <t>HÄSSLEHOLM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24029-2025</t>
        </is>
      </c>
      <c r="B1181" s="1" t="n">
        <v>45796.47552083333</v>
      </c>
      <c r="C1181" s="1" t="n">
        <v>46136</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24675-2025</t>
        </is>
      </c>
      <c r="B1182" s="1" t="n">
        <v>45798.653125</v>
      </c>
      <c r="C1182" s="1" t="n">
        <v>46136</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10562-2025</t>
        </is>
      </c>
      <c r="B1183" s="1" t="n">
        <v>45721.52913194444</v>
      </c>
      <c r="C1183" s="1" t="n">
        <v>46136</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32512-2024</t>
        </is>
      </c>
      <c r="B1184" s="1" t="n">
        <v>45513.45613425926</v>
      </c>
      <c r="C1184" s="1" t="n">
        <v>46136</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55522-2024</t>
        </is>
      </c>
      <c r="B1185" s="1" t="n">
        <v>45622</v>
      </c>
      <c r="C1185" s="1" t="n">
        <v>46136</v>
      </c>
      <c r="D1185" t="inlineStr">
        <is>
          <t>SKÅNE LÄN</t>
        </is>
      </c>
      <c r="E1185" t="inlineStr">
        <is>
          <t>HÄSSLEHOLM</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5242-2025</t>
        </is>
      </c>
      <c r="B1186" s="1" t="n">
        <v>45692.32883101852</v>
      </c>
      <c r="C1186" s="1" t="n">
        <v>46136</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42735-2024</t>
        </is>
      </c>
      <c r="B1187" s="1" t="n">
        <v>45566.47274305556</v>
      </c>
      <c r="C1187" s="1" t="n">
        <v>46136</v>
      </c>
      <c r="D1187" t="inlineStr">
        <is>
          <t>SKÅNE LÄN</t>
        </is>
      </c>
      <c r="E1187" t="inlineStr">
        <is>
          <t>HÄSSLEHOLM</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24658-2025</t>
        </is>
      </c>
      <c r="B1188" s="1" t="n">
        <v>45798.64134259259</v>
      </c>
      <c r="C1188" s="1" t="n">
        <v>46136</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24250-2025</t>
        </is>
      </c>
      <c r="B1189" s="1" t="n">
        <v>45797.40260416667</v>
      </c>
      <c r="C1189" s="1" t="n">
        <v>46136</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c r="A1190" t="inlineStr">
        <is>
          <t>A 32826-2024</t>
        </is>
      </c>
      <c r="B1190" s="1" t="n">
        <v>45516.59056712963</v>
      </c>
      <c r="C1190" s="1" t="n">
        <v>46136</v>
      </c>
      <c r="D1190" t="inlineStr">
        <is>
          <t>SKÅNE LÄN</t>
        </is>
      </c>
      <c r="E1190" t="inlineStr">
        <is>
          <t>HÄSSLEHOLM</t>
        </is>
      </c>
      <c r="G1190" t="n">
        <v>0.9</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2026-04-24T10:53:49Z</dcterms:created>
  <dcterms:modified xmlns:dcterms="http://purl.org/dc/terms/" xmlns:xsi="http://www.w3.org/2001/XMLSchema-instance" xsi:type="dcterms:W3CDTF">2026-04-24T10:53:50Z</dcterms:modified>
</cp:coreProperties>
</file>