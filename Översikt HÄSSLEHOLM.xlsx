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46192</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46192</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46192</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46192</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c r="Z5">
        <f>HYPERLINK("https://klasma.github.io/Logging_1293/fåglar/A 24907-2026 prioriterade fågelarter.docx", "A 24907-2026")</f>
        <v/>
      </c>
    </row>
    <row r="6" ht="15" customHeight="1">
      <c r="A6" t="inlineStr">
        <is>
          <t>A 33927-2021</t>
        </is>
      </c>
      <c r="B6" s="1" t="n">
        <v>44378</v>
      </c>
      <c r="C6" s="1" t="n">
        <v>46192</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46192</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46192</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46192</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46192</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49384-2021</t>
        </is>
      </c>
      <c r="B11" s="1" t="n">
        <v>44454</v>
      </c>
      <c r="C11" s="1" t="n">
        <v>46192</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4598-2025</t>
        </is>
      </c>
      <c r="B12" s="1" t="n">
        <v>45687</v>
      </c>
      <c r="C12" s="1" t="n">
        <v>46192</v>
      </c>
      <c r="D12" t="inlineStr">
        <is>
          <t>SKÅNE LÄN</t>
        </is>
      </c>
      <c r="E12" t="inlineStr">
        <is>
          <t>HÄSSLEHOLM</t>
        </is>
      </c>
      <c r="G12" t="n">
        <v>3.3</v>
      </c>
      <c r="H12" t="n">
        <v>5</v>
      </c>
      <c r="I12" t="n">
        <v>0</v>
      </c>
      <c r="J12" t="n">
        <v>1</v>
      </c>
      <c r="K12" t="n">
        <v>0</v>
      </c>
      <c r="L12" t="n">
        <v>0</v>
      </c>
      <c r="M12" t="n">
        <v>0</v>
      </c>
      <c r="N12" t="n">
        <v>0</v>
      </c>
      <c r="O12" t="n">
        <v>1</v>
      </c>
      <c r="P12" t="n">
        <v>0</v>
      </c>
      <c r="Q12" t="n">
        <v>5</v>
      </c>
      <c r="R12" s="2" t="inlineStr">
        <is>
          <t>Entita
Spillkråka
Tofsmes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4615-2025</t>
        </is>
      </c>
      <c r="B13" s="1" t="n">
        <v>45687</v>
      </c>
      <c r="C13" s="1" t="n">
        <v>46192</v>
      </c>
      <c r="D13" t="inlineStr">
        <is>
          <t>SKÅNE LÄN</t>
        </is>
      </c>
      <c r="E13" t="inlineStr">
        <is>
          <t>HÄSSLEHOLM</t>
        </is>
      </c>
      <c r="G13" t="n">
        <v>1.7</v>
      </c>
      <c r="H13" t="n">
        <v>5</v>
      </c>
      <c r="I13" t="n">
        <v>0</v>
      </c>
      <c r="J13" t="n">
        <v>2</v>
      </c>
      <c r="K13" t="n">
        <v>0</v>
      </c>
      <c r="L13" t="n">
        <v>0</v>
      </c>
      <c r="M13" t="n">
        <v>0</v>
      </c>
      <c r="N13" t="n">
        <v>0</v>
      </c>
      <c r="O13" t="n">
        <v>2</v>
      </c>
      <c r="P13" t="n">
        <v>0</v>
      </c>
      <c r="Q13" t="n">
        <v>5</v>
      </c>
      <c r="R13" s="2" t="inlineStr">
        <is>
          <t>Entita
Talltita
Tjäder
Grönsiska
Kungsfågel</t>
        </is>
      </c>
      <c r="S13">
        <f>HYPERLINK("https://klasma.github.io/Logging_1293/artfynd/A 4615-2025 artfynd.xlsx", "A 4615-2025")</f>
        <v/>
      </c>
      <c r="T13">
        <f>HYPERLINK("https://klasma.github.io/Logging_1293/kartor/A 4615-2025 karta.png", "A 4615-2025")</f>
        <v/>
      </c>
      <c r="V13">
        <f>HYPERLINK("https://klasma.github.io/Logging_1293/klagomål/A 4615-2025 FSC-klagomål.docx", "A 4615-2025")</f>
        <v/>
      </c>
      <c r="W13">
        <f>HYPERLINK("https://klasma.github.io/Logging_1293/klagomålsmail/A 4615-2025 FSC-klagomål mail.docx", "A 4615-2025")</f>
        <v/>
      </c>
      <c r="X13">
        <f>HYPERLINK("https://klasma.github.io/Logging_1293/tillsyn/A 4615-2025 tillsynsbegäran.docx", "A 4615-2025")</f>
        <v/>
      </c>
      <c r="Y13">
        <f>HYPERLINK("https://klasma.github.io/Logging_1293/tillsynsmail/A 4615-2025 tillsynsbegäran mail.docx", "A 4615-2025")</f>
        <v/>
      </c>
      <c r="Z13">
        <f>HYPERLINK("https://klasma.github.io/Logging_1293/fåglar/A 4615-2025 prioriterade fågelarter.docx", "A 4615-2025")</f>
        <v/>
      </c>
    </row>
    <row r="14" ht="15" customHeight="1">
      <c r="A14" t="inlineStr">
        <is>
          <t>A 4059-2023</t>
        </is>
      </c>
      <c r="B14" s="1" t="n">
        <v>44952</v>
      </c>
      <c r="C14" s="1" t="n">
        <v>46192</v>
      </c>
      <c r="D14" t="inlineStr">
        <is>
          <t>SKÅNE LÄN</t>
        </is>
      </c>
      <c r="E14" t="inlineStr">
        <is>
          <t>HÄSSLEHOLM</t>
        </is>
      </c>
      <c r="G14" t="n">
        <v>2.9</v>
      </c>
      <c r="H14" t="n">
        <v>5</v>
      </c>
      <c r="I14" t="n">
        <v>0</v>
      </c>
      <c r="J14" t="n">
        <v>0</v>
      </c>
      <c r="K14" t="n">
        <v>0</v>
      </c>
      <c r="L14" t="n">
        <v>0</v>
      </c>
      <c r="M14" t="n">
        <v>0</v>
      </c>
      <c r="N14" t="n">
        <v>0</v>
      </c>
      <c r="O14" t="n">
        <v>0</v>
      </c>
      <c r="P14" t="n">
        <v>0</v>
      </c>
      <c r="Q14" t="n">
        <v>5</v>
      </c>
      <c r="R14" s="2" t="inlineStr">
        <is>
          <t>Dvärgpipistrell
Gråskimlig fladdermus
Större brunfladdermus
Trollpipistrell
Vattenfladdermus</t>
        </is>
      </c>
      <c r="S14">
        <f>HYPERLINK("https://klasma.github.io/Logging_1293/artfynd/A 4059-2023 artfynd.xlsx", "A 4059-2023")</f>
        <v/>
      </c>
      <c r="T14">
        <f>HYPERLINK("https://klasma.github.io/Logging_1293/kartor/A 4059-2023 karta.png", "A 4059-2023")</f>
        <v/>
      </c>
      <c r="V14">
        <f>HYPERLINK("https://klasma.github.io/Logging_1293/klagomål/A 4059-2023 FSC-klagomål.docx", "A 4059-2023")</f>
        <v/>
      </c>
      <c r="W14">
        <f>HYPERLINK("https://klasma.github.io/Logging_1293/klagomålsmail/A 4059-2023 FSC-klagomål mail.docx", "A 4059-2023")</f>
        <v/>
      </c>
      <c r="X14">
        <f>HYPERLINK("https://klasma.github.io/Logging_1293/tillsyn/A 4059-2023 tillsynsbegäran.docx", "A 4059-2023")</f>
        <v/>
      </c>
      <c r="Y14">
        <f>HYPERLINK("https://klasma.github.io/Logging_1293/tillsynsmail/A 4059-2023 tillsynsbegäran mail.docx", "A 4059-2023")</f>
        <v/>
      </c>
    </row>
    <row r="15" ht="15" customHeight="1">
      <c r="A15" t="inlineStr">
        <is>
          <t>A 24435-2026</t>
        </is>
      </c>
      <c r="B15" s="1" t="n">
        <v>46168</v>
      </c>
      <c r="C15" s="1" t="n">
        <v>46192</v>
      </c>
      <c r="D15" t="inlineStr">
        <is>
          <t>SKÅNE LÄN</t>
        </is>
      </c>
      <c r="E15" t="inlineStr">
        <is>
          <t>HÄSSLEHOLM</t>
        </is>
      </c>
      <c r="G15" t="n">
        <v>10.6</v>
      </c>
      <c r="H15" t="n">
        <v>0</v>
      </c>
      <c r="I15" t="n">
        <v>1</v>
      </c>
      <c r="J15" t="n">
        <v>0</v>
      </c>
      <c r="K15" t="n">
        <v>0</v>
      </c>
      <c r="L15" t="n">
        <v>0</v>
      </c>
      <c r="M15" t="n">
        <v>0</v>
      </c>
      <c r="N15" t="n">
        <v>0</v>
      </c>
      <c r="O15" t="n">
        <v>0</v>
      </c>
      <c r="P15" t="n">
        <v>0</v>
      </c>
      <c r="Q15" t="n">
        <v>5</v>
      </c>
      <c r="R15" s="2" t="inlineStr">
        <is>
          <t>Rostfläck
Bäckbräsma
Glansfläck
Kärrfibbla
Kärrviol</t>
        </is>
      </c>
      <c r="S15">
        <f>HYPERLINK("https://klasma.github.io/Logging_1293/artfynd/A 24435-2026 artfynd.xlsx", "A 24435-2026")</f>
        <v/>
      </c>
      <c r="T15">
        <f>HYPERLINK("https://klasma.github.io/Logging_1293/kartor/A 24435-2026 karta.png", "A 24435-2026")</f>
        <v/>
      </c>
      <c r="V15">
        <f>HYPERLINK("https://klasma.github.io/Logging_1293/klagomål/A 24435-2026 FSC-klagomål.docx", "A 24435-2026")</f>
        <v/>
      </c>
      <c r="W15">
        <f>HYPERLINK("https://klasma.github.io/Logging_1293/klagomålsmail/A 24435-2026 FSC-klagomål mail.docx", "A 24435-2026")</f>
        <v/>
      </c>
      <c r="X15">
        <f>HYPERLINK("https://klasma.github.io/Logging_1293/tillsyn/A 24435-2026 tillsynsbegäran.docx", "A 24435-2026")</f>
        <v/>
      </c>
      <c r="Y15">
        <f>HYPERLINK("https://klasma.github.io/Logging_1293/tillsynsmail/A 24435-2026 tillsynsbegäran mail.docx", "A 24435-2026")</f>
        <v/>
      </c>
    </row>
    <row r="16" ht="15" customHeight="1">
      <c r="A16" t="inlineStr">
        <is>
          <t>A 13890-2024</t>
        </is>
      </c>
      <c r="B16" s="1" t="n">
        <v>45391</v>
      </c>
      <c r="C16" s="1" t="n">
        <v>46192</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46192</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4595-2025</t>
        </is>
      </c>
      <c r="B18" s="1" t="n">
        <v>45687</v>
      </c>
      <c r="C18" s="1" t="n">
        <v>46192</v>
      </c>
      <c r="D18" t="inlineStr">
        <is>
          <t>SKÅNE LÄN</t>
        </is>
      </c>
      <c r="E18" t="inlineStr">
        <is>
          <t>HÄSSLEHOLM</t>
        </is>
      </c>
      <c r="G18" t="n">
        <v>2.6</v>
      </c>
      <c r="H18" t="n">
        <v>2</v>
      </c>
      <c r="I18" t="n">
        <v>1</v>
      </c>
      <c r="J18" t="n">
        <v>1</v>
      </c>
      <c r="K18" t="n">
        <v>0</v>
      </c>
      <c r="L18" t="n">
        <v>0</v>
      </c>
      <c r="M18" t="n">
        <v>0</v>
      </c>
      <c r="N18" t="n">
        <v>0</v>
      </c>
      <c r="O18" t="n">
        <v>1</v>
      </c>
      <c r="P18" t="n">
        <v>0</v>
      </c>
      <c r="Q18" t="n">
        <v>3</v>
      </c>
      <c r="R18" s="2" t="inlineStr">
        <is>
          <t>Entita
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14933-2023</t>
        </is>
      </c>
      <c r="B19" s="1" t="n">
        <v>45014</v>
      </c>
      <c r="C19" s="1" t="n">
        <v>46192</v>
      </c>
      <c r="D19" t="inlineStr">
        <is>
          <t>SKÅNE LÄN</t>
        </is>
      </c>
      <c r="E19" t="inlineStr">
        <is>
          <t>HÄSSLEHOLM</t>
        </is>
      </c>
      <c r="G19" t="n">
        <v>1.2</v>
      </c>
      <c r="H19" t="n">
        <v>1</v>
      </c>
      <c r="I19" t="n">
        <v>0</v>
      </c>
      <c r="J19" t="n">
        <v>1</v>
      </c>
      <c r="K19" t="n">
        <v>1</v>
      </c>
      <c r="L19" t="n">
        <v>0</v>
      </c>
      <c r="M19" t="n">
        <v>0</v>
      </c>
      <c r="N19" t="n">
        <v>0</v>
      </c>
      <c r="O19" t="n">
        <v>2</v>
      </c>
      <c r="P19" t="n">
        <v>1</v>
      </c>
      <c r="Q19" t="n">
        <v>3</v>
      </c>
      <c r="R19" s="2" t="inlineStr">
        <is>
          <t>Småvänderot
Gullpudra
Skogsduva</t>
        </is>
      </c>
      <c r="S19">
        <f>HYPERLINK("https://klasma.github.io/Logging_1293/artfynd/A 14933-2023 artfynd.xlsx", "A 14933-2023")</f>
        <v/>
      </c>
      <c r="T19">
        <f>HYPERLINK("https://klasma.github.io/Logging_1293/kartor/A 14933-2023 karta.png", "A 14933-2023")</f>
        <v/>
      </c>
      <c r="V19">
        <f>HYPERLINK("https://klasma.github.io/Logging_1293/klagomål/A 14933-2023 FSC-klagomål.docx", "A 14933-2023")</f>
        <v/>
      </c>
      <c r="W19">
        <f>HYPERLINK("https://klasma.github.io/Logging_1293/klagomålsmail/A 14933-2023 FSC-klagomål mail.docx", "A 14933-2023")</f>
        <v/>
      </c>
      <c r="X19">
        <f>HYPERLINK("https://klasma.github.io/Logging_1293/tillsyn/A 14933-2023 tillsynsbegäran.docx", "A 14933-2023")</f>
        <v/>
      </c>
      <c r="Y19">
        <f>HYPERLINK("https://klasma.github.io/Logging_1293/tillsynsmail/A 14933-2023 tillsynsbegäran mail.docx", "A 14933-2023")</f>
        <v/>
      </c>
      <c r="Z19">
        <f>HYPERLINK("https://klasma.github.io/Logging_1293/fåglar/A 14933-2023 prioriterade fågelarter.docx", "A 14933-2023")</f>
        <v/>
      </c>
    </row>
    <row r="20" ht="15" customHeight="1">
      <c r="A20" t="inlineStr">
        <is>
          <t>A 46602-2023</t>
        </is>
      </c>
      <c r="B20" s="1" t="n">
        <v>45194</v>
      </c>
      <c r="C20" s="1" t="n">
        <v>46192</v>
      </c>
      <c r="D20" t="inlineStr">
        <is>
          <t>SKÅNE LÄN</t>
        </is>
      </c>
      <c r="E20" t="inlineStr">
        <is>
          <t>HÄSSLEHOLM</t>
        </is>
      </c>
      <c r="G20" t="n">
        <v>7.3</v>
      </c>
      <c r="H20" t="n">
        <v>0</v>
      </c>
      <c r="I20" t="n">
        <v>0</v>
      </c>
      <c r="J20" t="n">
        <v>1</v>
      </c>
      <c r="K20" t="n">
        <v>2</v>
      </c>
      <c r="L20" t="n">
        <v>0</v>
      </c>
      <c r="M20" t="n">
        <v>0</v>
      </c>
      <c r="N20" t="n">
        <v>0</v>
      </c>
      <c r="O20" t="n">
        <v>3</v>
      </c>
      <c r="P20" t="n">
        <v>2</v>
      </c>
      <c r="Q20" t="n">
        <v>3</v>
      </c>
      <c r="R20" s="2" t="inlineStr">
        <is>
          <t>Lungrot
Rosa lundlav
Liten lundlav</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27390-2025</t>
        </is>
      </c>
      <c r="B21" s="1" t="n">
        <v>45812</v>
      </c>
      <c r="C21" s="1" t="n">
        <v>46192</v>
      </c>
      <c r="D21" t="inlineStr">
        <is>
          <t>SKÅNE LÄN</t>
        </is>
      </c>
      <c r="E21" t="inlineStr">
        <is>
          <t>HÄSSLEHOLM</t>
        </is>
      </c>
      <c r="G21" t="n">
        <v>3.2</v>
      </c>
      <c r="H21" t="n">
        <v>0</v>
      </c>
      <c r="I21" t="n">
        <v>1</v>
      </c>
      <c r="J21" t="n">
        <v>2</v>
      </c>
      <c r="K21" t="n">
        <v>0</v>
      </c>
      <c r="L21" t="n">
        <v>0</v>
      </c>
      <c r="M21" t="n">
        <v>0</v>
      </c>
      <c r="N21" t="n">
        <v>0</v>
      </c>
      <c r="O21" t="n">
        <v>2</v>
      </c>
      <c r="P21" t="n">
        <v>0</v>
      </c>
      <c r="Q21" t="n">
        <v>3</v>
      </c>
      <c r="R21" s="2" t="inlineStr">
        <is>
          <t>Grönhjon
Kattfotslav
Havstulpanlav</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8253-2025</t>
        </is>
      </c>
      <c r="B22" s="1" t="n">
        <v>45708</v>
      </c>
      <c r="C22" s="1" t="n">
        <v>46192</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46192</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49572-2022</t>
        </is>
      </c>
      <c r="B24" s="1" t="n">
        <v>44862</v>
      </c>
      <c r="C24" s="1" t="n">
        <v>46192</v>
      </c>
      <c r="D24" t="inlineStr">
        <is>
          <t>SKÅNE LÄN</t>
        </is>
      </c>
      <c r="E24" t="inlineStr">
        <is>
          <t>HÄSSLEHOLM</t>
        </is>
      </c>
      <c r="G24" t="n">
        <v>1.4</v>
      </c>
      <c r="H24" t="n">
        <v>1</v>
      </c>
      <c r="I24" t="n">
        <v>1</v>
      </c>
      <c r="J24" t="n">
        <v>0</v>
      </c>
      <c r="K24" t="n">
        <v>0</v>
      </c>
      <c r="L24" t="n">
        <v>0</v>
      </c>
      <c r="M24" t="n">
        <v>0</v>
      </c>
      <c r="N24" t="n">
        <v>0</v>
      </c>
      <c r="O24" t="n">
        <v>0</v>
      </c>
      <c r="P24" t="n">
        <v>0</v>
      </c>
      <c r="Q24" t="n">
        <v>2</v>
      </c>
      <c r="R24" s="2" t="inlineStr">
        <is>
          <t>Blåmossa
Revlummer</t>
        </is>
      </c>
      <c r="S24">
        <f>HYPERLINK("https://klasma.github.io/Logging_1293/artfynd/A 49572-2022 artfynd.xlsx", "A 49572-2022")</f>
        <v/>
      </c>
      <c r="T24">
        <f>HYPERLINK("https://klasma.github.io/Logging_1293/kartor/A 49572-2022 karta.png", "A 49572-2022")</f>
        <v/>
      </c>
      <c r="V24">
        <f>HYPERLINK("https://klasma.github.io/Logging_1293/klagomål/A 49572-2022 FSC-klagomål.docx", "A 49572-2022")</f>
        <v/>
      </c>
      <c r="W24">
        <f>HYPERLINK("https://klasma.github.io/Logging_1293/klagomålsmail/A 49572-2022 FSC-klagomål mail.docx", "A 49572-2022")</f>
        <v/>
      </c>
      <c r="X24">
        <f>HYPERLINK("https://klasma.github.io/Logging_1293/tillsyn/A 49572-2022 tillsynsbegäran.docx", "A 49572-2022")</f>
        <v/>
      </c>
      <c r="Y24">
        <f>HYPERLINK("https://klasma.github.io/Logging_1293/tillsynsmail/A 49572-2022 tillsynsbegäran mail.docx", "A 49572-2022")</f>
        <v/>
      </c>
    </row>
    <row r="25" ht="15" customHeight="1">
      <c r="A25" t="inlineStr">
        <is>
          <t>A 8257-2025</t>
        </is>
      </c>
      <c r="B25" s="1" t="n">
        <v>45708</v>
      </c>
      <c r="C25" s="1" t="n">
        <v>46192</v>
      </c>
      <c r="D25" t="inlineStr">
        <is>
          <t>SKÅNE LÄN</t>
        </is>
      </c>
      <c r="E25" t="inlineStr">
        <is>
          <t>HÄSSLEHOLM</t>
        </is>
      </c>
      <c r="G25" t="n">
        <v>2.1</v>
      </c>
      <c r="H25" t="n">
        <v>2</v>
      </c>
      <c r="I25" t="n">
        <v>0</v>
      </c>
      <c r="J25" t="n">
        <v>1</v>
      </c>
      <c r="K25" t="n">
        <v>0</v>
      </c>
      <c r="L25" t="n">
        <v>0</v>
      </c>
      <c r="M25" t="n">
        <v>0</v>
      </c>
      <c r="N25" t="n">
        <v>0</v>
      </c>
      <c r="O25" t="n">
        <v>1</v>
      </c>
      <c r="P25" t="n">
        <v>0</v>
      </c>
      <c r="Q25" t="n">
        <v>2</v>
      </c>
      <c r="R25" s="2" t="inlineStr">
        <is>
          <t>Talltita
Grönsiska</t>
        </is>
      </c>
      <c r="S25">
        <f>HYPERLINK("https://klasma.github.io/Logging_1293/artfynd/A 8257-2025 artfynd.xlsx", "A 8257-2025")</f>
        <v/>
      </c>
      <c r="T25">
        <f>HYPERLINK("https://klasma.github.io/Logging_1293/kartor/A 8257-2025 karta.png", "A 8257-2025")</f>
        <v/>
      </c>
      <c r="V25">
        <f>HYPERLINK("https://klasma.github.io/Logging_1293/klagomål/A 8257-2025 FSC-klagomål.docx", "A 8257-2025")</f>
        <v/>
      </c>
      <c r="W25">
        <f>HYPERLINK("https://klasma.github.io/Logging_1293/klagomålsmail/A 8257-2025 FSC-klagomål mail.docx", "A 8257-2025")</f>
        <v/>
      </c>
      <c r="X25">
        <f>HYPERLINK("https://klasma.github.io/Logging_1293/tillsyn/A 8257-2025 tillsynsbegäran.docx", "A 8257-2025")</f>
        <v/>
      </c>
      <c r="Y25">
        <f>HYPERLINK("https://klasma.github.io/Logging_1293/tillsynsmail/A 8257-2025 tillsynsbegäran mail.docx", "A 8257-2025")</f>
        <v/>
      </c>
      <c r="Z25">
        <f>HYPERLINK("https://klasma.github.io/Logging_1293/fåglar/A 8257-2025 prioriterade fågelarter.docx", "A 8257-2025")</f>
        <v/>
      </c>
    </row>
    <row r="26" ht="15" customHeight="1">
      <c r="A26" t="inlineStr">
        <is>
          <t>A 57676-2022</t>
        </is>
      </c>
      <c r="B26" s="1" t="n">
        <v>44897</v>
      </c>
      <c r="C26" s="1" t="n">
        <v>46192</v>
      </c>
      <c r="D26" t="inlineStr">
        <is>
          <t>SKÅNE LÄN</t>
        </is>
      </c>
      <c r="E26" t="inlineStr">
        <is>
          <t>HÄSSLEHOLM</t>
        </is>
      </c>
      <c r="G26" t="n">
        <v>1</v>
      </c>
      <c r="H26" t="n">
        <v>1</v>
      </c>
      <c r="I26" t="n">
        <v>1</v>
      </c>
      <c r="J26" t="n">
        <v>0</v>
      </c>
      <c r="K26" t="n">
        <v>0</v>
      </c>
      <c r="L26" t="n">
        <v>0</v>
      </c>
      <c r="M26" t="n">
        <v>0</v>
      </c>
      <c r="N26" t="n">
        <v>0</v>
      </c>
      <c r="O26" t="n">
        <v>0</v>
      </c>
      <c r="P26" t="n">
        <v>0</v>
      </c>
      <c r="Q26" t="n">
        <v>2</v>
      </c>
      <c r="R26" s="2" t="inlineStr">
        <is>
          <t>Brandticka
Mattlummer</t>
        </is>
      </c>
      <c r="S26">
        <f>HYPERLINK("https://klasma.github.io/Logging_1293/artfynd/A 57676-2022 artfynd.xlsx", "A 57676-2022")</f>
        <v/>
      </c>
      <c r="T26">
        <f>HYPERLINK("https://klasma.github.io/Logging_1293/kartor/A 57676-2022 karta.png", "A 57676-2022")</f>
        <v/>
      </c>
      <c r="V26">
        <f>HYPERLINK("https://klasma.github.io/Logging_1293/klagomål/A 57676-2022 FSC-klagomål.docx", "A 57676-2022")</f>
        <v/>
      </c>
      <c r="W26">
        <f>HYPERLINK("https://klasma.github.io/Logging_1293/klagomålsmail/A 57676-2022 FSC-klagomål mail.docx", "A 57676-2022")</f>
        <v/>
      </c>
      <c r="X26">
        <f>HYPERLINK("https://klasma.github.io/Logging_1293/tillsyn/A 57676-2022 tillsynsbegäran.docx", "A 57676-2022")</f>
        <v/>
      </c>
      <c r="Y26">
        <f>HYPERLINK("https://klasma.github.io/Logging_1293/tillsynsmail/A 57676-2022 tillsynsbegäran mail.docx", "A 57676-2022")</f>
        <v/>
      </c>
    </row>
    <row r="27" ht="15" customHeight="1">
      <c r="A27" t="inlineStr">
        <is>
          <t>A 14939-2023</t>
        </is>
      </c>
      <c r="B27" s="1" t="n">
        <v>45014</v>
      </c>
      <c r="C27" s="1" t="n">
        <v>46192</v>
      </c>
      <c r="D27" t="inlineStr">
        <is>
          <t>SKÅNE LÄN</t>
        </is>
      </c>
      <c r="E27" t="inlineStr">
        <is>
          <t>HÄSSLEHOLM</t>
        </is>
      </c>
      <c r="G27" t="n">
        <v>0.9</v>
      </c>
      <c r="H27" t="n">
        <v>0</v>
      </c>
      <c r="I27" t="n">
        <v>0</v>
      </c>
      <c r="J27" t="n">
        <v>1</v>
      </c>
      <c r="K27" t="n">
        <v>1</v>
      </c>
      <c r="L27" t="n">
        <v>0</v>
      </c>
      <c r="M27" t="n">
        <v>0</v>
      </c>
      <c r="N27" t="n">
        <v>0</v>
      </c>
      <c r="O27" t="n">
        <v>2</v>
      </c>
      <c r="P27" t="n">
        <v>1</v>
      </c>
      <c r="Q27" t="n">
        <v>2</v>
      </c>
      <c r="R27" s="2" t="inlineStr">
        <is>
          <t>Småvänderot
Gullpudra</t>
        </is>
      </c>
      <c r="S27">
        <f>HYPERLINK("https://klasma.github.io/Logging_1293/artfynd/A 14939-2023 artfynd.xlsx", "A 14939-2023")</f>
        <v/>
      </c>
      <c r="T27">
        <f>HYPERLINK("https://klasma.github.io/Logging_1293/kartor/A 14939-2023 karta.png", "A 14939-2023")</f>
        <v/>
      </c>
      <c r="V27">
        <f>HYPERLINK("https://klasma.github.io/Logging_1293/klagomål/A 14939-2023 FSC-klagomål.docx", "A 14939-2023")</f>
        <v/>
      </c>
      <c r="W27">
        <f>HYPERLINK("https://klasma.github.io/Logging_1293/klagomålsmail/A 14939-2023 FSC-klagomål mail.docx", "A 14939-2023")</f>
        <v/>
      </c>
      <c r="X27">
        <f>HYPERLINK("https://klasma.github.io/Logging_1293/tillsyn/A 14939-2023 tillsynsbegäran.docx", "A 14939-2023")</f>
        <v/>
      </c>
      <c r="Y27">
        <f>HYPERLINK("https://klasma.github.io/Logging_1293/tillsynsmail/A 14939-2023 tillsynsbegäran mail.docx", "A 14939-2023")</f>
        <v/>
      </c>
    </row>
    <row r="28" ht="15" customHeight="1">
      <c r="A28" t="inlineStr">
        <is>
          <t>A 46813-2024</t>
        </is>
      </c>
      <c r="B28" s="1" t="n">
        <v>45583</v>
      </c>
      <c r="C28" s="1" t="n">
        <v>46192</v>
      </c>
      <c r="D28" t="inlineStr">
        <is>
          <t>SKÅNE LÄN</t>
        </is>
      </c>
      <c r="E28" t="inlineStr">
        <is>
          <t>HÄSSLEHOLM</t>
        </is>
      </c>
      <c r="G28" t="n">
        <v>14.9</v>
      </c>
      <c r="H28" t="n">
        <v>2</v>
      </c>
      <c r="I28" t="n">
        <v>0</v>
      </c>
      <c r="J28" t="n">
        <v>0</v>
      </c>
      <c r="K28" t="n">
        <v>0</v>
      </c>
      <c r="L28" t="n">
        <v>0</v>
      </c>
      <c r="M28" t="n">
        <v>0</v>
      </c>
      <c r="N28" t="n">
        <v>0</v>
      </c>
      <c r="O28" t="n">
        <v>0</v>
      </c>
      <c r="P28" t="n">
        <v>0</v>
      </c>
      <c r="Q28" t="n">
        <v>2</v>
      </c>
      <c r="R28" s="2" t="inlineStr">
        <is>
          <t>Spillkråka
Gröngöling</t>
        </is>
      </c>
      <c r="S28">
        <f>HYPERLINK("https://klasma.github.io/Logging_1293/artfynd/A 46813-2024 artfynd.xlsx", "A 46813-2024")</f>
        <v/>
      </c>
      <c r="T28">
        <f>HYPERLINK("https://klasma.github.io/Logging_1293/kartor/A 46813-2024 karta.png", "A 46813-2024")</f>
        <v/>
      </c>
      <c r="V28">
        <f>HYPERLINK("https://klasma.github.io/Logging_1293/klagomål/A 46813-2024 FSC-klagomål.docx", "A 46813-2024")</f>
        <v/>
      </c>
      <c r="W28">
        <f>HYPERLINK("https://klasma.github.io/Logging_1293/klagomålsmail/A 46813-2024 FSC-klagomål mail.docx", "A 46813-2024")</f>
        <v/>
      </c>
      <c r="X28">
        <f>HYPERLINK("https://klasma.github.io/Logging_1293/tillsyn/A 46813-2024 tillsynsbegäran.docx", "A 46813-2024")</f>
        <v/>
      </c>
      <c r="Y28">
        <f>HYPERLINK("https://klasma.github.io/Logging_1293/tillsynsmail/A 46813-2024 tillsynsbegäran mail.docx", "A 46813-2024")</f>
        <v/>
      </c>
      <c r="Z28">
        <f>HYPERLINK("https://klasma.github.io/Logging_1293/fåglar/A 46813-2024 prioriterade fågelarter.docx", "A 46813-2024")</f>
        <v/>
      </c>
    </row>
    <row r="29" ht="15" customHeight="1">
      <c r="A29" t="inlineStr">
        <is>
          <t>A 25538-2024</t>
        </is>
      </c>
      <c r="B29" s="1" t="n">
        <v>45463</v>
      </c>
      <c r="C29" s="1" t="n">
        <v>46192</v>
      </c>
      <c r="D29" t="inlineStr">
        <is>
          <t>SKÅNE LÄN</t>
        </is>
      </c>
      <c r="E29" t="inlineStr">
        <is>
          <t>HÄSSLEHOLM</t>
        </is>
      </c>
      <c r="G29" t="n">
        <v>1.6</v>
      </c>
      <c r="H29" t="n">
        <v>0</v>
      </c>
      <c r="I29" t="n">
        <v>2</v>
      </c>
      <c r="J29" t="n">
        <v>0</v>
      </c>
      <c r="K29" t="n">
        <v>0</v>
      </c>
      <c r="L29" t="n">
        <v>0</v>
      </c>
      <c r="M29" t="n">
        <v>0</v>
      </c>
      <c r="N29" t="n">
        <v>0</v>
      </c>
      <c r="O29" t="n">
        <v>0</v>
      </c>
      <c r="P29" t="n">
        <v>0</v>
      </c>
      <c r="Q29" t="n">
        <v>2</v>
      </c>
      <c r="R29" s="2" t="inlineStr">
        <is>
          <t>Fällmossa
Guldlockmossa</t>
        </is>
      </c>
      <c r="S29">
        <f>HYPERLINK("https://klasma.github.io/Logging_1293/artfynd/A 25538-2024 artfynd.xlsx", "A 25538-2024")</f>
        <v/>
      </c>
      <c r="T29">
        <f>HYPERLINK("https://klasma.github.io/Logging_1293/kartor/A 25538-2024 karta.png", "A 25538-2024")</f>
        <v/>
      </c>
      <c r="V29">
        <f>HYPERLINK("https://klasma.github.io/Logging_1293/klagomål/A 25538-2024 FSC-klagomål.docx", "A 25538-2024")</f>
        <v/>
      </c>
      <c r="W29">
        <f>HYPERLINK("https://klasma.github.io/Logging_1293/klagomålsmail/A 25538-2024 FSC-klagomål mail.docx", "A 25538-2024")</f>
        <v/>
      </c>
      <c r="X29">
        <f>HYPERLINK("https://klasma.github.io/Logging_1293/tillsyn/A 25538-2024 tillsynsbegäran.docx", "A 25538-2024")</f>
        <v/>
      </c>
      <c r="Y29">
        <f>HYPERLINK("https://klasma.github.io/Logging_1293/tillsynsmail/A 25538-2024 tillsynsbegäran mail.docx", "A 25538-2024")</f>
        <v/>
      </c>
    </row>
    <row r="30" ht="15" customHeight="1">
      <c r="A30" t="inlineStr">
        <is>
          <t>A 21659-2026</t>
        </is>
      </c>
      <c r="B30" s="1" t="n">
        <v>46149</v>
      </c>
      <c r="C30" s="1" t="n">
        <v>46192</v>
      </c>
      <c r="D30" t="inlineStr">
        <is>
          <t>SKÅNE LÄN</t>
        </is>
      </c>
      <c r="E30" t="inlineStr">
        <is>
          <t>HÄSSLEHOLM</t>
        </is>
      </c>
      <c r="G30" t="n">
        <v>1.8</v>
      </c>
      <c r="H30" t="n">
        <v>2</v>
      </c>
      <c r="I30" t="n">
        <v>0</v>
      </c>
      <c r="J30" t="n">
        <v>1</v>
      </c>
      <c r="K30" t="n">
        <v>0</v>
      </c>
      <c r="L30" t="n">
        <v>0</v>
      </c>
      <c r="M30" t="n">
        <v>0</v>
      </c>
      <c r="N30" t="n">
        <v>0</v>
      </c>
      <c r="O30" t="n">
        <v>1</v>
      </c>
      <c r="P30" t="n">
        <v>0</v>
      </c>
      <c r="Q30" t="n">
        <v>2</v>
      </c>
      <c r="R30" s="2" t="inlineStr">
        <is>
          <t>Göktyta
Skogsduva</t>
        </is>
      </c>
      <c r="S30">
        <f>HYPERLINK("https://klasma.github.io/Logging_1293/artfynd/A 21659-2026 artfynd.xlsx", "A 21659-2026")</f>
        <v/>
      </c>
      <c r="T30">
        <f>HYPERLINK("https://klasma.github.io/Logging_1293/kartor/A 21659-2026 karta.png", "A 21659-2026")</f>
        <v/>
      </c>
      <c r="V30">
        <f>HYPERLINK("https://klasma.github.io/Logging_1293/klagomål/A 21659-2026 FSC-klagomål.docx", "A 21659-2026")</f>
        <v/>
      </c>
      <c r="W30">
        <f>HYPERLINK("https://klasma.github.io/Logging_1293/klagomålsmail/A 21659-2026 FSC-klagomål mail.docx", "A 21659-2026")</f>
        <v/>
      </c>
      <c r="X30">
        <f>HYPERLINK("https://klasma.github.io/Logging_1293/tillsyn/A 21659-2026 tillsynsbegäran.docx", "A 21659-2026")</f>
        <v/>
      </c>
      <c r="Y30">
        <f>HYPERLINK("https://klasma.github.io/Logging_1293/tillsynsmail/A 21659-2026 tillsynsbegäran mail.docx", "A 21659-2026")</f>
        <v/>
      </c>
      <c r="Z30">
        <f>HYPERLINK("https://klasma.github.io/Logging_1293/fåglar/A 21659-2026 prioriterade fågelarter.docx", "A 21659-2026")</f>
        <v/>
      </c>
    </row>
    <row r="31" ht="15" customHeight="1">
      <c r="A31" t="inlineStr">
        <is>
          <t>A 37457-2022</t>
        </is>
      </c>
      <c r="B31" s="1" t="n">
        <v>44809</v>
      </c>
      <c r="C31" s="1" t="n">
        <v>46192</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46192</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46192</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46192</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16860-2025</t>
        </is>
      </c>
      <c r="B35" s="1" t="n">
        <v>45751</v>
      </c>
      <c r="C35" s="1" t="n">
        <v>46192</v>
      </c>
      <c r="D35" t="inlineStr">
        <is>
          <t>SKÅNE LÄN</t>
        </is>
      </c>
      <c r="E35" t="inlineStr">
        <is>
          <t>HÄSSLEHOLM</t>
        </is>
      </c>
      <c r="G35" t="n">
        <v>1.3</v>
      </c>
      <c r="H35" t="n">
        <v>1</v>
      </c>
      <c r="I35" t="n">
        <v>0</v>
      </c>
      <c r="J35" t="n">
        <v>0</v>
      </c>
      <c r="K35" t="n">
        <v>0</v>
      </c>
      <c r="L35" t="n">
        <v>0</v>
      </c>
      <c r="M35" t="n">
        <v>0</v>
      </c>
      <c r="N35" t="n">
        <v>0</v>
      </c>
      <c r="O35" t="n">
        <v>0</v>
      </c>
      <c r="P35" t="n">
        <v>0</v>
      </c>
      <c r="Q35" t="n">
        <v>1</v>
      </c>
      <c r="R35" s="2" t="inlineStr">
        <is>
          <t>Hårklomossa</t>
        </is>
      </c>
      <c r="S35">
        <f>HYPERLINK("https://klasma.github.io/Logging_1293/artfynd/A 16860-2025 artfynd.xlsx", "A 16860-2025")</f>
        <v/>
      </c>
      <c r="T35">
        <f>HYPERLINK("https://klasma.github.io/Logging_1293/kartor/A 16860-2025 karta.png", "A 16860-2025")</f>
        <v/>
      </c>
      <c r="V35">
        <f>HYPERLINK("https://klasma.github.io/Logging_1293/klagomål/A 16860-2025 FSC-klagomål.docx", "A 16860-2025")</f>
        <v/>
      </c>
      <c r="W35">
        <f>HYPERLINK("https://klasma.github.io/Logging_1293/klagomålsmail/A 16860-2025 FSC-klagomål mail.docx", "A 16860-2025")</f>
        <v/>
      </c>
      <c r="X35">
        <f>HYPERLINK("https://klasma.github.io/Logging_1293/tillsyn/A 16860-2025 tillsynsbegäran.docx", "A 16860-2025")</f>
        <v/>
      </c>
      <c r="Y35">
        <f>HYPERLINK("https://klasma.github.io/Logging_1293/tillsynsmail/A 16860-2025 tillsynsbegäran mail.docx", "A 16860-2025")</f>
        <v/>
      </c>
    </row>
    <row r="36" ht="15" customHeight="1">
      <c r="A36" t="inlineStr">
        <is>
          <t>A 16121-2025</t>
        </is>
      </c>
      <c r="B36" s="1" t="n">
        <v>45750</v>
      </c>
      <c r="C36" s="1" t="n">
        <v>46192</v>
      </c>
      <c r="D36" t="inlineStr">
        <is>
          <t>SKÅNE LÄN</t>
        </is>
      </c>
      <c r="E36" t="inlineStr">
        <is>
          <t>HÄSSLEHOLM</t>
        </is>
      </c>
      <c r="G36" t="n">
        <v>1.6</v>
      </c>
      <c r="H36" t="n">
        <v>0</v>
      </c>
      <c r="I36" t="n">
        <v>0</v>
      </c>
      <c r="J36" t="n">
        <v>0</v>
      </c>
      <c r="K36" t="n">
        <v>1</v>
      </c>
      <c r="L36" t="n">
        <v>0</v>
      </c>
      <c r="M36" t="n">
        <v>0</v>
      </c>
      <c r="N36" t="n">
        <v>0</v>
      </c>
      <c r="O36" t="n">
        <v>1</v>
      </c>
      <c r="P36" t="n">
        <v>1</v>
      </c>
      <c r="Q36" t="n">
        <v>1</v>
      </c>
      <c r="R36" s="2" t="inlineStr">
        <is>
          <t>Igelkott</t>
        </is>
      </c>
      <c r="S36">
        <f>HYPERLINK("https://klasma.github.io/Logging_1293/artfynd/A 16121-2025 artfynd.xlsx", "A 16121-2025")</f>
        <v/>
      </c>
      <c r="T36">
        <f>HYPERLINK("https://klasma.github.io/Logging_1293/kartor/A 16121-2025 karta.png", "A 16121-2025")</f>
        <v/>
      </c>
      <c r="V36">
        <f>HYPERLINK("https://klasma.github.io/Logging_1293/klagomål/A 16121-2025 FSC-klagomål.docx", "A 16121-2025")</f>
        <v/>
      </c>
      <c r="W36">
        <f>HYPERLINK("https://klasma.github.io/Logging_1293/klagomålsmail/A 16121-2025 FSC-klagomål mail.docx", "A 16121-2025")</f>
        <v/>
      </c>
      <c r="X36">
        <f>HYPERLINK("https://klasma.github.io/Logging_1293/tillsyn/A 16121-2025 tillsynsbegäran.docx", "A 16121-2025")</f>
        <v/>
      </c>
      <c r="Y36">
        <f>HYPERLINK("https://klasma.github.io/Logging_1293/tillsynsmail/A 16121-2025 tillsynsbegäran mail.docx", "A 16121-2025")</f>
        <v/>
      </c>
    </row>
    <row r="37" ht="15" customHeight="1">
      <c r="A37" t="inlineStr">
        <is>
          <t>A 15698-2023</t>
        </is>
      </c>
      <c r="B37" s="1" t="n">
        <v>45021</v>
      </c>
      <c r="C37" s="1" t="n">
        <v>46192</v>
      </c>
      <c r="D37" t="inlineStr">
        <is>
          <t>SKÅNE LÄN</t>
        </is>
      </c>
      <c r="E37" t="inlineStr">
        <is>
          <t>HÄSSLEHOLM</t>
        </is>
      </c>
      <c r="F37" t="inlineStr">
        <is>
          <t>Kommuner</t>
        </is>
      </c>
      <c r="G37" t="n">
        <v>5.5</v>
      </c>
      <c r="H37" t="n">
        <v>0</v>
      </c>
      <c r="I37" t="n">
        <v>0</v>
      </c>
      <c r="J37" t="n">
        <v>0</v>
      </c>
      <c r="K37" t="n">
        <v>1</v>
      </c>
      <c r="L37" t="n">
        <v>0</v>
      </c>
      <c r="M37" t="n">
        <v>0</v>
      </c>
      <c r="N37" t="n">
        <v>0</v>
      </c>
      <c r="O37" t="n">
        <v>1</v>
      </c>
      <c r="P37" t="n">
        <v>1</v>
      </c>
      <c r="Q37" t="n">
        <v>1</v>
      </c>
      <c r="R37" s="2" t="inlineStr">
        <is>
          <t>Igelkott</t>
        </is>
      </c>
      <c r="S37">
        <f>HYPERLINK("https://klasma.github.io/Logging_1293/artfynd/A 15698-2023 artfynd.xlsx", "A 15698-2023")</f>
        <v/>
      </c>
      <c r="T37">
        <f>HYPERLINK("https://klasma.github.io/Logging_1293/kartor/A 15698-2023 karta.png", "A 15698-2023")</f>
        <v/>
      </c>
      <c r="V37">
        <f>HYPERLINK("https://klasma.github.io/Logging_1293/klagomål/A 15698-2023 FSC-klagomål.docx", "A 15698-2023")</f>
        <v/>
      </c>
      <c r="W37">
        <f>HYPERLINK("https://klasma.github.io/Logging_1293/klagomålsmail/A 15698-2023 FSC-klagomål mail.docx", "A 15698-2023")</f>
        <v/>
      </c>
      <c r="X37">
        <f>HYPERLINK("https://klasma.github.io/Logging_1293/tillsyn/A 15698-2023 tillsynsbegäran.docx", "A 15698-2023")</f>
        <v/>
      </c>
      <c r="Y37">
        <f>HYPERLINK("https://klasma.github.io/Logging_1293/tillsynsmail/A 15698-2023 tillsynsbegäran mail.docx", "A 15698-2023")</f>
        <v/>
      </c>
    </row>
    <row r="38" ht="15" customHeight="1">
      <c r="A38" t="inlineStr">
        <is>
          <t>A 40613-2025</t>
        </is>
      </c>
      <c r="B38" s="1" t="n">
        <v>45896</v>
      </c>
      <c r="C38" s="1" t="n">
        <v>46192</v>
      </c>
      <c r="D38" t="inlineStr">
        <is>
          <t>SKÅNE LÄN</t>
        </is>
      </c>
      <c r="E38" t="inlineStr">
        <is>
          <t>HÄSSLEHOLM</t>
        </is>
      </c>
      <c r="F38" t="inlineStr">
        <is>
          <t>Kyrkan</t>
        </is>
      </c>
      <c r="G38" t="n">
        <v>3.4</v>
      </c>
      <c r="H38" t="n">
        <v>1</v>
      </c>
      <c r="I38" t="n">
        <v>0</v>
      </c>
      <c r="J38" t="n">
        <v>0</v>
      </c>
      <c r="K38" t="n">
        <v>0</v>
      </c>
      <c r="L38" t="n">
        <v>0</v>
      </c>
      <c r="M38" t="n">
        <v>0</v>
      </c>
      <c r="N38" t="n">
        <v>0</v>
      </c>
      <c r="O38" t="n">
        <v>0</v>
      </c>
      <c r="P38" t="n">
        <v>0</v>
      </c>
      <c r="Q38" t="n">
        <v>1</v>
      </c>
      <c r="R38" s="2" t="inlineStr">
        <is>
          <t>Revlummer</t>
        </is>
      </c>
      <c r="S38">
        <f>HYPERLINK("https://klasma.github.io/Logging_1293/artfynd/A 40613-2025 artfynd.xlsx", "A 40613-2025")</f>
        <v/>
      </c>
      <c r="T38">
        <f>HYPERLINK("https://klasma.github.io/Logging_1293/kartor/A 40613-2025 karta.png", "A 40613-2025")</f>
        <v/>
      </c>
      <c r="V38">
        <f>HYPERLINK("https://klasma.github.io/Logging_1293/klagomål/A 40613-2025 FSC-klagomål.docx", "A 40613-2025")</f>
        <v/>
      </c>
      <c r="W38">
        <f>HYPERLINK("https://klasma.github.io/Logging_1293/klagomålsmail/A 40613-2025 FSC-klagomål mail.docx", "A 40613-2025")</f>
        <v/>
      </c>
      <c r="X38">
        <f>HYPERLINK("https://klasma.github.io/Logging_1293/tillsyn/A 40613-2025 tillsynsbegäran.docx", "A 40613-2025")</f>
        <v/>
      </c>
      <c r="Y38">
        <f>HYPERLINK("https://klasma.github.io/Logging_1293/tillsynsmail/A 40613-2025 tillsynsbegäran mail.docx", "A 40613-2025")</f>
        <v/>
      </c>
    </row>
    <row r="39" ht="15" customHeight="1">
      <c r="A39" t="inlineStr">
        <is>
          <t>A 417-2022</t>
        </is>
      </c>
      <c r="B39" s="1" t="n">
        <v>44565</v>
      </c>
      <c r="C39" s="1" t="n">
        <v>46192</v>
      </c>
      <c r="D39" t="inlineStr">
        <is>
          <t>SKÅNE LÄN</t>
        </is>
      </c>
      <c r="E39" t="inlineStr">
        <is>
          <t>HÄSSLEHOLM</t>
        </is>
      </c>
      <c r="G39" t="n">
        <v>0</v>
      </c>
      <c r="H39" t="n">
        <v>0</v>
      </c>
      <c r="I39" t="n">
        <v>0</v>
      </c>
      <c r="J39" t="n">
        <v>0</v>
      </c>
      <c r="K39" t="n">
        <v>1</v>
      </c>
      <c r="L39" t="n">
        <v>0</v>
      </c>
      <c r="M39" t="n">
        <v>0</v>
      </c>
      <c r="N39" t="n">
        <v>0</v>
      </c>
      <c r="O39" t="n">
        <v>1</v>
      </c>
      <c r="P39" t="n">
        <v>1</v>
      </c>
      <c r="Q39" t="n">
        <v>1</v>
      </c>
      <c r="R39" s="2" t="inlineStr">
        <is>
          <t>Igelkott</t>
        </is>
      </c>
      <c r="S39">
        <f>HYPERLINK("https://klasma.github.io/Logging_1293/artfynd/A 417-2022 artfynd.xlsx", "A 417-2022")</f>
        <v/>
      </c>
      <c r="T39">
        <f>HYPERLINK("https://klasma.github.io/Logging_1293/kartor/A 417-2022 karta.png", "A 417-2022")</f>
        <v/>
      </c>
      <c r="V39">
        <f>HYPERLINK("https://klasma.github.io/Logging_1293/klagomål/A 417-2022 FSC-klagomål.docx", "A 417-2022")</f>
        <v/>
      </c>
      <c r="W39">
        <f>HYPERLINK("https://klasma.github.io/Logging_1293/klagomålsmail/A 417-2022 FSC-klagomål mail.docx", "A 417-2022")</f>
        <v/>
      </c>
      <c r="X39">
        <f>HYPERLINK("https://klasma.github.io/Logging_1293/tillsyn/A 417-2022 tillsynsbegäran.docx", "A 417-2022")</f>
        <v/>
      </c>
      <c r="Y39">
        <f>HYPERLINK("https://klasma.github.io/Logging_1293/tillsynsmail/A 417-2022 tillsynsbegäran mail.docx", "A 417-2022")</f>
        <v/>
      </c>
    </row>
    <row r="40" ht="15" customHeight="1">
      <c r="A40" t="inlineStr">
        <is>
          <t>A 53056-2025</t>
        </is>
      </c>
      <c r="B40" s="1" t="n">
        <v>45958</v>
      </c>
      <c r="C40" s="1" t="n">
        <v>46192</v>
      </c>
      <c r="D40" t="inlineStr">
        <is>
          <t>SKÅNE LÄN</t>
        </is>
      </c>
      <c r="E40" t="inlineStr">
        <is>
          <t>HÄSSLEHOLM</t>
        </is>
      </c>
      <c r="G40" t="n">
        <v>1.5</v>
      </c>
      <c r="H40" t="n">
        <v>0</v>
      </c>
      <c r="I40" t="n">
        <v>0</v>
      </c>
      <c r="J40" t="n">
        <v>1</v>
      </c>
      <c r="K40" t="n">
        <v>0</v>
      </c>
      <c r="L40" t="n">
        <v>0</v>
      </c>
      <c r="M40" t="n">
        <v>0</v>
      </c>
      <c r="N40" t="n">
        <v>0</v>
      </c>
      <c r="O40" t="n">
        <v>1</v>
      </c>
      <c r="P40" t="n">
        <v>0</v>
      </c>
      <c r="Q40" t="n">
        <v>1</v>
      </c>
      <c r="R40" s="2" t="inlineStr">
        <is>
          <t>Gullpudra</t>
        </is>
      </c>
      <c r="S40">
        <f>HYPERLINK("https://klasma.github.io/Logging_1293/artfynd/A 53056-2025 artfynd.xlsx", "A 53056-2025")</f>
        <v/>
      </c>
      <c r="T40">
        <f>HYPERLINK("https://klasma.github.io/Logging_1293/kartor/A 53056-2025 karta.png", "A 53056-2025")</f>
        <v/>
      </c>
      <c r="V40">
        <f>HYPERLINK("https://klasma.github.io/Logging_1293/klagomål/A 53056-2025 FSC-klagomål.docx", "A 53056-2025")</f>
        <v/>
      </c>
      <c r="W40">
        <f>HYPERLINK("https://klasma.github.io/Logging_1293/klagomålsmail/A 53056-2025 FSC-klagomål mail.docx", "A 53056-2025")</f>
        <v/>
      </c>
      <c r="X40">
        <f>HYPERLINK("https://klasma.github.io/Logging_1293/tillsyn/A 53056-2025 tillsynsbegäran.docx", "A 53056-2025")</f>
        <v/>
      </c>
      <c r="Y40">
        <f>HYPERLINK("https://klasma.github.io/Logging_1293/tillsynsmail/A 53056-2025 tillsynsbegäran mail.docx", "A 53056-2025")</f>
        <v/>
      </c>
    </row>
    <row r="41" ht="15" customHeight="1">
      <c r="A41" t="inlineStr">
        <is>
          <t>A 12338-2024</t>
        </is>
      </c>
      <c r="B41" s="1" t="n">
        <v>45378</v>
      </c>
      <c r="C41" s="1" t="n">
        <v>46192</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Skogsalm</t>
        </is>
      </c>
      <c r="S41">
        <f>HYPERLINK("https://klasma.github.io/Logging_1293/artfynd/A 12338-2024 artfynd.xlsx", "A 12338-2024")</f>
        <v/>
      </c>
      <c r="T41">
        <f>HYPERLINK("https://klasma.github.io/Logging_1293/kartor/A 12338-2024 karta.png", "A 12338-2024")</f>
        <v/>
      </c>
      <c r="V41">
        <f>HYPERLINK("https://klasma.github.io/Logging_1293/klagomål/A 12338-2024 FSC-klagomål.docx", "A 12338-2024")</f>
        <v/>
      </c>
      <c r="W41">
        <f>HYPERLINK("https://klasma.github.io/Logging_1293/klagomålsmail/A 12338-2024 FSC-klagomål mail.docx", "A 12338-2024")</f>
        <v/>
      </c>
      <c r="X41">
        <f>HYPERLINK("https://klasma.github.io/Logging_1293/tillsyn/A 12338-2024 tillsynsbegäran.docx", "A 12338-2024")</f>
        <v/>
      </c>
      <c r="Y41">
        <f>HYPERLINK("https://klasma.github.io/Logging_1293/tillsynsmail/A 12338-2024 tillsynsbegäran mail.docx", "A 12338-2024")</f>
        <v/>
      </c>
    </row>
    <row r="42" ht="15" customHeight="1">
      <c r="A42" t="inlineStr">
        <is>
          <t>A 4619-2025</t>
        </is>
      </c>
      <c r="B42" s="1" t="n">
        <v>45687</v>
      </c>
      <c r="C42" s="1" t="n">
        <v>46192</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57533-2025</t>
        </is>
      </c>
      <c r="B43" s="1" t="n">
        <v>45980</v>
      </c>
      <c r="C43" s="1" t="n">
        <v>46192</v>
      </c>
      <c r="D43" t="inlineStr">
        <is>
          <t>SKÅNE LÄN</t>
        </is>
      </c>
      <c r="E43" t="inlineStr">
        <is>
          <t>HÄSSLEHOLM</t>
        </is>
      </c>
      <c r="G43" t="n">
        <v>0.9</v>
      </c>
      <c r="H43" t="n">
        <v>0</v>
      </c>
      <c r="I43" t="n">
        <v>1</v>
      </c>
      <c r="J43" t="n">
        <v>0</v>
      </c>
      <c r="K43" t="n">
        <v>0</v>
      </c>
      <c r="L43" t="n">
        <v>0</v>
      </c>
      <c r="M43" t="n">
        <v>0</v>
      </c>
      <c r="N43" t="n">
        <v>0</v>
      </c>
      <c r="O43" t="n">
        <v>0</v>
      </c>
      <c r="P43" t="n">
        <v>0</v>
      </c>
      <c r="Q43" t="n">
        <v>1</v>
      </c>
      <c r="R43" s="2" t="inlineStr">
        <is>
          <t>Strutbräken</t>
        </is>
      </c>
      <c r="S43">
        <f>HYPERLINK("https://klasma.github.io/Logging_1293/artfynd/A 57533-2025 artfynd.xlsx", "A 57533-2025")</f>
        <v/>
      </c>
      <c r="T43">
        <f>HYPERLINK("https://klasma.github.io/Logging_1293/kartor/A 57533-2025 karta.png", "A 57533-2025")</f>
        <v/>
      </c>
      <c r="V43">
        <f>HYPERLINK("https://klasma.github.io/Logging_1293/klagomål/A 57533-2025 FSC-klagomål.docx", "A 57533-2025")</f>
        <v/>
      </c>
      <c r="W43">
        <f>HYPERLINK("https://klasma.github.io/Logging_1293/klagomålsmail/A 57533-2025 FSC-klagomål mail.docx", "A 57533-2025")</f>
        <v/>
      </c>
      <c r="X43">
        <f>HYPERLINK("https://klasma.github.io/Logging_1293/tillsyn/A 57533-2025 tillsynsbegäran.docx", "A 57533-2025")</f>
        <v/>
      </c>
      <c r="Y43">
        <f>HYPERLINK("https://klasma.github.io/Logging_1293/tillsynsmail/A 57533-2025 tillsynsbegäran mail.docx", "A 57533-2025")</f>
        <v/>
      </c>
    </row>
    <row r="44" ht="15" customHeight="1">
      <c r="A44" t="inlineStr">
        <is>
          <t>A 13018-2024</t>
        </is>
      </c>
      <c r="B44" s="1" t="n">
        <v>45385</v>
      </c>
      <c r="C44" s="1" t="n">
        <v>46192</v>
      </c>
      <c r="D44" t="inlineStr">
        <is>
          <t>SKÅNE LÄN</t>
        </is>
      </c>
      <c r="E44" t="inlineStr">
        <is>
          <t>HÄSSLEHOLM</t>
        </is>
      </c>
      <c r="G44" t="n">
        <v>4.8</v>
      </c>
      <c r="H44" t="n">
        <v>0</v>
      </c>
      <c r="I44" t="n">
        <v>0</v>
      </c>
      <c r="J44" t="n">
        <v>1</v>
      </c>
      <c r="K44" t="n">
        <v>0</v>
      </c>
      <c r="L44" t="n">
        <v>0</v>
      </c>
      <c r="M44" t="n">
        <v>0</v>
      </c>
      <c r="N44" t="n">
        <v>0</v>
      </c>
      <c r="O44" t="n">
        <v>1</v>
      </c>
      <c r="P44" t="n">
        <v>0</v>
      </c>
      <c r="Q44" t="n">
        <v>1</v>
      </c>
      <c r="R44" s="2" t="inlineStr">
        <is>
          <t>Älg</t>
        </is>
      </c>
      <c r="S44">
        <f>HYPERLINK("https://klasma.github.io/Logging_1293/artfynd/A 13018-2024 artfynd.xlsx", "A 13018-2024")</f>
        <v/>
      </c>
      <c r="T44">
        <f>HYPERLINK("https://klasma.github.io/Logging_1293/kartor/A 13018-2024 karta.png", "A 13018-2024")</f>
        <v/>
      </c>
      <c r="V44">
        <f>HYPERLINK("https://klasma.github.io/Logging_1293/klagomål/A 13018-2024 FSC-klagomål.docx", "A 13018-2024")</f>
        <v/>
      </c>
      <c r="W44">
        <f>HYPERLINK("https://klasma.github.io/Logging_1293/klagomålsmail/A 13018-2024 FSC-klagomål mail.docx", "A 13018-2024")</f>
        <v/>
      </c>
      <c r="X44">
        <f>HYPERLINK("https://klasma.github.io/Logging_1293/tillsyn/A 13018-2024 tillsynsbegäran.docx", "A 13018-2024")</f>
        <v/>
      </c>
      <c r="Y44">
        <f>HYPERLINK("https://klasma.github.io/Logging_1293/tillsynsmail/A 13018-2024 tillsynsbegäran mail.docx", "A 13018-2024")</f>
        <v/>
      </c>
    </row>
    <row r="45" ht="15" customHeight="1">
      <c r="A45" t="inlineStr">
        <is>
          <t>A 36240-2023</t>
        </is>
      </c>
      <c r="B45" s="1" t="n">
        <v>45150</v>
      </c>
      <c r="C45" s="1" t="n">
        <v>46192</v>
      </c>
      <c r="D45" t="inlineStr">
        <is>
          <t>SKÅNE LÄN</t>
        </is>
      </c>
      <c r="E45" t="inlineStr">
        <is>
          <t>HÄSSLEHOLM</t>
        </is>
      </c>
      <c r="G45" t="n">
        <v>1.5</v>
      </c>
      <c r="H45" t="n">
        <v>1</v>
      </c>
      <c r="I45" t="n">
        <v>0</v>
      </c>
      <c r="J45" t="n">
        <v>0</v>
      </c>
      <c r="K45" t="n">
        <v>0</v>
      </c>
      <c r="L45" t="n">
        <v>0</v>
      </c>
      <c r="M45" t="n">
        <v>0</v>
      </c>
      <c r="N45" t="n">
        <v>0</v>
      </c>
      <c r="O45" t="n">
        <v>0</v>
      </c>
      <c r="P45" t="n">
        <v>0</v>
      </c>
      <c r="Q45" t="n">
        <v>1</v>
      </c>
      <c r="R45" s="2" t="inlineStr">
        <is>
          <t>Törnskata</t>
        </is>
      </c>
      <c r="S45">
        <f>HYPERLINK("https://klasma.github.io/Logging_1293/artfynd/A 36240-2023 artfynd.xlsx", "A 36240-2023")</f>
        <v/>
      </c>
      <c r="T45">
        <f>HYPERLINK("https://klasma.github.io/Logging_1293/kartor/A 36240-2023 karta.png", "A 36240-2023")</f>
        <v/>
      </c>
      <c r="V45">
        <f>HYPERLINK("https://klasma.github.io/Logging_1293/klagomål/A 36240-2023 FSC-klagomål.docx", "A 36240-2023")</f>
        <v/>
      </c>
      <c r="W45">
        <f>HYPERLINK("https://klasma.github.io/Logging_1293/klagomålsmail/A 36240-2023 FSC-klagomål mail.docx", "A 36240-2023")</f>
        <v/>
      </c>
      <c r="X45">
        <f>HYPERLINK("https://klasma.github.io/Logging_1293/tillsyn/A 36240-2023 tillsynsbegäran.docx", "A 36240-2023")</f>
        <v/>
      </c>
      <c r="Y45">
        <f>HYPERLINK("https://klasma.github.io/Logging_1293/tillsynsmail/A 36240-2023 tillsynsbegäran mail.docx", "A 36240-2023")</f>
        <v/>
      </c>
      <c r="Z45">
        <f>HYPERLINK("https://klasma.github.io/Logging_1293/fåglar/A 36240-2023 prioriterade fågelarter.docx", "A 36240-2023")</f>
        <v/>
      </c>
    </row>
    <row r="46" ht="15" customHeight="1">
      <c r="A46" t="inlineStr">
        <is>
          <t>A 16550-2025</t>
        </is>
      </c>
      <c r="B46" s="1" t="n">
        <v>45751</v>
      </c>
      <c r="C46" s="1" t="n">
        <v>46192</v>
      </c>
      <c r="D46" t="inlineStr">
        <is>
          <t>SKÅNE LÄN</t>
        </is>
      </c>
      <c r="E46" t="inlineStr">
        <is>
          <t>HÄSSLEHOLM</t>
        </is>
      </c>
      <c r="G46" t="n">
        <v>0.7</v>
      </c>
      <c r="H46" t="n">
        <v>0</v>
      </c>
      <c r="I46" t="n">
        <v>1</v>
      </c>
      <c r="J46" t="n">
        <v>0</v>
      </c>
      <c r="K46" t="n">
        <v>0</v>
      </c>
      <c r="L46" t="n">
        <v>0</v>
      </c>
      <c r="M46" t="n">
        <v>0</v>
      </c>
      <c r="N46" t="n">
        <v>0</v>
      </c>
      <c r="O46" t="n">
        <v>0</v>
      </c>
      <c r="P46" t="n">
        <v>0</v>
      </c>
      <c r="Q46" t="n">
        <v>1</v>
      </c>
      <c r="R46" s="2" t="inlineStr">
        <is>
          <t>Skuggsprötmossa</t>
        </is>
      </c>
      <c r="S46">
        <f>HYPERLINK("https://klasma.github.io/Logging_1293/artfynd/A 16550-2025 artfynd.xlsx", "A 16550-2025")</f>
        <v/>
      </c>
      <c r="T46">
        <f>HYPERLINK("https://klasma.github.io/Logging_1293/kartor/A 16550-2025 karta.png", "A 16550-2025")</f>
        <v/>
      </c>
      <c r="V46">
        <f>HYPERLINK("https://klasma.github.io/Logging_1293/klagomål/A 16550-2025 FSC-klagomål.docx", "A 16550-2025")</f>
        <v/>
      </c>
      <c r="W46">
        <f>HYPERLINK("https://klasma.github.io/Logging_1293/klagomålsmail/A 16550-2025 FSC-klagomål mail.docx", "A 16550-2025")</f>
        <v/>
      </c>
      <c r="X46">
        <f>HYPERLINK("https://klasma.github.io/Logging_1293/tillsyn/A 16550-2025 tillsynsbegäran.docx", "A 16550-2025")</f>
        <v/>
      </c>
      <c r="Y46">
        <f>HYPERLINK("https://klasma.github.io/Logging_1293/tillsynsmail/A 16550-2025 tillsynsbegäran mail.docx", "A 16550-2025")</f>
        <v/>
      </c>
    </row>
    <row r="47" ht="15" customHeight="1">
      <c r="A47" t="inlineStr">
        <is>
          <t>A 61929-2023</t>
        </is>
      </c>
      <c r="B47" s="1" t="n">
        <v>45266</v>
      </c>
      <c r="C47" s="1" t="n">
        <v>46192</v>
      </c>
      <c r="D47" t="inlineStr">
        <is>
          <t>SKÅNE LÄN</t>
        </is>
      </c>
      <c r="E47" t="inlineStr">
        <is>
          <t>HÄSSLEHOLM</t>
        </is>
      </c>
      <c r="G47" t="n">
        <v>1.9</v>
      </c>
      <c r="H47" t="n">
        <v>0</v>
      </c>
      <c r="I47" t="n">
        <v>0</v>
      </c>
      <c r="J47" t="n">
        <v>0</v>
      </c>
      <c r="K47" t="n">
        <v>1</v>
      </c>
      <c r="L47" t="n">
        <v>0</v>
      </c>
      <c r="M47" t="n">
        <v>0</v>
      </c>
      <c r="N47" t="n">
        <v>0</v>
      </c>
      <c r="O47" t="n">
        <v>1</v>
      </c>
      <c r="P47" t="n">
        <v>1</v>
      </c>
      <c r="Q47" t="n">
        <v>1</v>
      </c>
      <c r="R47" s="2" t="inlineStr">
        <is>
          <t>Slåttergubbe</t>
        </is>
      </c>
      <c r="S47">
        <f>HYPERLINK("https://klasma.github.io/Logging_1293/artfynd/A 61929-2023 artfynd.xlsx", "A 61929-2023")</f>
        <v/>
      </c>
      <c r="T47">
        <f>HYPERLINK("https://klasma.github.io/Logging_1293/kartor/A 61929-2023 karta.png", "A 61929-2023")</f>
        <v/>
      </c>
      <c r="V47">
        <f>HYPERLINK("https://klasma.github.io/Logging_1293/klagomål/A 61929-2023 FSC-klagomål.docx", "A 61929-2023")</f>
        <v/>
      </c>
      <c r="W47">
        <f>HYPERLINK("https://klasma.github.io/Logging_1293/klagomålsmail/A 61929-2023 FSC-klagomål mail.docx", "A 61929-2023")</f>
        <v/>
      </c>
      <c r="X47">
        <f>HYPERLINK("https://klasma.github.io/Logging_1293/tillsyn/A 61929-2023 tillsynsbegäran.docx", "A 61929-2023")</f>
        <v/>
      </c>
      <c r="Y47">
        <f>HYPERLINK("https://klasma.github.io/Logging_1293/tillsynsmail/A 61929-2023 tillsynsbegäran mail.docx", "A 61929-2023")</f>
        <v/>
      </c>
    </row>
    <row r="48" ht="15" customHeight="1">
      <c r="A48" t="inlineStr">
        <is>
          <t>A 21328-2023</t>
        </is>
      </c>
      <c r="B48" s="1" t="n">
        <v>45062</v>
      </c>
      <c r="C48" s="1" t="n">
        <v>46192</v>
      </c>
      <c r="D48" t="inlineStr">
        <is>
          <t>SKÅNE LÄN</t>
        </is>
      </c>
      <c r="E48" t="inlineStr">
        <is>
          <t>HÄSSLEHOLM</t>
        </is>
      </c>
      <c r="G48" t="n">
        <v>2.1</v>
      </c>
      <c r="H48" t="n">
        <v>0</v>
      </c>
      <c r="I48" t="n">
        <v>1</v>
      </c>
      <c r="J48" t="n">
        <v>0</v>
      </c>
      <c r="K48" t="n">
        <v>0</v>
      </c>
      <c r="L48" t="n">
        <v>0</v>
      </c>
      <c r="M48" t="n">
        <v>0</v>
      </c>
      <c r="N48" t="n">
        <v>0</v>
      </c>
      <c r="O48" t="n">
        <v>0</v>
      </c>
      <c r="P48" t="n">
        <v>0</v>
      </c>
      <c r="Q48" t="n">
        <v>1</v>
      </c>
      <c r="R48" s="2" t="inlineStr">
        <is>
          <t>Tibast</t>
        </is>
      </c>
      <c r="S48">
        <f>HYPERLINK("https://klasma.github.io/Logging_1293/artfynd/A 21328-2023 artfynd.xlsx", "A 21328-2023")</f>
        <v/>
      </c>
      <c r="T48">
        <f>HYPERLINK("https://klasma.github.io/Logging_1293/kartor/A 21328-2023 karta.png", "A 21328-2023")</f>
        <v/>
      </c>
      <c r="V48">
        <f>HYPERLINK("https://klasma.github.io/Logging_1293/klagomål/A 21328-2023 FSC-klagomål.docx", "A 21328-2023")</f>
        <v/>
      </c>
      <c r="W48">
        <f>HYPERLINK("https://klasma.github.io/Logging_1293/klagomålsmail/A 21328-2023 FSC-klagomål mail.docx", "A 21328-2023")</f>
        <v/>
      </c>
      <c r="X48">
        <f>HYPERLINK("https://klasma.github.io/Logging_1293/tillsyn/A 21328-2023 tillsynsbegäran.docx", "A 21328-2023")</f>
        <v/>
      </c>
      <c r="Y48">
        <f>HYPERLINK("https://klasma.github.io/Logging_1293/tillsynsmail/A 21328-2023 tillsynsbegäran mail.docx", "A 21328-2023")</f>
        <v/>
      </c>
    </row>
    <row r="49" ht="15" customHeight="1">
      <c r="A49" t="inlineStr">
        <is>
          <t>A 25533-2024</t>
        </is>
      </c>
      <c r="B49" s="1" t="n">
        <v>45463</v>
      </c>
      <c r="C49" s="1" t="n">
        <v>46192</v>
      </c>
      <c r="D49" t="inlineStr">
        <is>
          <t>SKÅNE LÄN</t>
        </is>
      </c>
      <c r="E49" t="inlineStr">
        <is>
          <t>HÄSSLEHOLM</t>
        </is>
      </c>
      <c r="G49" t="n">
        <v>1.8</v>
      </c>
      <c r="H49" t="n">
        <v>1</v>
      </c>
      <c r="I49" t="n">
        <v>0</v>
      </c>
      <c r="J49" t="n">
        <v>0</v>
      </c>
      <c r="K49" t="n">
        <v>0</v>
      </c>
      <c r="L49" t="n">
        <v>0</v>
      </c>
      <c r="M49" t="n">
        <v>0</v>
      </c>
      <c r="N49" t="n">
        <v>0</v>
      </c>
      <c r="O49" t="n">
        <v>0</v>
      </c>
      <c r="P49" t="n">
        <v>0</v>
      </c>
      <c r="Q49" t="n">
        <v>1</v>
      </c>
      <c r="R49" s="2" t="inlineStr">
        <is>
          <t>Fiskgjuse</t>
        </is>
      </c>
      <c r="S49">
        <f>HYPERLINK("https://klasma.github.io/Logging_1293/artfynd/A 25533-2024 artfynd.xlsx", "A 25533-2024")</f>
        <v/>
      </c>
      <c r="T49">
        <f>HYPERLINK("https://klasma.github.io/Logging_1293/kartor/A 25533-2024 karta.png", "A 25533-2024")</f>
        <v/>
      </c>
      <c r="V49">
        <f>HYPERLINK("https://klasma.github.io/Logging_1293/klagomål/A 25533-2024 FSC-klagomål.docx", "A 25533-2024")</f>
        <v/>
      </c>
      <c r="W49">
        <f>HYPERLINK("https://klasma.github.io/Logging_1293/klagomålsmail/A 25533-2024 FSC-klagomål mail.docx", "A 25533-2024")</f>
        <v/>
      </c>
      <c r="X49">
        <f>HYPERLINK("https://klasma.github.io/Logging_1293/tillsyn/A 25533-2024 tillsynsbegäran.docx", "A 25533-2024")</f>
        <v/>
      </c>
      <c r="Y49">
        <f>HYPERLINK("https://klasma.github.io/Logging_1293/tillsynsmail/A 25533-2024 tillsynsbegäran mail.docx", "A 25533-2024")</f>
        <v/>
      </c>
      <c r="Z49">
        <f>HYPERLINK("https://klasma.github.io/Logging_1293/fåglar/A 25533-2024 prioriterade fågelarter.docx", "A 25533-2024")</f>
        <v/>
      </c>
    </row>
    <row r="50" ht="15" customHeight="1">
      <c r="A50" t="inlineStr">
        <is>
          <t>A 61498-2022</t>
        </is>
      </c>
      <c r="B50" s="1" t="n">
        <v>44910</v>
      </c>
      <c r="C50" s="1" t="n">
        <v>46192</v>
      </c>
      <c r="D50" t="inlineStr">
        <is>
          <t>SKÅNE LÄN</t>
        </is>
      </c>
      <c r="E50" t="inlineStr">
        <is>
          <t>HÄSSLEHOLM</t>
        </is>
      </c>
      <c r="F50" t="inlineStr">
        <is>
          <t>Kyrkan</t>
        </is>
      </c>
      <c r="G50" t="n">
        <v>3.2</v>
      </c>
      <c r="H50" t="n">
        <v>1</v>
      </c>
      <c r="I50" t="n">
        <v>0</v>
      </c>
      <c r="J50" t="n">
        <v>0</v>
      </c>
      <c r="K50" t="n">
        <v>0</v>
      </c>
      <c r="L50" t="n">
        <v>0</v>
      </c>
      <c r="M50" t="n">
        <v>0</v>
      </c>
      <c r="N50" t="n">
        <v>0</v>
      </c>
      <c r="O50" t="n">
        <v>0</v>
      </c>
      <c r="P50" t="n">
        <v>0</v>
      </c>
      <c r="Q50" t="n">
        <v>1</v>
      </c>
      <c r="R50" s="2" t="inlineStr">
        <is>
          <t>Revlummer</t>
        </is>
      </c>
      <c r="S50">
        <f>HYPERLINK("https://klasma.github.io/Logging_1293/artfynd/A 61498-2022 artfynd.xlsx", "A 61498-2022")</f>
        <v/>
      </c>
      <c r="T50">
        <f>HYPERLINK("https://klasma.github.io/Logging_1293/kartor/A 61498-2022 karta.png", "A 61498-2022")</f>
        <v/>
      </c>
      <c r="V50">
        <f>HYPERLINK("https://klasma.github.io/Logging_1293/klagomål/A 61498-2022 FSC-klagomål.docx", "A 61498-2022")</f>
        <v/>
      </c>
      <c r="W50">
        <f>HYPERLINK("https://klasma.github.io/Logging_1293/klagomålsmail/A 61498-2022 FSC-klagomål mail.docx", "A 61498-2022")</f>
        <v/>
      </c>
      <c r="X50">
        <f>HYPERLINK("https://klasma.github.io/Logging_1293/tillsyn/A 61498-2022 tillsynsbegäran.docx", "A 61498-2022")</f>
        <v/>
      </c>
      <c r="Y50">
        <f>HYPERLINK("https://klasma.github.io/Logging_1293/tillsynsmail/A 61498-2022 tillsynsbegäran mail.docx", "A 61498-2022")</f>
        <v/>
      </c>
    </row>
    <row r="51" ht="15" customHeight="1">
      <c r="A51" t="inlineStr">
        <is>
          <t>A 63487-2025</t>
        </is>
      </c>
      <c r="B51" s="1" t="n">
        <v>46013</v>
      </c>
      <c r="C51" s="1" t="n">
        <v>46192</v>
      </c>
      <c r="D51" t="inlineStr">
        <is>
          <t>SKÅNE LÄN</t>
        </is>
      </c>
      <c r="E51" t="inlineStr">
        <is>
          <t>HÄSSLEHOLM</t>
        </is>
      </c>
      <c r="F51" t="inlineStr">
        <is>
          <t>Kommuner</t>
        </is>
      </c>
      <c r="G51" t="n">
        <v>9.800000000000001</v>
      </c>
      <c r="H51" t="n">
        <v>1</v>
      </c>
      <c r="I51" t="n">
        <v>0</v>
      </c>
      <c r="J51" t="n">
        <v>0</v>
      </c>
      <c r="K51" t="n">
        <v>0</v>
      </c>
      <c r="L51" t="n">
        <v>0</v>
      </c>
      <c r="M51" t="n">
        <v>0</v>
      </c>
      <c r="N51" t="n">
        <v>0</v>
      </c>
      <c r="O51" t="n">
        <v>0</v>
      </c>
      <c r="P51" t="n">
        <v>0</v>
      </c>
      <c r="Q51" t="n">
        <v>1</v>
      </c>
      <c r="R51" s="2" t="inlineStr">
        <is>
          <t>Kungsfågel</t>
        </is>
      </c>
      <c r="S51">
        <f>HYPERLINK("https://klasma.github.io/Logging_1293/artfynd/A 63487-2025 artfynd.xlsx", "A 63487-2025")</f>
        <v/>
      </c>
      <c r="T51">
        <f>HYPERLINK("https://klasma.github.io/Logging_1293/kartor/A 63487-2025 karta.png", "A 63487-2025")</f>
        <v/>
      </c>
      <c r="V51">
        <f>HYPERLINK("https://klasma.github.io/Logging_1293/klagomål/A 63487-2025 FSC-klagomål.docx", "A 63487-2025")</f>
        <v/>
      </c>
      <c r="W51">
        <f>HYPERLINK("https://klasma.github.io/Logging_1293/klagomålsmail/A 63487-2025 FSC-klagomål mail.docx", "A 63487-2025")</f>
        <v/>
      </c>
      <c r="X51">
        <f>HYPERLINK("https://klasma.github.io/Logging_1293/tillsyn/A 63487-2025 tillsynsbegäran.docx", "A 63487-2025")</f>
        <v/>
      </c>
      <c r="Y51">
        <f>HYPERLINK("https://klasma.github.io/Logging_1293/tillsynsmail/A 63487-2025 tillsynsbegäran mail.docx", "A 63487-2025")</f>
        <v/>
      </c>
      <c r="Z51">
        <f>HYPERLINK("https://klasma.github.io/Logging_1293/fåglar/A 63487-2025 prioriterade fågelarter.docx", "A 63487-2025")</f>
        <v/>
      </c>
    </row>
    <row r="52" ht="15" customHeight="1">
      <c r="A52" t="inlineStr">
        <is>
          <t>A 9289-2025</t>
        </is>
      </c>
      <c r="B52" s="1" t="n">
        <v>45714</v>
      </c>
      <c r="C52" s="1" t="n">
        <v>46192</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58891-2022</t>
        </is>
      </c>
      <c r="B53" s="1" t="n">
        <v>44896</v>
      </c>
      <c r="C53" s="1" t="n">
        <v>46192</v>
      </c>
      <c r="D53" t="inlineStr">
        <is>
          <t>SKÅNE LÄN</t>
        </is>
      </c>
      <c r="E53" t="inlineStr">
        <is>
          <t>HÄSSLEHOLM</t>
        </is>
      </c>
      <c r="F53" t="inlineStr">
        <is>
          <t>Kyrkan</t>
        </is>
      </c>
      <c r="G53" t="n">
        <v>1.6</v>
      </c>
      <c r="H53" t="n">
        <v>1</v>
      </c>
      <c r="I53" t="n">
        <v>0</v>
      </c>
      <c r="J53" t="n">
        <v>0</v>
      </c>
      <c r="K53" t="n">
        <v>0</v>
      </c>
      <c r="L53" t="n">
        <v>0</v>
      </c>
      <c r="M53" t="n">
        <v>0</v>
      </c>
      <c r="N53" t="n">
        <v>0</v>
      </c>
      <c r="O53" t="n">
        <v>0</v>
      </c>
      <c r="P53" t="n">
        <v>0</v>
      </c>
      <c r="Q53" t="n">
        <v>1</v>
      </c>
      <c r="R53" s="2" t="inlineStr">
        <is>
          <t>Revlummer</t>
        </is>
      </c>
      <c r="S53">
        <f>HYPERLINK("https://klasma.github.io/Logging_1293/artfynd/A 58891-2022 artfynd.xlsx", "A 58891-2022")</f>
        <v/>
      </c>
      <c r="T53">
        <f>HYPERLINK("https://klasma.github.io/Logging_1293/kartor/A 58891-2022 karta.png", "A 58891-2022")</f>
        <v/>
      </c>
      <c r="V53">
        <f>HYPERLINK("https://klasma.github.io/Logging_1293/klagomål/A 58891-2022 FSC-klagomål.docx", "A 58891-2022")</f>
        <v/>
      </c>
      <c r="W53">
        <f>HYPERLINK("https://klasma.github.io/Logging_1293/klagomålsmail/A 58891-2022 FSC-klagomål mail.docx", "A 58891-2022")</f>
        <v/>
      </c>
      <c r="X53">
        <f>HYPERLINK("https://klasma.github.io/Logging_1293/tillsyn/A 58891-2022 tillsynsbegäran.docx", "A 58891-2022")</f>
        <v/>
      </c>
      <c r="Y53">
        <f>HYPERLINK("https://klasma.github.io/Logging_1293/tillsynsmail/A 58891-2022 tillsynsbegäran mail.docx", "A 58891-2022")</f>
        <v/>
      </c>
    </row>
    <row r="54" ht="15" customHeight="1">
      <c r="A54" t="inlineStr">
        <is>
          <t>A 20280-2025</t>
        </is>
      </c>
      <c r="B54" s="1" t="n">
        <v>45774</v>
      </c>
      <c r="C54" s="1" t="n">
        <v>46192</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HYPERLINK("https://klasma.github.io/Logging_1293/artfynd/A 20280-2025 artfynd.xlsx", "A 20280-2025")</f>
        <v/>
      </c>
      <c r="T54">
        <f>HYPERLINK("https://klasma.github.io/Logging_1293/kartor/A 20280-2025 karta.png", "A 20280-2025")</f>
        <v/>
      </c>
      <c r="V54">
        <f>HYPERLINK("https://klasma.github.io/Logging_1293/klagomål/A 20280-2025 FSC-klagomål.docx", "A 20280-2025")</f>
        <v/>
      </c>
      <c r="W54">
        <f>HYPERLINK("https://klasma.github.io/Logging_1293/klagomålsmail/A 20280-2025 FSC-klagomål mail.docx", "A 20280-2025")</f>
        <v/>
      </c>
      <c r="X54">
        <f>HYPERLINK("https://klasma.github.io/Logging_1293/tillsyn/A 20280-2025 tillsynsbegäran.docx", "A 20280-2025")</f>
        <v/>
      </c>
      <c r="Y54">
        <f>HYPERLINK("https://klasma.github.io/Logging_1293/tillsynsmail/A 20280-2025 tillsynsbegäran mail.docx", "A 20280-2025")</f>
        <v/>
      </c>
    </row>
    <row r="55" ht="15" customHeight="1">
      <c r="A55" t="inlineStr">
        <is>
          <t>A 26857-2025</t>
        </is>
      </c>
      <c r="B55" s="1" t="n">
        <v>45810</v>
      </c>
      <c r="C55" s="1" t="n">
        <v>46192</v>
      </c>
      <c r="D55" t="inlineStr">
        <is>
          <t>SKÅNE LÄN</t>
        </is>
      </c>
      <c r="E55" t="inlineStr">
        <is>
          <t>HÄSSLEHOLM</t>
        </is>
      </c>
      <c r="G55" t="n">
        <v>0.8</v>
      </c>
      <c r="H55" t="n">
        <v>1</v>
      </c>
      <c r="I55" t="n">
        <v>0</v>
      </c>
      <c r="J55" t="n">
        <v>0</v>
      </c>
      <c r="K55" t="n">
        <v>1</v>
      </c>
      <c r="L55" t="n">
        <v>0</v>
      </c>
      <c r="M55" t="n">
        <v>0</v>
      </c>
      <c r="N55" t="n">
        <v>0</v>
      </c>
      <c r="O55" t="n">
        <v>1</v>
      </c>
      <c r="P55" t="n">
        <v>1</v>
      </c>
      <c r="Q55" t="n">
        <v>1</v>
      </c>
      <c r="R55" s="2" t="inlineStr">
        <is>
          <t>Blå kärrhök</t>
        </is>
      </c>
      <c r="S55">
        <f>HYPERLINK("https://klasma.github.io/Logging_1293/artfynd/A 26857-2025 artfynd.xlsx", "A 26857-2025")</f>
        <v/>
      </c>
      <c r="T55">
        <f>HYPERLINK("https://klasma.github.io/Logging_1293/kartor/A 26857-2025 karta.png", "A 26857-2025")</f>
        <v/>
      </c>
      <c r="V55">
        <f>HYPERLINK("https://klasma.github.io/Logging_1293/klagomål/A 26857-2025 FSC-klagomål.docx", "A 26857-2025")</f>
        <v/>
      </c>
      <c r="W55">
        <f>HYPERLINK("https://klasma.github.io/Logging_1293/klagomålsmail/A 26857-2025 FSC-klagomål mail.docx", "A 26857-2025")</f>
        <v/>
      </c>
      <c r="X55">
        <f>HYPERLINK("https://klasma.github.io/Logging_1293/tillsyn/A 26857-2025 tillsynsbegäran.docx", "A 26857-2025")</f>
        <v/>
      </c>
      <c r="Y55">
        <f>HYPERLINK("https://klasma.github.io/Logging_1293/tillsynsmail/A 26857-2025 tillsynsbegäran mail.docx", "A 26857-2025")</f>
        <v/>
      </c>
      <c r="Z55">
        <f>HYPERLINK("https://klasma.github.io/Logging_1293/fåglar/A 26857-2025 prioriterade fågelarter.docx", "A 26857-2025")</f>
        <v/>
      </c>
    </row>
    <row r="56" ht="15" customHeight="1">
      <c r="A56" t="inlineStr">
        <is>
          <t>A 61707-2024</t>
        </is>
      </c>
      <c r="B56" s="1" t="n">
        <v>45648</v>
      </c>
      <c r="C56" s="1" t="n">
        <v>46192</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Rödlånke</t>
        </is>
      </c>
      <c r="S56">
        <f>HYPERLINK("https://klasma.github.io/Logging_1293/artfynd/A 61707-2024 artfynd.xlsx", "A 61707-2024")</f>
        <v/>
      </c>
      <c r="T56">
        <f>HYPERLINK("https://klasma.github.io/Logging_1293/kartor/A 61707-2024 karta.png", "A 61707-2024")</f>
        <v/>
      </c>
      <c r="V56">
        <f>HYPERLINK("https://klasma.github.io/Logging_1293/klagomål/A 61707-2024 FSC-klagomål.docx", "A 61707-2024")</f>
        <v/>
      </c>
      <c r="W56">
        <f>HYPERLINK("https://klasma.github.io/Logging_1293/klagomålsmail/A 61707-2024 FSC-klagomål mail.docx", "A 61707-2024")</f>
        <v/>
      </c>
      <c r="X56">
        <f>HYPERLINK("https://klasma.github.io/Logging_1293/tillsyn/A 61707-2024 tillsynsbegäran.docx", "A 61707-2024")</f>
        <v/>
      </c>
      <c r="Y56">
        <f>HYPERLINK("https://klasma.github.io/Logging_1293/tillsynsmail/A 61707-2024 tillsynsbegäran mail.docx", "A 61707-2024")</f>
        <v/>
      </c>
    </row>
    <row r="57" ht="15" customHeight="1">
      <c r="A57" t="inlineStr">
        <is>
          <t>A 6634-2024</t>
        </is>
      </c>
      <c r="B57" s="1" t="n">
        <v>45341</v>
      </c>
      <c r="C57" s="1" t="n">
        <v>46192</v>
      </c>
      <c r="D57" t="inlineStr">
        <is>
          <t>SKÅNE LÄN</t>
        </is>
      </c>
      <c r="E57" t="inlineStr">
        <is>
          <t>HÄSSLEHOLM</t>
        </is>
      </c>
      <c r="G57" t="n">
        <v>1.9</v>
      </c>
      <c r="H57" t="n">
        <v>0</v>
      </c>
      <c r="I57" t="n">
        <v>0</v>
      </c>
      <c r="J57" t="n">
        <v>0</v>
      </c>
      <c r="K57" t="n">
        <v>1</v>
      </c>
      <c r="L57" t="n">
        <v>0</v>
      </c>
      <c r="M57" t="n">
        <v>0</v>
      </c>
      <c r="N57" t="n">
        <v>0</v>
      </c>
      <c r="O57" t="n">
        <v>1</v>
      </c>
      <c r="P57" t="n">
        <v>1</v>
      </c>
      <c r="Q57" t="n">
        <v>1</v>
      </c>
      <c r="R57" s="2" t="inlineStr">
        <is>
          <t>Revig blodrot</t>
        </is>
      </c>
      <c r="S57">
        <f>HYPERLINK("https://klasma.github.io/Logging_1293/artfynd/A 6634-2024 artfynd.xlsx", "A 6634-2024")</f>
        <v/>
      </c>
      <c r="T57">
        <f>HYPERLINK("https://klasma.github.io/Logging_1293/kartor/A 6634-2024 karta.png", "A 6634-2024")</f>
        <v/>
      </c>
      <c r="V57">
        <f>HYPERLINK("https://klasma.github.io/Logging_1293/klagomål/A 6634-2024 FSC-klagomål.docx", "A 6634-2024")</f>
        <v/>
      </c>
      <c r="W57">
        <f>HYPERLINK("https://klasma.github.io/Logging_1293/klagomålsmail/A 6634-2024 FSC-klagomål mail.docx", "A 6634-2024")</f>
        <v/>
      </c>
      <c r="X57">
        <f>HYPERLINK("https://klasma.github.io/Logging_1293/tillsyn/A 6634-2024 tillsynsbegäran.docx", "A 6634-2024")</f>
        <v/>
      </c>
      <c r="Y57">
        <f>HYPERLINK("https://klasma.github.io/Logging_1293/tillsynsmail/A 6634-2024 tillsynsbegäran mail.docx", "A 6634-2024")</f>
        <v/>
      </c>
    </row>
    <row r="58" ht="15" customHeight="1">
      <c r="A58" t="inlineStr">
        <is>
          <t>A 60925-2024</t>
        </is>
      </c>
      <c r="B58" s="1" t="n">
        <v>45645</v>
      </c>
      <c r="C58" s="1" t="n">
        <v>46192</v>
      </c>
      <c r="D58" t="inlineStr">
        <is>
          <t>SKÅNE LÄN</t>
        </is>
      </c>
      <c r="E58" t="inlineStr">
        <is>
          <t>HÄSSLEHOLM</t>
        </is>
      </c>
      <c r="G58" t="n">
        <v>1.8</v>
      </c>
      <c r="H58" t="n">
        <v>0</v>
      </c>
      <c r="I58" t="n">
        <v>0</v>
      </c>
      <c r="J58" t="n">
        <v>0</v>
      </c>
      <c r="K58" t="n">
        <v>0</v>
      </c>
      <c r="L58" t="n">
        <v>1</v>
      </c>
      <c r="M58" t="n">
        <v>0</v>
      </c>
      <c r="N58" t="n">
        <v>0</v>
      </c>
      <c r="O58" t="n">
        <v>1</v>
      </c>
      <c r="P58" t="n">
        <v>1</v>
      </c>
      <c r="Q58" t="n">
        <v>1</v>
      </c>
      <c r="R58" s="2" t="inlineStr">
        <is>
          <t>Ask</t>
        </is>
      </c>
      <c r="S58">
        <f>HYPERLINK("https://klasma.github.io/Logging_1293/artfynd/A 60925-2024 artfynd.xlsx", "A 60925-2024")</f>
        <v/>
      </c>
      <c r="T58">
        <f>HYPERLINK("https://klasma.github.io/Logging_1293/kartor/A 60925-2024 karta.png", "A 60925-2024")</f>
        <v/>
      </c>
      <c r="V58">
        <f>HYPERLINK("https://klasma.github.io/Logging_1293/klagomål/A 60925-2024 FSC-klagomål.docx", "A 60925-2024")</f>
        <v/>
      </c>
      <c r="W58">
        <f>HYPERLINK("https://klasma.github.io/Logging_1293/klagomålsmail/A 60925-2024 FSC-klagomål mail.docx", "A 60925-2024")</f>
        <v/>
      </c>
      <c r="X58">
        <f>HYPERLINK("https://klasma.github.io/Logging_1293/tillsyn/A 60925-2024 tillsynsbegäran.docx", "A 60925-2024")</f>
        <v/>
      </c>
      <c r="Y58">
        <f>HYPERLINK("https://klasma.github.io/Logging_1293/tillsynsmail/A 60925-2024 tillsynsbegäran mail.docx", "A 60925-2024")</f>
        <v/>
      </c>
    </row>
    <row r="59" ht="15" customHeight="1">
      <c r="A59" t="inlineStr">
        <is>
          <t>A 2194-2025</t>
        </is>
      </c>
      <c r="B59" s="1" t="n">
        <v>45673</v>
      </c>
      <c r="C59" s="1" t="n">
        <v>46192</v>
      </c>
      <c r="D59" t="inlineStr">
        <is>
          <t>SKÅNE LÄN</t>
        </is>
      </c>
      <c r="E59" t="inlineStr">
        <is>
          <t>HÄSSLEHOLM</t>
        </is>
      </c>
      <c r="G59" t="n">
        <v>3.4</v>
      </c>
      <c r="H59" t="n">
        <v>1</v>
      </c>
      <c r="I59" t="n">
        <v>0</v>
      </c>
      <c r="J59" t="n">
        <v>0</v>
      </c>
      <c r="K59" t="n">
        <v>0</v>
      </c>
      <c r="L59" t="n">
        <v>0</v>
      </c>
      <c r="M59" t="n">
        <v>0</v>
      </c>
      <c r="N59" t="n">
        <v>0</v>
      </c>
      <c r="O59" t="n">
        <v>0</v>
      </c>
      <c r="P59" t="n">
        <v>0</v>
      </c>
      <c r="Q59" t="n">
        <v>1</v>
      </c>
      <c r="R59" s="2" t="inlineStr">
        <is>
          <t>Utter</t>
        </is>
      </c>
      <c r="S59">
        <f>HYPERLINK("https://klasma.github.io/Logging_1293/artfynd/A 2194-2025 artfynd.xlsx", "A 2194-2025")</f>
        <v/>
      </c>
      <c r="T59">
        <f>HYPERLINK("https://klasma.github.io/Logging_1293/kartor/A 2194-2025 karta.png", "A 2194-2025")</f>
        <v/>
      </c>
      <c r="V59">
        <f>HYPERLINK("https://klasma.github.io/Logging_1293/klagomål/A 2194-2025 FSC-klagomål.docx", "A 2194-2025")</f>
        <v/>
      </c>
      <c r="W59">
        <f>HYPERLINK("https://klasma.github.io/Logging_1293/klagomålsmail/A 2194-2025 FSC-klagomål mail.docx", "A 2194-2025")</f>
        <v/>
      </c>
      <c r="X59">
        <f>HYPERLINK("https://klasma.github.io/Logging_1293/tillsyn/A 2194-2025 tillsynsbegäran.docx", "A 2194-2025")</f>
        <v/>
      </c>
      <c r="Y59">
        <f>HYPERLINK("https://klasma.github.io/Logging_1293/tillsynsmail/A 2194-2025 tillsynsbegäran mail.docx", "A 2194-2025")</f>
        <v/>
      </c>
    </row>
    <row r="60" ht="15" customHeight="1">
      <c r="A60" t="inlineStr">
        <is>
          <t>A 13894-2026</t>
        </is>
      </c>
      <c r="B60" s="1" t="n">
        <v>46098</v>
      </c>
      <c r="C60" s="1" t="n">
        <v>46192</v>
      </c>
      <c r="D60" t="inlineStr">
        <is>
          <t>SKÅNE LÄN</t>
        </is>
      </c>
      <c r="E60" t="inlineStr">
        <is>
          <t>HÄSSLEHOLM</t>
        </is>
      </c>
      <c r="G60" t="n">
        <v>2.6</v>
      </c>
      <c r="H60" t="n">
        <v>1</v>
      </c>
      <c r="I60" t="n">
        <v>0</v>
      </c>
      <c r="J60" t="n">
        <v>1</v>
      </c>
      <c r="K60" t="n">
        <v>0</v>
      </c>
      <c r="L60" t="n">
        <v>0</v>
      </c>
      <c r="M60" t="n">
        <v>0</v>
      </c>
      <c r="N60" t="n">
        <v>0</v>
      </c>
      <c r="O60" t="n">
        <v>1</v>
      </c>
      <c r="P60" t="n">
        <v>0</v>
      </c>
      <c r="Q60" t="n">
        <v>1</v>
      </c>
      <c r="R60" s="2" t="inlineStr">
        <is>
          <t>Entita</t>
        </is>
      </c>
      <c r="S60">
        <f>HYPERLINK("https://klasma.github.io/Logging_1293/artfynd/A 13894-2026 artfynd.xlsx", "A 13894-2026")</f>
        <v/>
      </c>
      <c r="T60">
        <f>HYPERLINK("https://klasma.github.io/Logging_1293/kartor/A 13894-2026 karta.png", "A 13894-2026")</f>
        <v/>
      </c>
      <c r="V60">
        <f>HYPERLINK("https://klasma.github.io/Logging_1293/klagomål/A 13894-2026 FSC-klagomål.docx", "A 13894-2026")</f>
        <v/>
      </c>
      <c r="W60">
        <f>HYPERLINK("https://klasma.github.io/Logging_1293/klagomålsmail/A 13894-2026 FSC-klagomål mail.docx", "A 13894-2026")</f>
        <v/>
      </c>
      <c r="X60">
        <f>HYPERLINK("https://klasma.github.io/Logging_1293/tillsyn/A 13894-2026 tillsynsbegäran.docx", "A 13894-2026")</f>
        <v/>
      </c>
      <c r="Y60">
        <f>HYPERLINK("https://klasma.github.io/Logging_1293/tillsynsmail/A 13894-2026 tillsynsbegäran mail.docx", "A 13894-2026")</f>
        <v/>
      </c>
      <c r="Z60">
        <f>HYPERLINK("https://klasma.github.io/Logging_1293/fåglar/A 13894-2026 prioriterade fågelarter.docx", "A 13894-2026")</f>
        <v/>
      </c>
    </row>
    <row r="61" ht="15" customHeight="1">
      <c r="A61" t="inlineStr">
        <is>
          <t>A 8223-2025</t>
        </is>
      </c>
      <c r="B61" s="1" t="n">
        <v>45708</v>
      </c>
      <c r="C61" s="1" t="n">
        <v>46192</v>
      </c>
      <c r="D61" t="inlineStr">
        <is>
          <t>SKÅNE LÄN</t>
        </is>
      </c>
      <c r="E61" t="inlineStr">
        <is>
          <t>HÄSSLEHOLM</t>
        </is>
      </c>
      <c r="G61" t="n">
        <v>0.8</v>
      </c>
      <c r="H61" t="n">
        <v>1</v>
      </c>
      <c r="I61" t="n">
        <v>0</v>
      </c>
      <c r="J61" t="n">
        <v>0</v>
      </c>
      <c r="K61" t="n">
        <v>0</v>
      </c>
      <c r="L61" t="n">
        <v>0</v>
      </c>
      <c r="M61" t="n">
        <v>0</v>
      </c>
      <c r="N61" t="n">
        <v>0</v>
      </c>
      <c r="O61" t="n">
        <v>0</v>
      </c>
      <c r="P61" t="n">
        <v>0</v>
      </c>
      <c r="Q61" t="n">
        <v>1</v>
      </c>
      <c r="R61" s="2" t="inlineStr">
        <is>
          <t>Kungsfågel</t>
        </is>
      </c>
      <c r="S61">
        <f>HYPERLINK("https://klasma.github.io/Logging_1293/artfynd/A 8223-2025 artfynd.xlsx", "A 8223-2025")</f>
        <v/>
      </c>
      <c r="T61">
        <f>HYPERLINK("https://klasma.github.io/Logging_1293/kartor/A 8223-2025 karta.png", "A 8223-2025")</f>
        <v/>
      </c>
      <c r="V61">
        <f>HYPERLINK("https://klasma.github.io/Logging_1293/klagomål/A 8223-2025 FSC-klagomål.docx", "A 8223-2025")</f>
        <v/>
      </c>
      <c r="W61">
        <f>HYPERLINK("https://klasma.github.io/Logging_1293/klagomålsmail/A 8223-2025 FSC-klagomål mail.docx", "A 8223-2025")</f>
        <v/>
      </c>
      <c r="X61">
        <f>HYPERLINK("https://klasma.github.io/Logging_1293/tillsyn/A 8223-2025 tillsynsbegäran.docx", "A 8223-2025")</f>
        <v/>
      </c>
      <c r="Y61">
        <f>HYPERLINK("https://klasma.github.io/Logging_1293/tillsynsmail/A 8223-2025 tillsynsbegäran mail.docx", "A 8223-2025")</f>
        <v/>
      </c>
      <c r="Z61">
        <f>HYPERLINK("https://klasma.github.io/Logging_1293/fåglar/A 8223-2025 prioriterade fågelarter.docx", "A 8223-2025")</f>
        <v/>
      </c>
    </row>
    <row r="62" ht="15" customHeight="1">
      <c r="A62" t="inlineStr">
        <is>
          <t>A 42735-2024</t>
        </is>
      </c>
      <c r="B62" s="1" t="n">
        <v>45566</v>
      </c>
      <c r="C62" s="1" t="n">
        <v>46192</v>
      </c>
      <c r="D62" t="inlineStr">
        <is>
          <t>SKÅNE LÄN</t>
        </is>
      </c>
      <c r="E62" t="inlineStr">
        <is>
          <t>HÄSSLEHOLM</t>
        </is>
      </c>
      <c r="G62" t="n">
        <v>3.7</v>
      </c>
      <c r="H62" t="n">
        <v>1</v>
      </c>
      <c r="I62" t="n">
        <v>0</v>
      </c>
      <c r="J62" t="n">
        <v>0</v>
      </c>
      <c r="K62" t="n">
        <v>0</v>
      </c>
      <c r="L62" t="n">
        <v>0</v>
      </c>
      <c r="M62" t="n">
        <v>0</v>
      </c>
      <c r="N62" t="n">
        <v>0</v>
      </c>
      <c r="O62" t="n">
        <v>0</v>
      </c>
      <c r="P62" t="n">
        <v>0</v>
      </c>
      <c r="Q62" t="n">
        <v>1</v>
      </c>
      <c r="R62" s="2" t="inlineStr">
        <is>
          <t>Revlummer</t>
        </is>
      </c>
      <c r="S62">
        <f>HYPERLINK("https://klasma.github.io/Logging_1293/artfynd/A 42735-2024 artfynd.xlsx", "A 42735-2024")</f>
        <v/>
      </c>
      <c r="T62">
        <f>HYPERLINK("https://klasma.github.io/Logging_1293/kartor/A 42735-2024 karta.png", "A 42735-2024")</f>
        <v/>
      </c>
      <c r="V62">
        <f>HYPERLINK("https://klasma.github.io/Logging_1293/klagomål/A 42735-2024 FSC-klagomål.docx", "A 42735-2024")</f>
        <v/>
      </c>
      <c r="W62">
        <f>HYPERLINK("https://klasma.github.io/Logging_1293/klagomålsmail/A 42735-2024 FSC-klagomål mail.docx", "A 42735-2024")</f>
        <v/>
      </c>
      <c r="X62">
        <f>HYPERLINK("https://klasma.github.io/Logging_1293/tillsyn/A 42735-2024 tillsynsbegäran.docx", "A 42735-2024")</f>
        <v/>
      </c>
      <c r="Y62">
        <f>HYPERLINK("https://klasma.github.io/Logging_1293/tillsynsmail/A 42735-2024 tillsynsbegäran mail.docx", "A 42735-2024")</f>
        <v/>
      </c>
    </row>
    <row r="63" ht="15" customHeight="1">
      <c r="A63" t="inlineStr">
        <is>
          <t>A 24985-2025</t>
        </is>
      </c>
      <c r="B63" s="1" t="n">
        <v>45799</v>
      </c>
      <c r="C63" s="1" t="n">
        <v>46192</v>
      </c>
      <c r="D63" t="inlineStr">
        <is>
          <t>SKÅNE LÄN</t>
        </is>
      </c>
      <c r="E63" t="inlineStr">
        <is>
          <t>HÄSSLEHOLM</t>
        </is>
      </c>
      <c r="G63" t="n">
        <v>2.3</v>
      </c>
      <c r="H63" t="n">
        <v>1</v>
      </c>
      <c r="I63" t="n">
        <v>0</v>
      </c>
      <c r="J63" t="n">
        <v>1</v>
      </c>
      <c r="K63" t="n">
        <v>0</v>
      </c>
      <c r="L63" t="n">
        <v>0</v>
      </c>
      <c r="M63" t="n">
        <v>0</v>
      </c>
      <c r="N63" t="n">
        <v>0</v>
      </c>
      <c r="O63" t="n">
        <v>1</v>
      </c>
      <c r="P63" t="n">
        <v>0</v>
      </c>
      <c r="Q63" t="n">
        <v>1</v>
      </c>
      <c r="R63" s="2" t="inlineStr">
        <is>
          <t>Enkelbeckasin</t>
        </is>
      </c>
      <c r="S63">
        <f>HYPERLINK("https://klasma.github.io/Logging_1293/artfynd/A 24985-2025 artfynd.xlsx", "A 24985-2025")</f>
        <v/>
      </c>
      <c r="T63">
        <f>HYPERLINK("https://klasma.github.io/Logging_1293/kartor/A 24985-2025 karta.png", "A 24985-2025")</f>
        <v/>
      </c>
      <c r="V63">
        <f>HYPERLINK("https://klasma.github.io/Logging_1293/klagomål/A 24985-2025 FSC-klagomål.docx", "A 24985-2025")</f>
        <v/>
      </c>
      <c r="W63">
        <f>HYPERLINK("https://klasma.github.io/Logging_1293/klagomålsmail/A 24985-2025 FSC-klagomål mail.docx", "A 24985-2025")</f>
        <v/>
      </c>
      <c r="X63">
        <f>HYPERLINK("https://klasma.github.io/Logging_1293/tillsyn/A 24985-2025 tillsynsbegäran.docx", "A 24985-2025")</f>
        <v/>
      </c>
      <c r="Y63">
        <f>HYPERLINK("https://klasma.github.io/Logging_1293/tillsynsmail/A 24985-2025 tillsynsbegäran mail.docx", "A 24985-2025")</f>
        <v/>
      </c>
      <c r="Z63">
        <f>HYPERLINK("https://klasma.github.io/Logging_1293/fåglar/A 24985-2025 prioriterade fågelarter.docx", "A 24985-2025")</f>
        <v/>
      </c>
    </row>
    <row r="64" ht="15" customHeight="1">
      <c r="A64" t="inlineStr">
        <is>
          <t>A 54523-2024</t>
        </is>
      </c>
      <c r="B64" s="1" t="n">
        <v>45617</v>
      </c>
      <c r="C64" s="1" t="n">
        <v>46192</v>
      </c>
      <c r="D64" t="inlineStr">
        <is>
          <t>SKÅNE LÄN</t>
        </is>
      </c>
      <c r="E64" t="inlineStr">
        <is>
          <t>HÄSSLEHOLM</t>
        </is>
      </c>
      <c r="G64" t="n">
        <v>4.5</v>
      </c>
      <c r="H64" t="n">
        <v>1</v>
      </c>
      <c r="I64" t="n">
        <v>0</v>
      </c>
      <c r="J64" t="n">
        <v>0</v>
      </c>
      <c r="K64" t="n">
        <v>0</v>
      </c>
      <c r="L64" t="n">
        <v>0</v>
      </c>
      <c r="M64" t="n">
        <v>0</v>
      </c>
      <c r="N64" t="n">
        <v>0</v>
      </c>
      <c r="O64" t="n">
        <v>0</v>
      </c>
      <c r="P64" t="n">
        <v>0</v>
      </c>
      <c r="Q64" t="n">
        <v>1</v>
      </c>
      <c r="R64" s="2" t="inlineStr">
        <is>
          <t>Grönvit nattviol</t>
        </is>
      </c>
      <c r="S64">
        <f>HYPERLINK("https://klasma.github.io/Logging_1293/artfynd/A 54523-2024 artfynd.xlsx", "A 54523-2024")</f>
        <v/>
      </c>
      <c r="T64">
        <f>HYPERLINK("https://klasma.github.io/Logging_1293/kartor/A 54523-2024 karta.png", "A 54523-2024")</f>
        <v/>
      </c>
      <c r="V64">
        <f>HYPERLINK("https://klasma.github.io/Logging_1293/klagomål/A 54523-2024 FSC-klagomål.docx", "A 54523-2024")</f>
        <v/>
      </c>
      <c r="W64">
        <f>HYPERLINK("https://klasma.github.io/Logging_1293/klagomålsmail/A 54523-2024 FSC-klagomål mail.docx", "A 54523-2024")</f>
        <v/>
      </c>
      <c r="X64">
        <f>HYPERLINK("https://klasma.github.io/Logging_1293/tillsyn/A 54523-2024 tillsynsbegäran.docx", "A 54523-2024")</f>
        <v/>
      </c>
      <c r="Y64">
        <f>HYPERLINK("https://klasma.github.io/Logging_1293/tillsynsmail/A 54523-2024 tillsynsbegäran mail.docx", "A 54523-2024")</f>
        <v/>
      </c>
    </row>
    <row r="65" ht="15" customHeight="1">
      <c r="A65" t="inlineStr">
        <is>
          <t>A 34834-2023</t>
        </is>
      </c>
      <c r="B65" s="1" t="n">
        <v>45141</v>
      </c>
      <c r="C65" s="1" t="n">
        <v>46192</v>
      </c>
      <c r="D65" t="inlineStr">
        <is>
          <t>SKÅNE LÄN</t>
        </is>
      </c>
      <c r="E65" t="inlineStr">
        <is>
          <t>HÄSSLEHOLM</t>
        </is>
      </c>
      <c r="G65" t="n">
        <v>1</v>
      </c>
      <c r="H65" t="n">
        <v>1</v>
      </c>
      <c r="I65" t="n">
        <v>0</v>
      </c>
      <c r="J65" t="n">
        <v>0</v>
      </c>
      <c r="K65" t="n">
        <v>0</v>
      </c>
      <c r="L65" t="n">
        <v>0</v>
      </c>
      <c r="M65" t="n">
        <v>0</v>
      </c>
      <c r="N65" t="n">
        <v>0</v>
      </c>
      <c r="O65" t="n">
        <v>0</v>
      </c>
      <c r="P65" t="n">
        <v>0</v>
      </c>
      <c r="Q65" t="n">
        <v>1</v>
      </c>
      <c r="R65" s="2" t="inlineStr">
        <is>
          <t>Lopplummer (aggregat)</t>
        </is>
      </c>
      <c r="S65">
        <f>HYPERLINK("https://klasma.github.io/Logging_1293/artfynd/A 34834-2023 artfynd.xlsx", "A 34834-2023")</f>
        <v/>
      </c>
      <c r="T65">
        <f>HYPERLINK("https://klasma.github.io/Logging_1293/kartor/A 34834-2023 karta.png", "A 34834-2023")</f>
        <v/>
      </c>
      <c r="V65">
        <f>HYPERLINK("https://klasma.github.io/Logging_1293/klagomål/A 34834-2023 FSC-klagomål.docx", "A 34834-2023")</f>
        <v/>
      </c>
      <c r="W65">
        <f>HYPERLINK("https://klasma.github.io/Logging_1293/klagomålsmail/A 34834-2023 FSC-klagomål mail.docx", "A 34834-2023")</f>
        <v/>
      </c>
      <c r="X65">
        <f>HYPERLINK("https://klasma.github.io/Logging_1293/tillsyn/A 34834-2023 tillsynsbegäran.docx", "A 34834-2023")</f>
        <v/>
      </c>
      <c r="Y65">
        <f>HYPERLINK("https://klasma.github.io/Logging_1293/tillsynsmail/A 34834-2023 tillsynsbegäran mail.docx", "A 34834-2023")</f>
        <v/>
      </c>
    </row>
    <row r="66" ht="15" customHeight="1">
      <c r="A66" t="inlineStr">
        <is>
          <t>A 27934-2025</t>
        </is>
      </c>
      <c r="B66" s="1" t="n">
        <v>45817</v>
      </c>
      <c r="C66" s="1" t="n">
        <v>46192</v>
      </c>
      <c r="D66" t="inlineStr">
        <is>
          <t>SKÅNE LÄN</t>
        </is>
      </c>
      <c r="E66" t="inlineStr">
        <is>
          <t>HÄSSLEHOLM</t>
        </is>
      </c>
      <c r="G66" t="n">
        <v>0.7</v>
      </c>
      <c r="H66" t="n">
        <v>0</v>
      </c>
      <c r="I66" t="n">
        <v>0</v>
      </c>
      <c r="J66" t="n">
        <v>0</v>
      </c>
      <c r="K66" t="n">
        <v>0</v>
      </c>
      <c r="L66" t="n">
        <v>0</v>
      </c>
      <c r="M66" t="n">
        <v>0</v>
      </c>
      <c r="N66" t="n">
        <v>0</v>
      </c>
      <c r="O66" t="n">
        <v>0</v>
      </c>
      <c r="P66" t="n">
        <v>0</v>
      </c>
      <c r="Q66" t="n">
        <v>1</v>
      </c>
      <c r="R66" s="2" t="inlineStr">
        <is>
          <t>Missne</t>
        </is>
      </c>
      <c r="S66">
        <f>HYPERLINK("https://klasma.github.io/Logging_1293/artfynd/A 27934-2025 artfynd.xlsx", "A 27934-2025")</f>
        <v/>
      </c>
      <c r="T66">
        <f>HYPERLINK("https://klasma.github.io/Logging_1293/kartor/A 27934-2025 karta.png", "A 27934-2025")</f>
        <v/>
      </c>
      <c r="V66">
        <f>HYPERLINK("https://klasma.github.io/Logging_1293/klagomål/A 27934-2025 FSC-klagomål.docx", "A 27934-2025")</f>
        <v/>
      </c>
      <c r="W66">
        <f>HYPERLINK("https://klasma.github.io/Logging_1293/klagomålsmail/A 27934-2025 FSC-klagomål mail.docx", "A 27934-2025")</f>
        <v/>
      </c>
      <c r="X66">
        <f>HYPERLINK("https://klasma.github.io/Logging_1293/tillsyn/A 27934-2025 tillsynsbegäran.docx", "A 27934-2025")</f>
        <v/>
      </c>
      <c r="Y66">
        <f>HYPERLINK("https://klasma.github.io/Logging_1293/tillsynsmail/A 27934-2025 tillsynsbegäran mail.docx", "A 27934-2025")</f>
        <v/>
      </c>
    </row>
    <row r="67" ht="15" customHeight="1">
      <c r="A67" t="inlineStr">
        <is>
          <t>A 29272-2023</t>
        </is>
      </c>
      <c r="B67" s="1" t="n">
        <v>45105</v>
      </c>
      <c r="C67" s="1" t="n">
        <v>46192</v>
      </c>
      <c r="D67" t="inlineStr">
        <is>
          <t>SKÅNE LÄN</t>
        </is>
      </c>
      <c r="E67" t="inlineStr">
        <is>
          <t>HÄSSLEHOLM</t>
        </is>
      </c>
      <c r="G67" t="n">
        <v>2.2</v>
      </c>
      <c r="H67" t="n">
        <v>0</v>
      </c>
      <c r="I67" t="n">
        <v>1</v>
      </c>
      <c r="J67" t="n">
        <v>0</v>
      </c>
      <c r="K67" t="n">
        <v>0</v>
      </c>
      <c r="L67" t="n">
        <v>0</v>
      </c>
      <c r="M67" t="n">
        <v>0</v>
      </c>
      <c r="N67" t="n">
        <v>0</v>
      </c>
      <c r="O67" t="n">
        <v>0</v>
      </c>
      <c r="P67" t="n">
        <v>0</v>
      </c>
      <c r="Q67" t="n">
        <v>1</v>
      </c>
      <c r="R67" s="2" t="inlineStr">
        <is>
          <t>Sotlav</t>
        </is>
      </c>
      <c r="S67">
        <f>HYPERLINK("https://klasma.github.io/Logging_1293/artfynd/A 29272-2023 artfynd.xlsx", "A 29272-2023")</f>
        <v/>
      </c>
      <c r="T67">
        <f>HYPERLINK("https://klasma.github.io/Logging_1293/kartor/A 29272-2023 karta.png", "A 29272-2023")</f>
        <v/>
      </c>
      <c r="V67">
        <f>HYPERLINK("https://klasma.github.io/Logging_1293/klagomål/A 29272-2023 FSC-klagomål.docx", "A 29272-2023")</f>
        <v/>
      </c>
      <c r="W67">
        <f>HYPERLINK("https://klasma.github.io/Logging_1293/klagomålsmail/A 29272-2023 FSC-klagomål mail.docx", "A 29272-2023")</f>
        <v/>
      </c>
      <c r="X67">
        <f>HYPERLINK("https://klasma.github.io/Logging_1293/tillsyn/A 29272-2023 tillsynsbegäran.docx", "A 29272-2023")</f>
        <v/>
      </c>
      <c r="Y67">
        <f>HYPERLINK("https://klasma.github.io/Logging_1293/tillsynsmail/A 29272-2023 tillsynsbegäran mail.docx", "A 29272-2023")</f>
        <v/>
      </c>
    </row>
    <row r="68" ht="15" customHeight="1">
      <c r="A68" t="inlineStr">
        <is>
          <t>A 29649-2025</t>
        </is>
      </c>
      <c r="B68" s="1" t="n">
        <v>45825</v>
      </c>
      <c r="C68" s="1" t="n">
        <v>46192</v>
      </c>
      <c r="D68" t="inlineStr">
        <is>
          <t>SKÅNE LÄN</t>
        </is>
      </c>
      <c r="E68" t="inlineStr">
        <is>
          <t>HÄSSLEHOLM</t>
        </is>
      </c>
      <c r="G68" t="n">
        <v>2.6</v>
      </c>
      <c r="H68" t="n">
        <v>0</v>
      </c>
      <c r="I68" t="n">
        <v>1</v>
      </c>
      <c r="J68" t="n">
        <v>0</v>
      </c>
      <c r="K68" t="n">
        <v>0</v>
      </c>
      <c r="L68" t="n">
        <v>0</v>
      </c>
      <c r="M68" t="n">
        <v>0</v>
      </c>
      <c r="N68" t="n">
        <v>0</v>
      </c>
      <c r="O68" t="n">
        <v>0</v>
      </c>
      <c r="P68" t="n">
        <v>0</v>
      </c>
      <c r="Q68" t="n">
        <v>1</v>
      </c>
      <c r="R68" s="2" t="inlineStr">
        <is>
          <t>Tibast</t>
        </is>
      </c>
      <c r="S68">
        <f>HYPERLINK("https://klasma.github.io/Logging_1293/artfynd/A 29649-2025 artfynd.xlsx", "A 29649-2025")</f>
        <v/>
      </c>
      <c r="T68">
        <f>HYPERLINK("https://klasma.github.io/Logging_1293/kartor/A 29649-2025 karta.png", "A 29649-2025")</f>
        <v/>
      </c>
      <c r="V68">
        <f>HYPERLINK("https://klasma.github.io/Logging_1293/klagomål/A 29649-2025 FSC-klagomål.docx", "A 29649-2025")</f>
        <v/>
      </c>
      <c r="W68">
        <f>HYPERLINK("https://klasma.github.io/Logging_1293/klagomålsmail/A 29649-2025 FSC-klagomål mail.docx", "A 29649-2025")</f>
        <v/>
      </c>
      <c r="X68">
        <f>HYPERLINK("https://klasma.github.io/Logging_1293/tillsyn/A 29649-2025 tillsynsbegäran.docx", "A 29649-2025")</f>
        <v/>
      </c>
      <c r="Y68">
        <f>HYPERLINK("https://klasma.github.io/Logging_1293/tillsynsmail/A 29649-2025 tillsynsbegäran mail.docx", "A 29649-2025")</f>
        <v/>
      </c>
    </row>
    <row r="69" ht="15" customHeight="1">
      <c r="A69" t="inlineStr">
        <is>
          <t>A 27242-2022</t>
        </is>
      </c>
      <c r="B69" s="1" t="n">
        <v>44741</v>
      </c>
      <c r="C69" s="1" t="n">
        <v>46192</v>
      </c>
      <c r="D69" t="inlineStr">
        <is>
          <t>SKÅNE LÄN</t>
        </is>
      </c>
      <c r="E69" t="inlineStr">
        <is>
          <t>HÄSSLEHOLM</t>
        </is>
      </c>
      <c r="G69" t="n">
        <v>1.9</v>
      </c>
      <c r="H69" t="n">
        <v>0</v>
      </c>
      <c r="I69" t="n">
        <v>0</v>
      </c>
      <c r="J69" t="n">
        <v>0</v>
      </c>
      <c r="K69" t="n">
        <v>1</v>
      </c>
      <c r="L69" t="n">
        <v>0</v>
      </c>
      <c r="M69" t="n">
        <v>0</v>
      </c>
      <c r="N69" t="n">
        <v>0</v>
      </c>
      <c r="O69" t="n">
        <v>1</v>
      </c>
      <c r="P69" t="n">
        <v>1</v>
      </c>
      <c r="Q69" t="n">
        <v>1</v>
      </c>
      <c r="R69" s="2" t="inlineStr">
        <is>
          <t>Vildris</t>
        </is>
      </c>
      <c r="S69">
        <f>HYPERLINK("https://klasma.github.io/Logging_1293/artfynd/A 27242-2022 artfynd.xlsx", "A 27242-2022")</f>
        <v/>
      </c>
      <c r="T69">
        <f>HYPERLINK("https://klasma.github.io/Logging_1293/kartor/A 27242-2022 karta.png", "A 27242-2022")</f>
        <v/>
      </c>
      <c r="V69">
        <f>HYPERLINK("https://klasma.github.io/Logging_1293/klagomål/A 27242-2022 FSC-klagomål.docx", "A 27242-2022")</f>
        <v/>
      </c>
      <c r="W69">
        <f>HYPERLINK("https://klasma.github.io/Logging_1293/klagomålsmail/A 27242-2022 FSC-klagomål mail.docx", "A 27242-2022")</f>
        <v/>
      </c>
      <c r="X69">
        <f>HYPERLINK("https://klasma.github.io/Logging_1293/tillsyn/A 27242-2022 tillsynsbegäran.docx", "A 27242-2022")</f>
        <v/>
      </c>
      <c r="Y69">
        <f>HYPERLINK("https://klasma.github.io/Logging_1293/tillsynsmail/A 27242-2022 tillsynsbegäran mail.docx", "A 27242-2022")</f>
        <v/>
      </c>
    </row>
    <row r="70" ht="15" customHeight="1">
      <c r="A70" t="inlineStr">
        <is>
          <t>A 23857-2024</t>
        </is>
      </c>
      <c r="B70" s="1" t="n">
        <v>45455</v>
      </c>
      <c r="C70" s="1" t="n">
        <v>46192</v>
      </c>
      <c r="D70" t="inlineStr">
        <is>
          <t>SKÅNE LÄN</t>
        </is>
      </c>
      <c r="E70" t="inlineStr">
        <is>
          <t>HÄSSLEHOLM</t>
        </is>
      </c>
      <c r="G70" t="n">
        <v>3</v>
      </c>
      <c r="H70" t="n">
        <v>0</v>
      </c>
      <c r="I70" t="n">
        <v>0</v>
      </c>
      <c r="J70" t="n">
        <v>0</v>
      </c>
      <c r="K70" t="n">
        <v>0</v>
      </c>
      <c r="L70" t="n">
        <v>0</v>
      </c>
      <c r="M70" t="n">
        <v>0</v>
      </c>
      <c r="N70" t="n">
        <v>0</v>
      </c>
      <c r="O70" t="n">
        <v>0</v>
      </c>
      <c r="P70" t="n">
        <v>0</v>
      </c>
      <c r="Q70" t="n">
        <v>1</v>
      </c>
      <c r="R70" s="2" t="inlineStr">
        <is>
          <t>Missne</t>
        </is>
      </c>
      <c r="S70">
        <f>HYPERLINK("https://klasma.github.io/Logging_1293/artfynd/A 23857-2024 artfynd.xlsx", "A 23857-2024")</f>
        <v/>
      </c>
      <c r="T70">
        <f>HYPERLINK("https://klasma.github.io/Logging_1293/kartor/A 23857-2024 karta.png", "A 23857-2024")</f>
        <v/>
      </c>
      <c r="V70">
        <f>HYPERLINK("https://klasma.github.io/Logging_1293/klagomål/A 23857-2024 FSC-klagomål.docx", "A 23857-2024")</f>
        <v/>
      </c>
      <c r="W70">
        <f>HYPERLINK("https://klasma.github.io/Logging_1293/klagomålsmail/A 23857-2024 FSC-klagomål mail.docx", "A 23857-2024")</f>
        <v/>
      </c>
      <c r="X70">
        <f>HYPERLINK("https://klasma.github.io/Logging_1293/tillsyn/A 23857-2024 tillsynsbegäran.docx", "A 23857-2024")</f>
        <v/>
      </c>
      <c r="Y70">
        <f>HYPERLINK("https://klasma.github.io/Logging_1293/tillsynsmail/A 23857-2024 tillsynsbegäran mail.docx", "A 23857-2024")</f>
        <v/>
      </c>
    </row>
    <row r="71" ht="15" customHeight="1">
      <c r="A71" t="inlineStr">
        <is>
          <t>A 43874-2022</t>
        </is>
      </c>
      <c r="B71" s="1" t="n">
        <v>44838</v>
      </c>
      <c r="C71" s="1" t="n">
        <v>46192</v>
      </c>
      <c r="D71" t="inlineStr">
        <is>
          <t>SKÅNE LÄN</t>
        </is>
      </c>
      <c r="E71" t="inlineStr">
        <is>
          <t>HÄSSLEHOLM</t>
        </is>
      </c>
      <c r="G71" t="n">
        <v>2.1</v>
      </c>
      <c r="H71" t="n">
        <v>0</v>
      </c>
      <c r="I71" t="n">
        <v>0</v>
      </c>
      <c r="J71" t="n">
        <v>0</v>
      </c>
      <c r="K71" t="n">
        <v>1</v>
      </c>
      <c r="L71" t="n">
        <v>0</v>
      </c>
      <c r="M71" t="n">
        <v>0</v>
      </c>
      <c r="N71" t="n">
        <v>0</v>
      </c>
      <c r="O71" t="n">
        <v>1</v>
      </c>
      <c r="P71" t="n">
        <v>1</v>
      </c>
      <c r="Q71" t="n">
        <v>1</v>
      </c>
      <c r="R71" s="2" t="inlineStr">
        <is>
          <t>Igelkott</t>
        </is>
      </c>
      <c r="S71">
        <f>HYPERLINK("https://klasma.github.io/Logging_1293/artfynd/A 43874-2022 artfynd.xlsx", "A 43874-2022")</f>
        <v/>
      </c>
      <c r="T71">
        <f>HYPERLINK("https://klasma.github.io/Logging_1293/kartor/A 43874-2022 karta.png", "A 43874-2022")</f>
        <v/>
      </c>
      <c r="V71">
        <f>HYPERLINK("https://klasma.github.io/Logging_1293/klagomål/A 43874-2022 FSC-klagomål.docx", "A 43874-2022")</f>
        <v/>
      </c>
      <c r="W71">
        <f>HYPERLINK("https://klasma.github.io/Logging_1293/klagomålsmail/A 43874-2022 FSC-klagomål mail.docx", "A 43874-2022")</f>
        <v/>
      </c>
      <c r="X71">
        <f>HYPERLINK("https://klasma.github.io/Logging_1293/tillsyn/A 43874-2022 tillsynsbegäran.docx", "A 43874-2022")</f>
        <v/>
      </c>
      <c r="Y71">
        <f>HYPERLINK("https://klasma.github.io/Logging_1293/tillsynsmail/A 43874-2022 tillsynsbegäran mail.docx", "A 43874-2022")</f>
        <v/>
      </c>
    </row>
    <row r="72" ht="15" customHeight="1">
      <c r="A72" t="inlineStr">
        <is>
          <t>A 25944-2026</t>
        </is>
      </c>
      <c r="B72" s="1" t="n">
        <v>46181</v>
      </c>
      <c r="C72" s="1" t="n">
        <v>46192</v>
      </c>
      <c r="D72" t="inlineStr">
        <is>
          <t>SKÅNE LÄN</t>
        </is>
      </c>
      <c r="E72" t="inlineStr">
        <is>
          <t>HÄSSLEHOLM</t>
        </is>
      </c>
      <c r="G72" t="n">
        <v>3.4</v>
      </c>
      <c r="H72" t="n">
        <v>0</v>
      </c>
      <c r="I72" t="n">
        <v>0</v>
      </c>
      <c r="J72" t="n">
        <v>1</v>
      </c>
      <c r="K72" t="n">
        <v>0</v>
      </c>
      <c r="L72" t="n">
        <v>0</v>
      </c>
      <c r="M72" t="n">
        <v>0</v>
      </c>
      <c r="N72" t="n">
        <v>0</v>
      </c>
      <c r="O72" t="n">
        <v>1</v>
      </c>
      <c r="P72" t="n">
        <v>0</v>
      </c>
      <c r="Q72" t="n">
        <v>1</v>
      </c>
      <c r="R72" s="2" t="inlineStr">
        <is>
          <t>Sydlig sotticka</t>
        </is>
      </c>
      <c r="S72">
        <f>HYPERLINK("https://klasma.github.io/Logging_1293/artfynd/A 25944-2026 artfynd.xlsx", "A 25944-2026")</f>
        <v/>
      </c>
      <c r="T72">
        <f>HYPERLINK("https://klasma.github.io/Logging_1293/kartor/A 25944-2026 karta.png", "A 25944-2026")</f>
        <v/>
      </c>
      <c r="V72">
        <f>HYPERLINK("https://klasma.github.io/Logging_1293/klagomål/A 25944-2026 FSC-klagomål.docx", "A 25944-2026")</f>
        <v/>
      </c>
      <c r="W72">
        <f>HYPERLINK("https://klasma.github.io/Logging_1293/klagomålsmail/A 25944-2026 FSC-klagomål mail.docx", "A 25944-2026")</f>
        <v/>
      </c>
      <c r="X72">
        <f>HYPERLINK("https://klasma.github.io/Logging_1293/tillsyn/A 25944-2026 tillsynsbegäran.docx", "A 25944-2026")</f>
        <v/>
      </c>
      <c r="Y72">
        <f>HYPERLINK("https://klasma.github.io/Logging_1293/tillsynsmail/A 25944-2026 tillsynsbegäran mail.docx", "A 25944-2026")</f>
        <v/>
      </c>
    </row>
    <row r="73" ht="15" customHeight="1">
      <c r="A73" t="inlineStr">
        <is>
          <t>A 55618-2022</t>
        </is>
      </c>
      <c r="B73" s="1" t="n">
        <v>44883</v>
      </c>
      <c r="C73" s="1" t="n">
        <v>46192</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46192</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46192</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46192</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46192</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46192</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46192</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46192</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46192</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46192</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46192</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46192</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46192</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46192</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46192</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49324-2021</t>
        </is>
      </c>
      <c r="B88" s="1" t="n">
        <v>44454</v>
      </c>
      <c r="C88" s="1" t="n">
        <v>46192</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54175-2021</t>
        </is>
      </c>
      <c r="B89" s="1" t="n">
        <v>44470</v>
      </c>
      <c r="C89" s="1" t="n">
        <v>46192</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14402-2022</t>
        </is>
      </c>
      <c r="B90" s="1" t="n">
        <v>44652</v>
      </c>
      <c r="C90" s="1" t="n">
        <v>46192</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7249-2022</t>
        </is>
      </c>
      <c r="B91" s="1" t="n">
        <v>44606</v>
      </c>
      <c r="C91" s="1" t="n">
        <v>46192</v>
      </c>
      <c r="D91" t="inlineStr">
        <is>
          <t>SKÅNE LÄN</t>
        </is>
      </c>
      <c r="E91" t="inlineStr">
        <is>
          <t>HÄSSLEHOLM</t>
        </is>
      </c>
      <c r="F91" t="inlineStr">
        <is>
          <t>Övriga Aktiebolag</t>
        </is>
      </c>
      <c r="G91" t="n">
        <v>0.6</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46192</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50094-2021</t>
        </is>
      </c>
      <c r="B93" s="1" t="n">
        <v>44456</v>
      </c>
      <c r="C93" s="1" t="n">
        <v>46192</v>
      </c>
      <c r="D93" t="inlineStr">
        <is>
          <t>SKÅNE LÄN</t>
        </is>
      </c>
      <c r="E93" t="inlineStr">
        <is>
          <t>HÄSSLEHOLM</t>
        </is>
      </c>
      <c r="G93" t="n">
        <v>1.9</v>
      </c>
      <c r="H93" t="n">
        <v>0</v>
      </c>
      <c r="I93" t="n">
        <v>0</v>
      </c>
      <c r="J93" t="n">
        <v>0</v>
      </c>
      <c r="K93" t="n">
        <v>0</v>
      </c>
      <c r="L93" t="n">
        <v>0</v>
      </c>
      <c r="M93" t="n">
        <v>0</v>
      </c>
      <c r="N93" t="n">
        <v>0</v>
      </c>
      <c r="O93" t="n">
        <v>0</v>
      </c>
      <c r="P93" t="n">
        <v>0</v>
      </c>
      <c r="Q93" t="n">
        <v>0</v>
      </c>
      <c r="R93" s="2" t="inlineStr"/>
    </row>
    <row r="94" ht="15" customHeight="1">
      <c r="A94" t="inlineStr">
        <is>
          <t>A 23962-2022</t>
        </is>
      </c>
      <c r="B94" s="1" t="n">
        <v>44722</v>
      </c>
      <c r="C94" s="1" t="n">
        <v>46192</v>
      </c>
      <c r="D94" t="inlineStr">
        <is>
          <t>SKÅNE LÄN</t>
        </is>
      </c>
      <c r="E94" t="inlineStr">
        <is>
          <t>HÄSSLEHOLM</t>
        </is>
      </c>
      <c r="F94" t="inlineStr">
        <is>
          <t>Kyrkan</t>
        </is>
      </c>
      <c r="G94" t="n">
        <v>5.8</v>
      </c>
      <c r="H94" t="n">
        <v>0</v>
      </c>
      <c r="I94" t="n">
        <v>0</v>
      </c>
      <c r="J94" t="n">
        <v>0</v>
      </c>
      <c r="K94" t="n">
        <v>0</v>
      </c>
      <c r="L94" t="n">
        <v>0</v>
      </c>
      <c r="M94" t="n">
        <v>0</v>
      </c>
      <c r="N94" t="n">
        <v>0</v>
      </c>
      <c r="O94" t="n">
        <v>0</v>
      </c>
      <c r="P94" t="n">
        <v>0</v>
      </c>
      <c r="Q94" t="n">
        <v>0</v>
      </c>
      <c r="R94" s="2" t="inlineStr"/>
    </row>
    <row r="95" ht="15" customHeight="1">
      <c r="A95" t="inlineStr">
        <is>
          <t>A 32967-2021</t>
        </is>
      </c>
      <c r="B95" s="1" t="n">
        <v>44376</v>
      </c>
      <c r="C95" s="1" t="n">
        <v>46192</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58566-2021</t>
        </is>
      </c>
      <c r="B96" s="1" t="n">
        <v>44488</v>
      </c>
      <c r="C96" s="1" t="n">
        <v>46192</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56424-2021</t>
        </is>
      </c>
      <c r="B97" s="1" t="n">
        <v>44480</v>
      </c>
      <c r="C97" s="1" t="n">
        <v>46192</v>
      </c>
      <c r="D97" t="inlineStr">
        <is>
          <t>SKÅNE LÄN</t>
        </is>
      </c>
      <c r="E97" t="inlineStr">
        <is>
          <t>HÄSSLEHOLM</t>
        </is>
      </c>
      <c r="F97" t="inlineStr">
        <is>
          <t>Kyrkan</t>
        </is>
      </c>
      <c r="G97" t="n">
        <v>3.4</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46192</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46192</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46192</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46192</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46192</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46192</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46192</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46192</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50618-2021</t>
        </is>
      </c>
      <c r="B106" s="1" t="n">
        <v>44459</v>
      </c>
      <c r="C106" s="1" t="n">
        <v>46192</v>
      </c>
      <c r="D106" t="inlineStr">
        <is>
          <t>SKÅNE LÄN</t>
        </is>
      </c>
      <c r="E106" t="inlineStr">
        <is>
          <t>HÄSSLEHOLM</t>
        </is>
      </c>
      <c r="F106" t="inlineStr">
        <is>
          <t>Kyrkan</t>
        </is>
      </c>
      <c r="G106" t="n">
        <v>15.1</v>
      </c>
      <c r="H106" t="n">
        <v>0</v>
      </c>
      <c r="I106" t="n">
        <v>0</v>
      </c>
      <c r="J106" t="n">
        <v>0</v>
      </c>
      <c r="K106" t="n">
        <v>0</v>
      </c>
      <c r="L106" t="n">
        <v>0</v>
      </c>
      <c r="M106" t="n">
        <v>0</v>
      </c>
      <c r="N106" t="n">
        <v>0</v>
      </c>
      <c r="O106" t="n">
        <v>0</v>
      </c>
      <c r="P106" t="n">
        <v>0</v>
      </c>
      <c r="Q106" t="n">
        <v>0</v>
      </c>
      <c r="R106" s="2" t="inlineStr"/>
    </row>
    <row r="107" ht="15" customHeight="1">
      <c r="A107" t="inlineStr">
        <is>
          <t>A 69419-2021</t>
        </is>
      </c>
      <c r="B107" s="1" t="n">
        <v>44531</v>
      </c>
      <c r="C107" s="1" t="n">
        <v>46192</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26387-2022</t>
        </is>
      </c>
      <c r="B108" s="1" t="n">
        <v>44735</v>
      </c>
      <c r="C108" s="1" t="n">
        <v>46192</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40764-2022</t>
        </is>
      </c>
      <c r="B109" s="1" t="n">
        <v>44820</v>
      </c>
      <c r="C109" s="1" t="n">
        <v>46192</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30992-2021</t>
        </is>
      </c>
      <c r="B110" s="1" t="n">
        <v>44366</v>
      </c>
      <c r="C110" s="1" t="n">
        <v>46192</v>
      </c>
      <c r="D110" t="inlineStr">
        <is>
          <t>SKÅNE LÄN</t>
        </is>
      </c>
      <c r="E110" t="inlineStr">
        <is>
          <t>HÄSSLEHOLM</t>
        </is>
      </c>
      <c r="G110" t="n">
        <v>3.1</v>
      </c>
      <c r="H110" t="n">
        <v>0</v>
      </c>
      <c r="I110" t="n">
        <v>0</v>
      </c>
      <c r="J110" t="n">
        <v>0</v>
      </c>
      <c r="K110" t="n">
        <v>0</v>
      </c>
      <c r="L110" t="n">
        <v>0</v>
      </c>
      <c r="M110" t="n">
        <v>0</v>
      </c>
      <c r="N110" t="n">
        <v>0</v>
      </c>
      <c r="O110" t="n">
        <v>0</v>
      </c>
      <c r="P110" t="n">
        <v>0</v>
      </c>
      <c r="Q110" t="n">
        <v>0</v>
      </c>
      <c r="R110" s="2" t="inlineStr"/>
    </row>
    <row r="111" ht="15" customHeight="1">
      <c r="A111" t="inlineStr">
        <is>
          <t>A 44755-2021</t>
        </is>
      </c>
      <c r="B111" s="1" t="n">
        <v>44438</v>
      </c>
      <c r="C111" s="1" t="n">
        <v>46192</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44770-2021</t>
        </is>
      </c>
      <c r="B112" s="1" t="n">
        <v>44438</v>
      </c>
      <c r="C112" s="1" t="n">
        <v>46192</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61073-2021</t>
        </is>
      </c>
      <c r="B113" s="1" t="n">
        <v>44497</v>
      </c>
      <c r="C113" s="1" t="n">
        <v>46192</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2765-2022</t>
        </is>
      </c>
      <c r="B114" s="1" t="n">
        <v>44580</v>
      </c>
      <c r="C114" s="1" t="n">
        <v>46192</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37181-2022</t>
        </is>
      </c>
      <c r="B115" s="1" t="n">
        <v>44806</v>
      </c>
      <c r="C115" s="1" t="n">
        <v>46192</v>
      </c>
      <c r="D115" t="inlineStr">
        <is>
          <t>SKÅNE LÄN</t>
        </is>
      </c>
      <c r="E115" t="inlineStr">
        <is>
          <t>HÄSSLEHOLM</t>
        </is>
      </c>
      <c r="F115" t="inlineStr">
        <is>
          <t>Kyrkan</t>
        </is>
      </c>
      <c r="G115" t="n">
        <v>3.5</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46192</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61072-2021</t>
        </is>
      </c>
      <c r="B117" s="1" t="n">
        <v>44497</v>
      </c>
      <c r="C117" s="1" t="n">
        <v>46192</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46192</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37170-2022</t>
        </is>
      </c>
      <c r="B119" s="1" t="n">
        <v>44806</v>
      </c>
      <c r="C119" s="1" t="n">
        <v>46192</v>
      </c>
      <c r="D119" t="inlineStr">
        <is>
          <t>SKÅNE LÄN</t>
        </is>
      </c>
      <c r="E119" t="inlineStr">
        <is>
          <t>HÄSSLEHOLM</t>
        </is>
      </c>
      <c r="F119" t="inlineStr">
        <is>
          <t>Kyrkan</t>
        </is>
      </c>
      <c r="G119" t="n">
        <v>4.5</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v>
      </c>
      <c r="C120" s="1" t="n">
        <v>46192</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46192</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4156-2022</t>
        </is>
      </c>
      <c r="B122" s="1" t="n">
        <v>44588</v>
      </c>
      <c r="C122" s="1" t="n">
        <v>46192</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41581-2021</t>
        </is>
      </c>
      <c r="B123" s="1" t="n">
        <v>44425</v>
      </c>
      <c r="C123" s="1" t="n">
        <v>46192</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44328-2021</t>
        </is>
      </c>
      <c r="B124" s="1" t="n">
        <v>44435</v>
      </c>
      <c r="C124" s="1" t="n">
        <v>46192</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46192</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34684-2021</t>
        </is>
      </c>
      <c r="B126" s="1" t="n">
        <v>44382</v>
      </c>
      <c r="C126" s="1" t="n">
        <v>46192</v>
      </c>
      <c r="D126" t="inlineStr">
        <is>
          <t>SKÅNE LÄN</t>
        </is>
      </c>
      <c r="E126" t="inlineStr">
        <is>
          <t>HÄSSLEHOLM</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74293-2021</t>
        </is>
      </c>
      <c r="B127" s="1" t="n">
        <v>44558</v>
      </c>
      <c r="C127" s="1" t="n">
        <v>46192</v>
      </c>
      <c r="D127" t="inlineStr">
        <is>
          <t>SKÅNE LÄN</t>
        </is>
      </c>
      <c r="E127" t="inlineStr">
        <is>
          <t>HÄSSLEHOLM</t>
        </is>
      </c>
      <c r="F127" t="inlineStr">
        <is>
          <t>Kyrkan</t>
        </is>
      </c>
      <c r="G127" t="n">
        <v>3.3</v>
      </c>
      <c r="H127" t="n">
        <v>0</v>
      </c>
      <c r="I127" t="n">
        <v>0</v>
      </c>
      <c r="J127" t="n">
        <v>0</v>
      </c>
      <c r="K127" t="n">
        <v>0</v>
      </c>
      <c r="L127" t="n">
        <v>0</v>
      </c>
      <c r="M127" t="n">
        <v>0</v>
      </c>
      <c r="N127" t="n">
        <v>0</v>
      </c>
      <c r="O127" t="n">
        <v>0</v>
      </c>
      <c r="P127" t="n">
        <v>0</v>
      </c>
      <c r="Q127" t="n">
        <v>0</v>
      </c>
      <c r="R127" s="2" t="inlineStr"/>
    </row>
    <row r="128" ht="15" customHeight="1">
      <c r="A128" t="inlineStr">
        <is>
          <t>A 45349-2022</t>
        </is>
      </c>
      <c r="B128" s="1" t="n">
        <v>44844</v>
      </c>
      <c r="C128" s="1" t="n">
        <v>46192</v>
      </c>
      <c r="D128" t="inlineStr">
        <is>
          <t>SKÅNE LÄN</t>
        </is>
      </c>
      <c r="E128" t="inlineStr">
        <is>
          <t>HÄSSLEHOLM</t>
        </is>
      </c>
      <c r="G128" t="n">
        <v>6.2</v>
      </c>
      <c r="H128" t="n">
        <v>0</v>
      </c>
      <c r="I128" t="n">
        <v>0</v>
      </c>
      <c r="J128" t="n">
        <v>0</v>
      </c>
      <c r="K128" t="n">
        <v>0</v>
      </c>
      <c r="L128" t="n">
        <v>0</v>
      </c>
      <c r="M128" t="n">
        <v>0</v>
      </c>
      <c r="N128" t="n">
        <v>0</v>
      </c>
      <c r="O128" t="n">
        <v>0</v>
      </c>
      <c r="P128" t="n">
        <v>0</v>
      </c>
      <c r="Q128" t="n">
        <v>0</v>
      </c>
      <c r="R128" s="2" t="inlineStr"/>
    </row>
    <row r="129" ht="15" customHeight="1">
      <c r="A129" t="inlineStr">
        <is>
          <t>A 15118-2022</t>
        </is>
      </c>
      <c r="B129" s="1" t="n">
        <v>44659</v>
      </c>
      <c r="C129" s="1" t="n">
        <v>46192</v>
      </c>
      <c r="D129" t="inlineStr">
        <is>
          <t>SKÅNE LÄN</t>
        </is>
      </c>
      <c r="E129" t="inlineStr">
        <is>
          <t>HÄSSLEHOLM</t>
        </is>
      </c>
      <c r="F129" t="inlineStr">
        <is>
          <t>Kyrkan</t>
        </is>
      </c>
      <c r="G129" t="n">
        <v>0.7</v>
      </c>
      <c r="H129" t="n">
        <v>0</v>
      </c>
      <c r="I129" t="n">
        <v>0</v>
      </c>
      <c r="J129" t="n">
        <v>0</v>
      </c>
      <c r="K129" t="n">
        <v>0</v>
      </c>
      <c r="L129" t="n">
        <v>0</v>
      </c>
      <c r="M129" t="n">
        <v>0</v>
      </c>
      <c r="N129" t="n">
        <v>0</v>
      </c>
      <c r="O129" t="n">
        <v>0</v>
      </c>
      <c r="P129" t="n">
        <v>0</v>
      </c>
      <c r="Q129" t="n">
        <v>0</v>
      </c>
      <c r="R129" s="2" t="inlineStr"/>
    </row>
    <row r="130" ht="15" customHeight="1">
      <c r="A130" t="inlineStr">
        <is>
          <t>A 43639-2021</t>
        </is>
      </c>
      <c r="B130" s="1" t="n">
        <v>44433</v>
      </c>
      <c r="C130" s="1" t="n">
        <v>46192</v>
      </c>
      <c r="D130" t="inlineStr">
        <is>
          <t>SKÅNE LÄN</t>
        </is>
      </c>
      <c r="E130" t="inlineStr">
        <is>
          <t>HÄSSLEHOLM</t>
        </is>
      </c>
      <c r="G130" t="n">
        <v>0.4</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46192</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v>
      </c>
      <c r="C132" s="1" t="n">
        <v>46192</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5564-2022</t>
        </is>
      </c>
      <c r="B133" s="1" t="n">
        <v>44595</v>
      </c>
      <c r="C133" s="1" t="n">
        <v>46192</v>
      </c>
      <c r="D133" t="inlineStr">
        <is>
          <t>SKÅNE LÄN</t>
        </is>
      </c>
      <c r="E133" t="inlineStr">
        <is>
          <t>HÄSSLEHOLM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v>
      </c>
      <c r="C134" s="1" t="n">
        <v>46192</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34027-2021</t>
        </is>
      </c>
      <c r="B135" s="1" t="n">
        <v>44379</v>
      </c>
      <c r="C135" s="1" t="n">
        <v>46192</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33736-2021</t>
        </is>
      </c>
      <c r="B136" s="1" t="n">
        <v>44378</v>
      </c>
      <c r="C136" s="1" t="n">
        <v>46192</v>
      </c>
      <c r="D136" t="inlineStr">
        <is>
          <t>SKÅNE LÄN</t>
        </is>
      </c>
      <c r="E136" t="inlineStr">
        <is>
          <t>HÄSSLEHOLM</t>
        </is>
      </c>
      <c r="G136" t="n">
        <v>7.6</v>
      </c>
      <c r="H136" t="n">
        <v>0</v>
      </c>
      <c r="I136" t="n">
        <v>0</v>
      </c>
      <c r="J136" t="n">
        <v>0</v>
      </c>
      <c r="K136" t="n">
        <v>0</v>
      </c>
      <c r="L136" t="n">
        <v>0</v>
      </c>
      <c r="M136" t="n">
        <v>0</v>
      </c>
      <c r="N136" t="n">
        <v>0</v>
      </c>
      <c r="O136" t="n">
        <v>0</v>
      </c>
      <c r="P136" t="n">
        <v>0</v>
      </c>
      <c r="Q136" t="n">
        <v>0</v>
      </c>
      <c r="R136" s="2" t="inlineStr"/>
    </row>
    <row r="137" ht="15" customHeight="1">
      <c r="A137" t="inlineStr">
        <is>
          <t>A 34679-2021</t>
        </is>
      </c>
      <c r="B137" s="1" t="n">
        <v>44382</v>
      </c>
      <c r="C137" s="1" t="n">
        <v>46192</v>
      </c>
      <c r="D137" t="inlineStr">
        <is>
          <t>SKÅNE LÄN</t>
        </is>
      </c>
      <c r="E137" t="inlineStr">
        <is>
          <t>HÄSSLEHOLM</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32792-2021</t>
        </is>
      </c>
      <c r="B138" s="1" t="n">
        <v>44375</v>
      </c>
      <c r="C138" s="1" t="n">
        <v>46192</v>
      </c>
      <c r="D138" t="inlineStr">
        <is>
          <t>SKÅNE LÄN</t>
        </is>
      </c>
      <c r="E138" t="inlineStr">
        <is>
          <t>HÄSSLEHOLM</t>
        </is>
      </c>
      <c r="G138" t="n">
        <v>1</v>
      </c>
      <c r="H138" t="n">
        <v>0</v>
      </c>
      <c r="I138" t="n">
        <v>0</v>
      </c>
      <c r="J138" t="n">
        <v>0</v>
      </c>
      <c r="K138" t="n">
        <v>0</v>
      </c>
      <c r="L138" t="n">
        <v>0</v>
      </c>
      <c r="M138" t="n">
        <v>0</v>
      </c>
      <c r="N138" t="n">
        <v>0</v>
      </c>
      <c r="O138" t="n">
        <v>0</v>
      </c>
      <c r="P138" t="n">
        <v>0</v>
      </c>
      <c r="Q138" t="n">
        <v>0</v>
      </c>
      <c r="R138" s="2" t="inlineStr"/>
    </row>
    <row r="139" ht="15" customHeight="1">
      <c r="A139" t="inlineStr">
        <is>
          <t>A 3167-2022</t>
        </is>
      </c>
      <c r="B139" s="1" t="n">
        <v>44582</v>
      </c>
      <c r="C139" s="1" t="n">
        <v>46192</v>
      </c>
      <c r="D139" t="inlineStr">
        <is>
          <t>SKÅNE LÄN</t>
        </is>
      </c>
      <c r="E139" t="inlineStr">
        <is>
          <t>HÄSSLEHOLM</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4161-2022</t>
        </is>
      </c>
      <c r="B140" s="1" t="n">
        <v>44588</v>
      </c>
      <c r="C140" s="1" t="n">
        <v>46192</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40702-2021</t>
        </is>
      </c>
      <c r="B141" s="1" t="n">
        <v>44420</v>
      </c>
      <c r="C141" s="1" t="n">
        <v>46192</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1535-2022</t>
        </is>
      </c>
      <c r="B142" s="1" t="n">
        <v>44573</v>
      </c>
      <c r="C142" s="1" t="n">
        <v>46192</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64607-2021</t>
        </is>
      </c>
      <c r="B143" s="1" t="n">
        <v>44511</v>
      </c>
      <c r="C143" s="1" t="n">
        <v>46192</v>
      </c>
      <c r="D143" t="inlineStr">
        <is>
          <t>SKÅNE LÄN</t>
        </is>
      </c>
      <c r="E143" t="inlineStr">
        <is>
          <t>HÄSSLEHOLM</t>
        </is>
      </c>
      <c r="G143" t="n">
        <v>1.5</v>
      </c>
      <c r="H143" t="n">
        <v>0</v>
      </c>
      <c r="I143" t="n">
        <v>0</v>
      </c>
      <c r="J143" t="n">
        <v>0</v>
      </c>
      <c r="K143" t="n">
        <v>0</v>
      </c>
      <c r="L143" t="n">
        <v>0</v>
      </c>
      <c r="M143" t="n">
        <v>0</v>
      </c>
      <c r="N143" t="n">
        <v>0</v>
      </c>
      <c r="O143" t="n">
        <v>0</v>
      </c>
      <c r="P143" t="n">
        <v>0</v>
      </c>
      <c r="Q143" t="n">
        <v>0</v>
      </c>
      <c r="R143" s="2" t="inlineStr"/>
    </row>
    <row r="144" ht="15" customHeight="1">
      <c r="A144" t="inlineStr">
        <is>
          <t>A 2631-2022</t>
        </is>
      </c>
      <c r="B144" s="1" t="n">
        <v>44580</v>
      </c>
      <c r="C144" s="1" t="n">
        <v>46192</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46192</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51159-2021</t>
        </is>
      </c>
      <c r="B146" s="1" t="n">
        <v>44461</v>
      </c>
      <c r="C146" s="1" t="n">
        <v>46192</v>
      </c>
      <c r="D146" t="inlineStr">
        <is>
          <t>SKÅNE LÄN</t>
        </is>
      </c>
      <c r="E146" t="inlineStr">
        <is>
          <t>HÄSSLEHOLM</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354-2022</t>
        </is>
      </c>
      <c r="B147" s="1" t="n">
        <v>44565</v>
      </c>
      <c r="C147" s="1" t="n">
        <v>46192</v>
      </c>
      <c r="D147" t="inlineStr">
        <is>
          <t>SKÅNE LÄN</t>
        </is>
      </c>
      <c r="E147" t="inlineStr">
        <is>
          <t>HÄSSLEHOLM</t>
        </is>
      </c>
      <c r="G147" t="n">
        <v>2.4</v>
      </c>
      <c r="H147" t="n">
        <v>0</v>
      </c>
      <c r="I147" t="n">
        <v>0</v>
      </c>
      <c r="J147" t="n">
        <v>0</v>
      </c>
      <c r="K147" t="n">
        <v>0</v>
      </c>
      <c r="L147" t="n">
        <v>0</v>
      </c>
      <c r="M147" t="n">
        <v>0</v>
      </c>
      <c r="N147" t="n">
        <v>0</v>
      </c>
      <c r="O147" t="n">
        <v>0</v>
      </c>
      <c r="P147" t="n">
        <v>0</v>
      </c>
      <c r="Q147" t="n">
        <v>0</v>
      </c>
      <c r="R147" s="2" t="inlineStr"/>
    </row>
    <row r="148" ht="15" customHeight="1">
      <c r="A148" t="inlineStr">
        <is>
          <t>A 32892-2021</t>
        </is>
      </c>
      <c r="B148" s="1" t="n">
        <v>44375</v>
      </c>
      <c r="C148" s="1" t="n">
        <v>46192</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39102-2022</t>
        </is>
      </c>
      <c r="B149" s="1" t="n">
        <v>44817</v>
      </c>
      <c r="C149" s="1" t="n">
        <v>46192</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47112-2021</t>
        </is>
      </c>
      <c r="B150" s="1" t="n">
        <v>44446</v>
      </c>
      <c r="C150" s="1" t="n">
        <v>46192</v>
      </c>
      <c r="D150" t="inlineStr">
        <is>
          <t>SKÅNE LÄN</t>
        </is>
      </c>
      <c r="E150" t="inlineStr">
        <is>
          <t>HÄSSLEHOLM</t>
        </is>
      </c>
      <c r="G150" t="n">
        <v>9.699999999999999</v>
      </c>
      <c r="H150" t="n">
        <v>0</v>
      </c>
      <c r="I150" t="n">
        <v>0</v>
      </c>
      <c r="J150" t="n">
        <v>0</v>
      </c>
      <c r="K150" t="n">
        <v>0</v>
      </c>
      <c r="L150" t="n">
        <v>0</v>
      </c>
      <c r="M150" t="n">
        <v>0</v>
      </c>
      <c r="N150" t="n">
        <v>0</v>
      </c>
      <c r="O150" t="n">
        <v>0</v>
      </c>
      <c r="P150" t="n">
        <v>0</v>
      </c>
      <c r="Q150" t="n">
        <v>0</v>
      </c>
      <c r="R150" s="2" t="inlineStr"/>
    </row>
    <row r="151" ht="15" customHeight="1">
      <c r="A151" t="inlineStr">
        <is>
          <t>A 6414-2022</t>
        </is>
      </c>
      <c r="B151" s="1" t="n">
        <v>44600</v>
      </c>
      <c r="C151" s="1" t="n">
        <v>46192</v>
      </c>
      <c r="D151" t="inlineStr">
        <is>
          <t>SKÅNE LÄN</t>
        </is>
      </c>
      <c r="E151" t="inlineStr">
        <is>
          <t>HÄSSLEHOLM</t>
        </is>
      </c>
      <c r="G151" t="n">
        <v>2.9</v>
      </c>
      <c r="H151" t="n">
        <v>0</v>
      </c>
      <c r="I151" t="n">
        <v>0</v>
      </c>
      <c r="J151" t="n">
        <v>0</v>
      </c>
      <c r="K151" t="n">
        <v>0</v>
      </c>
      <c r="L151" t="n">
        <v>0</v>
      </c>
      <c r="M151" t="n">
        <v>0</v>
      </c>
      <c r="N151" t="n">
        <v>0</v>
      </c>
      <c r="O151" t="n">
        <v>0</v>
      </c>
      <c r="P151" t="n">
        <v>0</v>
      </c>
      <c r="Q151" t="n">
        <v>0</v>
      </c>
      <c r="R151" s="2" t="inlineStr"/>
    </row>
    <row r="152" ht="15" customHeight="1">
      <c r="A152" t="inlineStr">
        <is>
          <t>A 56431-2021</t>
        </is>
      </c>
      <c r="B152" s="1" t="n">
        <v>44480</v>
      </c>
      <c r="C152" s="1" t="n">
        <v>46192</v>
      </c>
      <c r="D152" t="inlineStr">
        <is>
          <t>SKÅNE LÄN</t>
        </is>
      </c>
      <c r="E152" t="inlineStr">
        <is>
          <t>HÄSSLEHOLM</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52567-2021</t>
        </is>
      </c>
      <c r="B153" s="1" t="n">
        <v>44466</v>
      </c>
      <c r="C153" s="1" t="n">
        <v>46192</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74297-2021</t>
        </is>
      </c>
      <c r="B154" s="1" t="n">
        <v>44558</v>
      </c>
      <c r="C154" s="1" t="n">
        <v>46192</v>
      </c>
      <c r="D154" t="inlineStr">
        <is>
          <t>SKÅNE LÄN</t>
        </is>
      </c>
      <c r="E154" t="inlineStr">
        <is>
          <t>HÄSSLEHOLM</t>
        </is>
      </c>
      <c r="F154" t="inlineStr">
        <is>
          <t>Kyrkan</t>
        </is>
      </c>
      <c r="G154" t="n">
        <v>3.8</v>
      </c>
      <c r="H154" t="n">
        <v>0</v>
      </c>
      <c r="I154" t="n">
        <v>0</v>
      </c>
      <c r="J154" t="n">
        <v>0</v>
      </c>
      <c r="K154" t="n">
        <v>0</v>
      </c>
      <c r="L154" t="n">
        <v>0</v>
      </c>
      <c r="M154" t="n">
        <v>0</v>
      </c>
      <c r="N154" t="n">
        <v>0</v>
      </c>
      <c r="O154" t="n">
        <v>0</v>
      </c>
      <c r="P154" t="n">
        <v>0</v>
      </c>
      <c r="Q154" t="n">
        <v>0</v>
      </c>
      <c r="R154" s="2" t="inlineStr"/>
    </row>
    <row r="155" ht="15" customHeight="1">
      <c r="A155" t="inlineStr">
        <is>
          <t>A 52295-2021</t>
        </is>
      </c>
      <c r="B155" s="1" t="n">
        <v>44463</v>
      </c>
      <c r="C155" s="1" t="n">
        <v>46192</v>
      </c>
      <c r="D155" t="inlineStr">
        <is>
          <t>SKÅNE LÄN</t>
        </is>
      </c>
      <c r="E155" t="inlineStr">
        <is>
          <t>HÄSSLEHOLM</t>
        </is>
      </c>
      <c r="G155" t="n">
        <v>0.3</v>
      </c>
      <c r="H155" t="n">
        <v>0</v>
      </c>
      <c r="I155" t="n">
        <v>0</v>
      </c>
      <c r="J155" t="n">
        <v>0</v>
      </c>
      <c r="K155" t="n">
        <v>0</v>
      </c>
      <c r="L155" t="n">
        <v>0</v>
      </c>
      <c r="M155" t="n">
        <v>0</v>
      </c>
      <c r="N155" t="n">
        <v>0</v>
      </c>
      <c r="O155" t="n">
        <v>0</v>
      </c>
      <c r="P155" t="n">
        <v>0</v>
      </c>
      <c r="Q155" t="n">
        <v>0</v>
      </c>
      <c r="R155" s="2" t="inlineStr"/>
    </row>
    <row r="156" ht="15" customHeight="1">
      <c r="A156" t="inlineStr">
        <is>
          <t>A 68909-2021</t>
        </is>
      </c>
      <c r="B156" s="1" t="n">
        <v>44530</v>
      </c>
      <c r="C156" s="1" t="n">
        <v>46192</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5091-2022</t>
        </is>
      </c>
      <c r="B157" s="1" t="n">
        <v>44593</v>
      </c>
      <c r="C157" s="1" t="n">
        <v>46192</v>
      </c>
      <c r="D157" t="inlineStr">
        <is>
          <t>SKÅNE LÄN</t>
        </is>
      </c>
      <c r="E157" t="inlineStr">
        <is>
          <t>HÄSSLEHOLM</t>
        </is>
      </c>
      <c r="G157" t="n">
        <v>2.5</v>
      </c>
      <c r="H157" t="n">
        <v>0</v>
      </c>
      <c r="I157" t="n">
        <v>0</v>
      </c>
      <c r="J157" t="n">
        <v>0</v>
      </c>
      <c r="K157" t="n">
        <v>0</v>
      </c>
      <c r="L157" t="n">
        <v>0</v>
      </c>
      <c r="M157" t="n">
        <v>0</v>
      </c>
      <c r="N157" t="n">
        <v>0</v>
      </c>
      <c r="O157" t="n">
        <v>0</v>
      </c>
      <c r="P157" t="n">
        <v>0</v>
      </c>
      <c r="Q157" t="n">
        <v>0</v>
      </c>
      <c r="R157" s="2" t="inlineStr"/>
    </row>
    <row r="158" ht="15" customHeight="1">
      <c r="A158" t="inlineStr">
        <is>
          <t>A 60260-2021</t>
        </is>
      </c>
      <c r="B158" s="1" t="n">
        <v>44495</v>
      </c>
      <c r="C158" s="1" t="n">
        <v>46192</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15986-2022</t>
        </is>
      </c>
      <c r="B159" s="1" t="n">
        <v>44664</v>
      </c>
      <c r="C159" s="1" t="n">
        <v>46192</v>
      </c>
      <c r="D159" t="inlineStr">
        <is>
          <t>SKÅNE LÄN</t>
        </is>
      </c>
      <c r="E159" t="inlineStr">
        <is>
          <t>HÄSSLEHOLM</t>
        </is>
      </c>
      <c r="F159" t="inlineStr">
        <is>
          <t>Kyrkan</t>
        </is>
      </c>
      <c r="G159" t="n">
        <v>6</v>
      </c>
      <c r="H159" t="n">
        <v>0</v>
      </c>
      <c r="I159" t="n">
        <v>0</v>
      </c>
      <c r="J159" t="n">
        <v>0</v>
      </c>
      <c r="K159" t="n">
        <v>0</v>
      </c>
      <c r="L159" t="n">
        <v>0</v>
      </c>
      <c r="M159" t="n">
        <v>0</v>
      </c>
      <c r="N159" t="n">
        <v>0</v>
      </c>
      <c r="O159" t="n">
        <v>0</v>
      </c>
      <c r="P159" t="n">
        <v>0</v>
      </c>
      <c r="Q159" t="n">
        <v>0</v>
      </c>
      <c r="R159" s="2" t="inlineStr"/>
    </row>
    <row r="160" ht="15" customHeight="1">
      <c r="A160" t="inlineStr">
        <is>
          <t>A 52786-2021</t>
        </is>
      </c>
      <c r="B160" s="1" t="n">
        <v>44467</v>
      </c>
      <c r="C160" s="1" t="n">
        <v>46192</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51888-2021</t>
        </is>
      </c>
      <c r="B161" s="1" t="n">
        <v>44462</v>
      </c>
      <c r="C161" s="1" t="n">
        <v>46192</v>
      </c>
      <c r="D161" t="inlineStr">
        <is>
          <t>SKÅNE LÄN</t>
        </is>
      </c>
      <c r="E161" t="inlineStr">
        <is>
          <t>HÄSSLEHOLM</t>
        </is>
      </c>
      <c r="G161" t="n">
        <v>5.6</v>
      </c>
      <c r="H161" t="n">
        <v>0</v>
      </c>
      <c r="I161" t="n">
        <v>0</v>
      </c>
      <c r="J161" t="n">
        <v>0</v>
      </c>
      <c r="K161" t="n">
        <v>0</v>
      </c>
      <c r="L161" t="n">
        <v>0</v>
      </c>
      <c r="M161" t="n">
        <v>0</v>
      </c>
      <c r="N161" t="n">
        <v>0</v>
      </c>
      <c r="O161" t="n">
        <v>0</v>
      </c>
      <c r="P161" t="n">
        <v>0</v>
      </c>
      <c r="Q161" t="n">
        <v>0</v>
      </c>
      <c r="R161" s="2" t="inlineStr"/>
    </row>
    <row r="162" ht="15" customHeight="1">
      <c r="A162" t="inlineStr">
        <is>
          <t>A 26386-2022</t>
        </is>
      </c>
      <c r="B162" s="1" t="n">
        <v>44735</v>
      </c>
      <c r="C162" s="1" t="n">
        <v>46192</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46192</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73513-2021</t>
        </is>
      </c>
      <c r="B164" s="1" t="n">
        <v>44551</v>
      </c>
      <c r="C164" s="1" t="n">
        <v>46192</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46192</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46192</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v>
      </c>
      <c r="C167" s="1" t="n">
        <v>46192</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51893-2021</t>
        </is>
      </c>
      <c r="B168" s="1" t="n">
        <v>44462</v>
      </c>
      <c r="C168" s="1" t="n">
        <v>46192</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55394-2022</t>
        </is>
      </c>
      <c r="B169" s="1" t="n">
        <v>44887</v>
      </c>
      <c r="C169" s="1" t="n">
        <v>46192</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30344-2022</t>
        </is>
      </c>
      <c r="B170" s="1" t="n">
        <v>44760</v>
      </c>
      <c r="C170" s="1" t="n">
        <v>46192</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61524-2022</t>
        </is>
      </c>
      <c r="B171" s="1" t="n">
        <v>44910</v>
      </c>
      <c r="C171" s="1" t="n">
        <v>46192</v>
      </c>
      <c r="D171" t="inlineStr">
        <is>
          <t>SKÅNE LÄN</t>
        </is>
      </c>
      <c r="E171" t="inlineStr">
        <is>
          <t>HÄSSLEHOLM</t>
        </is>
      </c>
      <c r="F171" t="inlineStr">
        <is>
          <t>Kyrkan</t>
        </is>
      </c>
      <c r="G171" t="n">
        <v>2.1</v>
      </c>
      <c r="H171" t="n">
        <v>0</v>
      </c>
      <c r="I171" t="n">
        <v>0</v>
      </c>
      <c r="J171" t="n">
        <v>0</v>
      </c>
      <c r="K171" t="n">
        <v>0</v>
      </c>
      <c r="L171" t="n">
        <v>0</v>
      </c>
      <c r="M171" t="n">
        <v>0</v>
      </c>
      <c r="N171" t="n">
        <v>0</v>
      </c>
      <c r="O171" t="n">
        <v>0</v>
      </c>
      <c r="P171" t="n">
        <v>0</v>
      </c>
      <c r="Q171" t="n">
        <v>0</v>
      </c>
      <c r="R171" s="2" t="inlineStr"/>
    </row>
    <row r="172" ht="15" customHeight="1">
      <c r="A172" t="inlineStr">
        <is>
          <t>A 61578-2023</t>
        </is>
      </c>
      <c r="B172" s="1" t="n">
        <v>45265</v>
      </c>
      <c r="C172" s="1" t="n">
        <v>46192</v>
      </c>
      <c r="D172" t="inlineStr">
        <is>
          <t>SKÅNE LÄN</t>
        </is>
      </c>
      <c r="E172" t="inlineStr">
        <is>
          <t>HÄSSLEHOLM</t>
        </is>
      </c>
      <c r="G172" t="n">
        <v>1.2</v>
      </c>
      <c r="H172" t="n">
        <v>0</v>
      </c>
      <c r="I172" t="n">
        <v>0</v>
      </c>
      <c r="J172" t="n">
        <v>0</v>
      </c>
      <c r="K172" t="n">
        <v>0</v>
      </c>
      <c r="L172" t="n">
        <v>0</v>
      </c>
      <c r="M172" t="n">
        <v>0</v>
      </c>
      <c r="N172" t="n">
        <v>0</v>
      </c>
      <c r="O172" t="n">
        <v>0</v>
      </c>
      <c r="P172" t="n">
        <v>0</v>
      </c>
      <c r="Q172" t="n">
        <v>0</v>
      </c>
      <c r="R172" s="2" t="inlineStr"/>
    </row>
    <row r="173" ht="15" customHeight="1">
      <c r="A173" t="inlineStr">
        <is>
          <t>A 56527-2021</t>
        </is>
      </c>
      <c r="B173" s="1" t="n">
        <v>44480</v>
      </c>
      <c r="C173" s="1" t="n">
        <v>46192</v>
      </c>
      <c r="D173" t="inlineStr">
        <is>
          <t>SKÅNE LÄN</t>
        </is>
      </c>
      <c r="E173" t="inlineStr">
        <is>
          <t>HÄSSLEHOLM</t>
        </is>
      </c>
      <c r="F173" t="inlineStr">
        <is>
          <t>Kyrkan</t>
        </is>
      </c>
      <c r="G173" t="n">
        <v>2.7</v>
      </c>
      <c r="H173" t="n">
        <v>0</v>
      </c>
      <c r="I173" t="n">
        <v>0</v>
      </c>
      <c r="J173" t="n">
        <v>0</v>
      </c>
      <c r="K173" t="n">
        <v>0</v>
      </c>
      <c r="L173" t="n">
        <v>0</v>
      </c>
      <c r="M173" t="n">
        <v>0</v>
      </c>
      <c r="N173" t="n">
        <v>0</v>
      </c>
      <c r="O173" t="n">
        <v>0</v>
      </c>
      <c r="P173" t="n">
        <v>0</v>
      </c>
      <c r="Q173" t="n">
        <v>0</v>
      </c>
      <c r="R173" s="2" t="inlineStr"/>
    </row>
    <row r="174" ht="15" customHeight="1">
      <c r="A174" t="inlineStr">
        <is>
          <t>A 25542-2024</t>
        </is>
      </c>
      <c r="B174" s="1" t="n">
        <v>45463</v>
      </c>
      <c r="C174" s="1" t="n">
        <v>46192</v>
      </c>
      <c r="D174" t="inlineStr">
        <is>
          <t>SKÅNE LÄN</t>
        </is>
      </c>
      <c r="E174" t="inlineStr">
        <is>
          <t>HÄSSLEHOLM</t>
        </is>
      </c>
      <c r="G174" t="n">
        <v>6.9</v>
      </c>
      <c r="H174" t="n">
        <v>0</v>
      </c>
      <c r="I174" t="n">
        <v>0</v>
      </c>
      <c r="J174" t="n">
        <v>0</v>
      </c>
      <c r="K174" t="n">
        <v>0</v>
      </c>
      <c r="L174" t="n">
        <v>0</v>
      </c>
      <c r="M174" t="n">
        <v>0</v>
      </c>
      <c r="N174" t="n">
        <v>0</v>
      </c>
      <c r="O174" t="n">
        <v>0</v>
      </c>
      <c r="P174" t="n">
        <v>0</v>
      </c>
      <c r="Q174" t="n">
        <v>0</v>
      </c>
      <c r="R174" s="2" t="inlineStr"/>
    </row>
    <row r="175" ht="15" customHeight="1">
      <c r="A175" t="inlineStr">
        <is>
          <t>A 45357-2022</t>
        </is>
      </c>
      <c r="B175" s="1" t="n">
        <v>44844</v>
      </c>
      <c r="C175" s="1" t="n">
        <v>46192</v>
      </c>
      <c r="D175" t="inlineStr">
        <is>
          <t>SKÅNE LÄN</t>
        </is>
      </c>
      <c r="E175" t="inlineStr">
        <is>
          <t>HÄSSLEHOLM</t>
        </is>
      </c>
      <c r="G175" t="n">
        <v>5.8</v>
      </c>
      <c r="H175" t="n">
        <v>0</v>
      </c>
      <c r="I175" t="n">
        <v>0</v>
      </c>
      <c r="J175" t="n">
        <v>0</v>
      </c>
      <c r="K175" t="n">
        <v>0</v>
      </c>
      <c r="L175" t="n">
        <v>0</v>
      </c>
      <c r="M175" t="n">
        <v>0</v>
      </c>
      <c r="N175" t="n">
        <v>0</v>
      </c>
      <c r="O175" t="n">
        <v>0</v>
      </c>
      <c r="P175" t="n">
        <v>0</v>
      </c>
      <c r="Q175" t="n">
        <v>0</v>
      </c>
      <c r="R175" s="2" t="inlineStr"/>
    </row>
    <row r="176" ht="15" customHeight="1">
      <c r="A176" t="inlineStr">
        <is>
          <t>A 3992-2022</t>
        </is>
      </c>
      <c r="B176" s="1" t="n">
        <v>44587</v>
      </c>
      <c r="C176" s="1" t="n">
        <v>46192</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42370-2023</t>
        </is>
      </c>
      <c r="B177" s="1" t="n">
        <v>45180</v>
      </c>
      <c r="C177" s="1" t="n">
        <v>46192</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45989-2021</t>
        </is>
      </c>
      <c r="B178" s="1" t="n">
        <v>44441</v>
      </c>
      <c r="C178" s="1" t="n">
        <v>46192</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25955-2022</t>
        </is>
      </c>
      <c r="B179" s="1" t="n">
        <v>44734</v>
      </c>
      <c r="C179" s="1" t="n">
        <v>46192</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34342-2021</t>
        </is>
      </c>
      <c r="B180" s="1" t="n">
        <v>44379</v>
      </c>
      <c r="C180" s="1" t="n">
        <v>46192</v>
      </c>
      <c r="D180" t="inlineStr">
        <is>
          <t>SKÅNE LÄN</t>
        </is>
      </c>
      <c r="E180" t="inlineStr">
        <is>
          <t>HÄSSLEHOLM</t>
        </is>
      </c>
      <c r="G180" t="n">
        <v>7</v>
      </c>
      <c r="H180" t="n">
        <v>0</v>
      </c>
      <c r="I180" t="n">
        <v>0</v>
      </c>
      <c r="J180" t="n">
        <v>0</v>
      </c>
      <c r="K180" t="n">
        <v>0</v>
      </c>
      <c r="L180" t="n">
        <v>0</v>
      </c>
      <c r="M180" t="n">
        <v>0</v>
      </c>
      <c r="N180" t="n">
        <v>0</v>
      </c>
      <c r="O180" t="n">
        <v>0</v>
      </c>
      <c r="P180" t="n">
        <v>0</v>
      </c>
      <c r="Q180" t="n">
        <v>0</v>
      </c>
      <c r="R180" s="2" t="inlineStr"/>
    </row>
    <row r="181" ht="15" customHeight="1">
      <c r="A181" t="inlineStr">
        <is>
          <t>A 1557-2023</t>
        </is>
      </c>
      <c r="B181" s="1" t="n">
        <v>44937</v>
      </c>
      <c r="C181" s="1" t="n">
        <v>46192</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9239-2025</t>
        </is>
      </c>
      <c r="B182" s="1" t="n">
        <v>45714</v>
      </c>
      <c r="C182" s="1" t="n">
        <v>46192</v>
      </c>
      <c r="D182" t="inlineStr">
        <is>
          <t>SKÅNE LÄN</t>
        </is>
      </c>
      <c r="E182" t="inlineStr">
        <is>
          <t>HÄSSLEHOLM</t>
        </is>
      </c>
      <c r="G182" t="n">
        <v>1.8</v>
      </c>
      <c r="H182" t="n">
        <v>0</v>
      </c>
      <c r="I182" t="n">
        <v>0</v>
      </c>
      <c r="J182" t="n">
        <v>0</v>
      </c>
      <c r="K182" t="n">
        <v>0</v>
      </c>
      <c r="L182" t="n">
        <v>0</v>
      </c>
      <c r="M182" t="n">
        <v>0</v>
      </c>
      <c r="N182" t="n">
        <v>0</v>
      </c>
      <c r="O182" t="n">
        <v>0</v>
      </c>
      <c r="P182" t="n">
        <v>0</v>
      </c>
      <c r="Q182" t="n">
        <v>0</v>
      </c>
      <c r="R182" s="2" t="inlineStr"/>
    </row>
    <row r="183" ht="15" customHeight="1">
      <c r="A183" t="inlineStr">
        <is>
          <t>A 20657-2022</t>
        </is>
      </c>
      <c r="B183" s="1" t="n">
        <v>44700</v>
      </c>
      <c r="C183" s="1" t="n">
        <v>46192</v>
      </c>
      <c r="D183" t="inlineStr">
        <is>
          <t>SKÅNE LÄN</t>
        </is>
      </c>
      <c r="E183" t="inlineStr">
        <is>
          <t>HÄSSLEHOLM</t>
        </is>
      </c>
      <c r="G183" t="n">
        <v>3.8</v>
      </c>
      <c r="H183" t="n">
        <v>0</v>
      </c>
      <c r="I183" t="n">
        <v>0</v>
      </c>
      <c r="J183" t="n">
        <v>0</v>
      </c>
      <c r="K183" t="n">
        <v>0</v>
      </c>
      <c r="L183" t="n">
        <v>0</v>
      </c>
      <c r="M183" t="n">
        <v>0</v>
      </c>
      <c r="N183" t="n">
        <v>0</v>
      </c>
      <c r="O183" t="n">
        <v>0</v>
      </c>
      <c r="P183" t="n">
        <v>0</v>
      </c>
      <c r="Q183" t="n">
        <v>0</v>
      </c>
      <c r="R183" s="2" t="inlineStr"/>
    </row>
    <row r="184" ht="15" customHeight="1">
      <c r="A184" t="inlineStr">
        <is>
          <t>A 11422-2025</t>
        </is>
      </c>
      <c r="B184" s="1" t="n">
        <v>45726</v>
      </c>
      <c r="C184" s="1" t="n">
        <v>46192</v>
      </c>
      <c r="D184" t="inlineStr">
        <is>
          <t>SKÅNE LÄN</t>
        </is>
      </c>
      <c r="E184" t="inlineStr">
        <is>
          <t>HÄSSLEHOLM</t>
        </is>
      </c>
      <c r="G184" t="n">
        <v>14.9</v>
      </c>
      <c r="H184" t="n">
        <v>0</v>
      </c>
      <c r="I184" t="n">
        <v>0</v>
      </c>
      <c r="J184" t="n">
        <v>0</v>
      </c>
      <c r="K184" t="n">
        <v>0</v>
      </c>
      <c r="L184" t="n">
        <v>0</v>
      </c>
      <c r="M184" t="n">
        <v>0</v>
      </c>
      <c r="N184" t="n">
        <v>0</v>
      </c>
      <c r="O184" t="n">
        <v>0</v>
      </c>
      <c r="P184" t="n">
        <v>0</v>
      </c>
      <c r="Q184" t="n">
        <v>0</v>
      </c>
      <c r="R184" s="2" t="inlineStr"/>
    </row>
    <row r="185" ht="15" customHeight="1">
      <c r="A185" t="inlineStr">
        <is>
          <t>A 29853-2024</t>
        </is>
      </c>
      <c r="B185" s="1" t="n">
        <v>45485</v>
      </c>
      <c r="C185" s="1" t="n">
        <v>46192</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29287-2023</t>
        </is>
      </c>
      <c r="B186" s="1" t="n">
        <v>45098</v>
      </c>
      <c r="C186" s="1" t="n">
        <v>46192</v>
      </c>
      <c r="D186" t="inlineStr">
        <is>
          <t>SKÅNE LÄN</t>
        </is>
      </c>
      <c r="E186" t="inlineStr">
        <is>
          <t>HÄSSLEHOLM</t>
        </is>
      </c>
      <c r="G186" t="n">
        <v>5.7</v>
      </c>
      <c r="H186" t="n">
        <v>0</v>
      </c>
      <c r="I186" t="n">
        <v>0</v>
      </c>
      <c r="J186" t="n">
        <v>0</v>
      </c>
      <c r="K186" t="n">
        <v>0</v>
      </c>
      <c r="L186" t="n">
        <v>0</v>
      </c>
      <c r="M186" t="n">
        <v>0</v>
      </c>
      <c r="N186" t="n">
        <v>0</v>
      </c>
      <c r="O186" t="n">
        <v>0</v>
      </c>
      <c r="P186" t="n">
        <v>0</v>
      </c>
      <c r="Q186" t="n">
        <v>0</v>
      </c>
      <c r="R186" s="2" t="inlineStr"/>
    </row>
    <row r="187" ht="15" customHeight="1">
      <c r="A187" t="inlineStr">
        <is>
          <t>A 5992-2022</t>
        </is>
      </c>
      <c r="B187" s="1" t="n">
        <v>44599</v>
      </c>
      <c r="C187" s="1" t="n">
        <v>46192</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26403-2024</t>
        </is>
      </c>
      <c r="B188" s="1" t="n">
        <v>45469</v>
      </c>
      <c r="C188" s="1" t="n">
        <v>46192</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26403-2024</t>
        </is>
      </c>
      <c r="B189" s="1" t="n">
        <v>45469</v>
      </c>
      <c r="C189" s="1" t="n">
        <v>46192</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23956-2023</t>
        </is>
      </c>
      <c r="B190" s="1" t="n">
        <v>45078</v>
      </c>
      <c r="C190" s="1" t="n">
        <v>46192</v>
      </c>
      <c r="D190" t="inlineStr">
        <is>
          <t>SKÅNE LÄN</t>
        </is>
      </c>
      <c r="E190" t="inlineStr">
        <is>
          <t>HÄSSLEHOLM</t>
        </is>
      </c>
      <c r="G190" t="n">
        <v>0.1</v>
      </c>
      <c r="H190" t="n">
        <v>0</v>
      </c>
      <c r="I190" t="n">
        <v>0</v>
      </c>
      <c r="J190" t="n">
        <v>0</v>
      </c>
      <c r="K190" t="n">
        <v>0</v>
      </c>
      <c r="L190" t="n">
        <v>0</v>
      </c>
      <c r="M190" t="n">
        <v>0</v>
      </c>
      <c r="N190" t="n">
        <v>0</v>
      </c>
      <c r="O190" t="n">
        <v>0</v>
      </c>
      <c r="P190" t="n">
        <v>0</v>
      </c>
      <c r="Q190" t="n">
        <v>0</v>
      </c>
      <c r="R190" s="2" t="inlineStr"/>
    </row>
    <row r="191" ht="15" customHeight="1">
      <c r="A191" t="inlineStr">
        <is>
          <t>A 25324-2024</t>
        </is>
      </c>
      <c r="B191" s="1" t="n">
        <v>45462</v>
      </c>
      <c r="C191" s="1" t="n">
        <v>46192</v>
      </c>
      <c r="D191" t="inlineStr">
        <is>
          <t>SKÅNE LÄN</t>
        </is>
      </c>
      <c r="E191" t="inlineStr">
        <is>
          <t>HÄSSLEHOLM</t>
        </is>
      </c>
      <c r="G191" t="n">
        <v>0.2</v>
      </c>
      <c r="H191" t="n">
        <v>0</v>
      </c>
      <c r="I191" t="n">
        <v>0</v>
      </c>
      <c r="J191" t="n">
        <v>0</v>
      </c>
      <c r="K191" t="n">
        <v>0</v>
      </c>
      <c r="L191" t="n">
        <v>0</v>
      </c>
      <c r="M191" t="n">
        <v>0</v>
      </c>
      <c r="N191" t="n">
        <v>0</v>
      </c>
      <c r="O191" t="n">
        <v>0</v>
      </c>
      <c r="P191" t="n">
        <v>0</v>
      </c>
      <c r="Q191" t="n">
        <v>0</v>
      </c>
      <c r="R191" s="2" t="inlineStr"/>
    </row>
    <row r="192" ht="15" customHeight="1">
      <c r="A192" t="inlineStr">
        <is>
          <t>A 8803-2023</t>
        </is>
      </c>
      <c r="B192" s="1" t="n">
        <v>44978</v>
      </c>
      <c r="C192" s="1" t="n">
        <v>46192</v>
      </c>
      <c r="D192" t="inlineStr">
        <is>
          <t>SKÅNE LÄN</t>
        </is>
      </c>
      <c r="E192" t="inlineStr">
        <is>
          <t>HÄSSLEHOLM</t>
        </is>
      </c>
      <c r="G192" t="n">
        <v>1.1</v>
      </c>
      <c r="H192" t="n">
        <v>0</v>
      </c>
      <c r="I192" t="n">
        <v>0</v>
      </c>
      <c r="J192" t="n">
        <v>0</v>
      </c>
      <c r="K192" t="n">
        <v>0</v>
      </c>
      <c r="L192" t="n">
        <v>0</v>
      </c>
      <c r="M192" t="n">
        <v>0</v>
      </c>
      <c r="N192" t="n">
        <v>0</v>
      </c>
      <c r="O192" t="n">
        <v>0</v>
      </c>
      <c r="P192" t="n">
        <v>0</v>
      </c>
      <c r="Q192" t="n">
        <v>0</v>
      </c>
      <c r="R192" s="2" t="inlineStr"/>
    </row>
    <row r="193" ht="15" customHeight="1">
      <c r="A193" t="inlineStr">
        <is>
          <t>A 4809-2025</t>
        </is>
      </c>
      <c r="B193" s="1" t="n">
        <v>45688</v>
      </c>
      <c r="C193" s="1" t="n">
        <v>46192</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12780-2024</t>
        </is>
      </c>
      <c r="B194" s="1" t="n">
        <v>45384</v>
      </c>
      <c r="C194" s="1" t="n">
        <v>46192</v>
      </c>
      <c r="D194" t="inlineStr">
        <is>
          <t>SKÅNE LÄN</t>
        </is>
      </c>
      <c r="E194" t="inlineStr">
        <is>
          <t>HÄSSLEHOLM</t>
        </is>
      </c>
      <c r="G194" t="n">
        <v>0.7</v>
      </c>
      <c r="H194" t="n">
        <v>0</v>
      </c>
      <c r="I194" t="n">
        <v>0</v>
      </c>
      <c r="J194" t="n">
        <v>0</v>
      </c>
      <c r="K194" t="n">
        <v>0</v>
      </c>
      <c r="L194" t="n">
        <v>0</v>
      </c>
      <c r="M194" t="n">
        <v>0</v>
      </c>
      <c r="N194" t="n">
        <v>0</v>
      </c>
      <c r="O194" t="n">
        <v>0</v>
      </c>
      <c r="P194" t="n">
        <v>0</v>
      </c>
      <c r="Q194" t="n">
        <v>0</v>
      </c>
      <c r="R194" s="2" t="inlineStr"/>
    </row>
    <row r="195" ht="15" customHeight="1">
      <c r="A195" t="inlineStr">
        <is>
          <t>A 7904-2022</t>
        </is>
      </c>
      <c r="B195" s="1" t="n">
        <v>44607</v>
      </c>
      <c r="C195" s="1" t="n">
        <v>46192</v>
      </c>
      <c r="D195" t="inlineStr">
        <is>
          <t>SKÅNE LÄN</t>
        </is>
      </c>
      <c r="E195" t="inlineStr">
        <is>
          <t>HÄSSLEHOLM</t>
        </is>
      </c>
      <c r="F195" t="inlineStr">
        <is>
          <t>Kyrkan</t>
        </is>
      </c>
      <c r="G195" t="n">
        <v>3.9</v>
      </c>
      <c r="H195" t="n">
        <v>0</v>
      </c>
      <c r="I195" t="n">
        <v>0</v>
      </c>
      <c r="J195" t="n">
        <v>0</v>
      </c>
      <c r="K195" t="n">
        <v>0</v>
      </c>
      <c r="L195" t="n">
        <v>0</v>
      </c>
      <c r="M195" t="n">
        <v>0</v>
      </c>
      <c r="N195" t="n">
        <v>0</v>
      </c>
      <c r="O195" t="n">
        <v>0</v>
      </c>
      <c r="P195" t="n">
        <v>0</v>
      </c>
      <c r="Q195" t="n">
        <v>0</v>
      </c>
      <c r="R195" s="2" t="inlineStr"/>
    </row>
    <row r="196" ht="15" customHeight="1">
      <c r="A196" t="inlineStr">
        <is>
          <t>A 14674-2025</t>
        </is>
      </c>
      <c r="B196" s="1" t="n">
        <v>45742</v>
      </c>
      <c r="C196" s="1" t="n">
        <v>46192</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14702-2025</t>
        </is>
      </c>
      <c r="B197" s="1" t="n">
        <v>45742</v>
      </c>
      <c r="C197" s="1" t="n">
        <v>46192</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9375-2023</t>
        </is>
      </c>
      <c r="B198" s="1" t="n">
        <v>44981</v>
      </c>
      <c r="C198" s="1" t="n">
        <v>46192</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16388-2025</t>
        </is>
      </c>
      <c r="B199" s="1" t="n">
        <v>45751</v>
      </c>
      <c r="C199" s="1" t="n">
        <v>46192</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23950-2023</t>
        </is>
      </c>
      <c r="B200" s="1" t="n">
        <v>45078</v>
      </c>
      <c r="C200" s="1" t="n">
        <v>46192</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7250-2022</t>
        </is>
      </c>
      <c r="B201" s="1" t="n">
        <v>44606</v>
      </c>
      <c r="C201" s="1" t="n">
        <v>46192</v>
      </c>
      <c r="D201" t="inlineStr">
        <is>
          <t>SKÅNE LÄN</t>
        </is>
      </c>
      <c r="E201" t="inlineStr">
        <is>
          <t>HÄSSLEHOLM</t>
        </is>
      </c>
      <c r="F201" t="inlineStr">
        <is>
          <t>Övriga Aktiebolag</t>
        </is>
      </c>
      <c r="G201" t="n">
        <v>2.6</v>
      </c>
      <c r="H201" t="n">
        <v>0</v>
      </c>
      <c r="I201" t="n">
        <v>0</v>
      </c>
      <c r="J201" t="n">
        <v>0</v>
      </c>
      <c r="K201" t="n">
        <v>0</v>
      </c>
      <c r="L201" t="n">
        <v>0</v>
      </c>
      <c r="M201" t="n">
        <v>0</v>
      </c>
      <c r="N201" t="n">
        <v>0</v>
      </c>
      <c r="O201" t="n">
        <v>0</v>
      </c>
      <c r="P201" t="n">
        <v>0</v>
      </c>
      <c r="Q201" t="n">
        <v>0</v>
      </c>
      <c r="R201" s="2" t="inlineStr"/>
    </row>
    <row r="202" ht="15" customHeight="1">
      <c r="A202" t="inlineStr">
        <is>
          <t>A 23952-2023</t>
        </is>
      </c>
      <c r="B202" s="1" t="n">
        <v>45078</v>
      </c>
      <c r="C202" s="1" t="n">
        <v>46192</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35974-2022</t>
        </is>
      </c>
      <c r="B203" s="1" t="n">
        <v>44802</v>
      </c>
      <c r="C203" s="1" t="n">
        <v>46192</v>
      </c>
      <c r="D203" t="inlineStr">
        <is>
          <t>SKÅNE LÄN</t>
        </is>
      </c>
      <c r="E203" t="inlineStr">
        <is>
          <t>HÄSSLEHOLM</t>
        </is>
      </c>
      <c r="G203" t="n">
        <v>3.8</v>
      </c>
      <c r="H203" t="n">
        <v>0</v>
      </c>
      <c r="I203" t="n">
        <v>0</v>
      </c>
      <c r="J203" t="n">
        <v>0</v>
      </c>
      <c r="K203" t="n">
        <v>0</v>
      </c>
      <c r="L203" t="n">
        <v>0</v>
      </c>
      <c r="M203" t="n">
        <v>0</v>
      </c>
      <c r="N203" t="n">
        <v>0</v>
      </c>
      <c r="O203" t="n">
        <v>0</v>
      </c>
      <c r="P203" t="n">
        <v>0</v>
      </c>
      <c r="Q203" t="n">
        <v>0</v>
      </c>
      <c r="R203" s="2" t="inlineStr"/>
    </row>
    <row r="204" ht="15" customHeight="1">
      <c r="A204" t="inlineStr">
        <is>
          <t>A 51895-2021</t>
        </is>
      </c>
      <c r="B204" s="1" t="n">
        <v>44462</v>
      </c>
      <c r="C204" s="1" t="n">
        <v>46192</v>
      </c>
      <c r="D204" t="inlineStr">
        <is>
          <t>SKÅNE LÄN</t>
        </is>
      </c>
      <c r="E204" t="inlineStr">
        <is>
          <t>HÄSSLEHOLM</t>
        </is>
      </c>
      <c r="G204" t="n">
        <v>5.7</v>
      </c>
      <c r="H204" t="n">
        <v>0</v>
      </c>
      <c r="I204" t="n">
        <v>0</v>
      </c>
      <c r="J204" t="n">
        <v>0</v>
      </c>
      <c r="K204" t="n">
        <v>0</v>
      </c>
      <c r="L204" t="n">
        <v>0</v>
      </c>
      <c r="M204" t="n">
        <v>0</v>
      </c>
      <c r="N204" t="n">
        <v>0</v>
      </c>
      <c r="O204" t="n">
        <v>0</v>
      </c>
      <c r="P204" t="n">
        <v>0</v>
      </c>
      <c r="Q204" t="n">
        <v>0</v>
      </c>
      <c r="R204" s="2" t="inlineStr"/>
    </row>
    <row r="205" ht="15" customHeight="1">
      <c r="A205" t="inlineStr">
        <is>
          <t>A 1619-2022</t>
        </is>
      </c>
      <c r="B205" s="1" t="n">
        <v>44573</v>
      </c>
      <c r="C205" s="1" t="n">
        <v>46192</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41874-2024</t>
        </is>
      </c>
      <c r="B206" s="1" t="n">
        <v>45561</v>
      </c>
      <c r="C206" s="1" t="n">
        <v>46192</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219-2022</t>
        </is>
      </c>
      <c r="B207" s="1" t="n">
        <v>44564</v>
      </c>
      <c r="C207" s="1" t="n">
        <v>46192</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6048-2022</t>
        </is>
      </c>
      <c r="B208" s="1" t="n">
        <v>44599</v>
      </c>
      <c r="C208" s="1" t="n">
        <v>46192</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55284-2023</t>
        </is>
      </c>
      <c r="B209" s="1" t="n">
        <v>45237</v>
      </c>
      <c r="C209" s="1" t="n">
        <v>46192</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30006-2023</t>
        </is>
      </c>
      <c r="B210" s="1" t="n">
        <v>45109</v>
      </c>
      <c r="C210" s="1" t="n">
        <v>46192</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49167-2022</t>
        </is>
      </c>
      <c r="B211" s="1" t="n">
        <v>44860</v>
      </c>
      <c r="C211" s="1" t="n">
        <v>46192</v>
      </c>
      <c r="D211" t="inlineStr">
        <is>
          <t>SKÅNE LÄN</t>
        </is>
      </c>
      <c r="E211" t="inlineStr">
        <is>
          <t>HÄSSLEHOLM</t>
        </is>
      </c>
      <c r="G211" t="n">
        <v>1.3</v>
      </c>
      <c r="H211" t="n">
        <v>0</v>
      </c>
      <c r="I211" t="n">
        <v>0</v>
      </c>
      <c r="J211" t="n">
        <v>0</v>
      </c>
      <c r="K211" t="n">
        <v>0</v>
      </c>
      <c r="L211" t="n">
        <v>0</v>
      </c>
      <c r="M211" t="n">
        <v>0</v>
      </c>
      <c r="N211" t="n">
        <v>0</v>
      </c>
      <c r="O211" t="n">
        <v>0</v>
      </c>
      <c r="P211" t="n">
        <v>0</v>
      </c>
      <c r="Q211" t="n">
        <v>0</v>
      </c>
      <c r="R211" s="2" t="inlineStr"/>
    </row>
    <row r="212" ht="15" customHeight="1">
      <c r="A212" t="inlineStr">
        <is>
          <t>A 55412-2022</t>
        </is>
      </c>
      <c r="B212" s="1" t="n">
        <v>44882</v>
      </c>
      <c r="C212" s="1" t="n">
        <v>46192</v>
      </c>
      <c r="D212" t="inlineStr">
        <is>
          <t>SKÅNE LÄN</t>
        </is>
      </c>
      <c r="E212" t="inlineStr">
        <is>
          <t>HÄSSLEHOLM</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53576-2022</t>
        </is>
      </c>
      <c r="B213" s="1" t="n">
        <v>44875</v>
      </c>
      <c r="C213" s="1" t="n">
        <v>46192</v>
      </c>
      <c r="D213" t="inlineStr">
        <is>
          <t>SKÅNE LÄN</t>
        </is>
      </c>
      <c r="E213" t="inlineStr">
        <is>
          <t>HÄSSLEHOLM</t>
        </is>
      </c>
      <c r="F213" t="inlineStr">
        <is>
          <t>Övriga Aktiebolag</t>
        </is>
      </c>
      <c r="G213" t="n">
        <v>1.2</v>
      </c>
      <c r="H213" t="n">
        <v>0</v>
      </c>
      <c r="I213" t="n">
        <v>0</v>
      </c>
      <c r="J213" t="n">
        <v>0</v>
      </c>
      <c r="K213" t="n">
        <v>0</v>
      </c>
      <c r="L213" t="n">
        <v>0</v>
      </c>
      <c r="M213" t="n">
        <v>0</v>
      </c>
      <c r="N213" t="n">
        <v>0</v>
      </c>
      <c r="O213" t="n">
        <v>0</v>
      </c>
      <c r="P213" t="n">
        <v>0</v>
      </c>
      <c r="Q213" t="n">
        <v>0</v>
      </c>
      <c r="R213" s="2" t="inlineStr"/>
    </row>
    <row r="214" ht="15" customHeight="1">
      <c r="A214" t="inlineStr">
        <is>
          <t>A 6253-2022</t>
        </is>
      </c>
      <c r="B214" s="1" t="n">
        <v>44600</v>
      </c>
      <c r="C214" s="1" t="n">
        <v>46192</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7890-2024</t>
        </is>
      </c>
      <c r="B215" s="1" t="n">
        <v>45350</v>
      </c>
      <c r="C215" s="1" t="n">
        <v>46192</v>
      </c>
      <c r="D215" t="inlineStr">
        <is>
          <t>SKÅNE LÄN</t>
        </is>
      </c>
      <c r="E215" t="inlineStr">
        <is>
          <t>HÄSSLEHOLM</t>
        </is>
      </c>
      <c r="G215" t="n">
        <v>1.4</v>
      </c>
      <c r="H215" t="n">
        <v>0</v>
      </c>
      <c r="I215" t="n">
        <v>0</v>
      </c>
      <c r="J215" t="n">
        <v>0</v>
      </c>
      <c r="K215" t="n">
        <v>0</v>
      </c>
      <c r="L215" t="n">
        <v>0</v>
      </c>
      <c r="M215" t="n">
        <v>0</v>
      </c>
      <c r="N215" t="n">
        <v>0</v>
      </c>
      <c r="O215" t="n">
        <v>0</v>
      </c>
      <c r="P215" t="n">
        <v>0</v>
      </c>
      <c r="Q215" t="n">
        <v>0</v>
      </c>
      <c r="R215" s="2" t="inlineStr"/>
    </row>
    <row r="216" ht="15" customHeight="1">
      <c r="A216" t="inlineStr">
        <is>
          <t>A 57963-2023</t>
        </is>
      </c>
      <c r="B216" s="1" t="n">
        <v>45247</v>
      </c>
      <c r="C216" s="1" t="n">
        <v>46192</v>
      </c>
      <c r="D216" t="inlineStr">
        <is>
          <t>SKÅNE LÄN</t>
        </is>
      </c>
      <c r="E216" t="inlineStr">
        <is>
          <t>HÄSSLEHOLM</t>
        </is>
      </c>
      <c r="G216" t="n">
        <v>4.6</v>
      </c>
      <c r="H216" t="n">
        <v>0</v>
      </c>
      <c r="I216" t="n">
        <v>0</v>
      </c>
      <c r="J216" t="n">
        <v>0</v>
      </c>
      <c r="K216" t="n">
        <v>0</v>
      </c>
      <c r="L216" t="n">
        <v>0</v>
      </c>
      <c r="M216" t="n">
        <v>0</v>
      </c>
      <c r="N216" t="n">
        <v>0</v>
      </c>
      <c r="O216" t="n">
        <v>0</v>
      </c>
      <c r="P216" t="n">
        <v>0</v>
      </c>
      <c r="Q216" t="n">
        <v>0</v>
      </c>
      <c r="R216" s="2" t="inlineStr"/>
    </row>
    <row r="217" ht="15" customHeight="1">
      <c r="A217" t="inlineStr">
        <is>
          <t>A 57033-2022</t>
        </is>
      </c>
      <c r="B217" s="1" t="n">
        <v>44895</v>
      </c>
      <c r="C217" s="1" t="n">
        <v>46192</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35845-2022</t>
        </is>
      </c>
      <c r="B218" s="1" t="n">
        <v>44802</v>
      </c>
      <c r="C218" s="1" t="n">
        <v>46192</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24241-2023</t>
        </is>
      </c>
      <c r="B219" s="1" t="n">
        <v>45079</v>
      </c>
      <c r="C219" s="1" t="n">
        <v>46192</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1560-2023</t>
        </is>
      </c>
      <c r="B220" s="1" t="n">
        <v>44937</v>
      </c>
      <c r="C220" s="1" t="n">
        <v>46192</v>
      </c>
      <c r="D220" t="inlineStr">
        <is>
          <t>SKÅNE LÄN</t>
        </is>
      </c>
      <c r="E220" t="inlineStr">
        <is>
          <t>HÄSSLEHOLM</t>
        </is>
      </c>
      <c r="G220" t="n">
        <v>6.8</v>
      </c>
      <c r="H220" t="n">
        <v>0</v>
      </c>
      <c r="I220" t="n">
        <v>0</v>
      </c>
      <c r="J220" t="n">
        <v>0</v>
      </c>
      <c r="K220" t="n">
        <v>0</v>
      </c>
      <c r="L220" t="n">
        <v>0</v>
      </c>
      <c r="M220" t="n">
        <v>0</v>
      </c>
      <c r="N220" t="n">
        <v>0</v>
      </c>
      <c r="O220" t="n">
        <v>0</v>
      </c>
      <c r="P220" t="n">
        <v>0</v>
      </c>
      <c r="Q220" t="n">
        <v>0</v>
      </c>
      <c r="R220" s="2" t="inlineStr"/>
    </row>
    <row r="221" ht="15" customHeight="1">
      <c r="A221" t="inlineStr">
        <is>
          <t>A 22140-2023</t>
        </is>
      </c>
      <c r="B221" s="1" t="n">
        <v>45065</v>
      </c>
      <c r="C221" s="1" t="n">
        <v>46192</v>
      </c>
      <c r="D221" t="inlineStr">
        <is>
          <t>SKÅNE LÄN</t>
        </is>
      </c>
      <c r="E221" t="inlineStr">
        <is>
          <t>HÄSSLEHOLM</t>
        </is>
      </c>
      <c r="G221" t="n">
        <v>6.7</v>
      </c>
      <c r="H221" t="n">
        <v>0</v>
      </c>
      <c r="I221" t="n">
        <v>0</v>
      </c>
      <c r="J221" t="n">
        <v>0</v>
      </c>
      <c r="K221" t="n">
        <v>0</v>
      </c>
      <c r="L221" t="n">
        <v>0</v>
      </c>
      <c r="M221" t="n">
        <v>0</v>
      </c>
      <c r="N221" t="n">
        <v>0</v>
      </c>
      <c r="O221" t="n">
        <v>0</v>
      </c>
      <c r="P221" t="n">
        <v>0</v>
      </c>
      <c r="Q221" t="n">
        <v>0</v>
      </c>
      <c r="R221" s="2" t="inlineStr"/>
    </row>
    <row r="222" ht="15" customHeight="1">
      <c r="A222" t="inlineStr">
        <is>
          <t>A 7653-2024</t>
        </is>
      </c>
      <c r="B222" s="1" t="n">
        <v>45348</v>
      </c>
      <c r="C222" s="1" t="n">
        <v>46192</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24679-2023</t>
        </is>
      </c>
      <c r="B223" s="1" t="n">
        <v>45084</v>
      </c>
      <c r="C223" s="1" t="n">
        <v>46192</v>
      </c>
      <c r="D223" t="inlineStr">
        <is>
          <t>SKÅNE LÄN</t>
        </is>
      </c>
      <c r="E223" t="inlineStr">
        <is>
          <t>HÄSSLEHOLM</t>
        </is>
      </c>
      <c r="G223" t="n">
        <v>7.1</v>
      </c>
      <c r="H223" t="n">
        <v>0</v>
      </c>
      <c r="I223" t="n">
        <v>0</v>
      </c>
      <c r="J223" t="n">
        <v>0</v>
      </c>
      <c r="K223" t="n">
        <v>0</v>
      </c>
      <c r="L223" t="n">
        <v>0</v>
      </c>
      <c r="M223" t="n">
        <v>0</v>
      </c>
      <c r="N223" t="n">
        <v>0</v>
      </c>
      <c r="O223" t="n">
        <v>0</v>
      </c>
      <c r="P223" t="n">
        <v>0</v>
      </c>
      <c r="Q223" t="n">
        <v>0</v>
      </c>
      <c r="R223" s="2" t="inlineStr"/>
    </row>
    <row r="224" ht="15" customHeight="1">
      <c r="A224" t="inlineStr">
        <is>
          <t>A 7262-2022</t>
        </is>
      </c>
      <c r="B224" s="1" t="n">
        <v>44606</v>
      </c>
      <c r="C224" s="1" t="n">
        <v>46192</v>
      </c>
      <c r="D224" t="inlineStr">
        <is>
          <t>SKÅNE LÄN</t>
        </is>
      </c>
      <c r="E224" t="inlineStr">
        <is>
          <t>HÄSSLEHOLM</t>
        </is>
      </c>
      <c r="F224" t="inlineStr">
        <is>
          <t>Övriga Aktiebolag</t>
        </is>
      </c>
      <c r="G224" t="n">
        <v>1</v>
      </c>
      <c r="H224" t="n">
        <v>0</v>
      </c>
      <c r="I224" t="n">
        <v>0</v>
      </c>
      <c r="J224" t="n">
        <v>0</v>
      </c>
      <c r="K224" t="n">
        <v>0</v>
      </c>
      <c r="L224" t="n">
        <v>0</v>
      </c>
      <c r="M224" t="n">
        <v>0</v>
      </c>
      <c r="N224" t="n">
        <v>0</v>
      </c>
      <c r="O224" t="n">
        <v>0</v>
      </c>
      <c r="P224" t="n">
        <v>0</v>
      </c>
      <c r="Q224" t="n">
        <v>0</v>
      </c>
      <c r="R224" s="2" t="inlineStr"/>
    </row>
    <row r="225" ht="15" customHeight="1">
      <c r="A225" t="inlineStr">
        <is>
          <t>A 33597-2023</t>
        </is>
      </c>
      <c r="B225" s="1" t="n">
        <v>45132</v>
      </c>
      <c r="C225" s="1" t="n">
        <v>46192</v>
      </c>
      <c r="D225" t="inlineStr">
        <is>
          <t>SKÅNE LÄN</t>
        </is>
      </c>
      <c r="E225" t="inlineStr">
        <is>
          <t>HÄSSLEHOLM</t>
        </is>
      </c>
      <c r="G225" t="n">
        <v>3.9</v>
      </c>
      <c r="H225" t="n">
        <v>0</v>
      </c>
      <c r="I225" t="n">
        <v>0</v>
      </c>
      <c r="J225" t="n">
        <v>0</v>
      </c>
      <c r="K225" t="n">
        <v>0</v>
      </c>
      <c r="L225" t="n">
        <v>0</v>
      </c>
      <c r="M225" t="n">
        <v>0</v>
      </c>
      <c r="N225" t="n">
        <v>0</v>
      </c>
      <c r="O225" t="n">
        <v>0</v>
      </c>
      <c r="P225" t="n">
        <v>0</v>
      </c>
      <c r="Q225" t="n">
        <v>0</v>
      </c>
      <c r="R225" s="2" t="inlineStr"/>
    </row>
    <row r="226" ht="15" customHeight="1">
      <c r="A226" t="inlineStr">
        <is>
          <t>A 33599-2023</t>
        </is>
      </c>
      <c r="B226" s="1" t="n">
        <v>45132</v>
      </c>
      <c r="C226" s="1" t="n">
        <v>46192</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27173-2024</t>
        </is>
      </c>
      <c r="B227" s="1" t="n">
        <v>45471</v>
      </c>
      <c r="C227" s="1" t="n">
        <v>46192</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39366-2025</t>
        </is>
      </c>
      <c r="B228" s="1" t="n">
        <v>45889</v>
      </c>
      <c r="C228" s="1" t="n">
        <v>46192</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49219-2021</t>
        </is>
      </c>
      <c r="B229" s="1" t="n">
        <v>44454</v>
      </c>
      <c r="C229" s="1" t="n">
        <v>46192</v>
      </c>
      <c r="D229" t="inlineStr">
        <is>
          <t>SKÅNE LÄN</t>
        </is>
      </c>
      <c r="E229" t="inlineStr">
        <is>
          <t>HÄSSLEHOLM</t>
        </is>
      </c>
      <c r="G229" t="n">
        <v>7.8</v>
      </c>
      <c r="H229" t="n">
        <v>0</v>
      </c>
      <c r="I229" t="n">
        <v>0</v>
      </c>
      <c r="J229" t="n">
        <v>0</v>
      </c>
      <c r="K229" t="n">
        <v>0</v>
      </c>
      <c r="L229" t="n">
        <v>0</v>
      </c>
      <c r="M229" t="n">
        <v>0</v>
      </c>
      <c r="N229" t="n">
        <v>0</v>
      </c>
      <c r="O229" t="n">
        <v>0</v>
      </c>
      <c r="P229" t="n">
        <v>0</v>
      </c>
      <c r="Q229" t="n">
        <v>0</v>
      </c>
      <c r="R229" s="2" t="inlineStr"/>
    </row>
    <row r="230" ht="15" customHeight="1">
      <c r="A230" t="inlineStr">
        <is>
          <t>A 5890-2023</t>
        </is>
      </c>
      <c r="B230" s="1" t="n">
        <v>44963</v>
      </c>
      <c r="C230" s="1" t="n">
        <v>46192</v>
      </c>
      <c r="D230" t="inlineStr">
        <is>
          <t>SKÅNE LÄN</t>
        </is>
      </c>
      <c r="E230" t="inlineStr">
        <is>
          <t>HÄSSLEHOLM</t>
        </is>
      </c>
      <c r="G230" t="n">
        <v>1.6</v>
      </c>
      <c r="H230" t="n">
        <v>0</v>
      </c>
      <c r="I230" t="n">
        <v>0</v>
      </c>
      <c r="J230" t="n">
        <v>0</v>
      </c>
      <c r="K230" t="n">
        <v>0</v>
      </c>
      <c r="L230" t="n">
        <v>0</v>
      </c>
      <c r="M230" t="n">
        <v>0</v>
      </c>
      <c r="N230" t="n">
        <v>0</v>
      </c>
      <c r="O230" t="n">
        <v>0</v>
      </c>
      <c r="P230" t="n">
        <v>0</v>
      </c>
      <c r="Q230" t="n">
        <v>0</v>
      </c>
      <c r="R230" s="2" t="inlineStr"/>
    </row>
    <row r="231" ht="15" customHeight="1">
      <c r="A231" t="inlineStr">
        <is>
          <t>A 12936-2025</t>
        </is>
      </c>
      <c r="B231" s="1" t="n">
        <v>45734</v>
      </c>
      <c r="C231" s="1" t="n">
        <v>46192</v>
      </c>
      <c r="D231" t="inlineStr">
        <is>
          <t>SKÅNE LÄN</t>
        </is>
      </c>
      <c r="E231" t="inlineStr">
        <is>
          <t>HÄSSLEHOLM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56062-2024</t>
        </is>
      </c>
      <c r="B232" s="1" t="n">
        <v>45624</v>
      </c>
      <c r="C232" s="1" t="n">
        <v>46192</v>
      </c>
      <c r="D232" t="inlineStr">
        <is>
          <t>SKÅNE LÄN</t>
        </is>
      </c>
      <c r="E232" t="inlineStr">
        <is>
          <t>HÄSSLEHOLM</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41209-2023</t>
        </is>
      </c>
      <c r="B233" s="1" t="n">
        <v>45174</v>
      </c>
      <c r="C233" s="1" t="n">
        <v>46192</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64826-2021</t>
        </is>
      </c>
      <c r="B234" s="1" t="n">
        <v>44512</v>
      </c>
      <c r="C234" s="1" t="n">
        <v>46192</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57275-2023</t>
        </is>
      </c>
      <c r="B235" s="1" t="n">
        <v>45245</v>
      </c>
      <c r="C235" s="1" t="n">
        <v>46192</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70087-2021</t>
        </is>
      </c>
      <c r="B236" s="1" t="n">
        <v>44533</v>
      </c>
      <c r="C236" s="1" t="n">
        <v>46192</v>
      </c>
      <c r="D236" t="inlineStr">
        <is>
          <t>SKÅNE LÄN</t>
        </is>
      </c>
      <c r="E236" t="inlineStr">
        <is>
          <t>HÄSSLEHOLM</t>
        </is>
      </c>
      <c r="G236" t="n">
        <v>5</v>
      </c>
      <c r="H236" t="n">
        <v>0</v>
      </c>
      <c r="I236" t="n">
        <v>0</v>
      </c>
      <c r="J236" t="n">
        <v>0</v>
      </c>
      <c r="K236" t="n">
        <v>0</v>
      </c>
      <c r="L236" t="n">
        <v>0</v>
      </c>
      <c r="M236" t="n">
        <v>0</v>
      </c>
      <c r="N236" t="n">
        <v>0</v>
      </c>
      <c r="O236" t="n">
        <v>0</v>
      </c>
      <c r="P236" t="n">
        <v>0</v>
      </c>
      <c r="Q236" t="n">
        <v>0</v>
      </c>
      <c r="R236" s="2" t="inlineStr"/>
    </row>
    <row r="237" ht="15" customHeight="1">
      <c r="A237" t="inlineStr">
        <is>
          <t>A 8177-2022</t>
        </is>
      </c>
      <c r="B237" s="1" t="n">
        <v>44607</v>
      </c>
      <c r="C237" s="1" t="n">
        <v>46192</v>
      </c>
      <c r="D237" t="inlineStr">
        <is>
          <t>SKÅNE LÄN</t>
        </is>
      </c>
      <c r="E237" t="inlineStr">
        <is>
          <t>HÄSSLEHOLM</t>
        </is>
      </c>
      <c r="F237" t="inlineStr">
        <is>
          <t>Kyrkan</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25464-2022</t>
        </is>
      </c>
      <c r="B238" s="1" t="n">
        <v>44729</v>
      </c>
      <c r="C238" s="1" t="n">
        <v>46192</v>
      </c>
      <c r="D238" t="inlineStr">
        <is>
          <t>SKÅNE LÄN</t>
        </is>
      </c>
      <c r="E238" t="inlineStr">
        <is>
          <t>HÄSSLEHOLM</t>
        </is>
      </c>
      <c r="G238" t="n">
        <v>21</v>
      </c>
      <c r="H238" t="n">
        <v>0</v>
      </c>
      <c r="I238" t="n">
        <v>0</v>
      </c>
      <c r="J238" t="n">
        <v>0</v>
      </c>
      <c r="K238" t="n">
        <v>0</v>
      </c>
      <c r="L238" t="n">
        <v>0</v>
      </c>
      <c r="M238" t="n">
        <v>0</v>
      </c>
      <c r="N238" t="n">
        <v>0</v>
      </c>
      <c r="O238" t="n">
        <v>0</v>
      </c>
      <c r="P238" t="n">
        <v>0</v>
      </c>
      <c r="Q238" t="n">
        <v>0</v>
      </c>
      <c r="R238" s="2" t="inlineStr"/>
    </row>
    <row r="239" ht="15" customHeight="1">
      <c r="A239" t="inlineStr">
        <is>
          <t>A 53302-2022</t>
        </is>
      </c>
      <c r="B239" s="1" t="n">
        <v>44877</v>
      </c>
      <c r="C239" s="1" t="n">
        <v>46192</v>
      </c>
      <c r="D239" t="inlineStr">
        <is>
          <t>SKÅNE LÄN</t>
        </is>
      </c>
      <c r="E239" t="inlineStr">
        <is>
          <t>HÄSSLEHOLM</t>
        </is>
      </c>
      <c r="G239" t="n">
        <v>0.1</v>
      </c>
      <c r="H239" t="n">
        <v>0</v>
      </c>
      <c r="I239" t="n">
        <v>0</v>
      </c>
      <c r="J239" t="n">
        <v>0</v>
      </c>
      <c r="K239" t="n">
        <v>0</v>
      </c>
      <c r="L239" t="n">
        <v>0</v>
      </c>
      <c r="M239" t="n">
        <v>0</v>
      </c>
      <c r="N239" t="n">
        <v>0</v>
      </c>
      <c r="O239" t="n">
        <v>0</v>
      </c>
      <c r="P239" t="n">
        <v>0</v>
      </c>
      <c r="Q239" t="n">
        <v>0</v>
      </c>
      <c r="R239" s="2" t="inlineStr"/>
    </row>
    <row r="240" ht="15" customHeight="1">
      <c r="A240" t="inlineStr">
        <is>
          <t>A 27991-2024</t>
        </is>
      </c>
      <c r="B240" s="1" t="n">
        <v>45476</v>
      </c>
      <c r="C240" s="1" t="n">
        <v>46192</v>
      </c>
      <c r="D240" t="inlineStr">
        <is>
          <t>SKÅNE LÄN</t>
        </is>
      </c>
      <c r="E240" t="inlineStr">
        <is>
          <t>HÄSSLEHOLM</t>
        </is>
      </c>
      <c r="G240" t="n">
        <v>5.8</v>
      </c>
      <c r="H240" t="n">
        <v>0</v>
      </c>
      <c r="I240" t="n">
        <v>0</v>
      </c>
      <c r="J240" t="n">
        <v>0</v>
      </c>
      <c r="K240" t="n">
        <v>0</v>
      </c>
      <c r="L240" t="n">
        <v>0</v>
      </c>
      <c r="M240" t="n">
        <v>0</v>
      </c>
      <c r="N240" t="n">
        <v>0</v>
      </c>
      <c r="O240" t="n">
        <v>0</v>
      </c>
      <c r="P240" t="n">
        <v>0</v>
      </c>
      <c r="Q240" t="n">
        <v>0</v>
      </c>
      <c r="R240" s="2" t="inlineStr"/>
    </row>
    <row r="241" ht="15" customHeight="1">
      <c r="A241" t="inlineStr">
        <is>
          <t>A 21867-2023</t>
        </is>
      </c>
      <c r="B241" s="1" t="n">
        <v>45063</v>
      </c>
      <c r="C241" s="1" t="n">
        <v>46192</v>
      </c>
      <c r="D241" t="inlineStr">
        <is>
          <t>SKÅNE LÄN</t>
        </is>
      </c>
      <c r="E241" t="inlineStr">
        <is>
          <t>HÄSSLEHOLM</t>
        </is>
      </c>
      <c r="G241" t="n">
        <v>7.6</v>
      </c>
      <c r="H241" t="n">
        <v>0</v>
      </c>
      <c r="I241" t="n">
        <v>0</v>
      </c>
      <c r="J241" t="n">
        <v>0</v>
      </c>
      <c r="K241" t="n">
        <v>0</v>
      </c>
      <c r="L241" t="n">
        <v>0</v>
      </c>
      <c r="M241" t="n">
        <v>0</v>
      </c>
      <c r="N241" t="n">
        <v>0</v>
      </c>
      <c r="O241" t="n">
        <v>0</v>
      </c>
      <c r="P241" t="n">
        <v>0</v>
      </c>
      <c r="Q241" t="n">
        <v>0</v>
      </c>
      <c r="R241" s="2" t="inlineStr"/>
    </row>
    <row r="242" ht="15" customHeight="1">
      <c r="A242" t="inlineStr">
        <is>
          <t>A 9678-2025</t>
        </is>
      </c>
      <c r="B242" s="1" t="n">
        <v>45716</v>
      </c>
      <c r="C242" s="1" t="n">
        <v>46192</v>
      </c>
      <c r="D242" t="inlineStr">
        <is>
          <t>SKÅNE LÄN</t>
        </is>
      </c>
      <c r="E242" t="inlineStr">
        <is>
          <t>HÄSSLEHOLM</t>
        </is>
      </c>
      <c r="G242" t="n">
        <v>2.1</v>
      </c>
      <c r="H242" t="n">
        <v>0</v>
      </c>
      <c r="I242" t="n">
        <v>0</v>
      </c>
      <c r="J242" t="n">
        <v>0</v>
      </c>
      <c r="K242" t="n">
        <v>0</v>
      </c>
      <c r="L242" t="n">
        <v>0</v>
      </c>
      <c r="M242" t="n">
        <v>0</v>
      </c>
      <c r="N242" t="n">
        <v>0</v>
      </c>
      <c r="O242" t="n">
        <v>0</v>
      </c>
      <c r="P242" t="n">
        <v>0</v>
      </c>
      <c r="Q242" t="n">
        <v>0</v>
      </c>
      <c r="R242" s="2" t="inlineStr"/>
    </row>
    <row r="243" ht="15" customHeight="1">
      <c r="A243" t="inlineStr">
        <is>
          <t>A 31946-2023</t>
        </is>
      </c>
      <c r="B243" s="1" t="n">
        <v>45119</v>
      </c>
      <c r="C243" s="1" t="n">
        <v>46192</v>
      </c>
      <c r="D243" t="inlineStr">
        <is>
          <t>SKÅNE LÄN</t>
        </is>
      </c>
      <c r="E243" t="inlineStr">
        <is>
          <t>HÄSSLEHOLM</t>
        </is>
      </c>
      <c r="G243" t="n">
        <v>0.3</v>
      </c>
      <c r="H243" t="n">
        <v>0</v>
      </c>
      <c r="I243" t="n">
        <v>0</v>
      </c>
      <c r="J243" t="n">
        <v>0</v>
      </c>
      <c r="K243" t="n">
        <v>0</v>
      </c>
      <c r="L243" t="n">
        <v>0</v>
      </c>
      <c r="M243" t="n">
        <v>0</v>
      </c>
      <c r="N243" t="n">
        <v>0</v>
      </c>
      <c r="O243" t="n">
        <v>0</v>
      </c>
      <c r="P243" t="n">
        <v>0</v>
      </c>
      <c r="Q243" t="n">
        <v>0</v>
      </c>
      <c r="R243" s="2" t="inlineStr"/>
    </row>
    <row r="244" ht="15" customHeight="1">
      <c r="A244" t="inlineStr">
        <is>
          <t>A 5284-2023</t>
        </is>
      </c>
      <c r="B244" s="1" t="n">
        <v>44959</v>
      </c>
      <c r="C244" s="1" t="n">
        <v>46192</v>
      </c>
      <c r="D244" t="inlineStr">
        <is>
          <t>SKÅNE LÄN</t>
        </is>
      </c>
      <c r="E244" t="inlineStr">
        <is>
          <t>HÄSSLEHOLM</t>
        </is>
      </c>
      <c r="G244" t="n">
        <v>0.4</v>
      </c>
      <c r="H244" t="n">
        <v>0</v>
      </c>
      <c r="I244" t="n">
        <v>0</v>
      </c>
      <c r="J244" t="n">
        <v>0</v>
      </c>
      <c r="K244" t="n">
        <v>0</v>
      </c>
      <c r="L244" t="n">
        <v>0</v>
      </c>
      <c r="M244" t="n">
        <v>0</v>
      </c>
      <c r="N244" t="n">
        <v>0</v>
      </c>
      <c r="O244" t="n">
        <v>0</v>
      </c>
      <c r="P244" t="n">
        <v>0</v>
      </c>
      <c r="Q244" t="n">
        <v>0</v>
      </c>
      <c r="R244" s="2" t="inlineStr"/>
    </row>
    <row r="245" ht="15" customHeight="1">
      <c r="A245" t="inlineStr">
        <is>
          <t>A 5285-2023</t>
        </is>
      </c>
      <c r="B245" s="1" t="n">
        <v>44959</v>
      </c>
      <c r="C245" s="1" t="n">
        <v>46192</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34888-2023</t>
        </is>
      </c>
      <c r="B246" s="1" t="n">
        <v>45142</v>
      </c>
      <c r="C246" s="1" t="n">
        <v>46192</v>
      </c>
      <c r="D246" t="inlineStr">
        <is>
          <t>SKÅNE LÄN</t>
        </is>
      </c>
      <c r="E246" t="inlineStr">
        <is>
          <t>HÄSSLEHOLM</t>
        </is>
      </c>
      <c r="G246" t="n">
        <v>1.4</v>
      </c>
      <c r="H246" t="n">
        <v>0</v>
      </c>
      <c r="I246" t="n">
        <v>0</v>
      </c>
      <c r="J246" t="n">
        <v>0</v>
      </c>
      <c r="K246" t="n">
        <v>0</v>
      </c>
      <c r="L246" t="n">
        <v>0</v>
      </c>
      <c r="M246" t="n">
        <v>0</v>
      </c>
      <c r="N246" t="n">
        <v>0</v>
      </c>
      <c r="O246" t="n">
        <v>0</v>
      </c>
      <c r="P246" t="n">
        <v>0</v>
      </c>
      <c r="Q246" t="n">
        <v>0</v>
      </c>
      <c r="R246" s="2" t="inlineStr"/>
    </row>
    <row r="247" ht="15" customHeight="1">
      <c r="A247" t="inlineStr">
        <is>
          <t>A 54435-2024</t>
        </is>
      </c>
      <c r="B247" s="1" t="n">
        <v>45617</v>
      </c>
      <c r="C247" s="1" t="n">
        <v>46192</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48798-2023</t>
        </is>
      </c>
      <c r="B248" s="1" t="n">
        <v>45209</v>
      </c>
      <c r="C248" s="1" t="n">
        <v>46192</v>
      </c>
      <c r="D248" t="inlineStr">
        <is>
          <t>SKÅNE LÄN</t>
        </is>
      </c>
      <c r="E248" t="inlineStr">
        <is>
          <t>HÄSSLEHOLM</t>
        </is>
      </c>
      <c r="G248" t="n">
        <v>2.1</v>
      </c>
      <c r="H248" t="n">
        <v>0</v>
      </c>
      <c r="I248" t="n">
        <v>0</v>
      </c>
      <c r="J248" t="n">
        <v>0</v>
      </c>
      <c r="K248" t="n">
        <v>0</v>
      </c>
      <c r="L248" t="n">
        <v>0</v>
      </c>
      <c r="M248" t="n">
        <v>0</v>
      </c>
      <c r="N248" t="n">
        <v>0</v>
      </c>
      <c r="O248" t="n">
        <v>0</v>
      </c>
      <c r="P248" t="n">
        <v>0</v>
      </c>
      <c r="Q248" t="n">
        <v>0</v>
      </c>
      <c r="R248" s="2" t="inlineStr"/>
    </row>
    <row r="249" ht="15" customHeight="1">
      <c r="A249" t="inlineStr">
        <is>
          <t>A 58886-2024</t>
        </is>
      </c>
      <c r="B249" s="1" t="n">
        <v>45636</v>
      </c>
      <c r="C249" s="1" t="n">
        <v>46192</v>
      </c>
      <c r="D249" t="inlineStr">
        <is>
          <t>SKÅNE LÄN</t>
        </is>
      </c>
      <c r="E249" t="inlineStr">
        <is>
          <t>HÄSSLEHOLM</t>
        </is>
      </c>
      <c r="G249" t="n">
        <v>1.9</v>
      </c>
      <c r="H249" t="n">
        <v>0</v>
      </c>
      <c r="I249" t="n">
        <v>0</v>
      </c>
      <c r="J249" t="n">
        <v>0</v>
      </c>
      <c r="K249" t="n">
        <v>0</v>
      </c>
      <c r="L249" t="n">
        <v>0</v>
      </c>
      <c r="M249" t="n">
        <v>0</v>
      </c>
      <c r="N249" t="n">
        <v>0</v>
      </c>
      <c r="O249" t="n">
        <v>0</v>
      </c>
      <c r="P249" t="n">
        <v>0</v>
      </c>
      <c r="Q249" t="n">
        <v>0</v>
      </c>
      <c r="R249" s="2" t="inlineStr"/>
    </row>
    <row r="250" ht="15" customHeight="1">
      <c r="A250" t="inlineStr">
        <is>
          <t>A 13087-2023</t>
        </is>
      </c>
      <c r="B250" s="1" t="n">
        <v>45001</v>
      </c>
      <c r="C250" s="1" t="n">
        <v>46192</v>
      </c>
      <c r="D250" t="inlineStr">
        <is>
          <t>SKÅNE LÄN</t>
        </is>
      </c>
      <c r="E250" t="inlineStr">
        <is>
          <t>HÄSSLEHOLM</t>
        </is>
      </c>
      <c r="G250" t="n">
        <v>3.8</v>
      </c>
      <c r="H250" t="n">
        <v>0</v>
      </c>
      <c r="I250" t="n">
        <v>0</v>
      </c>
      <c r="J250" t="n">
        <v>0</v>
      </c>
      <c r="K250" t="n">
        <v>0</v>
      </c>
      <c r="L250" t="n">
        <v>0</v>
      </c>
      <c r="M250" t="n">
        <v>0</v>
      </c>
      <c r="N250" t="n">
        <v>0</v>
      </c>
      <c r="O250" t="n">
        <v>0</v>
      </c>
      <c r="P250" t="n">
        <v>0</v>
      </c>
      <c r="Q250" t="n">
        <v>0</v>
      </c>
      <c r="R250" s="2" t="inlineStr"/>
    </row>
    <row r="251" ht="15" customHeight="1">
      <c r="A251" t="inlineStr">
        <is>
          <t>A 48844-2023</t>
        </is>
      </c>
      <c r="B251" s="1" t="n">
        <v>45209</v>
      </c>
      <c r="C251" s="1" t="n">
        <v>46192</v>
      </c>
      <c r="D251" t="inlineStr">
        <is>
          <t>SKÅNE LÄN</t>
        </is>
      </c>
      <c r="E251" t="inlineStr">
        <is>
          <t>HÄSSLEHOLM</t>
        </is>
      </c>
      <c r="G251" t="n">
        <v>4</v>
      </c>
      <c r="H251" t="n">
        <v>0</v>
      </c>
      <c r="I251" t="n">
        <v>0</v>
      </c>
      <c r="J251" t="n">
        <v>0</v>
      </c>
      <c r="K251" t="n">
        <v>0</v>
      </c>
      <c r="L251" t="n">
        <v>0</v>
      </c>
      <c r="M251" t="n">
        <v>0</v>
      </c>
      <c r="N251" t="n">
        <v>0</v>
      </c>
      <c r="O251" t="n">
        <v>0</v>
      </c>
      <c r="P251" t="n">
        <v>0</v>
      </c>
      <c r="Q251" t="n">
        <v>0</v>
      </c>
      <c r="R251" s="2" t="inlineStr"/>
    </row>
    <row r="252" ht="15" customHeight="1">
      <c r="A252" t="inlineStr">
        <is>
          <t>A 46786-2025</t>
        </is>
      </c>
      <c r="B252" s="1" t="n">
        <v>45926</v>
      </c>
      <c r="C252" s="1" t="n">
        <v>46192</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47127-2025</t>
        </is>
      </c>
      <c r="B253" s="1" t="n">
        <v>45929</v>
      </c>
      <c r="C253" s="1" t="n">
        <v>46192</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48877-2024</t>
        </is>
      </c>
      <c r="B254" s="1" t="n">
        <v>45594</v>
      </c>
      <c r="C254" s="1" t="n">
        <v>46192</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45984-2021</t>
        </is>
      </c>
      <c r="B255" s="1" t="n">
        <v>44441</v>
      </c>
      <c r="C255" s="1" t="n">
        <v>46192</v>
      </c>
      <c r="D255" t="inlineStr">
        <is>
          <t>SKÅNE LÄN</t>
        </is>
      </c>
      <c r="E255" t="inlineStr">
        <is>
          <t>HÄSSLEHOLM</t>
        </is>
      </c>
      <c r="G255" t="n">
        <v>2.1</v>
      </c>
      <c r="H255" t="n">
        <v>0</v>
      </c>
      <c r="I255" t="n">
        <v>0</v>
      </c>
      <c r="J255" t="n">
        <v>0</v>
      </c>
      <c r="K255" t="n">
        <v>0</v>
      </c>
      <c r="L255" t="n">
        <v>0</v>
      </c>
      <c r="M255" t="n">
        <v>0</v>
      </c>
      <c r="N255" t="n">
        <v>0</v>
      </c>
      <c r="O255" t="n">
        <v>0</v>
      </c>
      <c r="P255" t="n">
        <v>0</v>
      </c>
      <c r="Q255" t="n">
        <v>0</v>
      </c>
      <c r="R255" s="2" t="inlineStr"/>
    </row>
    <row r="256" ht="15" customHeight="1">
      <c r="A256" t="inlineStr">
        <is>
          <t>A 8378-2023</t>
        </is>
      </c>
      <c r="B256" s="1" t="n">
        <v>44971</v>
      </c>
      <c r="C256" s="1" t="n">
        <v>46192</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20666-2023</t>
        </is>
      </c>
      <c r="B257" s="1" t="n">
        <v>45058</v>
      </c>
      <c r="C257" s="1" t="n">
        <v>46192</v>
      </c>
      <c r="D257" t="inlineStr">
        <is>
          <t>SKÅNE LÄN</t>
        </is>
      </c>
      <c r="E257" t="inlineStr">
        <is>
          <t>HÄSSLEHOLM</t>
        </is>
      </c>
      <c r="F257" t="inlineStr">
        <is>
          <t>Kyrkan</t>
        </is>
      </c>
      <c r="G257" t="n">
        <v>1.3</v>
      </c>
      <c r="H257" t="n">
        <v>0</v>
      </c>
      <c r="I257" t="n">
        <v>0</v>
      </c>
      <c r="J257" t="n">
        <v>0</v>
      </c>
      <c r="K257" t="n">
        <v>0</v>
      </c>
      <c r="L257" t="n">
        <v>0</v>
      </c>
      <c r="M257" t="n">
        <v>0</v>
      </c>
      <c r="N257" t="n">
        <v>0</v>
      </c>
      <c r="O257" t="n">
        <v>0</v>
      </c>
      <c r="P257" t="n">
        <v>0</v>
      </c>
      <c r="Q257" t="n">
        <v>0</v>
      </c>
      <c r="R257" s="2" t="inlineStr"/>
    </row>
    <row r="258" ht="15" customHeight="1">
      <c r="A258" t="inlineStr">
        <is>
          <t>A 59028-2023</t>
        </is>
      </c>
      <c r="B258" s="1" t="n">
        <v>45252</v>
      </c>
      <c r="C258" s="1" t="n">
        <v>46192</v>
      </c>
      <c r="D258" t="inlineStr">
        <is>
          <t>SKÅNE LÄN</t>
        </is>
      </c>
      <c r="E258" t="inlineStr">
        <is>
          <t>HÄSSLEHOLM</t>
        </is>
      </c>
      <c r="G258" t="n">
        <v>2.5</v>
      </c>
      <c r="H258" t="n">
        <v>0</v>
      </c>
      <c r="I258" t="n">
        <v>0</v>
      </c>
      <c r="J258" t="n">
        <v>0</v>
      </c>
      <c r="K258" t="n">
        <v>0</v>
      </c>
      <c r="L258" t="n">
        <v>0</v>
      </c>
      <c r="M258" t="n">
        <v>0</v>
      </c>
      <c r="N258" t="n">
        <v>0</v>
      </c>
      <c r="O258" t="n">
        <v>0</v>
      </c>
      <c r="P258" t="n">
        <v>0</v>
      </c>
      <c r="Q258" t="n">
        <v>0</v>
      </c>
      <c r="R258" s="2" t="inlineStr"/>
    </row>
    <row r="259" ht="15" customHeight="1">
      <c r="A259" t="inlineStr">
        <is>
          <t>A 46605-2025</t>
        </is>
      </c>
      <c r="B259" s="1" t="n">
        <v>45926</v>
      </c>
      <c r="C259" s="1" t="n">
        <v>46192</v>
      </c>
      <c r="D259" t="inlineStr">
        <is>
          <t>SKÅNE LÄN</t>
        </is>
      </c>
      <c r="E259" t="inlineStr">
        <is>
          <t>HÄSSLEHOLM</t>
        </is>
      </c>
      <c r="G259" t="n">
        <v>0.4</v>
      </c>
      <c r="H259" t="n">
        <v>0</v>
      </c>
      <c r="I259" t="n">
        <v>0</v>
      </c>
      <c r="J259" t="n">
        <v>0</v>
      </c>
      <c r="K259" t="n">
        <v>0</v>
      </c>
      <c r="L259" t="n">
        <v>0</v>
      </c>
      <c r="M259" t="n">
        <v>0</v>
      </c>
      <c r="N259" t="n">
        <v>0</v>
      </c>
      <c r="O259" t="n">
        <v>0</v>
      </c>
      <c r="P259" t="n">
        <v>0</v>
      </c>
      <c r="Q259" t="n">
        <v>0</v>
      </c>
      <c r="R259" s="2" t="inlineStr"/>
    </row>
    <row r="260" ht="15" customHeight="1">
      <c r="A260" t="inlineStr">
        <is>
          <t>A 8250-2023</t>
        </is>
      </c>
      <c r="B260" s="1" t="n">
        <v>44974</v>
      </c>
      <c r="C260" s="1" t="n">
        <v>46192</v>
      </c>
      <c r="D260" t="inlineStr">
        <is>
          <t>SKÅNE LÄN</t>
        </is>
      </c>
      <c r="E260" t="inlineStr">
        <is>
          <t>HÄSSLEHOLM</t>
        </is>
      </c>
      <c r="G260" t="n">
        <v>3</v>
      </c>
      <c r="H260" t="n">
        <v>0</v>
      </c>
      <c r="I260" t="n">
        <v>0</v>
      </c>
      <c r="J260" t="n">
        <v>0</v>
      </c>
      <c r="K260" t="n">
        <v>0</v>
      </c>
      <c r="L260" t="n">
        <v>0</v>
      </c>
      <c r="M260" t="n">
        <v>0</v>
      </c>
      <c r="N260" t="n">
        <v>0</v>
      </c>
      <c r="O260" t="n">
        <v>0</v>
      </c>
      <c r="P260" t="n">
        <v>0</v>
      </c>
      <c r="Q260" t="n">
        <v>0</v>
      </c>
      <c r="R260" s="2" t="inlineStr"/>
    </row>
    <row r="261" ht="15" customHeight="1">
      <c r="A261" t="inlineStr">
        <is>
          <t>A 24776-2025</t>
        </is>
      </c>
      <c r="B261" s="1" t="n">
        <v>45799</v>
      </c>
      <c r="C261" s="1" t="n">
        <v>46192</v>
      </c>
      <c r="D261" t="inlineStr">
        <is>
          <t>SKÅNE LÄN</t>
        </is>
      </c>
      <c r="E261" t="inlineStr">
        <is>
          <t>HÄSSLEHOLM</t>
        </is>
      </c>
      <c r="G261" t="n">
        <v>5.4</v>
      </c>
      <c r="H261" t="n">
        <v>0</v>
      </c>
      <c r="I261" t="n">
        <v>0</v>
      </c>
      <c r="J261" t="n">
        <v>0</v>
      </c>
      <c r="K261" t="n">
        <v>0</v>
      </c>
      <c r="L261" t="n">
        <v>0</v>
      </c>
      <c r="M261" t="n">
        <v>0</v>
      </c>
      <c r="N261" t="n">
        <v>0</v>
      </c>
      <c r="O261" t="n">
        <v>0</v>
      </c>
      <c r="P261" t="n">
        <v>0</v>
      </c>
      <c r="Q261" t="n">
        <v>0</v>
      </c>
      <c r="R261" s="2" t="inlineStr"/>
    </row>
    <row r="262" ht="15" customHeight="1">
      <c r="A262" t="inlineStr">
        <is>
          <t>A 57079-2022</t>
        </is>
      </c>
      <c r="B262" s="1" t="n">
        <v>44895</v>
      </c>
      <c r="C262" s="1" t="n">
        <v>46192</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20566-2023</t>
        </is>
      </c>
      <c r="B263" s="1" t="n">
        <v>45057</v>
      </c>
      <c r="C263" s="1" t="n">
        <v>46192</v>
      </c>
      <c r="D263" t="inlineStr">
        <is>
          <t>SKÅNE LÄN</t>
        </is>
      </c>
      <c r="E263" t="inlineStr">
        <is>
          <t>HÄSSLEHOLM</t>
        </is>
      </c>
      <c r="G263" t="n">
        <v>5.2</v>
      </c>
      <c r="H263" t="n">
        <v>0</v>
      </c>
      <c r="I263" t="n">
        <v>0</v>
      </c>
      <c r="J263" t="n">
        <v>0</v>
      </c>
      <c r="K263" t="n">
        <v>0</v>
      </c>
      <c r="L263" t="n">
        <v>0</v>
      </c>
      <c r="M263" t="n">
        <v>0</v>
      </c>
      <c r="N263" t="n">
        <v>0</v>
      </c>
      <c r="O263" t="n">
        <v>0</v>
      </c>
      <c r="P263" t="n">
        <v>0</v>
      </c>
      <c r="Q263" t="n">
        <v>0</v>
      </c>
      <c r="R263" s="2" t="inlineStr"/>
    </row>
    <row r="264" ht="15" customHeight="1">
      <c r="A264" t="inlineStr">
        <is>
          <t>A 39453-2025</t>
        </is>
      </c>
      <c r="B264" s="1" t="n">
        <v>45889</v>
      </c>
      <c r="C264" s="1" t="n">
        <v>46192</v>
      </c>
      <c r="D264" t="inlineStr">
        <is>
          <t>SKÅNE LÄN</t>
        </is>
      </c>
      <c r="E264" t="inlineStr">
        <is>
          <t>HÄSSLEHOLM</t>
        </is>
      </c>
      <c r="G264" t="n">
        <v>2.5</v>
      </c>
      <c r="H264" t="n">
        <v>0</v>
      </c>
      <c r="I264" t="n">
        <v>0</v>
      </c>
      <c r="J264" t="n">
        <v>0</v>
      </c>
      <c r="K264" t="n">
        <v>0</v>
      </c>
      <c r="L264" t="n">
        <v>0</v>
      </c>
      <c r="M264" t="n">
        <v>0</v>
      </c>
      <c r="N264" t="n">
        <v>0</v>
      </c>
      <c r="O264" t="n">
        <v>0</v>
      </c>
      <c r="P264" t="n">
        <v>0</v>
      </c>
      <c r="Q264" t="n">
        <v>0</v>
      </c>
      <c r="R264" s="2" t="inlineStr"/>
    </row>
    <row r="265" ht="15" customHeight="1">
      <c r="A265" t="inlineStr">
        <is>
          <t>A 45398-2024</t>
        </is>
      </c>
      <c r="B265" s="1" t="n">
        <v>45576</v>
      </c>
      <c r="C265" s="1" t="n">
        <v>46192</v>
      </c>
      <c r="D265" t="inlineStr">
        <is>
          <t>SKÅNE LÄN</t>
        </is>
      </c>
      <c r="E265" t="inlineStr">
        <is>
          <t>HÄSSLEHOLM</t>
        </is>
      </c>
      <c r="G265" t="n">
        <v>4.2</v>
      </c>
      <c r="H265" t="n">
        <v>0</v>
      </c>
      <c r="I265" t="n">
        <v>0</v>
      </c>
      <c r="J265" t="n">
        <v>0</v>
      </c>
      <c r="K265" t="n">
        <v>0</v>
      </c>
      <c r="L265" t="n">
        <v>0</v>
      </c>
      <c r="M265" t="n">
        <v>0</v>
      </c>
      <c r="N265" t="n">
        <v>0</v>
      </c>
      <c r="O265" t="n">
        <v>0</v>
      </c>
      <c r="P265" t="n">
        <v>0</v>
      </c>
      <c r="Q265" t="n">
        <v>0</v>
      </c>
      <c r="R265" s="2" t="inlineStr"/>
    </row>
    <row r="266" ht="15" customHeight="1">
      <c r="A266" t="inlineStr">
        <is>
          <t>A 34886-2023</t>
        </is>
      </c>
      <c r="B266" s="1" t="n">
        <v>45142</v>
      </c>
      <c r="C266" s="1" t="n">
        <v>46192</v>
      </c>
      <c r="D266" t="inlineStr">
        <is>
          <t>SKÅNE LÄN</t>
        </is>
      </c>
      <c r="E266" t="inlineStr">
        <is>
          <t>HÄSSLEHOLM</t>
        </is>
      </c>
      <c r="G266" t="n">
        <v>1.3</v>
      </c>
      <c r="H266" t="n">
        <v>0</v>
      </c>
      <c r="I266" t="n">
        <v>0</v>
      </c>
      <c r="J266" t="n">
        <v>0</v>
      </c>
      <c r="K266" t="n">
        <v>0</v>
      </c>
      <c r="L266" t="n">
        <v>0</v>
      </c>
      <c r="M266" t="n">
        <v>0</v>
      </c>
      <c r="N266" t="n">
        <v>0</v>
      </c>
      <c r="O266" t="n">
        <v>0</v>
      </c>
      <c r="P266" t="n">
        <v>0</v>
      </c>
      <c r="Q266" t="n">
        <v>0</v>
      </c>
      <c r="R266" s="2" t="inlineStr"/>
    </row>
    <row r="267" ht="15" customHeight="1">
      <c r="A267" t="inlineStr">
        <is>
          <t>A 25726-2025</t>
        </is>
      </c>
      <c r="B267" s="1" t="n">
        <v>45803</v>
      </c>
      <c r="C267" s="1" t="n">
        <v>46192</v>
      </c>
      <c r="D267" t="inlineStr">
        <is>
          <t>SKÅNE LÄN</t>
        </is>
      </c>
      <c r="E267" t="inlineStr">
        <is>
          <t>HÄSSLEHOLM</t>
        </is>
      </c>
      <c r="G267" t="n">
        <v>5.5</v>
      </c>
      <c r="H267" t="n">
        <v>0</v>
      </c>
      <c r="I267" t="n">
        <v>0</v>
      </c>
      <c r="J267" t="n">
        <v>0</v>
      </c>
      <c r="K267" t="n">
        <v>0</v>
      </c>
      <c r="L267" t="n">
        <v>0</v>
      </c>
      <c r="M267" t="n">
        <v>0</v>
      </c>
      <c r="N267" t="n">
        <v>0</v>
      </c>
      <c r="O267" t="n">
        <v>0</v>
      </c>
      <c r="P267" t="n">
        <v>0</v>
      </c>
      <c r="Q267" t="n">
        <v>0</v>
      </c>
      <c r="R267" s="2" t="inlineStr"/>
    </row>
    <row r="268" ht="15" customHeight="1">
      <c r="A268" t="inlineStr">
        <is>
          <t>A 2596-2024</t>
        </is>
      </c>
      <c r="B268" s="1" t="n">
        <v>45313</v>
      </c>
      <c r="C268" s="1" t="n">
        <v>46192</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4140-2023</t>
        </is>
      </c>
      <c r="B269" s="1" t="n">
        <v>44953</v>
      </c>
      <c r="C269" s="1" t="n">
        <v>46192</v>
      </c>
      <c r="D269" t="inlineStr">
        <is>
          <t>SKÅNE LÄN</t>
        </is>
      </c>
      <c r="E269" t="inlineStr">
        <is>
          <t>HÄSSLEHOLM</t>
        </is>
      </c>
      <c r="G269" t="n">
        <v>10.6</v>
      </c>
      <c r="H269" t="n">
        <v>0</v>
      </c>
      <c r="I269" t="n">
        <v>0</v>
      </c>
      <c r="J269" t="n">
        <v>0</v>
      </c>
      <c r="K269" t="n">
        <v>0</v>
      </c>
      <c r="L269" t="n">
        <v>0</v>
      </c>
      <c r="M269" t="n">
        <v>0</v>
      </c>
      <c r="N269" t="n">
        <v>0</v>
      </c>
      <c r="O269" t="n">
        <v>0</v>
      </c>
      <c r="P269" t="n">
        <v>0</v>
      </c>
      <c r="Q269" t="n">
        <v>0</v>
      </c>
      <c r="R269" s="2" t="inlineStr"/>
    </row>
    <row r="270" ht="15" customHeight="1">
      <c r="A270" t="inlineStr">
        <is>
          <t>A 6842-2023</t>
        </is>
      </c>
      <c r="B270" s="1" t="n">
        <v>44967</v>
      </c>
      <c r="C270" s="1" t="n">
        <v>46192</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50000-2023</t>
        </is>
      </c>
      <c r="B271" s="1" t="n">
        <v>45215</v>
      </c>
      <c r="C271" s="1" t="n">
        <v>46192</v>
      </c>
      <c r="D271" t="inlineStr">
        <is>
          <t>SKÅNE LÄN</t>
        </is>
      </c>
      <c r="E271" t="inlineStr">
        <is>
          <t>HÄSSLEHOLM</t>
        </is>
      </c>
      <c r="G271" t="n">
        <v>1.6</v>
      </c>
      <c r="H271" t="n">
        <v>0</v>
      </c>
      <c r="I271" t="n">
        <v>0</v>
      </c>
      <c r="J271" t="n">
        <v>0</v>
      </c>
      <c r="K271" t="n">
        <v>0</v>
      </c>
      <c r="L271" t="n">
        <v>0</v>
      </c>
      <c r="M271" t="n">
        <v>0</v>
      </c>
      <c r="N271" t="n">
        <v>0</v>
      </c>
      <c r="O271" t="n">
        <v>0</v>
      </c>
      <c r="P271" t="n">
        <v>0</v>
      </c>
      <c r="Q271" t="n">
        <v>0</v>
      </c>
      <c r="R271" s="2" t="inlineStr"/>
    </row>
    <row r="272" ht="15" customHeight="1">
      <c r="A272" t="inlineStr">
        <is>
          <t>A 48747-2022</t>
        </is>
      </c>
      <c r="B272" s="1" t="n">
        <v>44859</v>
      </c>
      <c r="C272" s="1" t="n">
        <v>46192</v>
      </c>
      <c r="D272" t="inlineStr">
        <is>
          <t>SKÅNE LÄN</t>
        </is>
      </c>
      <c r="E272" t="inlineStr">
        <is>
          <t>HÄSSLEHOLM</t>
        </is>
      </c>
      <c r="G272" t="n">
        <v>1.9</v>
      </c>
      <c r="H272" t="n">
        <v>0</v>
      </c>
      <c r="I272" t="n">
        <v>0</v>
      </c>
      <c r="J272" t="n">
        <v>0</v>
      </c>
      <c r="K272" t="n">
        <v>0</v>
      </c>
      <c r="L272" t="n">
        <v>0</v>
      </c>
      <c r="M272" t="n">
        <v>0</v>
      </c>
      <c r="N272" t="n">
        <v>0</v>
      </c>
      <c r="O272" t="n">
        <v>0</v>
      </c>
      <c r="P272" t="n">
        <v>0</v>
      </c>
      <c r="Q272" t="n">
        <v>0</v>
      </c>
      <c r="R272" s="2" t="inlineStr"/>
    </row>
    <row r="273" ht="15" customHeight="1">
      <c r="A273" t="inlineStr">
        <is>
          <t>A 39937-2025</t>
        </is>
      </c>
      <c r="B273" s="1" t="n">
        <v>45891</v>
      </c>
      <c r="C273" s="1" t="n">
        <v>46192</v>
      </c>
      <c r="D273" t="inlineStr">
        <is>
          <t>SKÅNE LÄN</t>
        </is>
      </c>
      <c r="E273" t="inlineStr">
        <is>
          <t>HÄSSLEHOLM</t>
        </is>
      </c>
      <c r="G273" t="n">
        <v>4.5</v>
      </c>
      <c r="H273" t="n">
        <v>0</v>
      </c>
      <c r="I273" t="n">
        <v>0</v>
      </c>
      <c r="J273" t="n">
        <v>0</v>
      </c>
      <c r="K273" t="n">
        <v>0</v>
      </c>
      <c r="L273" t="n">
        <v>0</v>
      </c>
      <c r="M273" t="n">
        <v>0</v>
      </c>
      <c r="N273" t="n">
        <v>0</v>
      </c>
      <c r="O273" t="n">
        <v>0</v>
      </c>
      <c r="P273" t="n">
        <v>0</v>
      </c>
      <c r="Q273" t="n">
        <v>0</v>
      </c>
      <c r="R273" s="2" t="inlineStr"/>
    </row>
    <row r="274" ht="15" customHeight="1">
      <c r="A274" t="inlineStr">
        <is>
          <t>A 48185-2025</t>
        </is>
      </c>
      <c r="B274" s="1" t="n">
        <v>45933</v>
      </c>
      <c r="C274" s="1" t="n">
        <v>46192</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50899-2024</t>
        </is>
      </c>
      <c r="B275" s="1" t="n">
        <v>45602</v>
      </c>
      <c r="C275" s="1" t="n">
        <v>46192</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13198-2025</t>
        </is>
      </c>
      <c r="B276" s="1" t="n">
        <v>45735</v>
      </c>
      <c r="C276" s="1" t="n">
        <v>46192</v>
      </c>
      <c r="D276" t="inlineStr">
        <is>
          <t>SKÅNE LÄN</t>
        </is>
      </c>
      <c r="E276" t="inlineStr">
        <is>
          <t>HÄSSLEHOLM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48722-2025</t>
        </is>
      </c>
      <c r="B277" s="1" t="n">
        <v>45935</v>
      </c>
      <c r="C277" s="1" t="n">
        <v>46192</v>
      </c>
      <c r="D277" t="inlineStr">
        <is>
          <t>SKÅNE LÄN</t>
        </is>
      </c>
      <c r="E277" t="inlineStr">
        <is>
          <t>HÄSSLEHOLM</t>
        </is>
      </c>
      <c r="G277" t="n">
        <v>4.3</v>
      </c>
      <c r="H277" t="n">
        <v>0</v>
      </c>
      <c r="I277" t="n">
        <v>0</v>
      </c>
      <c r="J277" t="n">
        <v>0</v>
      </c>
      <c r="K277" t="n">
        <v>0</v>
      </c>
      <c r="L277" t="n">
        <v>0</v>
      </c>
      <c r="M277" t="n">
        <v>0</v>
      </c>
      <c r="N277" t="n">
        <v>0</v>
      </c>
      <c r="O277" t="n">
        <v>0</v>
      </c>
      <c r="P277" t="n">
        <v>0</v>
      </c>
      <c r="Q277" t="n">
        <v>0</v>
      </c>
      <c r="R277" s="2" t="inlineStr"/>
    </row>
    <row r="278" ht="15" customHeight="1">
      <c r="A278" t="inlineStr">
        <is>
          <t>A 50616-2023</t>
        </is>
      </c>
      <c r="B278" s="1" t="n">
        <v>45210</v>
      </c>
      <c r="C278" s="1" t="n">
        <v>46192</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49137-2025</t>
        </is>
      </c>
      <c r="B279" s="1" t="n">
        <v>45938</v>
      </c>
      <c r="C279" s="1" t="n">
        <v>46192</v>
      </c>
      <c r="D279" t="inlineStr">
        <is>
          <t>SKÅNE LÄN</t>
        </is>
      </c>
      <c r="E279" t="inlineStr">
        <is>
          <t>HÄSSLEHOLM</t>
        </is>
      </c>
      <c r="G279" t="n">
        <v>1.8</v>
      </c>
      <c r="H279" t="n">
        <v>0</v>
      </c>
      <c r="I279" t="n">
        <v>0</v>
      </c>
      <c r="J279" t="n">
        <v>0</v>
      </c>
      <c r="K279" t="n">
        <v>0</v>
      </c>
      <c r="L279" t="n">
        <v>0</v>
      </c>
      <c r="M279" t="n">
        <v>0</v>
      </c>
      <c r="N279" t="n">
        <v>0</v>
      </c>
      <c r="O279" t="n">
        <v>0</v>
      </c>
      <c r="P279" t="n">
        <v>0</v>
      </c>
      <c r="Q279" t="n">
        <v>0</v>
      </c>
      <c r="R279" s="2" t="inlineStr"/>
    </row>
    <row r="280" ht="15" customHeight="1">
      <c r="A280" t="inlineStr">
        <is>
          <t>A 49107-2023</t>
        </is>
      </c>
      <c r="B280" s="1" t="n">
        <v>45210</v>
      </c>
      <c r="C280" s="1" t="n">
        <v>46192</v>
      </c>
      <c r="D280" t="inlineStr">
        <is>
          <t>SKÅNE LÄN</t>
        </is>
      </c>
      <c r="E280" t="inlineStr">
        <is>
          <t>HÄSSLEHOLM</t>
        </is>
      </c>
      <c r="G280" t="n">
        <v>0.3</v>
      </c>
      <c r="H280" t="n">
        <v>0</v>
      </c>
      <c r="I280" t="n">
        <v>0</v>
      </c>
      <c r="J280" t="n">
        <v>0</v>
      </c>
      <c r="K280" t="n">
        <v>0</v>
      </c>
      <c r="L280" t="n">
        <v>0</v>
      </c>
      <c r="M280" t="n">
        <v>0</v>
      </c>
      <c r="N280" t="n">
        <v>0</v>
      </c>
      <c r="O280" t="n">
        <v>0</v>
      </c>
      <c r="P280" t="n">
        <v>0</v>
      </c>
      <c r="Q280" t="n">
        <v>0</v>
      </c>
      <c r="R280" s="2" t="inlineStr"/>
    </row>
    <row r="281" ht="15" customHeight="1">
      <c r="A281" t="inlineStr">
        <is>
          <t>A 41400-2025</t>
        </is>
      </c>
      <c r="B281" s="1" t="n">
        <v>45901</v>
      </c>
      <c r="C281" s="1" t="n">
        <v>46192</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65235-2021</t>
        </is>
      </c>
      <c r="B282" s="1" t="n">
        <v>44515</v>
      </c>
      <c r="C282" s="1" t="n">
        <v>46192</v>
      </c>
      <c r="D282" t="inlineStr">
        <is>
          <t>SKÅNE LÄN</t>
        </is>
      </c>
      <c r="E282" t="inlineStr">
        <is>
          <t>HÄSSLEHOLM</t>
        </is>
      </c>
      <c r="G282" t="n">
        <v>2.5</v>
      </c>
      <c r="H282" t="n">
        <v>0</v>
      </c>
      <c r="I282" t="n">
        <v>0</v>
      </c>
      <c r="J282" t="n">
        <v>0</v>
      </c>
      <c r="K282" t="n">
        <v>0</v>
      </c>
      <c r="L282" t="n">
        <v>0</v>
      </c>
      <c r="M282" t="n">
        <v>0</v>
      </c>
      <c r="N282" t="n">
        <v>0</v>
      </c>
      <c r="O282" t="n">
        <v>0</v>
      </c>
      <c r="P282" t="n">
        <v>0</v>
      </c>
      <c r="Q282" t="n">
        <v>0</v>
      </c>
      <c r="R282" s="2" t="inlineStr"/>
    </row>
    <row r="283" ht="15" customHeight="1">
      <c r="A283" t="inlineStr">
        <is>
          <t>A 41401-2025</t>
        </is>
      </c>
      <c r="B283" s="1" t="n">
        <v>45901</v>
      </c>
      <c r="C283" s="1" t="n">
        <v>46192</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51245-2023</t>
        </is>
      </c>
      <c r="B284" s="1" t="n">
        <v>45212</v>
      </c>
      <c r="C284" s="1" t="n">
        <v>46192</v>
      </c>
      <c r="D284" t="inlineStr">
        <is>
          <t>SKÅNE LÄN</t>
        </is>
      </c>
      <c r="E284" t="inlineStr">
        <is>
          <t>HÄSSLEHOLM</t>
        </is>
      </c>
      <c r="G284" t="n">
        <v>2.1</v>
      </c>
      <c r="H284" t="n">
        <v>0</v>
      </c>
      <c r="I284" t="n">
        <v>0</v>
      </c>
      <c r="J284" t="n">
        <v>0</v>
      </c>
      <c r="K284" t="n">
        <v>0</v>
      </c>
      <c r="L284" t="n">
        <v>0</v>
      </c>
      <c r="M284" t="n">
        <v>0</v>
      </c>
      <c r="N284" t="n">
        <v>0</v>
      </c>
      <c r="O284" t="n">
        <v>0</v>
      </c>
      <c r="P284" t="n">
        <v>0</v>
      </c>
      <c r="Q284" t="n">
        <v>0</v>
      </c>
      <c r="R284" s="2" t="inlineStr"/>
    </row>
    <row r="285" ht="15" customHeight="1">
      <c r="A285" t="inlineStr">
        <is>
          <t>A 51040-2024</t>
        </is>
      </c>
      <c r="B285" s="1" t="n">
        <v>45603</v>
      </c>
      <c r="C285" s="1" t="n">
        <v>46192</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31934-2024</t>
        </is>
      </c>
      <c r="B286" s="1" t="n">
        <v>45510</v>
      </c>
      <c r="C286" s="1" t="n">
        <v>46192</v>
      </c>
      <c r="D286" t="inlineStr">
        <is>
          <t>SKÅNE LÄN</t>
        </is>
      </c>
      <c r="E286" t="inlineStr">
        <is>
          <t>HÄSSLEHOLM</t>
        </is>
      </c>
      <c r="G286" t="n">
        <v>1.9</v>
      </c>
      <c r="H286" t="n">
        <v>0</v>
      </c>
      <c r="I286" t="n">
        <v>0</v>
      </c>
      <c r="J286" t="n">
        <v>0</v>
      </c>
      <c r="K286" t="n">
        <v>0</v>
      </c>
      <c r="L286" t="n">
        <v>0</v>
      </c>
      <c r="M286" t="n">
        <v>0</v>
      </c>
      <c r="N286" t="n">
        <v>0</v>
      </c>
      <c r="O286" t="n">
        <v>0</v>
      </c>
      <c r="P286" t="n">
        <v>0</v>
      </c>
      <c r="Q286" t="n">
        <v>0</v>
      </c>
      <c r="R286" s="2" t="inlineStr"/>
    </row>
    <row r="287" ht="15" customHeight="1">
      <c r="A287" t="inlineStr">
        <is>
          <t>A 49845-2025</t>
        </is>
      </c>
      <c r="B287" s="1" t="n">
        <v>45940</v>
      </c>
      <c r="C287" s="1" t="n">
        <v>46192</v>
      </c>
      <c r="D287" t="inlineStr">
        <is>
          <t>SKÅNE LÄN</t>
        </is>
      </c>
      <c r="E287" t="inlineStr">
        <is>
          <t>HÄSSLEHOLM</t>
        </is>
      </c>
      <c r="G287" t="n">
        <v>1.1</v>
      </c>
      <c r="H287" t="n">
        <v>0</v>
      </c>
      <c r="I287" t="n">
        <v>0</v>
      </c>
      <c r="J287" t="n">
        <v>0</v>
      </c>
      <c r="K287" t="n">
        <v>0</v>
      </c>
      <c r="L287" t="n">
        <v>0</v>
      </c>
      <c r="M287" t="n">
        <v>0</v>
      </c>
      <c r="N287" t="n">
        <v>0</v>
      </c>
      <c r="O287" t="n">
        <v>0</v>
      </c>
      <c r="P287" t="n">
        <v>0</v>
      </c>
      <c r="Q287" t="n">
        <v>0</v>
      </c>
      <c r="R287" s="2" t="inlineStr"/>
    </row>
    <row r="288" ht="15" customHeight="1">
      <c r="A288" t="inlineStr">
        <is>
          <t>A 59429-2023</t>
        </is>
      </c>
      <c r="B288" s="1" t="n">
        <v>45254</v>
      </c>
      <c r="C288" s="1" t="n">
        <v>46192</v>
      </c>
      <c r="D288" t="inlineStr">
        <is>
          <t>SKÅNE LÄN</t>
        </is>
      </c>
      <c r="E288" t="inlineStr">
        <is>
          <t>HÄSSLEHOLM</t>
        </is>
      </c>
      <c r="G288" t="n">
        <v>0</v>
      </c>
      <c r="H288" t="n">
        <v>0</v>
      </c>
      <c r="I288" t="n">
        <v>0</v>
      </c>
      <c r="J288" t="n">
        <v>0</v>
      </c>
      <c r="K288" t="n">
        <v>0</v>
      </c>
      <c r="L288" t="n">
        <v>0</v>
      </c>
      <c r="M288" t="n">
        <v>0</v>
      </c>
      <c r="N288" t="n">
        <v>0</v>
      </c>
      <c r="O288" t="n">
        <v>0</v>
      </c>
      <c r="P288" t="n">
        <v>0</v>
      </c>
      <c r="Q288" t="n">
        <v>0</v>
      </c>
      <c r="R288" s="2" t="inlineStr"/>
    </row>
    <row r="289" ht="15" customHeight="1">
      <c r="A289" t="inlineStr">
        <is>
          <t>A 1886-2025</t>
        </is>
      </c>
      <c r="B289" s="1" t="n">
        <v>45671</v>
      </c>
      <c r="C289" s="1" t="n">
        <v>46192</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15536-2025</t>
        </is>
      </c>
      <c r="B290" s="1" t="n">
        <v>45747</v>
      </c>
      <c r="C290" s="1" t="n">
        <v>46192</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24904-2025</t>
        </is>
      </c>
      <c r="B291" s="1" t="n">
        <v>45799</v>
      </c>
      <c r="C291" s="1" t="n">
        <v>46192</v>
      </c>
      <c r="D291" t="inlineStr">
        <is>
          <t>SKÅNE LÄN</t>
        </is>
      </c>
      <c r="E291" t="inlineStr">
        <is>
          <t>HÄSSLEHOLM</t>
        </is>
      </c>
      <c r="G291" t="n">
        <v>2.2</v>
      </c>
      <c r="H291" t="n">
        <v>0</v>
      </c>
      <c r="I291" t="n">
        <v>0</v>
      </c>
      <c r="J291" t="n">
        <v>0</v>
      </c>
      <c r="K291" t="n">
        <v>0</v>
      </c>
      <c r="L291" t="n">
        <v>0</v>
      </c>
      <c r="M291" t="n">
        <v>0</v>
      </c>
      <c r="N291" t="n">
        <v>0</v>
      </c>
      <c r="O291" t="n">
        <v>0</v>
      </c>
      <c r="P291" t="n">
        <v>0</v>
      </c>
      <c r="Q291" t="n">
        <v>0</v>
      </c>
      <c r="R291" s="2" t="inlineStr"/>
    </row>
    <row r="292" ht="15" customHeight="1">
      <c r="A292" t="inlineStr">
        <is>
          <t>A 60959-2022</t>
        </is>
      </c>
      <c r="B292" s="1" t="n">
        <v>44914</v>
      </c>
      <c r="C292" s="1" t="n">
        <v>46192</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42906-2022</t>
        </is>
      </c>
      <c r="B293" s="1" t="n">
        <v>44833</v>
      </c>
      <c r="C293" s="1" t="n">
        <v>46192</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49824-2024</t>
        </is>
      </c>
      <c r="B294" s="1" t="n">
        <v>45597</v>
      </c>
      <c r="C294" s="1" t="n">
        <v>46192</v>
      </c>
      <c r="D294" t="inlineStr">
        <is>
          <t>SKÅNE LÄN</t>
        </is>
      </c>
      <c r="E294" t="inlineStr">
        <is>
          <t>HÄSSLEHOLM</t>
        </is>
      </c>
      <c r="G294" t="n">
        <v>1.3</v>
      </c>
      <c r="H294" t="n">
        <v>0</v>
      </c>
      <c r="I294" t="n">
        <v>0</v>
      </c>
      <c r="J294" t="n">
        <v>0</v>
      </c>
      <c r="K294" t="n">
        <v>0</v>
      </c>
      <c r="L294" t="n">
        <v>0</v>
      </c>
      <c r="M294" t="n">
        <v>0</v>
      </c>
      <c r="N294" t="n">
        <v>0</v>
      </c>
      <c r="O294" t="n">
        <v>0</v>
      </c>
      <c r="P294" t="n">
        <v>0</v>
      </c>
      <c r="Q294" t="n">
        <v>0</v>
      </c>
      <c r="R294" s="2" t="inlineStr"/>
    </row>
    <row r="295" ht="15" customHeight="1">
      <c r="A295" t="inlineStr">
        <is>
          <t>A 31931-2024</t>
        </is>
      </c>
      <c r="B295" s="1" t="n">
        <v>45510</v>
      </c>
      <c r="C295" s="1" t="n">
        <v>46192</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50678-2025</t>
        </is>
      </c>
      <c r="B296" s="1" t="n">
        <v>45945</v>
      </c>
      <c r="C296" s="1" t="n">
        <v>46192</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15133-2023</t>
        </is>
      </c>
      <c r="B297" s="1" t="n">
        <v>45016</v>
      </c>
      <c r="C297" s="1" t="n">
        <v>46192</v>
      </c>
      <c r="D297" t="inlineStr">
        <is>
          <t>SKÅNE LÄN</t>
        </is>
      </c>
      <c r="E297" t="inlineStr">
        <is>
          <t>HÄSSLEHOLM</t>
        </is>
      </c>
      <c r="G297" t="n">
        <v>7.8</v>
      </c>
      <c r="H297" t="n">
        <v>0</v>
      </c>
      <c r="I297" t="n">
        <v>0</v>
      </c>
      <c r="J297" t="n">
        <v>0</v>
      </c>
      <c r="K297" t="n">
        <v>0</v>
      </c>
      <c r="L297" t="n">
        <v>0</v>
      </c>
      <c r="M297" t="n">
        <v>0</v>
      </c>
      <c r="N297" t="n">
        <v>0</v>
      </c>
      <c r="O297" t="n">
        <v>0</v>
      </c>
      <c r="P297" t="n">
        <v>0</v>
      </c>
      <c r="Q297" t="n">
        <v>0</v>
      </c>
      <c r="R297" s="2" t="inlineStr"/>
    </row>
    <row r="298" ht="15" customHeight="1">
      <c r="A298" t="inlineStr">
        <is>
          <t>A 34883-2023</t>
        </is>
      </c>
      <c r="B298" s="1" t="n">
        <v>45142</v>
      </c>
      <c r="C298" s="1" t="n">
        <v>46192</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50834-2025</t>
        </is>
      </c>
      <c r="B299" s="1" t="n">
        <v>45946</v>
      </c>
      <c r="C299" s="1" t="n">
        <v>46192</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20187-2023</t>
        </is>
      </c>
      <c r="B300" s="1" t="n">
        <v>45055</v>
      </c>
      <c r="C300" s="1" t="n">
        <v>46192</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50249-2024</t>
        </is>
      </c>
      <c r="B301" s="1" t="n">
        <v>45600</v>
      </c>
      <c r="C301" s="1" t="n">
        <v>46192</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51024-2025</t>
        </is>
      </c>
      <c r="B302" s="1" t="n">
        <v>45947</v>
      </c>
      <c r="C302" s="1" t="n">
        <v>46192</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54326-2022</t>
        </is>
      </c>
      <c r="B303" s="1" t="n">
        <v>44882</v>
      </c>
      <c r="C303" s="1" t="n">
        <v>46192</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58618-2024</t>
        </is>
      </c>
      <c r="B304" s="1" t="n">
        <v>45635</v>
      </c>
      <c r="C304" s="1" t="n">
        <v>46192</v>
      </c>
      <c r="D304" t="inlineStr">
        <is>
          <t>SKÅNE LÄN</t>
        </is>
      </c>
      <c r="E304" t="inlineStr">
        <is>
          <t>HÄSSLEHOLM</t>
        </is>
      </c>
      <c r="G304" t="n">
        <v>2.3</v>
      </c>
      <c r="H304" t="n">
        <v>0</v>
      </c>
      <c r="I304" t="n">
        <v>0</v>
      </c>
      <c r="J304" t="n">
        <v>0</v>
      </c>
      <c r="K304" t="n">
        <v>0</v>
      </c>
      <c r="L304" t="n">
        <v>0</v>
      </c>
      <c r="M304" t="n">
        <v>0</v>
      </c>
      <c r="N304" t="n">
        <v>0</v>
      </c>
      <c r="O304" t="n">
        <v>0</v>
      </c>
      <c r="P304" t="n">
        <v>0</v>
      </c>
      <c r="Q304" t="n">
        <v>0</v>
      </c>
      <c r="R304" s="2" t="inlineStr"/>
    </row>
    <row r="305" ht="15" customHeight="1">
      <c r="A305" t="inlineStr">
        <is>
          <t>A 54174-2022</t>
        </is>
      </c>
      <c r="B305" s="1" t="n">
        <v>44881</v>
      </c>
      <c r="C305" s="1" t="n">
        <v>46192</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11266-2025</t>
        </is>
      </c>
      <c r="B306" s="1" t="n">
        <v>45726</v>
      </c>
      <c r="C306" s="1" t="n">
        <v>46192</v>
      </c>
      <c r="D306" t="inlineStr">
        <is>
          <t>SKÅNE LÄN</t>
        </is>
      </c>
      <c r="E306" t="inlineStr">
        <is>
          <t>HÄSSLEHOLM</t>
        </is>
      </c>
      <c r="G306" t="n">
        <v>0.3</v>
      </c>
      <c r="H306" t="n">
        <v>0</v>
      </c>
      <c r="I306" t="n">
        <v>0</v>
      </c>
      <c r="J306" t="n">
        <v>0</v>
      </c>
      <c r="K306" t="n">
        <v>0</v>
      </c>
      <c r="L306" t="n">
        <v>0</v>
      </c>
      <c r="M306" t="n">
        <v>0</v>
      </c>
      <c r="N306" t="n">
        <v>0</v>
      </c>
      <c r="O306" t="n">
        <v>0</v>
      </c>
      <c r="P306" t="n">
        <v>0</v>
      </c>
      <c r="Q306" t="n">
        <v>0</v>
      </c>
      <c r="R306" s="2" t="inlineStr"/>
    </row>
    <row r="307" ht="15" customHeight="1">
      <c r="A307" t="inlineStr">
        <is>
          <t>A 38376-2022</t>
        </is>
      </c>
      <c r="B307" s="1" t="n">
        <v>44812</v>
      </c>
      <c r="C307" s="1" t="n">
        <v>46192</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42520-2025</t>
        </is>
      </c>
      <c r="B308" s="1" t="n">
        <v>45905</v>
      </c>
      <c r="C308" s="1" t="n">
        <v>46192</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51097-2025</t>
        </is>
      </c>
      <c r="B309" s="1" t="n">
        <v>45947</v>
      </c>
      <c r="C309" s="1" t="n">
        <v>46192</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54659-2023</t>
        </is>
      </c>
      <c r="B310" s="1" t="n">
        <v>45235</v>
      </c>
      <c r="C310" s="1" t="n">
        <v>46192</v>
      </c>
      <c r="D310" t="inlineStr">
        <is>
          <t>SKÅNE LÄN</t>
        </is>
      </c>
      <c r="E310" t="inlineStr">
        <is>
          <t>HÄSSLEHOLM</t>
        </is>
      </c>
      <c r="G310" t="n">
        <v>5</v>
      </c>
      <c r="H310" t="n">
        <v>0</v>
      </c>
      <c r="I310" t="n">
        <v>0</v>
      </c>
      <c r="J310" t="n">
        <v>0</v>
      </c>
      <c r="K310" t="n">
        <v>0</v>
      </c>
      <c r="L310" t="n">
        <v>0</v>
      </c>
      <c r="M310" t="n">
        <v>0</v>
      </c>
      <c r="N310" t="n">
        <v>0</v>
      </c>
      <c r="O310" t="n">
        <v>0</v>
      </c>
      <c r="P310" t="n">
        <v>0</v>
      </c>
      <c r="Q310" t="n">
        <v>0</v>
      </c>
      <c r="R310" s="2" t="inlineStr"/>
    </row>
    <row r="311" ht="15" customHeight="1">
      <c r="A311" t="inlineStr">
        <is>
          <t>A 51640-2025</t>
        </is>
      </c>
      <c r="B311" s="1" t="n">
        <v>45951</v>
      </c>
      <c r="C311" s="1" t="n">
        <v>46192</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32794-2021</t>
        </is>
      </c>
      <c r="B312" s="1" t="n">
        <v>44375</v>
      </c>
      <c r="C312" s="1" t="n">
        <v>46192</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15036-2024</t>
        </is>
      </c>
      <c r="B313" s="1" t="n">
        <v>45399</v>
      </c>
      <c r="C313" s="1" t="n">
        <v>46192</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12843-2023</t>
        </is>
      </c>
      <c r="B314" s="1" t="n">
        <v>45001</v>
      </c>
      <c r="C314" s="1" t="n">
        <v>46192</v>
      </c>
      <c r="D314" t="inlineStr">
        <is>
          <t>SKÅNE LÄN</t>
        </is>
      </c>
      <c r="E314" t="inlineStr">
        <is>
          <t>HÄSSLEHOLM</t>
        </is>
      </c>
      <c r="G314" t="n">
        <v>3.9</v>
      </c>
      <c r="H314" t="n">
        <v>0</v>
      </c>
      <c r="I314" t="n">
        <v>0</v>
      </c>
      <c r="J314" t="n">
        <v>0</v>
      </c>
      <c r="K314" t="n">
        <v>0</v>
      </c>
      <c r="L314" t="n">
        <v>0</v>
      </c>
      <c r="M314" t="n">
        <v>0</v>
      </c>
      <c r="N314" t="n">
        <v>0</v>
      </c>
      <c r="O314" t="n">
        <v>0</v>
      </c>
      <c r="P314" t="n">
        <v>0</v>
      </c>
      <c r="Q314" t="n">
        <v>0</v>
      </c>
      <c r="R314" s="2" t="inlineStr"/>
    </row>
    <row r="315" ht="15" customHeight="1">
      <c r="A315" t="inlineStr">
        <is>
          <t>A 9709-2023</t>
        </is>
      </c>
      <c r="B315" s="1" t="n">
        <v>44984</v>
      </c>
      <c r="C315" s="1" t="n">
        <v>46192</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2479-2024</t>
        </is>
      </c>
      <c r="B316" s="1" t="n">
        <v>45313</v>
      </c>
      <c r="C316" s="1" t="n">
        <v>46192</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8524-2024</t>
        </is>
      </c>
      <c r="B317" s="1" t="n">
        <v>45355</v>
      </c>
      <c r="C317" s="1" t="n">
        <v>46192</v>
      </c>
      <c r="D317" t="inlineStr">
        <is>
          <t>SKÅNE LÄN</t>
        </is>
      </c>
      <c r="E317" t="inlineStr">
        <is>
          <t>HÄSSLEHOLM</t>
        </is>
      </c>
      <c r="G317" t="n">
        <v>4</v>
      </c>
      <c r="H317" t="n">
        <v>0</v>
      </c>
      <c r="I317" t="n">
        <v>0</v>
      </c>
      <c r="J317" t="n">
        <v>0</v>
      </c>
      <c r="K317" t="n">
        <v>0</v>
      </c>
      <c r="L317" t="n">
        <v>0</v>
      </c>
      <c r="M317" t="n">
        <v>0</v>
      </c>
      <c r="N317" t="n">
        <v>0</v>
      </c>
      <c r="O317" t="n">
        <v>0</v>
      </c>
      <c r="P317" t="n">
        <v>0</v>
      </c>
      <c r="Q317" t="n">
        <v>0</v>
      </c>
      <c r="R317" s="2" t="inlineStr"/>
    </row>
    <row r="318" ht="15" customHeight="1">
      <c r="A318" t="inlineStr">
        <is>
          <t>A 26397-2023</t>
        </is>
      </c>
      <c r="B318" s="1" t="n">
        <v>45087</v>
      </c>
      <c r="C318" s="1" t="n">
        <v>46192</v>
      </c>
      <c r="D318" t="inlineStr">
        <is>
          <t>SKÅNE LÄN</t>
        </is>
      </c>
      <c r="E318" t="inlineStr">
        <is>
          <t>HÄSSLEHOLM</t>
        </is>
      </c>
      <c r="G318" t="n">
        <v>1.7</v>
      </c>
      <c r="H318" t="n">
        <v>0</v>
      </c>
      <c r="I318" t="n">
        <v>0</v>
      </c>
      <c r="J318" t="n">
        <v>0</v>
      </c>
      <c r="K318" t="n">
        <v>0</v>
      </c>
      <c r="L318" t="n">
        <v>0</v>
      </c>
      <c r="M318" t="n">
        <v>0</v>
      </c>
      <c r="N318" t="n">
        <v>0</v>
      </c>
      <c r="O318" t="n">
        <v>0</v>
      </c>
      <c r="P318" t="n">
        <v>0</v>
      </c>
      <c r="Q318" t="n">
        <v>0</v>
      </c>
      <c r="R318" s="2" t="inlineStr"/>
    </row>
    <row r="319" ht="15" customHeight="1">
      <c r="A319" t="inlineStr">
        <is>
          <t>A 1119-2024</t>
        </is>
      </c>
      <c r="B319" s="1" t="n">
        <v>45302</v>
      </c>
      <c r="C319" s="1" t="n">
        <v>46192</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58888-2024</t>
        </is>
      </c>
      <c r="B320" s="1" t="n">
        <v>45636</v>
      </c>
      <c r="C320" s="1" t="n">
        <v>46192</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16334-2024</t>
        </is>
      </c>
      <c r="B321" s="1" t="n">
        <v>45407</v>
      </c>
      <c r="C321" s="1" t="n">
        <v>46192</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3663-2024</t>
        </is>
      </c>
      <c r="B322" s="1" t="n">
        <v>45321</v>
      </c>
      <c r="C322" s="1" t="n">
        <v>46192</v>
      </c>
      <c r="D322" t="inlineStr">
        <is>
          <t>SKÅNE LÄN</t>
        </is>
      </c>
      <c r="E322" t="inlineStr">
        <is>
          <t>HÄSSLEHOLM</t>
        </is>
      </c>
      <c r="G322" t="n">
        <v>0.4</v>
      </c>
      <c r="H322" t="n">
        <v>0</v>
      </c>
      <c r="I322" t="n">
        <v>0</v>
      </c>
      <c r="J322" t="n">
        <v>0</v>
      </c>
      <c r="K322" t="n">
        <v>0</v>
      </c>
      <c r="L322" t="n">
        <v>0</v>
      </c>
      <c r="M322" t="n">
        <v>0</v>
      </c>
      <c r="N322" t="n">
        <v>0</v>
      </c>
      <c r="O322" t="n">
        <v>0</v>
      </c>
      <c r="P322" t="n">
        <v>0</v>
      </c>
      <c r="Q322" t="n">
        <v>0</v>
      </c>
      <c r="R322" s="2" t="inlineStr"/>
    </row>
    <row r="323" ht="15" customHeight="1">
      <c r="A323" t="inlineStr">
        <is>
          <t>A 23987-2024</t>
        </is>
      </c>
      <c r="B323" s="1" t="n">
        <v>45456</v>
      </c>
      <c r="C323" s="1" t="n">
        <v>46192</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4042-2023</t>
        </is>
      </c>
      <c r="B324" s="1" t="n">
        <v>44952</v>
      </c>
      <c r="C324" s="1" t="n">
        <v>46192</v>
      </c>
      <c r="D324" t="inlineStr">
        <is>
          <t>SKÅNE LÄN</t>
        </is>
      </c>
      <c r="E324" t="inlineStr">
        <is>
          <t>HÄSSLEHOLM</t>
        </is>
      </c>
      <c r="G324" t="n">
        <v>2.7</v>
      </c>
      <c r="H324" t="n">
        <v>0</v>
      </c>
      <c r="I324" t="n">
        <v>0</v>
      </c>
      <c r="J324" t="n">
        <v>0</v>
      </c>
      <c r="K324" t="n">
        <v>0</v>
      </c>
      <c r="L324" t="n">
        <v>0</v>
      </c>
      <c r="M324" t="n">
        <v>0</v>
      </c>
      <c r="N324" t="n">
        <v>0</v>
      </c>
      <c r="O324" t="n">
        <v>0</v>
      </c>
      <c r="P324" t="n">
        <v>0</v>
      </c>
      <c r="Q324" t="n">
        <v>0</v>
      </c>
      <c r="R324" s="2" t="inlineStr"/>
    </row>
    <row r="325" ht="15" customHeight="1">
      <c r="A325" t="inlineStr">
        <is>
          <t>A 9393-2025</t>
        </is>
      </c>
      <c r="B325" s="1" t="n">
        <v>45715</v>
      </c>
      <c r="C325" s="1" t="n">
        <v>46192</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31160-2024</t>
        </is>
      </c>
      <c r="B326" s="1" t="n">
        <v>45503</v>
      </c>
      <c r="C326" s="1" t="n">
        <v>46192</v>
      </c>
      <c r="D326" t="inlineStr">
        <is>
          <t>SKÅNE LÄN</t>
        </is>
      </c>
      <c r="E326" t="inlineStr">
        <is>
          <t>HÄSSLEHOLM</t>
        </is>
      </c>
      <c r="G326" t="n">
        <v>0.9</v>
      </c>
      <c r="H326" t="n">
        <v>0</v>
      </c>
      <c r="I326" t="n">
        <v>0</v>
      </c>
      <c r="J326" t="n">
        <v>0</v>
      </c>
      <c r="K326" t="n">
        <v>0</v>
      </c>
      <c r="L326" t="n">
        <v>0</v>
      </c>
      <c r="M326" t="n">
        <v>0</v>
      </c>
      <c r="N326" t="n">
        <v>0</v>
      </c>
      <c r="O326" t="n">
        <v>0</v>
      </c>
      <c r="P326" t="n">
        <v>0</v>
      </c>
      <c r="Q326" t="n">
        <v>0</v>
      </c>
      <c r="R326" s="2" t="inlineStr"/>
    </row>
    <row r="327" ht="15" customHeight="1">
      <c r="A327" t="inlineStr">
        <is>
          <t>A 15897-2025</t>
        </is>
      </c>
      <c r="B327" s="1" t="n">
        <v>45749</v>
      </c>
      <c r="C327" s="1" t="n">
        <v>46192</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5054-2022</t>
        </is>
      </c>
      <c r="B328" s="1" t="n">
        <v>44593</v>
      </c>
      <c r="C328" s="1" t="n">
        <v>46192</v>
      </c>
      <c r="D328" t="inlineStr">
        <is>
          <t>SKÅNE LÄN</t>
        </is>
      </c>
      <c r="E328" t="inlineStr">
        <is>
          <t>HÄSSLEHOLM</t>
        </is>
      </c>
      <c r="G328" t="n">
        <v>0.6</v>
      </c>
      <c r="H328" t="n">
        <v>0</v>
      </c>
      <c r="I328" t="n">
        <v>0</v>
      </c>
      <c r="J328" t="n">
        <v>0</v>
      </c>
      <c r="K328" t="n">
        <v>0</v>
      </c>
      <c r="L328" t="n">
        <v>0</v>
      </c>
      <c r="M328" t="n">
        <v>0</v>
      </c>
      <c r="N328" t="n">
        <v>0</v>
      </c>
      <c r="O328" t="n">
        <v>0</v>
      </c>
      <c r="P328" t="n">
        <v>0</v>
      </c>
      <c r="Q328" t="n">
        <v>0</v>
      </c>
      <c r="R328" s="2" t="inlineStr"/>
    </row>
    <row r="329" ht="15" customHeight="1">
      <c r="A329" t="inlineStr">
        <is>
          <t>A 54982-2024</t>
        </is>
      </c>
      <c r="B329" s="1" t="n">
        <v>45620</v>
      </c>
      <c r="C329" s="1" t="n">
        <v>46192</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31391-2023</t>
        </is>
      </c>
      <c r="B330" s="1" t="n">
        <v>45114</v>
      </c>
      <c r="C330" s="1" t="n">
        <v>46192</v>
      </c>
      <c r="D330" t="inlineStr">
        <is>
          <t>SKÅNE LÄN</t>
        </is>
      </c>
      <c r="E330" t="inlineStr">
        <is>
          <t>HÄSSLEHOLM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23723-2023</t>
        </is>
      </c>
      <c r="B331" s="1" t="n">
        <v>45077</v>
      </c>
      <c r="C331" s="1" t="n">
        <v>46192</v>
      </c>
      <c r="D331" t="inlineStr">
        <is>
          <t>SKÅNE LÄN</t>
        </is>
      </c>
      <c r="E331" t="inlineStr">
        <is>
          <t>HÄSSLEHOLM</t>
        </is>
      </c>
      <c r="G331" t="n">
        <v>3.9</v>
      </c>
      <c r="H331" t="n">
        <v>0</v>
      </c>
      <c r="I331" t="n">
        <v>0</v>
      </c>
      <c r="J331" t="n">
        <v>0</v>
      </c>
      <c r="K331" t="n">
        <v>0</v>
      </c>
      <c r="L331" t="n">
        <v>0</v>
      </c>
      <c r="M331" t="n">
        <v>0</v>
      </c>
      <c r="N331" t="n">
        <v>0</v>
      </c>
      <c r="O331" t="n">
        <v>0</v>
      </c>
      <c r="P331" t="n">
        <v>0</v>
      </c>
      <c r="Q331" t="n">
        <v>0</v>
      </c>
      <c r="R331" s="2" t="inlineStr"/>
    </row>
    <row r="332" ht="15" customHeight="1">
      <c r="A332" t="inlineStr">
        <is>
          <t>A 61182-2024</t>
        </is>
      </c>
      <c r="B332" s="1" t="n">
        <v>45645</v>
      </c>
      <c r="C332" s="1" t="n">
        <v>46192</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53424-2025</t>
        </is>
      </c>
      <c r="B333" s="1" t="n">
        <v>45959</v>
      </c>
      <c r="C333" s="1" t="n">
        <v>46192</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53018-2025</t>
        </is>
      </c>
      <c r="B334" s="1" t="n">
        <v>45957</v>
      </c>
      <c r="C334" s="1" t="n">
        <v>46192</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31933-2024</t>
        </is>
      </c>
      <c r="B335" s="1" t="n">
        <v>45510</v>
      </c>
      <c r="C335" s="1" t="n">
        <v>46192</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31581-2023</t>
        </is>
      </c>
      <c r="B336" s="1" t="n">
        <v>45117</v>
      </c>
      <c r="C336" s="1" t="n">
        <v>46192</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14255-2024</t>
        </is>
      </c>
      <c r="B337" s="1" t="n">
        <v>45393</v>
      </c>
      <c r="C337" s="1" t="n">
        <v>46192</v>
      </c>
      <c r="D337" t="inlineStr">
        <is>
          <t>SKÅNE LÄN</t>
        </is>
      </c>
      <c r="E337" t="inlineStr">
        <is>
          <t>HÄSSLEHOLM</t>
        </is>
      </c>
      <c r="G337" t="n">
        <v>11.9</v>
      </c>
      <c r="H337" t="n">
        <v>0</v>
      </c>
      <c r="I337" t="n">
        <v>0</v>
      </c>
      <c r="J337" t="n">
        <v>0</v>
      </c>
      <c r="K337" t="n">
        <v>0</v>
      </c>
      <c r="L337" t="n">
        <v>0</v>
      </c>
      <c r="M337" t="n">
        <v>0</v>
      </c>
      <c r="N337" t="n">
        <v>0</v>
      </c>
      <c r="O337" t="n">
        <v>0</v>
      </c>
      <c r="P337" t="n">
        <v>0</v>
      </c>
      <c r="Q337" t="n">
        <v>0</v>
      </c>
      <c r="R337" s="2" t="inlineStr"/>
    </row>
    <row r="338" ht="15" customHeight="1">
      <c r="A338" t="inlineStr">
        <is>
          <t>A 55303-2024</t>
        </is>
      </c>
      <c r="B338" s="1" t="n">
        <v>45621</v>
      </c>
      <c r="C338" s="1" t="n">
        <v>46192</v>
      </c>
      <c r="D338" t="inlineStr">
        <is>
          <t>SKÅNE LÄN</t>
        </is>
      </c>
      <c r="E338" t="inlineStr">
        <is>
          <t>HÄSSLEHOLM</t>
        </is>
      </c>
      <c r="G338" t="n">
        <v>3.3</v>
      </c>
      <c r="H338" t="n">
        <v>0</v>
      </c>
      <c r="I338" t="n">
        <v>0</v>
      </c>
      <c r="J338" t="n">
        <v>0</v>
      </c>
      <c r="K338" t="n">
        <v>0</v>
      </c>
      <c r="L338" t="n">
        <v>0</v>
      </c>
      <c r="M338" t="n">
        <v>0</v>
      </c>
      <c r="N338" t="n">
        <v>0</v>
      </c>
      <c r="O338" t="n">
        <v>0</v>
      </c>
      <c r="P338" t="n">
        <v>0</v>
      </c>
      <c r="Q338" t="n">
        <v>0</v>
      </c>
      <c r="R338" s="2" t="inlineStr"/>
    </row>
    <row r="339" ht="15" customHeight="1">
      <c r="A339" t="inlineStr">
        <is>
          <t>A 43516-2025</t>
        </is>
      </c>
      <c r="B339" s="1" t="n">
        <v>45911</v>
      </c>
      <c r="C339" s="1" t="n">
        <v>46192</v>
      </c>
      <c r="D339" t="inlineStr">
        <is>
          <t>SKÅNE LÄN</t>
        </is>
      </c>
      <c r="E339" t="inlineStr">
        <is>
          <t>HÄSSLEHOLM</t>
        </is>
      </c>
      <c r="G339" t="n">
        <v>2.4</v>
      </c>
      <c r="H339" t="n">
        <v>0</v>
      </c>
      <c r="I339" t="n">
        <v>0</v>
      </c>
      <c r="J339" t="n">
        <v>0</v>
      </c>
      <c r="K339" t="n">
        <v>0</v>
      </c>
      <c r="L339" t="n">
        <v>0</v>
      </c>
      <c r="M339" t="n">
        <v>0</v>
      </c>
      <c r="N339" t="n">
        <v>0</v>
      </c>
      <c r="O339" t="n">
        <v>0</v>
      </c>
      <c r="P339" t="n">
        <v>0</v>
      </c>
      <c r="Q339" t="n">
        <v>0</v>
      </c>
      <c r="R339" s="2" t="inlineStr"/>
    </row>
    <row r="340" ht="15" customHeight="1">
      <c r="A340" t="inlineStr">
        <is>
          <t>A 43332-2025</t>
        </is>
      </c>
      <c r="B340" s="1" t="n">
        <v>45910</v>
      </c>
      <c r="C340" s="1" t="n">
        <v>46192</v>
      </c>
      <c r="D340" t="inlineStr">
        <is>
          <t>SKÅNE LÄN</t>
        </is>
      </c>
      <c r="E340" t="inlineStr">
        <is>
          <t>HÄSSLEHOLM</t>
        </is>
      </c>
      <c r="G340" t="n">
        <v>0.5</v>
      </c>
      <c r="H340" t="n">
        <v>0</v>
      </c>
      <c r="I340" t="n">
        <v>0</v>
      </c>
      <c r="J340" t="n">
        <v>0</v>
      </c>
      <c r="K340" t="n">
        <v>0</v>
      </c>
      <c r="L340" t="n">
        <v>0</v>
      </c>
      <c r="M340" t="n">
        <v>0</v>
      </c>
      <c r="N340" t="n">
        <v>0</v>
      </c>
      <c r="O340" t="n">
        <v>0</v>
      </c>
      <c r="P340" t="n">
        <v>0</v>
      </c>
      <c r="Q340" t="n">
        <v>0</v>
      </c>
      <c r="R340" s="2" t="inlineStr"/>
    </row>
    <row r="341" ht="15" customHeight="1">
      <c r="A341" t="inlineStr">
        <is>
          <t>A 43869-2025</t>
        </is>
      </c>
      <c r="B341" s="1" t="n">
        <v>45912</v>
      </c>
      <c r="C341" s="1" t="n">
        <v>46192</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43741-2025</t>
        </is>
      </c>
      <c r="B342" s="1" t="n">
        <v>45912</v>
      </c>
      <c r="C342" s="1" t="n">
        <v>46192</v>
      </c>
      <c r="D342" t="inlineStr">
        <is>
          <t>SKÅNE LÄN</t>
        </is>
      </c>
      <c r="E342" t="inlineStr">
        <is>
          <t>HÄSSLEHOLM</t>
        </is>
      </c>
      <c r="G342" t="n">
        <v>4.3</v>
      </c>
      <c r="H342" t="n">
        <v>0</v>
      </c>
      <c r="I342" t="n">
        <v>0</v>
      </c>
      <c r="J342" t="n">
        <v>0</v>
      </c>
      <c r="K342" t="n">
        <v>0</v>
      </c>
      <c r="L342" t="n">
        <v>0</v>
      </c>
      <c r="M342" t="n">
        <v>0</v>
      </c>
      <c r="N342" t="n">
        <v>0</v>
      </c>
      <c r="O342" t="n">
        <v>0</v>
      </c>
      <c r="P342" t="n">
        <v>0</v>
      </c>
      <c r="Q342" t="n">
        <v>0</v>
      </c>
      <c r="R342" s="2" t="inlineStr"/>
    </row>
    <row r="343" ht="15" customHeight="1">
      <c r="A343" t="inlineStr">
        <is>
          <t>A 43738-2025</t>
        </is>
      </c>
      <c r="B343" s="1" t="n">
        <v>45912</v>
      </c>
      <c r="C343" s="1" t="n">
        <v>46192</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40202-2022</t>
        </is>
      </c>
      <c r="B344" s="1" t="n">
        <v>44820</v>
      </c>
      <c r="C344" s="1" t="n">
        <v>46192</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44611-2025</t>
        </is>
      </c>
      <c r="B345" s="1" t="n">
        <v>45917</v>
      </c>
      <c r="C345" s="1" t="n">
        <v>46192</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44616-2025</t>
        </is>
      </c>
      <c r="B346" s="1" t="n">
        <v>45917</v>
      </c>
      <c r="C346" s="1" t="n">
        <v>46192</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44614-2025</t>
        </is>
      </c>
      <c r="B347" s="1" t="n">
        <v>45917</v>
      </c>
      <c r="C347" s="1" t="n">
        <v>46192</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45221-2025</t>
        </is>
      </c>
      <c r="B348" s="1" t="n">
        <v>45919</v>
      </c>
      <c r="C348" s="1" t="n">
        <v>46192</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45496-2025</t>
        </is>
      </c>
      <c r="B349" s="1" t="n">
        <v>45922</v>
      </c>
      <c r="C349" s="1" t="n">
        <v>46192</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45763-2025</t>
        </is>
      </c>
      <c r="B350" s="1" t="n">
        <v>45923</v>
      </c>
      <c r="C350" s="1" t="n">
        <v>46192</v>
      </c>
      <c r="D350" t="inlineStr">
        <is>
          <t>SKÅNE LÄN</t>
        </is>
      </c>
      <c r="E350" t="inlineStr">
        <is>
          <t>HÄSSLEHOLM</t>
        </is>
      </c>
      <c r="G350" t="n">
        <v>4.8</v>
      </c>
      <c r="H350" t="n">
        <v>0</v>
      </c>
      <c r="I350" t="n">
        <v>0</v>
      </c>
      <c r="J350" t="n">
        <v>0</v>
      </c>
      <c r="K350" t="n">
        <v>0</v>
      </c>
      <c r="L350" t="n">
        <v>0</v>
      </c>
      <c r="M350" t="n">
        <v>0</v>
      </c>
      <c r="N350" t="n">
        <v>0</v>
      </c>
      <c r="O350" t="n">
        <v>0</v>
      </c>
      <c r="P350" t="n">
        <v>0</v>
      </c>
      <c r="Q350" t="n">
        <v>0</v>
      </c>
      <c r="R350" s="2" t="inlineStr"/>
    </row>
    <row r="351" ht="15" customHeight="1">
      <c r="A351" t="inlineStr">
        <is>
          <t>A 45764-2025</t>
        </is>
      </c>
      <c r="B351" s="1" t="n">
        <v>45923</v>
      </c>
      <c r="C351" s="1" t="n">
        <v>46192</v>
      </c>
      <c r="D351" t="inlineStr">
        <is>
          <t>SKÅNE LÄN</t>
        </is>
      </c>
      <c r="E351" t="inlineStr">
        <is>
          <t>HÄSSLEHOLM</t>
        </is>
      </c>
      <c r="G351" t="n">
        <v>6.3</v>
      </c>
      <c r="H351" t="n">
        <v>0</v>
      </c>
      <c r="I351" t="n">
        <v>0</v>
      </c>
      <c r="J351" t="n">
        <v>0</v>
      </c>
      <c r="K351" t="n">
        <v>0</v>
      </c>
      <c r="L351" t="n">
        <v>0</v>
      </c>
      <c r="M351" t="n">
        <v>0</v>
      </c>
      <c r="N351" t="n">
        <v>0</v>
      </c>
      <c r="O351" t="n">
        <v>0</v>
      </c>
      <c r="P351" t="n">
        <v>0</v>
      </c>
      <c r="Q351" t="n">
        <v>0</v>
      </c>
      <c r="R351" s="2" t="inlineStr"/>
    </row>
    <row r="352" ht="15" customHeight="1">
      <c r="A352" t="inlineStr">
        <is>
          <t>A 45683-2025</t>
        </is>
      </c>
      <c r="B352" s="1" t="n">
        <v>45923</v>
      </c>
      <c r="C352" s="1" t="n">
        <v>46192</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45516-2025</t>
        </is>
      </c>
      <c r="B353" s="1" t="n">
        <v>45922</v>
      </c>
      <c r="C353" s="1" t="n">
        <v>46192</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45514-2025</t>
        </is>
      </c>
      <c r="B354" s="1" t="n">
        <v>45922</v>
      </c>
      <c r="C354" s="1" t="n">
        <v>46192</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11121-2023</t>
        </is>
      </c>
      <c r="B355" s="1" t="n">
        <v>44986</v>
      </c>
      <c r="C355" s="1" t="n">
        <v>46192</v>
      </c>
      <c r="D355" t="inlineStr">
        <is>
          <t>SKÅNE LÄN</t>
        </is>
      </c>
      <c r="E355" t="inlineStr">
        <is>
          <t>HÄSSLEHOLM</t>
        </is>
      </c>
      <c r="F355" t="inlineStr">
        <is>
          <t>Kommuner</t>
        </is>
      </c>
      <c r="G355" t="n">
        <v>5.8</v>
      </c>
      <c r="H355" t="n">
        <v>0</v>
      </c>
      <c r="I355" t="n">
        <v>0</v>
      </c>
      <c r="J355" t="n">
        <v>0</v>
      </c>
      <c r="K355" t="n">
        <v>0</v>
      </c>
      <c r="L355" t="n">
        <v>0</v>
      </c>
      <c r="M355" t="n">
        <v>0</v>
      </c>
      <c r="N355" t="n">
        <v>0</v>
      </c>
      <c r="O355" t="n">
        <v>0</v>
      </c>
      <c r="P355" t="n">
        <v>0</v>
      </c>
      <c r="Q355" t="n">
        <v>0</v>
      </c>
      <c r="R355" s="2" t="inlineStr"/>
    </row>
    <row r="356" ht="15" customHeight="1">
      <c r="A356" t="inlineStr">
        <is>
          <t>A 11116-2023</t>
        </is>
      </c>
      <c r="B356" s="1" t="n">
        <v>44986</v>
      </c>
      <c r="C356" s="1" t="n">
        <v>46192</v>
      </c>
      <c r="D356" t="inlineStr">
        <is>
          <t>SKÅNE LÄN</t>
        </is>
      </c>
      <c r="E356" t="inlineStr">
        <is>
          <t>HÄSSLEHOLM</t>
        </is>
      </c>
      <c r="F356" t="inlineStr">
        <is>
          <t>Kommuner</t>
        </is>
      </c>
      <c r="G356" t="n">
        <v>15.1</v>
      </c>
      <c r="H356" t="n">
        <v>0</v>
      </c>
      <c r="I356" t="n">
        <v>0</v>
      </c>
      <c r="J356" t="n">
        <v>0</v>
      </c>
      <c r="K356" t="n">
        <v>0</v>
      </c>
      <c r="L356" t="n">
        <v>0</v>
      </c>
      <c r="M356" t="n">
        <v>0</v>
      </c>
      <c r="N356" t="n">
        <v>0</v>
      </c>
      <c r="O356" t="n">
        <v>0</v>
      </c>
      <c r="P356" t="n">
        <v>0</v>
      </c>
      <c r="Q356" t="n">
        <v>0</v>
      </c>
      <c r="R356" s="2" t="inlineStr"/>
    </row>
    <row r="357" ht="15" customHeight="1">
      <c r="A357" t="inlineStr">
        <is>
          <t>A 45762-2025</t>
        </is>
      </c>
      <c r="B357" s="1" t="n">
        <v>45923</v>
      </c>
      <c r="C357" s="1" t="n">
        <v>46192</v>
      </c>
      <c r="D357" t="inlineStr">
        <is>
          <t>SKÅNE LÄN</t>
        </is>
      </c>
      <c r="E357" t="inlineStr">
        <is>
          <t>HÄSSLEHOLM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9668-2025</t>
        </is>
      </c>
      <c r="B358" s="1" t="n">
        <v>45716</v>
      </c>
      <c r="C358" s="1" t="n">
        <v>46192</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4382-2023</t>
        </is>
      </c>
      <c r="B359" s="1" t="n">
        <v>44955</v>
      </c>
      <c r="C359" s="1" t="n">
        <v>46192</v>
      </c>
      <c r="D359" t="inlineStr">
        <is>
          <t>SKÅNE LÄN</t>
        </is>
      </c>
      <c r="E359" t="inlineStr">
        <is>
          <t>HÄSSLEHOLM</t>
        </is>
      </c>
      <c r="G359" t="n">
        <v>0.3</v>
      </c>
      <c r="H359" t="n">
        <v>0</v>
      </c>
      <c r="I359" t="n">
        <v>0</v>
      </c>
      <c r="J359" t="n">
        <v>0</v>
      </c>
      <c r="K359" t="n">
        <v>0</v>
      </c>
      <c r="L359" t="n">
        <v>0</v>
      </c>
      <c r="M359" t="n">
        <v>0</v>
      </c>
      <c r="N359" t="n">
        <v>0</v>
      </c>
      <c r="O359" t="n">
        <v>0</v>
      </c>
      <c r="P359" t="n">
        <v>0</v>
      </c>
      <c r="Q359" t="n">
        <v>0</v>
      </c>
      <c r="R359" s="2" t="inlineStr"/>
    </row>
    <row r="360" ht="15" customHeight="1">
      <c r="A360" t="inlineStr">
        <is>
          <t>A 15055-2023</t>
        </is>
      </c>
      <c r="B360" s="1" t="n">
        <v>45015</v>
      </c>
      <c r="C360" s="1" t="n">
        <v>46192</v>
      </c>
      <c r="D360" t="inlineStr">
        <is>
          <t>SKÅNE LÄN</t>
        </is>
      </c>
      <c r="E360" t="inlineStr">
        <is>
          <t>HÄSSLEHOLM</t>
        </is>
      </c>
      <c r="G360" t="n">
        <v>1.9</v>
      </c>
      <c r="H360" t="n">
        <v>0</v>
      </c>
      <c r="I360" t="n">
        <v>0</v>
      </c>
      <c r="J360" t="n">
        <v>0</v>
      </c>
      <c r="K360" t="n">
        <v>0</v>
      </c>
      <c r="L360" t="n">
        <v>0</v>
      </c>
      <c r="M360" t="n">
        <v>0</v>
      </c>
      <c r="N360" t="n">
        <v>0</v>
      </c>
      <c r="O360" t="n">
        <v>0</v>
      </c>
      <c r="P360" t="n">
        <v>0</v>
      </c>
      <c r="Q360" t="n">
        <v>0</v>
      </c>
      <c r="R360" s="2" t="inlineStr"/>
    </row>
    <row r="361" ht="15" customHeight="1">
      <c r="A361" t="inlineStr">
        <is>
          <t>A 52608-2023</t>
        </is>
      </c>
      <c r="B361" s="1" t="n">
        <v>45219</v>
      </c>
      <c r="C361" s="1" t="n">
        <v>46192</v>
      </c>
      <c r="D361" t="inlineStr">
        <is>
          <t>SKÅNE LÄN</t>
        </is>
      </c>
      <c r="E361" t="inlineStr">
        <is>
          <t>HÄSSLEHOLM</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34187-2023</t>
        </is>
      </c>
      <c r="B362" s="1" t="n">
        <v>45138</v>
      </c>
      <c r="C362" s="1" t="n">
        <v>46192</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27954-2022</t>
        </is>
      </c>
      <c r="B363" s="1" t="n">
        <v>44743</v>
      </c>
      <c r="C363" s="1" t="n">
        <v>46192</v>
      </c>
      <c r="D363" t="inlineStr">
        <is>
          <t>SKÅNE LÄN</t>
        </is>
      </c>
      <c r="E363" t="inlineStr">
        <is>
          <t>HÄSSLEHOLM</t>
        </is>
      </c>
      <c r="G363" t="n">
        <v>9.4</v>
      </c>
      <c r="H363" t="n">
        <v>0</v>
      </c>
      <c r="I363" t="n">
        <v>0</v>
      </c>
      <c r="J363" t="n">
        <v>0</v>
      </c>
      <c r="K363" t="n">
        <v>0</v>
      </c>
      <c r="L363" t="n">
        <v>0</v>
      </c>
      <c r="M363" t="n">
        <v>0</v>
      </c>
      <c r="N363" t="n">
        <v>0</v>
      </c>
      <c r="O363" t="n">
        <v>0</v>
      </c>
      <c r="P363" t="n">
        <v>0</v>
      </c>
      <c r="Q363" t="n">
        <v>0</v>
      </c>
      <c r="R363" s="2" t="inlineStr"/>
    </row>
    <row r="364" ht="15" customHeight="1">
      <c r="A364" t="inlineStr">
        <is>
          <t>A 20493-2024</t>
        </is>
      </c>
      <c r="B364" s="1" t="n">
        <v>45435</v>
      </c>
      <c r="C364" s="1" t="n">
        <v>46192</v>
      </c>
      <c r="D364" t="inlineStr">
        <is>
          <t>SKÅNE LÄN</t>
        </is>
      </c>
      <c r="E364" t="inlineStr">
        <is>
          <t>HÄSSLEHOLM</t>
        </is>
      </c>
      <c r="G364" t="n">
        <v>1.2</v>
      </c>
      <c r="H364" t="n">
        <v>0</v>
      </c>
      <c r="I364" t="n">
        <v>0</v>
      </c>
      <c r="J364" t="n">
        <v>0</v>
      </c>
      <c r="K364" t="n">
        <v>0</v>
      </c>
      <c r="L364" t="n">
        <v>0</v>
      </c>
      <c r="M364" t="n">
        <v>0</v>
      </c>
      <c r="N364" t="n">
        <v>0</v>
      </c>
      <c r="O364" t="n">
        <v>0</v>
      </c>
      <c r="P364" t="n">
        <v>0</v>
      </c>
      <c r="Q364" t="n">
        <v>0</v>
      </c>
      <c r="R364" s="2" t="inlineStr"/>
    </row>
    <row r="365" ht="15" customHeight="1">
      <c r="A365" t="inlineStr">
        <is>
          <t>A 41873-2023</t>
        </is>
      </c>
      <c r="B365" s="1" t="n">
        <v>45176</v>
      </c>
      <c r="C365" s="1" t="n">
        <v>46192</v>
      </c>
      <c r="D365" t="inlineStr">
        <is>
          <t>SKÅNE LÄN</t>
        </is>
      </c>
      <c r="E365" t="inlineStr">
        <is>
          <t>HÄSSLEHOLM</t>
        </is>
      </c>
      <c r="G365" t="n">
        <v>2.8</v>
      </c>
      <c r="H365" t="n">
        <v>0</v>
      </c>
      <c r="I365" t="n">
        <v>0</v>
      </c>
      <c r="J365" t="n">
        <v>0</v>
      </c>
      <c r="K365" t="n">
        <v>0</v>
      </c>
      <c r="L365" t="n">
        <v>0</v>
      </c>
      <c r="M365" t="n">
        <v>0</v>
      </c>
      <c r="N365" t="n">
        <v>0</v>
      </c>
      <c r="O365" t="n">
        <v>0</v>
      </c>
      <c r="P365" t="n">
        <v>0</v>
      </c>
      <c r="Q365" t="n">
        <v>0</v>
      </c>
      <c r="R365" s="2" t="inlineStr"/>
    </row>
    <row r="366" ht="15" customHeight="1">
      <c r="A366" t="inlineStr">
        <is>
          <t>A 41998-2021</t>
        </is>
      </c>
      <c r="B366" s="1" t="n">
        <v>44425</v>
      </c>
      <c r="C366" s="1" t="n">
        <v>46192</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35712-2024</t>
        </is>
      </c>
      <c r="B367" s="1" t="n">
        <v>45532</v>
      </c>
      <c r="C367" s="1" t="n">
        <v>46192</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61691-2021</t>
        </is>
      </c>
      <c r="B368" s="1" t="n">
        <v>44501</v>
      </c>
      <c r="C368" s="1" t="n">
        <v>46192</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31255-2024</t>
        </is>
      </c>
      <c r="B369" s="1" t="n">
        <v>45503</v>
      </c>
      <c r="C369" s="1" t="n">
        <v>46192</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44697-2021</t>
        </is>
      </c>
      <c r="B370" s="1" t="n">
        <v>44438</v>
      </c>
      <c r="C370" s="1" t="n">
        <v>46192</v>
      </c>
      <c r="D370" t="inlineStr">
        <is>
          <t>SKÅNE LÄN</t>
        </is>
      </c>
      <c r="E370" t="inlineStr">
        <is>
          <t>HÄSSLEHOLM</t>
        </is>
      </c>
      <c r="G370" t="n">
        <v>4.8</v>
      </c>
      <c r="H370" t="n">
        <v>0</v>
      </c>
      <c r="I370" t="n">
        <v>0</v>
      </c>
      <c r="J370" t="n">
        <v>0</v>
      </c>
      <c r="K370" t="n">
        <v>0</v>
      </c>
      <c r="L370" t="n">
        <v>0</v>
      </c>
      <c r="M370" t="n">
        <v>0</v>
      </c>
      <c r="N370" t="n">
        <v>0</v>
      </c>
      <c r="O370" t="n">
        <v>0</v>
      </c>
      <c r="P370" t="n">
        <v>0</v>
      </c>
      <c r="Q370" t="n">
        <v>0</v>
      </c>
      <c r="R370" s="2" t="inlineStr"/>
    </row>
    <row r="371" ht="15" customHeight="1">
      <c r="A371" t="inlineStr">
        <is>
          <t>A 8433-2024</t>
        </is>
      </c>
      <c r="B371" s="1" t="n">
        <v>45353</v>
      </c>
      <c r="C371" s="1" t="n">
        <v>46192</v>
      </c>
      <c r="D371" t="inlineStr">
        <is>
          <t>SKÅNE LÄN</t>
        </is>
      </c>
      <c r="E371" t="inlineStr">
        <is>
          <t>HÄSSLEHOLM</t>
        </is>
      </c>
      <c r="G371" t="n">
        <v>1.9</v>
      </c>
      <c r="H371" t="n">
        <v>0</v>
      </c>
      <c r="I371" t="n">
        <v>0</v>
      </c>
      <c r="J371" t="n">
        <v>0</v>
      </c>
      <c r="K371" t="n">
        <v>0</v>
      </c>
      <c r="L371" t="n">
        <v>0</v>
      </c>
      <c r="M371" t="n">
        <v>0</v>
      </c>
      <c r="N371" t="n">
        <v>0</v>
      </c>
      <c r="O371" t="n">
        <v>0</v>
      </c>
      <c r="P371" t="n">
        <v>0</v>
      </c>
      <c r="Q371" t="n">
        <v>0</v>
      </c>
      <c r="R371" s="2" t="inlineStr"/>
    </row>
    <row r="372" ht="15" customHeight="1">
      <c r="A372" t="inlineStr">
        <is>
          <t>A 48807-2021</t>
        </is>
      </c>
      <c r="B372" s="1" t="n">
        <v>44452</v>
      </c>
      <c r="C372" s="1" t="n">
        <v>46192</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57647-2024</t>
        </is>
      </c>
      <c r="B373" s="1" t="n">
        <v>45630</v>
      </c>
      <c r="C373" s="1" t="n">
        <v>46192</v>
      </c>
      <c r="D373" t="inlineStr">
        <is>
          <t>SKÅNE LÄN</t>
        </is>
      </c>
      <c r="E373" t="inlineStr">
        <is>
          <t>HÄSSLEHOLM</t>
        </is>
      </c>
      <c r="G373" t="n">
        <v>2.9</v>
      </c>
      <c r="H373" t="n">
        <v>0</v>
      </c>
      <c r="I373" t="n">
        <v>0</v>
      </c>
      <c r="J373" t="n">
        <v>0</v>
      </c>
      <c r="K373" t="n">
        <v>0</v>
      </c>
      <c r="L373" t="n">
        <v>0</v>
      </c>
      <c r="M373" t="n">
        <v>0</v>
      </c>
      <c r="N373" t="n">
        <v>0</v>
      </c>
      <c r="O373" t="n">
        <v>0</v>
      </c>
      <c r="P373" t="n">
        <v>0</v>
      </c>
      <c r="Q373" t="n">
        <v>0</v>
      </c>
      <c r="R373" s="2" t="inlineStr"/>
    </row>
    <row r="374" ht="15" customHeight="1">
      <c r="A374" t="inlineStr">
        <is>
          <t>A 28457-2024</t>
        </is>
      </c>
      <c r="B374" s="1" t="n">
        <v>45477</v>
      </c>
      <c r="C374" s="1" t="n">
        <v>46192</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47161-2025</t>
        </is>
      </c>
      <c r="B375" s="1" t="n">
        <v>45929</v>
      </c>
      <c r="C375" s="1" t="n">
        <v>46192</v>
      </c>
      <c r="D375" t="inlineStr">
        <is>
          <t>SKÅNE LÄN</t>
        </is>
      </c>
      <c r="E375" t="inlineStr">
        <is>
          <t>HÄSSLEHOLM</t>
        </is>
      </c>
      <c r="G375" t="n">
        <v>0.9</v>
      </c>
      <c r="H375" t="n">
        <v>0</v>
      </c>
      <c r="I375" t="n">
        <v>0</v>
      </c>
      <c r="J375" t="n">
        <v>0</v>
      </c>
      <c r="K375" t="n">
        <v>0</v>
      </c>
      <c r="L375" t="n">
        <v>0</v>
      </c>
      <c r="M375" t="n">
        <v>0</v>
      </c>
      <c r="N375" t="n">
        <v>0</v>
      </c>
      <c r="O375" t="n">
        <v>0</v>
      </c>
      <c r="P375" t="n">
        <v>0</v>
      </c>
      <c r="Q375" t="n">
        <v>0</v>
      </c>
      <c r="R375" s="2" t="inlineStr"/>
    </row>
    <row r="376" ht="15" customHeight="1">
      <c r="A376" t="inlineStr">
        <is>
          <t>A 20564-2023</t>
        </is>
      </c>
      <c r="B376" s="1" t="n">
        <v>45057</v>
      </c>
      <c r="C376" s="1" t="n">
        <v>46192</v>
      </c>
      <c r="D376" t="inlineStr">
        <is>
          <t>SKÅNE LÄN</t>
        </is>
      </c>
      <c r="E376" t="inlineStr">
        <is>
          <t>HÄSSLEHOLM</t>
        </is>
      </c>
      <c r="G376" t="n">
        <v>2.6</v>
      </c>
      <c r="H376" t="n">
        <v>0</v>
      </c>
      <c r="I376" t="n">
        <v>0</v>
      </c>
      <c r="J376" t="n">
        <v>0</v>
      </c>
      <c r="K376" t="n">
        <v>0</v>
      </c>
      <c r="L376" t="n">
        <v>0</v>
      </c>
      <c r="M376" t="n">
        <v>0</v>
      </c>
      <c r="N376" t="n">
        <v>0</v>
      </c>
      <c r="O376" t="n">
        <v>0</v>
      </c>
      <c r="P376" t="n">
        <v>0</v>
      </c>
      <c r="Q376" t="n">
        <v>0</v>
      </c>
      <c r="R376" s="2" t="inlineStr"/>
    </row>
    <row r="377" ht="15" customHeight="1">
      <c r="A377" t="inlineStr">
        <is>
          <t>A 46641-2023</t>
        </is>
      </c>
      <c r="B377" s="1" t="n">
        <v>45198</v>
      </c>
      <c r="C377" s="1" t="n">
        <v>46192</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46645-2023</t>
        </is>
      </c>
      <c r="B378" s="1" t="n">
        <v>45198</v>
      </c>
      <c r="C378" s="1" t="n">
        <v>46192</v>
      </c>
      <c r="D378" t="inlineStr">
        <is>
          <t>SKÅNE LÄN</t>
        </is>
      </c>
      <c r="E378" t="inlineStr">
        <is>
          <t>HÄSSLEHOLM</t>
        </is>
      </c>
      <c r="G378" t="n">
        <v>1.5</v>
      </c>
      <c r="H378" t="n">
        <v>0</v>
      </c>
      <c r="I378" t="n">
        <v>0</v>
      </c>
      <c r="J378" t="n">
        <v>0</v>
      </c>
      <c r="K378" t="n">
        <v>0</v>
      </c>
      <c r="L378" t="n">
        <v>0</v>
      </c>
      <c r="M378" t="n">
        <v>0</v>
      </c>
      <c r="N378" t="n">
        <v>0</v>
      </c>
      <c r="O378" t="n">
        <v>0</v>
      </c>
      <c r="P378" t="n">
        <v>0</v>
      </c>
      <c r="Q378" t="n">
        <v>0</v>
      </c>
      <c r="R378" s="2" t="inlineStr"/>
    </row>
    <row r="379" ht="15" customHeight="1">
      <c r="A379" t="inlineStr">
        <is>
          <t>A 31986-2023</t>
        </is>
      </c>
      <c r="B379" s="1" t="n">
        <v>45119</v>
      </c>
      <c r="C379" s="1" t="n">
        <v>46192</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62044-2022</t>
        </is>
      </c>
      <c r="B380" s="1" t="n">
        <v>44918</v>
      </c>
      <c r="C380" s="1" t="n">
        <v>46192</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51752-2023</t>
        </is>
      </c>
      <c r="B381" s="1" t="n">
        <v>45222</v>
      </c>
      <c r="C381" s="1" t="n">
        <v>46192</v>
      </c>
      <c r="D381" t="inlineStr">
        <is>
          <t>SKÅNE LÄN</t>
        </is>
      </c>
      <c r="E381" t="inlineStr">
        <is>
          <t>HÄSSLEHOLM</t>
        </is>
      </c>
      <c r="G381" t="n">
        <v>1.8</v>
      </c>
      <c r="H381" t="n">
        <v>0</v>
      </c>
      <c r="I381" t="n">
        <v>0</v>
      </c>
      <c r="J381" t="n">
        <v>0</v>
      </c>
      <c r="K381" t="n">
        <v>0</v>
      </c>
      <c r="L381" t="n">
        <v>0</v>
      </c>
      <c r="M381" t="n">
        <v>0</v>
      </c>
      <c r="N381" t="n">
        <v>0</v>
      </c>
      <c r="O381" t="n">
        <v>0</v>
      </c>
      <c r="P381" t="n">
        <v>0</v>
      </c>
      <c r="Q381" t="n">
        <v>0</v>
      </c>
      <c r="R381" s="2" t="inlineStr"/>
    </row>
    <row r="382" ht="15" customHeight="1">
      <c r="A382" t="inlineStr">
        <is>
          <t>A 32834-2024</t>
        </is>
      </c>
      <c r="B382" s="1" t="n">
        <v>45516</v>
      </c>
      <c r="C382" s="1" t="n">
        <v>46192</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9397-2025</t>
        </is>
      </c>
      <c r="B383" s="1" t="n">
        <v>45715</v>
      </c>
      <c r="C383" s="1" t="n">
        <v>46192</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59109-2023</t>
        </is>
      </c>
      <c r="B384" s="1" t="n">
        <v>45253</v>
      </c>
      <c r="C384" s="1" t="n">
        <v>46192</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52341-2023</t>
        </is>
      </c>
      <c r="B385" s="1" t="n">
        <v>45224</v>
      </c>
      <c r="C385" s="1" t="n">
        <v>46192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27297-2023</t>
        </is>
      </c>
      <c r="B386" s="1" t="n">
        <v>45096</v>
      </c>
      <c r="C386" s="1" t="n">
        <v>46192</v>
      </c>
      <c r="D386" t="inlineStr">
        <is>
          <t>SKÅNE LÄN</t>
        </is>
      </c>
      <c r="E386" t="inlineStr">
        <is>
          <t>HÄSSLEHOLM</t>
        </is>
      </c>
      <c r="G386" t="n">
        <v>1.3</v>
      </c>
      <c r="H386" t="n">
        <v>0</v>
      </c>
      <c r="I386" t="n">
        <v>0</v>
      </c>
      <c r="J386" t="n">
        <v>0</v>
      </c>
      <c r="K386" t="n">
        <v>0</v>
      </c>
      <c r="L386" t="n">
        <v>0</v>
      </c>
      <c r="M386" t="n">
        <v>0</v>
      </c>
      <c r="N386" t="n">
        <v>0</v>
      </c>
      <c r="O386" t="n">
        <v>0</v>
      </c>
      <c r="P386" t="n">
        <v>0</v>
      </c>
      <c r="Q386" t="n">
        <v>0</v>
      </c>
      <c r="R386" s="2" t="inlineStr"/>
    </row>
    <row r="387" ht="15" customHeight="1">
      <c r="A387" t="inlineStr">
        <is>
          <t>A 54462-2022</t>
        </is>
      </c>
      <c r="B387" s="1" t="n">
        <v>44882</v>
      </c>
      <c r="C387" s="1" t="n">
        <v>46192</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25611-2024</t>
        </is>
      </c>
      <c r="B388" s="1" t="n">
        <v>45463</v>
      </c>
      <c r="C388" s="1" t="n">
        <v>46192</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7094-2023</t>
        </is>
      </c>
      <c r="B389" s="1" t="n">
        <v>44970</v>
      </c>
      <c r="C389" s="1" t="n">
        <v>46192</v>
      </c>
      <c r="D389" t="inlineStr">
        <is>
          <t>SKÅNE LÄN</t>
        </is>
      </c>
      <c r="E389" t="inlineStr">
        <is>
          <t>HÄSSLEHOLM</t>
        </is>
      </c>
      <c r="G389" t="n">
        <v>3.6</v>
      </c>
      <c r="H389" t="n">
        <v>0</v>
      </c>
      <c r="I389" t="n">
        <v>0</v>
      </c>
      <c r="J389" t="n">
        <v>0</v>
      </c>
      <c r="K389" t="n">
        <v>0</v>
      </c>
      <c r="L389" t="n">
        <v>0</v>
      </c>
      <c r="M389" t="n">
        <v>0</v>
      </c>
      <c r="N389" t="n">
        <v>0</v>
      </c>
      <c r="O389" t="n">
        <v>0</v>
      </c>
      <c r="P389" t="n">
        <v>0</v>
      </c>
      <c r="Q389" t="n">
        <v>0</v>
      </c>
      <c r="R389" s="2" t="inlineStr"/>
    </row>
    <row r="390" ht="15" customHeight="1">
      <c r="A390" t="inlineStr">
        <is>
          <t>A 9747-2024</t>
        </is>
      </c>
      <c r="B390" s="1" t="n">
        <v>45362</v>
      </c>
      <c r="C390" s="1" t="n">
        <v>46192</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32100-2024</t>
        </is>
      </c>
      <c r="B391" s="1" t="n">
        <v>45511</v>
      </c>
      <c r="C391" s="1" t="n">
        <v>46192</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10220-2023</t>
        </is>
      </c>
      <c r="B392" s="1" t="n">
        <v>44986</v>
      </c>
      <c r="C392" s="1" t="n">
        <v>46192</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35810-2023</t>
        </is>
      </c>
      <c r="B393" s="1" t="n">
        <v>45148</v>
      </c>
      <c r="C393" s="1" t="n">
        <v>46192</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35833-2023</t>
        </is>
      </c>
      <c r="B394" s="1" t="n">
        <v>45148</v>
      </c>
      <c r="C394" s="1" t="n">
        <v>46192</v>
      </c>
      <c r="D394" t="inlineStr">
        <is>
          <t>SKÅNE LÄN</t>
        </is>
      </c>
      <c r="E394" t="inlineStr">
        <is>
          <t>HÄSSLEHOLM</t>
        </is>
      </c>
      <c r="F394" t="inlineStr">
        <is>
          <t>Kommuner</t>
        </is>
      </c>
      <c r="G394" t="n">
        <v>2</v>
      </c>
      <c r="H394" t="n">
        <v>0</v>
      </c>
      <c r="I394" t="n">
        <v>0</v>
      </c>
      <c r="J394" t="n">
        <v>0</v>
      </c>
      <c r="K394" t="n">
        <v>0</v>
      </c>
      <c r="L394" t="n">
        <v>0</v>
      </c>
      <c r="M394" t="n">
        <v>0</v>
      </c>
      <c r="N394" t="n">
        <v>0</v>
      </c>
      <c r="O394" t="n">
        <v>0</v>
      </c>
      <c r="P394" t="n">
        <v>0</v>
      </c>
      <c r="Q394" t="n">
        <v>0</v>
      </c>
      <c r="R394" s="2" t="inlineStr"/>
    </row>
    <row r="395" ht="15" customHeight="1">
      <c r="A395" t="inlineStr">
        <is>
          <t>A 59556-2023</t>
        </is>
      </c>
      <c r="B395" s="1" t="n">
        <v>45254</v>
      </c>
      <c r="C395" s="1" t="n">
        <v>46192</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53077-2022</t>
        </is>
      </c>
      <c r="B396" s="1" t="n">
        <v>44873</v>
      </c>
      <c r="C396" s="1" t="n">
        <v>46192</v>
      </c>
      <c r="D396" t="inlineStr">
        <is>
          <t>SKÅNE LÄN</t>
        </is>
      </c>
      <c r="E396" t="inlineStr">
        <is>
          <t>HÄSSLEHOLM</t>
        </is>
      </c>
      <c r="G396" t="n">
        <v>3</v>
      </c>
      <c r="H396" t="n">
        <v>0</v>
      </c>
      <c r="I396" t="n">
        <v>0</v>
      </c>
      <c r="J396" t="n">
        <v>0</v>
      </c>
      <c r="K396" t="n">
        <v>0</v>
      </c>
      <c r="L396" t="n">
        <v>0</v>
      </c>
      <c r="M396" t="n">
        <v>0</v>
      </c>
      <c r="N396" t="n">
        <v>0</v>
      </c>
      <c r="O396" t="n">
        <v>0</v>
      </c>
      <c r="P396" t="n">
        <v>0</v>
      </c>
      <c r="Q396" t="n">
        <v>0</v>
      </c>
      <c r="R396" s="2" t="inlineStr"/>
    </row>
    <row r="397" ht="15" customHeight="1">
      <c r="A397" t="inlineStr">
        <is>
          <t>A 27464-2022</t>
        </is>
      </c>
      <c r="B397" s="1" t="n">
        <v>44742</v>
      </c>
      <c r="C397" s="1" t="n">
        <v>46192</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55268-2025</t>
        </is>
      </c>
      <c r="B398" s="1" t="n">
        <v>45968</v>
      </c>
      <c r="C398" s="1" t="n">
        <v>46192</v>
      </c>
      <c r="D398" t="inlineStr">
        <is>
          <t>SKÅNE LÄN</t>
        </is>
      </c>
      <c r="E398" t="inlineStr">
        <is>
          <t>HÄSSLEHOLM</t>
        </is>
      </c>
      <c r="G398" t="n">
        <v>2.8</v>
      </c>
      <c r="H398" t="n">
        <v>0</v>
      </c>
      <c r="I398" t="n">
        <v>0</v>
      </c>
      <c r="J398" t="n">
        <v>0</v>
      </c>
      <c r="K398" t="n">
        <v>0</v>
      </c>
      <c r="L398" t="n">
        <v>0</v>
      </c>
      <c r="M398" t="n">
        <v>0</v>
      </c>
      <c r="N398" t="n">
        <v>0</v>
      </c>
      <c r="O398" t="n">
        <v>0</v>
      </c>
      <c r="P398" t="n">
        <v>0</v>
      </c>
      <c r="Q398" t="n">
        <v>0</v>
      </c>
      <c r="R398" s="2" t="inlineStr"/>
    </row>
    <row r="399" ht="15" customHeight="1">
      <c r="A399" t="inlineStr">
        <is>
          <t>A 55549-2025</t>
        </is>
      </c>
      <c r="B399" s="1" t="n">
        <v>45971</v>
      </c>
      <c r="C399" s="1" t="n">
        <v>46192</v>
      </c>
      <c r="D399" t="inlineStr">
        <is>
          <t>SKÅNE LÄN</t>
        </is>
      </c>
      <c r="E399" t="inlineStr">
        <is>
          <t>HÄSSLEHOLM</t>
        </is>
      </c>
      <c r="G399" t="n">
        <v>2.6</v>
      </c>
      <c r="H399" t="n">
        <v>0</v>
      </c>
      <c r="I399" t="n">
        <v>0</v>
      </c>
      <c r="J399" t="n">
        <v>0</v>
      </c>
      <c r="K399" t="n">
        <v>0</v>
      </c>
      <c r="L399" t="n">
        <v>0</v>
      </c>
      <c r="M399" t="n">
        <v>0</v>
      </c>
      <c r="N399" t="n">
        <v>0</v>
      </c>
      <c r="O399" t="n">
        <v>0</v>
      </c>
      <c r="P399" t="n">
        <v>0</v>
      </c>
      <c r="Q399" t="n">
        <v>0</v>
      </c>
      <c r="R399" s="2" t="inlineStr"/>
    </row>
    <row r="400" ht="15" customHeight="1">
      <c r="A400" t="inlineStr">
        <is>
          <t>A 6798-2025</t>
        </is>
      </c>
      <c r="B400" s="1" t="n">
        <v>45700</v>
      </c>
      <c r="C400" s="1" t="n">
        <v>46192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10752-2025</t>
        </is>
      </c>
      <c r="B401" s="1" t="n">
        <v>45722</v>
      </c>
      <c r="C401" s="1" t="n">
        <v>46192</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55458-2025</t>
        </is>
      </c>
      <c r="B402" s="1" t="n">
        <v>45971</v>
      </c>
      <c r="C402" s="1" t="n">
        <v>46192</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19744-2023</t>
        </is>
      </c>
      <c r="B403" s="1" t="n">
        <v>45051</v>
      </c>
      <c r="C403" s="1" t="n">
        <v>46192</v>
      </c>
      <c r="D403" t="inlineStr">
        <is>
          <t>SKÅNE LÄN</t>
        </is>
      </c>
      <c r="E403" t="inlineStr">
        <is>
          <t>HÄSSLEHOLM</t>
        </is>
      </c>
      <c r="G403" t="n">
        <v>0.4</v>
      </c>
      <c r="H403" t="n">
        <v>0</v>
      </c>
      <c r="I403" t="n">
        <v>0</v>
      </c>
      <c r="J403" t="n">
        <v>0</v>
      </c>
      <c r="K403" t="n">
        <v>0</v>
      </c>
      <c r="L403" t="n">
        <v>0</v>
      </c>
      <c r="M403" t="n">
        <v>0</v>
      </c>
      <c r="N403" t="n">
        <v>0</v>
      </c>
      <c r="O403" t="n">
        <v>0</v>
      </c>
      <c r="P403" t="n">
        <v>0</v>
      </c>
      <c r="Q403" t="n">
        <v>0</v>
      </c>
      <c r="R403" s="2" t="inlineStr"/>
    </row>
    <row r="404" ht="15" customHeight="1">
      <c r="A404" t="inlineStr">
        <is>
          <t>A 14926-2024</t>
        </is>
      </c>
      <c r="B404" s="1" t="n">
        <v>45398</v>
      </c>
      <c r="C404" s="1" t="n">
        <v>46192</v>
      </c>
      <c r="D404" t="inlineStr">
        <is>
          <t>SKÅNE LÄN</t>
        </is>
      </c>
      <c r="E404" t="inlineStr">
        <is>
          <t>HÄSSLEHOLM</t>
        </is>
      </c>
      <c r="G404" t="n">
        <v>3.4</v>
      </c>
      <c r="H404" t="n">
        <v>0</v>
      </c>
      <c r="I404" t="n">
        <v>0</v>
      </c>
      <c r="J404" t="n">
        <v>0</v>
      </c>
      <c r="K404" t="n">
        <v>0</v>
      </c>
      <c r="L404" t="n">
        <v>0</v>
      </c>
      <c r="M404" t="n">
        <v>0</v>
      </c>
      <c r="N404" t="n">
        <v>0</v>
      </c>
      <c r="O404" t="n">
        <v>0</v>
      </c>
      <c r="P404" t="n">
        <v>0</v>
      </c>
      <c r="Q404" t="n">
        <v>0</v>
      </c>
      <c r="R404" s="2" t="inlineStr"/>
    </row>
    <row r="405" ht="15" customHeight="1">
      <c r="A405" t="inlineStr">
        <is>
          <t>A 60843-2022</t>
        </is>
      </c>
      <c r="B405" s="1" t="n">
        <v>44914</v>
      </c>
      <c r="C405" s="1" t="n">
        <v>46192</v>
      </c>
      <c r="D405" t="inlineStr">
        <is>
          <t>SKÅNE LÄN</t>
        </is>
      </c>
      <c r="E405" t="inlineStr">
        <is>
          <t>HÄSSLEHOLM</t>
        </is>
      </c>
      <c r="G405" t="n">
        <v>2.2</v>
      </c>
      <c r="H405" t="n">
        <v>0</v>
      </c>
      <c r="I405" t="n">
        <v>0</v>
      </c>
      <c r="J405" t="n">
        <v>0</v>
      </c>
      <c r="K405" t="n">
        <v>0</v>
      </c>
      <c r="L405" t="n">
        <v>0</v>
      </c>
      <c r="M405" t="n">
        <v>0</v>
      </c>
      <c r="N405" t="n">
        <v>0</v>
      </c>
      <c r="O405" t="n">
        <v>0</v>
      </c>
      <c r="P405" t="n">
        <v>0</v>
      </c>
      <c r="Q405" t="n">
        <v>0</v>
      </c>
      <c r="R405" s="2" t="inlineStr"/>
    </row>
    <row r="406" ht="15" customHeight="1">
      <c r="A406" t="inlineStr">
        <is>
          <t>A 61504-2022</t>
        </is>
      </c>
      <c r="B406" s="1" t="n">
        <v>44910</v>
      </c>
      <c r="C406" s="1" t="n">
        <v>46192</v>
      </c>
      <c r="D406" t="inlineStr">
        <is>
          <t>SKÅNE LÄN</t>
        </is>
      </c>
      <c r="E406" t="inlineStr">
        <is>
          <t>HÄSSLEHOLM</t>
        </is>
      </c>
      <c r="F406" t="inlineStr">
        <is>
          <t>Kyrkan</t>
        </is>
      </c>
      <c r="G406" t="n">
        <v>2.9</v>
      </c>
      <c r="H406" t="n">
        <v>0</v>
      </c>
      <c r="I406" t="n">
        <v>0</v>
      </c>
      <c r="J406" t="n">
        <v>0</v>
      </c>
      <c r="K406" t="n">
        <v>0</v>
      </c>
      <c r="L406" t="n">
        <v>0</v>
      </c>
      <c r="M406" t="n">
        <v>0</v>
      </c>
      <c r="N406" t="n">
        <v>0</v>
      </c>
      <c r="O406" t="n">
        <v>0</v>
      </c>
      <c r="P406" t="n">
        <v>0</v>
      </c>
      <c r="Q406" t="n">
        <v>0</v>
      </c>
      <c r="R406" s="2" t="inlineStr"/>
    </row>
    <row r="407" ht="15" customHeight="1">
      <c r="A407" t="inlineStr">
        <is>
          <t>A 55455-2025</t>
        </is>
      </c>
      <c r="B407" s="1" t="n">
        <v>45971</v>
      </c>
      <c r="C407" s="1" t="n">
        <v>46192</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19739-2023</t>
        </is>
      </c>
      <c r="B408" s="1" t="n">
        <v>45051</v>
      </c>
      <c r="C408" s="1" t="n">
        <v>46192</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52968-2022</t>
        </is>
      </c>
      <c r="B409" s="1" t="n">
        <v>44875</v>
      </c>
      <c r="C409" s="1" t="n">
        <v>46192</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14008-2023</t>
        </is>
      </c>
      <c r="B410" s="1" t="n">
        <v>45008</v>
      </c>
      <c r="C410" s="1" t="n">
        <v>46192</v>
      </c>
      <c r="D410" t="inlineStr">
        <is>
          <t>SKÅNE LÄN</t>
        </is>
      </c>
      <c r="E410" t="inlineStr">
        <is>
          <t>HÄSSLEHOLM</t>
        </is>
      </c>
      <c r="G410" t="n">
        <v>3.3</v>
      </c>
      <c r="H410" t="n">
        <v>0</v>
      </c>
      <c r="I410" t="n">
        <v>0</v>
      </c>
      <c r="J410" t="n">
        <v>0</v>
      </c>
      <c r="K410" t="n">
        <v>0</v>
      </c>
      <c r="L410" t="n">
        <v>0</v>
      </c>
      <c r="M410" t="n">
        <v>0</v>
      </c>
      <c r="N410" t="n">
        <v>0</v>
      </c>
      <c r="O410" t="n">
        <v>0</v>
      </c>
      <c r="P410" t="n">
        <v>0</v>
      </c>
      <c r="Q410" t="n">
        <v>0</v>
      </c>
      <c r="R410" s="2" t="inlineStr"/>
    </row>
    <row r="411" ht="15" customHeight="1">
      <c r="A411" t="inlineStr">
        <is>
          <t>A 59763-2022</t>
        </is>
      </c>
      <c r="B411" s="1" t="n">
        <v>44900</v>
      </c>
      <c r="C411" s="1" t="n">
        <v>46192</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3364-2023</t>
        </is>
      </c>
      <c r="B412" s="1" t="n">
        <v>44949</v>
      </c>
      <c r="C412" s="1" t="n">
        <v>46192</v>
      </c>
      <c r="D412" t="inlineStr">
        <is>
          <t>SKÅNE LÄN</t>
        </is>
      </c>
      <c r="E412" t="inlineStr">
        <is>
          <t>HÄSSLEHOLM</t>
        </is>
      </c>
      <c r="G412" t="n">
        <v>5.1</v>
      </c>
      <c r="H412" t="n">
        <v>0</v>
      </c>
      <c r="I412" t="n">
        <v>0</v>
      </c>
      <c r="J412" t="n">
        <v>0</v>
      </c>
      <c r="K412" t="n">
        <v>0</v>
      </c>
      <c r="L412" t="n">
        <v>0</v>
      </c>
      <c r="M412" t="n">
        <v>0</v>
      </c>
      <c r="N412" t="n">
        <v>0</v>
      </c>
      <c r="O412" t="n">
        <v>0</v>
      </c>
      <c r="P412" t="n">
        <v>0</v>
      </c>
      <c r="Q412" t="n">
        <v>0</v>
      </c>
      <c r="R412" s="2" t="inlineStr"/>
    </row>
    <row r="413" ht="15" customHeight="1">
      <c r="A413" t="inlineStr">
        <is>
          <t>A 52642-2021</t>
        </is>
      </c>
      <c r="B413" s="1" t="n">
        <v>44466</v>
      </c>
      <c r="C413" s="1" t="n">
        <v>46192</v>
      </c>
      <c r="D413" t="inlineStr">
        <is>
          <t>SKÅNE LÄN</t>
        </is>
      </c>
      <c r="E413" t="inlineStr">
        <is>
          <t>HÄSSLEHOLM</t>
        </is>
      </c>
      <c r="G413" t="n">
        <v>3.7</v>
      </c>
      <c r="H413" t="n">
        <v>0</v>
      </c>
      <c r="I413" t="n">
        <v>0</v>
      </c>
      <c r="J413" t="n">
        <v>0</v>
      </c>
      <c r="K413" t="n">
        <v>0</v>
      </c>
      <c r="L413" t="n">
        <v>0</v>
      </c>
      <c r="M413" t="n">
        <v>0</v>
      </c>
      <c r="N413" t="n">
        <v>0</v>
      </c>
      <c r="O413" t="n">
        <v>0</v>
      </c>
      <c r="P413" t="n">
        <v>0</v>
      </c>
      <c r="Q413" t="n">
        <v>0</v>
      </c>
      <c r="R413" s="2" t="inlineStr"/>
    </row>
    <row r="414" ht="15" customHeight="1">
      <c r="A414" t="inlineStr">
        <is>
          <t>A 315-2022</t>
        </is>
      </c>
      <c r="B414" s="1" t="n">
        <v>44565</v>
      </c>
      <c r="C414" s="1" t="n">
        <v>46192</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42372-2024</t>
        </is>
      </c>
      <c r="B415" s="1" t="n">
        <v>45564</v>
      </c>
      <c r="C415" s="1" t="n">
        <v>46192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15562-2024</t>
        </is>
      </c>
      <c r="B416" s="1" t="n">
        <v>45401</v>
      </c>
      <c r="C416" s="1" t="n">
        <v>46192</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56667-2025</t>
        </is>
      </c>
      <c r="B417" s="1" t="n">
        <v>45975</v>
      </c>
      <c r="C417" s="1" t="n">
        <v>46192</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57695-2023</t>
        </is>
      </c>
      <c r="B418" s="1" t="n">
        <v>45246</v>
      </c>
      <c r="C418" s="1" t="n">
        <v>46192</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56797-2025</t>
        </is>
      </c>
      <c r="B419" s="1" t="n">
        <v>45978</v>
      </c>
      <c r="C419" s="1" t="n">
        <v>46192</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12162-2023</t>
        </is>
      </c>
      <c r="B420" s="1" t="n">
        <v>44998</v>
      </c>
      <c r="C420" s="1" t="n">
        <v>46192</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56798-2025</t>
        </is>
      </c>
      <c r="B421" s="1" t="n">
        <v>45978</v>
      </c>
      <c r="C421" s="1" t="n">
        <v>46192</v>
      </c>
      <c r="D421" t="inlineStr">
        <is>
          <t>SKÅNE LÄN</t>
        </is>
      </c>
      <c r="E421" t="inlineStr">
        <is>
          <t>HÄSSLEHOLM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28071-2023</t>
        </is>
      </c>
      <c r="B422" s="1" t="n">
        <v>45099</v>
      </c>
      <c r="C422" s="1" t="n">
        <v>46192</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4916-2024</t>
        </is>
      </c>
      <c r="B423" s="1" t="n">
        <v>45329</v>
      </c>
      <c r="C423" s="1" t="n">
        <v>46192</v>
      </c>
      <c r="D423" t="inlineStr">
        <is>
          <t>SKÅNE LÄN</t>
        </is>
      </c>
      <c r="E423" t="inlineStr">
        <is>
          <t>HÄSSLEHOLM</t>
        </is>
      </c>
      <c r="G423" t="n">
        <v>1.3</v>
      </c>
      <c r="H423" t="n">
        <v>0</v>
      </c>
      <c r="I423" t="n">
        <v>0</v>
      </c>
      <c r="J423" t="n">
        <v>0</v>
      </c>
      <c r="K423" t="n">
        <v>0</v>
      </c>
      <c r="L423" t="n">
        <v>0</v>
      </c>
      <c r="M423" t="n">
        <v>0</v>
      </c>
      <c r="N423" t="n">
        <v>0</v>
      </c>
      <c r="O423" t="n">
        <v>0</v>
      </c>
      <c r="P423" t="n">
        <v>0</v>
      </c>
      <c r="Q423" t="n">
        <v>0</v>
      </c>
      <c r="R423" s="2" t="inlineStr"/>
    </row>
    <row r="424" ht="15" customHeight="1">
      <c r="A424" t="inlineStr">
        <is>
          <t>A 56794-2025</t>
        </is>
      </c>
      <c r="B424" s="1" t="n">
        <v>45978</v>
      </c>
      <c r="C424" s="1" t="n">
        <v>46192</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23946-2023</t>
        </is>
      </c>
      <c r="B425" s="1" t="n">
        <v>45078</v>
      </c>
      <c r="C425" s="1" t="n">
        <v>46192</v>
      </c>
      <c r="D425" t="inlineStr">
        <is>
          <t>SKÅNE LÄN</t>
        </is>
      </c>
      <c r="E425" t="inlineStr">
        <is>
          <t>HÄSSLEHOLM</t>
        </is>
      </c>
      <c r="G425" t="n">
        <v>0.2</v>
      </c>
      <c r="H425" t="n">
        <v>0</v>
      </c>
      <c r="I425" t="n">
        <v>0</v>
      </c>
      <c r="J425" t="n">
        <v>0</v>
      </c>
      <c r="K425" t="n">
        <v>0</v>
      </c>
      <c r="L425" t="n">
        <v>0</v>
      </c>
      <c r="M425" t="n">
        <v>0</v>
      </c>
      <c r="N425" t="n">
        <v>0</v>
      </c>
      <c r="O425" t="n">
        <v>0</v>
      </c>
      <c r="P425" t="n">
        <v>0</v>
      </c>
      <c r="Q425" t="n">
        <v>0</v>
      </c>
      <c r="R425" s="2" t="inlineStr"/>
    </row>
    <row r="426" ht="15" customHeight="1">
      <c r="A426" t="inlineStr">
        <is>
          <t>A 27175-2024</t>
        </is>
      </c>
      <c r="B426" s="1" t="n">
        <v>45471</v>
      </c>
      <c r="C426" s="1" t="n">
        <v>46192</v>
      </c>
      <c r="D426" t="inlineStr">
        <is>
          <t>SKÅNE LÄN</t>
        </is>
      </c>
      <c r="E426" t="inlineStr">
        <is>
          <t>HÄSSLEHOLM</t>
        </is>
      </c>
      <c r="G426" t="n">
        <v>1</v>
      </c>
      <c r="H426" t="n">
        <v>0</v>
      </c>
      <c r="I426" t="n">
        <v>0</v>
      </c>
      <c r="J426" t="n">
        <v>0</v>
      </c>
      <c r="K426" t="n">
        <v>0</v>
      </c>
      <c r="L426" t="n">
        <v>0</v>
      </c>
      <c r="M426" t="n">
        <v>0</v>
      </c>
      <c r="N426" t="n">
        <v>0</v>
      </c>
      <c r="O426" t="n">
        <v>0</v>
      </c>
      <c r="P426" t="n">
        <v>0</v>
      </c>
      <c r="Q426" t="n">
        <v>0</v>
      </c>
      <c r="R426" s="2" t="inlineStr"/>
    </row>
    <row r="427" ht="15" customHeight="1">
      <c r="A427" t="inlineStr">
        <is>
          <t>A 41459-2022</t>
        </is>
      </c>
      <c r="B427" s="1" t="n">
        <v>44826</v>
      </c>
      <c r="C427" s="1" t="n">
        <v>46192</v>
      </c>
      <c r="D427" t="inlineStr">
        <is>
          <t>SKÅNE LÄN</t>
        </is>
      </c>
      <c r="E427" t="inlineStr">
        <is>
          <t>HÄSSLEHOLM</t>
        </is>
      </c>
      <c r="G427" t="n">
        <v>2.3</v>
      </c>
      <c r="H427" t="n">
        <v>0</v>
      </c>
      <c r="I427" t="n">
        <v>0</v>
      </c>
      <c r="J427" t="n">
        <v>0</v>
      </c>
      <c r="K427" t="n">
        <v>0</v>
      </c>
      <c r="L427" t="n">
        <v>0</v>
      </c>
      <c r="M427" t="n">
        <v>0</v>
      </c>
      <c r="N427" t="n">
        <v>0</v>
      </c>
      <c r="O427" t="n">
        <v>0</v>
      </c>
      <c r="P427" t="n">
        <v>0</v>
      </c>
      <c r="Q427" t="n">
        <v>0</v>
      </c>
      <c r="R427" s="2" t="inlineStr"/>
    </row>
    <row r="428" ht="15" customHeight="1">
      <c r="A428" t="inlineStr">
        <is>
          <t>A 54658-2023</t>
        </is>
      </c>
      <c r="B428" s="1" t="n">
        <v>45235</v>
      </c>
      <c r="C428" s="1" t="n">
        <v>46192</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55569-2025</t>
        </is>
      </c>
      <c r="B429" s="1" t="n">
        <v>45971</v>
      </c>
      <c r="C429" s="1" t="n">
        <v>46192</v>
      </c>
      <c r="D429" t="inlineStr">
        <is>
          <t>SKÅNE LÄN</t>
        </is>
      </c>
      <c r="E429" t="inlineStr">
        <is>
          <t>HÄSSLEHOLM</t>
        </is>
      </c>
      <c r="G429" t="n">
        <v>4.2</v>
      </c>
      <c r="H429" t="n">
        <v>0</v>
      </c>
      <c r="I429" t="n">
        <v>0</v>
      </c>
      <c r="J429" t="n">
        <v>0</v>
      </c>
      <c r="K429" t="n">
        <v>0</v>
      </c>
      <c r="L429" t="n">
        <v>0</v>
      </c>
      <c r="M429" t="n">
        <v>0</v>
      </c>
      <c r="N429" t="n">
        <v>0</v>
      </c>
      <c r="O429" t="n">
        <v>0</v>
      </c>
      <c r="P429" t="n">
        <v>0</v>
      </c>
      <c r="Q429" t="n">
        <v>0</v>
      </c>
      <c r="R429" s="2" t="inlineStr"/>
    </row>
    <row r="430" ht="15" customHeight="1">
      <c r="A430" t="inlineStr">
        <is>
          <t>A 57817-2025</t>
        </is>
      </c>
      <c r="B430" s="1" t="n">
        <v>45981</v>
      </c>
      <c r="C430" s="1" t="n">
        <v>46192</v>
      </c>
      <c r="D430" t="inlineStr">
        <is>
          <t>SKÅNE LÄN</t>
        </is>
      </c>
      <c r="E430" t="inlineStr">
        <is>
          <t>HÄSSLEHOLM</t>
        </is>
      </c>
      <c r="G430" t="n">
        <v>3.8</v>
      </c>
      <c r="H430" t="n">
        <v>0</v>
      </c>
      <c r="I430" t="n">
        <v>0</v>
      </c>
      <c r="J430" t="n">
        <v>0</v>
      </c>
      <c r="K430" t="n">
        <v>0</v>
      </c>
      <c r="L430" t="n">
        <v>0</v>
      </c>
      <c r="M430" t="n">
        <v>0</v>
      </c>
      <c r="N430" t="n">
        <v>0</v>
      </c>
      <c r="O430" t="n">
        <v>0</v>
      </c>
      <c r="P430" t="n">
        <v>0</v>
      </c>
      <c r="Q430" t="n">
        <v>0</v>
      </c>
      <c r="R430" s="2" t="inlineStr"/>
    </row>
    <row r="431" ht="15" customHeight="1">
      <c r="A431" t="inlineStr">
        <is>
          <t>A 23666-2023</t>
        </is>
      </c>
      <c r="B431" s="1" t="n">
        <v>45077</v>
      </c>
      <c r="C431" s="1" t="n">
        <v>46192</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3726-2024</t>
        </is>
      </c>
      <c r="B432" s="1" t="n">
        <v>45321</v>
      </c>
      <c r="C432" s="1" t="n">
        <v>46192</v>
      </c>
      <c r="D432" t="inlineStr">
        <is>
          <t>SKÅNE LÄN</t>
        </is>
      </c>
      <c r="E432" t="inlineStr">
        <is>
          <t>HÄSSLEHOLM</t>
        </is>
      </c>
      <c r="G432" t="n">
        <v>0.3</v>
      </c>
      <c r="H432" t="n">
        <v>0</v>
      </c>
      <c r="I432" t="n">
        <v>0</v>
      </c>
      <c r="J432" t="n">
        <v>0</v>
      </c>
      <c r="K432" t="n">
        <v>0</v>
      </c>
      <c r="L432" t="n">
        <v>0</v>
      </c>
      <c r="M432" t="n">
        <v>0</v>
      </c>
      <c r="N432" t="n">
        <v>0</v>
      </c>
      <c r="O432" t="n">
        <v>0</v>
      </c>
      <c r="P432" t="n">
        <v>0</v>
      </c>
      <c r="Q432" t="n">
        <v>0</v>
      </c>
      <c r="R432" s="2" t="inlineStr"/>
    </row>
    <row r="433" ht="15" customHeight="1">
      <c r="A433" t="inlineStr">
        <is>
          <t>A 30092-2025</t>
        </is>
      </c>
      <c r="B433" s="1" t="n">
        <v>45826</v>
      </c>
      <c r="C433" s="1" t="n">
        <v>46192</v>
      </c>
      <c r="D433" t="inlineStr">
        <is>
          <t>SKÅNE LÄN</t>
        </is>
      </c>
      <c r="E433" t="inlineStr">
        <is>
          <t>HÄSSLEHOLM</t>
        </is>
      </c>
      <c r="G433" t="n">
        <v>1.4</v>
      </c>
      <c r="H433" t="n">
        <v>0</v>
      </c>
      <c r="I433" t="n">
        <v>0</v>
      </c>
      <c r="J433" t="n">
        <v>0</v>
      </c>
      <c r="K433" t="n">
        <v>0</v>
      </c>
      <c r="L433" t="n">
        <v>0</v>
      </c>
      <c r="M433" t="n">
        <v>0</v>
      </c>
      <c r="N433" t="n">
        <v>0</v>
      </c>
      <c r="O433" t="n">
        <v>0</v>
      </c>
      <c r="P433" t="n">
        <v>0</v>
      </c>
      <c r="Q433" t="n">
        <v>0</v>
      </c>
      <c r="R433" s="2" t="inlineStr"/>
    </row>
    <row r="434" ht="15" customHeight="1">
      <c r="A434" t="inlineStr">
        <is>
          <t>A 53085-2022</t>
        </is>
      </c>
      <c r="B434" s="1" t="n">
        <v>44873</v>
      </c>
      <c r="C434" s="1" t="n">
        <v>46192</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30109-2025</t>
        </is>
      </c>
      <c r="B435" s="1" t="n">
        <v>45826</v>
      </c>
      <c r="C435" s="1" t="n">
        <v>46192</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28211-2022</t>
        </is>
      </c>
      <c r="B436" s="1" t="n">
        <v>44746</v>
      </c>
      <c r="C436" s="1" t="n">
        <v>46192</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29847-2024</t>
        </is>
      </c>
      <c r="B437" s="1" t="n">
        <v>45485</v>
      </c>
      <c r="C437" s="1" t="n">
        <v>46192</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58241-2025</t>
        </is>
      </c>
      <c r="B438" s="1" t="n">
        <v>45985</v>
      </c>
      <c r="C438" s="1" t="n">
        <v>46192</v>
      </c>
      <c r="D438" t="inlineStr">
        <is>
          <t>SKÅNE LÄN</t>
        </is>
      </c>
      <c r="E438" t="inlineStr">
        <is>
          <t>HÄSSLEHOLM</t>
        </is>
      </c>
      <c r="G438" t="n">
        <v>3.6</v>
      </c>
      <c r="H438" t="n">
        <v>0</v>
      </c>
      <c r="I438" t="n">
        <v>0</v>
      </c>
      <c r="J438" t="n">
        <v>0</v>
      </c>
      <c r="K438" t="n">
        <v>0</v>
      </c>
      <c r="L438" t="n">
        <v>0</v>
      </c>
      <c r="M438" t="n">
        <v>0</v>
      </c>
      <c r="N438" t="n">
        <v>0</v>
      </c>
      <c r="O438" t="n">
        <v>0</v>
      </c>
      <c r="P438" t="n">
        <v>0</v>
      </c>
      <c r="Q438" t="n">
        <v>0</v>
      </c>
      <c r="R438" s="2" t="inlineStr"/>
    </row>
    <row r="439" ht="15" customHeight="1">
      <c r="A439" t="inlineStr">
        <is>
          <t>A 15990-2023</t>
        </is>
      </c>
      <c r="B439" s="1" t="n">
        <v>45023</v>
      </c>
      <c r="C439" s="1" t="n">
        <v>46192</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62199-2022</t>
        </is>
      </c>
      <c r="B440" s="1" t="n">
        <v>44915</v>
      </c>
      <c r="C440" s="1" t="n">
        <v>46192</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9098-2022</t>
        </is>
      </c>
      <c r="B441" s="1" t="n">
        <v>44615</v>
      </c>
      <c r="C441" s="1" t="n">
        <v>46192</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19151-2023</t>
        </is>
      </c>
      <c r="B442" s="1" t="n">
        <v>45044</v>
      </c>
      <c r="C442" s="1" t="n">
        <v>46192</v>
      </c>
      <c r="D442" t="inlineStr">
        <is>
          <t>SKÅNE LÄN</t>
        </is>
      </c>
      <c r="E442" t="inlineStr">
        <is>
          <t>HÄSSLEHOLM</t>
        </is>
      </c>
      <c r="G442" t="n">
        <v>1</v>
      </c>
      <c r="H442" t="n">
        <v>0</v>
      </c>
      <c r="I442" t="n">
        <v>0</v>
      </c>
      <c r="J442" t="n">
        <v>0</v>
      </c>
      <c r="K442" t="n">
        <v>0</v>
      </c>
      <c r="L442" t="n">
        <v>0</v>
      </c>
      <c r="M442" t="n">
        <v>0</v>
      </c>
      <c r="N442" t="n">
        <v>0</v>
      </c>
      <c r="O442" t="n">
        <v>0</v>
      </c>
      <c r="P442" t="n">
        <v>0</v>
      </c>
      <c r="Q442" t="n">
        <v>0</v>
      </c>
      <c r="R442" s="2" t="inlineStr"/>
    </row>
    <row r="443" ht="15" customHeight="1">
      <c r="A443" t="inlineStr">
        <is>
          <t>A 22384-2024</t>
        </is>
      </c>
      <c r="B443" s="1" t="n">
        <v>45446</v>
      </c>
      <c r="C443" s="1" t="n">
        <v>46192</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2688-2024</t>
        </is>
      </c>
      <c r="B444" s="1" t="n">
        <v>45314</v>
      </c>
      <c r="C444" s="1" t="n">
        <v>46192</v>
      </c>
      <c r="D444" t="inlineStr">
        <is>
          <t>SKÅNE LÄN</t>
        </is>
      </c>
      <c r="E444" t="inlineStr">
        <is>
          <t>HÄSSLEHOLM</t>
        </is>
      </c>
      <c r="F444" t="inlineStr">
        <is>
          <t>Övriga Aktiebolag</t>
        </is>
      </c>
      <c r="G444" t="n">
        <v>2.8</v>
      </c>
      <c r="H444" t="n">
        <v>0</v>
      </c>
      <c r="I444" t="n">
        <v>0</v>
      </c>
      <c r="J444" t="n">
        <v>0</v>
      </c>
      <c r="K444" t="n">
        <v>0</v>
      </c>
      <c r="L444" t="n">
        <v>0</v>
      </c>
      <c r="M444" t="n">
        <v>0</v>
      </c>
      <c r="N444" t="n">
        <v>0</v>
      </c>
      <c r="O444" t="n">
        <v>0</v>
      </c>
      <c r="P444" t="n">
        <v>0</v>
      </c>
      <c r="Q444" t="n">
        <v>0</v>
      </c>
      <c r="R444" s="2" t="inlineStr"/>
    </row>
    <row r="445" ht="15" customHeight="1">
      <c r="A445" t="inlineStr">
        <is>
          <t>A 29850-2024</t>
        </is>
      </c>
      <c r="B445" s="1" t="n">
        <v>45485</v>
      </c>
      <c r="C445" s="1" t="n">
        <v>46192</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30007-2023</t>
        </is>
      </c>
      <c r="B446" s="1" t="n">
        <v>45109</v>
      </c>
      <c r="C446" s="1" t="n">
        <v>46192</v>
      </c>
      <c r="D446" t="inlineStr">
        <is>
          <t>SKÅNE LÄN</t>
        </is>
      </c>
      <c r="E446" t="inlineStr">
        <is>
          <t>HÄSSLEHOLM</t>
        </is>
      </c>
      <c r="G446" t="n">
        <v>2.2</v>
      </c>
      <c r="H446" t="n">
        <v>0</v>
      </c>
      <c r="I446" t="n">
        <v>0</v>
      </c>
      <c r="J446" t="n">
        <v>0</v>
      </c>
      <c r="K446" t="n">
        <v>0</v>
      </c>
      <c r="L446" t="n">
        <v>0</v>
      </c>
      <c r="M446" t="n">
        <v>0</v>
      </c>
      <c r="N446" t="n">
        <v>0</v>
      </c>
      <c r="O446" t="n">
        <v>0</v>
      </c>
      <c r="P446" t="n">
        <v>0</v>
      </c>
      <c r="Q446" t="n">
        <v>0</v>
      </c>
      <c r="R446" s="2" t="inlineStr"/>
    </row>
    <row r="447" ht="15" customHeight="1">
      <c r="A447" t="inlineStr">
        <is>
          <t>A 4187-2023</t>
        </is>
      </c>
      <c r="B447" s="1" t="n">
        <v>44953</v>
      </c>
      <c r="C447" s="1" t="n">
        <v>46192</v>
      </c>
      <c r="D447" t="inlineStr">
        <is>
          <t>SKÅNE LÄN</t>
        </is>
      </c>
      <c r="E447" t="inlineStr">
        <is>
          <t>HÄSSLEHOLM</t>
        </is>
      </c>
      <c r="G447" t="n">
        <v>3.2</v>
      </c>
      <c r="H447" t="n">
        <v>0</v>
      </c>
      <c r="I447" t="n">
        <v>0</v>
      </c>
      <c r="J447" t="n">
        <v>0</v>
      </c>
      <c r="K447" t="n">
        <v>0</v>
      </c>
      <c r="L447" t="n">
        <v>0</v>
      </c>
      <c r="M447" t="n">
        <v>0</v>
      </c>
      <c r="N447" t="n">
        <v>0</v>
      </c>
      <c r="O447" t="n">
        <v>0</v>
      </c>
      <c r="P447" t="n">
        <v>0</v>
      </c>
      <c r="Q447" t="n">
        <v>0</v>
      </c>
      <c r="R447" s="2" t="inlineStr"/>
    </row>
    <row r="448" ht="15" customHeight="1">
      <c r="A448" t="inlineStr">
        <is>
          <t>A 42231-2022</t>
        </is>
      </c>
      <c r="B448" s="1" t="n">
        <v>44830</v>
      </c>
      <c r="C448" s="1" t="n">
        <v>46192</v>
      </c>
      <c r="D448" t="inlineStr">
        <is>
          <t>SKÅNE LÄN</t>
        </is>
      </c>
      <c r="E448" t="inlineStr">
        <is>
          <t>HÄSSLEHOLM</t>
        </is>
      </c>
      <c r="G448" t="n">
        <v>2.7</v>
      </c>
      <c r="H448" t="n">
        <v>0</v>
      </c>
      <c r="I448" t="n">
        <v>0</v>
      </c>
      <c r="J448" t="n">
        <v>0</v>
      </c>
      <c r="K448" t="n">
        <v>0</v>
      </c>
      <c r="L448" t="n">
        <v>0</v>
      </c>
      <c r="M448" t="n">
        <v>0</v>
      </c>
      <c r="N448" t="n">
        <v>0</v>
      </c>
      <c r="O448" t="n">
        <v>0</v>
      </c>
      <c r="P448" t="n">
        <v>0</v>
      </c>
      <c r="Q448" t="n">
        <v>0</v>
      </c>
      <c r="R448" s="2" t="inlineStr"/>
    </row>
    <row r="449" ht="15" customHeight="1">
      <c r="A449" t="inlineStr">
        <is>
          <t>A 51571-2023</t>
        </is>
      </c>
      <c r="B449" s="1" t="n">
        <v>45222</v>
      </c>
      <c r="C449" s="1" t="n">
        <v>46192</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11753-2025</t>
        </is>
      </c>
      <c r="B450" s="1" t="n">
        <v>45727</v>
      </c>
      <c r="C450" s="1" t="n">
        <v>46192</v>
      </c>
      <c r="D450" t="inlineStr">
        <is>
          <t>SKÅNE LÄN</t>
        </is>
      </c>
      <c r="E450" t="inlineStr">
        <is>
          <t>HÄSSLEHOLM</t>
        </is>
      </c>
      <c r="G450" t="n">
        <v>2.7</v>
      </c>
      <c r="H450" t="n">
        <v>0</v>
      </c>
      <c r="I450" t="n">
        <v>0</v>
      </c>
      <c r="J450" t="n">
        <v>0</v>
      </c>
      <c r="K450" t="n">
        <v>0</v>
      </c>
      <c r="L450" t="n">
        <v>0</v>
      </c>
      <c r="M450" t="n">
        <v>0</v>
      </c>
      <c r="N450" t="n">
        <v>0</v>
      </c>
      <c r="O450" t="n">
        <v>0</v>
      </c>
      <c r="P450" t="n">
        <v>0</v>
      </c>
      <c r="Q450" t="n">
        <v>0</v>
      </c>
      <c r="R450" s="2" t="inlineStr"/>
    </row>
    <row r="451" ht="15" customHeight="1">
      <c r="A451" t="inlineStr">
        <is>
          <t>A 49181-2024</t>
        </is>
      </c>
      <c r="B451" s="1" t="n">
        <v>45595</v>
      </c>
      <c r="C451" s="1" t="n">
        <v>46192</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32794-2023</t>
        </is>
      </c>
      <c r="B452" s="1" t="n">
        <v>45124</v>
      </c>
      <c r="C452" s="1" t="n">
        <v>46192</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59390-2021</t>
        </is>
      </c>
      <c r="B453" s="1" t="n">
        <v>44490</v>
      </c>
      <c r="C453" s="1" t="n">
        <v>46192</v>
      </c>
      <c r="D453" t="inlineStr">
        <is>
          <t>SKÅNE LÄN</t>
        </is>
      </c>
      <c r="E453" t="inlineStr">
        <is>
          <t>HÄSSLEHOLM</t>
        </is>
      </c>
      <c r="G453" t="n">
        <v>7.1</v>
      </c>
      <c r="H453" t="n">
        <v>0</v>
      </c>
      <c r="I453" t="n">
        <v>0</v>
      </c>
      <c r="J453" t="n">
        <v>0</v>
      </c>
      <c r="K453" t="n">
        <v>0</v>
      </c>
      <c r="L453" t="n">
        <v>0</v>
      </c>
      <c r="M453" t="n">
        <v>0</v>
      </c>
      <c r="N453" t="n">
        <v>0</v>
      </c>
      <c r="O453" t="n">
        <v>0</v>
      </c>
      <c r="P453" t="n">
        <v>0</v>
      </c>
      <c r="Q453" t="n">
        <v>0</v>
      </c>
      <c r="R453" s="2" t="inlineStr"/>
    </row>
    <row r="454" ht="15" customHeight="1">
      <c r="A454" t="inlineStr">
        <is>
          <t>A 61436-2024</t>
        </is>
      </c>
      <c r="B454" s="1" t="n">
        <v>45646</v>
      </c>
      <c r="C454" s="1" t="n">
        <v>46192</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37300-2023</t>
        </is>
      </c>
      <c r="B455" s="1" t="n">
        <v>45156</v>
      </c>
      <c r="C455" s="1" t="n">
        <v>46192</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35644-2023</t>
        </is>
      </c>
      <c r="B456" s="1" t="n">
        <v>45147</v>
      </c>
      <c r="C456" s="1" t="n">
        <v>46192</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3123-2023</t>
        </is>
      </c>
      <c r="B457" s="1" t="n">
        <v>44946</v>
      </c>
      <c r="C457" s="1" t="n">
        <v>46192</v>
      </c>
      <c r="D457" t="inlineStr">
        <is>
          <t>SKÅNE LÄN</t>
        </is>
      </c>
      <c r="E457" t="inlineStr">
        <is>
          <t>HÄSSLEHOLM</t>
        </is>
      </c>
      <c r="G457" t="n">
        <v>3.5</v>
      </c>
      <c r="H457" t="n">
        <v>0</v>
      </c>
      <c r="I457" t="n">
        <v>0</v>
      </c>
      <c r="J457" t="n">
        <v>0</v>
      </c>
      <c r="K457" t="n">
        <v>0</v>
      </c>
      <c r="L457" t="n">
        <v>0</v>
      </c>
      <c r="M457" t="n">
        <v>0</v>
      </c>
      <c r="N457" t="n">
        <v>0</v>
      </c>
      <c r="O457" t="n">
        <v>0</v>
      </c>
      <c r="P457" t="n">
        <v>0</v>
      </c>
      <c r="Q457" t="n">
        <v>0</v>
      </c>
      <c r="R457" s="2" t="inlineStr"/>
    </row>
    <row r="458" ht="15" customHeight="1">
      <c r="A458" t="inlineStr">
        <is>
          <t>A 3126-2023</t>
        </is>
      </c>
      <c r="B458" s="1" t="n">
        <v>44946</v>
      </c>
      <c r="C458" s="1" t="n">
        <v>46192</v>
      </c>
      <c r="D458" t="inlineStr">
        <is>
          <t>SKÅNE LÄN</t>
        </is>
      </c>
      <c r="E458" t="inlineStr">
        <is>
          <t>HÄSSLEHOLM</t>
        </is>
      </c>
      <c r="G458" t="n">
        <v>2.2</v>
      </c>
      <c r="H458" t="n">
        <v>0</v>
      </c>
      <c r="I458" t="n">
        <v>0</v>
      </c>
      <c r="J458" t="n">
        <v>0</v>
      </c>
      <c r="K458" t="n">
        <v>0</v>
      </c>
      <c r="L458" t="n">
        <v>0</v>
      </c>
      <c r="M458" t="n">
        <v>0</v>
      </c>
      <c r="N458" t="n">
        <v>0</v>
      </c>
      <c r="O458" t="n">
        <v>0</v>
      </c>
      <c r="P458" t="n">
        <v>0</v>
      </c>
      <c r="Q458" t="n">
        <v>0</v>
      </c>
      <c r="R458" s="2" t="inlineStr"/>
    </row>
    <row r="459" ht="15" customHeight="1">
      <c r="A459" t="inlineStr">
        <is>
          <t>A 3452-2023</t>
        </is>
      </c>
      <c r="B459" s="1" t="n">
        <v>44949</v>
      </c>
      <c r="C459" s="1" t="n">
        <v>46192</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37318-2024</t>
        </is>
      </c>
      <c r="B460" s="1" t="n">
        <v>45540</v>
      </c>
      <c r="C460" s="1" t="n">
        <v>46192</v>
      </c>
      <c r="D460" t="inlineStr">
        <is>
          <t>SKÅNE LÄN</t>
        </is>
      </c>
      <c r="E460" t="inlineStr">
        <is>
          <t>HÄSSLEHOLM</t>
        </is>
      </c>
      <c r="G460" t="n">
        <v>3.9</v>
      </c>
      <c r="H460" t="n">
        <v>0</v>
      </c>
      <c r="I460" t="n">
        <v>0</v>
      </c>
      <c r="J460" t="n">
        <v>0</v>
      </c>
      <c r="K460" t="n">
        <v>0</v>
      </c>
      <c r="L460" t="n">
        <v>0</v>
      </c>
      <c r="M460" t="n">
        <v>0</v>
      </c>
      <c r="N460" t="n">
        <v>0</v>
      </c>
      <c r="O460" t="n">
        <v>0</v>
      </c>
      <c r="P460" t="n">
        <v>0</v>
      </c>
      <c r="Q460" t="n">
        <v>0</v>
      </c>
      <c r="R460" s="2" t="inlineStr"/>
    </row>
    <row r="461" ht="15" customHeight="1">
      <c r="A461" t="inlineStr">
        <is>
          <t>A 37324-2024</t>
        </is>
      </c>
      <c r="B461" s="1" t="n">
        <v>45540</v>
      </c>
      <c r="C461" s="1" t="n">
        <v>46192</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50525-2024</t>
        </is>
      </c>
      <c r="B462" s="1" t="n">
        <v>45601</v>
      </c>
      <c r="C462" s="1" t="n">
        <v>46192</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260-2024</t>
        </is>
      </c>
      <c r="B463" s="1" t="n">
        <v>45294</v>
      </c>
      <c r="C463" s="1" t="n">
        <v>46192</v>
      </c>
      <c r="D463" t="inlineStr">
        <is>
          <t>SKÅNE LÄN</t>
        </is>
      </c>
      <c r="E463" t="inlineStr">
        <is>
          <t>HÄSSLEHOLM</t>
        </is>
      </c>
      <c r="G463" t="n">
        <v>0.2</v>
      </c>
      <c r="H463" t="n">
        <v>0</v>
      </c>
      <c r="I463" t="n">
        <v>0</v>
      </c>
      <c r="J463" t="n">
        <v>0</v>
      </c>
      <c r="K463" t="n">
        <v>0</v>
      </c>
      <c r="L463" t="n">
        <v>0</v>
      </c>
      <c r="M463" t="n">
        <v>0</v>
      </c>
      <c r="N463" t="n">
        <v>0</v>
      </c>
      <c r="O463" t="n">
        <v>0</v>
      </c>
      <c r="P463" t="n">
        <v>0</v>
      </c>
      <c r="Q463" t="n">
        <v>0</v>
      </c>
      <c r="R463" s="2" t="inlineStr"/>
    </row>
    <row r="464" ht="15" customHeight="1">
      <c r="A464" t="inlineStr">
        <is>
          <t>A 5016-2024</t>
        </is>
      </c>
      <c r="B464" s="1" t="n">
        <v>45329</v>
      </c>
      <c r="C464" s="1" t="n">
        <v>46192</v>
      </c>
      <c r="D464" t="inlineStr">
        <is>
          <t>SKÅNE LÄN</t>
        </is>
      </c>
      <c r="E464" t="inlineStr">
        <is>
          <t>HÄSSLEHOLM</t>
        </is>
      </c>
      <c r="G464" t="n">
        <v>3.2</v>
      </c>
      <c r="H464" t="n">
        <v>0</v>
      </c>
      <c r="I464" t="n">
        <v>0</v>
      </c>
      <c r="J464" t="n">
        <v>0</v>
      </c>
      <c r="K464" t="n">
        <v>0</v>
      </c>
      <c r="L464" t="n">
        <v>0</v>
      </c>
      <c r="M464" t="n">
        <v>0</v>
      </c>
      <c r="N464" t="n">
        <v>0</v>
      </c>
      <c r="O464" t="n">
        <v>0</v>
      </c>
      <c r="P464" t="n">
        <v>0</v>
      </c>
      <c r="Q464" t="n">
        <v>0</v>
      </c>
      <c r="R464" s="2" t="inlineStr"/>
    </row>
    <row r="465" ht="15" customHeight="1">
      <c r="A465" t="inlineStr">
        <is>
          <t>A 11603-2025</t>
        </is>
      </c>
      <c r="B465" s="1" t="n">
        <v>45727</v>
      </c>
      <c r="C465" s="1" t="n">
        <v>46192</v>
      </c>
      <c r="D465" t="inlineStr">
        <is>
          <t>SKÅNE LÄN</t>
        </is>
      </c>
      <c r="E465" t="inlineStr">
        <is>
          <t>HÄSSLEHOLM</t>
        </is>
      </c>
      <c r="G465" t="n">
        <v>5.6</v>
      </c>
      <c r="H465" t="n">
        <v>0</v>
      </c>
      <c r="I465" t="n">
        <v>0</v>
      </c>
      <c r="J465" t="n">
        <v>0</v>
      </c>
      <c r="K465" t="n">
        <v>0</v>
      </c>
      <c r="L465" t="n">
        <v>0</v>
      </c>
      <c r="M465" t="n">
        <v>0</v>
      </c>
      <c r="N465" t="n">
        <v>0</v>
      </c>
      <c r="O465" t="n">
        <v>0</v>
      </c>
      <c r="P465" t="n">
        <v>0</v>
      </c>
      <c r="Q465" t="n">
        <v>0</v>
      </c>
      <c r="R465" s="2" t="inlineStr"/>
    </row>
    <row r="466" ht="15" customHeight="1">
      <c r="A466" t="inlineStr">
        <is>
          <t>A 57656-2022</t>
        </is>
      </c>
      <c r="B466" s="1" t="n">
        <v>44897</v>
      </c>
      <c r="C466" s="1" t="n">
        <v>46192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1616-2025</t>
        </is>
      </c>
      <c r="B467" s="1" t="n">
        <v>45670</v>
      </c>
      <c r="C467" s="1" t="n">
        <v>46192</v>
      </c>
      <c r="D467" t="inlineStr">
        <is>
          <t>SKÅNE LÄN</t>
        </is>
      </c>
      <c r="E467" t="inlineStr">
        <is>
          <t>HÄSSLEHOLM</t>
        </is>
      </c>
      <c r="G467" t="n">
        <v>3.6</v>
      </c>
      <c r="H467" t="n">
        <v>0</v>
      </c>
      <c r="I467" t="n">
        <v>0</v>
      </c>
      <c r="J467" t="n">
        <v>0</v>
      </c>
      <c r="K467" t="n">
        <v>0</v>
      </c>
      <c r="L467" t="n">
        <v>0</v>
      </c>
      <c r="M467" t="n">
        <v>0</v>
      </c>
      <c r="N467" t="n">
        <v>0</v>
      </c>
      <c r="O467" t="n">
        <v>0</v>
      </c>
      <c r="P467" t="n">
        <v>0</v>
      </c>
      <c r="Q467" t="n">
        <v>0</v>
      </c>
      <c r="R467" s="2" t="inlineStr"/>
    </row>
    <row r="468" ht="15" customHeight="1">
      <c r="A468" t="inlineStr">
        <is>
          <t>A 32881-2024</t>
        </is>
      </c>
      <c r="B468" s="1" t="n">
        <v>45516</v>
      </c>
      <c r="C468" s="1" t="n">
        <v>46192</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53055-2021</t>
        </is>
      </c>
      <c r="B469" s="1" t="n">
        <v>44467</v>
      </c>
      <c r="C469" s="1" t="n">
        <v>46192</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23860-2024</t>
        </is>
      </c>
      <c r="B470" s="1" t="n">
        <v>45455</v>
      </c>
      <c r="C470" s="1" t="n">
        <v>46192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23864-2024</t>
        </is>
      </c>
      <c r="B471" s="1" t="n">
        <v>45455</v>
      </c>
      <c r="C471" s="1" t="n">
        <v>46192</v>
      </c>
      <c r="D471" t="inlineStr">
        <is>
          <t>SKÅNE LÄN</t>
        </is>
      </c>
      <c r="E471" t="inlineStr">
        <is>
          <t>HÄSSLEHOLM</t>
        </is>
      </c>
      <c r="G471" t="n">
        <v>6.2</v>
      </c>
      <c r="H471" t="n">
        <v>0</v>
      </c>
      <c r="I471" t="n">
        <v>0</v>
      </c>
      <c r="J471" t="n">
        <v>0</v>
      </c>
      <c r="K471" t="n">
        <v>0</v>
      </c>
      <c r="L471" t="n">
        <v>0</v>
      </c>
      <c r="M471" t="n">
        <v>0</v>
      </c>
      <c r="N471" t="n">
        <v>0</v>
      </c>
      <c r="O471" t="n">
        <v>0</v>
      </c>
      <c r="P471" t="n">
        <v>0</v>
      </c>
      <c r="Q471" t="n">
        <v>0</v>
      </c>
      <c r="R471" s="2" t="inlineStr"/>
    </row>
    <row r="472" ht="15" customHeight="1">
      <c r="A472" t="inlineStr">
        <is>
          <t>A 7192-2025</t>
        </is>
      </c>
      <c r="B472" s="1" t="n">
        <v>45702</v>
      </c>
      <c r="C472" s="1" t="n">
        <v>46192</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25206-2023</t>
        </is>
      </c>
      <c r="B473" s="1" t="n">
        <v>45086</v>
      </c>
      <c r="C473" s="1" t="n">
        <v>46192</v>
      </c>
      <c r="D473" t="inlineStr">
        <is>
          <t>SKÅNE LÄN</t>
        </is>
      </c>
      <c r="E473" t="inlineStr">
        <is>
          <t>HÄSSLEHOLM</t>
        </is>
      </c>
      <c r="G473" t="n">
        <v>2.9</v>
      </c>
      <c r="H473" t="n">
        <v>0</v>
      </c>
      <c r="I473" t="n">
        <v>0</v>
      </c>
      <c r="J473" t="n">
        <v>0</v>
      </c>
      <c r="K473" t="n">
        <v>0</v>
      </c>
      <c r="L473" t="n">
        <v>0</v>
      </c>
      <c r="M473" t="n">
        <v>0</v>
      </c>
      <c r="N473" t="n">
        <v>0</v>
      </c>
      <c r="O473" t="n">
        <v>0</v>
      </c>
      <c r="P473" t="n">
        <v>0</v>
      </c>
      <c r="Q473" t="n">
        <v>0</v>
      </c>
      <c r="R473" s="2" t="inlineStr"/>
    </row>
    <row r="474" ht="15" customHeight="1">
      <c r="A474" t="inlineStr">
        <is>
          <t>A 25221-2023</t>
        </is>
      </c>
      <c r="B474" s="1" t="n">
        <v>45086</v>
      </c>
      <c r="C474" s="1" t="n">
        <v>46192</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57272-2023</t>
        </is>
      </c>
      <c r="B475" s="1" t="n">
        <v>45245</v>
      </c>
      <c r="C475" s="1" t="n">
        <v>46192</v>
      </c>
      <c r="D475" t="inlineStr">
        <is>
          <t>SKÅNE LÄN</t>
        </is>
      </c>
      <c r="E475" t="inlineStr">
        <is>
          <t>HÄSSLEHOLM</t>
        </is>
      </c>
      <c r="G475" t="n">
        <v>2.3</v>
      </c>
      <c r="H475" t="n">
        <v>0</v>
      </c>
      <c r="I475" t="n">
        <v>0</v>
      </c>
      <c r="J475" t="n">
        <v>0</v>
      </c>
      <c r="K475" t="n">
        <v>0</v>
      </c>
      <c r="L475" t="n">
        <v>0</v>
      </c>
      <c r="M475" t="n">
        <v>0</v>
      </c>
      <c r="N475" t="n">
        <v>0</v>
      </c>
      <c r="O475" t="n">
        <v>0</v>
      </c>
      <c r="P475" t="n">
        <v>0</v>
      </c>
      <c r="Q475" t="n">
        <v>0</v>
      </c>
      <c r="R475" s="2" t="inlineStr"/>
    </row>
    <row r="476" ht="15" customHeight="1">
      <c r="A476" t="inlineStr">
        <is>
          <t>A 13856-2025</t>
        </is>
      </c>
      <c r="B476" s="1" t="n">
        <v>45737</v>
      </c>
      <c r="C476" s="1" t="n">
        <v>46192</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11798-2022</t>
        </is>
      </c>
      <c r="B477" s="1" t="n">
        <v>44634</v>
      </c>
      <c r="C477" s="1" t="n">
        <v>46192</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56881-2021</t>
        </is>
      </c>
      <c r="B478" s="1" t="n">
        <v>44481</v>
      </c>
      <c r="C478" s="1" t="n">
        <v>46192</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48889-2024</t>
        </is>
      </c>
      <c r="B479" s="1" t="n">
        <v>45594</v>
      </c>
      <c r="C479" s="1" t="n">
        <v>46192</v>
      </c>
      <c r="D479" t="inlineStr">
        <is>
          <t>SKÅNE LÄN</t>
        </is>
      </c>
      <c r="E479" t="inlineStr">
        <is>
          <t>HÄSSLEHOLM</t>
        </is>
      </c>
      <c r="G479" t="n">
        <v>1.5</v>
      </c>
      <c r="H479" t="n">
        <v>0</v>
      </c>
      <c r="I479" t="n">
        <v>0</v>
      </c>
      <c r="J479" t="n">
        <v>0</v>
      </c>
      <c r="K479" t="n">
        <v>0</v>
      </c>
      <c r="L479" t="n">
        <v>0</v>
      </c>
      <c r="M479" t="n">
        <v>0</v>
      </c>
      <c r="N479" t="n">
        <v>0</v>
      </c>
      <c r="O479" t="n">
        <v>0</v>
      </c>
      <c r="P479" t="n">
        <v>0</v>
      </c>
      <c r="Q479" t="n">
        <v>0</v>
      </c>
      <c r="R479" s="2" t="inlineStr"/>
    </row>
    <row r="480" ht="15" customHeight="1">
      <c r="A480" t="inlineStr">
        <is>
          <t>A 13673-2023</t>
        </is>
      </c>
      <c r="B480" s="1" t="n">
        <v>45006</v>
      </c>
      <c r="C480" s="1" t="n">
        <v>46192</v>
      </c>
      <c r="D480" t="inlineStr">
        <is>
          <t>SKÅNE LÄN</t>
        </is>
      </c>
      <c r="E480" t="inlineStr">
        <is>
          <t>HÄSSLEHOLM</t>
        </is>
      </c>
      <c r="G480" t="n">
        <v>3.2</v>
      </c>
      <c r="H480" t="n">
        <v>0</v>
      </c>
      <c r="I480" t="n">
        <v>0</v>
      </c>
      <c r="J480" t="n">
        <v>0</v>
      </c>
      <c r="K480" t="n">
        <v>0</v>
      </c>
      <c r="L480" t="n">
        <v>0</v>
      </c>
      <c r="M480" t="n">
        <v>0</v>
      </c>
      <c r="N480" t="n">
        <v>0</v>
      </c>
      <c r="O480" t="n">
        <v>0</v>
      </c>
      <c r="P480" t="n">
        <v>0</v>
      </c>
      <c r="Q480" t="n">
        <v>0</v>
      </c>
      <c r="R480" s="2" t="inlineStr"/>
    </row>
    <row r="481" ht="15" customHeight="1">
      <c r="A481" t="inlineStr">
        <is>
          <t>A 8263-2025</t>
        </is>
      </c>
      <c r="B481" s="1" t="n">
        <v>45708</v>
      </c>
      <c r="C481" s="1" t="n">
        <v>46192</v>
      </c>
      <c r="D481" t="inlineStr">
        <is>
          <t>SKÅNE LÄN</t>
        </is>
      </c>
      <c r="E481" t="inlineStr">
        <is>
          <t>HÄSSLEHOLM</t>
        </is>
      </c>
      <c r="G481" t="n">
        <v>2.9</v>
      </c>
      <c r="H481" t="n">
        <v>0</v>
      </c>
      <c r="I481" t="n">
        <v>0</v>
      </c>
      <c r="J481" t="n">
        <v>0</v>
      </c>
      <c r="K481" t="n">
        <v>0</v>
      </c>
      <c r="L481" t="n">
        <v>0</v>
      </c>
      <c r="M481" t="n">
        <v>0</v>
      </c>
      <c r="N481" t="n">
        <v>0</v>
      </c>
      <c r="O481" t="n">
        <v>0</v>
      </c>
      <c r="P481" t="n">
        <v>0</v>
      </c>
      <c r="Q481" t="n">
        <v>0</v>
      </c>
      <c r="R481" s="2" t="inlineStr"/>
    </row>
    <row r="482" ht="15" customHeight="1">
      <c r="A482" t="inlineStr">
        <is>
          <t>A 29275-2023</t>
        </is>
      </c>
      <c r="B482" s="1" t="n">
        <v>45105</v>
      </c>
      <c r="C482" s="1" t="n">
        <v>46192</v>
      </c>
      <c r="D482" t="inlineStr">
        <is>
          <t>SKÅNE LÄN</t>
        </is>
      </c>
      <c r="E482" t="inlineStr">
        <is>
          <t>HÄSSLEHOLM</t>
        </is>
      </c>
      <c r="G482" t="n">
        <v>2.1</v>
      </c>
      <c r="H482" t="n">
        <v>0</v>
      </c>
      <c r="I482" t="n">
        <v>0</v>
      </c>
      <c r="J482" t="n">
        <v>0</v>
      </c>
      <c r="K482" t="n">
        <v>0</v>
      </c>
      <c r="L482" t="n">
        <v>0</v>
      </c>
      <c r="M482" t="n">
        <v>0</v>
      </c>
      <c r="N482" t="n">
        <v>0</v>
      </c>
      <c r="O482" t="n">
        <v>0</v>
      </c>
      <c r="P482" t="n">
        <v>0</v>
      </c>
      <c r="Q482" t="n">
        <v>0</v>
      </c>
      <c r="R482" s="2" t="inlineStr"/>
    </row>
    <row r="483" ht="15" customHeight="1">
      <c r="A483" t="inlineStr">
        <is>
          <t>A 38306-2022</t>
        </is>
      </c>
      <c r="B483" s="1" t="n">
        <v>44812</v>
      </c>
      <c r="C483" s="1" t="n">
        <v>46192</v>
      </c>
      <c r="D483" t="inlineStr">
        <is>
          <t>SKÅNE LÄN</t>
        </is>
      </c>
      <c r="E483" t="inlineStr">
        <is>
          <t>HÄSSLEHOLM</t>
        </is>
      </c>
      <c r="G483" t="n">
        <v>2.2</v>
      </c>
      <c r="H483" t="n">
        <v>0</v>
      </c>
      <c r="I483" t="n">
        <v>0</v>
      </c>
      <c r="J483" t="n">
        <v>0</v>
      </c>
      <c r="K483" t="n">
        <v>0</v>
      </c>
      <c r="L483" t="n">
        <v>0</v>
      </c>
      <c r="M483" t="n">
        <v>0</v>
      </c>
      <c r="N483" t="n">
        <v>0</v>
      </c>
      <c r="O483" t="n">
        <v>0</v>
      </c>
      <c r="P483" t="n">
        <v>0</v>
      </c>
      <c r="Q483" t="n">
        <v>0</v>
      </c>
      <c r="R483" s="2" t="inlineStr"/>
    </row>
    <row r="484" ht="15" customHeight="1">
      <c r="A484" t="inlineStr">
        <is>
          <t>A 38712-2024</t>
        </is>
      </c>
      <c r="B484" s="1" t="n">
        <v>45547</v>
      </c>
      <c r="C484" s="1" t="n">
        <v>46192</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13310-2025</t>
        </is>
      </c>
      <c r="B485" s="1" t="n">
        <v>45735</v>
      </c>
      <c r="C485" s="1" t="n">
        <v>46192</v>
      </c>
      <c r="D485" t="inlineStr">
        <is>
          <t>SKÅNE LÄN</t>
        </is>
      </c>
      <c r="E485" t="inlineStr">
        <is>
          <t>HÄSSLEHOLM</t>
        </is>
      </c>
      <c r="G485" t="n">
        <v>2</v>
      </c>
      <c r="H485" t="n">
        <v>0</v>
      </c>
      <c r="I485" t="n">
        <v>0</v>
      </c>
      <c r="J485" t="n">
        <v>0</v>
      </c>
      <c r="K485" t="n">
        <v>0</v>
      </c>
      <c r="L485" t="n">
        <v>0</v>
      </c>
      <c r="M485" t="n">
        <v>0</v>
      </c>
      <c r="N485" t="n">
        <v>0</v>
      </c>
      <c r="O485" t="n">
        <v>0</v>
      </c>
      <c r="P485" t="n">
        <v>0</v>
      </c>
      <c r="Q485" t="n">
        <v>0</v>
      </c>
      <c r="R485" s="2" t="inlineStr"/>
    </row>
    <row r="486" ht="15" customHeight="1">
      <c r="A486" t="inlineStr">
        <is>
          <t>A 22595-2024</t>
        </is>
      </c>
      <c r="B486" s="1" t="n">
        <v>45447</v>
      </c>
      <c r="C486" s="1" t="n">
        <v>46192</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3746-2024</t>
        </is>
      </c>
      <c r="B487" s="1" t="n">
        <v>45321</v>
      </c>
      <c r="C487" s="1" t="n">
        <v>46192</v>
      </c>
      <c r="D487" t="inlineStr">
        <is>
          <t>SKÅNE LÄN</t>
        </is>
      </c>
      <c r="E487" t="inlineStr">
        <is>
          <t>HÄSSLEHOLM</t>
        </is>
      </c>
      <c r="G487" t="n">
        <v>3.4</v>
      </c>
      <c r="H487" t="n">
        <v>0</v>
      </c>
      <c r="I487" t="n">
        <v>0</v>
      </c>
      <c r="J487" t="n">
        <v>0</v>
      </c>
      <c r="K487" t="n">
        <v>0</v>
      </c>
      <c r="L487" t="n">
        <v>0</v>
      </c>
      <c r="M487" t="n">
        <v>0</v>
      </c>
      <c r="N487" t="n">
        <v>0</v>
      </c>
      <c r="O487" t="n">
        <v>0</v>
      </c>
      <c r="P487" t="n">
        <v>0</v>
      </c>
      <c r="Q487" t="n">
        <v>0</v>
      </c>
      <c r="R487" s="2" t="inlineStr"/>
    </row>
    <row r="488" ht="15" customHeight="1">
      <c r="A488" t="inlineStr">
        <is>
          <t>A 57649-2022</t>
        </is>
      </c>
      <c r="B488" s="1" t="n">
        <v>44897</v>
      </c>
      <c r="C488" s="1" t="n">
        <v>46192</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57665-2022</t>
        </is>
      </c>
      <c r="B489" s="1" t="n">
        <v>44897</v>
      </c>
      <c r="C489" s="1" t="n">
        <v>46192</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14145-2023</t>
        </is>
      </c>
      <c r="B490" s="1" t="n">
        <v>45009</v>
      </c>
      <c r="C490" s="1" t="n">
        <v>46192</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8244-2023</t>
        </is>
      </c>
      <c r="B491" s="1" t="n">
        <v>44974</v>
      </c>
      <c r="C491" s="1" t="n">
        <v>46192</v>
      </c>
      <c r="D491" t="inlineStr">
        <is>
          <t>SKÅNE LÄN</t>
        </is>
      </c>
      <c r="E491" t="inlineStr">
        <is>
          <t>HÄSSLEHOLM</t>
        </is>
      </c>
      <c r="G491" t="n">
        <v>1.2</v>
      </c>
      <c r="H491" t="n">
        <v>0</v>
      </c>
      <c r="I491" t="n">
        <v>0</v>
      </c>
      <c r="J491" t="n">
        <v>0</v>
      </c>
      <c r="K491" t="n">
        <v>0</v>
      </c>
      <c r="L491" t="n">
        <v>0</v>
      </c>
      <c r="M491" t="n">
        <v>0</v>
      </c>
      <c r="N491" t="n">
        <v>0</v>
      </c>
      <c r="O491" t="n">
        <v>0</v>
      </c>
      <c r="P491" t="n">
        <v>0</v>
      </c>
      <c r="Q491" t="n">
        <v>0</v>
      </c>
      <c r="R491" s="2" t="inlineStr"/>
    </row>
    <row r="492" ht="15" customHeight="1">
      <c r="A492" t="inlineStr">
        <is>
          <t>A 8246-2023</t>
        </is>
      </c>
      <c r="B492" s="1" t="n">
        <v>44974</v>
      </c>
      <c r="C492" s="1" t="n">
        <v>46192</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12584-2025</t>
        </is>
      </c>
      <c r="B493" s="1" t="n">
        <v>45732</v>
      </c>
      <c r="C493" s="1" t="n">
        <v>46192</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25606-2024</t>
        </is>
      </c>
      <c r="B494" s="1" t="n">
        <v>45463</v>
      </c>
      <c r="C494" s="1" t="n">
        <v>46192</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20279-2025</t>
        </is>
      </c>
      <c r="B495" s="1" t="n">
        <v>45774</v>
      </c>
      <c r="C495" s="1" t="n">
        <v>46192</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59431-2023</t>
        </is>
      </c>
      <c r="B496" s="1" t="n">
        <v>45254</v>
      </c>
      <c r="C496" s="1" t="n">
        <v>46192</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59433-2023</t>
        </is>
      </c>
      <c r="B497" s="1" t="n">
        <v>45254</v>
      </c>
      <c r="C497" s="1" t="n">
        <v>46192</v>
      </c>
      <c r="D497" t="inlineStr">
        <is>
          <t>SKÅNE LÄN</t>
        </is>
      </c>
      <c r="E497" t="inlineStr">
        <is>
          <t>HÄSSLEHOLM</t>
        </is>
      </c>
      <c r="G497" t="n">
        <v>3.1</v>
      </c>
      <c r="H497" t="n">
        <v>0</v>
      </c>
      <c r="I497" t="n">
        <v>0</v>
      </c>
      <c r="J497" t="n">
        <v>0</v>
      </c>
      <c r="K497" t="n">
        <v>0</v>
      </c>
      <c r="L497" t="n">
        <v>0</v>
      </c>
      <c r="M497" t="n">
        <v>0</v>
      </c>
      <c r="N497" t="n">
        <v>0</v>
      </c>
      <c r="O497" t="n">
        <v>0</v>
      </c>
      <c r="P497" t="n">
        <v>0</v>
      </c>
      <c r="Q497" t="n">
        <v>0</v>
      </c>
      <c r="R497" s="2" t="inlineStr"/>
    </row>
    <row r="498" ht="15" customHeight="1">
      <c r="A498" t="inlineStr">
        <is>
          <t>A 55416-2021</t>
        </is>
      </c>
      <c r="B498" s="1" t="n">
        <v>44475</v>
      </c>
      <c r="C498" s="1" t="n">
        <v>46192</v>
      </c>
      <c r="D498" t="inlineStr">
        <is>
          <t>SKÅNE LÄN</t>
        </is>
      </c>
      <c r="E498" t="inlineStr">
        <is>
          <t>HÄSSLEHOLM</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4579-2025</t>
        </is>
      </c>
      <c r="B499" s="1" t="n">
        <v>45687</v>
      </c>
      <c r="C499" s="1" t="n">
        <v>46192</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21141-2024</t>
        </is>
      </c>
      <c r="B500" s="1" t="n">
        <v>45440</v>
      </c>
      <c r="C500" s="1" t="n">
        <v>46192</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4945-2022</t>
        </is>
      </c>
      <c r="B501" s="1" t="n">
        <v>44593</v>
      </c>
      <c r="C501" s="1" t="n">
        <v>46192</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12469-2023</t>
        </is>
      </c>
      <c r="B502" s="1" t="n">
        <v>44999</v>
      </c>
      <c r="C502" s="1" t="n">
        <v>46192</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45400-2022</t>
        </is>
      </c>
      <c r="B503" s="1" t="n">
        <v>44844</v>
      </c>
      <c r="C503" s="1" t="n">
        <v>46192</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12558-2023</t>
        </is>
      </c>
      <c r="B504" s="1" t="n">
        <v>45000</v>
      </c>
      <c r="C504" s="1" t="n">
        <v>46192</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4119-2024</t>
        </is>
      </c>
      <c r="B505" s="1" t="n">
        <v>45323</v>
      </c>
      <c r="C505" s="1" t="n">
        <v>46192</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6835-2023</t>
        </is>
      </c>
      <c r="B506" s="1" t="n">
        <v>44967</v>
      </c>
      <c r="C506" s="1" t="n">
        <v>46192</v>
      </c>
      <c r="D506" t="inlineStr">
        <is>
          <t>SKÅNE LÄN</t>
        </is>
      </c>
      <c r="E506" t="inlineStr">
        <is>
          <t>HÄSSLEHOLM</t>
        </is>
      </c>
      <c r="G506" t="n">
        <v>4.8</v>
      </c>
      <c r="H506" t="n">
        <v>0</v>
      </c>
      <c r="I506" t="n">
        <v>0</v>
      </c>
      <c r="J506" t="n">
        <v>0</v>
      </c>
      <c r="K506" t="n">
        <v>0</v>
      </c>
      <c r="L506" t="n">
        <v>0</v>
      </c>
      <c r="M506" t="n">
        <v>0</v>
      </c>
      <c r="N506" t="n">
        <v>0</v>
      </c>
      <c r="O506" t="n">
        <v>0</v>
      </c>
      <c r="P506" t="n">
        <v>0</v>
      </c>
      <c r="Q506" t="n">
        <v>0</v>
      </c>
      <c r="R506" s="2" t="inlineStr"/>
    </row>
    <row r="507" ht="15" customHeight="1">
      <c r="A507" t="inlineStr">
        <is>
          <t>A 47757-2024</t>
        </is>
      </c>
      <c r="B507" s="1" t="n">
        <v>45588</v>
      </c>
      <c r="C507" s="1" t="n">
        <v>46192</v>
      </c>
      <c r="D507" t="inlineStr">
        <is>
          <t>SKÅNE LÄN</t>
        </is>
      </c>
      <c r="E507" t="inlineStr">
        <is>
          <t>HÄSSLEHOLM</t>
        </is>
      </c>
      <c r="G507" t="n">
        <v>5.5</v>
      </c>
      <c r="H507" t="n">
        <v>0</v>
      </c>
      <c r="I507" t="n">
        <v>0</v>
      </c>
      <c r="J507" t="n">
        <v>0</v>
      </c>
      <c r="K507" t="n">
        <v>0</v>
      </c>
      <c r="L507" t="n">
        <v>0</v>
      </c>
      <c r="M507" t="n">
        <v>0</v>
      </c>
      <c r="N507" t="n">
        <v>0</v>
      </c>
      <c r="O507" t="n">
        <v>0</v>
      </c>
      <c r="P507" t="n">
        <v>0</v>
      </c>
      <c r="Q507" t="n">
        <v>0</v>
      </c>
      <c r="R507" s="2" t="inlineStr"/>
    </row>
    <row r="508" ht="15" customHeight="1">
      <c r="A508" t="inlineStr">
        <is>
          <t>A 13961-2023</t>
        </is>
      </c>
      <c r="B508" s="1" t="n">
        <v>45008</v>
      </c>
      <c r="C508" s="1" t="n">
        <v>46192</v>
      </c>
      <c r="D508" t="inlineStr">
        <is>
          <t>SKÅNE LÄN</t>
        </is>
      </c>
      <c r="E508" t="inlineStr">
        <is>
          <t>HÄSSLEHOLM</t>
        </is>
      </c>
      <c r="G508" t="n">
        <v>3.8</v>
      </c>
      <c r="H508" t="n">
        <v>0</v>
      </c>
      <c r="I508" t="n">
        <v>0</v>
      </c>
      <c r="J508" t="n">
        <v>0</v>
      </c>
      <c r="K508" t="n">
        <v>0</v>
      </c>
      <c r="L508" t="n">
        <v>0</v>
      </c>
      <c r="M508" t="n">
        <v>0</v>
      </c>
      <c r="N508" t="n">
        <v>0</v>
      </c>
      <c r="O508" t="n">
        <v>0</v>
      </c>
      <c r="P508" t="n">
        <v>0</v>
      </c>
      <c r="Q508" t="n">
        <v>0</v>
      </c>
      <c r="R508" s="2" t="inlineStr"/>
    </row>
    <row r="509" ht="15" customHeight="1">
      <c r="A509" t="inlineStr">
        <is>
          <t>A 7581-2023</t>
        </is>
      </c>
      <c r="B509" s="1" t="n">
        <v>44972</v>
      </c>
      <c r="C509" s="1" t="n">
        <v>46192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48191-2021</t>
        </is>
      </c>
      <c r="B510" s="1" t="n">
        <v>44449</v>
      </c>
      <c r="C510" s="1" t="n">
        <v>46192</v>
      </c>
      <c r="D510" t="inlineStr">
        <is>
          <t>SKÅNE LÄN</t>
        </is>
      </c>
      <c r="E510" t="inlineStr">
        <is>
          <t>HÄSSLEHOLM</t>
        </is>
      </c>
      <c r="G510" t="n">
        <v>6</v>
      </c>
      <c r="H510" t="n">
        <v>0</v>
      </c>
      <c r="I510" t="n">
        <v>0</v>
      </c>
      <c r="J510" t="n">
        <v>0</v>
      </c>
      <c r="K510" t="n">
        <v>0</v>
      </c>
      <c r="L510" t="n">
        <v>0</v>
      </c>
      <c r="M510" t="n">
        <v>0</v>
      </c>
      <c r="N510" t="n">
        <v>0</v>
      </c>
      <c r="O510" t="n">
        <v>0</v>
      </c>
      <c r="P510" t="n">
        <v>0</v>
      </c>
      <c r="Q510" t="n">
        <v>0</v>
      </c>
      <c r="R510" s="2" t="inlineStr"/>
    </row>
    <row r="511" ht="15" customHeight="1">
      <c r="A511" t="inlineStr">
        <is>
          <t>A 26536-2022</t>
        </is>
      </c>
      <c r="B511" s="1" t="n">
        <v>44739</v>
      </c>
      <c r="C511" s="1" t="n">
        <v>46192</v>
      </c>
      <c r="D511" t="inlineStr">
        <is>
          <t>SKÅNE LÄN</t>
        </is>
      </c>
      <c r="E511" t="inlineStr">
        <is>
          <t>HÄSSLEHOLM</t>
        </is>
      </c>
      <c r="G511" t="n">
        <v>3.1</v>
      </c>
      <c r="H511" t="n">
        <v>0</v>
      </c>
      <c r="I511" t="n">
        <v>0</v>
      </c>
      <c r="J511" t="n">
        <v>0</v>
      </c>
      <c r="K511" t="n">
        <v>0</v>
      </c>
      <c r="L511" t="n">
        <v>0</v>
      </c>
      <c r="M511" t="n">
        <v>0</v>
      </c>
      <c r="N511" t="n">
        <v>0</v>
      </c>
      <c r="O511" t="n">
        <v>0</v>
      </c>
      <c r="P511" t="n">
        <v>0</v>
      </c>
      <c r="Q511" t="n">
        <v>0</v>
      </c>
      <c r="R511" s="2" t="inlineStr"/>
    </row>
    <row r="512" ht="15" customHeight="1">
      <c r="A512" t="inlineStr">
        <is>
          <t>A 5282-2023</t>
        </is>
      </c>
      <c r="B512" s="1" t="n">
        <v>44959</v>
      </c>
      <c r="C512" s="1" t="n">
        <v>46192</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25057-2024</t>
        </is>
      </c>
      <c r="B513" s="1" t="n">
        <v>45462</v>
      </c>
      <c r="C513" s="1" t="n">
        <v>46192</v>
      </c>
      <c r="D513" t="inlineStr">
        <is>
          <t>SKÅNE LÄN</t>
        </is>
      </c>
      <c r="E513" t="inlineStr">
        <is>
          <t>HÄSSLEHOLM</t>
        </is>
      </c>
      <c r="G513" t="n">
        <v>4.3</v>
      </c>
      <c r="H513" t="n">
        <v>0</v>
      </c>
      <c r="I513" t="n">
        <v>0</v>
      </c>
      <c r="J513" t="n">
        <v>0</v>
      </c>
      <c r="K513" t="n">
        <v>0</v>
      </c>
      <c r="L513" t="n">
        <v>0</v>
      </c>
      <c r="M513" t="n">
        <v>0</v>
      </c>
      <c r="N513" t="n">
        <v>0</v>
      </c>
      <c r="O513" t="n">
        <v>0</v>
      </c>
      <c r="P513" t="n">
        <v>0</v>
      </c>
      <c r="Q513" t="n">
        <v>0</v>
      </c>
      <c r="R513" s="2" t="inlineStr"/>
    </row>
    <row r="514" ht="15" customHeight="1">
      <c r="A514" t="inlineStr">
        <is>
          <t>A 52548-2023</t>
        </is>
      </c>
      <c r="B514" s="1" t="n">
        <v>45218</v>
      </c>
      <c r="C514" s="1" t="n">
        <v>46192</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62264-2025</t>
        </is>
      </c>
      <c r="B515" s="1" t="n">
        <v>46006</v>
      </c>
      <c r="C515" s="1" t="n">
        <v>46192</v>
      </c>
      <c r="D515" t="inlineStr">
        <is>
          <t>SKÅNE LÄN</t>
        </is>
      </c>
      <c r="E515" t="inlineStr">
        <is>
          <t>HÄSSLEHOLM</t>
        </is>
      </c>
      <c r="G515" t="n">
        <v>7.5</v>
      </c>
      <c r="H515" t="n">
        <v>0</v>
      </c>
      <c r="I515" t="n">
        <v>0</v>
      </c>
      <c r="J515" t="n">
        <v>0</v>
      </c>
      <c r="K515" t="n">
        <v>0</v>
      </c>
      <c r="L515" t="n">
        <v>0</v>
      </c>
      <c r="M515" t="n">
        <v>0</v>
      </c>
      <c r="N515" t="n">
        <v>0</v>
      </c>
      <c r="O515" t="n">
        <v>0</v>
      </c>
      <c r="P515" t="n">
        <v>0</v>
      </c>
      <c r="Q515" t="n">
        <v>0</v>
      </c>
      <c r="R515" s="2" t="inlineStr"/>
    </row>
    <row r="516" ht="15" customHeight="1">
      <c r="A516" t="inlineStr">
        <is>
          <t>A 12503-2022</t>
        </is>
      </c>
      <c r="B516" s="1" t="n">
        <v>44638</v>
      </c>
      <c r="C516" s="1" t="n">
        <v>46192</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9485-2023</t>
        </is>
      </c>
      <c r="B517" s="1" t="n">
        <v>44981</v>
      </c>
      <c r="C517" s="1" t="n">
        <v>46192</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54777-2022</t>
        </is>
      </c>
      <c r="B518" s="1" t="n">
        <v>44883</v>
      </c>
      <c r="C518" s="1" t="n">
        <v>46192</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13555-2025</t>
        </is>
      </c>
      <c r="B519" s="1" t="n">
        <v>45736</v>
      </c>
      <c r="C519" s="1" t="n">
        <v>46192</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44940-2023</t>
        </is>
      </c>
      <c r="B520" s="1" t="n">
        <v>45190</v>
      </c>
      <c r="C520" s="1" t="n">
        <v>46192</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22696-2023</t>
        </is>
      </c>
      <c r="B521" s="1" t="n">
        <v>45071</v>
      </c>
      <c r="C521" s="1" t="n">
        <v>46192</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52337-2023</t>
        </is>
      </c>
      <c r="B522" s="1" t="n">
        <v>45224</v>
      </c>
      <c r="C522" s="1" t="n">
        <v>46192</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12570-2023</t>
        </is>
      </c>
      <c r="B523" s="1" t="n">
        <v>44999</v>
      </c>
      <c r="C523" s="1" t="n">
        <v>46192</v>
      </c>
      <c r="D523" t="inlineStr">
        <is>
          <t>SKÅNE LÄN</t>
        </is>
      </c>
      <c r="E523" t="inlineStr">
        <is>
          <t>HÄSSLEHOLM</t>
        </is>
      </c>
      <c r="G523" t="n">
        <v>3.4</v>
      </c>
      <c r="H523" t="n">
        <v>0</v>
      </c>
      <c r="I523" t="n">
        <v>0</v>
      </c>
      <c r="J523" t="n">
        <v>0</v>
      </c>
      <c r="K523" t="n">
        <v>0</v>
      </c>
      <c r="L523" t="n">
        <v>0</v>
      </c>
      <c r="M523" t="n">
        <v>0</v>
      </c>
      <c r="N523" t="n">
        <v>0</v>
      </c>
      <c r="O523" t="n">
        <v>0</v>
      </c>
      <c r="P523" t="n">
        <v>0</v>
      </c>
      <c r="Q523" t="n">
        <v>0</v>
      </c>
      <c r="R523" s="2" t="inlineStr"/>
    </row>
    <row r="524" ht="15" customHeight="1">
      <c r="A524" t="inlineStr">
        <is>
          <t>A 25219-2023</t>
        </is>
      </c>
      <c r="B524" s="1" t="n">
        <v>45086</v>
      </c>
      <c r="C524" s="1" t="n">
        <v>46192</v>
      </c>
      <c r="D524" t="inlineStr">
        <is>
          <t>SKÅNE LÄN</t>
        </is>
      </c>
      <c r="E524" t="inlineStr">
        <is>
          <t>HÄSSLEHOLM</t>
        </is>
      </c>
      <c r="G524" t="n">
        <v>6.9</v>
      </c>
      <c r="H524" t="n">
        <v>0</v>
      </c>
      <c r="I524" t="n">
        <v>0</v>
      </c>
      <c r="J524" t="n">
        <v>0</v>
      </c>
      <c r="K524" t="n">
        <v>0</v>
      </c>
      <c r="L524" t="n">
        <v>0</v>
      </c>
      <c r="M524" t="n">
        <v>0</v>
      </c>
      <c r="N524" t="n">
        <v>0</v>
      </c>
      <c r="O524" t="n">
        <v>0</v>
      </c>
      <c r="P524" t="n">
        <v>0</v>
      </c>
      <c r="Q524" t="n">
        <v>0</v>
      </c>
      <c r="R524" s="2" t="inlineStr"/>
    </row>
    <row r="525" ht="15" customHeight="1">
      <c r="A525" t="inlineStr">
        <is>
          <t>A 23955-2023</t>
        </is>
      </c>
      <c r="B525" s="1" t="n">
        <v>45078</v>
      </c>
      <c r="C525" s="1" t="n">
        <v>46192</v>
      </c>
      <c r="D525" t="inlineStr">
        <is>
          <t>SKÅNE LÄN</t>
        </is>
      </c>
      <c r="E525" t="inlineStr">
        <is>
          <t>HÄSSLEHOLM</t>
        </is>
      </c>
      <c r="G525" t="n">
        <v>1.4</v>
      </c>
      <c r="H525" t="n">
        <v>0</v>
      </c>
      <c r="I525" t="n">
        <v>0</v>
      </c>
      <c r="J525" t="n">
        <v>0</v>
      </c>
      <c r="K525" t="n">
        <v>0</v>
      </c>
      <c r="L525" t="n">
        <v>0</v>
      </c>
      <c r="M525" t="n">
        <v>0</v>
      </c>
      <c r="N525" t="n">
        <v>0</v>
      </c>
      <c r="O525" t="n">
        <v>0</v>
      </c>
      <c r="P525" t="n">
        <v>0</v>
      </c>
      <c r="Q525" t="n">
        <v>0</v>
      </c>
      <c r="R525" s="2" t="inlineStr"/>
    </row>
    <row r="526" ht="15" customHeight="1">
      <c r="A526" t="inlineStr">
        <is>
          <t>A 10897-2023</t>
        </is>
      </c>
      <c r="B526" s="1" t="n">
        <v>44985</v>
      </c>
      <c r="C526" s="1" t="n">
        <v>46192</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27349-2025</t>
        </is>
      </c>
      <c r="B527" s="1" t="n">
        <v>45812</v>
      </c>
      <c r="C527" s="1" t="n">
        <v>46192</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50571-2023</t>
        </is>
      </c>
      <c r="B528" s="1" t="n">
        <v>45217</v>
      </c>
      <c r="C528" s="1" t="n">
        <v>46192</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18908-2023</t>
        </is>
      </c>
      <c r="B529" s="1" t="n">
        <v>45044</v>
      </c>
      <c r="C529" s="1" t="n">
        <v>46192</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63415-2025</t>
        </is>
      </c>
      <c r="B530" s="1" t="n">
        <v>46013</v>
      </c>
      <c r="C530" s="1" t="n">
        <v>46192</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63510-2025</t>
        </is>
      </c>
      <c r="B531" s="1" t="n">
        <v>46013</v>
      </c>
      <c r="C531" s="1" t="n">
        <v>46192</v>
      </c>
      <c r="D531" t="inlineStr">
        <is>
          <t>SKÅNE LÄN</t>
        </is>
      </c>
      <c r="E531" t="inlineStr">
        <is>
          <t>HÄSSLEHOLM</t>
        </is>
      </c>
      <c r="F531" t="inlineStr">
        <is>
          <t>Kommuner</t>
        </is>
      </c>
      <c r="G531" t="n">
        <v>2</v>
      </c>
      <c r="H531" t="n">
        <v>0</v>
      </c>
      <c r="I531" t="n">
        <v>0</v>
      </c>
      <c r="J531" t="n">
        <v>0</v>
      </c>
      <c r="K531" t="n">
        <v>0</v>
      </c>
      <c r="L531" t="n">
        <v>0</v>
      </c>
      <c r="M531" t="n">
        <v>0</v>
      </c>
      <c r="N531" t="n">
        <v>0</v>
      </c>
      <c r="O531" t="n">
        <v>0</v>
      </c>
      <c r="P531" t="n">
        <v>0</v>
      </c>
      <c r="Q531" t="n">
        <v>0</v>
      </c>
      <c r="R531" s="2" t="inlineStr"/>
    </row>
    <row r="532" ht="15" customHeight="1">
      <c r="A532" t="inlineStr">
        <is>
          <t>A 10028-2024</t>
        </is>
      </c>
      <c r="B532" s="1" t="n">
        <v>45363</v>
      </c>
      <c r="C532" s="1" t="n">
        <v>46192</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13084-2025</t>
        </is>
      </c>
      <c r="B533" s="1" t="n">
        <v>45734</v>
      </c>
      <c r="C533" s="1" t="n">
        <v>46192</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7306-2025</t>
        </is>
      </c>
      <c r="B534" s="1" t="n">
        <v>45702</v>
      </c>
      <c r="C534" s="1" t="n">
        <v>46192</v>
      </c>
      <c r="D534" t="inlineStr">
        <is>
          <t>SKÅNE LÄN</t>
        </is>
      </c>
      <c r="E534" t="inlineStr">
        <is>
          <t>HÄSSLEHOLM</t>
        </is>
      </c>
      <c r="F534" t="inlineStr">
        <is>
          <t>Övriga Aktiebolag</t>
        </is>
      </c>
      <c r="G534" t="n">
        <v>3.3</v>
      </c>
      <c r="H534" t="n">
        <v>0</v>
      </c>
      <c r="I534" t="n">
        <v>0</v>
      </c>
      <c r="J534" t="n">
        <v>0</v>
      </c>
      <c r="K534" t="n">
        <v>0</v>
      </c>
      <c r="L534" t="n">
        <v>0</v>
      </c>
      <c r="M534" t="n">
        <v>0</v>
      </c>
      <c r="N534" t="n">
        <v>0</v>
      </c>
      <c r="O534" t="n">
        <v>0</v>
      </c>
      <c r="P534" t="n">
        <v>0</v>
      </c>
      <c r="Q534" t="n">
        <v>0</v>
      </c>
      <c r="R534" s="2" t="inlineStr"/>
    </row>
    <row r="535" ht="15" customHeight="1">
      <c r="A535" t="inlineStr">
        <is>
          <t>A 7308-2025</t>
        </is>
      </c>
      <c r="B535" s="1" t="n">
        <v>45702</v>
      </c>
      <c r="C535" s="1" t="n">
        <v>46192</v>
      </c>
      <c r="D535" t="inlineStr">
        <is>
          <t>SKÅNE LÄN</t>
        </is>
      </c>
      <c r="E535" t="inlineStr">
        <is>
          <t>HÄSSLEHOLM</t>
        </is>
      </c>
      <c r="F535" t="inlineStr">
        <is>
          <t>Övriga Aktiebolag</t>
        </is>
      </c>
      <c r="G535" t="n">
        <v>4.8</v>
      </c>
      <c r="H535" t="n">
        <v>0</v>
      </c>
      <c r="I535" t="n">
        <v>0</v>
      </c>
      <c r="J535" t="n">
        <v>0</v>
      </c>
      <c r="K535" t="n">
        <v>0</v>
      </c>
      <c r="L535" t="n">
        <v>0</v>
      </c>
      <c r="M535" t="n">
        <v>0</v>
      </c>
      <c r="N535" t="n">
        <v>0</v>
      </c>
      <c r="O535" t="n">
        <v>0</v>
      </c>
      <c r="P535" t="n">
        <v>0</v>
      </c>
      <c r="Q535" t="n">
        <v>0</v>
      </c>
      <c r="R535" s="2" t="inlineStr"/>
    </row>
    <row r="536" ht="15" customHeight="1">
      <c r="A536" t="inlineStr">
        <is>
          <t>A 63354-2025</t>
        </is>
      </c>
      <c r="B536" s="1" t="n">
        <v>46010</v>
      </c>
      <c r="C536" s="1" t="n">
        <v>46192</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58250-2024</t>
        </is>
      </c>
      <c r="B537" s="1" t="n">
        <v>45632</v>
      </c>
      <c r="C537" s="1" t="n">
        <v>46192</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63284-2025</t>
        </is>
      </c>
      <c r="B538" s="1" t="n">
        <v>46010</v>
      </c>
      <c r="C538" s="1" t="n">
        <v>46192</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54671-2022</t>
        </is>
      </c>
      <c r="B539" s="1" t="n">
        <v>44883</v>
      </c>
      <c r="C539" s="1" t="n">
        <v>46192</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46000-2021</t>
        </is>
      </c>
      <c r="B540" s="1" t="n">
        <v>44441</v>
      </c>
      <c r="C540" s="1" t="n">
        <v>46192</v>
      </c>
      <c r="D540" t="inlineStr">
        <is>
          <t>SKÅNE LÄN</t>
        </is>
      </c>
      <c r="E540" t="inlineStr">
        <is>
          <t>HÄSSLEHOLM</t>
        </is>
      </c>
      <c r="G540" t="n">
        <v>1.6</v>
      </c>
      <c r="H540" t="n">
        <v>0</v>
      </c>
      <c r="I540" t="n">
        <v>0</v>
      </c>
      <c r="J540" t="n">
        <v>0</v>
      </c>
      <c r="K540" t="n">
        <v>0</v>
      </c>
      <c r="L540" t="n">
        <v>0</v>
      </c>
      <c r="M540" t="n">
        <v>0</v>
      </c>
      <c r="N540" t="n">
        <v>0</v>
      </c>
      <c r="O540" t="n">
        <v>0</v>
      </c>
      <c r="P540" t="n">
        <v>0</v>
      </c>
      <c r="Q540" t="n">
        <v>0</v>
      </c>
      <c r="R540" s="2" t="inlineStr"/>
    </row>
    <row r="541" ht="15" customHeight="1">
      <c r="A541" t="inlineStr">
        <is>
          <t>A 40739-2024</t>
        </is>
      </c>
      <c r="B541" s="1" t="n">
        <v>45558</v>
      </c>
      <c r="C541" s="1" t="n">
        <v>46192</v>
      </c>
      <c r="D541" t="inlineStr">
        <is>
          <t>SKÅNE LÄN</t>
        </is>
      </c>
      <c r="E541" t="inlineStr">
        <is>
          <t>HÄSSLEHOLM</t>
        </is>
      </c>
      <c r="G541" t="n">
        <v>1.6</v>
      </c>
      <c r="H541" t="n">
        <v>0</v>
      </c>
      <c r="I541" t="n">
        <v>0</v>
      </c>
      <c r="J541" t="n">
        <v>0</v>
      </c>
      <c r="K541" t="n">
        <v>0</v>
      </c>
      <c r="L541" t="n">
        <v>0</v>
      </c>
      <c r="M541" t="n">
        <v>0</v>
      </c>
      <c r="N541" t="n">
        <v>0</v>
      </c>
      <c r="O541" t="n">
        <v>0</v>
      </c>
      <c r="P541" t="n">
        <v>0</v>
      </c>
      <c r="Q541" t="n">
        <v>0</v>
      </c>
      <c r="R541" s="2" t="inlineStr"/>
    </row>
    <row r="542" ht="15" customHeight="1">
      <c r="A542" t="inlineStr">
        <is>
          <t>A 8160-2024</t>
        </is>
      </c>
      <c r="B542" s="1" t="n">
        <v>45351</v>
      </c>
      <c r="C542" s="1" t="n">
        <v>46192</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4009-2024</t>
        </is>
      </c>
      <c r="B543" s="1" t="n">
        <v>45323</v>
      </c>
      <c r="C543" s="1" t="n">
        <v>46192</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10928-2024</t>
        </is>
      </c>
      <c r="B544" s="1" t="n">
        <v>45370</v>
      </c>
      <c r="C544" s="1" t="n">
        <v>46192</v>
      </c>
      <c r="D544" t="inlineStr">
        <is>
          <t>SKÅNE LÄN</t>
        </is>
      </c>
      <c r="E544" t="inlineStr">
        <is>
          <t>HÄSSLEHOLM</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10944-2024</t>
        </is>
      </c>
      <c r="B545" s="1" t="n">
        <v>45370</v>
      </c>
      <c r="C545" s="1" t="n">
        <v>46192</v>
      </c>
      <c r="D545" t="inlineStr">
        <is>
          <t>SKÅNE LÄN</t>
        </is>
      </c>
      <c r="E545" t="inlineStr">
        <is>
          <t>HÄSSLEHOLM</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35889-2023</t>
        </is>
      </c>
      <c r="B546" s="1" t="n">
        <v>45148</v>
      </c>
      <c r="C546" s="1" t="n">
        <v>46192</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35894-2023</t>
        </is>
      </c>
      <c r="B547" s="1" t="n">
        <v>45148</v>
      </c>
      <c r="C547" s="1" t="n">
        <v>46192</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33466-2024</t>
        </is>
      </c>
      <c r="B548" s="1" t="n">
        <v>45519</v>
      </c>
      <c r="C548" s="1" t="n">
        <v>46192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25176-2024</t>
        </is>
      </c>
      <c r="B549" s="1" t="n">
        <v>45462</v>
      </c>
      <c r="C549" s="1" t="n">
        <v>46192</v>
      </c>
      <c r="D549" t="inlineStr">
        <is>
          <t>SKÅNE LÄN</t>
        </is>
      </c>
      <c r="E549" t="inlineStr">
        <is>
          <t>HÄSSLEHOLM</t>
        </is>
      </c>
      <c r="G549" t="n">
        <v>3.8</v>
      </c>
      <c r="H549" t="n">
        <v>0</v>
      </c>
      <c r="I549" t="n">
        <v>0</v>
      </c>
      <c r="J549" t="n">
        <v>0</v>
      </c>
      <c r="K549" t="n">
        <v>0</v>
      </c>
      <c r="L549" t="n">
        <v>0</v>
      </c>
      <c r="M549" t="n">
        <v>0</v>
      </c>
      <c r="N549" t="n">
        <v>0</v>
      </c>
      <c r="O549" t="n">
        <v>0</v>
      </c>
      <c r="P549" t="n">
        <v>0</v>
      </c>
      <c r="Q549" t="n">
        <v>0</v>
      </c>
      <c r="R549" s="2" t="inlineStr"/>
    </row>
    <row r="550" ht="15" customHeight="1">
      <c r="A550" t="inlineStr">
        <is>
          <t>A 6612-2024</t>
        </is>
      </c>
      <c r="B550" s="1" t="n">
        <v>45341</v>
      </c>
      <c r="C550" s="1" t="n">
        <v>46192</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44741-2023</t>
        </is>
      </c>
      <c r="B551" s="1" t="n">
        <v>45190</v>
      </c>
      <c r="C551" s="1" t="n">
        <v>46192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7476-2025</t>
        </is>
      </c>
      <c r="B552" s="1" t="n">
        <v>45702</v>
      </c>
      <c r="C552" s="1" t="n">
        <v>46192</v>
      </c>
      <c r="D552" t="inlineStr">
        <is>
          <t>SKÅNE LÄN</t>
        </is>
      </c>
      <c r="E552" t="inlineStr">
        <is>
          <t>HÄSSLEHOLM</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7513-2025</t>
        </is>
      </c>
      <c r="B553" s="1" t="n">
        <v>45702</v>
      </c>
      <c r="C553" s="1" t="n">
        <v>46192</v>
      </c>
      <c r="D553" t="inlineStr">
        <is>
          <t>SKÅNE LÄN</t>
        </is>
      </c>
      <c r="E553" t="inlineStr">
        <is>
          <t>HÄSSLEHOLM</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31161-2024</t>
        </is>
      </c>
      <c r="B554" s="1" t="n">
        <v>45503</v>
      </c>
      <c r="C554" s="1" t="n">
        <v>46192</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26879-2024</t>
        </is>
      </c>
      <c r="B555" s="1" t="n">
        <v>45470</v>
      </c>
      <c r="C555" s="1" t="n">
        <v>46192</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22157-2024</t>
        </is>
      </c>
      <c r="B556" s="1" t="n">
        <v>45445</v>
      </c>
      <c r="C556" s="1" t="n">
        <v>46192</v>
      </c>
      <c r="D556" t="inlineStr">
        <is>
          <t>SKÅNE LÄN</t>
        </is>
      </c>
      <c r="E556" t="inlineStr">
        <is>
          <t>HÄSSLEHOLM</t>
        </is>
      </c>
      <c r="G556" t="n">
        <v>1</v>
      </c>
      <c r="H556" t="n">
        <v>0</v>
      </c>
      <c r="I556" t="n">
        <v>0</v>
      </c>
      <c r="J556" t="n">
        <v>0</v>
      </c>
      <c r="K556" t="n">
        <v>0</v>
      </c>
      <c r="L556" t="n">
        <v>0</v>
      </c>
      <c r="M556" t="n">
        <v>0</v>
      </c>
      <c r="N556" t="n">
        <v>0</v>
      </c>
      <c r="O556" t="n">
        <v>0</v>
      </c>
      <c r="P556" t="n">
        <v>0</v>
      </c>
      <c r="Q556" t="n">
        <v>0</v>
      </c>
      <c r="R556" s="2" t="inlineStr"/>
    </row>
    <row r="557" ht="15" customHeight="1">
      <c r="A557" t="inlineStr">
        <is>
          <t>A 54473-2023</t>
        </is>
      </c>
      <c r="B557" s="1" t="n">
        <v>45233</v>
      </c>
      <c r="C557" s="1" t="n">
        <v>46192</v>
      </c>
      <c r="D557" t="inlineStr">
        <is>
          <t>SKÅNE LÄN</t>
        </is>
      </c>
      <c r="E557" t="inlineStr">
        <is>
          <t>HÄSSLEHOLM</t>
        </is>
      </c>
      <c r="G557" t="n">
        <v>24.5</v>
      </c>
      <c r="H557" t="n">
        <v>0</v>
      </c>
      <c r="I557" t="n">
        <v>0</v>
      </c>
      <c r="J557" t="n">
        <v>0</v>
      </c>
      <c r="K557" t="n">
        <v>0</v>
      </c>
      <c r="L557" t="n">
        <v>0</v>
      </c>
      <c r="M557" t="n">
        <v>0</v>
      </c>
      <c r="N557" t="n">
        <v>0</v>
      </c>
      <c r="O557" t="n">
        <v>0</v>
      </c>
      <c r="P557" t="n">
        <v>0</v>
      </c>
      <c r="Q557" t="n">
        <v>0</v>
      </c>
      <c r="R557" s="2" t="inlineStr"/>
    </row>
    <row r="558" ht="15" customHeight="1">
      <c r="A558" t="inlineStr">
        <is>
          <t>A 11240-2023</t>
        </is>
      </c>
      <c r="B558" s="1" t="n">
        <v>44992</v>
      </c>
      <c r="C558" s="1" t="n">
        <v>46192</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13316-2023</t>
        </is>
      </c>
      <c r="B559" s="1" t="n">
        <v>45005</v>
      </c>
      <c r="C559" s="1" t="n">
        <v>46192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13358-2023</t>
        </is>
      </c>
      <c r="B560" s="1" t="n">
        <v>45005</v>
      </c>
      <c r="C560" s="1" t="n">
        <v>46192</v>
      </c>
      <c r="D560" t="inlineStr">
        <is>
          <t>SKÅNE LÄN</t>
        </is>
      </c>
      <c r="E560" t="inlineStr">
        <is>
          <t>HÄSSLEHOLM</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3245-2022</t>
        </is>
      </c>
      <c r="B561" s="1" t="n">
        <v>44583</v>
      </c>
      <c r="C561" s="1" t="n">
        <v>46192</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16108-2025</t>
        </is>
      </c>
      <c r="B562" s="1" t="n">
        <v>45750</v>
      </c>
      <c r="C562" s="1" t="n">
        <v>46192</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48326-2023</t>
        </is>
      </c>
      <c r="B563" s="1" t="n">
        <v>45205</v>
      </c>
      <c r="C563" s="1" t="n">
        <v>46192</v>
      </c>
      <c r="D563" t="inlineStr">
        <is>
          <t>SKÅNE LÄN</t>
        </is>
      </c>
      <c r="E563" t="inlineStr">
        <is>
          <t>HÄSSLEHOLM</t>
        </is>
      </c>
      <c r="G563" t="n">
        <v>12.7</v>
      </c>
      <c r="H563" t="n">
        <v>0</v>
      </c>
      <c r="I563" t="n">
        <v>0</v>
      </c>
      <c r="J563" t="n">
        <v>0</v>
      </c>
      <c r="K563" t="n">
        <v>0</v>
      </c>
      <c r="L563" t="n">
        <v>0</v>
      </c>
      <c r="M563" t="n">
        <v>0</v>
      </c>
      <c r="N563" t="n">
        <v>0</v>
      </c>
      <c r="O563" t="n">
        <v>0</v>
      </c>
      <c r="P563" t="n">
        <v>0</v>
      </c>
      <c r="Q563" t="n">
        <v>0</v>
      </c>
      <c r="R563" s="2" t="inlineStr"/>
    </row>
    <row r="564" ht="15" customHeight="1">
      <c r="A564" t="inlineStr">
        <is>
          <t>A 38228-2021</t>
        </is>
      </c>
      <c r="B564" s="1" t="n">
        <v>44405</v>
      </c>
      <c r="C564" s="1" t="n">
        <v>46192</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3248-2022</t>
        </is>
      </c>
      <c r="B565" s="1" t="n">
        <v>44583</v>
      </c>
      <c r="C565" s="1" t="n">
        <v>46192</v>
      </c>
      <c r="D565" t="inlineStr">
        <is>
          <t>SKÅNE LÄN</t>
        </is>
      </c>
      <c r="E565" t="inlineStr">
        <is>
          <t>HÄSSLEHOLM</t>
        </is>
      </c>
      <c r="G565" t="n">
        <v>3</v>
      </c>
      <c r="H565" t="n">
        <v>0</v>
      </c>
      <c r="I565" t="n">
        <v>0</v>
      </c>
      <c r="J565" t="n">
        <v>0</v>
      </c>
      <c r="K565" t="n">
        <v>0</v>
      </c>
      <c r="L565" t="n">
        <v>0</v>
      </c>
      <c r="M565" t="n">
        <v>0</v>
      </c>
      <c r="N565" t="n">
        <v>0</v>
      </c>
      <c r="O565" t="n">
        <v>0</v>
      </c>
      <c r="P565" t="n">
        <v>0</v>
      </c>
      <c r="Q565" t="n">
        <v>0</v>
      </c>
      <c r="R565" s="2" t="inlineStr"/>
    </row>
    <row r="566" ht="15" customHeight="1">
      <c r="A566" t="inlineStr">
        <is>
          <t>A 54518-2022</t>
        </is>
      </c>
      <c r="B566" s="1" t="n">
        <v>44882</v>
      </c>
      <c r="C566" s="1" t="n">
        <v>46192</v>
      </c>
      <c r="D566" t="inlineStr">
        <is>
          <t>SKÅNE LÄN</t>
        </is>
      </c>
      <c r="E566" t="inlineStr">
        <is>
          <t>HÄSSLEHOLM</t>
        </is>
      </c>
      <c r="F566" t="inlineStr">
        <is>
          <t>Övriga Aktiebolag</t>
        </is>
      </c>
      <c r="G566" t="n">
        <v>6.8</v>
      </c>
      <c r="H566" t="n">
        <v>0</v>
      </c>
      <c r="I566" t="n">
        <v>0</v>
      </c>
      <c r="J566" t="n">
        <v>0</v>
      </c>
      <c r="K566" t="n">
        <v>0</v>
      </c>
      <c r="L566" t="n">
        <v>0</v>
      </c>
      <c r="M566" t="n">
        <v>0</v>
      </c>
      <c r="N566" t="n">
        <v>0</v>
      </c>
      <c r="O566" t="n">
        <v>0</v>
      </c>
      <c r="P566" t="n">
        <v>0</v>
      </c>
      <c r="Q566" t="n">
        <v>0</v>
      </c>
      <c r="R566" s="2" t="inlineStr"/>
    </row>
    <row r="567" ht="15" customHeight="1">
      <c r="A567" t="inlineStr">
        <is>
          <t>A 57491-2024</t>
        </is>
      </c>
      <c r="B567" s="1" t="n">
        <v>45629</v>
      </c>
      <c r="C567" s="1" t="n">
        <v>46192</v>
      </c>
      <c r="D567" t="inlineStr">
        <is>
          <t>SKÅNE LÄN</t>
        </is>
      </c>
      <c r="E567" t="inlineStr">
        <is>
          <t>HÄSSLEHOLM</t>
        </is>
      </c>
      <c r="G567" t="n">
        <v>3.2</v>
      </c>
      <c r="H567" t="n">
        <v>0</v>
      </c>
      <c r="I567" t="n">
        <v>0</v>
      </c>
      <c r="J567" t="n">
        <v>0</v>
      </c>
      <c r="K567" t="n">
        <v>0</v>
      </c>
      <c r="L567" t="n">
        <v>0</v>
      </c>
      <c r="M567" t="n">
        <v>0</v>
      </c>
      <c r="N567" t="n">
        <v>0</v>
      </c>
      <c r="O567" t="n">
        <v>0</v>
      </c>
      <c r="P567" t="n">
        <v>0</v>
      </c>
      <c r="Q567" t="n">
        <v>0</v>
      </c>
      <c r="R567" s="2" t="inlineStr"/>
    </row>
    <row r="568" ht="15" customHeight="1">
      <c r="A568" t="inlineStr">
        <is>
          <t>A 52912-2022</t>
        </is>
      </c>
      <c r="B568" s="1" t="n">
        <v>44872</v>
      </c>
      <c r="C568" s="1" t="n">
        <v>46192</v>
      </c>
      <c r="D568" t="inlineStr">
        <is>
          <t>SKÅNE LÄN</t>
        </is>
      </c>
      <c r="E568" t="inlineStr">
        <is>
          <t>HÄSSLEHOLM</t>
        </is>
      </c>
      <c r="G568" t="n">
        <v>4.7</v>
      </c>
      <c r="H568" t="n">
        <v>0</v>
      </c>
      <c r="I568" t="n">
        <v>0</v>
      </c>
      <c r="J568" t="n">
        <v>0</v>
      </c>
      <c r="K568" t="n">
        <v>0</v>
      </c>
      <c r="L568" t="n">
        <v>0</v>
      </c>
      <c r="M568" t="n">
        <v>0</v>
      </c>
      <c r="N568" t="n">
        <v>0</v>
      </c>
      <c r="O568" t="n">
        <v>0</v>
      </c>
      <c r="P568" t="n">
        <v>0</v>
      </c>
      <c r="Q568" t="n">
        <v>0</v>
      </c>
      <c r="R568" s="2" t="inlineStr"/>
    </row>
    <row r="569" ht="15" customHeight="1">
      <c r="A569" t="inlineStr">
        <is>
          <t>A 27502-2023</t>
        </is>
      </c>
      <c r="B569" s="1" t="n">
        <v>45092</v>
      </c>
      <c r="C569" s="1" t="n">
        <v>46192</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36733-2023</t>
        </is>
      </c>
      <c r="B570" s="1" t="n">
        <v>45153</v>
      </c>
      <c r="C570" s="1" t="n">
        <v>46192</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60509-2023</t>
        </is>
      </c>
      <c r="B571" s="1" t="n">
        <v>45259</v>
      </c>
      <c r="C571" s="1" t="n">
        <v>46192</v>
      </c>
      <c r="D571" t="inlineStr">
        <is>
          <t>SKÅNE LÄN</t>
        </is>
      </c>
      <c r="E571" t="inlineStr">
        <is>
          <t>HÄSSLEHOLM</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6836-2023</t>
        </is>
      </c>
      <c r="B572" s="1" t="n">
        <v>44967</v>
      </c>
      <c r="C572" s="1" t="n">
        <v>46192</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6845-2023</t>
        </is>
      </c>
      <c r="B573" s="1" t="n">
        <v>44967</v>
      </c>
      <c r="C573" s="1" t="n">
        <v>46192</v>
      </c>
      <c r="D573" t="inlineStr">
        <is>
          <t>SKÅNE LÄN</t>
        </is>
      </c>
      <c r="E573" t="inlineStr">
        <is>
          <t>HÄSSLEHOLM</t>
        </is>
      </c>
      <c r="G573" t="n">
        <v>1.4</v>
      </c>
      <c r="H573" t="n">
        <v>0</v>
      </c>
      <c r="I573" t="n">
        <v>0</v>
      </c>
      <c r="J573" t="n">
        <v>0</v>
      </c>
      <c r="K573" t="n">
        <v>0</v>
      </c>
      <c r="L573" t="n">
        <v>0</v>
      </c>
      <c r="M573" t="n">
        <v>0</v>
      </c>
      <c r="N573" t="n">
        <v>0</v>
      </c>
      <c r="O573" t="n">
        <v>0</v>
      </c>
      <c r="P573" t="n">
        <v>0</v>
      </c>
      <c r="Q573" t="n">
        <v>0</v>
      </c>
      <c r="R573" s="2" t="inlineStr"/>
    </row>
    <row r="574" ht="15" customHeight="1">
      <c r="A574" t="inlineStr">
        <is>
          <t>A 45220-2023</t>
        </is>
      </c>
      <c r="B574" s="1" t="n">
        <v>45191</v>
      </c>
      <c r="C574" s="1" t="n">
        <v>46192</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53887-2023</t>
        </is>
      </c>
      <c r="B575" s="1" t="n">
        <v>45231</v>
      </c>
      <c r="C575" s="1" t="n">
        <v>46192</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32967-2023</t>
        </is>
      </c>
      <c r="B576" s="1" t="n">
        <v>45125</v>
      </c>
      <c r="C576" s="1" t="n">
        <v>46192</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32968-2023</t>
        </is>
      </c>
      <c r="B577" s="1" t="n">
        <v>45125</v>
      </c>
      <c r="C577" s="1" t="n">
        <v>46192</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10277-2023</t>
        </is>
      </c>
      <c r="B578" s="1" t="n">
        <v>44986</v>
      </c>
      <c r="C578" s="1" t="n">
        <v>46192</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10290-2023</t>
        </is>
      </c>
      <c r="B579" s="1" t="n">
        <v>44986</v>
      </c>
      <c r="C579" s="1" t="n">
        <v>46192</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931-2026</t>
        </is>
      </c>
      <c r="B580" s="1" t="n">
        <v>46030</v>
      </c>
      <c r="C580" s="1" t="n">
        <v>46192</v>
      </c>
      <c r="D580" t="inlineStr">
        <is>
          <t>SKÅNE LÄN</t>
        </is>
      </c>
      <c r="E580" t="inlineStr">
        <is>
          <t>HÄSSLEHOLM</t>
        </is>
      </c>
      <c r="F580" t="inlineStr">
        <is>
          <t>Övriga Aktiebolag</t>
        </is>
      </c>
      <c r="G580" t="n">
        <v>2.3</v>
      </c>
      <c r="H580" t="n">
        <v>0</v>
      </c>
      <c r="I580" t="n">
        <v>0</v>
      </c>
      <c r="J580" t="n">
        <v>0</v>
      </c>
      <c r="K580" t="n">
        <v>0</v>
      </c>
      <c r="L580" t="n">
        <v>0</v>
      </c>
      <c r="M580" t="n">
        <v>0</v>
      </c>
      <c r="N580" t="n">
        <v>0</v>
      </c>
      <c r="O580" t="n">
        <v>0</v>
      </c>
      <c r="P580" t="n">
        <v>0</v>
      </c>
      <c r="Q580" t="n">
        <v>0</v>
      </c>
      <c r="R580" s="2" t="inlineStr"/>
    </row>
    <row r="581" ht="15" customHeight="1">
      <c r="A581" t="inlineStr">
        <is>
          <t>A 21329-2023</t>
        </is>
      </c>
      <c r="B581" s="1" t="n">
        <v>45062</v>
      </c>
      <c r="C581" s="1" t="n">
        <v>46192</v>
      </c>
      <c r="D581" t="inlineStr">
        <is>
          <t>SKÅNE LÄN</t>
        </is>
      </c>
      <c r="E581" t="inlineStr">
        <is>
          <t>HÄSSLEHOLM</t>
        </is>
      </c>
      <c r="G581" t="n">
        <v>1.1</v>
      </c>
      <c r="H581" t="n">
        <v>0</v>
      </c>
      <c r="I581" t="n">
        <v>0</v>
      </c>
      <c r="J581" t="n">
        <v>0</v>
      </c>
      <c r="K581" t="n">
        <v>0</v>
      </c>
      <c r="L581" t="n">
        <v>0</v>
      </c>
      <c r="M581" t="n">
        <v>0</v>
      </c>
      <c r="N581" t="n">
        <v>0</v>
      </c>
      <c r="O581" t="n">
        <v>0</v>
      </c>
      <c r="P581" t="n">
        <v>0</v>
      </c>
      <c r="Q581" t="n">
        <v>0</v>
      </c>
      <c r="R581" s="2" t="inlineStr"/>
    </row>
    <row r="582" ht="15" customHeight="1">
      <c r="A582" t="inlineStr">
        <is>
          <t>A 1645-2026</t>
        </is>
      </c>
      <c r="B582" s="1" t="n">
        <v>46034</v>
      </c>
      <c r="C582" s="1" t="n">
        <v>46192</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35237-2023</t>
        </is>
      </c>
      <c r="B583" s="1" t="n">
        <v>45145</v>
      </c>
      <c r="C583" s="1" t="n">
        <v>46192</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1659-2026</t>
        </is>
      </c>
      <c r="B584" s="1" t="n">
        <v>46034</v>
      </c>
      <c r="C584" s="1" t="n">
        <v>46192</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18800-2023</t>
        </is>
      </c>
      <c r="B585" s="1" t="n">
        <v>45044</v>
      </c>
      <c r="C585" s="1" t="n">
        <v>46192</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2306-2026</t>
        </is>
      </c>
      <c r="B586" s="1" t="n">
        <v>46034</v>
      </c>
      <c r="C586" s="1" t="n">
        <v>46192</v>
      </c>
      <c r="D586" t="inlineStr">
        <is>
          <t>SKÅNE LÄN</t>
        </is>
      </c>
      <c r="E586" t="inlineStr">
        <is>
          <t>HÄSSLEHOLM</t>
        </is>
      </c>
      <c r="G586" t="n">
        <v>3.4</v>
      </c>
      <c r="H586" t="n">
        <v>0</v>
      </c>
      <c r="I586" t="n">
        <v>0</v>
      </c>
      <c r="J586" t="n">
        <v>0</v>
      </c>
      <c r="K586" t="n">
        <v>0</v>
      </c>
      <c r="L586" t="n">
        <v>0</v>
      </c>
      <c r="M586" t="n">
        <v>0</v>
      </c>
      <c r="N586" t="n">
        <v>0</v>
      </c>
      <c r="O586" t="n">
        <v>0</v>
      </c>
      <c r="P586" t="n">
        <v>0</v>
      </c>
      <c r="Q586" t="n">
        <v>0</v>
      </c>
      <c r="R586" s="2" t="inlineStr"/>
    </row>
    <row r="587" ht="15" customHeight="1">
      <c r="A587" t="inlineStr">
        <is>
          <t>A 1640-2026</t>
        </is>
      </c>
      <c r="B587" s="1" t="n">
        <v>46034</v>
      </c>
      <c r="C587" s="1" t="n">
        <v>46192</v>
      </c>
      <c r="D587" t="inlineStr">
        <is>
          <t>SKÅNE LÄN</t>
        </is>
      </c>
      <c r="E587" t="inlineStr">
        <is>
          <t>HÄSSLEHOLM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1656-2026</t>
        </is>
      </c>
      <c r="B588" s="1" t="n">
        <v>46034</v>
      </c>
      <c r="C588" s="1" t="n">
        <v>46192</v>
      </c>
      <c r="D588" t="inlineStr">
        <is>
          <t>SKÅNE LÄN</t>
        </is>
      </c>
      <c r="E588" t="inlineStr">
        <is>
          <t>HÄSSLEHOLM</t>
        </is>
      </c>
      <c r="G588" t="n">
        <v>1.7</v>
      </c>
      <c r="H588" t="n">
        <v>0</v>
      </c>
      <c r="I588" t="n">
        <v>0</v>
      </c>
      <c r="J588" t="n">
        <v>0</v>
      </c>
      <c r="K588" t="n">
        <v>0</v>
      </c>
      <c r="L588" t="n">
        <v>0</v>
      </c>
      <c r="M588" t="n">
        <v>0</v>
      </c>
      <c r="N588" t="n">
        <v>0</v>
      </c>
      <c r="O588" t="n">
        <v>0</v>
      </c>
      <c r="P588" t="n">
        <v>0</v>
      </c>
      <c r="Q588" t="n">
        <v>0</v>
      </c>
      <c r="R588" s="2" t="inlineStr"/>
    </row>
    <row r="589" ht="15" customHeight="1">
      <c r="A589" t="inlineStr">
        <is>
          <t>A 2617-2026</t>
        </is>
      </c>
      <c r="B589" s="1" t="n">
        <v>46035</v>
      </c>
      <c r="C589" s="1" t="n">
        <v>46192</v>
      </c>
      <c r="D589" t="inlineStr">
        <is>
          <t>SKÅNE LÄN</t>
        </is>
      </c>
      <c r="E589" t="inlineStr">
        <is>
          <t>HÄSSLEHOLM</t>
        </is>
      </c>
      <c r="F589" t="inlineStr">
        <is>
          <t>Kyrkan</t>
        </is>
      </c>
      <c r="G589" t="n">
        <v>5.5</v>
      </c>
      <c r="H589" t="n">
        <v>0</v>
      </c>
      <c r="I589" t="n">
        <v>0</v>
      </c>
      <c r="J589" t="n">
        <v>0</v>
      </c>
      <c r="K589" t="n">
        <v>0</v>
      </c>
      <c r="L589" t="n">
        <v>0</v>
      </c>
      <c r="M589" t="n">
        <v>0</v>
      </c>
      <c r="N589" t="n">
        <v>0</v>
      </c>
      <c r="O589" t="n">
        <v>0</v>
      </c>
      <c r="P589" t="n">
        <v>0</v>
      </c>
      <c r="Q589" t="n">
        <v>0</v>
      </c>
      <c r="R589" s="2" t="inlineStr"/>
    </row>
    <row r="590" ht="15" customHeight="1">
      <c r="A590" t="inlineStr">
        <is>
          <t>A 2618-2026</t>
        </is>
      </c>
      <c r="B590" s="1" t="n">
        <v>46035</v>
      </c>
      <c r="C590" s="1" t="n">
        <v>46192</v>
      </c>
      <c r="D590" t="inlineStr">
        <is>
          <t>SKÅNE LÄN</t>
        </is>
      </c>
      <c r="E590" t="inlineStr">
        <is>
          <t>HÄSSLEHOLM</t>
        </is>
      </c>
      <c r="F590" t="inlineStr">
        <is>
          <t>Kyrkan</t>
        </is>
      </c>
      <c r="G590" t="n">
        <v>4.8</v>
      </c>
      <c r="H590" t="n">
        <v>0</v>
      </c>
      <c r="I590" t="n">
        <v>0</v>
      </c>
      <c r="J590" t="n">
        <v>0</v>
      </c>
      <c r="K590" t="n">
        <v>0</v>
      </c>
      <c r="L590" t="n">
        <v>0</v>
      </c>
      <c r="M590" t="n">
        <v>0</v>
      </c>
      <c r="N590" t="n">
        <v>0</v>
      </c>
      <c r="O590" t="n">
        <v>0</v>
      </c>
      <c r="P590" t="n">
        <v>0</v>
      </c>
      <c r="Q590" t="n">
        <v>0</v>
      </c>
      <c r="R590" s="2" t="inlineStr"/>
    </row>
    <row r="591" ht="15" customHeight="1">
      <c r="A591" t="inlineStr">
        <is>
          <t>A 57967-2023</t>
        </is>
      </c>
      <c r="B591" s="1" t="n">
        <v>45247</v>
      </c>
      <c r="C591" s="1" t="n">
        <v>46192</v>
      </c>
      <c r="D591" t="inlineStr">
        <is>
          <t>SKÅNE LÄN</t>
        </is>
      </c>
      <c r="E591" t="inlineStr">
        <is>
          <t>HÄSSLEHOLM</t>
        </is>
      </c>
      <c r="G591" t="n">
        <v>8.6</v>
      </c>
      <c r="H591" t="n">
        <v>0</v>
      </c>
      <c r="I591" t="n">
        <v>0</v>
      </c>
      <c r="J591" t="n">
        <v>0</v>
      </c>
      <c r="K591" t="n">
        <v>0</v>
      </c>
      <c r="L591" t="n">
        <v>0</v>
      </c>
      <c r="M591" t="n">
        <v>0</v>
      </c>
      <c r="N591" t="n">
        <v>0</v>
      </c>
      <c r="O591" t="n">
        <v>0</v>
      </c>
      <c r="P591" t="n">
        <v>0</v>
      </c>
      <c r="Q591" t="n">
        <v>0</v>
      </c>
      <c r="R591" s="2" t="inlineStr"/>
    </row>
    <row r="592" ht="15" customHeight="1">
      <c r="A592" t="inlineStr">
        <is>
          <t>A 62041-2022</t>
        </is>
      </c>
      <c r="B592" s="1" t="n">
        <v>44918</v>
      </c>
      <c r="C592" s="1" t="n">
        <v>46192</v>
      </c>
      <c r="D592" t="inlineStr">
        <is>
          <t>SKÅNE LÄN</t>
        </is>
      </c>
      <c r="E592" t="inlineStr">
        <is>
          <t>HÄSSLEHOLM</t>
        </is>
      </c>
      <c r="G592" t="n">
        <v>2.8</v>
      </c>
      <c r="H592" t="n">
        <v>0</v>
      </c>
      <c r="I592" t="n">
        <v>0</v>
      </c>
      <c r="J592" t="n">
        <v>0</v>
      </c>
      <c r="K592" t="n">
        <v>0</v>
      </c>
      <c r="L592" t="n">
        <v>0</v>
      </c>
      <c r="M592" t="n">
        <v>0</v>
      </c>
      <c r="N592" t="n">
        <v>0</v>
      </c>
      <c r="O592" t="n">
        <v>0</v>
      </c>
      <c r="P592" t="n">
        <v>0</v>
      </c>
      <c r="Q592" t="n">
        <v>0</v>
      </c>
      <c r="R592" s="2" t="inlineStr"/>
    </row>
    <row r="593" ht="15" customHeight="1">
      <c r="A593" t="inlineStr">
        <is>
          <t>A 12468-2024</t>
        </is>
      </c>
      <c r="B593" s="1" t="n">
        <v>45379</v>
      </c>
      <c r="C593" s="1" t="n">
        <v>46192</v>
      </c>
      <c r="D593" t="inlineStr">
        <is>
          <t>SKÅNE LÄN</t>
        </is>
      </c>
      <c r="E593" t="inlineStr">
        <is>
          <t>HÄSSLEHOLM</t>
        </is>
      </c>
      <c r="G593" t="n">
        <v>15.5</v>
      </c>
      <c r="H593" t="n">
        <v>0</v>
      </c>
      <c r="I593" t="n">
        <v>0</v>
      </c>
      <c r="J593" t="n">
        <v>0</v>
      </c>
      <c r="K593" t="n">
        <v>0</v>
      </c>
      <c r="L593" t="n">
        <v>0</v>
      </c>
      <c r="M593" t="n">
        <v>0</v>
      </c>
      <c r="N593" t="n">
        <v>0</v>
      </c>
      <c r="O593" t="n">
        <v>0</v>
      </c>
      <c r="P593" t="n">
        <v>0</v>
      </c>
      <c r="Q593" t="n">
        <v>0</v>
      </c>
      <c r="R593" s="2" t="inlineStr"/>
    </row>
    <row r="594" ht="15" customHeight="1">
      <c r="A594" t="inlineStr">
        <is>
          <t>A 25077-2024</t>
        </is>
      </c>
      <c r="B594" s="1" t="n">
        <v>45462</v>
      </c>
      <c r="C594" s="1" t="n">
        <v>46192</v>
      </c>
      <c r="D594" t="inlineStr">
        <is>
          <t>SKÅNE LÄN</t>
        </is>
      </c>
      <c r="E594" t="inlineStr">
        <is>
          <t>HÄSSLEHOLM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22535-2024</t>
        </is>
      </c>
      <c r="B595" s="1" t="n">
        <v>45447</v>
      </c>
      <c r="C595" s="1" t="n">
        <v>46192</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1553-2023</t>
        </is>
      </c>
      <c r="B596" s="1" t="n">
        <v>44937</v>
      </c>
      <c r="C596" s="1" t="n">
        <v>46192</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22690-2022</t>
        </is>
      </c>
      <c r="B597" s="1" t="n">
        <v>44714</v>
      </c>
      <c r="C597" s="1" t="n">
        <v>46192</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15060-2023</t>
        </is>
      </c>
      <c r="B598" s="1" t="n">
        <v>45015</v>
      </c>
      <c r="C598" s="1" t="n">
        <v>46192</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4787-2023</t>
        </is>
      </c>
      <c r="B599" s="1" t="n">
        <v>44957</v>
      </c>
      <c r="C599" s="1" t="n">
        <v>46192</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4788-2023</t>
        </is>
      </c>
      <c r="B600" s="1" t="n">
        <v>44957</v>
      </c>
      <c r="C600" s="1" t="n">
        <v>46192</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34348-2022</t>
        </is>
      </c>
      <c r="B601" s="1" t="n">
        <v>44792</v>
      </c>
      <c r="C601" s="1" t="n">
        <v>46192</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53897-2023</t>
        </is>
      </c>
      <c r="B602" s="1" t="n">
        <v>45231</v>
      </c>
      <c r="C602" s="1" t="n">
        <v>46192</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45399-2022</t>
        </is>
      </c>
      <c r="B603" s="1" t="n">
        <v>44844</v>
      </c>
      <c r="C603" s="1" t="n">
        <v>46192</v>
      </c>
      <c r="D603" t="inlineStr">
        <is>
          <t>SKÅNE LÄN</t>
        </is>
      </c>
      <c r="E603" t="inlineStr">
        <is>
          <t>HÄSSLEHOLM</t>
        </is>
      </c>
      <c r="G603" t="n">
        <v>0</v>
      </c>
      <c r="H603" t="n">
        <v>0</v>
      </c>
      <c r="I603" t="n">
        <v>0</v>
      </c>
      <c r="J603" t="n">
        <v>0</v>
      </c>
      <c r="K603" t="n">
        <v>0</v>
      </c>
      <c r="L603" t="n">
        <v>0</v>
      </c>
      <c r="M603" t="n">
        <v>0</v>
      </c>
      <c r="N603" t="n">
        <v>0</v>
      </c>
      <c r="O603" t="n">
        <v>0</v>
      </c>
      <c r="P603" t="n">
        <v>0</v>
      </c>
      <c r="Q603" t="n">
        <v>0</v>
      </c>
      <c r="R603" s="2" t="inlineStr"/>
    </row>
    <row r="604" ht="15" customHeight="1">
      <c r="A604" t="inlineStr">
        <is>
          <t>A 1170-2025</t>
        </is>
      </c>
      <c r="B604" s="1" t="n">
        <v>45667</v>
      </c>
      <c r="C604" s="1" t="n">
        <v>46192</v>
      </c>
      <c r="D604" t="inlineStr">
        <is>
          <t>SKÅNE LÄN</t>
        </is>
      </c>
      <c r="E604" t="inlineStr">
        <is>
          <t>HÄSSLEHOLM</t>
        </is>
      </c>
      <c r="G604" t="n">
        <v>4.3</v>
      </c>
      <c r="H604" t="n">
        <v>0</v>
      </c>
      <c r="I604" t="n">
        <v>0</v>
      </c>
      <c r="J604" t="n">
        <v>0</v>
      </c>
      <c r="K604" t="n">
        <v>0</v>
      </c>
      <c r="L604" t="n">
        <v>0</v>
      </c>
      <c r="M604" t="n">
        <v>0</v>
      </c>
      <c r="N604" t="n">
        <v>0</v>
      </c>
      <c r="O604" t="n">
        <v>0</v>
      </c>
      <c r="P604" t="n">
        <v>0</v>
      </c>
      <c r="Q604" t="n">
        <v>0</v>
      </c>
      <c r="R604" s="2" t="inlineStr"/>
    </row>
    <row r="605" ht="15" customHeight="1">
      <c r="A605" t="inlineStr">
        <is>
          <t>A 35640-2023</t>
        </is>
      </c>
      <c r="B605" s="1" t="n">
        <v>45147</v>
      </c>
      <c r="C605" s="1" t="n">
        <v>46192</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3298-2026</t>
        </is>
      </c>
      <c r="B606" s="1" t="n">
        <v>46041</v>
      </c>
      <c r="C606" s="1" t="n">
        <v>46192</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2681-2024</t>
        </is>
      </c>
      <c r="B607" s="1" t="n">
        <v>45314</v>
      </c>
      <c r="C607" s="1" t="n">
        <v>46192</v>
      </c>
      <c r="D607" t="inlineStr">
        <is>
          <t>SKÅNE LÄN</t>
        </is>
      </c>
      <c r="E607" t="inlineStr">
        <is>
          <t>HÄSSLEHOLM</t>
        </is>
      </c>
      <c r="F607" t="inlineStr">
        <is>
          <t>Övriga Aktiebolag</t>
        </is>
      </c>
      <c r="G607" t="n">
        <v>1.4</v>
      </c>
      <c r="H607" t="n">
        <v>0</v>
      </c>
      <c r="I607" t="n">
        <v>0</v>
      </c>
      <c r="J607" t="n">
        <v>0</v>
      </c>
      <c r="K607" t="n">
        <v>0</v>
      </c>
      <c r="L607" t="n">
        <v>0</v>
      </c>
      <c r="M607" t="n">
        <v>0</v>
      </c>
      <c r="N607" t="n">
        <v>0</v>
      </c>
      <c r="O607" t="n">
        <v>0</v>
      </c>
      <c r="P607" t="n">
        <v>0</v>
      </c>
      <c r="Q607" t="n">
        <v>0</v>
      </c>
      <c r="R607" s="2" t="inlineStr"/>
    </row>
    <row r="608" ht="15" customHeight="1">
      <c r="A608" t="inlineStr">
        <is>
          <t>A 27177-2024</t>
        </is>
      </c>
      <c r="B608" s="1" t="n">
        <v>45471</v>
      </c>
      <c r="C608" s="1" t="n">
        <v>46192</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22132-2024</t>
        </is>
      </c>
      <c r="B609" s="1" t="n">
        <v>45444</v>
      </c>
      <c r="C609" s="1" t="n">
        <v>46192</v>
      </c>
      <c r="D609" t="inlineStr">
        <is>
          <t>SKÅNE LÄN</t>
        </is>
      </c>
      <c r="E609" t="inlineStr">
        <is>
          <t>HÄSSLEHOLM</t>
        </is>
      </c>
      <c r="G609" t="n">
        <v>3.1</v>
      </c>
      <c r="H609" t="n">
        <v>0</v>
      </c>
      <c r="I609" t="n">
        <v>0</v>
      </c>
      <c r="J609" t="n">
        <v>0</v>
      </c>
      <c r="K609" t="n">
        <v>0</v>
      </c>
      <c r="L609" t="n">
        <v>0</v>
      </c>
      <c r="M609" t="n">
        <v>0</v>
      </c>
      <c r="N609" t="n">
        <v>0</v>
      </c>
      <c r="O609" t="n">
        <v>0</v>
      </c>
      <c r="P609" t="n">
        <v>0</v>
      </c>
      <c r="Q609" t="n">
        <v>0</v>
      </c>
      <c r="R609" s="2" t="inlineStr"/>
    </row>
    <row r="610" ht="15" customHeight="1">
      <c r="A610" t="inlineStr">
        <is>
          <t>A 49219-2024</t>
        </is>
      </c>
      <c r="B610" s="1" t="n">
        <v>45595</v>
      </c>
      <c r="C610" s="1" t="n">
        <v>46192</v>
      </c>
      <c r="D610" t="inlineStr">
        <is>
          <t>SKÅNE LÄN</t>
        </is>
      </c>
      <c r="E610" t="inlineStr">
        <is>
          <t>HÄSSLEHOLM</t>
        </is>
      </c>
      <c r="G610" t="n">
        <v>1.8</v>
      </c>
      <c r="H610" t="n">
        <v>0</v>
      </c>
      <c r="I610" t="n">
        <v>0</v>
      </c>
      <c r="J610" t="n">
        <v>0</v>
      </c>
      <c r="K610" t="n">
        <v>0</v>
      </c>
      <c r="L610" t="n">
        <v>0</v>
      </c>
      <c r="M610" t="n">
        <v>0</v>
      </c>
      <c r="N610" t="n">
        <v>0</v>
      </c>
      <c r="O610" t="n">
        <v>0</v>
      </c>
      <c r="P610" t="n">
        <v>0</v>
      </c>
      <c r="Q610" t="n">
        <v>0</v>
      </c>
      <c r="R610" s="2" t="inlineStr"/>
    </row>
    <row r="611" ht="15" customHeight="1">
      <c r="A611" t="inlineStr">
        <is>
          <t>A 13646-2024</t>
        </is>
      </c>
      <c r="B611" s="1" t="n">
        <v>45387</v>
      </c>
      <c r="C611" s="1" t="n">
        <v>46192</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4750-2024</t>
        </is>
      </c>
      <c r="B612" s="1" t="n">
        <v>45328</v>
      </c>
      <c r="C612" s="1" t="n">
        <v>46192</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3904-2026</t>
        </is>
      </c>
      <c r="B613" s="1" t="n">
        <v>46043</v>
      </c>
      <c r="C613" s="1" t="n">
        <v>46192</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32210-2024</t>
        </is>
      </c>
      <c r="B614" s="1" t="n">
        <v>45511</v>
      </c>
      <c r="C614" s="1" t="n">
        <v>46192</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2743-2023</t>
        </is>
      </c>
      <c r="B615" s="1" t="n">
        <v>44944</v>
      </c>
      <c r="C615" s="1" t="n">
        <v>46192</v>
      </c>
      <c r="D615" t="inlineStr">
        <is>
          <t>SKÅNE LÄN</t>
        </is>
      </c>
      <c r="E615" t="inlineStr">
        <is>
          <t>HÄSSLEHOLM</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8749-2024</t>
        </is>
      </c>
      <c r="B616" s="1" t="n">
        <v>45356</v>
      </c>
      <c r="C616" s="1" t="n">
        <v>46192</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8752-2024</t>
        </is>
      </c>
      <c r="B617" s="1" t="n">
        <v>45356</v>
      </c>
      <c r="C617" s="1" t="n">
        <v>46192</v>
      </c>
      <c r="D617" t="inlineStr">
        <is>
          <t>SKÅNE LÄN</t>
        </is>
      </c>
      <c r="E617" t="inlineStr">
        <is>
          <t>HÄSSLEHOLM</t>
        </is>
      </c>
      <c r="G617" t="n">
        <v>3.4</v>
      </c>
      <c r="H617" t="n">
        <v>0</v>
      </c>
      <c r="I617" t="n">
        <v>0</v>
      </c>
      <c r="J617" t="n">
        <v>0</v>
      </c>
      <c r="K617" t="n">
        <v>0</v>
      </c>
      <c r="L617" t="n">
        <v>0</v>
      </c>
      <c r="M617" t="n">
        <v>0</v>
      </c>
      <c r="N617" t="n">
        <v>0</v>
      </c>
      <c r="O617" t="n">
        <v>0</v>
      </c>
      <c r="P617" t="n">
        <v>0</v>
      </c>
      <c r="Q617" t="n">
        <v>0</v>
      </c>
      <c r="R617" s="2" t="inlineStr"/>
    </row>
    <row r="618" ht="15" customHeight="1">
      <c r="A618" t="inlineStr">
        <is>
          <t>A 8759-2024</t>
        </is>
      </c>
      <c r="B618" s="1" t="n">
        <v>45356</v>
      </c>
      <c r="C618" s="1" t="n">
        <v>46192</v>
      </c>
      <c r="D618" t="inlineStr">
        <is>
          <t>SKÅNE LÄN</t>
        </is>
      </c>
      <c r="E618" t="inlineStr">
        <is>
          <t>HÄSSLEHOLM</t>
        </is>
      </c>
      <c r="G618" t="n">
        <v>5.7</v>
      </c>
      <c r="H618" t="n">
        <v>0</v>
      </c>
      <c r="I618" t="n">
        <v>0</v>
      </c>
      <c r="J618" t="n">
        <v>0</v>
      </c>
      <c r="K618" t="n">
        <v>0</v>
      </c>
      <c r="L618" t="n">
        <v>0</v>
      </c>
      <c r="M618" t="n">
        <v>0</v>
      </c>
      <c r="N618" t="n">
        <v>0</v>
      </c>
      <c r="O618" t="n">
        <v>0</v>
      </c>
      <c r="P618" t="n">
        <v>0</v>
      </c>
      <c r="Q618" t="n">
        <v>0</v>
      </c>
      <c r="R618" s="2" t="inlineStr"/>
    </row>
    <row r="619" ht="15" customHeight="1">
      <c r="A619" t="inlineStr">
        <is>
          <t>A 3715-2026</t>
        </is>
      </c>
      <c r="B619" s="1" t="n">
        <v>46043</v>
      </c>
      <c r="C619" s="1" t="n">
        <v>46192</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48624-2021</t>
        </is>
      </c>
      <c r="B620" s="1" t="n">
        <v>44452</v>
      </c>
      <c r="C620" s="1" t="n">
        <v>46192</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3862-2026</t>
        </is>
      </c>
      <c r="B621" s="1" t="n">
        <v>46043</v>
      </c>
      <c r="C621" s="1" t="n">
        <v>46192</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36568-2024</t>
        </is>
      </c>
      <c r="B622" s="1" t="n">
        <v>45537</v>
      </c>
      <c r="C622" s="1" t="n">
        <v>46192</v>
      </c>
      <c r="D622" t="inlineStr">
        <is>
          <t>SKÅNE LÄN</t>
        </is>
      </c>
      <c r="E622" t="inlineStr">
        <is>
          <t>HÄSSLEHOLM</t>
        </is>
      </c>
      <c r="G622" t="n">
        <v>4.3</v>
      </c>
      <c r="H622" t="n">
        <v>0</v>
      </c>
      <c r="I622" t="n">
        <v>0</v>
      </c>
      <c r="J622" t="n">
        <v>0</v>
      </c>
      <c r="K622" t="n">
        <v>0</v>
      </c>
      <c r="L622" t="n">
        <v>0</v>
      </c>
      <c r="M622" t="n">
        <v>0</v>
      </c>
      <c r="N622" t="n">
        <v>0</v>
      </c>
      <c r="O622" t="n">
        <v>0</v>
      </c>
      <c r="P622" t="n">
        <v>0</v>
      </c>
      <c r="Q622" t="n">
        <v>0</v>
      </c>
      <c r="R622" s="2" t="inlineStr"/>
    </row>
    <row r="623" ht="15" customHeight="1">
      <c r="A623" t="inlineStr">
        <is>
          <t>A 9323-2025</t>
        </is>
      </c>
      <c r="B623" s="1" t="n">
        <v>45714</v>
      </c>
      <c r="C623" s="1" t="n">
        <v>46192</v>
      </c>
      <c r="D623" t="inlineStr">
        <is>
          <t>SKÅNE LÄN</t>
        </is>
      </c>
      <c r="E623" t="inlineStr">
        <is>
          <t>HÄSSLEHOLM</t>
        </is>
      </c>
      <c r="G623" t="n">
        <v>5.2</v>
      </c>
      <c r="H623" t="n">
        <v>0</v>
      </c>
      <c r="I623" t="n">
        <v>0</v>
      </c>
      <c r="J623" t="n">
        <v>0</v>
      </c>
      <c r="K623" t="n">
        <v>0</v>
      </c>
      <c r="L623" t="n">
        <v>0</v>
      </c>
      <c r="M623" t="n">
        <v>0</v>
      </c>
      <c r="N623" t="n">
        <v>0</v>
      </c>
      <c r="O623" t="n">
        <v>0</v>
      </c>
      <c r="P623" t="n">
        <v>0</v>
      </c>
      <c r="Q623" t="n">
        <v>0</v>
      </c>
      <c r="R623" s="2" t="inlineStr"/>
    </row>
    <row r="624" ht="15" customHeight="1">
      <c r="A624" t="inlineStr">
        <is>
          <t>A 19593-2023</t>
        </is>
      </c>
      <c r="B624" s="1" t="n">
        <v>45050</v>
      </c>
      <c r="C624" s="1" t="n">
        <v>46192</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59434-2023</t>
        </is>
      </c>
      <c r="B625" s="1" t="n">
        <v>45254</v>
      </c>
      <c r="C625" s="1" t="n">
        <v>46192</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2290-2024</t>
        </is>
      </c>
      <c r="B626" s="1" t="n">
        <v>45310</v>
      </c>
      <c r="C626" s="1" t="n">
        <v>46192</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16017-2023</t>
        </is>
      </c>
      <c r="B627" s="1" t="n">
        <v>45026</v>
      </c>
      <c r="C627" s="1" t="n">
        <v>46192</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33067-2024</t>
        </is>
      </c>
      <c r="B628" s="1" t="n">
        <v>45517</v>
      </c>
      <c r="C628" s="1" t="n">
        <v>46192</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524-2024</t>
        </is>
      </c>
      <c r="B629" s="1" t="n">
        <v>45299</v>
      </c>
      <c r="C629" s="1" t="n">
        <v>46192</v>
      </c>
      <c r="D629" t="inlineStr">
        <is>
          <t>SKÅNE LÄN</t>
        </is>
      </c>
      <c r="E629" t="inlineStr">
        <is>
          <t>HÄSSLEHOLM</t>
        </is>
      </c>
      <c r="G629" t="n">
        <v>29.4</v>
      </c>
      <c r="H629" t="n">
        <v>0</v>
      </c>
      <c r="I629" t="n">
        <v>0</v>
      </c>
      <c r="J629" t="n">
        <v>0</v>
      </c>
      <c r="K629" t="n">
        <v>0</v>
      </c>
      <c r="L629" t="n">
        <v>0</v>
      </c>
      <c r="M629" t="n">
        <v>0</v>
      </c>
      <c r="N629" t="n">
        <v>0</v>
      </c>
      <c r="O629" t="n">
        <v>0</v>
      </c>
      <c r="P629" t="n">
        <v>0</v>
      </c>
      <c r="Q629" t="n">
        <v>0</v>
      </c>
      <c r="R629" s="2" t="inlineStr"/>
    </row>
    <row r="630" ht="15" customHeight="1">
      <c r="A630" t="inlineStr">
        <is>
          <t>A 28236-2022</t>
        </is>
      </c>
      <c r="B630" s="1" t="n">
        <v>44746</v>
      </c>
      <c r="C630" s="1" t="n">
        <v>46192</v>
      </c>
      <c r="D630" t="inlineStr">
        <is>
          <t>SKÅNE LÄN</t>
        </is>
      </c>
      <c r="E630" t="inlineStr">
        <is>
          <t>HÄSSLEHOLM</t>
        </is>
      </c>
      <c r="G630" t="n">
        <v>3.5</v>
      </c>
      <c r="H630" t="n">
        <v>0</v>
      </c>
      <c r="I630" t="n">
        <v>0</v>
      </c>
      <c r="J630" t="n">
        <v>0</v>
      </c>
      <c r="K630" t="n">
        <v>0</v>
      </c>
      <c r="L630" t="n">
        <v>0</v>
      </c>
      <c r="M630" t="n">
        <v>0</v>
      </c>
      <c r="N630" t="n">
        <v>0</v>
      </c>
      <c r="O630" t="n">
        <v>0</v>
      </c>
      <c r="P630" t="n">
        <v>0</v>
      </c>
      <c r="Q630" t="n">
        <v>0</v>
      </c>
      <c r="R630" s="2" t="inlineStr"/>
    </row>
    <row r="631" ht="15" customHeight="1">
      <c r="A631" t="inlineStr">
        <is>
          <t>A 9394-2025</t>
        </is>
      </c>
      <c r="B631" s="1" t="n">
        <v>45715</v>
      </c>
      <c r="C631" s="1" t="n">
        <v>46192</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61625-2022</t>
        </is>
      </c>
      <c r="B632" s="1" t="n">
        <v>44916</v>
      </c>
      <c r="C632" s="1" t="n">
        <v>46192</v>
      </c>
      <c r="D632" t="inlineStr">
        <is>
          <t>SKÅNE LÄN</t>
        </is>
      </c>
      <c r="E632" t="inlineStr">
        <is>
          <t>HÄSSLEHOLM</t>
        </is>
      </c>
      <c r="G632" t="n">
        <v>2.4</v>
      </c>
      <c r="H632" t="n">
        <v>0</v>
      </c>
      <c r="I632" t="n">
        <v>0</v>
      </c>
      <c r="J632" t="n">
        <v>0</v>
      </c>
      <c r="K632" t="n">
        <v>0</v>
      </c>
      <c r="L632" t="n">
        <v>0</v>
      </c>
      <c r="M632" t="n">
        <v>0</v>
      </c>
      <c r="N632" t="n">
        <v>0</v>
      </c>
      <c r="O632" t="n">
        <v>0</v>
      </c>
      <c r="P632" t="n">
        <v>0</v>
      </c>
      <c r="Q632" t="n">
        <v>0</v>
      </c>
      <c r="R632" s="2" t="inlineStr"/>
    </row>
    <row r="633" ht="15" customHeight="1">
      <c r="A633" t="inlineStr">
        <is>
          <t>A 38829-2024</t>
        </is>
      </c>
      <c r="B633" s="1" t="n">
        <v>45547</v>
      </c>
      <c r="C633" s="1" t="n">
        <v>46192</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39223-2024</t>
        </is>
      </c>
      <c r="B634" s="1" t="n">
        <v>45550</v>
      </c>
      <c r="C634" s="1" t="n">
        <v>46192</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27304-2023</t>
        </is>
      </c>
      <c r="B635" s="1" t="n">
        <v>45096</v>
      </c>
      <c r="C635" s="1" t="n">
        <v>46192</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22693-2022</t>
        </is>
      </c>
      <c r="B636" s="1" t="n">
        <v>44714</v>
      </c>
      <c r="C636" s="1" t="n">
        <v>46192</v>
      </c>
      <c r="D636" t="inlineStr">
        <is>
          <t>SKÅNE LÄN</t>
        </is>
      </c>
      <c r="E636" t="inlineStr">
        <is>
          <t>HÄSSLEHOLM</t>
        </is>
      </c>
      <c r="G636" t="n">
        <v>2.8</v>
      </c>
      <c r="H636" t="n">
        <v>0</v>
      </c>
      <c r="I636" t="n">
        <v>0</v>
      </c>
      <c r="J636" t="n">
        <v>0</v>
      </c>
      <c r="K636" t="n">
        <v>0</v>
      </c>
      <c r="L636" t="n">
        <v>0</v>
      </c>
      <c r="M636" t="n">
        <v>0</v>
      </c>
      <c r="N636" t="n">
        <v>0</v>
      </c>
      <c r="O636" t="n">
        <v>0</v>
      </c>
      <c r="P636" t="n">
        <v>0</v>
      </c>
      <c r="Q636" t="n">
        <v>0</v>
      </c>
      <c r="R636" s="2" t="inlineStr"/>
    </row>
    <row r="637" ht="15" customHeight="1">
      <c r="A637" t="inlineStr">
        <is>
          <t>A 55218-2023</t>
        </is>
      </c>
      <c r="B637" s="1" t="n">
        <v>45237</v>
      </c>
      <c r="C637" s="1" t="n">
        <v>46192</v>
      </c>
      <c r="D637" t="inlineStr">
        <is>
          <t>SKÅNE LÄN</t>
        </is>
      </c>
      <c r="E637" t="inlineStr">
        <is>
          <t>HÄSSLEHOLM</t>
        </is>
      </c>
      <c r="G637" t="n">
        <v>2</v>
      </c>
      <c r="H637" t="n">
        <v>0</v>
      </c>
      <c r="I637" t="n">
        <v>0</v>
      </c>
      <c r="J637" t="n">
        <v>0</v>
      </c>
      <c r="K637" t="n">
        <v>0</v>
      </c>
      <c r="L637" t="n">
        <v>0</v>
      </c>
      <c r="M637" t="n">
        <v>0</v>
      </c>
      <c r="N637" t="n">
        <v>0</v>
      </c>
      <c r="O637" t="n">
        <v>0</v>
      </c>
      <c r="P637" t="n">
        <v>0</v>
      </c>
      <c r="Q637" t="n">
        <v>0</v>
      </c>
      <c r="R637" s="2" t="inlineStr"/>
    </row>
    <row r="638" ht="15" customHeight="1">
      <c r="A638" t="inlineStr">
        <is>
          <t>A 15104-2023</t>
        </is>
      </c>
      <c r="B638" s="1" t="n">
        <v>45016</v>
      </c>
      <c r="C638" s="1" t="n">
        <v>46192</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49106-2023</t>
        </is>
      </c>
      <c r="B639" s="1" t="n">
        <v>45210</v>
      </c>
      <c r="C639" s="1" t="n">
        <v>46192</v>
      </c>
      <c r="D639" t="inlineStr">
        <is>
          <t>SKÅNE LÄN</t>
        </is>
      </c>
      <c r="E639" t="inlineStr">
        <is>
          <t>HÄSSLEHOLM</t>
        </is>
      </c>
      <c r="G639" t="n">
        <v>0.3</v>
      </c>
      <c r="H639" t="n">
        <v>0</v>
      </c>
      <c r="I639" t="n">
        <v>0</v>
      </c>
      <c r="J639" t="n">
        <v>0</v>
      </c>
      <c r="K639" t="n">
        <v>0</v>
      </c>
      <c r="L639" t="n">
        <v>0</v>
      </c>
      <c r="M639" t="n">
        <v>0</v>
      </c>
      <c r="N639" t="n">
        <v>0</v>
      </c>
      <c r="O639" t="n">
        <v>0</v>
      </c>
      <c r="P639" t="n">
        <v>0</v>
      </c>
      <c r="Q639" t="n">
        <v>0</v>
      </c>
      <c r="R639" s="2" t="inlineStr"/>
    </row>
    <row r="640" ht="15" customHeight="1">
      <c r="A640" t="inlineStr">
        <is>
          <t>A 10409-2024</t>
        </is>
      </c>
      <c r="B640" s="1" t="n">
        <v>45365</v>
      </c>
      <c r="C640" s="1" t="n">
        <v>46192</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47248-2023</t>
        </is>
      </c>
      <c r="B641" s="1" t="n">
        <v>45202</v>
      </c>
      <c r="C641" s="1" t="n">
        <v>46192</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20990-2023</t>
        </is>
      </c>
      <c r="B642" s="1" t="n">
        <v>45061</v>
      </c>
      <c r="C642" s="1" t="n">
        <v>46192</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12507-2022</t>
        </is>
      </c>
      <c r="B643" s="1" t="n">
        <v>44638</v>
      </c>
      <c r="C643" s="1" t="n">
        <v>46192</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54171-2022</t>
        </is>
      </c>
      <c r="B644" s="1" t="n">
        <v>44881</v>
      </c>
      <c r="C644" s="1" t="n">
        <v>46192</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5103-2026</t>
        </is>
      </c>
      <c r="B645" s="1" t="n">
        <v>46049</v>
      </c>
      <c r="C645" s="1" t="n">
        <v>46192</v>
      </c>
      <c r="D645" t="inlineStr">
        <is>
          <t>SKÅNE LÄN</t>
        </is>
      </c>
      <c r="E645" t="inlineStr">
        <is>
          <t>HÄSSLEHOLM</t>
        </is>
      </c>
      <c r="G645" t="n">
        <v>5.4</v>
      </c>
      <c r="H645" t="n">
        <v>0</v>
      </c>
      <c r="I645" t="n">
        <v>0</v>
      </c>
      <c r="J645" t="n">
        <v>0</v>
      </c>
      <c r="K645" t="n">
        <v>0</v>
      </c>
      <c r="L645" t="n">
        <v>0</v>
      </c>
      <c r="M645" t="n">
        <v>0</v>
      </c>
      <c r="N645" t="n">
        <v>0</v>
      </c>
      <c r="O645" t="n">
        <v>0</v>
      </c>
      <c r="P645" t="n">
        <v>0</v>
      </c>
      <c r="Q645" t="n">
        <v>0</v>
      </c>
      <c r="R645" s="2" t="inlineStr"/>
    </row>
    <row r="646" ht="15" customHeight="1">
      <c r="A646" t="inlineStr">
        <is>
          <t>A 57277-2023</t>
        </is>
      </c>
      <c r="B646" s="1" t="n">
        <v>45245</v>
      </c>
      <c r="C646" s="1" t="n">
        <v>46192</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2597-2024</t>
        </is>
      </c>
      <c r="B647" s="1" t="n">
        <v>45313</v>
      </c>
      <c r="C647" s="1" t="n">
        <v>46192</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4981-2026</t>
        </is>
      </c>
      <c r="B648" s="1" t="n">
        <v>46049</v>
      </c>
      <c r="C648" s="1" t="n">
        <v>46192</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4994-2026</t>
        </is>
      </c>
      <c r="B649" s="1" t="n">
        <v>46049</v>
      </c>
      <c r="C649" s="1" t="n">
        <v>46192</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3531-2023</t>
        </is>
      </c>
      <c r="B650" s="1" t="n">
        <v>44950</v>
      </c>
      <c r="C650" s="1" t="n">
        <v>46192</v>
      </c>
      <c r="D650" t="inlineStr">
        <is>
          <t>SKÅNE LÄN</t>
        </is>
      </c>
      <c r="E650" t="inlineStr">
        <is>
          <t>HÄSSLEHOLM</t>
        </is>
      </c>
      <c r="G650" t="n">
        <v>10.1</v>
      </c>
      <c r="H650" t="n">
        <v>0</v>
      </c>
      <c r="I650" t="n">
        <v>0</v>
      </c>
      <c r="J650" t="n">
        <v>0</v>
      </c>
      <c r="K650" t="n">
        <v>0</v>
      </c>
      <c r="L650" t="n">
        <v>0</v>
      </c>
      <c r="M650" t="n">
        <v>0</v>
      </c>
      <c r="N650" t="n">
        <v>0</v>
      </c>
      <c r="O650" t="n">
        <v>0</v>
      </c>
      <c r="P650" t="n">
        <v>0</v>
      </c>
      <c r="Q650" t="n">
        <v>0</v>
      </c>
      <c r="R650" s="2" t="inlineStr"/>
    </row>
    <row r="651" ht="15" customHeight="1">
      <c r="A651" t="inlineStr">
        <is>
          <t>A 15417-2022</t>
        </is>
      </c>
      <c r="B651" s="1" t="n">
        <v>44659</v>
      </c>
      <c r="C651" s="1" t="n">
        <v>46192</v>
      </c>
      <c r="D651" t="inlineStr">
        <is>
          <t>SKÅNE LÄN</t>
        </is>
      </c>
      <c r="E651" t="inlineStr">
        <is>
          <t>HÄSSLEHOLM</t>
        </is>
      </c>
      <c r="F651" t="inlineStr">
        <is>
          <t>Kyrkan</t>
        </is>
      </c>
      <c r="G651" t="n">
        <v>2.9</v>
      </c>
      <c r="H651" t="n">
        <v>0</v>
      </c>
      <c r="I651" t="n">
        <v>0</v>
      </c>
      <c r="J651" t="n">
        <v>0</v>
      </c>
      <c r="K651" t="n">
        <v>0</v>
      </c>
      <c r="L651" t="n">
        <v>0</v>
      </c>
      <c r="M651" t="n">
        <v>0</v>
      </c>
      <c r="N651" t="n">
        <v>0</v>
      </c>
      <c r="O651" t="n">
        <v>0</v>
      </c>
      <c r="P651" t="n">
        <v>0</v>
      </c>
      <c r="Q651" t="n">
        <v>0</v>
      </c>
      <c r="R651" s="2" t="inlineStr"/>
    </row>
    <row r="652" ht="15" customHeight="1">
      <c r="A652" t="inlineStr">
        <is>
          <t>A 44262-2021</t>
        </is>
      </c>
      <c r="B652" s="1" t="n">
        <v>44434</v>
      </c>
      <c r="C652" s="1" t="n">
        <v>46192</v>
      </c>
      <c r="D652" t="inlineStr">
        <is>
          <t>SKÅNE LÄN</t>
        </is>
      </c>
      <c r="E652" t="inlineStr">
        <is>
          <t>HÄSSLEHOLM</t>
        </is>
      </c>
      <c r="G652" t="n">
        <v>4.7</v>
      </c>
      <c r="H652" t="n">
        <v>0</v>
      </c>
      <c r="I652" t="n">
        <v>0</v>
      </c>
      <c r="J652" t="n">
        <v>0</v>
      </c>
      <c r="K652" t="n">
        <v>0</v>
      </c>
      <c r="L652" t="n">
        <v>0</v>
      </c>
      <c r="M652" t="n">
        <v>0</v>
      </c>
      <c r="N652" t="n">
        <v>0</v>
      </c>
      <c r="O652" t="n">
        <v>0</v>
      </c>
      <c r="P652" t="n">
        <v>0</v>
      </c>
      <c r="Q652" t="n">
        <v>0</v>
      </c>
      <c r="R652" s="2" t="inlineStr"/>
    </row>
    <row r="653" ht="15" customHeight="1">
      <c r="A653" t="inlineStr">
        <is>
          <t>A 50659-2023</t>
        </is>
      </c>
      <c r="B653" s="1" t="n">
        <v>45217</v>
      </c>
      <c r="C653" s="1" t="n">
        <v>46192</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5503-2026</t>
        </is>
      </c>
      <c r="B654" s="1" t="n">
        <v>46050</v>
      </c>
      <c r="C654" s="1" t="n">
        <v>46192</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67801-2021</t>
        </is>
      </c>
      <c r="B655" s="1" t="n">
        <v>44525</v>
      </c>
      <c r="C655" s="1" t="n">
        <v>46192</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2144-2023</t>
        </is>
      </c>
      <c r="B656" s="1" t="n">
        <v>44940</v>
      </c>
      <c r="C656" s="1" t="n">
        <v>46192</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7202-2022</t>
        </is>
      </c>
      <c r="B657" s="1" t="n">
        <v>44606</v>
      </c>
      <c r="C657" s="1" t="n">
        <v>46192</v>
      </c>
      <c r="D657" t="inlineStr">
        <is>
          <t>SKÅNE LÄN</t>
        </is>
      </c>
      <c r="E657" t="inlineStr">
        <is>
          <t>HÄSSLEHOLM</t>
        </is>
      </c>
      <c r="G657" t="n">
        <v>4.7</v>
      </c>
      <c r="H657" t="n">
        <v>0</v>
      </c>
      <c r="I657" t="n">
        <v>0</v>
      </c>
      <c r="J657" t="n">
        <v>0</v>
      </c>
      <c r="K657" t="n">
        <v>0</v>
      </c>
      <c r="L657" t="n">
        <v>0</v>
      </c>
      <c r="M657" t="n">
        <v>0</v>
      </c>
      <c r="N657" t="n">
        <v>0</v>
      </c>
      <c r="O657" t="n">
        <v>0</v>
      </c>
      <c r="P657" t="n">
        <v>0</v>
      </c>
      <c r="Q657" t="n">
        <v>0</v>
      </c>
      <c r="R657" s="2" t="inlineStr"/>
    </row>
    <row r="658" ht="15" customHeight="1">
      <c r="A658" t="inlineStr">
        <is>
          <t>A 5759-2026</t>
        </is>
      </c>
      <c r="B658" s="1" t="n">
        <v>46051</v>
      </c>
      <c r="C658" s="1" t="n">
        <v>46192</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6309-2026</t>
        </is>
      </c>
      <c r="B659" s="1" t="n">
        <v>46055</v>
      </c>
      <c r="C659" s="1" t="n">
        <v>46192</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6299-2026</t>
        </is>
      </c>
      <c r="B660" s="1" t="n">
        <v>46055</v>
      </c>
      <c r="C660" s="1" t="n">
        <v>46192</v>
      </c>
      <c r="D660" t="inlineStr">
        <is>
          <t>SKÅNE LÄN</t>
        </is>
      </c>
      <c r="E660" t="inlineStr">
        <is>
          <t>HÄSSLEHOLM</t>
        </is>
      </c>
      <c r="G660" t="n">
        <v>5.2</v>
      </c>
      <c r="H660" t="n">
        <v>0</v>
      </c>
      <c r="I660" t="n">
        <v>0</v>
      </c>
      <c r="J660" t="n">
        <v>0</v>
      </c>
      <c r="K660" t="n">
        <v>0</v>
      </c>
      <c r="L660" t="n">
        <v>0</v>
      </c>
      <c r="M660" t="n">
        <v>0</v>
      </c>
      <c r="N660" t="n">
        <v>0</v>
      </c>
      <c r="O660" t="n">
        <v>0</v>
      </c>
      <c r="P660" t="n">
        <v>0</v>
      </c>
      <c r="Q660" t="n">
        <v>0</v>
      </c>
      <c r="R660" s="2" t="inlineStr"/>
    </row>
    <row r="661" ht="15" customHeight="1">
      <c r="A661" t="inlineStr">
        <is>
          <t>A 35150-2023</t>
        </is>
      </c>
      <c r="B661" s="1" t="n">
        <v>45145</v>
      </c>
      <c r="C661" s="1" t="n">
        <v>46192</v>
      </c>
      <c r="D661" t="inlineStr">
        <is>
          <t>SKÅNE LÄN</t>
        </is>
      </c>
      <c r="E661" t="inlineStr">
        <is>
          <t>HÄSSLEHOLM</t>
        </is>
      </c>
      <c r="G661" t="n">
        <v>4.9</v>
      </c>
      <c r="H661" t="n">
        <v>0</v>
      </c>
      <c r="I661" t="n">
        <v>0</v>
      </c>
      <c r="J661" t="n">
        <v>0</v>
      </c>
      <c r="K661" t="n">
        <v>0</v>
      </c>
      <c r="L661" t="n">
        <v>0</v>
      </c>
      <c r="M661" t="n">
        <v>0</v>
      </c>
      <c r="N661" t="n">
        <v>0</v>
      </c>
      <c r="O661" t="n">
        <v>0</v>
      </c>
      <c r="P661" t="n">
        <v>0</v>
      </c>
      <c r="Q661" t="n">
        <v>0</v>
      </c>
      <c r="R661" s="2" t="inlineStr"/>
    </row>
    <row r="662" ht="15" customHeight="1">
      <c r="A662" t="inlineStr">
        <is>
          <t>A 6295-2026</t>
        </is>
      </c>
      <c r="B662" s="1" t="n">
        <v>46055</v>
      </c>
      <c r="C662" s="1" t="n">
        <v>46192</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21494-2023</t>
        </is>
      </c>
      <c r="B663" s="1" t="n">
        <v>45063</v>
      </c>
      <c r="C663" s="1" t="n">
        <v>46192</v>
      </c>
      <c r="D663" t="inlineStr">
        <is>
          <t>SKÅNE LÄN</t>
        </is>
      </c>
      <c r="E663" t="inlineStr">
        <is>
          <t>HÄSSLEHOLM</t>
        </is>
      </c>
      <c r="G663" t="n">
        <v>3.7</v>
      </c>
      <c r="H663" t="n">
        <v>0</v>
      </c>
      <c r="I663" t="n">
        <v>0</v>
      </c>
      <c r="J663" t="n">
        <v>0</v>
      </c>
      <c r="K663" t="n">
        <v>0</v>
      </c>
      <c r="L663" t="n">
        <v>0</v>
      </c>
      <c r="M663" t="n">
        <v>0</v>
      </c>
      <c r="N663" t="n">
        <v>0</v>
      </c>
      <c r="O663" t="n">
        <v>0</v>
      </c>
      <c r="P663" t="n">
        <v>0</v>
      </c>
      <c r="Q663" t="n">
        <v>0</v>
      </c>
      <c r="R663" s="2" t="inlineStr"/>
    </row>
    <row r="664" ht="15" customHeight="1">
      <c r="A664" t="inlineStr">
        <is>
          <t>A 21495-2023</t>
        </is>
      </c>
      <c r="B664" s="1" t="n">
        <v>45063</v>
      </c>
      <c r="C664" s="1" t="n">
        <v>46192</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62167-2022</t>
        </is>
      </c>
      <c r="B665" s="1" t="n">
        <v>44915</v>
      </c>
      <c r="C665" s="1" t="n">
        <v>46192</v>
      </c>
      <c r="D665" t="inlineStr">
        <is>
          <t>SKÅNE LÄN</t>
        </is>
      </c>
      <c r="E665" t="inlineStr">
        <is>
          <t>HÄSSLEHOLM</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62234-2022</t>
        </is>
      </c>
      <c r="B666" s="1" t="n">
        <v>44922</v>
      </c>
      <c r="C666" s="1" t="n">
        <v>46192</v>
      </c>
      <c r="D666" t="inlineStr">
        <is>
          <t>SKÅNE LÄN</t>
        </is>
      </c>
      <c r="E666" t="inlineStr">
        <is>
          <t>HÄSSLEHOLM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34299-2024</t>
        </is>
      </c>
      <c r="B667" s="1" t="n">
        <v>45524</v>
      </c>
      <c r="C667" s="1" t="n">
        <v>46192</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18041-2023</t>
        </is>
      </c>
      <c r="B668" s="1" t="n">
        <v>45040</v>
      </c>
      <c r="C668" s="1" t="n">
        <v>46192</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49250-2022</t>
        </is>
      </c>
      <c r="B669" s="1" t="n">
        <v>44858</v>
      </c>
      <c r="C669" s="1" t="n">
        <v>46192</v>
      </c>
      <c r="D669" t="inlineStr">
        <is>
          <t>SKÅNE LÄN</t>
        </is>
      </c>
      <c r="E669" t="inlineStr">
        <is>
          <t>HÄSSLEHOLM</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9697-2023</t>
        </is>
      </c>
      <c r="B670" s="1" t="n">
        <v>44984</v>
      </c>
      <c r="C670" s="1" t="n">
        <v>46192</v>
      </c>
      <c r="D670" t="inlineStr">
        <is>
          <t>SKÅNE LÄN</t>
        </is>
      </c>
      <c r="E670" t="inlineStr">
        <is>
          <t>HÄSSLEHOLM</t>
        </is>
      </c>
      <c r="G670" t="n">
        <v>0.3</v>
      </c>
      <c r="H670" t="n">
        <v>0</v>
      </c>
      <c r="I670" t="n">
        <v>0</v>
      </c>
      <c r="J670" t="n">
        <v>0</v>
      </c>
      <c r="K670" t="n">
        <v>0</v>
      </c>
      <c r="L670" t="n">
        <v>0</v>
      </c>
      <c r="M670" t="n">
        <v>0</v>
      </c>
      <c r="N670" t="n">
        <v>0</v>
      </c>
      <c r="O670" t="n">
        <v>0</v>
      </c>
      <c r="P670" t="n">
        <v>0</v>
      </c>
      <c r="Q670" t="n">
        <v>0</v>
      </c>
      <c r="R670" s="2" t="inlineStr"/>
    </row>
    <row r="671" ht="15" customHeight="1">
      <c r="A671" t="inlineStr">
        <is>
          <t>A 45222-2023</t>
        </is>
      </c>
      <c r="B671" s="1" t="n">
        <v>45191</v>
      </c>
      <c r="C671" s="1" t="n">
        <v>46192</v>
      </c>
      <c r="D671" t="inlineStr">
        <is>
          <t>SKÅNE LÄN</t>
        </is>
      </c>
      <c r="E671" t="inlineStr">
        <is>
          <t>HÄSSLEHOLM</t>
        </is>
      </c>
      <c r="G671" t="n">
        <v>1.5</v>
      </c>
      <c r="H671" t="n">
        <v>0</v>
      </c>
      <c r="I671" t="n">
        <v>0</v>
      </c>
      <c r="J671" t="n">
        <v>0</v>
      </c>
      <c r="K671" t="n">
        <v>0</v>
      </c>
      <c r="L671" t="n">
        <v>0</v>
      </c>
      <c r="M671" t="n">
        <v>0</v>
      </c>
      <c r="N671" t="n">
        <v>0</v>
      </c>
      <c r="O671" t="n">
        <v>0</v>
      </c>
      <c r="P671" t="n">
        <v>0</v>
      </c>
      <c r="Q671" t="n">
        <v>0</v>
      </c>
      <c r="R671" s="2" t="inlineStr"/>
    </row>
    <row r="672" ht="15" customHeight="1">
      <c r="A672" t="inlineStr">
        <is>
          <t>A 35890-2023</t>
        </is>
      </c>
      <c r="B672" s="1" t="n">
        <v>45148</v>
      </c>
      <c r="C672" s="1" t="n">
        <v>46192</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35895-2023</t>
        </is>
      </c>
      <c r="B673" s="1" t="n">
        <v>45148</v>
      </c>
      <c r="C673" s="1" t="n">
        <v>46192</v>
      </c>
      <c r="D673" t="inlineStr">
        <is>
          <t>SKÅNE LÄN</t>
        </is>
      </c>
      <c r="E673" t="inlineStr">
        <is>
          <t>HÄSSLEHOLM</t>
        </is>
      </c>
      <c r="G673" t="n">
        <v>0.4</v>
      </c>
      <c r="H673" t="n">
        <v>0</v>
      </c>
      <c r="I673" t="n">
        <v>0</v>
      </c>
      <c r="J673" t="n">
        <v>0</v>
      </c>
      <c r="K673" t="n">
        <v>0</v>
      </c>
      <c r="L673" t="n">
        <v>0</v>
      </c>
      <c r="M673" t="n">
        <v>0</v>
      </c>
      <c r="N673" t="n">
        <v>0</v>
      </c>
      <c r="O673" t="n">
        <v>0</v>
      </c>
      <c r="P673" t="n">
        <v>0</v>
      </c>
      <c r="Q673" t="n">
        <v>0</v>
      </c>
      <c r="R673" s="2" t="inlineStr"/>
    </row>
    <row r="674" ht="15" customHeight="1">
      <c r="A674" t="inlineStr">
        <is>
          <t>A 61569-2023</t>
        </is>
      </c>
      <c r="B674" s="1" t="n">
        <v>45265</v>
      </c>
      <c r="C674" s="1" t="n">
        <v>46192</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52235-2021</t>
        </is>
      </c>
      <c r="B675" s="1" t="n">
        <v>44463</v>
      </c>
      <c r="C675" s="1" t="n">
        <v>46192</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42232-2022</t>
        </is>
      </c>
      <c r="B676" s="1" t="n">
        <v>44830</v>
      </c>
      <c r="C676" s="1" t="n">
        <v>46192</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6877-2026</t>
        </is>
      </c>
      <c r="B677" s="1" t="n">
        <v>46057</v>
      </c>
      <c r="C677" s="1" t="n">
        <v>46192</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37038-2022</t>
        </is>
      </c>
      <c r="B678" s="1" t="n">
        <v>44806</v>
      </c>
      <c r="C678" s="1" t="n">
        <v>46192</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5894-2023</t>
        </is>
      </c>
      <c r="B679" s="1" t="n">
        <v>44963</v>
      </c>
      <c r="C679" s="1" t="n">
        <v>46192</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54471-2023</t>
        </is>
      </c>
      <c r="B680" s="1" t="n">
        <v>45233</v>
      </c>
      <c r="C680" s="1" t="n">
        <v>46192</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9502-2023</t>
        </is>
      </c>
      <c r="B681" s="1" t="n">
        <v>44981</v>
      </c>
      <c r="C681" s="1" t="n">
        <v>46192</v>
      </c>
      <c r="D681" t="inlineStr">
        <is>
          <t>SKÅNE LÄN</t>
        </is>
      </c>
      <c r="E681" t="inlineStr">
        <is>
          <t>HÄSSLEHOLM</t>
        </is>
      </c>
      <c r="G681" t="n">
        <v>0.4</v>
      </c>
      <c r="H681" t="n">
        <v>0</v>
      </c>
      <c r="I681" t="n">
        <v>0</v>
      </c>
      <c r="J681" t="n">
        <v>0</v>
      </c>
      <c r="K681" t="n">
        <v>0</v>
      </c>
      <c r="L681" t="n">
        <v>0</v>
      </c>
      <c r="M681" t="n">
        <v>0</v>
      </c>
      <c r="N681" t="n">
        <v>0</v>
      </c>
      <c r="O681" t="n">
        <v>0</v>
      </c>
      <c r="P681" t="n">
        <v>0</v>
      </c>
      <c r="Q681" t="n">
        <v>0</v>
      </c>
      <c r="R681" s="2" t="inlineStr"/>
    </row>
    <row r="682" ht="15" customHeight="1">
      <c r="A682" t="inlineStr">
        <is>
          <t>A 6449-2026</t>
        </is>
      </c>
      <c r="B682" s="1" t="n">
        <v>46055</v>
      </c>
      <c r="C682" s="1" t="n">
        <v>46192</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48046-2023</t>
        </is>
      </c>
      <c r="B683" s="1" t="n">
        <v>45204</v>
      </c>
      <c r="C683" s="1" t="n">
        <v>46192</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57749-2023</t>
        </is>
      </c>
      <c r="B684" s="1" t="n">
        <v>45246</v>
      </c>
      <c r="C684" s="1" t="n">
        <v>46192</v>
      </c>
      <c r="D684" t="inlineStr">
        <is>
          <t>SKÅNE LÄN</t>
        </is>
      </c>
      <c r="E684" t="inlineStr">
        <is>
          <t>HÄSSLEHOLM</t>
        </is>
      </c>
      <c r="G684" t="n">
        <v>2.7</v>
      </c>
      <c r="H684" t="n">
        <v>0</v>
      </c>
      <c r="I684" t="n">
        <v>0</v>
      </c>
      <c r="J684" t="n">
        <v>0</v>
      </c>
      <c r="K684" t="n">
        <v>0</v>
      </c>
      <c r="L684" t="n">
        <v>0</v>
      </c>
      <c r="M684" t="n">
        <v>0</v>
      </c>
      <c r="N684" t="n">
        <v>0</v>
      </c>
      <c r="O684" t="n">
        <v>0</v>
      </c>
      <c r="P684" t="n">
        <v>0</v>
      </c>
      <c r="Q684" t="n">
        <v>0</v>
      </c>
      <c r="R684" s="2" t="inlineStr"/>
    </row>
    <row r="685" ht="15" customHeight="1">
      <c r="A685" t="inlineStr">
        <is>
          <t>A 1538-2024</t>
        </is>
      </c>
      <c r="B685" s="1" t="n">
        <v>45306</v>
      </c>
      <c r="C685" s="1" t="n">
        <v>46192</v>
      </c>
      <c r="D685" t="inlineStr">
        <is>
          <t>SKÅNE LÄN</t>
        </is>
      </c>
      <c r="E685" t="inlineStr">
        <is>
          <t>HÄSSLEHOLM</t>
        </is>
      </c>
      <c r="G685" t="n">
        <v>4.8</v>
      </c>
      <c r="H685" t="n">
        <v>0</v>
      </c>
      <c r="I685" t="n">
        <v>0</v>
      </c>
      <c r="J685" t="n">
        <v>0</v>
      </c>
      <c r="K685" t="n">
        <v>0</v>
      </c>
      <c r="L685" t="n">
        <v>0</v>
      </c>
      <c r="M685" t="n">
        <v>0</v>
      </c>
      <c r="N685" t="n">
        <v>0</v>
      </c>
      <c r="O685" t="n">
        <v>0</v>
      </c>
      <c r="P685" t="n">
        <v>0</v>
      </c>
      <c r="Q685" t="n">
        <v>0</v>
      </c>
      <c r="R685" s="2" t="inlineStr"/>
    </row>
    <row r="686" ht="15" customHeight="1">
      <c r="A686" t="inlineStr">
        <is>
          <t>A 3135-2023</t>
        </is>
      </c>
      <c r="B686" s="1" t="n">
        <v>44946</v>
      </c>
      <c r="C686" s="1" t="n">
        <v>46192</v>
      </c>
      <c r="D686" t="inlineStr">
        <is>
          <t>SKÅNE LÄN</t>
        </is>
      </c>
      <c r="E686" t="inlineStr">
        <is>
          <t>HÄSSLEHOLM</t>
        </is>
      </c>
      <c r="G686" t="n">
        <v>7.2</v>
      </c>
      <c r="H686" t="n">
        <v>0</v>
      </c>
      <c r="I686" t="n">
        <v>0</v>
      </c>
      <c r="J686" t="n">
        <v>0</v>
      </c>
      <c r="K686" t="n">
        <v>0</v>
      </c>
      <c r="L686" t="n">
        <v>0</v>
      </c>
      <c r="M686" t="n">
        <v>0</v>
      </c>
      <c r="N686" t="n">
        <v>0</v>
      </c>
      <c r="O686" t="n">
        <v>0</v>
      </c>
      <c r="P686" t="n">
        <v>0</v>
      </c>
      <c r="Q686" t="n">
        <v>0</v>
      </c>
      <c r="R686" s="2" t="inlineStr"/>
    </row>
    <row r="687" ht="15" customHeight="1">
      <c r="A687" t="inlineStr">
        <is>
          <t>A 50607-2023</t>
        </is>
      </c>
      <c r="B687" s="1" t="n">
        <v>45210</v>
      </c>
      <c r="C687" s="1" t="n">
        <v>46192</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46192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31944-2023</t>
        </is>
      </c>
      <c r="B689" s="1" t="n">
        <v>45119</v>
      </c>
      <c r="C689" s="1" t="n">
        <v>46192</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34342-2021</t>
        </is>
      </c>
      <c r="B690" s="1" t="n">
        <v>44379</v>
      </c>
      <c r="C690" s="1" t="n">
        <v>46192</v>
      </c>
      <c r="D690" t="inlineStr">
        <is>
          <t>SKÅNE LÄN</t>
        </is>
      </c>
      <c r="E690" t="inlineStr">
        <is>
          <t>HÄSSLEHOLM</t>
        </is>
      </c>
      <c r="G690" t="n">
        <v>7</v>
      </c>
      <c r="H690" t="n">
        <v>0</v>
      </c>
      <c r="I690" t="n">
        <v>0</v>
      </c>
      <c r="J690" t="n">
        <v>0</v>
      </c>
      <c r="K690" t="n">
        <v>0</v>
      </c>
      <c r="L690" t="n">
        <v>0</v>
      </c>
      <c r="M690" t="n">
        <v>0</v>
      </c>
      <c r="N690" t="n">
        <v>0</v>
      </c>
      <c r="O690" t="n">
        <v>0</v>
      </c>
      <c r="P690" t="n">
        <v>0</v>
      </c>
      <c r="Q690" t="n">
        <v>0</v>
      </c>
      <c r="R690" s="2" t="inlineStr"/>
    </row>
    <row r="691" ht="15" customHeight="1">
      <c r="A691" t="inlineStr">
        <is>
          <t>A 7244-2026</t>
        </is>
      </c>
      <c r="B691" s="1" t="n">
        <v>46058</v>
      </c>
      <c r="C691" s="1" t="n">
        <v>46192</v>
      </c>
      <c r="D691" t="inlineStr">
        <is>
          <t>SKÅNE LÄN</t>
        </is>
      </c>
      <c r="E691" t="inlineStr">
        <is>
          <t>HÄSSLEHOLM</t>
        </is>
      </c>
      <c r="G691" t="n">
        <v>7</v>
      </c>
      <c r="H691" t="n">
        <v>0</v>
      </c>
      <c r="I691" t="n">
        <v>0</v>
      </c>
      <c r="J691" t="n">
        <v>0</v>
      </c>
      <c r="K691" t="n">
        <v>0</v>
      </c>
      <c r="L691" t="n">
        <v>0</v>
      </c>
      <c r="M691" t="n">
        <v>0</v>
      </c>
      <c r="N691" t="n">
        <v>0</v>
      </c>
      <c r="O691" t="n">
        <v>0</v>
      </c>
      <c r="P691" t="n">
        <v>0</v>
      </c>
      <c r="Q691" t="n">
        <v>0</v>
      </c>
      <c r="R691" s="2" t="inlineStr"/>
    </row>
    <row r="692" ht="15" customHeight="1">
      <c r="A692" t="inlineStr">
        <is>
          <t>A 7721-2026</t>
        </is>
      </c>
      <c r="B692" s="1" t="n">
        <v>46059</v>
      </c>
      <c r="C692" s="1" t="n">
        <v>46192</v>
      </c>
      <c r="D692" t="inlineStr">
        <is>
          <t>SKÅNE LÄN</t>
        </is>
      </c>
      <c r="E692" t="inlineStr">
        <is>
          <t>HÄSSLEHOLM</t>
        </is>
      </c>
      <c r="G692" t="n">
        <v>3.3</v>
      </c>
      <c r="H692" t="n">
        <v>0</v>
      </c>
      <c r="I692" t="n">
        <v>0</v>
      </c>
      <c r="J692" t="n">
        <v>0</v>
      </c>
      <c r="K692" t="n">
        <v>0</v>
      </c>
      <c r="L692" t="n">
        <v>0</v>
      </c>
      <c r="M692" t="n">
        <v>0</v>
      </c>
      <c r="N692" t="n">
        <v>0</v>
      </c>
      <c r="O692" t="n">
        <v>0</v>
      </c>
      <c r="P692" t="n">
        <v>0</v>
      </c>
      <c r="Q692" t="n">
        <v>0</v>
      </c>
      <c r="R692" s="2" t="inlineStr"/>
    </row>
    <row r="693" ht="15" customHeight="1">
      <c r="A693" t="inlineStr">
        <is>
          <t>A 3507-2024</t>
        </is>
      </c>
      <c r="B693" s="1" t="n">
        <v>45320</v>
      </c>
      <c r="C693" s="1" t="n">
        <v>46192</v>
      </c>
      <c r="D693" t="inlineStr">
        <is>
          <t>SKÅNE LÄN</t>
        </is>
      </c>
      <c r="E693" t="inlineStr">
        <is>
          <t>HÄSSLEHOLM</t>
        </is>
      </c>
      <c r="G693" t="n">
        <v>6.4</v>
      </c>
      <c r="H693" t="n">
        <v>0</v>
      </c>
      <c r="I693" t="n">
        <v>0</v>
      </c>
      <c r="J693" t="n">
        <v>0</v>
      </c>
      <c r="K693" t="n">
        <v>0</v>
      </c>
      <c r="L693" t="n">
        <v>0</v>
      </c>
      <c r="M693" t="n">
        <v>0</v>
      </c>
      <c r="N693" t="n">
        <v>0</v>
      </c>
      <c r="O693" t="n">
        <v>0</v>
      </c>
      <c r="P693" t="n">
        <v>0</v>
      </c>
      <c r="Q693" t="n">
        <v>0</v>
      </c>
      <c r="R693" s="2" t="inlineStr"/>
    </row>
    <row r="694" ht="15" customHeight="1">
      <c r="A694" t="inlineStr">
        <is>
          <t>A 49111-2023</t>
        </is>
      </c>
      <c r="B694" s="1" t="n">
        <v>45210</v>
      </c>
      <c r="C694" s="1" t="n">
        <v>46192</v>
      </c>
      <c r="D694" t="inlineStr">
        <is>
          <t>SKÅNE LÄN</t>
        </is>
      </c>
      <c r="E694" t="inlineStr">
        <is>
          <t>HÄSSLEHOLM</t>
        </is>
      </c>
      <c r="G694" t="n">
        <v>0.2</v>
      </c>
      <c r="H694" t="n">
        <v>0</v>
      </c>
      <c r="I694" t="n">
        <v>0</v>
      </c>
      <c r="J694" t="n">
        <v>0</v>
      </c>
      <c r="K694" t="n">
        <v>0</v>
      </c>
      <c r="L694" t="n">
        <v>0</v>
      </c>
      <c r="M694" t="n">
        <v>0</v>
      </c>
      <c r="N694" t="n">
        <v>0</v>
      </c>
      <c r="O694" t="n">
        <v>0</v>
      </c>
      <c r="P694" t="n">
        <v>0</v>
      </c>
      <c r="Q694" t="n">
        <v>0</v>
      </c>
      <c r="R694" s="2" t="inlineStr"/>
    </row>
    <row r="695" ht="15" customHeight="1">
      <c r="A695" t="inlineStr">
        <is>
          <t>A 61178-2022</t>
        </is>
      </c>
      <c r="B695" s="1" t="n">
        <v>44915</v>
      </c>
      <c r="C695" s="1" t="n">
        <v>46192</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61185-2022</t>
        </is>
      </c>
      <c r="B696" s="1" t="n">
        <v>44915</v>
      </c>
      <c r="C696" s="1" t="n">
        <v>46192</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58915-2023</t>
        </is>
      </c>
      <c r="B697" s="1" t="n">
        <v>45250</v>
      </c>
      <c r="C697" s="1" t="n">
        <v>46192</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15508-2023</t>
        </is>
      </c>
      <c r="B698" s="1" t="n">
        <v>45020</v>
      </c>
      <c r="C698" s="1" t="n">
        <v>46192</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55056-2021</t>
        </is>
      </c>
      <c r="B699" s="1" t="n">
        <v>44474</v>
      </c>
      <c r="C699" s="1" t="n">
        <v>46192</v>
      </c>
      <c r="D699" t="inlineStr">
        <is>
          <t>SKÅNE LÄN</t>
        </is>
      </c>
      <c r="E699" t="inlineStr">
        <is>
          <t>HÄSSLEHOLM</t>
        </is>
      </c>
      <c r="G699" t="n">
        <v>2.5</v>
      </c>
      <c r="H699" t="n">
        <v>0</v>
      </c>
      <c r="I699" t="n">
        <v>0</v>
      </c>
      <c r="J699" t="n">
        <v>0</v>
      </c>
      <c r="K699" t="n">
        <v>0</v>
      </c>
      <c r="L699" t="n">
        <v>0</v>
      </c>
      <c r="M699" t="n">
        <v>0</v>
      </c>
      <c r="N699" t="n">
        <v>0</v>
      </c>
      <c r="O699" t="n">
        <v>0</v>
      </c>
      <c r="P699" t="n">
        <v>0</v>
      </c>
      <c r="Q699" t="n">
        <v>0</v>
      </c>
      <c r="R699" s="2" t="inlineStr"/>
    </row>
    <row r="700" ht="15" customHeight="1">
      <c r="A700" t="inlineStr">
        <is>
          <t>A 8755-2024</t>
        </is>
      </c>
      <c r="B700" s="1" t="n">
        <v>45356</v>
      </c>
      <c r="C700" s="1" t="n">
        <v>46192</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61934-2023</t>
        </is>
      </c>
      <c r="B701" s="1" t="n">
        <v>45266</v>
      </c>
      <c r="C701" s="1" t="n">
        <v>46192</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33257-2024</t>
        </is>
      </c>
      <c r="B702" s="1" t="n">
        <v>45518</v>
      </c>
      <c r="C702" s="1" t="n">
        <v>46192</v>
      </c>
      <c r="D702" t="inlineStr">
        <is>
          <t>SKÅNE LÄN</t>
        </is>
      </c>
      <c r="E702" t="inlineStr">
        <is>
          <t>HÄSSLEHOLM</t>
        </is>
      </c>
      <c r="G702" t="n">
        <v>0.4</v>
      </c>
      <c r="H702" t="n">
        <v>0</v>
      </c>
      <c r="I702" t="n">
        <v>0</v>
      </c>
      <c r="J702" t="n">
        <v>0</v>
      </c>
      <c r="K702" t="n">
        <v>0</v>
      </c>
      <c r="L702" t="n">
        <v>0</v>
      </c>
      <c r="M702" t="n">
        <v>0</v>
      </c>
      <c r="N702" t="n">
        <v>0</v>
      </c>
      <c r="O702" t="n">
        <v>0</v>
      </c>
      <c r="P702" t="n">
        <v>0</v>
      </c>
      <c r="Q702" t="n">
        <v>0</v>
      </c>
      <c r="R702" s="2" t="inlineStr"/>
    </row>
    <row r="703" ht="15" customHeight="1">
      <c r="A703" t="inlineStr">
        <is>
          <t>A 11715-2023</t>
        </is>
      </c>
      <c r="B703" s="1" t="n">
        <v>44992</v>
      </c>
      <c r="C703" s="1" t="n">
        <v>46192</v>
      </c>
      <c r="D703" t="inlineStr">
        <is>
          <t>SKÅNE LÄN</t>
        </is>
      </c>
      <c r="E703" t="inlineStr">
        <is>
          <t>HÄSSLEHOLM</t>
        </is>
      </c>
      <c r="F703" t="inlineStr">
        <is>
          <t>Övriga Aktiebolag</t>
        </is>
      </c>
      <c r="G703" t="n">
        <v>2</v>
      </c>
      <c r="H703" t="n">
        <v>0</v>
      </c>
      <c r="I703" t="n">
        <v>0</v>
      </c>
      <c r="J703" t="n">
        <v>0</v>
      </c>
      <c r="K703" t="n">
        <v>0</v>
      </c>
      <c r="L703" t="n">
        <v>0</v>
      </c>
      <c r="M703" t="n">
        <v>0</v>
      </c>
      <c r="N703" t="n">
        <v>0</v>
      </c>
      <c r="O703" t="n">
        <v>0</v>
      </c>
      <c r="P703" t="n">
        <v>0</v>
      </c>
      <c r="Q703" t="n">
        <v>0</v>
      </c>
      <c r="R703" s="2" t="inlineStr"/>
    </row>
    <row r="704" ht="15" customHeight="1">
      <c r="A704" t="inlineStr">
        <is>
          <t>A 38888-2023</t>
        </is>
      </c>
      <c r="B704" s="1" t="n">
        <v>45161</v>
      </c>
      <c r="C704" s="1" t="n">
        <v>46192</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8539-2026</t>
        </is>
      </c>
      <c r="B705" s="1" t="n">
        <v>46064</v>
      </c>
      <c r="C705" s="1" t="n">
        <v>46192</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8367-2026</t>
        </is>
      </c>
      <c r="B706" s="1" t="n">
        <v>46064</v>
      </c>
      <c r="C706" s="1" t="n">
        <v>46192</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59030-2024</t>
        </is>
      </c>
      <c r="B707" s="1" t="n">
        <v>45636</v>
      </c>
      <c r="C707" s="1" t="n">
        <v>46192</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48663-2024</t>
        </is>
      </c>
      <c r="B708" s="1" t="n">
        <v>45593</v>
      </c>
      <c r="C708" s="1" t="n">
        <v>46192</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8674-2026</t>
        </is>
      </c>
      <c r="B709" s="1" t="n">
        <v>46066</v>
      </c>
      <c r="C709" s="1" t="n">
        <v>46192</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7153-2025</t>
        </is>
      </c>
      <c r="B710" s="1" t="n">
        <v>45702</v>
      </c>
      <c r="C710" s="1" t="n">
        <v>46192</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8852-2026</t>
        </is>
      </c>
      <c r="B711" s="1" t="n">
        <v>46066</v>
      </c>
      <c r="C711" s="1" t="n">
        <v>46192</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24865-2024</t>
        </is>
      </c>
      <c r="B712" s="1" t="n">
        <v>45461</v>
      </c>
      <c r="C712" s="1" t="n">
        <v>46192</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18580-2023</t>
        </is>
      </c>
      <c r="B713" s="1" t="n">
        <v>45043</v>
      </c>
      <c r="C713" s="1" t="n">
        <v>46192</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48771-2024</t>
        </is>
      </c>
      <c r="B714" s="1" t="n">
        <v>45593</v>
      </c>
      <c r="C714" s="1" t="n">
        <v>46192</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12344-2023</t>
        </is>
      </c>
      <c r="B715" s="1" t="n">
        <v>44999</v>
      </c>
      <c r="C715" s="1" t="n">
        <v>46192</v>
      </c>
      <c r="D715" t="inlineStr">
        <is>
          <t>SKÅNE LÄN</t>
        </is>
      </c>
      <c r="E715" t="inlineStr">
        <is>
          <t>HÄSSLEHOLM</t>
        </is>
      </c>
      <c r="G715" t="n">
        <v>2.4</v>
      </c>
      <c r="H715" t="n">
        <v>0</v>
      </c>
      <c r="I715" t="n">
        <v>0</v>
      </c>
      <c r="J715" t="n">
        <v>0</v>
      </c>
      <c r="K715" t="n">
        <v>0</v>
      </c>
      <c r="L715" t="n">
        <v>0</v>
      </c>
      <c r="M715" t="n">
        <v>0</v>
      </c>
      <c r="N715" t="n">
        <v>0</v>
      </c>
      <c r="O715" t="n">
        <v>0</v>
      </c>
      <c r="P715" t="n">
        <v>0</v>
      </c>
      <c r="Q715" t="n">
        <v>0</v>
      </c>
      <c r="R715" s="2" t="inlineStr"/>
    </row>
    <row r="716" ht="15" customHeight="1">
      <c r="A716" t="inlineStr">
        <is>
          <t>A 24906-2022</t>
        </is>
      </c>
      <c r="B716" s="1" t="n">
        <v>44728</v>
      </c>
      <c r="C716" s="1" t="n">
        <v>46192</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58689-2025</t>
        </is>
      </c>
      <c r="B717" s="1" t="n">
        <v>45986</v>
      </c>
      <c r="C717" s="1" t="n">
        <v>46192</v>
      </c>
      <c r="D717" t="inlineStr">
        <is>
          <t>SKÅNE LÄN</t>
        </is>
      </c>
      <c r="E717" t="inlineStr">
        <is>
          <t>HÄSSLEHOLM</t>
        </is>
      </c>
      <c r="G717" t="n">
        <v>3.9</v>
      </c>
      <c r="H717" t="n">
        <v>0</v>
      </c>
      <c r="I717" t="n">
        <v>0</v>
      </c>
      <c r="J717" t="n">
        <v>0</v>
      </c>
      <c r="K717" t="n">
        <v>0</v>
      </c>
      <c r="L717" t="n">
        <v>0</v>
      </c>
      <c r="M717" t="n">
        <v>0</v>
      </c>
      <c r="N717" t="n">
        <v>0</v>
      </c>
      <c r="O717" t="n">
        <v>0</v>
      </c>
      <c r="P717" t="n">
        <v>0</v>
      </c>
      <c r="Q717" t="n">
        <v>0</v>
      </c>
      <c r="R717" s="2" t="inlineStr"/>
    </row>
    <row r="718" ht="15" customHeight="1">
      <c r="A718" t="inlineStr">
        <is>
          <t>A 3890-2024</t>
        </is>
      </c>
      <c r="B718" s="1" t="n">
        <v>45322</v>
      </c>
      <c r="C718" s="1" t="n">
        <v>46192</v>
      </c>
      <c r="D718" t="inlineStr">
        <is>
          <t>SKÅNE LÄN</t>
        </is>
      </c>
      <c r="E718" t="inlineStr">
        <is>
          <t>HÄSSLEHOLM</t>
        </is>
      </c>
      <c r="G718" t="n">
        <v>3</v>
      </c>
      <c r="H718" t="n">
        <v>0</v>
      </c>
      <c r="I718" t="n">
        <v>0</v>
      </c>
      <c r="J718" t="n">
        <v>0</v>
      </c>
      <c r="K718" t="n">
        <v>0</v>
      </c>
      <c r="L718" t="n">
        <v>0</v>
      </c>
      <c r="M718" t="n">
        <v>0</v>
      </c>
      <c r="N718" t="n">
        <v>0</v>
      </c>
      <c r="O718" t="n">
        <v>0</v>
      </c>
      <c r="P718" t="n">
        <v>0</v>
      </c>
      <c r="Q718" t="n">
        <v>0</v>
      </c>
      <c r="R718" s="2" t="inlineStr"/>
    </row>
    <row r="719" ht="15" customHeight="1">
      <c r="A719" t="inlineStr">
        <is>
          <t>A 61197-2024</t>
        </is>
      </c>
      <c r="B719" s="1" t="n">
        <v>45645</v>
      </c>
      <c r="C719" s="1" t="n">
        <v>46192</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6165-2023</t>
        </is>
      </c>
      <c r="B720" s="1" t="n">
        <v>44964</v>
      </c>
      <c r="C720" s="1" t="n">
        <v>46192</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33938-2023</t>
        </is>
      </c>
      <c r="B721" s="1" t="n">
        <v>45124</v>
      </c>
      <c r="C721" s="1" t="n">
        <v>46192</v>
      </c>
      <c r="D721" t="inlineStr">
        <is>
          <t>SKÅNE LÄN</t>
        </is>
      </c>
      <c r="E721" t="inlineStr">
        <is>
          <t>HÄSSLEHOLM</t>
        </is>
      </c>
      <c r="G721" t="n">
        <v>1.8</v>
      </c>
      <c r="H721" t="n">
        <v>0</v>
      </c>
      <c r="I721" t="n">
        <v>0</v>
      </c>
      <c r="J721" t="n">
        <v>0</v>
      </c>
      <c r="K721" t="n">
        <v>0</v>
      </c>
      <c r="L721" t="n">
        <v>0</v>
      </c>
      <c r="M721" t="n">
        <v>0</v>
      </c>
      <c r="N721" t="n">
        <v>0</v>
      </c>
      <c r="O721" t="n">
        <v>0</v>
      </c>
      <c r="P721" t="n">
        <v>0</v>
      </c>
      <c r="Q721" t="n">
        <v>0</v>
      </c>
      <c r="R721" s="2" t="inlineStr"/>
    </row>
    <row r="722" ht="15" customHeight="1">
      <c r="A722" t="inlineStr">
        <is>
          <t>A 677-2024</t>
        </is>
      </c>
      <c r="B722" s="1" t="n">
        <v>45300</v>
      </c>
      <c r="C722" s="1" t="n">
        <v>46192</v>
      </c>
      <c r="D722" t="inlineStr">
        <is>
          <t>SKÅNE LÄN</t>
        </is>
      </c>
      <c r="E722" t="inlineStr">
        <is>
          <t>HÄSSLEHOLM</t>
        </is>
      </c>
      <c r="G722" t="n">
        <v>6.8</v>
      </c>
      <c r="H722" t="n">
        <v>0</v>
      </c>
      <c r="I722" t="n">
        <v>0</v>
      </c>
      <c r="J722" t="n">
        <v>0</v>
      </c>
      <c r="K722" t="n">
        <v>0</v>
      </c>
      <c r="L722" t="n">
        <v>0</v>
      </c>
      <c r="M722" t="n">
        <v>0</v>
      </c>
      <c r="N722" t="n">
        <v>0</v>
      </c>
      <c r="O722" t="n">
        <v>0</v>
      </c>
      <c r="P722" t="n">
        <v>0</v>
      </c>
      <c r="Q722" t="n">
        <v>0</v>
      </c>
      <c r="R722" s="2" t="inlineStr"/>
    </row>
    <row r="723" ht="15" customHeight="1">
      <c r="A723" t="inlineStr">
        <is>
          <t>A 32154-2024</t>
        </is>
      </c>
      <c r="B723" s="1" t="n">
        <v>45511</v>
      </c>
      <c r="C723" s="1" t="n">
        <v>46192</v>
      </c>
      <c r="D723" t="inlineStr">
        <is>
          <t>SKÅNE LÄN</t>
        </is>
      </c>
      <c r="E723" t="inlineStr">
        <is>
          <t>HÄSSLEHOLM</t>
        </is>
      </c>
      <c r="G723" t="n">
        <v>6.4</v>
      </c>
      <c r="H723" t="n">
        <v>0</v>
      </c>
      <c r="I723" t="n">
        <v>0</v>
      </c>
      <c r="J723" t="n">
        <v>0</v>
      </c>
      <c r="K723" t="n">
        <v>0</v>
      </c>
      <c r="L723" t="n">
        <v>0</v>
      </c>
      <c r="M723" t="n">
        <v>0</v>
      </c>
      <c r="N723" t="n">
        <v>0</v>
      </c>
      <c r="O723" t="n">
        <v>0</v>
      </c>
      <c r="P723" t="n">
        <v>0</v>
      </c>
      <c r="Q723" t="n">
        <v>0</v>
      </c>
      <c r="R723" s="2" t="inlineStr"/>
    </row>
    <row r="724" ht="15" customHeight="1">
      <c r="A724" t="inlineStr">
        <is>
          <t>A 10051-2026</t>
        </is>
      </c>
      <c r="B724" s="1" t="n">
        <v>46073</v>
      </c>
      <c r="C724" s="1" t="n">
        <v>46192</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13897-2024</t>
        </is>
      </c>
      <c r="B725" s="1" t="n">
        <v>45391</v>
      </c>
      <c r="C725" s="1" t="n">
        <v>46192</v>
      </c>
      <c r="D725" t="inlineStr">
        <is>
          <t>SKÅNE LÄN</t>
        </is>
      </c>
      <c r="E725" t="inlineStr">
        <is>
          <t>HÄSSLEHOLM</t>
        </is>
      </c>
      <c r="F725" t="inlineStr">
        <is>
          <t>Kommuner</t>
        </is>
      </c>
      <c r="G725" t="n">
        <v>4</v>
      </c>
      <c r="H725" t="n">
        <v>0</v>
      </c>
      <c r="I725" t="n">
        <v>0</v>
      </c>
      <c r="J725" t="n">
        <v>0</v>
      </c>
      <c r="K725" t="n">
        <v>0</v>
      </c>
      <c r="L725" t="n">
        <v>0</v>
      </c>
      <c r="M725" t="n">
        <v>0</v>
      </c>
      <c r="N725" t="n">
        <v>0</v>
      </c>
      <c r="O725" t="n">
        <v>0</v>
      </c>
      <c r="P725" t="n">
        <v>0</v>
      </c>
      <c r="Q725" t="n">
        <v>0</v>
      </c>
      <c r="R725" s="2" t="inlineStr"/>
    </row>
    <row r="726" ht="15" customHeight="1">
      <c r="A726" t="inlineStr">
        <is>
          <t>A 56355-2023</t>
        </is>
      </c>
      <c r="B726" s="1" t="n">
        <v>45243</v>
      </c>
      <c r="C726" s="1" t="n">
        <v>46192</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59246-2024</t>
        </is>
      </c>
      <c r="B727" s="1" t="n">
        <v>45636</v>
      </c>
      <c r="C727" s="1" t="n">
        <v>46192</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21206-2025</t>
        </is>
      </c>
      <c r="B728" s="1" t="n">
        <v>45779</v>
      </c>
      <c r="C728" s="1" t="n">
        <v>46192</v>
      </c>
      <c r="D728" t="inlineStr">
        <is>
          <t>SKÅNE LÄN</t>
        </is>
      </c>
      <c r="E728" t="inlineStr">
        <is>
          <t>HÄSSLEHOLM</t>
        </is>
      </c>
      <c r="G728" t="n">
        <v>2.2</v>
      </c>
      <c r="H728" t="n">
        <v>0</v>
      </c>
      <c r="I728" t="n">
        <v>0</v>
      </c>
      <c r="J728" t="n">
        <v>0</v>
      </c>
      <c r="K728" t="n">
        <v>0</v>
      </c>
      <c r="L728" t="n">
        <v>0</v>
      </c>
      <c r="M728" t="n">
        <v>0</v>
      </c>
      <c r="N728" t="n">
        <v>0</v>
      </c>
      <c r="O728" t="n">
        <v>0</v>
      </c>
      <c r="P728" t="n">
        <v>0</v>
      </c>
      <c r="Q728" t="n">
        <v>0</v>
      </c>
      <c r="R728" s="2" t="inlineStr"/>
    </row>
    <row r="729" ht="15" customHeight="1">
      <c r="A729" t="inlineStr">
        <is>
          <t>A 20800-2023</t>
        </is>
      </c>
      <c r="B729" s="1" t="n">
        <v>45058</v>
      </c>
      <c r="C729" s="1" t="n">
        <v>46192</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11019-2025</t>
        </is>
      </c>
      <c r="B730" s="1" t="n">
        <v>45723</v>
      </c>
      <c r="C730" s="1" t="n">
        <v>46192</v>
      </c>
      <c r="D730" t="inlineStr">
        <is>
          <t>SKÅNE LÄN</t>
        </is>
      </c>
      <c r="E730" t="inlineStr">
        <is>
          <t>HÄSSLEHOLM</t>
        </is>
      </c>
      <c r="G730" t="n">
        <v>3.2</v>
      </c>
      <c r="H730" t="n">
        <v>0</v>
      </c>
      <c r="I730" t="n">
        <v>0</v>
      </c>
      <c r="J730" t="n">
        <v>0</v>
      </c>
      <c r="K730" t="n">
        <v>0</v>
      </c>
      <c r="L730" t="n">
        <v>0</v>
      </c>
      <c r="M730" t="n">
        <v>0</v>
      </c>
      <c r="N730" t="n">
        <v>0</v>
      </c>
      <c r="O730" t="n">
        <v>0</v>
      </c>
      <c r="P730" t="n">
        <v>0</v>
      </c>
      <c r="Q730" t="n">
        <v>0</v>
      </c>
      <c r="R730" s="2" t="inlineStr"/>
    </row>
    <row r="731" ht="15" customHeight="1">
      <c r="A731" t="inlineStr">
        <is>
          <t>A 21091-2025</t>
        </is>
      </c>
      <c r="B731" s="1" t="n">
        <v>45777</v>
      </c>
      <c r="C731" s="1" t="n">
        <v>46192</v>
      </c>
      <c r="D731" t="inlineStr">
        <is>
          <t>SKÅNE LÄN</t>
        </is>
      </c>
      <c r="E731" t="inlineStr">
        <is>
          <t>HÄSSLEHOLM</t>
        </is>
      </c>
      <c r="G731" t="n">
        <v>3.4</v>
      </c>
      <c r="H731" t="n">
        <v>0</v>
      </c>
      <c r="I731" t="n">
        <v>0</v>
      </c>
      <c r="J731" t="n">
        <v>0</v>
      </c>
      <c r="K731" t="n">
        <v>0</v>
      </c>
      <c r="L731" t="n">
        <v>0</v>
      </c>
      <c r="M731" t="n">
        <v>0</v>
      </c>
      <c r="N731" t="n">
        <v>0</v>
      </c>
      <c r="O731" t="n">
        <v>0</v>
      </c>
      <c r="P731" t="n">
        <v>0</v>
      </c>
      <c r="Q731" t="n">
        <v>0</v>
      </c>
      <c r="R731" s="2" t="inlineStr"/>
    </row>
    <row r="732" ht="15" customHeight="1">
      <c r="A732" t="inlineStr">
        <is>
          <t>A 317-2025</t>
        </is>
      </c>
      <c r="B732" s="1" t="n">
        <v>45660</v>
      </c>
      <c r="C732" s="1" t="n">
        <v>46192</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11681-2023</t>
        </is>
      </c>
      <c r="B733" s="1" t="n">
        <v>44992</v>
      </c>
      <c r="C733" s="1" t="n">
        <v>46192</v>
      </c>
      <c r="D733" t="inlineStr">
        <is>
          <t>SKÅNE LÄN</t>
        </is>
      </c>
      <c r="E733" t="inlineStr">
        <is>
          <t>HÄSSLEHOLM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7305-2025</t>
        </is>
      </c>
      <c r="B734" s="1" t="n">
        <v>45702</v>
      </c>
      <c r="C734" s="1" t="n">
        <v>46192</v>
      </c>
      <c r="D734" t="inlineStr">
        <is>
          <t>SKÅNE LÄN</t>
        </is>
      </c>
      <c r="E734" t="inlineStr">
        <is>
          <t>HÄSSLEHOLM</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39111-2023</t>
        </is>
      </c>
      <c r="B735" s="1" t="n">
        <v>45164</v>
      </c>
      <c r="C735" s="1" t="n">
        <v>46192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5116-2023</t>
        </is>
      </c>
      <c r="B736" s="1" t="n">
        <v>44958</v>
      </c>
      <c r="C736" s="1" t="n">
        <v>46192</v>
      </c>
      <c r="D736" t="inlineStr">
        <is>
          <t>SKÅNE LÄN</t>
        </is>
      </c>
      <c r="E736" t="inlineStr">
        <is>
          <t>HÄSSLEHOLM</t>
        </is>
      </c>
      <c r="G736" t="n">
        <v>1.7</v>
      </c>
      <c r="H736" t="n">
        <v>0</v>
      </c>
      <c r="I736" t="n">
        <v>0</v>
      </c>
      <c r="J736" t="n">
        <v>0</v>
      </c>
      <c r="K736" t="n">
        <v>0</v>
      </c>
      <c r="L736" t="n">
        <v>0</v>
      </c>
      <c r="M736" t="n">
        <v>0</v>
      </c>
      <c r="N736" t="n">
        <v>0</v>
      </c>
      <c r="O736" t="n">
        <v>0</v>
      </c>
      <c r="P736" t="n">
        <v>0</v>
      </c>
      <c r="Q736" t="n">
        <v>0</v>
      </c>
      <c r="R736" s="2" t="inlineStr"/>
    </row>
    <row r="737" ht="15" customHeight="1">
      <c r="A737" t="inlineStr">
        <is>
          <t>A 60851-2024</t>
        </is>
      </c>
      <c r="B737" s="1" t="n">
        <v>45644</v>
      </c>
      <c r="C737" s="1" t="n">
        <v>46192</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7818-2024</t>
        </is>
      </c>
      <c r="B738" s="1" t="n">
        <v>45349</v>
      </c>
      <c r="C738" s="1" t="n">
        <v>46192</v>
      </c>
      <c r="D738" t="inlineStr">
        <is>
          <t>SKÅNE LÄN</t>
        </is>
      </c>
      <c r="E738" t="inlineStr">
        <is>
          <t>HÄSSLEHOLM</t>
        </is>
      </c>
      <c r="G738" t="n">
        <v>2.5</v>
      </c>
      <c r="H738" t="n">
        <v>0</v>
      </c>
      <c r="I738" t="n">
        <v>0</v>
      </c>
      <c r="J738" t="n">
        <v>0</v>
      </c>
      <c r="K738" t="n">
        <v>0</v>
      </c>
      <c r="L738" t="n">
        <v>0</v>
      </c>
      <c r="M738" t="n">
        <v>0</v>
      </c>
      <c r="N738" t="n">
        <v>0</v>
      </c>
      <c r="O738" t="n">
        <v>0</v>
      </c>
      <c r="P738" t="n">
        <v>0</v>
      </c>
      <c r="Q738" t="n">
        <v>0</v>
      </c>
      <c r="R738" s="2" t="inlineStr"/>
    </row>
    <row r="739" ht="15" customHeight="1">
      <c r="A739" t="inlineStr">
        <is>
          <t>A 56065-2025</t>
        </is>
      </c>
      <c r="B739" s="1" t="n">
        <v>45973</v>
      </c>
      <c r="C739" s="1" t="n">
        <v>46192</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42364-2023</t>
        </is>
      </c>
      <c r="B740" s="1" t="n">
        <v>45180</v>
      </c>
      <c r="C740" s="1" t="n">
        <v>46192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13149-2024</t>
        </is>
      </c>
      <c r="B741" s="1" t="n">
        <v>45386</v>
      </c>
      <c r="C741" s="1" t="n">
        <v>46192</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54408-2024</t>
        </is>
      </c>
      <c r="B742" s="1" t="n">
        <v>45617</v>
      </c>
      <c r="C742" s="1" t="n">
        <v>46192</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29845-2024</t>
        </is>
      </c>
      <c r="B743" s="1" t="n">
        <v>45485</v>
      </c>
      <c r="C743" s="1" t="n">
        <v>46192</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1703-2025</t>
        </is>
      </c>
      <c r="B744" s="1" t="n">
        <v>45670</v>
      </c>
      <c r="C744" s="1" t="n">
        <v>46192</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63476-2025</t>
        </is>
      </c>
      <c r="B745" s="1" t="n">
        <v>46013</v>
      </c>
      <c r="C745" s="1" t="n">
        <v>46192</v>
      </c>
      <c r="D745" t="inlineStr">
        <is>
          <t>SKÅNE LÄN</t>
        </is>
      </c>
      <c r="E745" t="inlineStr">
        <is>
          <t>HÄSSLEHOLM</t>
        </is>
      </c>
      <c r="F745" t="inlineStr">
        <is>
          <t>Kommuner</t>
        </is>
      </c>
      <c r="G745" t="n">
        <v>0.6</v>
      </c>
      <c r="H745" t="n">
        <v>0</v>
      </c>
      <c r="I745" t="n">
        <v>0</v>
      </c>
      <c r="J745" t="n">
        <v>0</v>
      </c>
      <c r="K745" t="n">
        <v>0</v>
      </c>
      <c r="L745" t="n">
        <v>0</v>
      </c>
      <c r="M745" t="n">
        <v>0</v>
      </c>
      <c r="N745" t="n">
        <v>0</v>
      </c>
      <c r="O745" t="n">
        <v>0</v>
      </c>
      <c r="P745" t="n">
        <v>0</v>
      </c>
      <c r="Q745" t="n">
        <v>0</v>
      </c>
      <c r="R745" s="2" t="inlineStr"/>
    </row>
    <row r="746" ht="15" customHeight="1">
      <c r="A746" t="inlineStr">
        <is>
          <t>A 53466-2024</t>
        </is>
      </c>
      <c r="B746" s="1" t="n">
        <v>45614</v>
      </c>
      <c r="C746" s="1" t="n">
        <v>46192</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61533-2024</t>
        </is>
      </c>
      <c r="B747" s="1" t="n">
        <v>45646</v>
      </c>
      <c r="C747" s="1" t="n">
        <v>46192</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5780-2024</t>
        </is>
      </c>
      <c r="B748" s="1" t="n">
        <v>45335</v>
      </c>
      <c r="C748" s="1" t="n">
        <v>46192</v>
      </c>
      <c r="D748" t="inlineStr">
        <is>
          <t>SKÅNE LÄN</t>
        </is>
      </c>
      <c r="E748" t="inlineStr">
        <is>
          <t>HÄSSLEHOLM</t>
        </is>
      </c>
      <c r="G748" t="n">
        <v>2.5</v>
      </c>
      <c r="H748" t="n">
        <v>0</v>
      </c>
      <c r="I748" t="n">
        <v>0</v>
      </c>
      <c r="J748" t="n">
        <v>0</v>
      </c>
      <c r="K748" t="n">
        <v>0</v>
      </c>
      <c r="L748" t="n">
        <v>0</v>
      </c>
      <c r="M748" t="n">
        <v>0</v>
      </c>
      <c r="N748" t="n">
        <v>0</v>
      </c>
      <c r="O748" t="n">
        <v>0</v>
      </c>
      <c r="P748" t="n">
        <v>0</v>
      </c>
      <c r="Q748" t="n">
        <v>0</v>
      </c>
      <c r="R748" s="2" t="inlineStr"/>
    </row>
    <row r="749" ht="15" customHeight="1">
      <c r="A749" t="inlineStr">
        <is>
          <t>A 19735-2023</t>
        </is>
      </c>
      <c r="B749" s="1" t="n">
        <v>45051</v>
      </c>
      <c r="C749" s="1" t="n">
        <v>46192</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2490-2024</t>
        </is>
      </c>
      <c r="B750" s="1" t="n">
        <v>45313</v>
      </c>
      <c r="C750" s="1" t="n">
        <v>46192</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61537-2024</t>
        </is>
      </c>
      <c r="B751" s="1" t="n">
        <v>45646</v>
      </c>
      <c r="C751" s="1" t="n">
        <v>46192</v>
      </c>
      <c r="D751" t="inlineStr">
        <is>
          <t>SKÅNE LÄN</t>
        </is>
      </c>
      <c r="E751" t="inlineStr">
        <is>
          <t>HÄSSLEHOLM</t>
        </is>
      </c>
      <c r="G751" t="n">
        <v>3.7</v>
      </c>
      <c r="H751" t="n">
        <v>0</v>
      </c>
      <c r="I751" t="n">
        <v>0</v>
      </c>
      <c r="J751" t="n">
        <v>0</v>
      </c>
      <c r="K751" t="n">
        <v>0</v>
      </c>
      <c r="L751" t="n">
        <v>0</v>
      </c>
      <c r="M751" t="n">
        <v>0</v>
      </c>
      <c r="N751" t="n">
        <v>0</v>
      </c>
      <c r="O751" t="n">
        <v>0</v>
      </c>
      <c r="P751" t="n">
        <v>0</v>
      </c>
      <c r="Q751" t="n">
        <v>0</v>
      </c>
      <c r="R751" s="2" t="inlineStr"/>
    </row>
    <row r="752" ht="15" customHeight="1">
      <c r="A752" t="inlineStr">
        <is>
          <t>A 34890-2023</t>
        </is>
      </c>
      <c r="B752" s="1" t="n">
        <v>45142</v>
      </c>
      <c r="C752" s="1" t="n">
        <v>46192</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7481-2023</t>
        </is>
      </c>
      <c r="B753" s="1" t="n">
        <v>44971</v>
      </c>
      <c r="C753" s="1" t="n">
        <v>46192</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22024-2025</t>
        </is>
      </c>
      <c r="B754" s="1" t="n">
        <v>45784</v>
      </c>
      <c r="C754" s="1" t="n">
        <v>46192</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20006-2025</t>
        </is>
      </c>
      <c r="B755" s="1" t="n">
        <v>45772</v>
      </c>
      <c r="C755" s="1" t="n">
        <v>46192</v>
      </c>
      <c r="D755" t="inlineStr">
        <is>
          <t>SKÅNE LÄN</t>
        </is>
      </c>
      <c r="E755" t="inlineStr">
        <is>
          <t>HÄSSLEHOLM</t>
        </is>
      </c>
      <c r="G755" t="n">
        <v>3.9</v>
      </c>
      <c r="H755" t="n">
        <v>0</v>
      </c>
      <c r="I755" t="n">
        <v>0</v>
      </c>
      <c r="J755" t="n">
        <v>0</v>
      </c>
      <c r="K755" t="n">
        <v>0</v>
      </c>
      <c r="L755" t="n">
        <v>0</v>
      </c>
      <c r="M755" t="n">
        <v>0</v>
      </c>
      <c r="N755" t="n">
        <v>0</v>
      </c>
      <c r="O755" t="n">
        <v>0</v>
      </c>
      <c r="P755" t="n">
        <v>0</v>
      </c>
      <c r="Q755" t="n">
        <v>0</v>
      </c>
      <c r="R755" s="2" t="inlineStr"/>
    </row>
    <row r="756" ht="15" customHeight="1">
      <c r="A756" t="inlineStr">
        <is>
          <t>A 59728-2022</t>
        </is>
      </c>
      <c r="B756" s="1" t="n">
        <v>44900</v>
      </c>
      <c r="C756" s="1" t="n">
        <v>46192</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56735-2024</t>
        </is>
      </c>
      <c r="B757" s="1" t="n">
        <v>45628</v>
      </c>
      <c r="C757" s="1" t="n">
        <v>46192</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29844-2024</t>
        </is>
      </c>
      <c r="B758" s="1" t="n">
        <v>45485</v>
      </c>
      <c r="C758" s="1" t="n">
        <v>46192</v>
      </c>
      <c r="D758" t="inlineStr">
        <is>
          <t>SKÅNE LÄN</t>
        </is>
      </c>
      <c r="E758" t="inlineStr">
        <is>
          <t>HÄSSLEHOLM</t>
        </is>
      </c>
      <c r="G758" t="n">
        <v>1.9</v>
      </c>
      <c r="H758" t="n">
        <v>0</v>
      </c>
      <c r="I758" t="n">
        <v>0</v>
      </c>
      <c r="J758" t="n">
        <v>0</v>
      </c>
      <c r="K758" t="n">
        <v>0</v>
      </c>
      <c r="L758" t="n">
        <v>0</v>
      </c>
      <c r="M758" t="n">
        <v>0</v>
      </c>
      <c r="N758" t="n">
        <v>0</v>
      </c>
      <c r="O758" t="n">
        <v>0</v>
      </c>
      <c r="P758" t="n">
        <v>0</v>
      </c>
      <c r="Q758" t="n">
        <v>0</v>
      </c>
      <c r="R758" s="2" t="inlineStr"/>
    </row>
    <row r="759" ht="15" customHeight="1">
      <c r="A759" t="inlineStr">
        <is>
          <t>A 23683-2023</t>
        </is>
      </c>
      <c r="B759" s="1" t="n">
        <v>45077</v>
      </c>
      <c r="C759" s="1" t="n">
        <v>46192</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11999-2026</t>
        </is>
      </c>
      <c r="B760" s="1" t="n">
        <v>46085</v>
      </c>
      <c r="C760" s="1" t="n">
        <v>46192</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11998-2026</t>
        </is>
      </c>
      <c r="B761" s="1" t="n">
        <v>46085</v>
      </c>
      <c r="C761" s="1" t="n">
        <v>46192</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46192</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2663-2023</t>
        </is>
      </c>
      <c r="B763" s="1" t="n">
        <v>44942</v>
      </c>
      <c r="C763" s="1" t="n">
        <v>46192</v>
      </c>
      <c r="D763" t="inlineStr">
        <is>
          <t>SKÅNE LÄN</t>
        </is>
      </c>
      <c r="E763" t="inlineStr">
        <is>
          <t>HÄSSLEHOLM</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23172-2022</t>
        </is>
      </c>
      <c r="B764" s="1" t="n">
        <v>44719</v>
      </c>
      <c r="C764" s="1" t="n">
        <v>46192</v>
      </c>
      <c r="D764" t="inlineStr">
        <is>
          <t>SKÅNE LÄN</t>
        </is>
      </c>
      <c r="E764" t="inlineStr">
        <is>
          <t>HÄSSLEHOLM</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23173-2022</t>
        </is>
      </c>
      <c r="B765" s="1" t="n">
        <v>44719</v>
      </c>
      <c r="C765" s="1" t="n">
        <v>46192</v>
      </c>
      <c r="D765" t="inlineStr">
        <is>
          <t>SKÅNE LÄN</t>
        </is>
      </c>
      <c r="E765" t="inlineStr">
        <is>
          <t>HÄSSLEHOLM</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3886-2024</t>
        </is>
      </c>
      <c r="B766" s="1" t="n">
        <v>45322</v>
      </c>
      <c r="C766" s="1" t="n">
        <v>46192</v>
      </c>
      <c r="D766" t="inlineStr">
        <is>
          <t>SKÅNE LÄN</t>
        </is>
      </c>
      <c r="E766" t="inlineStr">
        <is>
          <t>HÄSSLEHOLM</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56767-2025</t>
        </is>
      </c>
      <c r="B767" s="1" t="n">
        <v>45978</v>
      </c>
      <c r="C767" s="1" t="n">
        <v>46192</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56769-2025</t>
        </is>
      </c>
      <c r="B768" s="1" t="n">
        <v>45978</v>
      </c>
      <c r="C768" s="1" t="n">
        <v>46192</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9924-2025</t>
        </is>
      </c>
      <c r="B769" s="1" t="n">
        <v>45717</v>
      </c>
      <c r="C769" s="1" t="n">
        <v>46192</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60920-2024</t>
        </is>
      </c>
      <c r="B770" s="1" t="n">
        <v>45645</v>
      </c>
      <c r="C770" s="1" t="n">
        <v>46192</v>
      </c>
      <c r="D770" t="inlineStr">
        <is>
          <t>SKÅNE LÄN</t>
        </is>
      </c>
      <c r="E770" t="inlineStr">
        <is>
          <t>HÄSSLEHOLM</t>
        </is>
      </c>
      <c r="G770" t="n">
        <v>2.6</v>
      </c>
      <c r="H770" t="n">
        <v>0</v>
      </c>
      <c r="I770" t="n">
        <v>0</v>
      </c>
      <c r="J770" t="n">
        <v>0</v>
      </c>
      <c r="K770" t="n">
        <v>0</v>
      </c>
      <c r="L770" t="n">
        <v>0</v>
      </c>
      <c r="M770" t="n">
        <v>0</v>
      </c>
      <c r="N770" t="n">
        <v>0</v>
      </c>
      <c r="O770" t="n">
        <v>0</v>
      </c>
      <c r="P770" t="n">
        <v>0</v>
      </c>
      <c r="Q770" t="n">
        <v>0</v>
      </c>
      <c r="R770" s="2" t="inlineStr"/>
    </row>
    <row r="771" ht="15" customHeight="1">
      <c r="A771" t="inlineStr">
        <is>
          <t>A 40536-2024</t>
        </is>
      </c>
      <c r="B771" s="1" t="n">
        <v>45555</v>
      </c>
      <c r="C771" s="1" t="n">
        <v>46192</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56386-2023</t>
        </is>
      </c>
      <c r="B772" s="1" t="n">
        <v>45243</v>
      </c>
      <c r="C772" s="1" t="n">
        <v>46192</v>
      </c>
      <c r="D772" t="inlineStr">
        <is>
          <t>SKÅNE LÄN</t>
        </is>
      </c>
      <c r="E772" t="inlineStr">
        <is>
          <t>HÄSSLEHOLM</t>
        </is>
      </c>
      <c r="G772" t="n">
        <v>2</v>
      </c>
      <c r="H772" t="n">
        <v>0</v>
      </c>
      <c r="I772" t="n">
        <v>0</v>
      </c>
      <c r="J772" t="n">
        <v>0</v>
      </c>
      <c r="K772" t="n">
        <v>0</v>
      </c>
      <c r="L772" t="n">
        <v>0</v>
      </c>
      <c r="M772" t="n">
        <v>0</v>
      </c>
      <c r="N772" t="n">
        <v>0</v>
      </c>
      <c r="O772" t="n">
        <v>0</v>
      </c>
      <c r="P772" t="n">
        <v>0</v>
      </c>
      <c r="Q772" t="n">
        <v>0</v>
      </c>
      <c r="R772" s="2" t="inlineStr"/>
    </row>
    <row r="773" ht="15" customHeight="1">
      <c r="A773" t="inlineStr">
        <is>
          <t>A 29274-2023</t>
        </is>
      </c>
      <c r="B773" s="1" t="n">
        <v>45105</v>
      </c>
      <c r="C773" s="1" t="n">
        <v>46192</v>
      </c>
      <c r="D773" t="inlineStr">
        <is>
          <t>SKÅNE LÄN</t>
        </is>
      </c>
      <c r="E773" t="inlineStr">
        <is>
          <t>HÄSSLEHOLM</t>
        </is>
      </c>
      <c r="G773" t="n">
        <v>3.4</v>
      </c>
      <c r="H773" t="n">
        <v>0</v>
      </c>
      <c r="I773" t="n">
        <v>0</v>
      </c>
      <c r="J773" t="n">
        <v>0</v>
      </c>
      <c r="K773" t="n">
        <v>0</v>
      </c>
      <c r="L773" t="n">
        <v>0</v>
      </c>
      <c r="M773" t="n">
        <v>0</v>
      </c>
      <c r="N773" t="n">
        <v>0</v>
      </c>
      <c r="O773" t="n">
        <v>0</v>
      </c>
      <c r="P773" t="n">
        <v>0</v>
      </c>
      <c r="Q773" t="n">
        <v>0</v>
      </c>
      <c r="R773" s="2" t="inlineStr"/>
    </row>
    <row r="774" ht="15" customHeight="1">
      <c r="A774" t="inlineStr">
        <is>
          <t>A 61932-2023</t>
        </is>
      </c>
      <c r="B774" s="1" t="n">
        <v>45266</v>
      </c>
      <c r="C774" s="1" t="n">
        <v>46192</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27606-2024</t>
        </is>
      </c>
      <c r="B775" s="1" t="n">
        <v>45474</v>
      </c>
      <c r="C775" s="1" t="n">
        <v>46192</v>
      </c>
      <c r="D775" t="inlineStr">
        <is>
          <t>SKÅNE LÄN</t>
        </is>
      </c>
      <c r="E775" t="inlineStr">
        <is>
          <t>HÄSSLEHOLM</t>
        </is>
      </c>
      <c r="G775" t="n">
        <v>3.6</v>
      </c>
      <c r="H775" t="n">
        <v>0</v>
      </c>
      <c r="I775" t="n">
        <v>0</v>
      </c>
      <c r="J775" t="n">
        <v>0</v>
      </c>
      <c r="K775" t="n">
        <v>0</v>
      </c>
      <c r="L775" t="n">
        <v>0</v>
      </c>
      <c r="M775" t="n">
        <v>0</v>
      </c>
      <c r="N775" t="n">
        <v>0</v>
      </c>
      <c r="O775" t="n">
        <v>0</v>
      </c>
      <c r="P775" t="n">
        <v>0</v>
      </c>
      <c r="Q775" t="n">
        <v>0</v>
      </c>
      <c r="R775" s="2" t="inlineStr"/>
    </row>
    <row r="776" ht="15" customHeight="1">
      <c r="A776" t="inlineStr">
        <is>
          <t>A 50244-2024</t>
        </is>
      </c>
      <c r="B776" s="1" t="n">
        <v>45600</v>
      </c>
      <c r="C776" s="1" t="n">
        <v>46192</v>
      </c>
      <c r="D776" t="inlineStr">
        <is>
          <t>SKÅNE LÄN</t>
        </is>
      </c>
      <c r="E776" t="inlineStr">
        <is>
          <t>HÄSSLEHOLM</t>
        </is>
      </c>
      <c r="G776" t="n">
        <v>1.9</v>
      </c>
      <c r="H776" t="n">
        <v>0</v>
      </c>
      <c r="I776" t="n">
        <v>0</v>
      </c>
      <c r="J776" t="n">
        <v>0</v>
      </c>
      <c r="K776" t="n">
        <v>0</v>
      </c>
      <c r="L776" t="n">
        <v>0</v>
      </c>
      <c r="M776" t="n">
        <v>0</v>
      </c>
      <c r="N776" t="n">
        <v>0</v>
      </c>
      <c r="O776" t="n">
        <v>0</v>
      </c>
      <c r="P776" t="n">
        <v>0</v>
      </c>
      <c r="Q776" t="n">
        <v>0</v>
      </c>
      <c r="R776" s="2" t="inlineStr"/>
    </row>
    <row r="777" ht="15" customHeight="1">
      <c r="A777" t="inlineStr">
        <is>
          <t>A 7221-2025</t>
        </is>
      </c>
      <c r="B777" s="1" t="n">
        <v>45701</v>
      </c>
      <c r="C777" s="1" t="n">
        <v>46192</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5532-2025</t>
        </is>
      </c>
      <c r="B778" s="1" t="n">
        <v>45693</v>
      </c>
      <c r="C778" s="1" t="n">
        <v>46192</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10230-2025</t>
        </is>
      </c>
      <c r="B779" s="1" t="n">
        <v>45720</v>
      </c>
      <c r="C779" s="1" t="n">
        <v>46192</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33266-2024</t>
        </is>
      </c>
      <c r="B780" s="1" t="n">
        <v>45518</v>
      </c>
      <c r="C780" s="1" t="n">
        <v>46192</v>
      </c>
      <c r="D780" t="inlineStr">
        <is>
          <t>SKÅNE LÄN</t>
        </is>
      </c>
      <c r="E780" t="inlineStr">
        <is>
          <t>HÄSSLEHOLM</t>
        </is>
      </c>
      <c r="G780" t="n">
        <v>3.2</v>
      </c>
      <c r="H780" t="n">
        <v>0</v>
      </c>
      <c r="I780" t="n">
        <v>0</v>
      </c>
      <c r="J780" t="n">
        <v>0</v>
      </c>
      <c r="K780" t="n">
        <v>0</v>
      </c>
      <c r="L780" t="n">
        <v>0</v>
      </c>
      <c r="M780" t="n">
        <v>0</v>
      </c>
      <c r="N780" t="n">
        <v>0</v>
      </c>
      <c r="O780" t="n">
        <v>0</v>
      </c>
      <c r="P780" t="n">
        <v>0</v>
      </c>
      <c r="Q780" t="n">
        <v>0</v>
      </c>
      <c r="R780" s="2" t="inlineStr"/>
    </row>
    <row r="781" ht="15" customHeight="1">
      <c r="A781" t="inlineStr">
        <is>
          <t>A 48797-2023</t>
        </is>
      </c>
      <c r="B781" s="1" t="n">
        <v>45209</v>
      </c>
      <c r="C781" s="1" t="n">
        <v>46192</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22592-2025</t>
        </is>
      </c>
      <c r="B782" s="1" t="n">
        <v>45789</v>
      </c>
      <c r="C782" s="1" t="n">
        <v>46192</v>
      </c>
      <c r="D782" t="inlineStr">
        <is>
          <t>SKÅNE LÄN</t>
        </is>
      </c>
      <c r="E782" t="inlineStr">
        <is>
          <t>HÄSSLEHOLM</t>
        </is>
      </c>
      <c r="G782" t="n">
        <v>7.1</v>
      </c>
      <c r="H782" t="n">
        <v>0</v>
      </c>
      <c r="I782" t="n">
        <v>0</v>
      </c>
      <c r="J782" t="n">
        <v>0</v>
      </c>
      <c r="K782" t="n">
        <v>0</v>
      </c>
      <c r="L782" t="n">
        <v>0</v>
      </c>
      <c r="M782" t="n">
        <v>0</v>
      </c>
      <c r="N782" t="n">
        <v>0</v>
      </c>
      <c r="O782" t="n">
        <v>0</v>
      </c>
      <c r="P782" t="n">
        <v>0</v>
      </c>
      <c r="Q782" t="n">
        <v>0</v>
      </c>
      <c r="R782" s="2" t="inlineStr"/>
    </row>
    <row r="783" ht="15" customHeight="1">
      <c r="A783" t="inlineStr">
        <is>
          <t>A 50664-2023</t>
        </is>
      </c>
      <c r="B783" s="1" t="n">
        <v>45217</v>
      </c>
      <c r="C783" s="1" t="n">
        <v>46192</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42428-2022</t>
        </is>
      </c>
      <c r="B784" s="1" t="n">
        <v>44831</v>
      </c>
      <c r="C784" s="1" t="n">
        <v>46192</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46192</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23007-2025</t>
        </is>
      </c>
      <c r="B786" s="1" t="n">
        <v>45790</v>
      </c>
      <c r="C786" s="1" t="n">
        <v>46192</v>
      </c>
      <c r="D786" t="inlineStr">
        <is>
          <t>SKÅNE LÄN</t>
        </is>
      </c>
      <c r="E786" t="inlineStr">
        <is>
          <t>HÄSSLEHOLM</t>
        </is>
      </c>
      <c r="G786" t="n">
        <v>0.4</v>
      </c>
      <c r="H786" t="n">
        <v>0</v>
      </c>
      <c r="I786" t="n">
        <v>0</v>
      </c>
      <c r="J786" t="n">
        <v>0</v>
      </c>
      <c r="K786" t="n">
        <v>0</v>
      </c>
      <c r="L786" t="n">
        <v>0</v>
      </c>
      <c r="M786" t="n">
        <v>0</v>
      </c>
      <c r="N786" t="n">
        <v>0</v>
      </c>
      <c r="O786" t="n">
        <v>0</v>
      </c>
      <c r="P786" t="n">
        <v>0</v>
      </c>
      <c r="Q786" t="n">
        <v>0</v>
      </c>
      <c r="R786" s="2" t="inlineStr"/>
    </row>
    <row r="787" ht="15" customHeight="1">
      <c r="A787" t="inlineStr">
        <is>
          <t>A 56956-2024</t>
        </is>
      </c>
      <c r="B787" s="1" t="n">
        <v>45626</v>
      </c>
      <c r="C787" s="1" t="n">
        <v>46192</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17171-2025</t>
        </is>
      </c>
      <c r="B788" s="1" t="n">
        <v>45755</v>
      </c>
      <c r="C788" s="1" t="n">
        <v>46192</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16930-2024</t>
        </is>
      </c>
      <c r="B789" s="1" t="n">
        <v>45411</v>
      </c>
      <c r="C789" s="1" t="n">
        <v>46192</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27825-2024</t>
        </is>
      </c>
      <c r="B790" s="1" t="n">
        <v>45475</v>
      </c>
      <c r="C790" s="1" t="n">
        <v>46192</v>
      </c>
      <c r="D790" t="inlineStr">
        <is>
          <t>SKÅNE LÄN</t>
        </is>
      </c>
      <c r="E790" t="inlineStr">
        <is>
          <t>HÄSSLEHOLM</t>
        </is>
      </c>
      <c r="F790" t="inlineStr">
        <is>
          <t>Kommuner</t>
        </is>
      </c>
      <c r="G790" t="n">
        <v>1.1</v>
      </c>
      <c r="H790" t="n">
        <v>0</v>
      </c>
      <c r="I790" t="n">
        <v>0</v>
      </c>
      <c r="J790" t="n">
        <v>0</v>
      </c>
      <c r="K790" t="n">
        <v>0</v>
      </c>
      <c r="L790" t="n">
        <v>0</v>
      </c>
      <c r="M790" t="n">
        <v>0</v>
      </c>
      <c r="N790" t="n">
        <v>0</v>
      </c>
      <c r="O790" t="n">
        <v>0</v>
      </c>
      <c r="P790" t="n">
        <v>0</v>
      </c>
      <c r="Q790" t="n">
        <v>0</v>
      </c>
      <c r="R790" s="2" t="inlineStr"/>
    </row>
    <row r="791" ht="15" customHeight="1">
      <c r="A791" t="inlineStr">
        <is>
          <t>A 31254-2024</t>
        </is>
      </c>
      <c r="B791" s="1" t="n">
        <v>45503</v>
      </c>
      <c r="C791" s="1" t="n">
        <v>46192</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37486-2024</t>
        </is>
      </c>
      <c r="B792" s="1" t="n">
        <v>45541</v>
      </c>
      <c r="C792" s="1" t="n">
        <v>46192</v>
      </c>
      <c r="D792" t="inlineStr">
        <is>
          <t>SKÅNE LÄN</t>
        </is>
      </c>
      <c r="E792" t="inlineStr">
        <is>
          <t>HÄSSLEHOLM</t>
        </is>
      </c>
      <c r="G792" t="n">
        <v>8.5</v>
      </c>
      <c r="H792" t="n">
        <v>0</v>
      </c>
      <c r="I792" t="n">
        <v>0</v>
      </c>
      <c r="J792" t="n">
        <v>0</v>
      </c>
      <c r="K792" t="n">
        <v>0</v>
      </c>
      <c r="L792" t="n">
        <v>0</v>
      </c>
      <c r="M792" t="n">
        <v>0</v>
      </c>
      <c r="N792" t="n">
        <v>0</v>
      </c>
      <c r="O792" t="n">
        <v>0</v>
      </c>
      <c r="P792" t="n">
        <v>0</v>
      </c>
      <c r="Q792" t="n">
        <v>0</v>
      </c>
      <c r="R792" s="2" t="inlineStr"/>
    </row>
    <row r="793" ht="15" customHeight="1">
      <c r="A793" t="inlineStr">
        <is>
          <t>A 44838-2023</t>
        </is>
      </c>
      <c r="B793" s="1" t="n">
        <v>45190</v>
      </c>
      <c r="C793" s="1" t="n">
        <v>46192</v>
      </c>
      <c r="D793" t="inlineStr">
        <is>
          <t>SKÅNE LÄN</t>
        </is>
      </c>
      <c r="E793" t="inlineStr">
        <is>
          <t>HÄSSLEHOLM</t>
        </is>
      </c>
      <c r="F793" t="inlineStr">
        <is>
          <t>Kommuner</t>
        </is>
      </c>
      <c r="G793" t="n">
        <v>2</v>
      </c>
      <c r="H793" t="n">
        <v>0</v>
      </c>
      <c r="I793" t="n">
        <v>0</v>
      </c>
      <c r="J793" t="n">
        <v>0</v>
      </c>
      <c r="K793" t="n">
        <v>0</v>
      </c>
      <c r="L793" t="n">
        <v>0</v>
      </c>
      <c r="M793" t="n">
        <v>0</v>
      </c>
      <c r="N793" t="n">
        <v>0</v>
      </c>
      <c r="O793" t="n">
        <v>0</v>
      </c>
      <c r="P793" t="n">
        <v>0</v>
      </c>
      <c r="Q793" t="n">
        <v>0</v>
      </c>
      <c r="R793" s="2" t="inlineStr"/>
    </row>
    <row r="794" ht="15" customHeight="1">
      <c r="A794" t="inlineStr">
        <is>
          <t>A 13954-2023</t>
        </is>
      </c>
      <c r="B794" s="1" t="n">
        <v>45008</v>
      </c>
      <c r="C794" s="1" t="n">
        <v>46192</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13199-2026</t>
        </is>
      </c>
      <c r="B795" s="1" t="n">
        <v>46093</v>
      </c>
      <c r="C795" s="1" t="n">
        <v>46192</v>
      </c>
      <c r="D795" t="inlineStr">
        <is>
          <t>SKÅNE LÄN</t>
        </is>
      </c>
      <c r="E795" t="inlineStr">
        <is>
          <t>HÄSSLEHOLM</t>
        </is>
      </c>
      <c r="G795" t="n">
        <v>1.4</v>
      </c>
      <c r="H795" t="n">
        <v>0</v>
      </c>
      <c r="I795" t="n">
        <v>0</v>
      </c>
      <c r="J795" t="n">
        <v>0</v>
      </c>
      <c r="K795" t="n">
        <v>0</v>
      </c>
      <c r="L795" t="n">
        <v>0</v>
      </c>
      <c r="M795" t="n">
        <v>0</v>
      </c>
      <c r="N795" t="n">
        <v>0</v>
      </c>
      <c r="O795" t="n">
        <v>0</v>
      </c>
      <c r="P795" t="n">
        <v>0</v>
      </c>
      <c r="Q795" t="n">
        <v>0</v>
      </c>
      <c r="R795" s="2" t="inlineStr"/>
    </row>
    <row r="796" ht="15" customHeight="1">
      <c r="A796" t="inlineStr">
        <is>
          <t>A 13280-2026</t>
        </is>
      </c>
      <c r="B796" s="1" t="n">
        <v>46093</v>
      </c>
      <c r="C796" s="1" t="n">
        <v>46192</v>
      </c>
      <c r="D796" t="inlineStr">
        <is>
          <t>SKÅNE LÄN</t>
        </is>
      </c>
      <c r="E796" t="inlineStr">
        <is>
          <t>HÄSSLEHOLM</t>
        </is>
      </c>
      <c r="G796" t="n">
        <v>4.4</v>
      </c>
      <c r="H796" t="n">
        <v>0</v>
      </c>
      <c r="I796" t="n">
        <v>0</v>
      </c>
      <c r="J796" t="n">
        <v>0</v>
      </c>
      <c r="K796" t="n">
        <v>0</v>
      </c>
      <c r="L796" t="n">
        <v>0</v>
      </c>
      <c r="M796" t="n">
        <v>0</v>
      </c>
      <c r="N796" t="n">
        <v>0</v>
      </c>
      <c r="O796" t="n">
        <v>0</v>
      </c>
      <c r="P796" t="n">
        <v>0</v>
      </c>
      <c r="Q796" t="n">
        <v>0</v>
      </c>
      <c r="R796" s="2" t="inlineStr"/>
    </row>
    <row r="797" ht="15" customHeight="1">
      <c r="A797" t="inlineStr">
        <is>
          <t>A 13007-2024</t>
        </is>
      </c>
      <c r="B797" s="1" t="n">
        <v>45385</v>
      </c>
      <c r="C797" s="1" t="n">
        <v>46192</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13282-2026</t>
        </is>
      </c>
      <c r="B798" s="1" t="n">
        <v>46093</v>
      </c>
      <c r="C798" s="1" t="n">
        <v>46192</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40152-2024</t>
        </is>
      </c>
      <c r="B799" s="1" t="n">
        <v>45554</v>
      </c>
      <c r="C799" s="1" t="n">
        <v>46192</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74030-2021</t>
        </is>
      </c>
      <c r="B800" s="1" t="n">
        <v>44553</v>
      </c>
      <c r="C800" s="1" t="n">
        <v>46192</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15072-2024</t>
        </is>
      </c>
      <c r="B801" s="1" t="n">
        <v>45399</v>
      </c>
      <c r="C801" s="1" t="n">
        <v>46192</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11262-2025</t>
        </is>
      </c>
      <c r="B802" s="1" t="n">
        <v>45726</v>
      </c>
      <c r="C802" s="1" t="n">
        <v>46192</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5395-2024</t>
        </is>
      </c>
      <c r="B803" s="1" t="n">
        <v>45331</v>
      </c>
      <c r="C803" s="1" t="n">
        <v>46192</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2621-2025</t>
        </is>
      </c>
      <c r="B804" s="1" t="n">
        <v>45675</v>
      </c>
      <c r="C804" s="1" t="n">
        <v>46192</v>
      </c>
      <c r="D804" t="inlineStr">
        <is>
          <t>SKÅNE LÄN</t>
        </is>
      </c>
      <c r="E804" t="inlineStr">
        <is>
          <t>HÄSSLEHOLM</t>
        </is>
      </c>
      <c r="F804" t="inlineStr">
        <is>
          <t>Kommuner</t>
        </is>
      </c>
      <c r="G804" t="n">
        <v>3</v>
      </c>
      <c r="H804" t="n">
        <v>0</v>
      </c>
      <c r="I804" t="n">
        <v>0</v>
      </c>
      <c r="J804" t="n">
        <v>0</v>
      </c>
      <c r="K804" t="n">
        <v>0</v>
      </c>
      <c r="L804" t="n">
        <v>0</v>
      </c>
      <c r="M804" t="n">
        <v>0</v>
      </c>
      <c r="N804" t="n">
        <v>0</v>
      </c>
      <c r="O804" t="n">
        <v>0</v>
      </c>
      <c r="P804" t="n">
        <v>0</v>
      </c>
      <c r="Q804" t="n">
        <v>0</v>
      </c>
      <c r="R804" s="2" t="inlineStr"/>
    </row>
    <row r="805" ht="15" customHeight="1">
      <c r="A805" t="inlineStr">
        <is>
          <t>A 8737-2025</t>
        </is>
      </c>
      <c r="B805" s="1" t="n">
        <v>45712</v>
      </c>
      <c r="C805" s="1" t="n">
        <v>46192</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37764-2022</t>
        </is>
      </c>
      <c r="B806" s="1" t="n">
        <v>44810</v>
      </c>
      <c r="C806" s="1" t="n">
        <v>46192</v>
      </c>
      <c r="D806" t="inlineStr">
        <is>
          <t>SKÅNE LÄN</t>
        </is>
      </c>
      <c r="E806" t="inlineStr">
        <is>
          <t>HÄSSLEHOLM</t>
        </is>
      </c>
      <c r="F806" t="inlineStr">
        <is>
          <t>Kyrkan</t>
        </is>
      </c>
      <c r="G806" t="n">
        <v>9.4</v>
      </c>
      <c r="H806" t="n">
        <v>0</v>
      </c>
      <c r="I806" t="n">
        <v>0</v>
      </c>
      <c r="J806" t="n">
        <v>0</v>
      </c>
      <c r="K806" t="n">
        <v>0</v>
      </c>
      <c r="L806" t="n">
        <v>0</v>
      </c>
      <c r="M806" t="n">
        <v>0</v>
      </c>
      <c r="N806" t="n">
        <v>0</v>
      </c>
      <c r="O806" t="n">
        <v>0</v>
      </c>
      <c r="P806" t="n">
        <v>0</v>
      </c>
      <c r="Q806" t="n">
        <v>0</v>
      </c>
      <c r="R806" s="2" t="inlineStr"/>
    </row>
    <row r="807" ht="15" customHeight="1">
      <c r="A807" t="inlineStr">
        <is>
          <t>A 51018-2023</t>
        </is>
      </c>
      <c r="B807" s="1" t="n">
        <v>45218</v>
      </c>
      <c r="C807" s="1" t="n">
        <v>46192</v>
      </c>
      <c r="D807" t="inlineStr">
        <is>
          <t>SKÅNE LÄN</t>
        </is>
      </c>
      <c r="E807" t="inlineStr">
        <is>
          <t>HÄSSLEHOLM</t>
        </is>
      </c>
      <c r="G807" t="n">
        <v>3.1</v>
      </c>
      <c r="H807" t="n">
        <v>0</v>
      </c>
      <c r="I807" t="n">
        <v>0</v>
      </c>
      <c r="J807" t="n">
        <v>0</v>
      </c>
      <c r="K807" t="n">
        <v>0</v>
      </c>
      <c r="L807" t="n">
        <v>0</v>
      </c>
      <c r="M807" t="n">
        <v>0</v>
      </c>
      <c r="N807" t="n">
        <v>0</v>
      </c>
      <c r="O807" t="n">
        <v>0</v>
      </c>
      <c r="P807" t="n">
        <v>0</v>
      </c>
      <c r="Q807" t="n">
        <v>0</v>
      </c>
      <c r="R807" s="2" t="inlineStr"/>
    </row>
    <row r="808" ht="15" customHeight="1">
      <c r="A808" t="inlineStr">
        <is>
          <t>A 23005-2025</t>
        </is>
      </c>
      <c r="B808" s="1" t="n">
        <v>45790</v>
      </c>
      <c r="C808" s="1" t="n">
        <v>46192</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60797-2024</t>
        </is>
      </c>
      <c r="B809" s="1" t="n">
        <v>45644</v>
      </c>
      <c r="C809" s="1" t="n">
        <v>46192</v>
      </c>
      <c r="D809" t="inlineStr">
        <is>
          <t>SKÅNE LÄN</t>
        </is>
      </c>
      <c r="E809" t="inlineStr">
        <is>
          <t>HÄSSLEHOLM</t>
        </is>
      </c>
      <c r="G809" t="n">
        <v>3.4</v>
      </c>
      <c r="H809" t="n">
        <v>0</v>
      </c>
      <c r="I809" t="n">
        <v>0</v>
      </c>
      <c r="J809" t="n">
        <v>0</v>
      </c>
      <c r="K809" t="n">
        <v>0</v>
      </c>
      <c r="L809" t="n">
        <v>0</v>
      </c>
      <c r="M809" t="n">
        <v>0</v>
      </c>
      <c r="N809" t="n">
        <v>0</v>
      </c>
      <c r="O809" t="n">
        <v>0</v>
      </c>
      <c r="P809" t="n">
        <v>0</v>
      </c>
      <c r="Q809" t="n">
        <v>0</v>
      </c>
      <c r="R809" s="2" t="inlineStr"/>
    </row>
    <row r="810" ht="15" customHeight="1">
      <c r="A810" t="inlineStr">
        <is>
          <t>A 56069-2024</t>
        </is>
      </c>
      <c r="B810" s="1" t="n">
        <v>45624</v>
      </c>
      <c r="C810" s="1" t="n">
        <v>46192</v>
      </c>
      <c r="D810" t="inlineStr">
        <is>
          <t>SKÅNE LÄN</t>
        </is>
      </c>
      <c r="E810" t="inlineStr">
        <is>
          <t>HÄSSLEHOLM</t>
        </is>
      </c>
      <c r="F810" t="inlineStr">
        <is>
          <t>Övriga Aktiebolag</t>
        </is>
      </c>
      <c r="G810" t="n">
        <v>2.3</v>
      </c>
      <c r="H810" t="n">
        <v>0</v>
      </c>
      <c r="I810" t="n">
        <v>0</v>
      </c>
      <c r="J810" t="n">
        <v>0</v>
      </c>
      <c r="K810" t="n">
        <v>0</v>
      </c>
      <c r="L810" t="n">
        <v>0</v>
      </c>
      <c r="M810" t="n">
        <v>0</v>
      </c>
      <c r="N810" t="n">
        <v>0</v>
      </c>
      <c r="O810" t="n">
        <v>0</v>
      </c>
      <c r="P810" t="n">
        <v>0</v>
      </c>
      <c r="Q810" t="n">
        <v>0</v>
      </c>
      <c r="R810" s="2" t="inlineStr"/>
    </row>
    <row r="811" ht="15" customHeight="1">
      <c r="A811" t="inlineStr">
        <is>
          <t>A 56490-2021</t>
        </is>
      </c>
      <c r="B811" s="1" t="n">
        <v>44480</v>
      </c>
      <c r="C811" s="1" t="n">
        <v>46192</v>
      </c>
      <c r="D811" t="inlineStr">
        <is>
          <t>SKÅNE LÄN</t>
        </is>
      </c>
      <c r="E811" t="inlineStr">
        <is>
          <t>HÄSSLEHOLM</t>
        </is>
      </c>
      <c r="F811" t="inlineStr">
        <is>
          <t>Kyrkan</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13910-2026</t>
        </is>
      </c>
      <c r="B812" s="1" t="n">
        <v>46098</v>
      </c>
      <c r="C812" s="1" t="n">
        <v>46192</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13842-2026</t>
        </is>
      </c>
      <c r="B813" s="1" t="n">
        <v>46098</v>
      </c>
      <c r="C813" s="1" t="n">
        <v>46192</v>
      </c>
      <c r="D813" t="inlineStr">
        <is>
          <t>SKÅNE LÄN</t>
        </is>
      </c>
      <c r="E813" t="inlineStr">
        <is>
          <t>HÄSSLEHOLM</t>
        </is>
      </c>
      <c r="G813" t="n">
        <v>10</v>
      </c>
      <c r="H813" t="n">
        <v>0</v>
      </c>
      <c r="I813" t="n">
        <v>0</v>
      </c>
      <c r="J813" t="n">
        <v>0</v>
      </c>
      <c r="K813" t="n">
        <v>0</v>
      </c>
      <c r="L813" t="n">
        <v>0</v>
      </c>
      <c r="M813" t="n">
        <v>0</v>
      </c>
      <c r="N813" t="n">
        <v>0</v>
      </c>
      <c r="O813" t="n">
        <v>0</v>
      </c>
      <c r="P813" t="n">
        <v>0</v>
      </c>
      <c r="Q813" t="n">
        <v>0</v>
      </c>
      <c r="R813" s="2" t="inlineStr"/>
    </row>
    <row r="814" ht="15" customHeight="1">
      <c r="A814" t="inlineStr">
        <is>
          <t>A 13886-2026</t>
        </is>
      </c>
      <c r="B814" s="1" t="n">
        <v>46098</v>
      </c>
      <c r="C814" s="1" t="n">
        <v>46192</v>
      </c>
      <c r="D814" t="inlineStr">
        <is>
          <t>SKÅNE LÄN</t>
        </is>
      </c>
      <c r="E814" t="inlineStr">
        <is>
          <t>HÄSSLEHOLM</t>
        </is>
      </c>
      <c r="G814" t="n">
        <v>1.6</v>
      </c>
      <c r="H814" t="n">
        <v>0</v>
      </c>
      <c r="I814" t="n">
        <v>0</v>
      </c>
      <c r="J814" t="n">
        <v>0</v>
      </c>
      <c r="K814" t="n">
        <v>0</v>
      </c>
      <c r="L814" t="n">
        <v>0</v>
      </c>
      <c r="M814" t="n">
        <v>0</v>
      </c>
      <c r="N814" t="n">
        <v>0</v>
      </c>
      <c r="O814" t="n">
        <v>0</v>
      </c>
      <c r="P814" t="n">
        <v>0</v>
      </c>
      <c r="Q814" t="n">
        <v>0</v>
      </c>
      <c r="R814" s="2" t="inlineStr"/>
    </row>
    <row r="815" ht="15" customHeight="1">
      <c r="A815" t="inlineStr">
        <is>
          <t>A 61680-2022</t>
        </is>
      </c>
      <c r="B815" s="1" t="n">
        <v>44917</v>
      </c>
      <c r="C815" s="1" t="n">
        <v>46192</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13588-2026</t>
        </is>
      </c>
      <c r="B816" s="1" t="n">
        <v>46095</v>
      </c>
      <c r="C816" s="1" t="n">
        <v>46192</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61489-2024</t>
        </is>
      </c>
      <c r="B817" s="1" t="n">
        <v>45646</v>
      </c>
      <c r="C817" s="1" t="n">
        <v>46192</v>
      </c>
      <c r="D817" t="inlineStr">
        <is>
          <t>SKÅNE LÄN</t>
        </is>
      </c>
      <c r="E817" t="inlineStr">
        <is>
          <t>HÄSSLEHOLM</t>
        </is>
      </c>
      <c r="G817" t="n">
        <v>1.9</v>
      </c>
      <c r="H817" t="n">
        <v>0</v>
      </c>
      <c r="I817" t="n">
        <v>0</v>
      </c>
      <c r="J817" t="n">
        <v>0</v>
      </c>
      <c r="K817" t="n">
        <v>0</v>
      </c>
      <c r="L817" t="n">
        <v>0</v>
      </c>
      <c r="M817" t="n">
        <v>0</v>
      </c>
      <c r="N817" t="n">
        <v>0</v>
      </c>
      <c r="O817" t="n">
        <v>0</v>
      </c>
      <c r="P817" t="n">
        <v>0</v>
      </c>
      <c r="Q817" t="n">
        <v>0</v>
      </c>
      <c r="R817" s="2" t="inlineStr"/>
    </row>
    <row r="818" ht="15" customHeight="1">
      <c r="A818" t="inlineStr">
        <is>
          <t>A 13906-2026</t>
        </is>
      </c>
      <c r="B818" s="1" t="n">
        <v>46098</v>
      </c>
      <c r="C818" s="1" t="n">
        <v>46192</v>
      </c>
      <c r="D818" t="inlineStr">
        <is>
          <t>SKÅNE LÄN</t>
        </is>
      </c>
      <c r="E818" t="inlineStr">
        <is>
          <t>HÄSSLEHOLM</t>
        </is>
      </c>
      <c r="G818" t="n">
        <v>1.4</v>
      </c>
      <c r="H818" t="n">
        <v>0</v>
      </c>
      <c r="I818" t="n">
        <v>0</v>
      </c>
      <c r="J818" t="n">
        <v>0</v>
      </c>
      <c r="K818" t="n">
        <v>0</v>
      </c>
      <c r="L818" t="n">
        <v>0</v>
      </c>
      <c r="M818" t="n">
        <v>0</v>
      </c>
      <c r="N818" t="n">
        <v>0</v>
      </c>
      <c r="O818" t="n">
        <v>0</v>
      </c>
      <c r="P818" t="n">
        <v>0</v>
      </c>
      <c r="Q818" t="n">
        <v>0</v>
      </c>
      <c r="R818" s="2" t="inlineStr"/>
    </row>
    <row r="819" ht="15" customHeight="1">
      <c r="A819" t="inlineStr">
        <is>
          <t>A 7681-2025</t>
        </is>
      </c>
      <c r="B819" s="1" t="n">
        <v>45706</v>
      </c>
      <c r="C819" s="1" t="n">
        <v>46192</v>
      </c>
      <c r="D819" t="inlineStr">
        <is>
          <t>SKÅNE LÄN</t>
        </is>
      </c>
      <c r="E819" t="inlineStr">
        <is>
          <t>HÄSSLEHOLM</t>
        </is>
      </c>
      <c r="G819" t="n">
        <v>1.9</v>
      </c>
      <c r="H819" t="n">
        <v>0</v>
      </c>
      <c r="I819" t="n">
        <v>0</v>
      </c>
      <c r="J819" t="n">
        <v>0</v>
      </c>
      <c r="K819" t="n">
        <v>0</v>
      </c>
      <c r="L819" t="n">
        <v>0</v>
      </c>
      <c r="M819" t="n">
        <v>0</v>
      </c>
      <c r="N819" t="n">
        <v>0</v>
      </c>
      <c r="O819" t="n">
        <v>0</v>
      </c>
      <c r="P819" t="n">
        <v>0</v>
      </c>
      <c r="Q819" t="n">
        <v>0</v>
      </c>
      <c r="R819" s="2" t="inlineStr"/>
    </row>
    <row r="820" ht="15" customHeight="1">
      <c r="A820" t="inlineStr">
        <is>
          <t>A 17699-2024</t>
        </is>
      </c>
      <c r="B820" s="1" t="n">
        <v>45418</v>
      </c>
      <c r="C820" s="1" t="n">
        <v>46192</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17702-2024</t>
        </is>
      </c>
      <c r="B821" s="1" t="n">
        <v>45418</v>
      </c>
      <c r="C821" s="1" t="n">
        <v>46192</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14541-2026</t>
        </is>
      </c>
      <c r="B822" s="1" t="n">
        <v>46100</v>
      </c>
      <c r="C822" s="1" t="n">
        <v>46192</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60789-2024</t>
        </is>
      </c>
      <c r="B823" s="1" t="n">
        <v>45644</v>
      </c>
      <c r="C823" s="1" t="n">
        <v>46192</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6101-2022</t>
        </is>
      </c>
      <c r="B824" s="1" t="n">
        <v>44599</v>
      </c>
      <c r="C824" s="1" t="n">
        <v>46192</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14538-2026</t>
        </is>
      </c>
      <c r="B825" s="1" t="n">
        <v>46100</v>
      </c>
      <c r="C825" s="1" t="n">
        <v>46192</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16951-2025</t>
        </is>
      </c>
      <c r="B826" s="1" t="n">
        <v>45755</v>
      </c>
      <c r="C826" s="1" t="n">
        <v>46192</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14191-2026</t>
        </is>
      </c>
      <c r="B827" s="1" t="n">
        <v>46099</v>
      </c>
      <c r="C827" s="1" t="n">
        <v>46192</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16614-2025</t>
        </is>
      </c>
      <c r="B828" s="1" t="n">
        <v>45754</v>
      </c>
      <c r="C828" s="1" t="n">
        <v>46192</v>
      </c>
      <c r="D828" t="inlineStr">
        <is>
          <t>SKÅNE LÄN</t>
        </is>
      </c>
      <c r="E828" t="inlineStr">
        <is>
          <t>HÄSSLEHOLM</t>
        </is>
      </c>
      <c r="G828" t="n">
        <v>1</v>
      </c>
      <c r="H828" t="n">
        <v>0</v>
      </c>
      <c r="I828" t="n">
        <v>0</v>
      </c>
      <c r="J828" t="n">
        <v>0</v>
      </c>
      <c r="K828" t="n">
        <v>0</v>
      </c>
      <c r="L828" t="n">
        <v>0</v>
      </c>
      <c r="M828" t="n">
        <v>0</v>
      </c>
      <c r="N828" t="n">
        <v>0</v>
      </c>
      <c r="O828" t="n">
        <v>0</v>
      </c>
      <c r="P828" t="n">
        <v>0</v>
      </c>
      <c r="Q828" t="n">
        <v>0</v>
      </c>
      <c r="R828" s="2" t="inlineStr"/>
    </row>
    <row r="829" ht="15" customHeight="1">
      <c r="A829" t="inlineStr">
        <is>
          <t>A 3888-2024</t>
        </is>
      </c>
      <c r="B829" s="1" t="n">
        <v>45322</v>
      </c>
      <c r="C829" s="1" t="n">
        <v>46192</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3889-2024</t>
        </is>
      </c>
      <c r="B830" s="1" t="n">
        <v>45322</v>
      </c>
      <c r="C830" s="1" t="n">
        <v>46192</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3294-2025</t>
        </is>
      </c>
      <c r="B831" s="1" t="n">
        <v>45679</v>
      </c>
      <c r="C831" s="1" t="n">
        <v>46192</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9669-2025</t>
        </is>
      </c>
      <c r="B832" s="1" t="n">
        <v>45716</v>
      </c>
      <c r="C832" s="1" t="n">
        <v>46192</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5252-2025</t>
        </is>
      </c>
      <c r="B833" s="1" t="n">
        <v>45692</v>
      </c>
      <c r="C833" s="1" t="n">
        <v>46192</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31995-2023</t>
        </is>
      </c>
      <c r="B834" s="1" t="n">
        <v>45107</v>
      </c>
      <c r="C834" s="1" t="n">
        <v>46192</v>
      </c>
      <c r="D834" t="inlineStr">
        <is>
          <t>SKÅNE LÄN</t>
        </is>
      </c>
      <c r="E834" t="inlineStr">
        <is>
          <t>HÄSSLEHOLM</t>
        </is>
      </c>
      <c r="G834" t="n">
        <v>7.3</v>
      </c>
      <c r="H834" t="n">
        <v>0</v>
      </c>
      <c r="I834" t="n">
        <v>0</v>
      </c>
      <c r="J834" t="n">
        <v>0</v>
      </c>
      <c r="K834" t="n">
        <v>0</v>
      </c>
      <c r="L834" t="n">
        <v>0</v>
      </c>
      <c r="M834" t="n">
        <v>0</v>
      </c>
      <c r="N834" t="n">
        <v>0</v>
      </c>
      <c r="O834" t="n">
        <v>0</v>
      </c>
      <c r="P834" t="n">
        <v>0</v>
      </c>
      <c r="Q834" t="n">
        <v>0</v>
      </c>
      <c r="R834" s="2" t="inlineStr"/>
    </row>
    <row r="835" ht="15" customHeight="1">
      <c r="A835" t="inlineStr">
        <is>
          <t>A 31998-2023</t>
        </is>
      </c>
      <c r="B835" s="1" t="n">
        <v>45119</v>
      </c>
      <c r="C835" s="1" t="n">
        <v>46192</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14471-2026</t>
        </is>
      </c>
      <c r="B836" s="1" t="n">
        <v>46100</v>
      </c>
      <c r="C836" s="1" t="n">
        <v>46192</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5242-2025</t>
        </is>
      </c>
      <c r="B837" s="1" t="n">
        <v>45692</v>
      </c>
      <c r="C837" s="1" t="n">
        <v>46192</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14540-2026</t>
        </is>
      </c>
      <c r="B838" s="1" t="n">
        <v>46100</v>
      </c>
      <c r="C838" s="1" t="n">
        <v>46192</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14549-2026</t>
        </is>
      </c>
      <c r="B839" s="1" t="n">
        <v>46100</v>
      </c>
      <c r="C839" s="1" t="n">
        <v>46192</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7150-2025</t>
        </is>
      </c>
      <c r="B840" s="1" t="n">
        <v>45702</v>
      </c>
      <c r="C840" s="1" t="n">
        <v>46192</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24034-2025</t>
        </is>
      </c>
      <c r="B841" s="1" t="n">
        <v>45796</v>
      </c>
      <c r="C841" s="1" t="n">
        <v>46192</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14965-2026</t>
        </is>
      </c>
      <c r="B842" s="1" t="n">
        <v>46104</v>
      </c>
      <c r="C842" s="1" t="n">
        <v>46192</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14971-2026</t>
        </is>
      </c>
      <c r="B843" s="1" t="n">
        <v>46104</v>
      </c>
      <c r="C843" s="1" t="n">
        <v>46192</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24250-2025</t>
        </is>
      </c>
      <c r="B844" s="1" t="n">
        <v>45797</v>
      </c>
      <c r="C844" s="1" t="n">
        <v>46192</v>
      </c>
      <c r="D844" t="inlineStr">
        <is>
          <t>SKÅNE LÄN</t>
        </is>
      </c>
      <c r="E844" t="inlineStr">
        <is>
          <t>HÄSSLEHOLM</t>
        </is>
      </c>
      <c r="G844" t="n">
        <v>2.3</v>
      </c>
      <c r="H844" t="n">
        <v>0</v>
      </c>
      <c r="I844" t="n">
        <v>0</v>
      </c>
      <c r="J844" t="n">
        <v>0</v>
      </c>
      <c r="K844" t="n">
        <v>0</v>
      </c>
      <c r="L844" t="n">
        <v>0</v>
      </c>
      <c r="M844" t="n">
        <v>0</v>
      </c>
      <c r="N844" t="n">
        <v>0</v>
      </c>
      <c r="O844" t="n">
        <v>0</v>
      </c>
      <c r="P844" t="n">
        <v>0</v>
      </c>
      <c r="Q844" t="n">
        <v>0</v>
      </c>
      <c r="R844" s="2" t="inlineStr"/>
    </row>
    <row r="845" ht="15" customHeight="1">
      <c r="A845" t="inlineStr">
        <is>
          <t>A 24039-2025</t>
        </is>
      </c>
      <c r="B845" s="1" t="n">
        <v>45796</v>
      </c>
      <c r="C845" s="1" t="n">
        <v>46192</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24047-2025</t>
        </is>
      </c>
      <c r="B846" s="1" t="n">
        <v>45796</v>
      </c>
      <c r="C846" s="1" t="n">
        <v>46192</v>
      </c>
      <c r="D846" t="inlineStr">
        <is>
          <t>SKÅNE LÄN</t>
        </is>
      </c>
      <c r="E846" t="inlineStr">
        <is>
          <t>HÄSSLEHOLM</t>
        </is>
      </c>
      <c r="G846" t="n">
        <v>1.1</v>
      </c>
      <c r="H846" t="n">
        <v>0</v>
      </c>
      <c r="I846" t="n">
        <v>0</v>
      </c>
      <c r="J846" t="n">
        <v>0</v>
      </c>
      <c r="K846" t="n">
        <v>0</v>
      </c>
      <c r="L846" t="n">
        <v>0</v>
      </c>
      <c r="M846" t="n">
        <v>0</v>
      </c>
      <c r="N846" t="n">
        <v>0</v>
      </c>
      <c r="O846" t="n">
        <v>0</v>
      </c>
      <c r="P846" t="n">
        <v>0</v>
      </c>
      <c r="Q846" t="n">
        <v>0</v>
      </c>
      <c r="R846" s="2" t="inlineStr"/>
    </row>
    <row r="847" ht="15" customHeight="1">
      <c r="A847" t="inlineStr">
        <is>
          <t>A 55522-2024</t>
        </is>
      </c>
      <c r="B847" s="1" t="n">
        <v>45622</v>
      </c>
      <c r="C847" s="1" t="n">
        <v>46192</v>
      </c>
      <c r="D847" t="inlineStr">
        <is>
          <t>SKÅNE LÄN</t>
        </is>
      </c>
      <c r="E847" t="inlineStr">
        <is>
          <t>HÄSSLEHOLM</t>
        </is>
      </c>
      <c r="G847" t="n">
        <v>5.6</v>
      </c>
      <c r="H847" t="n">
        <v>0</v>
      </c>
      <c r="I847" t="n">
        <v>0</v>
      </c>
      <c r="J847" t="n">
        <v>0</v>
      </c>
      <c r="K847" t="n">
        <v>0</v>
      </c>
      <c r="L847" t="n">
        <v>0</v>
      </c>
      <c r="M847" t="n">
        <v>0</v>
      </c>
      <c r="N847" t="n">
        <v>0</v>
      </c>
      <c r="O847" t="n">
        <v>0</v>
      </c>
      <c r="P847" t="n">
        <v>0</v>
      </c>
      <c r="Q847" t="n">
        <v>0</v>
      </c>
      <c r="R847" s="2" t="inlineStr"/>
    </row>
    <row r="848" ht="15" customHeight="1">
      <c r="A848" t="inlineStr">
        <is>
          <t>A 32826-2024</t>
        </is>
      </c>
      <c r="B848" s="1" t="n">
        <v>45516</v>
      </c>
      <c r="C848" s="1" t="n">
        <v>46192</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32512-2024</t>
        </is>
      </c>
      <c r="B849" s="1" t="n">
        <v>45513</v>
      </c>
      <c r="C849" s="1" t="n">
        <v>46192</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10562-2025</t>
        </is>
      </c>
      <c r="B850" s="1" t="n">
        <v>45721</v>
      </c>
      <c r="C850" s="1" t="n">
        <v>46192</v>
      </c>
      <c r="D850" t="inlineStr">
        <is>
          <t>SKÅNE LÄN</t>
        </is>
      </c>
      <c r="E850" t="inlineStr">
        <is>
          <t>HÄSSLEHOLM</t>
        </is>
      </c>
      <c r="G850" t="n">
        <v>1.4</v>
      </c>
      <c r="H850" t="n">
        <v>0</v>
      </c>
      <c r="I850" t="n">
        <v>0</v>
      </c>
      <c r="J850" t="n">
        <v>0</v>
      </c>
      <c r="K850" t="n">
        <v>0</v>
      </c>
      <c r="L850" t="n">
        <v>0</v>
      </c>
      <c r="M850" t="n">
        <v>0</v>
      </c>
      <c r="N850" t="n">
        <v>0</v>
      </c>
      <c r="O850" t="n">
        <v>0</v>
      </c>
      <c r="P850" t="n">
        <v>0</v>
      </c>
      <c r="Q850" t="n">
        <v>0</v>
      </c>
      <c r="R850" s="2" t="inlineStr"/>
    </row>
    <row r="851" ht="15" customHeight="1">
      <c r="A851" t="inlineStr">
        <is>
          <t>A 20185-2023</t>
        </is>
      </c>
      <c r="B851" s="1" t="n">
        <v>45055</v>
      </c>
      <c r="C851" s="1" t="n">
        <v>46192</v>
      </c>
      <c r="D851" t="inlineStr">
        <is>
          <t>SKÅNE LÄN</t>
        </is>
      </c>
      <c r="E851" t="inlineStr">
        <is>
          <t>HÄSSLEHOLM</t>
        </is>
      </c>
      <c r="G851" t="n">
        <v>3.5</v>
      </c>
      <c r="H851" t="n">
        <v>0</v>
      </c>
      <c r="I851" t="n">
        <v>0</v>
      </c>
      <c r="J851" t="n">
        <v>0</v>
      </c>
      <c r="K851" t="n">
        <v>0</v>
      </c>
      <c r="L851" t="n">
        <v>0</v>
      </c>
      <c r="M851" t="n">
        <v>0</v>
      </c>
      <c r="N851" t="n">
        <v>0</v>
      </c>
      <c r="O851" t="n">
        <v>0</v>
      </c>
      <c r="P851" t="n">
        <v>0</v>
      </c>
      <c r="Q851" t="n">
        <v>0</v>
      </c>
      <c r="R851" s="2" t="inlineStr"/>
    </row>
    <row r="852" ht="15" customHeight="1">
      <c r="A852" t="inlineStr">
        <is>
          <t>A 61170-2022</t>
        </is>
      </c>
      <c r="B852" s="1" t="n">
        <v>44915</v>
      </c>
      <c r="C852" s="1" t="n">
        <v>46192</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24658-2025</t>
        </is>
      </c>
      <c r="B853" s="1" t="n">
        <v>45798</v>
      </c>
      <c r="C853" s="1" t="n">
        <v>46192</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25372-2025</t>
        </is>
      </c>
      <c r="B854" s="1" t="n">
        <v>45799</v>
      </c>
      <c r="C854" s="1" t="n">
        <v>46192</v>
      </c>
      <c r="D854" t="inlineStr">
        <is>
          <t>SKÅNE LÄN</t>
        </is>
      </c>
      <c r="E854" t="inlineStr">
        <is>
          <t>HÄSSLEHOLM</t>
        </is>
      </c>
      <c r="G854" t="n">
        <v>3.1</v>
      </c>
      <c r="H854" t="n">
        <v>0</v>
      </c>
      <c r="I854" t="n">
        <v>0</v>
      </c>
      <c r="J854" t="n">
        <v>0</v>
      </c>
      <c r="K854" t="n">
        <v>0</v>
      </c>
      <c r="L854" t="n">
        <v>0</v>
      </c>
      <c r="M854" t="n">
        <v>0</v>
      </c>
      <c r="N854" t="n">
        <v>0</v>
      </c>
      <c r="O854" t="n">
        <v>0</v>
      </c>
      <c r="P854" t="n">
        <v>0</v>
      </c>
      <c r="Q854" t="n">
        <v>0</v>
      </c>
      <c r="R854" s="2" t="inlineStr"/>
    </row>
    <row r="855" ht="15" customHeight="1">
      <c r="A855" t="inlineStr">
        <is>
          <t>A 9399-2025</t>
        </is>
      </c>
      <c r="B855" s="1" t="n">
        <v>45715</v>
      </c>
      <c r="C855" s="1" t="n">
        <v>46192</v>
      </c>
      <c r="D855" t="inlineStr">
        <is>
          <t>SKÅNE LÄN</t>
        </is>
      </c>
      <c r="E855" t="inlineStr">
        <is>
          <t>HÄSSLEHOLM</t>
        </is>
      </c>
      <c r="G855" t="n">
        <v>5.2</v>
      </c>
      <c r="H855" t="n">
        <v>0</v>
      </c>
      <c r="I855" t="n">
        <v>0</v>
      </c>
      <c r="J855" t="n">
        <v>0</v>
      </c>
      <c r="K855" t="n">
        <v>0</v>
      </c>
      <c r="L855" t="n">
        <v>0</v>
      </c>
      <c r="M855" t="n">
        <v>0</v>
      </c>
      <c r="N855" t="n">
        <v>0</v>
      </c>
      <c r="O855" t="n">
        <v>0</v>
      </c>
      <c r="P855" t="n">
        <v>0</v>
      </c>
      <c r="Q855" t="n">
        <v>0</v>
      </c>
      <c r="R855" s="2" t="inlineStr"/>
    </row>
    <row r="856" ht="15" customHeight="1">
      <c r="A856" t="inlineStr">
        <is>
          <t>A 15881-2026</t>
        </is>
      </c>
      <c r="B856" s="1" t="n">
        <v>46107</v>
      </c>
      <c r="C856" s="1" t="n">
        <v>46192</v>
      </c>
      <c r="D856" t="inlineStr">
        <is>
          <t>SKÅNE LÄN</t>
        </is>
      </c>
      <c r="E856" t="inlineStr">
        <is>
          <t>HÄSSLEHOLM</t>
        </is>
      </c>
      <c r="F856" t="inlineStr">
        <is>
          <t>Kyrkan</t>
        </is>
      </c>
      <c r="G856" t="n">
        <v>2.2</v>
      </c>
      <c r="H856" t="n">
        <v>0</v>
      </c>
      <c r="I856" t="n">
        <v>0</v>
      </c>
      <c r="J856" t="n">
        <v>0</v>
      </c>
      <c r="K856" t="n">
        <v>0</v>
      </c>
      <c r="L856" t="n">
        <v>0</v>
      </c>
      <c r="M856" t="n">
        <v>0</v>
      </c>
      <c r="N856" t="n">
        <v>0</v>
      </c>
      <c r="O856" t="n">
        <v>0</v>
      </c>
      <c r="P856" t="n">
        <v>0</v>
      </c>
      <c r="Q856" t="n">
        <v>0</v>
      </c>
      <c r="R856" s="2" t="inlineStr"/>
    </row>
    <row r="857" ht="15" customHeight="1">
      <c r="A857" t="inlineStr">
        <is>
          <t>A 15979-2026</t>
        </is>
      </c>
      <c r="B857" s="1" t="n">
        <v>46108</v>
      </c>
      <c r="C857" s="1" t="n">
        <v>46192</v>
      </c>
      <c r="D857" t="inlineStr">
        <is>
          <t>SKÅNE LÄN</t>
        </is>
      </c>
      <c r="E857" t="inlineStr">
        <is>
          <t>HÄSSLEHOLM</t>
        </is>
      </c>
      <c r="G857" t="n">
        <v>2.7</v>
      </c>
      <c r="H857" t="n">
        <v>0</v>
      </c>
      <c r="I857" t="n">
        <v>0</v>
      </c>
      <c r="J857" t="n">
        <v>0</v>
      </c>
      <c r="K857" t="n">
        <v>0</v>
      </c>
      <c r="L857" t="n">
        <v>0</v>
      </c>
      <c r="M857" t="n">
        <v>0</v>
      </c>
      <c r="N857" t="n">
        <v>0</v>
      </c>
      <c r="O857" t="n">
        <v>0</v>
      </c>
      <c r="P857" t="n">
        <v>0</v>
      </c>
      <c r="Q857" t="n">
        <v>0</v>
      </c>
      <c r="R857" s="2" t="inlineStr"/>
    </row>
    <row r="858" ht="15" customHeight="1">
      <c r="A858" t="inlineStr">
        <is>
          <t>A 259-2024</t>
        </is>
      </c>
      <c r="B858" s="1" t="n">
        <v>45294</v>
      </c>
      <c r="C858" s="1" t="n">
        <v>46192</v>
      </c>
      <c r="D858" t="inlineStr">
        <is>
          <t>SKÅNE LÄN</t>
        </is>
      </c>
      <c r="E858" t="inlineStr">
        <is>
          <t>HÄSSLEHOLM</t>
        </is>
      </c>
      <c r="G858" t="n">
        <v>8</v>
      </c>
      <c r="H858" t="n">
        <v>0</v>
      </c>
      <c r="I858" t="n">
        <v>0</v>
      </c>
      <c r="J858" t="n">
        <v>0</v>
      </c>
      <c r="K858" t="n">
        <v>0</v>
      </c>
      <c r="L858" t="n">
        <v>0</v>
      </c>
      <c r="M858" t="n">
        <v>0</v>
      </c>
      <c r="N858" t="n">
        <v>0</v>
      </c>
      <c r="O858" t="n">
        <v>0</v>
      </c>
      <c r="P858" t="n">
        <v>0</v>
      </c>
      <c r="Q858" t="n">
        <v>0</v>
      </c>
      <c r="R858" s="2" t="inlineStr"/>
    </row>
    <row r="859" ht="15" customHeight="1">
      <c r="A859" t="inlineStr">
        <is>
          <t>A 29659-2024</t>
        </is>
      </c>
      <c r="B859" s="1" t="n">
        <v>45484</v>
      </c>
      <c r="C859" s="1" t="n">
        <v>46192</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27837-2024</t>
        </is>
      </c>
      <c r="B860" s="1" t="n">
        <v>45475</v>
      </c>
      <c r="C860" s="1" t="n">
        <v>46192</v>
      </c>
      <c r="D860" t="inlineStr">
        <is>
          <t>SKÅNE LÄN</t>
        </is>
      </c>
      <c r="E860" t="inlineStr">
        <is>
          <t>HÄSSLEHOLM</t>
        </is>
      </c>
      <c r="F860" t="inlineStr">
        <is>
          <t>Kommuner</t>
        </is>
      </c>
      <c r="G860" t="n">
        <v>2.3</v>
      </c>
      <c r="H860" t="n">
        <v>0</v>
      </c>
      <c r="I860" t="n">
        <v>0</v>
      </c>
      <c r="J860" t="n">
        <v>0</v>
      </c>
      <c r="K860" t="n">
        <v>0</v>
      </c>
      <c r="L860" t="n">
        <v>0</v>
      </c>
      <c r="M860" t="n">
        <v>0</v>
      </c>
      <c r="N860" t="n">
        <v>0</v>
      </c>
      <c r="O860" t="n">
        <v>0</v>
      </c>
      <c r="P860" t="n">
        <v>0</v>
      </c>
      <c r="Q860" t="n">
        <v>0</v>
      </c>
      <c r="R860" s="2" t="inlineStr"/>
    </row>
    <row r="861" ht="15" customHeight="1">
      <c r="A861" t="inlineStr">
        <is>
          <t>A 1679-2022</t>
        </is>
      </c>
      <c r="B861" s="1" t="n">
        <v>44573</v>
      </c>
      <c r="C861" s="1" t="n">
        <v>46192</v>
      </c>
      <c r="D861" t="inlineStr">
        <is>
          <t>SKÅNE LÄN</t>
        </is>
      </c>
      <c r="E861" t="inlineStr">
        <is>
          <t>HÄSSLEHOLM</t>
        </is>
      </c>
      <c r="F861" t="inlineStr">
        <is>
          <t>Kyrkan</t>
        </is>
      </c>
      <c r="G861" t="n">
        <v>4.3</v>
      </c>
      <c r="H861" t="n">
        <v>0</v>
      </c>
      <c r="I861" t="n">
        <v>0</v>
      </c>
      <c r="J861" t="n">
        <v>0</v>
      </c>
      <c r="K861" t="n">
        <v>0</v>
      </c>
      <c r="L861" t="n">
        <v>0</v>
      </c>
      <c r="M861" t="n">
        <v>0</v>
      </c>
      <c r="N861" t="n">
        <v>0</v>
      </c>
      <c r="O861" t="n">
        <v>0</v>
      </c>
      <c r="P861" t="n">
        <v>0</v>
      </c>
      <c r="Q861" t="n">
        <v>0</v>
      </c>
      <c r="R861" s="2" t="inlineStr"/>
    </row>
    <row r="862" ht="15" customHeight="1">
      <c r="A862" t="inlineStr">
        <is>
          <t>A 43629-2023</t>
        </is>
      </c>
      <c r="B862" s="1" t="n">
        <v>45184</v>
      </c>
      <c r="C862" s="1" t="n">
        <v>46192</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51565-2023</t>
        </is>
      </c>
      <c r="B863" s="1" t="n">
        <v>45222</v>
      </c>
      <c r="C863" s="1" t="n">
        <v>46192</v>
      </c>
      <c r="D863" t="inlineStr">
        <is>
          <t>SKÅNE LÄN</t>
        </is>
      </c>
      <c r="E863" t="inlineStr">
        <is>
          <t>HÄSSLEHOLM</t>
        </is>
      </c>
      <c r="G863" t="n">
        <v>2.1</v>
      </c>
      <c r="H863" t="n">
        <v>0</v>
      </c>
      <c r="I863" t="n">
        <v>0</v>
      </c>
      <c r="J863" t="n">
        <v>0</v>
      </c>
      <c r="K863" t="n">
        <v>0</v>
      </c>
      <c r="L863" t="n">
        <v>0</v>
      </c>
      <c r="M863" t="n">
        <v>0</v>
      </c>
      <c r="N863" t="n">
        <v>0</v>
      </c>
      <c r="O863" t="n">
        <v>0</v>
      </c>
      <c r="P863" t="n">
        <v>0</v>
      </c>
      <c r="Q863" t="n">
        <v>0</v>
      </c>
      <c r="R863" s="2" t="inlineStr"/>
    </row>
    <row r="864" ht="15" customHeight="1">
      <c r="A864" t="inlineStr">
        <is>
          <t>A 25615-2025</t>
        </is>
      </c>
      <c r="B864" s="1" t="n">
        <v>45803</v>
      </c>
      <c r="C864" s="1" t="n">
        <v>46192</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13990-2022</t>
        </is>
      </c>
      <c r="B865" s="1" t="n">
        <v>44650</v>
      </c>
      <c r="C865" s="1" t="n">
        <v>46192</v>
      </c>
      <c r="D865" t="inlineStr">
        <is>
          <t>SKÅNE LÄN</t>
        </is>
      </c>
      <c r="E865" t="inlineStr">
        <is>
          <t>HÄSSLEHOLM</t>
        </is>
      </c>
      <c r="G865" t="n">
        <v>3.6</v>
      </c>
      <c r="H865" t="n">
        <v>0</v>
      </c>
      <c r="I865" t="n">
        <v>0</v>
      </c>
      <c r="J865" t="n">
        <v>0</v>
      </c>
      <c r="K865" t="n">
        <v>0</v>
      </c>
      <c r="L865" t="n">
        <v>0</v>
      </c>
      <c r="M865" t="n">
        <v>0</v>
      </c>
      <c r="N865" t="n">
        <v>0</v>
      </c>
      <c r="O865" t="n">
        <v>0</v>
      </c>
      <c r="P865" t="n">
        <v>0</v>
      </c>
      <c r="Q865" t="n">
        <v>0</v>
      </c>
      <c r="R865" s="2" t="inlineStr"/>
    </row>
    <row r="866" ht="15" customHeight="1">
      <c r="A866" t="inlineStr">
        <is>
          <t>A 11412-2025</t>
        </is>
      </c>
      <c r="B866" s="1" t="n">
        <v>45726</v>
      </c>
      <c r="C866" s="1" t="n">
        <v>46192</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25430-2025</t>
        </is>
      </c>
      <c r="B867" s="1" t="n">
        <v>45800</v>
      </c>
      <c r="C867" s="1" t="n">
        <v>46192</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15882-2026</t>
        </is>
      </c>
      <c r="B868" s="1" t="n">
        <v>46107</v>
      </c>
      <c r="C868" s="1" t="n">
        <v>46192</v>
      </c>
      <c r="D868" t="inlineStr">
        <is>
          <t>SKÅNE LÄN</t>
        </is>
      </c>
      <c r="E868" t="inlineStr">
        <is>
          <t>HÄSSLEHOLM</t>
        </is>
      </c>
      <c r="F868" t="inlineStr">
        <is>
          <t>Kyrkan</t>
        </is>
      </c>
      <c r="G868" t="n">
        <v>0.7</v>
      </c>
      <c r="H868" t="n">
        <v>0</v>
      </c>
      <c r="I868" t="n">
        <v>0</v>
      </c>
      <c r="J868" t="n">
        <v>0</v>
      </c>
      <c r="K868" t="n">
        <v>0</v>
      </c>
      <c r="L868" t="n">
        <v>0</v>
      </c>
      <c r="M868" t="n">
        <v>0</v>
      </c>
      <c r="N868" t="n">
        <v>0</v>
      </c>
      <c r="O868" t="n">
        <v>0</v>
      </c>
      <c r="P868" t="n">
        <v>0</v>
      </c>
      <c r="Q868" t="n">
        <v>0</v>
      </c>
      <c r="R868" s="2" t="inlineStr"/>
    </row>
    <row r="869" ht="15" customHeight="1">
      <c r="A869" t="inlineStr">
        <is>
          <t>A 11466-2025</t>
        </is>
      </c>
      <c r="B869" s="1" t="n">
        <v>45726</v>
      </c>
      <c r="C869" s="1" t="n">
        <v>46192</v>
      </c>
      <c r="D869" t="inlineStr">
        <is>
          <t>SKÅNE LÄN</t>
        </is>
      </c>
      <c r="E869" t="inlineStr">
        <is>
          <t>HÄSSLEHOLM</t>
        </is>
      </c>
      <c r="G869" t="n">
        <v>3.2</v>
      </c>
      <c r="H869" t="n">
        <v>0</v>
      </c>
      <c r="I869" t="n">
        <v>0</v>
      </c>
      <c r="J869" t="n">
        <v>0</v>
      </c>
      <c r="K869" t="n">
        <v>0</v>
      </c>
      <c r="L869" t="n">
        <v>0</v>
      </c>
      <c r="M869" t="n">
        <v>0</v>
      </c>
      <c r="N869" t="n">
        <v>0</v>
      </c>
      <c r="O869" t="n">
        <v>0</v>
      </c>
      <c r="P869" t="n">
        <v>0</v>
      </c>
      <c r="Q869" t="n">
        <v>0</v>
      </c>
      <c r="R869" s="2" t="inlineStr"/>
    </row>
    <row r="870" ht="15" customHeight="1">
      <c r="A870" t="inlineStr">
        <is>
          <t>A 25431-2025</t>
        </is>
      </c>
      <c r="B870" s="1" t="n">
        <v>45800</v>
      </c>
      <c r="C870" s="1" t="n">
        <v>46192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25432-2025</t>
        </is>
      </c>
      <c r="B871" s="1" t="n">
        <v>45800</v>
      </c>
      <c r="C871" s="1" t="n">
        <v>46192</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11470-2025</t>
        </is>
      </c>
      <c r="B872" s="1" t="n">
        <v>45726</v>
      </c>
      <c r="C872" s="1" t="n">
        <v>46192</v>
      </c>
      <c r="D872" t="inlineStr">
        <is>
          <t>SKÅNE LÄN</t>
        </is>
      </c>
      <c r="E872" t="inlineStr">
        <is>
          <t>HÄSSLEHOLM</t>
        </is>
      </c>
      <c r="G872" t="n">
        <v>0.4</v>
      </c>
      <c r="H872" t="n">
        <v>0</v>
      </c>
      <c r="I872" t="n">
        <v>0</v>
      </c>
      <c r="J872" t="n">
        <v>0</v>
      </c>
      <c r="K872" t="n">
        <v>0</v>
      </c>
      <c r="L872" t="n">
        <v>0</v>
      </c>
      <c r="M872" t="n">
        <v>0</v>
      </c>
      <c r="N872" t="n">
        <v>0</v>
      </c>
      <c r="O872" t="n">
        <v>0</v>
      </c>
      <c r="P872" t="n">
        <v>0</v>
      </c>
      <c r="Q872" t="n">
        <v>0</v>
      </c>
      <c r="R872" s="2" t="inlineStr"/>
    </row>
    <row r="873" ht="15" customHeight="1">
      <c r="A873" t="inlineStr">
        <is>
          <t>A 16470-2026</t>
        </is>
      </c>
      <c r="B873" s="1" t="n">
        <v>46112</v>
      </c>
      <c r="C873" s="1" t="n">
        <v>46192</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50564-2023</t>
        </is>
      </c>
      <c r="B874" s="1" t="n">
        <v>45217</v>
      </c>
      <c r="C874" s="1" t="n">
        <v>46192</v>
      </c>
      <c r="D874" t="inlineStr">
        <is>
          <t>SKÅNE LÄN</t>
        </is>
      </c>
      <c r="E874" t="inlineStr">
        <is>
          <t>HÄSSLEHOLM</t>
        </is>
      </c>
      <c r="G874" t="n">
        <v>1.2</v>
      </c>
      <c r="H874" t="n">
        <v>0</v>
      </c>
      <c r="I874" t="n">
        <v>0</v>
      </c>
      <c r="J874" t="n">
        <v>0</v>
      </c>
      <c r="K874" t="n">
        <v>0</v>
      </c>
      <c r="L874" t="n">
        <v>0</v>
      </c>
      <c r="M874" t="n">
        <v>0</v>
      </c>
      <c r="N874" t="n">
        <v>0</v>
      </c>
      <c r="O874" t="n">
        <v>0</v>
      </c>
      <c r="P874" t="n">
        <v>0</v>
      </c>
      <c r="Q874" t="n">
        <v>0</v>
      </c>
      <c r="R874" s="2" t="inlineStr"/>
    </row>
    <row r="875" ht="15" customHeight="1">
      <c r="A875" t="inlineStr">
        <is>
          <t>A 26232-2025</t>
        </is>
      </c>
      <c r="B875" s="1" t="n">
        <v>45805</v>
      </c>
      <c r="C875" s="1" t="n">
        <v>46192</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43061-2024</t>
        </is>
      </c>
      <c r="B876" s="1" t="n">
        <v>45567</v>
      </c>
      <c r="C876" s="1" t="n">
        <v>46192</v>
      </c>
      <c r="D876" t="inlineStr">
        <is>
          <t>SKÅNE LÄN</t>
        </is>
      </c>
      <c r="E876" t="inlineStr">
        <is>
          <t>HÄSSLEHOLM</t>
        </is>
      </c>
      <c r="G876" t="n">
        <v>4.5</v>
      </c>
      <c r="H876" t="n">
        <v>0</v>
      </c>
      <c r="I876" t="n">
        <v>0</v>
      </c>
      <c r="J876" t="n">
        <v>0</v>
      </c>
      <c r="K876" t="n">
        <v>0</v>
      </c>
      <c r="L876" t="n">
        <v>0</v>
      </c>
      <c r="M876" t="n">
        <v>0</v>
      </c>
      <c r="N876" t="n">
        <v>0</v>
      </c>
      <c r="O876" t="n">
        <v>0</v>
      </c>
      <c r="P876" t="n">
        <v>0</v>
      </c>
      <c r="Q876" t="n">
        <v>0</v>
      </c>
      <c r="R876" s="2" t="inlineStr"/>
    </row>
    <row r="877" ht="15" customHeight="1">
      <c r="A877" t="inlineStr">
        <is>
          <t>A 26244-2025</t>
        </is>
      </c>
      <c r="B877" s="1" t="n">
        <v>45805</v>
      </c>
      <c r="C877" s="1" t="n">
        <v>46192</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54171-2021</t>
        </is>
      </c>
      <c r="B878" s="1" t="n">
        <v>44470</v>
      </c>
      <c r="C878" s="1" t="n">
        <v>46192</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16476-2026</t>
        </is>
      </c>
      <c r="B879" s="1" t="n">
        <v>46112</v>
      </c>
      <c r="C879" s="1" t="n">
        <v>46192</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24640-2023</t>
        </is>
      </c>
      <c r="B880" s="1" t="n">
        <v>45084</v>
      </c>
      <c r="C880" s="1" t="n">
        <v>46192</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51618-2024</t>
        </is>
      </c>
      <c r="B881" s="1" t="n">
        <v>45604</v>
      </c>
      <c r="C881" s="1" t="n">
        <v>46192</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8249-2023</t>
        </is>
      </c>
      <c r="B882" s="1" t="n">
        <v>44974</v>
      </c>
      <c r="C882" s="1" t="n">
        <v>46192</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38358-2024</t>
        </is>
      </c>
      <c r="B883" s="1" t="n">
        <v>45545</v>
      </c>
      <c r="C883" s="1" t="n">
        <v>46192</v>
      </c>
      <c r="D883" t="inlineStr">
        <is>
          <t>SKÅNE LÄN</t>
        </is>
      </c>
      <c r="E883" t="inlineStr">
        <is>
          <t>HÄSSLEHOLM</t>
        </is>
      </c>
      <c r="G883" t="n">
        <v>9</v>
      </c>
      <c r="H883" t="n">
        <v>0</v>
      </c>
      <c r="I883" t="n">
        <v>0</v>
      </c>
      <c r="J883" t="n">
        <v>0</v>
      </c>
      <c r="K883" t="n">
        <v>0</v>
      </c>
      <c r="L883" t="n">
        <v>0</v>
      </c>
      <c r="M883" t="n">
        <v>0</v>
      </c>
      <c r="N883" t="n">
        <v>0</v>
      </c>
      <c r="O883" t="n">
        <v>0</v>
      </c>
      <c r="P883" t="n">
        <v>0</v>
      </c>
      <c r="Q883" t="n">
        <v>0</v>
      </c>
      <c r="R883" s="2" t="inlineStr"/>
    </row>
    <row r="884" ht="15" customHeight="1">
      <c r="A884" t="inlineStr">
        <is>
          <t>A 27393-2025</t>
        </is>
      </c>
      <c r="B884" s="1" t="n">
        <v>45812</v>
      </c>
      <c r="C884" s="1" t="n">
        <v>46192</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47840-2023</t>
        </is>
      </c>
      <c r="B885" s="1" t="n">
        <v>45204</v>
      </c>
      <c r="C885" s="1" t="n">
        <v>46192</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16368-2025</t>
        </is>
      </c>
      <c r="B886" s="1" t="n">
        <v>45751</v>
      </c>
      <c r="C886" s="1" t="n">
        <v>46192</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62277-2023</t>
        </is>
      </c>
      <c r="B887" s="1" t="n">
        <v>45266</v>
      </c>
      <c r="C887" s="1" t="n">
        <v>46192</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34369-2023</t>
        </is>
      </c>
      <c r="B888" s="1" t="n">
        <v>45139</v>
      </c>
      <c r="C888" s="1" t="n">
        <v>46192</v>
      </c>
      <c r="D888" t="inlineStr">
        <is>
          <t>SKÅNE LÄN</t>
        </is>
      </c>
      <c r="E888" t="inlineStr">
        <is>
          <t>HÄSSLEHOLM</t>
        </is>
      </c>
      <c r="G888" t="n">
        <v>2</v>
      </c>
      <c r="H888" t="n">
        <v>0</v>
      </c>
      <c r="I888" t="n">
        <v>0</v>
      </c>
      <c r="J888" t="n">
        <v>0</v>
      </c>
      <c r="K888" t="n">
        <v>0</v>
      </c>
      <c r="L888" t="n">
        <v>0</v>
      </c>
      <c r="M888" t="n">
        <v>0</v>
      </c>
      <c r="N888" t="n">
        <v>0</v>
      </c>
      <c r="O888" t="n">
        <v>0</v>
      </c>
      <c r="P888" t="n">
        <v>0</v>
      </c>
      <c r="Q888" t="n">
        <v>0</v>
      </c>
      <c r="R888" s="2" t="inlineStr"/>
    </row>
    <row r="889" ht="15" customHeight="1">
      <c r="A889" t="inlineStr">
        <is>
          <t>A 28240-2025</t>
        </is>
      </c>
      <c r="B889" s="1" t="n">
        <v>45817</v>
      </c>
      <c r="C889" s="1" t="n">
        <v>46192</v>
      </c>
      <c r="D889" t="inlineStr">
        <is>
          <t>SKÅNE LÄN</t>
        </is>
      </c>
      <c r="E889" t="inlineStr">
        <is>
          <t>HÄSSLEHOLM</t>
        </is>
      </c>
      <c r="G889" t="n">
        <v>7.7</v>
      </c>
      <c r="H889" t="n">
        <v>0</v>
      </c>
      <c r="I889" t="n">
        <v>0</v>
      </c>
      <c r="J889" t="n">
        <v>0</v>
      </c>
      <c r="K889" t="n">
        <v>0</v>
      </c>
      <c r="L889" t="n">
        <v>0</v>
      </c>
      <c r="M889" t="n">
        <v>0</v>
      </c>
      <c r="N889" t="n">
        <v>0</v>
      </c>
      <c r="O889" t="n">
        <v>0</v>
      </c>
      <c r="P889" t="n">
        <v>0</v>
      </c>
      <c r="Q889" t="n">
        <v>0</v>
      </c>
      <c r="R889" s="2" t="inlineStr"/>
    </row>
    <row r="890" ht="15" customHeight="1">
      <c r="A890" t="inlineStr">
        <is>
          <t>A 48627-2023</t>
        </is>
      </c>
      <c r="B890" s="1" t="n">
        <v>45208</v>
      </c>
      <c r="C890" s="1" t="n">
        <v>46192</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27940-2025</t>
        </is>
      </c>
      <c r="B891" s="1" t="n">
        <v>45817</v>
      </c>
      <c r="C891" s="1" t="n">
        <v>46192</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11607-2025</t>
        </is>
      </c>
      <c r="B892" s="1" t="n">
        <v>45727</v>
      </c>
      <c r="C892" s="1" t="n">
        <v>46192</v>
      </c>
      <c r="D892" t="inlineStr">
        <is>
          <t>SKÅNE LÄN</t>
        </is>
      </c>
      <c r="E892" t="inlineStr">
        <is>
          <t>HÄSSLEHOLM</t>
        </is>
      </c>
      <c r="G892" t="n">
        <v>4.1</v>
      </c>
      <c r="H892" t="n">
        <v>0</v>
      </c>
      <c r="I892" t="n">
        <v>0</v>
      </c>
      <c r="J892" t="n">
        <v>0</v>
      </c>
      <c r="K892" t="n">
        <v>0</v>
      </c>
      <c r="L892" t="n">
        <v>0</v>
      </c>
      <c r="M892" t="n">
        <v>0</v>
      </c>
      <c r="N892" t="n">
        <v>0</v>
      </c>
      <c r="O892" t="n">
        <v>0</v>
      </c>
      <c r="P892" t="n">
        <v>0</v>
      </c>
      <c r="Q892" t="n">
        <v>0</v>
      </c>
      <c r="R892" s="2" t="inlineStr"/>
    </row>
    <row r="893" ht="15" customHeight="1">
      <c r="A893" t="inlineStr">
        <is>
          <t>A 720-2025</t>
        </is>
      </c>
      <c r="B893" s="1" t="n">
        <v>45665</v>
      </c>
      <c r="C893" s="1" t="n">
        <v>46192</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28251-2025</t>
        </is>
      </c>
      <c r="B894" s="1" t="n">
        <v>45817</v>
      </c>
      <c r="C894" s="1" t="n">
        <v>46192</v>
      </c>
      <c r="D894" t="inlineStr">
        <is>
          <t>SKÅNE LÄN</t>
        </is>
      </c>
      <c r="E894" t="inlineStr">
        <is>
          <t>HÄSSLEHOLM</t>
        </is>
      </c>
      <c r="G894" t="n">
        <v>7.2</v>
      </c>
      <c r="H894" t="n">
        <v>0</v>
      </c>
      <c r="I894" t="n">
        <v>0</v>
      </c>
      <c r="J894" t="n">
        <v>0</v>
      </c>
      <c r="K894" t="n">
        <v>0</v>
      </c>
      <c r="L894" t="n">
        <v>0</v>
      </c>
      <c r="M894" t="n">
        <v>0</v>
      </c>
      <c r="N894" t="n">
        <v>0</v>
      </c>
      <c r="O894" t="n">
        <v>0</v>
      </c>
      <c r="P894" t="n">
        <v>0</v>
      </c>
      <c r="Q894" t="n">
        <v>0</v>
      </c>
      <c r="R894" s="2" t="inlineStr"/>
    </row>
    <row r="895" ht="15" customHeight="1">
      <c r="A895" t="inlineStr">
        <is>
          <t>A 28122-2025</t>
        </is>
      </c>
      <c r="B895" s="1" t="n">
        <v>45817</v>
      </c>
      <c r="C895" s="1" t="n">
        <v>46192</v>
      </c>
      <c r="D895" t="inlineStr">
        <is>
          <t>SKÅNE LÄN</t>
        </is>
      </c>
      <c r="E895" t="inlineStr">
        <is>
          <t>HÄSSLEHOLM</t>
        </is>
      </c>
      <c r="G895" t="n">
        <v>2.4</v>
      </c>
      <c r="H895" t="n">
        <v>0</v>
      </c>
      <c r="I895" t="n">
        <v>0</v>
      </c>
      <c r="J895" t="n">
        <v>0</v>
      </c>
      <c r="K895" t="n">
        <v>0</v>
      </c>
      <c r="L895" t="n">
        <v>0</v>
      </c>
      <c r="M895" t="n">
        <v>0</v>
      </c>
      <c r="N895" t="n">
        <v>0</v>
      </c>
      <c r="O895" t="n">
        <v>0</v>
      </c>
      <c r="P895" t="n">
        <v>0</v>
      </c>
      <c r="Q895" t="n">
        <v>0</v>
      </c>
      <c r="R895" s="2" t="inlineStr"/>
    </row>
    <row r="896" ht="15" customHeight="1">
      <c r="A896" t="inlineStr">
        <is>
          <t>A 27887-2025</t>
        </is>
      </c>
      <c r="B896" s="1" t="n">
        <v>45817</v>
      </c>
      <c r="C896" s="1" t="n">
        <v>46192</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49827-2022</t>
        </is>
      </c>
      <c r="B897" s="1" t="n">
        <v>44859</v>
      </c>
      <c r="C897" s="1" t="n">
        <v>46192</v>
      </c>
      <c r="D897" t="inlineStr">
        <is>
          <t>SKÅNE LÄN</t>
        </is>
      </c>
      <c r="E897" t="inlineStr">
        <is>
          <t>HÄSSLEHOLM</t>
        </is>
      </c>
      <c r="G897" t="n">
        <v>6.1</v>
      </c>
      <c r="H897" t="n">
        <v>0</v>
      </c>
      <c r="I897" t="n">
        <v>0</v>
      </c>
      <c r="J897" t="n">
        <v>0</v>
      </c>
      <c r="K897" t="n">
        <v>0</v>
      </c>
      <c r="L897" t="n">
        <v>0</v>
      </c>
      <c r="M897" t="n">
        <v>0</v>
      </c>
      <c r="N897" t="n">
        <v>0</v>
      </c>
      <c r="O897" t="n">
        <v>0</v>
      </c>
      <c r="P897" t="n">
        <v>0</v>
      </c>
      <c r="Q897" t="n">
        <v>0</v>
      </c>
      <c r="R897" s="2" t="inlineStr"/>
    </row>
    <row r="898" ht="15" customHeight="1">
      <c r="A898" t="inlineStr">
        <is>
          <t>A 60848-2022</t>
        </is>
      </c>
      <c r="B898" s="1" t="n">
        <v>44914</v>
      </c>
      <c r="C898" s="1" t="n">
        <v>46192</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6164-2023</t>
        </is>
      </c>
      <c r="B899" s="1" t="n">
        <v>44964</v>
      </c>
      <c r="C899" s="1" t="n">
        <v>46192</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29170-2025</t>
        </is>
      </c>
      <c r="B900" s="1" t="n">
        <v>45821</v>
      </c>
      <c r="C900" s="1" t="n">
        <v>46192</v>
      </c>
      <c r="D900" t="inlineStr">
        <is>
          <t>SKÅNE LÄN</t>
        </is>
      </c>
      <c r="E900" t="inlineStr">
        <is>
          <t>HÄSSLEHOLM</t>
        </is>
      </c>
      <c r="G900" t="n">
        <v>3.1</v>
      </c>
      <c r="H900" t="n">
        <v>0</v>
      </c>
      <c r="I900" t="n">
        <v>0</v>
      </c>
      <c r="J900" t="n">
        <v>0</v>
      </c>
      <c r="K900" t="n">
        <v>0</v>
      </c>
      <c r="L900" t="n">
        <v>0</v>
      </c>
      <c r="M900" t="n">
        <v>0</v>
      </c>
      <c r="N900" t="n">
        <v>0</v>
      </c>
      <c r="O900" t="n">
        <v>0</v>
      </c>
      <c r="P900" t="n">
        <v>0</v>
      </c>
      <c r="Q900" t="n">
        <v>0</v>
      </c>
      <c r="R900" s="2" t="inlineStr"/>
    </row>
    <row r="901" ht="15" customHeight="1">
      <c r="A901" t="inlineStr">
        <is>
          <t>A 23258-2026</t>
        </is>
      </c>
      <c r="B901" s="1" t="n">
        <v>46162</v>
      </c>
      <c r="C901" s="1" t="n">
        <v>46192</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23266-2026</t>
        </is>
      </c>
      <c r="B902" s="1" t="n">
        <v>46162</v>
      </c>
      <c r="C902" s="1" t="n">
        <v>46192</v>
      </c>
      <c r="D902" t="inlineStr">
        <is>
          <t>SKÅNE LÄN</t>
        </is>
      </c>
      <c r="E902" t="inlineStr">
        <is>
          <t>HÄSSLEHOLM</t>
        </is>
      </c>
      <c r="G902" t="n">
        <v>1.2</v>
      </c>
      <c r="H902" t="n">
        <v>0</v>
      </c>
      <c r="I902" t="n">
        <v>0</v>
      </c>
      <c r="J902" t="n">
        <v>0</v>
      </c>
      <c r="K902" t="n">
        <v>0</v>
      </c>
      <c r="L902" t="n">
        <v>0</v>
      </c>
      <c r="M902" t="n">
        <v>0</v>
      </c>
      <c r="N902" t="n">
        <v>0</v>
      </c>
      <c r="O902" t="n">
        <v>0</v>
      </c>
      <c r="P902" t="n">
        <v>0</v>
      </c>
      <c r="Q902" t="n">
        <v>0</v>
      </c>
      <c r="R902" s="2" t="inlineStr"/>
    </row>
    <row r="903" ht="15" customHeight="1">
      <c r="A903" t="inlineStr">
        <is>
          <t>A 23249-2026</t>
        </is>
      </c>
      <c r="B903" s="1" t="n">
        <v>46162</v>
      </c>
      <c r="C903" s="1" t="n">
        <v>46192</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23259-2026</t>
        </is>
      </c>
      <c r="B904" s="1" t="n">
        <v>46162</v>
      </c>
      <c r="C904" s="1" t="n">
        <v>46192</v>
      </c>
      <c r="D904" t="inlineStr">
        <is>
          <t>SKÅNE LÄN</t>
        </is>
      </c>
      <c r="E904" t="inlineStr">
        <is>
          <t>HÄSSLEHOLM</t>
        </is>
      </c>
      <c r="G904" t="n">
        <v>0.2</v>
      </c>
      <c r="H904" t="n">
        <v>0</v>
      </c>
      <c r="I904" t="n">
        <v>0</v>
      </c>
      <c r="J904" t="n">
        <v>0</v>
      </c>
      <c r="K904" t="n">
        <v>0</v>
      </c>
      <c r="L904" t="n">
        <v>0</v>
      </c>
      <c r="M904" t="n">
        <v>0</v>
      </c>
      <c r="N904" t="n">
        <v>0</v>
      </c>
      <c r="O904" t="n">
        <v>0</v>
      </c>
      <c r="P904" t="n">
        <v>0</v>
      </c>
      <c r="Q904" t="n">
        <v>0</v>
      </c>
      <c r="R904" s="2" t="inlineStr"/>
    </row>
    <row r="905" ht="15" customHeight="1">
      <c r="A905" t="inlineStr">
        <is>
          <t>A 29168-2025</t>
        </is>
      </c>
      <c r="B905" s="1" t="n">
        <v>45821</v>
      </c>
      <c r="C905" s="1" t="n">
        <v>46192</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23050-2026</t>
        </is>
      </c>
      <c r="B906" s="1" t="n">
        <v>46161</v>
      </c>
      <c r="C906" s="1" t="n">
        <v>46192</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45392-2024</t>
        </is>
      </c>
      <c r="B907" s="1" t="n">
        <v>45576</v>
      </c>
      <c r="C907" s="1" t="n">
        <v>46192</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16454-2023</t>
        </is>
      </c>
      <c r="B908" s="1" t="n">
        <v>45029</v>
      </c>
      <c r="C908" s="1" t="n">
        <v>46192</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23411-2026</t>
        </is>
      </c>
      <c r="B909" s="1" t="n">
        <v>46162</v>
      </c>
      <c r="C909" s="1" t="n">
        <v>46192</v>
      </c>
      <c r="D909" t="inlineStr">
        <is>
          <t>SKÅNE LÄN</t>
        </is>
      </c>
      <c r="E909" t="inlineStr">
        <is>
          <t>HÄSSLEHOLM</t>
        </is>
      </c>
      <c r="G909" t="n">
        <v>2.1</v>
      </c>
      <c r="H909" t="n">
        <v>0</v>
      </c>
      <c r="I909" t="n">
        <v>0</v>
      </c>
      <c r="J909" t="n">
        <v>0</v>
      </c>
      <c r="K909" t="n">
        <v>0</v>
      </c>
      <c r="L909" t="n">
        <v>0</v>
      </c>
      <c r="M909" t="n">
        <v>0</v>
      </c>
      <c r="N909" t="n">
        <v>0</v>
      </c>
      <c r="O909" t="n">
        <v>0</v>
      </c>
      <c r="P909" t="n">
        <v>0</v>
      </c>
      <c r="Q909" t="n">
        <v>0</v>
      </c>
      <c r="R909" s="2" t="inlineStr"/>
    </row>
    <row r="910" ht="15" customHeight="1">
      <c r="A910" t="inlineStr">
        <is>
          <t>A 23284-2026</t>
        </is>
      </c>
      <c r="B910" s="1" t="n">
        <v>46162</v>
      </c>
      <c r="C910" s="1" t="n">
        <v>46192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17335-2024</t>
        </is>
      </c>
      <c r="B911" s="1" t="n">
        <v>45414</v>
      </c>
      <c r="C911" s="1" t="n">
        <v>46192</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23265-2026</t>
        </is>
      </c>
      <c r="B912" s="1" t="n">
        <v>46162</v>
      </c>
      <c r="C912" s="1" t="n">
        <v>46192</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23378-2026</t>
        </is>
      </c>
      <c r="B913" s="1" t="n">
        <v>46162</v>
      </c>
      <c r="C913" s="1" t="n">
        <v>46192</v>
      </c>
      <c r="D913" t="inlineStr">
        <is>
          <t>SKÅNE LÄN</t>
        </is>
      </c>
      <c r="E913" t="inlineStr">
        <is>
          <t>HÄSSLEHOLM</t>
        </is>
      </c>
      <c r="G913" t="n">
        <v>5.3</v>
      </c>
      <c r="H913" t="n">
        <v>0</v>
      </c>
      <c r="I913" t="n">
        <v>0</v>
      </c>
      <c r="J913" t="n">
        <v>0</v>
      </c>
      <c r="K913" t="n">
        <v>0</v>
      </c>
      <c r="L913" t="n">
        <v>0</v>
      </c>
      <c r="M913" t="n">
        <v>0</v>
      </c>
      <c r="N913" t="n">
        <v>0</v>
      </c>
      <c r="O913" t="n">
        <v>0</v>
      </c>
      <c r="P913" t="n">
        <v>0</v>
      </c>
      <c r="Q913" t="n">
        <v>0</v>
      </c>
      <c r="R913" s="2" t="inlineStr"/>
    </row>
    <row r="914" ht="15" customHeight="1">
      <c r="A914" t="inlineStr">
        <is>
          <t>A 24246-2023</t>
        </is>
      </c>
      <c r="B914" s="1" t="n">
        <v>45079</v>
      </c>
      <c r="C914" s="1" t="n">
        <v>46192</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24249-2023</t>
        </is>
      </c>
      <c r="B915" s="1" t="n">
        <v>45079</v>
      </c>
      <c r="C915" s="1" t="n">
        <v>46192</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31989-2024</t>
        </is>
      </c>
      <c r="B916" s="1" t="n">
        <v>45510</v>
      </c>
      <c r="C916" s="1" t="n">
        <v>46192</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1120-2024</t>
        </is>
      </c>
      <c r="B917" s="1" t="n">
        <v>45302</v>
      </c>
      <c r="C917" s="1" t="n">
        <v>46192</v>
      </c>
      <c r="D917" t="inlineStr">
        <is>
          <t>SKÅNE LÄN</t>
        </is>
      </c>
      <c r="E917" t="inlineStr">
        <is>
          <t>HÄSSLEHOLM</t>
        </is>
      </c>
      <c r="G917" t="n">
        <v>2.7</v>
      </c>
      <c r="H917" t="n">
        <v>0</v>
      </c>
      <c r="I917" t="n">
        <v>0</v>
      </c>
      <c r="J917" t="n">
        <v>0</v>
      </c>
      <c r="K917" t="n">
        <v>0</v>
      </c>
      <c r="L917" t="n">
        <v>0</v>
      </c>
      <c r="M917" t="n">
        <v>0</v>
      </c>
      <c r="N917" t="n">
        <v>0</v>
      </c>
      <c r="O917" t="n">
        <v>0</v>
      </c>
      <c r="P917" t="n">
        <v>0</v>
      </c>
      <c r="Q917" t="n">
        <v>0</v>
      </c>
      <c r="R917" s="2" t="inlineStr"/>
    </row>
    <row r="918" ht="15" customHeight="1">
      <c r="A918" t="inlineStr">
        <is>
          <t>A 60973-2024</t>
        </is>
      </c>
      <c r="B918" s="1" t="n">
        <v>45644</v>
      </c>
      <c r="C918" s="1" t="n">
        <v>46192</v>
      </c>
      <c r="D918" t="inlineStr">
        <is>
          <t>SKÅNE LÄN</t>
        </is>
      </c>
      <c r="E918" t="inlineStr">
        <is>
          <t>HÄSSLEHOLM</t>
        </is>
      </c>
      <c r="G918" t="n">
        <v>3.6</v>
      </c>
      <c r="H918" t="n">
        <v>0</v>
      </c>
      <c r="I918" t="n">
        <v>0</v>
      </c>
      <c r="J918" t="n">
        <v>0</v>
      </c>
      <c r="K918" t="n">
        <v>0</v>
      </c>
      <c r="L918" t="n">
        <v>0</v>
      </c>
      <c r="M918" t="n">
        <v>0</v>
      </c>
      <c r="N918" t="n">
        <v>0</v>
      </c>
      <c r="O918" t="n">
        <v>0</v>
      </c>
      <c r="P918" t="n">
        <v>0</v>
      </c>
      <c r="Q918" t="n">
        <v>0</v>
      </c>
      <c r="R918" s="2" t="inlineStr"/>
    </row>
    <row r="919" ht="15" customHeight="1">
      <c r="A919" t="inlineStr">
        <is>
          <t>A 23283-2026</t>
        </is>
      </c>
      <c r="B919" s="1" t="n">
        <v>46162</v>
      </c>
      <c r="C919" s="1" t="n">
        <v>46192</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23285-2026</t>
        </is>
      </c>
      <c r="B920" s="1" t="n">
        <v>46162</v>
      </c>
      <c r="C920" s="1" t="n">
        <v>46192</v>
      </c>
      <c r="D920" t="inlineStr">
        <is>
          <t>SKÅNE LÄN</t>
        </is>
      </c>
      <c r="E920" t="inlineStr">
        <is>
          <t>HÄSSLEHOLM</t>
        </is>
      </c>
      <c r="G920" t="n">
        <v>0.4</v>
      </c>
      <c r="H920" t="n">
        <v>0</v>
      </c>
      <c r="I920" t="n">
        <v>0</v>
      </c>
      <c r="J920" t="n">
        <v>0</v>
      </c>
      <c r="K920" t="n">
        <v>0</v>
      </c>
      <c r="L920" t="n">
        <v>0</v>
      </c>
      <c r="M920" t="n">
        <v>0</v>
      </c>
      <c r="N920" t="n">
        <v>0</v>
      </c>
      <c r="O920" t="n">
        <v>0</v>
      </c>
      <c r="P920" t="n">
        <v>0</v>
      </c>
      <c r="Q920" t="n">
        <v>0</v>
      </c>
      <c r="R920" s="2" t="inlineStr"/>
    </row>
    <row r="921" ht="15" customHeight="1">
      <c r="A921" t="inlineStr">
        <is>
          <t>A 27478-2023</t>
        </is>
      </c>
      <c r="B921" s="1" t="n">
        <v>45092</v>
      </c>
      <c r="C921" s="1" t="n">
        <v>46192</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37898-2021</t>
        </is>
      </c>
      <c r="B922" s="1" t="n">
        <v>44403</v>
      </c>
      <c r="C922" s="1" t="n">
        <v>46192</v>
      </c>
      <c r="D922" t="inlineStr">
        <is>
          <t>SKÅNE LÄN</t>
        </is>
      </c>
      <c r="E922" t="inlineStr">
        <is>
          <t>HÄSSLEHOLM</t>
        </is>
      </c>
      <c r="F922" t="inlineStr">
        <is>
          <t>Kommuner</t>
        </is>
      </c>
      <c r="G922" t="n">
        <v>8.4</v>
      </c>
      <c r="H922" t="n">
        <v>0</v>
      </c>
      <c r="I922" t="n">
        <v>0</v>
      </c>
      <c r="J922" t="n">
        <v>0</v>
      </c>
      <c r="K922" t="n">
        <v>0</v>
      </c>
      <c r="L922" t="n">
        <v>0</v>
      </c>
      <c r="M922" t="n">
        <v>0</v>
      </c>
      <c r="N922" t="n">
        <v>0</v>
      </c>
      <c r="O922" t="n">
        <v>0</v>
      </c>
      <c r="P922" t="n">
        <v>0</v>
      </c>
      <c r="Q922" t="n">
        <v>0</v>
      </c>
      <c r="R922" s="2" t="inlineStr"/>
    </row>
    <row r="923" ht="15" customHeight="1">
      <c r="A923" t="inlineStr">
        <is>
          <t>A 32008-2024</t>
        </is>
      </c>
      <c r="B923" s="1" t="n">
        <v>45510</v>
      </c>
      <c r="C923" s="1" t="n">
        <v>46192</v>
      </c>
      <c r="D923" t="inlineStr">
        <is>
          <t>SKÅNE LÄN</t>
        </is>
      </c>
      <c r="E923" t="inlineStr">
        <is>
          <t>HÄSSLEHOLM</t>
        </is>
      </c>
      <c r="G923" t="n">
        <v>5.1</v>
      </c>
      <c r="H923" t="n">
        <v>0</v>
      </c>
      <c r="I923" t="n">
        <v>0</v>
      </c>
      <c r="J923" t="n">
        <v>0</v>
      </c>
      <c r="K923" t="n">
        <v>0</v>
      </c>
      <c r="L923" t="n">
        <v>0</v>
      </c>
      <c r="M923" t="n">
        <v>0</v>
      </c>
      <c r="N923" t="n">
        <v>0</v>
      </c>
      <c r="O923" t="n">
        <v>0</v>
      </c>
      <c r="P923" t="n">
        <v>0</v>
      </c>
      <c r="Q923" t="n">
        <v>0</v>
      </c>
      <c r="R923" s="2" t="inlineStr"/>
    </row>
    <row r="924" ht="15" customHeight="1">
      <c r="A924" t="inlineStr">
        <is>
          <t>A 26641-2023</t>
        </is>
      </c>
      <c r="B924" s="1" t="n">
        <v>45092</v>
      </c>
      <c r="C924" s="1" t="n">
        <v>46192</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31159-2025</t>
        </is>
      </c>
      <c r="B925" s="1" t="n">
        <v>45832</v>
      </c>
      <c r="C925" s="1" t="n">
        <v>46192</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16397-2022</t>
        </is>
      </c>
      <c r="B926" s="1" t="n">
        <v>44671</v>
      </c>
      <c r="C926" s="1" t="n">
        <v>46192</v>
      </c>
      <c r="D926" t="inlineStr">
        <is>
          <t>SKÅNE LÄN</t>
        </is>
      </c>
      <c r="E926" t="inlineStr">
        <is>
          <t>HÄSSLEHOLM</t>
        </is>
      </c>
      <c r="G926" t="n">
        <v>2.7</v>
      </c>
      <c r="H926" t="n">
        <v>0</v>
      </c>
      <c r="I926" t="n">
        <v>0</v>
      </c>
      <c r="J926" t="n">
        <v>0</v>
      </c>
      <c r="K926" t="n">
        <v>0</v>
      </c>
      <c r="L926" t="n">
        <v>0</v>
      </c>
      <c r="M926" t="n">
        <v>0</v>
      </c>
      <c r="N926" t="n">
        <v>0</v>
      </c>
      <c r="O926" t="n">
        <v>0</v>
      </c>
      <c r="P926" t="n">
        <v>0</v>
      </c>
      <c r="Q926" t="n">
        <v>0</v>
      </c>
      <c r="R926" s="2" t="inlineStr"/>
    </row>
    <row r="927" ht="15" customHeight="1">
      <c r="A927" t="inlineStr">
        <is>
          <t>A 16398-2022</t>
        </is>
      </c>
      <c r="B927" s="1" t="n">
        <v>44671</v>
      </c>
      <c r="C927" s="1" t="n">
        <v>46192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4512-2024</t>
        </is>
      </c>
      <c r="B928" s="1" t="n">
        <v>45327</v>
      </c>
      <c r="C928" s="1" t="n">
        <v>46192</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17835-2026</t>
        </is>
      </c>
      <c r="B929" s="1" t="n">
        <v>46121</v>
      </c>
      <c r="C929" s="1" t="n">
        <v>46192</v>
      </c>
      <c r="D929" t="inlineStr">
        <is>
          <t>SKÅNE LÄN</t>
        </is>
      </c>
      <c r="E929" t="inlineStr">
        <is>
          <t>HÄSSLEHOLM</t>
        </is>
      </c>
      <c r="G929" t="n">
        <v>12.6</v>
      </c>
      <c r="H929" t="n">
        <v>0</v>
      </c>
      <c r="I929" t="n">
        <v>0</v>
      </c>
      <c r="J929" t="n">
        <v>0</v>
      </c>
      <c r="K929" t="n">
        <v>0</v>
      </c>
      <c r="L929" t="n">
        <v>0</v>
      </c>
      <c r="M929" t="n">
        <v>0</v>
      </c>
      <c r="N929" t="n">
        <v>0</v>
      </c>
      <c r="O929" t="n">
        <v>0</v>
      </c>
      <c r="P929" t="n">
        <v>0</v>
      </c>
      <c r="Q929" t="n">
        <v>0</v>
      </c>
      <c r="R929" s="2" t="inlineStr"/>
    </row>
    <row r="930" ht="15" customHeight="1">
      <c r="A930" t="inlineStr">
        <is>
          <t>A 17844-2026</t>
        </is>
      </c>
      <c r="B930" s="1" t="n">
        <v>46121</v>
      </c>
      <c r="C930" s="1" t="n">
        <v>46192</v>
      </c>
      <c r="D930" t="inlineStr">
        <is>
          <t>SKÅNE LÄN</t>
        </is>
      </c>
      <c r="E930" t="inlineStr">
        <is>
          <t>HÄSSLEHOLM</t>
        </is>
      </c>
      <c r="G930" t="n">
        <v>3</v>
      </c>
      <c r="H930" t="n">
        <v>0</v>
      </c>
      <c r="I930" t="n">
        <v>0</v>
      </c>
      <c r="J930" t="n">
        <v>0</v>
      </c>
      <c r="K930" t="n">
        <v>0</v>
      </c>
      <c r="L930" t="n">
        <v>0</v>
      </c>
      <c r="M930" t="n">
        <v>0</v>
      </c>
      <c r="N930" t="n">
        <v>0</v>
      </c>
      <c r="O930" t="n">
        <v>0</v>
      </c>
      <c r="P930" t="n">
        <v>0</v>
      </c>
      <c r="Q930" t="n">
        <v>0</v>
      </c>
      <c r="R930" s="2" t="inlineStr"/>
    </row>
    <row r="931" ht="15" customHeight="1">
      <c r="A931" t="inlineStr">
        <is>
          <t>A 39044-2024</t>
        </is>
      </c>
      <c r="B931" s="1" t="n">
        <v>45548</v>
      </c>
      <c r="C931" s="1" t="n">
        <v>46192</v>
      </c>
      <c r="D931" t="inlineStr">
        <is>
          <t>SKÅNE LÄN</t>
        </is>
      </c>
      <c r="E931" t="inlineStr">
        <is>
          <t>HÄSSLEHOLM</t>
        </is>
      </c>
      <c r="G931" t="n">
        <v>2.8</v>
      </c>
      <c r="H931" t="n">
        <v>0</v>
      </c>
      <c r="I931" t="n">
        <v>0</v>
      </c>
      <c r="J931" t="n">
        <v>0</v>
      </c>
      <c r="K931" t="n">
        <v>0</v>
      </c>
      <c r="L931" t="n">
        <v>0</v>
      </c>
      <c r="M931" t="n">
        <v>0</v>
      </c>
      <c r="N931" t="n">
        <v>0</v>
      </c>
      <c r="O931" t="n">
        <v>0</v>
      </c>
      <c r="P931" t="n">
        <v>0</v>
      </c>
      <c r="Q931" t="n">
        <v>0</v>
      </c>
      <c r="R931" s="2" t="inlineStr"/>
    </row>
    <row r="932" ht="15" customHeight="1">
      <c r="A932" t="inlineStr">
        <is>
          <t>A 19020-2024</t>
        </is>
      </c>
      <c r="B932" s="1" t="n">
        <v>45427</v>
      </c>
      <c r="C932" s="1" t="n">
        <v>46192</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40734-2024</t>
        </is>
      </c>
      <c r="B933" s="1" t="n">
        <v>45558</v>
      </c>
      <c r="C933" s="1" t="n">
        <v>46192</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40738-2024</t>
        </is>
      </c>
      <c r="B934" s="1" t="n">
        <v>45558</v>
      </c>
      <c r="C934" s="1" t="n">
        <v>46192</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49199-2024</t>
        </is>
      </c>
      <c r="B935" s="1" t="n">
        <v>45595</v>
      </c>
      <c r="C935" s="1" t="n">
        <v>46192</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46192</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56986-2024</t>
        </is>
      </c>
      <c r="B937" s="1" t="n">
        <v>45626</v>
      </c>
      <c r="C937" s="1" t="n">
        <v>46192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46222-2022</t>
        </is>
      </c>
      <c r="B938" s="1" t="n">
        <v>44847</v>
      </c>
      <c r="C938" s="1" t="n">
        <v>46192</v>
      </c>
      <c r="D938" t="inlineStr">
        <is>
          <t>SKÅNE LÄN</t>
        </is>
      </c>
      <c r="E938" t="inlineStr">
        <is>
          <t>HÄSSLEHOLM</t>
        </is>
      </c>
      <c r="G938" t="n">
        <v>6.3</v>
      </c>
      <c r="H938" t="n">
        <v>0</v>
      </c>
      <c r="I938" t="n">
        <v>0</v>
      </c>
      <c r="J938" t="n">
        <v>0</v>
      </c>
      <c r="K938" t="n">
        <v>0</v>
      </c>
      <c r="L938" t="n">
        <v>0</v>
      </c>
      <c r="M938" t="n">
        <v>0</v>
      </c>
      <c r="N938" t="n">
        <v>0</v>
      </c>
      <c r="O938" t="n">
        <v>0</v>
      </c>
      <c r="P938" t="n">
        <v>0</v>
      </c>
      <c r="Q938" t="n">
        <v>0</v>
      </c>
      <c r="R938" s="2" t="inlineStr"/>
    </row>
    <row r="939" ht="15" customHeight="1">
      <c r="A939" t="inlineStr">
        <is>
          <t>A 2567-2024</t>
        </is>
      </c>
      <c r="B939" s="1" t="n">
        <v>45313</v>
      </c>
      <c r="C939" s="1" t="n">
        <v>46192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18398-2026</t>
        </is>
      </c>
      <c r="B940" s="1" t="n">
        <v>46126</v>
      </c>
      <c r="C940" s="1" t="n">
        <v>46192</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32585-2025</t>
        </is>
      </c>
      <c r="B941" s="1" t="n">
        <v>45838</v>
      </c>
      <c r="C941" s="1" t="n">
        <v>46192</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32592-2025</t>
        </is>
      </c>
      <c r="B942" s="1" t="n">
        <v>45838</v>
      </c>
      <c r="C942" s="1" t="n">
        <v>46192</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28632-2024</t>
        </is>
      </c>
      <c r="B943" s="1" t="n">
        <v>45478</v>
      </c>
      <c r="C943" s="1" t="n">
        <v>46192</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17996-2026</t>
        </is>
      </c>
      <c r="B944" s="1" t="n">
        <v>46124</v>
      </c>
      <c r="C944" s="1" t="n">
        <v>46192</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11708-2025</t>
        </is>
      </c>
      <c r="B945" s="1" t="n">
        <v>45727</v>
      </c>
      <c r="C945" s="1" t="n">
        <v>46192</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18484-2026</t>
        </is>
      </c>
      <c r="B946" s="1" t="n">
        <v>46126</v>
      </c>
      <c r="C946" s="1" t="n">
        <v>46192</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69357-2021</t>
        </is>
      </c>
      <c r="B947" s="1" t="n">
        <v>44531</v>
      </c>
      <c r="C947" s="1" t="n">
        <v>46192</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3855-2023</t>
        </is>
      </c>
      <c r="B948" s="1" t="n">
        <v>44951</v>
      </c>
      <c r="C948" s="1" t="n">
        <v>46192</v>
      </c>
      <c r="D948" t="inlineStr">
        <is>
          <t>SKÅNE LÄN</t>
        </is>
      </c>
      <c r="E948" t="inlineStr">
        <is>
          <t>HÄSSLEHOLM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33481-2024</t>
        </is>
      </c>
      <c r="B949" s="1" t="n">
        <v>45519</v>
      </c>
      <c r="C949" s="1" t="n">
        <v>46192</v>
      </c>
      <c r="D949" t="inlineStr">
        <is>
          <t>SKÅNE LÄN</t>
        </is>
      </c>
      <c r="E949" t="inlineStr">
        <is>
          <t>HÄSSLEHOLM</t>
        </is>
      </c>
      <c r="G949" t="n">
        <v>3</v>
      </c>
      <c r="H949" t="n">
        <v>0</v>
      </c>
      <c r="I949" t="n">
        <v>0</v>
      </c>
      <c r="J949" t="n">
        <v>0</v>
      </c>
      <c r="K949" t="n">
        <v>0</v>
      </c>
      <c r="L949" t="n">
        <v>0</v>
      </c>
      <c r="M949" t="n">
        <v>0</v>
      </c>
      <c r="N949" t="n">
        <v>0</v>
      </c>
      <c r="O949" t="n">
        <v>0</v>
      </c>
      <c r="P949" t="n">
        <v>0</v>
      </c>
      <c r="Q949" t="n">
        <v>0</v>
      </c>
      <c r="R949" s="2" t="inlineStr"/>
    </row>
    <row r="950" ht="15" customHeight="1">
      <c r="A950" t="inlineStr">
        <is>
          <t>A 1289-2024</t>
        </is>
      </c>
      <c r="B950" s="1" t="n">
        <v>45303</v>
      </c>
      <c r="C950" s="1" t="n">
        <v>46192</v>
      </c>
      <c r="D950" t="inlineStr">
        <is>
          <t>SKÅNE LÄN</t>
        </is>
      </c>
      <c r="E950" t="inlineStr">
        <is>
          <t>HÄSSLEHOLM</t>
        </is>
      </c>
      <c r="G950" t="n">
        <v>4.6</v>
      </c>
      <c r="H950" t="n">
        <v>0</v>
      </c>
      <c r="I950" t="n">
        <v>0</v>
      </c>
      <c r="J950" t="n">
        <v>0</v>
      </c>
      <c r="K950" t="n">
        <v>0</v>
      </c>
      <c r="L950" t="n">
        <v>0</v>
      </c>
      <c r="M950" t="n">
        <v>0</v>
      </c>
      <c r="N950" t="n">
        <v>0</v>
      </c>
      <c r="O950" t="n">
        <v>0</v>
      </c>
      <c r="P950" t="n">
        <v>0</v>
      </c>
      <c r="Q950" t="n">
        <v>0</v>
      </c>
      <c r="R950" s="2" t="inlineStr"/>
    </row>
    <row r="951" ht="15" customHeight="1">
      <c r="A951" t="inlineStr">
        <is>
          <t>A 24084-2026</t>
        </is>
      </c>
      <c r="B951" s="1" t="n">
        <v>46168</v>
      </c>
      <c r="C951" s="1" t="n">
        <v>46192</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33877-2025</t>
        </is>
      </c>
      <c r="B952" s="1" t="n">
        <v>45842</v>
      </c>
      <c r="C952" s="1" t="n">
        <v>46192</v>
      </c>
      <c r="D952" t="inlineStr">
        <is>
          <t>SKÅNE LÄN</t>
        </is>
      </c>
      <c r="E952" t="inlineStr">
        <is>
          <t>HÄSSLEHOLM</t>
        </is>
      </c>
      <c r="G952" t="n">
        <v>3.9</v>
      </c>
      <c r="H952" t="n">
        <v>0</v>
      </c>
      <c r="I952" t="n">
        <v>0</v>
      </c>
      <c r="J952" t="n">
        <v>0</v>
      </c>
      <c r="K952" t="n">
        <v>0</v>
      </c>
      <c r="L952" t="n">
        <v>0</v>
      </c>
      <c r="M952" t="n">
        <v>0</v>
      </c>
      <c r="N952" t="n">
        <v>0</v>
      </c>
      <c r="O952" t="n">
        <v>0</v>
      </c>
      <c r="P952" t="n">
        <v>0</v>
      </c>
      <c r="Q952" t="n">
        <v>0</v>
      </c>
      <c r="R952" s="2" t="inlineStr"/>
    </row>
    <row r="953" ht="15" customHeight="1">
      <c r="A953" t="inlineStr">
        <is>
          <t>A 54176-2022</t>
        </is>
      </c>
      <c r="B953" s="1" t="n">
        <v>44881</v>
      </c>
      <c r="C953" s="1" t="n">
        <v>46192</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33948-2025</t>
        </is>
      </c>
      <c r="B954" s="1" t="n">
        <v>45842</v>
      </c>
      <c r="C954" s="1" t="n">
        <v>46192</v>
      </c>
      <c r="D954" t="inlineStr">
        <is>
          <t>SKÅNE LÄN</t>
        </is>
      </c>
      <c r="E954" t="inlineStr">
        <is>
          <t>HÄSSLEHOLM</t>
        </is>
      </c>
      <c r="G954" t="n">
        <v>8.5</v>
      </c>
      <c r="H954" t="n">
        <v>0</v>
      </c>
      <c r="I954" t="n">
        <v>0</v>
      </c>
      <c r="J954" t="n">
        <v>0</v>
      </c>
      <c r="K954" t="n">
        <v>0</v>
      </c>
      <c r="L954" t="n">
        <v>0</v>
      </c>
      <c r="M954" t="n">
        <v>0</v>
      </c>
      <c r="N954" t="n">
        <v>0</v>
      </c>
      <c r="O954" t="n">
        <v>0</v>
      </c>
      <c r="P954" t="n">
        <v>0</v>
      </c>
      <c r="Q954" t="n">
        <v>0</v>
      </c>
      <c r="R954" s="2" t="inlineStr"/>
    </row>
    <row r="955" ht="15" customHeight="1">
      <c r="A955" t="inlineStr">
        <is>
          <t>A 7152-2025</t>
        </is>
      </c>
      <c r="B955" s="1" t="n">
        <v>45702</v>
      </c>
      <c r="C955" s="1" t="n">
        <v>46192</v>
      </c>
      <c r="D955" t="inlineStr">
        <is>
          <t>SKÅNE LÄN</t>
        </is>
      </c>
      <c r="E955" t="inlineStr">
        <is>
          <t>HÄSSLEHOLM</t>
        </is>
      </c>
      <c r="G955" t="n">
        <v>1.3</v>
      </c>
      <c r="H955" t="n">
        <v>0</v>
      </c>
      <c r="I955" t="n">
        <v>0</v>
      </c>
      <c r="J955" t="n">
        <v>0</v>
      </c>
      <c r="K955" t="n">
        <v>0</v>
      </c>
      <c r="L955" t="n">
        <v>0</v>
      </c>
      <c r="M955" t="n">
        <v>0</v>
      </c>
      <c r="N955" t="n">
        <v>0</v>
      </c>
      <c r="O955" t="n">
        <v>0</v>
      </c>
      <c r="P955" t="n">
        <v>0</v>
      </c>
      <c r="Q955" t="n">
        <v>0</v>
      </c>
      <c r="R955" s="2" t="inlineStr"/>
    </row>
    <row r="956" ht="15" customHeight="1">
      <c r="A956" t="inlineStr">
        <is>
          <t>A 7160-2025</t>
        </is>
      </c>
      <c r="B956" s="1" t="n">
        <v>45702</v>
      </c>
      <c r="C956" s="1" t="n">
        <v>46192</v>
      </c>
      <c r="D956" t="inlineStr">
        <is>
          <t>SKÅNE LÄN</t>
        </is>
      </c>
      <c r="E956" t="inlineStr">
        <is>
          <t>HÄSSLEHOLM</t>
        </is>
      </c>
      <c r="G956" t="n">
        <v>2.5</v>
      </c>
      <c r="H956" t="n">
        <v>0</v>
      </c>
      <c r="I956" t="n">
        <v>0</v>
      </c>
      <c r="J956" t="n">
        <v>0</v>
      </c>
      <c r="K956" t="n">
        <v>0</v>
      </c>
      <c r="L956" t="n">
        <v>0</v>
      </c>
      <c r="M956" t="n">
        <v>0</v>
      </c>
      <c r="N956" t="n">
        <v>0</v>
      </c>
      <c r="O956" t="n">
        <v>0</v>
      </c>
      <c r="P956" t="n">
        <v>0</v>
      </c>
      <c r="Q956" t="n">
        <v>0</v>
      </c>
      <c r="R956" s="2" t="inlineStr"/>
    </row>
    <row r="957" ht="15" customHeight="1">
      <c r="A957" t="inlineStr">
        <is>
          <t>A 32958-2023</t>
        </is>
      </c>
      <c r="B957" s="1" t="n">
        <v>45125</v>
      </c>
      <c r="C957" s="1" t="n">
        <v>46192</v>
      </c>
      <c r="D957" t="inlineStr">
        <is>
          <t>SKÅNE LÄN</t>
        </is>
      </c>
      <c r="E957" t="inlineStr">
        <is>
          <t>HÄSSLEHOLM</t>
        </is>
      </c>
      <c r="G957" t="n">
        <v>7.9</v>
      </c>
      <c r="H957" t="n">
        <v>0</v>
      </c>
      <c r="I957" t="n">
        <v>0</v>
      </c>
      <c r="J957" t="n">
        <v>0</v>
      </c>
      <c r="K957" t="n">
        <v>0</v>
      </c>
      <c r="L957" t="n">
        <v>0</v>
      </c>
      <c r="M957" t="n">
        <v>0</v>
      </c>
      <c r="N957" t="n">
        <v>0</v>
      </c>
      <c r="O957" t="n">
        <v>0</v>
      </c>
      <c r="P957" t="n">
        <v>0</v>
      </c>
      <c r="Q957" t="n">
        <v>0</v>
      </c>
      <c r="R957" s="2" t="inlineStr"/>
    </row>
    <row r="958" ht="15" customHeight="1">
      <c r="A958" t="inlineStr">
        <is>
          <t>A 27291-2023</t>
        </is>
      </c>
      <c r="B958" s="1" t="n">
        <v>45096</v>
      </c>
      <c r="C958" s="1" t="n">
        <v>46192</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34174-2025</t>
        </is>
      </c>
      <c r="B959" s="1" t="n">
        <v>45844</v>
      </c>
      <c r="C959" s="1" t="n">
        <v>46192</v>
      </c>
      <c r="D959" t="inlineStr">
        <is>
          <t>SKÅNE LÄN</t>
        </is>
      </c>
      <c r="E959" t="inlineStr">
        <is>
          <t>HÄSSLEHOLM</t>
        </is>
      </c>
      <c r="G959" t="n">
        <v>4.7</v>
      </c>
      <c r="H959" t="n">
        <v>0</v>
      </c>
      <c r="I959" t="n">
        <v>0</v>
      </c>
      <c r="J959" t="n">
        <v>0</v>
      </c>
      <c r="K959" t="n">
        <v>0</v>
      </c>
      <c r="L959" t="n">
        <v>0</v>
      </c>
      <c r="M959" t="n">
        <v>0</v>
      </c>
      <c r="N959" t="n">
        <v>0</v>
      </c>
      <c r="O959" t="n">
        <v>0</v>
      </c>
      <c r="P959" t="n">
        <v>0</v>
      </c>
      <c r="Q959" t="n">
        <v>0</v>
      </c>
      <c r="R959" s="2" t="inlineStr"/>
    </row>
    <row r="960" ht="15" customHeight="1">
      <c r="A960" t="inlineStr">
        <is>
          <t>A 34177-2025</t>
        </is>
      </c>
      <c r="B960" s="1" t="n">
        <v>45844</v>
      </c>
      <c r="C960" s="1" t="n">
        <v>46192</v>
      </c>
      <c r="D960" t="inlineStr">
        <is>
          <t>SKÅNE LÄN</t>
        </is>
      </c>
      <c r="E960" t="inlineStr">
        <is>
          <t>HÄSSLEHOLM</t>
        </is>
      </c>
      <c r="G960" t="n">
        <v>3</v>
      </c>
      <c r="H960" t="n">
        <v>0</v>
      </c>
      <c r="I960" t="n">
        <v>0</v>
      </c>
      <c r="J960" t="n">
        <v>0</v>
      </c>
      <c r="K960" t="n">
        <v>0</v>
      </c>
      <c r="L960" t="n">
        <v>0</v>
      </c>
      <c r="M960" t="n">
        <v>0</v>
      </c>
      <c r="N960" t="n">
        <v>0</v>
      </c>
      <c r="O960" t="n">
        <v>0</v>
      </c>
      <c r="P960" t="n">
        <v>0</v>
      </c>
      <c r="Q960" t="n">
        <v>0</v>
      </c>
      <c r="R960" s="2" t="inlineStr"/>
    </row>
    <row r="961" ht="15" customHeight="1">
      <c r="A961" t="inlineStr">
        <is>
          <t>A 33950-2025</t>
        </is>
      </c>
      <c r="B961" s="1" t="n">
        <v>45842</v>
      </c>
      <c r="C961" s="1" t="n">
        <v>46192</v>
      </c>
      <c r="D961" t="inlineStr">
        <is>
          <t>SKÅNE LÄN</t>
        </is>
      </c>
      <c r="E961" t="inlineStr">
        <is>
          <t>HÄSSLEHOLM</t>
        </is>
      </c>
      <c r="G961" t="n">
        <v>5.7</v>
      </c>
      <c r="H961" t="n">
        <v>0</v>
      </c>
      <c r="I961" t="n">
        <v>0</v>
      </c>
      <c r="J961" t="n">
        <v>0</v>
      </c>
      <c r="K961" t="n">
        <v>0</v>
      </c>
      <c r="L961" t="n">
        <v>0</v>
      </c>
      <c r="M961" t="n">
        <v>0</v>
      </c>
      <c r="N961" t="n">
        <v>0</v>
      </c>
      <c r="O961" t="n">
        <v>0</v>
      </c>
      <c r="P961" t="n">
        <v>0</v>
      </c>
      <c r="Q961" t="n">
        <v>0</v>
      </c>
      <c r="R961" s="2" t="inlineStr"/>
    </row>
    <row r="962" ht="15" customHeight="1">
      <c r="A962" t="inlineStr">
        <is>
          <t>A 441-2022</t>
        </is>
      </c>
      <c r="B962" s="1" t="n">
        <v>44565</v>
      </c>
      <c r="C962" s="1" t="n">
        <v>46192</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5887-2025</t>
        </is>
      </c>
      <c r="B963" s="1" t="n">
        <v>45695</v>
      </c>
      <c r="C963" s="1" t="n">
        <v>46192</v>
      </c>
      <c r="D963" t="inlineStr">
        <is>
          <t>SKÅNE LÄN</t>
        </is>
      </c>
      <c r="E963" t="inlineStr">
        <is>
          <t>HÄSSLEHOLM</t>
        </is>
      </c>
      <c r="G963" t="n">
        <v>4.8</v>
      </c>
      <c r="H963" t="n">
        <v>0</v>
      </c>
      <c r="I963" t="n">
        <v>0</v>
      </c>
      <c r="J963" t="n">
        <v>0</v>
      </c>
      <c r="K963" t="n">
        <v>0</v>
      </c>
      <c r="L963" t="n">
        <v>0</v>
      </c>
      <c r="M963" t="n">
        <v>0</v>
      </c>
      <c r="N963" t="n">
        <v>0</v>
      </c>
      <c r="O963" t="n">
        <v>0</v>
      </c>
      <c r="P963" t="n">
        <v>0</v>
      </c>
      <c r="Q963" t="n">
        <v>0</v>
      </c>
      <c r="R963" s="2" t="inlineStr"/>
    </row>
    <row r="964" ht="15" customHeight="1">
      <c r="A964" t="inlineStr">
        <is>
          <t>A 18483-2026</t>
        </is>
      </c>
      <c r="B964" s="1" t="n">
        <v>46127</v>
      </c>
      <c r="C964" s="1" t="n">
        <v>46192</v>
      </c>
      <c r="D964" t="inlineStr">
        <is>
          <t>SKÅNE LÄN</t>
        </is>
      </c>
      <c r="E964" t="inlineStr">
        <is>
          <t>HÄSSLEHOLM</t>
        </is>
      </c>
      <c r="G964" t="n">
        <v>2.9</v>
      </c>
      <c r="H964" t="n">
        <v>0</v>
      </c>
      <c r="I964" t="n">
        <v>0</v>
      </c>
      <c r="J964" t="n">
        <v>0</v>
      </c>
      <c r="K964" t="n">
        <v>0</v>
      </c>
      <c r="L964" t="n">
        <v>0</v>
      </c>
      <c r="M964" t="n">
        <v>0</v>
      </c>
      <c r="N964" t="n">
        <v>0</v>
      </c>
      <c r="O964" t="n">
        <v>0</v>
      </c>
      <c r="P964" t="n">
        <v>0</v>
      </c>
      <c r="Q964" t="n">
        <v>0</v>
      </c>
      <c r="R964" s="2" t="inlineStr"/>
    </row>
    <row r="965" ht="15" customHeight="1">
      <c r="A965" t="inlineStr">
        <is>
          <t>A 14981-2026</t>
        </is>
      </c>
      <c r="B965" s="1" t="n">
        <v>46104</v>
      </c>
      <c r="C965" s="1" t="n">
        <v>46192</v>
      </c>
      <c r="D965" t="inlineStr">
        <is>
          <t>SKÅNE LÄN</t>
        </is>
      </c>
      <c r="E965" t="inlineStr">
        <is>
          <t>HÄSSLEHOLM</t>
        </is>
      </c>
      <c r="G965" t="n">
        <v>7.7</v>
      </c>
      <c r="H965" t="n">
        <v>0</v>
      </c>
      <c r="I965" t="n">
        <v>0</v>
      </c>
      <c r="J965" t="n">
        <v>0</v>
      </c>
      <c r="K965" t="n">
        <v>0</v>
      </c>
      <c r="L965" t="n">
        <v>0</v>
      </c>
      <c r="M965" t="n">
        <v>0</v>
      </c>
      <c r="N965" t="n">
        <v>0</v>
      </c>
      <c r="O965" t="n">
        <v>0</v>
      </c>
      <c r="P965" t="n">
        <v>0</v>
      </c>
      <c r="Q965" t="n">
        <v>0</v>
      </c>
      <c r="R965" s="2" t="inlineStr"/>
    </row>
    <row r="966" ht="15" customHeight="1">
      <c r="A966" t="inlineStr">
        <is>
          <t>A 34869-2025</t>
        </is>
      </c>
      <c r="B966" s="1" t="n">
        <v>45849</v>
      </c>
      <c r="C966" s="1" t="n">
        <v>46192</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54874-2022</t>
        </is>
      </c>
      <c r="B967" s="1" t="n">
        <v>44881</v>
      </c>
      <c r="C967" s="1" t="n">
        <v>46192</v>
      </c>
      <c r="D967" t="inlineStr">
        <is>
          <t>SKÅNE LÄN</t>
        </is>
      </c>
      <c r="E967" t="inlineStr">
        <is>
          <t>HÄSSLEHOLM</t>
        </is>
      </c>
      <c r="G967" t="n">
        <v>8.1</v>
      </c>
      <c r="H967" t="n">
        <v>0</v>
      </c>
      <c r="I967" t="n">
        <v>0</v>
      </c>
      <c r="J967" t="n">
        <v>0</v>
      </c>
      <c r="K967" t="n">
        <v>0</v>
      </c>
      <c r="L967" t="n">
        <v>0</v>
      </c>
      <c r="M967" t="n">
        <v>0</v>
      </c>
      <c r="N967" t="n">
        <v>0</v>
      </c>
      <c r="O967" t="n">
        <v>0</v>
      </c>
      <c r="P967" t="n">
        <v>0</v>
      </c>
      <c r="Q967" t="n">
        <v>0</v>
      </c>
      <c r="R967" s="2" t="inlineStr"/>
    </row>
    <row r="968" ht="15" customHeight="1">
      <c r="A968" t="inlineStr">
        <is>
          <t>A 17152-2025</t>
        </is>
      </c>
      <c r="B968" s="1" t="n">
        <v>45756</v>
      </c>
      <c r="C968" s="1" t="n">
        <v>46192</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34301-2024</t>
        </is>
      </c>
      <c r="B969" s="1" t="n">
        <v>45524</v>
      </c>
      <c r="C969" s="1" t="n">
        <v>46192</v>
      </c>
      <c r="D969" t="inlineStr">
        <is>
          <t>SKÅNE LÄN</t>
        </is>
      </c>
      <c r="E969" t="inlineStr">
        <is>
          <t>HÄSSLEHOLM</t>
        </is>
      </c>
      <c r="G969" t="n">
        <v>0.4</v>
      </c>
      <c r="H969" t="n">
        <v>0</v>
      </c>
      <c r="I969" t="n">
        <v>0</v>
      </c>
      <c r="J969" t="n">
        <v>0</v>
      </c>
      <c r="K969" t="n">
        <v>0</v>
      </c>
      <c r="L969" t="n">
        <v>0</v>
      </c>
      <c r="M969" t="n">
        <v>0</v>
      </c>
      <c r="N969" t="n">
        <v>0</v>
      </c>
      <c r="O969" t="n">
        <v>0</v>
      </c>
      <c r="P969" t="n">
        <v>0</v>
      </c>
      <c r="Q969" t="n">
        <v>0</v>
      </c>
      <c r="R969" s="2" t="inlineStr"/>
    </row>
    <row r="970" ht="15" customHeight="1">
      <c r="A970" t="inlineStr">
        <is>
          <t>A 20970-2025</t>
        </is>
      </c>
      <c r="B970" s="1" t="n">
        <v>45777</v>
      </c>
      <c r="C970" s="1" t="n">
        <v>46192</v>
      </c>
      <c r="D970" t="inlineStr">
        <is>
          <t>SKÅNE LÄN</t>
        </is>
      </c>
      <c r="E970" t="inlineStr">
        <is>
          <t>HÄSSLEHOLM</t>
        </is>
      </c>
      <c r="G970" t="n">
        <v>2.2</v>
      </c>
      <c r="H970" t="n">
        <v>0</v>
      </c>
      <c r="I970" t="n">
        <v>0</v>
      </c>
      <c r="J970" t="n">
        <v>0</v>
      </c>
      <c r="K970" t="n">
        <v>0</v>
      </c>
      <c r="L970" t="n">
        <v>0</v>
      </c>
      <c r="M970" t="n">
        <v>0</v>
      </c>
      <c r="N970" t="n">
        <v>0</v>
      </c>
      <c r="O970" t="n">
        <v>0</v>
      </c>
      <c r="P970" t="n">
        <v>0</v>
      </c>
      <c r="Q970" t="n">
        <v>0</v>
      </c>
      <c r="R970" s="2" t="inlineStr"/>
    </row>
    <row r="971" ht="15" customHeight="1">
      <c r="A971" t="inlineStr">
        <is>
          <t>A 61158-2022</t>
        </is>
      </c>
      <c r="B971" s="1" t="n">
        <v>44915</v>
      </c>
      <c r="C971" s="1" t="n">
        <v>46192</v>
      </c>
      <c r="D971" t="inlineStr">
        <is>
          <t>SKÅNE LÄN</t>
        </is>
      </c>
      <c r="E971" t="inlineStr">
        <is>
          <t>HÄSSLEHOLM</t>
        </is>
      </c>
      <c r="G971" t="n">
        <v>8.4</v>
      </c>
      <c r="H971" t="n">
        <v>0</v>
      </c>
      <c r="I971" t="n">
        <v>0</v>
      </c>
      <c r="J971" t="n">
        <v>0</v>
      </c>
      <c r="K971" t="n">
        <v>0</v>
      </c>
      <c r="L971" t="n">
        <v>0</v>
      </c>
      <c r="M971" t="n">
        <v>0</v>
      </c>
      <c r="N971" t="n">
        <v>0</v>
      </c>
      <c r="O971" t="n">
        <v>0</v>
      </c>
      <c r="P971" t="n">
        <v>0</v>
      </c>
      <c r="Q971" t="n">
        <v>0</v>
      </c>
      <c r="R971" s="2" t="inlineStr"/>
    </row>
    <row r="972" ht="15" customHeight="1">
      <c r="A972" t="inlineStr">
        <is>
          <t>A 61186-2022</t>
        </is>
      </c>
      <c r="B972" s="1" t="n">
        <v>44915</v>
      </c>
      <c r="C972" s="1" t="n">
        <v>46192</v>
      </c>
      <c r="D972" t="inlineStr">
        <is>
          <t>SKÅNE LÄN</t>
        </is>
      </c>
      <c r="E972" t="inlineStr">
        <is>
          <t>HÄSSLEHOLM</t>
        </is>
      </c>
      <c r="G972" t="n">
        <v>2.9</v>
      </c>
      <c r="H972" t="n">
        <v>0</v>
      </c>
      <c r="I972" t="n">
        <v>0</v>
      </c>
      <c r="J972" t="n">
        <v>0</v>
      </c>
      <c r="K972" t="n">
        <v>0</v>
      </c>
      <c r="L972" t="n">
        <v>0</v>
      </c>
      <c r="M972" t="n">
        <v>0</v>
      </c>
      <c r="N972" t="n">
        <v>0</v>
      </c>
      <c r="O972" t="n">
        <v>0</v>
      </c>
      <c r="P972" t="n">
        <v>0</v>
      </c>
      <c r="Q972" t="n">
        <v>0</v>
      </c>
      <c r="R972" s="2" t="inlineStr"/>
    </row>
    <row r="973" ht="15" customHeight="1">
      <c r="A973" t="inlineStr">
        <is>
          <t>A 17413-2025</t>
        </is>
      </c>
      <c r="B973" s="1" t="n">
        <v>45757</v>
      </c>
      <c r="C973" s="1" t="n">
        <v>46192</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25145-2026</t>
        </is>
      </c>
      <c r="B974" s="1" t="n">
        <v>46175</v>
      </c>
      <c r="C974" s="1" t="n">
        <v>46192</v>
      </c>
      <c r="D974" t="inlineStr">
        <is>
          <t>SKÅNE LÄN</t>
        </is>
      </c>
      <c r="E974" t="inlineStr">
        <is>
          <t>HÄSSLEHOLM</t>
        </is>
      </c>
      <c r="G974" t="n">
        <v>5.1</v>
      </c>
      <c r="H974" t="n">
        <v>0</v>
      </c>
      <c r="I974" t="n">
        <v>0</v>
      </c>
      <c r="J974" t="n">
        <v>0</v>
      </c>
      <c r="K974" t="n">
        <v>0</v>
      </c>
      <c r="L974" t="n">
        <v>0</v>
      </c>
      <c r="M974" t="n">
        <v>0</v>
      </c>
      <c r="N974" t="n">
        <v>0</v>
      </c>
      <c r="O974" t="n">
        <v>0</v>
      </c>
      <c r="P974" t="n">
        <v>0</v>
      </c>
      <c r="Q974" t="n">
        <v>0</v>
      </c>
      <c r="R974" s="2" t="inlineStr"/>
    </row>
    <row r="975" ht="15" customHeight="1">
      <c r="A975" t="inlineStr">
        <is>
          <t>A 33465-2024</t>
        </is>
      </c>
      <c r="B975" s="1" t="n">
        <v>45519</v>
      </c>
      <c r="C975" s="1" t="n">
        <v>46192</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24990-2026</t>
        </is>
      </c>
      <c r="B976" s="1" t="n">
        <v>46174</v>
      </c>
      <c r="C976" s="1" t="n">
        <v>46192</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19318-2026</t>
        </is>
      </c>
      <c r="B977" s="1" t="n">
        <v>46133</v>
      </c>
      <c r="C977" s="1" t="n">
        <v>46192</v>
      </c>
      <c r="D977" t="inlineStr">
        <is>
          <t>SKÅNE LÄN</t>
        </is>
      </c>
      <c r="E977" t="inlineStr">
        <is>
          <t>HÄSSLEHOLM</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26642-2023</t>
        </is>
      </c>
      <c r="B978" s="1" t="n">
        <v>45092</v>
      </c>
      <c r="C978" s="1" t="n">
        <v>46192</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62417-2025</t>
        </is>
      </c>
      <c r="B979" s="1" t="n">
        <v>46007</v>
      </c>
      <c r="C979" s="1" t="n">
        <v>46192</v>
      </c>
      <c r="D979" t="inlineStr">
        <is>
          <t>SKÅNE LÄN</t>
        </is>
      </c>
      <c r="E979" t="inlineStr">
        <is>
          <t>HÄSSLEHOLM</t>
        </is>
      </c>
      <c r="G979" t="n">
        <v>2</v>
      </c>
      <c r="H979" t="n">
        <v>0</v>
      </c>
      <c r="I979" t="n">
        <v>0</v>
      </c>
      <c r="J979" t="n">
        <v>0</v>
      </c>
      <c r="K979" t="n">
        <v>0</v>
      </c>
      <c r="L979" t="n">
        <v>0</v>
      </c>
      <c r="M979" t="n">
        <v>0</v>
      </c>
      <c r="N979" t="n">
        <v>0</v>
      </c>
      <c r="O979" t="n">
        <v>0</v>
      </c>
      <c r="P979" t="n">
        <v>0</v>
      </c>
      <c r="Q979" t="n">
        <v>0</v>
      </c>
      <c r="R979" s="2" t="inlineStr"/>
    </row>
    <row r="980" ht="15" customHeight="1">
      <c r="A980" t="inlineStr">
        <is>
          <t>A 19666-2025</t>
        </is>
      </c>
      <c r="B980" s="1" t="n">
        <v>45770</v>
      </c>
      <c r="C980" s="1" t="n">
        <v>46192</v>
      </c>
      <c r="D980" t="inlineStr">
        <is>
          <t>SKÅNE LÄN</t>
        </is>
      </c>
      <c r="E980" t="inlineStr">
        <is>
          <t>HÄSSLEHOLM</t>
        </is>
      </c>
      <c r="G980" t="n">
        <v>2.4</v>
      </c>
      <c r="H980" t="n">
        <v>0</v>
      </c>
      <c r="I980" t="n">
        <v>0</v>
      </c>
      <c r="J980" t="n">
        <v>0</v>
      </c>
      <c r="K980" t="n">
        <v>0</v>
      </c>
      <c r="L980" t="n">
        <v>0</v>
      </c>
      <c r="M980" t="n">
        <v>0</v>
      </c>
      <c r="N980" t="n">
        <v>0</v>
      </c>
      <c r="O980" t="n">
        <v>0</v>
      </c>
      <c r="P980" t="n">
        <v>0</v>
      </c>
      <c r="Q980" t="n">
        <v>0</v>
      </c>
      <c r="R980" s="2" t="inlineStr"/>
    </row>
    <row r="981" ht="15" customHeight="1">
      <c r="A981" t="inlineStr">
        <is>
          <t>A 36359-2025</t>
        </is>
      </c>
      <c r="B981" s="1" t="n">
        <v>45867</v>
      </c>
      <c r="C981" s="1" t="n">
        <v>46192</v>
      </c>
      <c r="D981" t="inlineStr">
        <is>
          <t>SKÅNE LÄN</t>
        </is>
      </c>
      <c r="E981" t="inlineStr">
        <is>
          <t>HÄSSLEHOLM</t>
        </is>
      </c>
      <c r="G981" t="n">
        <v>2.2</v>
      </c>
      <c r="H981" t="n">
        <v>0</v>
      </c>
      <c r="I981" t="n">
        <v>0</v>
      </c>
      <c r="J981" t="n">
        <v>0</v>
      </c>
      <c r="K981" t="n">
        <v>0</v>
      </c>
      <c r="L981" t="n">
        <v>0</v>
      </c>
      <c r="M981" t="n">
        <v>0</v>
      </c>
      <c r="N981" t="n">
        <v>0</v>
      </c>
      <c r="O981" t="n">
        <v>0</v>
      </c>
      <c r="P981" t="n">
        <v>0</v>
      </c>
      <c r="Q981" t="n">
        <v>0</v>
      </c>
      <c r="R981" s="2" t="inlineStr"/>
    </row>
    <row r="982" ht="15" customHeight="1">
      <c r="A982" t="inlineStr">
        <is>
          <t>A 25141-2026</t>
        </is>
      </c>
      <c r="B982" s="1" t="n">
        <v>46175</v>
      </c>
      <c r="C982" s="1" t="n">
        <v>46192</v>
      </c>
      <c r="D982" t="inlineStr">
        <is>
          <t>SKÅNE LÄN</t>
        </is>
      </c>
      <c r="E982" t="inlineStr">
        <is>
          <t>HÄSSLEHOLM</t>
        </is>
      </c>
      <c r="G982" t="n">
        <v>5</v>
      </c>
      <c r="H982" t="n">
        <v>0</v>
      </c>
      <c r="I982" t="n">
        <v>0</v>
      </c>
      <c r="J982" t="n">
        <v>0</v>
      </c>
      <c r="K982" t="n">
        <v>0</v>
      </c>
      <c r="L982" t="n">
        <v>0</v>
      </c>
      <c r="M982" t="n">
        <v>0</v>
      </c>
      <c r="N982" t="n">
        <v>0</v>
      </c>
      <c r="O982" t="n">
        <v>0</v>
      </c>
      <c r="P982" t="n">
        <v>0</v>
      </c>
      <c r="Q982" t="n">
        <v>0</v>
      </c>
      <c r="R982" s="2" t="inlineStr"/>
    </row>
    <row r="983" ht="15" customHeight="1">
      <c r="A983" t="inlineStr">
        <is>
          <t>A 19003-2026</t>
        </is>
      </c>
      <c r="B983" s="1" t="n">
        <v>46129</v>
      </c>
      <c r="C983" s="1" t="n">
        <v>46192</v>
      </c>
      <c r="D983" t="inlineStr">
        <is>
          <t>SKÅNE LÄN</t>
        </is>
      </c>
      <c r="E983" t="inlineStr">
        <is>
          <t>HÄSSLEHOLM</t>
        </is>
      </c>
      <c r="G983" t="n">
        <v>9</v>
      </c>
      <c r="H983" t="n">
        <v>0</v>
      </c>
      <c r="I983" t="n">
        <v>0</v>
      </c>
      <c r="J983" t="n">
        <v>0</v>
      </c>
      <c r="K983" t="n">
        <v>0</v>
      </c>
      <c r="L983" t="n">
        <v>0</v>
      </c>
      <c r="M983" t="n">
        <v>0</v>
      </c>
      <c r="N983" t="n">
        <v>0</v>
      </c>
      <c r="O983" t="n">
        <v>0</v>
      </c>
      <c r="P983" t="n">
        <v>0</v>
      </c>
      <c r="Q983" t="n">
        <v>0</v>
      </c>
      <c r="R983" s="2" t="inlineStr"/>
    </row>
    <row r="984" ht="15" customHeight="1">
      <c r="A984" t="inlineStr">
        <is>
          <t>A 25086-2026</t>
        </is>
      </c>
      <c r="B984" s="1" t="n">
        <v>46175</v>
      </c>
      <c r="C984" s="1" t="n">
        <v>46192</v>
      </c>
      <c r="D984" t="inlineStr">
        <is>
          <t>SKÅNE LÄN</t>
        </is>
      </c>
      <c r="E984" t="inlineStr">
        <is>
          <t>HÄSSLEHOLM</t>
        </is>
      </c>
      <c r="G984" t="n">
        <v>4</v>
      </c>
      <c r="H984" t="n">
        <v>0</v>
      </c>
      <c r="I984" t="n">
        <v>0</v>
      </c>
      <c r="J984" t="n">
        <v>0</v>
      </c>
      <c r="K984" t="n">
        <v>0</v>
      </c>
      <c r="L984" t="n">
        <v>0</v>
      </c>
      <c r="M984" t="n">
        <v>0</v>
      </c>
      <c r="N984" t="n">
        <v>0</v>
      </c>
      <c r="O984" t="n">
        <v>0</v>
      </c>
      <c r="P984" t="n">
        <v>0</v>
      </c>
      <c r="Q984" t="n">
        <v>0</v>
      </c>
      <c r="R984" s="2" t="inlineStr"/>
    </row>
    <row r="985" ht="15" customHeight="1">
      <c r="A985" t="inlineStr">
        <is>
          <t>A 25144-2026</t>
        </is>
      </c>
      <c r="B985" s="1" t="n">
        <v>46175</v>
      </c>
      <c r="C985" s="1" t="n">
        <v>46192</v>
      </c>
      <c r="D985" t="inlineStr">
        <is>
          <t>SKÅNE LÄN</t>
        </is>
      </c>
      <c r="E985" t="inlineStr">
        <is>
          <t>HÄSSLEHOLM</t>
        </is>
      </c>
      <c r="G985" t="n">
        <v>4</v>
      </c>
      <c r="H985" t="n">
        <v>0</v>
      </c>
      <c r="I985" t="n">
        <v>0</v>
      </c>
      <c r="J985" t="n">
        <v>0</v>
      </c>
      <c r="K985" t="n">
        <v>0</v>
      </c>
      <c r="L985" t="n">
        <v>0</v>
      </c>
      <c r="M985" t="n">
        <v>0</v>
      </c>
      <c r="N985" t="n">
        <v>0</v>
      </c>
      <c r="O985" t="n">
        <v>0</v>
      </c>
      <c r="P985" t="n">
        <v>0</v>
      </c>
      <c r="Q985" t="n">
        <v>0</v>
      </c>
      <c r="R985" s="2" t="inlineStr"/>
    </row>
    <row r="986" ht="15" customHeight="1">
      <c r="A986" t="inlineStr">
        <is>
          <t>A 19101-2026</t>
        </is>
      </c>
      <c r="B986" s="1" t="n">
        <v>46132</v>
      </c>
      <c r="C986" s="1" t="n">
        <v>46192</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8209-2025</t>
        </is>
      </c>
      <c r="B987" s="1" t="n">
        <v>45708</v>
      </c>
      <c r="C987" s="1" t="n">
        <v>46192</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66321-2021</t>
        </is>
      </c>
      <c r="B988" s="1" t="n">
        <v>44518</v>
      </c>
      <c r="C988" s="1" t="n">
        <v>46192</v>
      </c>
      <c r="D988" t="inlineStr">
        <is>
          <t>SKÅNE LÄN</t>
        </is>
      </c>
      <c r="E988" t="inlineStr">
        <is>
          <t>HÄSSLEHOLM</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16668-2025</t>
        </is>
      </c>
      <c r="B989" s="1" t="n">
        <v>45754</v>
      </c>
      <c r="C989" s="1" t="n">
        <v>46192</v>
      </c>
      <c r="D989" t="inlineStr">
        <is>
          <t>SKÅNE LÄN</t>
        </is>
      </c>
      <c r="E989" t="inlineStr">
        <is>
          <t>HÄSSLEHOLM</t>
        </is>
      </c>
      <c r="G989" t="n">
        <v>4</v>
      </c>
      <c r="H989" t="n">
        <v>0</v>
      </c>
      <c r="I989" t="n">
        <v>0</v>
      </c>
      <c r="J989" t="n">
        <v>0</v>
      </c>
      <c r="K989" t="n">
        <v>0</v>
      </c>
      <c r="L989" t="n">
        <v>0</v>
      </c>
      <c r="M989" t="n">
        <v>0</v>
      </c>
      <c r="N989" t="n">
        <v>0</v>
      </c>
      <c r="O989" t="n">
        <v>0</v>
      </c>
      <c r="P989" t="n">
        <v>0</v>
      </c>
      <c r="Q989" t="n">
        <v>0</v>
      </c>
      <c r="R989" s="2" t="inlineStr"/>
    </row>
    <row r="990" ht="15" customHeight="1">
      <c r="A990" t="inlineStr">
        <is>
          <t>A 31268-2024</t>
        </is>
      </c>
      <c r="B990" s="1" t="n">
        <v>45504</v>
      </c>
      <c r="C990" s="1" t="n">
        <v>46192</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51287-2022</t>
        </is>
      </c>
      <c r="B991" s="1" t="n">
        <v>44868</v>
      </c>
      <c r="C991" s="1" t="n">
        <v>46192</v>
      </c>
      <c r="D991" t="inlineStr">
        <is>
          <t>SKÅNE LÄN</t>
        </is>
      </c>
      <c r="E991" t="inlineStr">
        <is>
          <t>HÄSSLEHOLM</t>
        </is>
      </c>
      <c r="G991" t="n">
        <v>2.2</v>
      </c>
      <c r="H991" t="n">
        <v>0</v>
      </c>
      <c r="I991" t="n">
        <v>0</v>
      </c>
      <c r="J991" t="n">
        <v>0</v>
      </c>
      <c r="K991" t="n">
        <v>0</v>
      </c>
      <c r="L991" t="n">
        <v>0</v>
      </c>
      <c r="M991" t="n">
        <v>0</v>
      </c>
      <c r="N991" t="n">
        <v>0</v>
      </c>
      <c r="O991" t="n">
        <v>0</v>
      </c>
      <c r="P991" t="n">
        <v>0</v>
      </c>
      <c r="Q991" t="n">
        <v>0</v>
      </c>
      <c r="R991" s="2" t="inlineStr"/>
    </row>
    <row r="992" ht="15" customHeight="1">
      <c r="A992" t="inlineStr">
        <is>
          <t>A 25388-2026</t>
        </is>
      </c>
      <c r="B992" s="1" t="n">
        <v>46176</v>
      </c>
      <c r="C992" s="1" t="n">
        <v>46192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25417-2026</t>
        </is>
      </c>
      <c r="B993" s="1" t="n">
        <v>46176</v>
      </c>
      <c r="C993" s="1" t="n">
        <v>46192</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20494-2024</t>
        </is>
      </c>
      <c r="B994" s="1" t="n">
        <v>45435</v>
      </c>
      <c r="C994" s="1" t="n">
        <v>46192</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55454-2021</t>
        </is>
      </c>
      <c r="B995" s="1" t="n">
        <v>44475</v>
      </c>
      <c r="C995" s="1" t="n">
        <v>46192</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31572-2022</t>
        </is>
      </c>
      <c r="B996" s="1" t="n">
        <v>44775</v>
      </c>
      <c r="C996" s="1" t="n">
        <v>46192</v>
      </c>
      <c r="D996" t="inlineStr">
        <is>
          <t>SKÅNE LÄN</t>
        </is>
      </c>
      <c r="E996" t="inlineStr">
        <is>
          <t>HÄSSLEHOLM</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4356-2024</t>
        </is>
      </c>
      <c r="B997" s="1" t="n">
        <v>45325</v>
      </c>
      <c r="C997" s="1" t="n">
        <v>46192</v>
      </c>
      <c r="D997" t="inlineStr">
        <is>
          <t>SKÅNE LÄN</t>
        </is>
      </c>
      <c r="E997" t="inlineStr">
        <is>
          <t>HÄSSLEHOLM</t>
        </is>
      </c>
      <c r="G997" t="n">
        <v>3.2</v>
      </c>
      <c r="H997" t="n">
        <v>0</v>
      </c>
      <c r="I997" t="n">
        <v>0</v>
      </c>
      <c r="J997" t="n">
        <v>0</v>
      </c>
      <c r="K997" t="n">
        <v>0</v>
      </c>
      <c r="L997" t="n">
        <v>0</v>
      </c>
      <c r="M997" t="n">
        <v>0</v>
      </c>
      <c r="N997" t="n">
        <v>0</v>
      </c>
      <c r="O997" t="n">
        <v>0</v>
      </c>
      <c r="P997" t="n">
        <v>0</v>
      </c>
      <c r="Q997" t="n">
        <v>0</v>
      </c>
      <c r="R997" s="2" t="inlineStr"/>
    </row>
    <row r="998" ht="15" customHeight="1">
      <c r="A998" t="inlineStr">
        <is>
          <t>A 25418-2026</t>
        </is>
      </c>
      <c r="B998" s="1" t="n">
        <v>46176</v>
      </c>
      <c r="C998" s="1" t="n">
        <v>46192</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19642-2026</t>
        </is>
      </c>
      <c r="B999" s="1" t="n">
        <v>46134</v>
      </c>
      <c r="C999" s="1" t="n">
        <v>46192</v>
      </c>
      <c r="D999" t="inlineStr">
        <is>
          <t>SKÅNE LÄN</t>
        </is>
      </c>
      <c r="E999" t="inlineStr">
        <is>
          <t>HÄSSLEHOLM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3480-2024</t>
        </is>
      </c>
      <c r="B1000" s="1" t="n">
        <v>45320</v>
      </c>
      <c r="C1000" s="1" t="n">
        <v>46192</v>
      </c>
      <c r="D1000" t="inlineStr">
        <is>
          <t>SKÅNE LÄN</t>
        </is>
      </c>
      <c r="E1000" t="inlineStr">
        <is>
          <t>HÄSSLEHOLM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37286-2025</t>
        </is>
      </c>
      <c r="B1001" s="1" t="n">
        <v>45876</v>
      </c>
      <c r="C1001" s="1" t="n">
        <v>46192</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5980-2024</t>
        </is>
      </c>
      <c r="B1002" s="1" t="n">
        <v>45335</v>
      </c>
      <c r="C1002" s="1" t="n">
        <v>46192</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37271-2025</t>
        </is>
      </c>
      <c r="B1003" s="1" t="n">
        <v>45876</v>
      </c>
      <c r="C1003" s="1" t="n">
        <v>46192</v>
      </c>
      <c r="D1003" t="inlineStr">
        <is>
          <t>SKÅNE LÄN</t>
        </is>
      </c>
      <c r="E1003" t="inlineStr">
        <is>
          <t>HÄSSLEHOLM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10802-2024</t>
        </is>
      </c>
      <c r="B1004" s="1" t="n">
        <v>45369</v>
      </c>
      <c r="C1004" s="1" t="n">
        <v>46192</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32981-2025</t>
        </is>
      </c>
      <c r="B1005" s="1" t="n">
        <v>45839</v>
      </c>
      <c r="C1005" s="1" t="n">
        <v>46192</v>
      </c>
      <c r="D1005" t="inlineStr">
        <is>
          <t>SKÅNE LÄN</t>
        </is>
      </c>
      <c r="E1005" t="inlineStr">
        <is>
          <t>HÄSSLEHOLM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18109-2025</t>
        </is>
      </c>
      <c r="B1006" s="1" t="n">
        <v>45761</v>
      </c>
      <c r="C1006" s="1" t="n">
        <v>46192</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260-2024</t>
        </is>
      </c>
      <c r="B1007" s="1" t="n">
        <v>45294</v>
      </c>
      <c r="C1007" s="1" t="n">
        <v>46192</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40780-2022</t>
        </is>
      </c>
      <c r="B1008" s="1" t="n">
        <v>44820</v>
      </c>
      <c r="C1008" s="1" t="n">
        <v>46192</v>
      </c>
      <c r="D1008" t="inlineStr">
        <is>
          <t>SKÅNE LÄN</t>
        </is>
      </c>
      <c r="E1008" t="inlineStr">
        <is>
          <t>HÄSSLEHOLM</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6087-2025</t>
        </is>
      </c>
      <c r="B1009" s="1" t="n">
        <v>45697</v>
      </c>
      <c r="C1009" s="1" t="n">
        <v>46192</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5316-2023</t>
        </is>
      </c>
      <c r="B1010" s="1" t="n">
        <v>44959</v>
      </c>
      <c r="C1010" s="1" t="n">
        <v>46192</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23967-2022</t>
        </is>
      </c>
      <c r="B1011" s="1" t="n">
        <v>44722</v>
      </c>
      <c r="C1011" s="1" t="n">
        <v>46192</v>
      </c>
      <c r="D1011" t="inlineStr">
        <is>
          <t>SKÅNE LÄN</t>
        </is>
      </c>
      <c r="E1011" t="inlineStr">
        <is>
          <t>HÄSSLEHOLM</t>
        </is>
      </c>
      <c r="F1011" t="inlineStr">
        <is>
          <t>Kyrkan</t>
        </is>
      </c>
      <c r="G1011" t="n">
        <v>12.4</v>
      </c>
      <c r="H1011" t="n">
        <v>0</v>
      </c>
      <c r="I1011" t="n">
        <v>0</v>
      </c>
      <c r="J1011" t="n">
        <v>0</v>
      </c>
      <c r="K1011" t="n">
        <v>0</v>
      </c>
      <c r="L1011" t="n">
        <v>0</v>
      </c>
      <c r="M1011" t="n">
        <v>0</v>
      </c>
      <c r="N1011" t="n">
        <v>0</v>
      </c>
      <c r="O1011" t="n">
        <v>0</v>
      </c>
      <c r="P1011" t="n">
        <v>0</v>
      </c>
      <c r="Q1011" t="n">
        <v>0</v>
      </c>
      <c r="R1011" s="2" t="inlineStr"/>
    </row>
    <row r="1012" ht="15" customHeight="1">
      <c r="A1012" t="inlineStr">
        <is>
          <t>A 20381-2026</t>
        </is>
      </c>
      <c r="B1012" s="1" t="n">
        <v>46139</v>
      </c>
      <c r="C1012" s="1" t="n">
        <v>46192</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20382-2026</t>
        </is>
      </c>
      <c r="B1013" s="1" t="n">
        <v>46139</v>
      </c>
      <c r="C1013" s="1" t="n">
        <v>46192</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37141-2021</t>
        </is>
      </c>
      <c r="B1014" s="1" t="n">
        <v>44396</v>
      </c>
      <c r="C1014" s="1" t="n">
        <v>46192</v>
      </c>
      <c r="D1014" t="inlineStr">
        <is>
          <t>SKÅNE LÄN</t>
        </is>
      </c>
      <c r="E1014" t="inlineStr">
        <is>
          <t>HÄSSLEHOLM</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1562-2023</t>
        </is>
      </c>
      <c r="B1015" s="1" t="n">
        <v>44937</v>
      </c>
      <c r="C1015" s="1" t="n">
        <v>46192</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7857-2022</t>
        </is>
      </c>
      <c r="B1016" s="1" t="n">
        <v>44607</v>
      </c>
      <c r="C1016" s="1" t="n">
        <v>46192</v>
      </c>
      <c r="D1016" t="inlineStr">
        <is>
          <t>SKÅNE LÄN</t>
        </is>
      </c>
      <c r="E1016" t="inlineStr">
        <is>
          <t>HÄSSLEHOLM</t>
        </is>
      </c>
      <c r="F1016" t="inlineStr">
        <is>
          <t>Kyrkan</t>
        </is>
      </c>
      <c r="G1016" t="n">
        <v>12.2</v>
      </c>
      <c r="H1016" t="n">
        <v>0</v>
      </c>
      <c r="I1016" t="n">
        <v>0</v>
      </c>
      <c r="J1016" t="n">
        <v>0</v>
      </c>
      <c r="K1016" t="n">
        <v>0</v>
      </c>
      <c r="L1016" t="n">
        <v>0</v>
      </c>
      <c r="M1016" t="n">
        <v>0</v>
      </c>
      <c r="N1016" t="n">
        <v>0</v>
      </c>
      <c r="O1016" t="n">
        <v>0</v>
      </c>
      <c r="P1016" t="n">
        <v>0</v>
      </c>
      <c r="Q1016" t="n">
        <v>0</v>
      </c>
      <c r="R1016" s="2" t="inlineStr"/>
    </row>
    <row r="1017" ht="15" customHeight="1">
      <c r="A1017" t="inlineStr">
        <is>
          <t>A 64884-2023</t>
        </is>
      </c>
      <c r="B1017" s="1" t="n">
        <v>45282</v>
      </c>
      <c r="C1017" s="1" t="n">
        <v>46192</v>
      </c>
      <c r="D1017" t="inlineStr">
        <is>
          <t>SKÅNE LÄN</t>
        </is>
      </c>
      <c r="E1017" t="inlineStr">
        <is>
          <t>HÄSSLEHOLM</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8239-2025</t>
        </is>
      </c>
      <c r="B1018" s="1" t="n">
        <v>45708</v>
      </c>
      <c r="C1018" s="1" t="n">
        <v>46192</v>
      </c>
      <c r="D1018" t="inlineStr">
        <is>
          <t>SKÅNE LÄN</t>
        </is>
      </c>
      <c r="E1018" t="inlineStr">
        <is>
          <t>HÄSSLEHOLM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38160-2021</t>
        </is>
      </c>
      <c r="B1019" s="1" t="n">
        <v>44405</v>
      </c>
      <c r="C1019" s="1" t="n">
        <v>46192</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48112-2024</t>
        </is>
      </c>
      <c r="B1020" s="1" t="n">
        <v>45589</v>
      </c>
      <c r="C1020" s="1" t="n">
        <v>46192</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6310-2025</t>
        </is>
      </c>
      <c r="B1021" s="1" t="n">
        <v>45698</v>
      </c>
      <c r="C1021" s="1" t="n">
        <v>46192</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26007-2026</t>
        </is>
      </c>
      <c r="B1022" s="1" t="n">
        <v>46181</v>
      </c>
      <c r="C1022" s="1" t="n">
        <v>46192</v>
      </c>
      <c r="D1022" t="inlineStr">
        <is>
          <t>SKÅNE LÄN</t>
        </is>
      </c>
      <c r="E1022" t="inlineStr">
        <is>
          <t>HÄSSLEHOLM</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48097-2024</t>
        </is>
      </c>
      <c r="B1023" s="1" t="n">
        <v>45589</v>
      </c>
      <c r="C1023" s="1" t="n">
        <v>46192</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24675-2025</t>
        </is>
      </c>
      <c r="B1024" s="1" t="n">
        <v>45798</v>
      </c>
      <c r="C1024" s="1" t="n">
        <v>46192</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60846-2022</t>
        </is>
      </c>
      <c r="B1025" s="1" t="n">
        <v>44914</v>
      </c>
      <c r="C1025" s="1" t="n">
        <v>46192</v>
      </c>
      <c r="D1025" t="inlineStr">
        <is>
          <t>SKÅNE LÄN</t>
        </is>
      </c>
      <c r="E1025" t="inlineStr">
        <is>
          <t>HÄSSLEHOLM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42776-2021</t>
        </is>
      </c>
      <c r="B1026" s="1" t="n">
        <v>44428</v>
      </c>
      <c r="C1026" s="1" t="n">
        <v>46192</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60704-2023</t>
        </is>
      </c>
      <c r="B1027" s="1" t="n">
        <v>45260</v>
      </c>
      <c r="C1027" s="1" t="n">
        <v>46192</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13345-2025</t>
        </is>
      </c>
      <c r="B1028" s="1" t="n">
        <v>45735</v>
      </c>
      <c r="C1028" s="1" t="n">
        <v>46192</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14700-2023</t>
        </is>
      </c>
      <c r="B1029" s="1" t="n">
        <v>45014</v>
      </c>
      <c r="C1029" s="1" t="n">
        <v>46192</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9615-2025</t>
        </is>
      </c>
      <c r="B1030" s="1" t="n">
        <v>45715</v>
      </c>
      <c r="C1030" s="1" t="n">
        <v>46192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39915-2023</t>
        </is>
      </c>
      <c r="B1031" s="1" t="n">
        <v>45168</v>
      </c>
      <c r="C1031" s="1" t="n">
        <v>46192</v>
      </c>
      <c r="D1031" t="inlineStr">
        <is>
          <t>SKÅNE LÄN</t>
        </is>
      </c>
      <c r="E1031" t="inlineStr">
        <is>
          <t>HÄSSLEHOLM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54807-2025</t>
        </is>
      </c>
      <c r="B1032" s="1" t="n">
        <v>45966</v>
      </c>
      <c r="C1032" s="1" t="n">
        <v>46192</v>
      </c>
      <c r="D1032" t="inlineStr">
        <is>
          <t>SKÅNE LÄN</t>
        </is>
      </c>
      <c r="E1032" t="inlineStr">
        <is>
          <t>HÄSSLEHOLM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62055-2023</t>
        </is>
      </c>
      <c r="B1033" s="1" t="n">
        <v>45266</v>
      </c>
      <c r="C1033" s="1" t="n">
        <v>46192</v>
      </c>
      <c r="D1033" t="inlineStr">
        <is>
          <t>SKÅNE LÄN</t>
        </is>
      </c>
      <c r="E1033" t="inlineStr">
        <is>
          <t>HÄSSLEHOLM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20058-2023</t>
        </is>
      </c>
      <c r="B1034" s="1" t="n">
        <v>45054</v>
      </c>
      <c r="C1034" s="1" t="n">
        <v>46192</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8619-2023</t>
        </is>
      </c>
      <c r="B1035" s="1" t="n">
        <v>44977</v>
      </c>
      <c r="C1035" s="1" t="n">
        <v>46192</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9543-2025</t>
        </is>
      </c>
      <c r="B1036" s="1" t="n">
        <v>45715</v>
      </c>
      <c r="C1036" s="1" t="n">
        <v>46192</v>
      </c>
      <c r="D1036" t="inlineStr">
        <is>
          <t>SKÅNE LÄN</t>
        </is>
      </c>
      <c r="E1036" t="inlineStr">
        <is>
          <t>HÄSSLEHOLM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53067-2022</t>
        </is>
      </c>
      <c r="B1037" s="1" t="n">
        <v>44873</v>
      </c>
      <c r="C1037" s="1" t="n">
        <v>46192</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3349-2023</t>
        </is>
      </c>
      <c r="B1038" s="1" t="n">
        <v>44949</v>
      </c>
      <c r="C1038" s="1" t="n">
        <v>46192</v>
      </c>
      <c r="D1038" t="inlineStr">
        <is>
          <t>SKÅNE LÄN</t>
        </is>
      </c>
      <c r="E1038" t="inlineStr">
        <is>
          <t>HÄSSLEHOLM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6328-2026</t>
        </is>
      </c>
      <c r="B1039" s="1" t="n">
        <v>46055</v>
      </c>
      <c r="C1039" s="1" t="n">
        <v>46192</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13544-2025</t>
        </is>
      </c>
      <c r="B1040" s="1" t="n">
        <v>45736</v>
      </c>
      <c r="C1040" s="1" t="n">
        <v>46192</v>
      </c>
      <c r="D1040" t="inlineStr">
        <is>
          <t>SKÅNE LÄN</t>
        </is>
      </c>
      <c r="E1040" t="inlineStr">
        <is>
          <t>HÄSSLEHOLM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13309-2025</t>
        </is>
      </c>
      <c r="B1041" s="1" t="n">
        <v>45735</v>
      </c>
      <c r="C1041" s="1" t="n">
        <v>46192</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45361-2023</t>
        </is>
      </c>
      <c r="B1042" s="1" t="n">
        <v>45192</v>
      </c>
      <c r="C1042" s="1" t="n">
        <v>46192</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26058-2026</t>
        </is>
      </c>
      <c r="B1043" s="1" t="n">
        <v>46177</v>
      </c>
      <c r="C1043" s="1" t="n">
        <v>46192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46185-2022</t>
        </is>
      </c>
      <c r="B1044" s="1" t="n">
        <v>44847</v>
      </c>
      <c r="C1044" s="1" t="n">
        <v>46192</v>
      </c>
      <c r="D1044" t="inlineStr">
        <is>
          <t>SKÅNE LÄN</t>
        </is>
      </c>
      <c r="E1044" t="inlineStr">
        <is>
          <t>HÄSSLEHOLM</t>
        </is>
      </c>
      <c r="G1044" t="n">
        <v>16.8</v>
      </c>
      <c r="H1044" t="n">
        <v>0</v>
      </c>
      <c r="I1044" t="n">
        <v>0</v>
      </c>
      <c r="J1044" t="n">
        <v>0</v>
      </c>
      <c r="K1044" t="n">
        <v>0</v>
      </c>
      <c r="L1044" t="n">
        <v>0</v>
      </c>
      <c r="M1044" t="n">
        <v>0</v>
      </c>
      <c r="N1044" t="n">
        <v>0</v>
      </c>
      <c r="O1044" t="n">
        <v>0</v>
      </c>
      <c r="P1044" t="n">
        <v>0</v>
      </c>
      <c r="Q1044" t="n">
        <v>0</v>
      </c>
      <c r="R1044" s="2" t="inlineStr"/>
    </row>
    <row r="1045" ht="15" customHeight="1">
      <c r="A1045" t="inlineStr">
        <is>
          <t>A 18623-2023</t>
        </is>
      </c>
      <c r="B1045" s="1" t="n">
        <v>45043</v>
      </c>
      <c r="C1045" s="1" t="n">
        <v>46192</v>
      </c>
      <c r="D1045" t="inlineStr">
        <is>
          <t>SKÅNE LÄN</t>
        </is>
      </c>
      <c r="E1045" t="inlineStr">
        <is>
          <t>HÄSSLEHOLM</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33873-2021</t>
        </is>
      </c>
      <c r="B1046" s="1" t="n">
        <v>44378</v>
      </c>
      <c r="C1046" s="1" t="n">
        <v>46192</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15053-2023</t>
        </is>
      </c>
      <c r="B1047" s="1" t="n">
        <v>45015</v>
      </c>
      <c r="C1047" s="1" t="n">
        <v>46192</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47907-2021</t>
        </is>
      </c>
      <c r="B1048" s="1" t="n">
        <v>44448</v>
      </c>
      <c r="C1048" s="1" t="n">
        <v>46192</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1197-2024</t>
        </is>
      </c>
      <c r="B1049" s="1" t="n">
        <v>45302</v>
      </c>
      <c r="C1049" s="1" t="n">
        <v>46192</v>
      </c>
      <c r="D1049" t="inlineStr">
        <is>
          <t>SKÅNE LÄN</t>
        </is>
      </c>
      <c r="E1049" t="inlineStr">
        <is>
          <t>HÄSSLEHOLM</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13549-2025</t>
        </is>
      </c>
      <c r="B1050" s="1" t="n">
        <v>45736</v>
      </c>
      <c r="C1050" s="1" t="n">
        <v>46192</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49950-2023</t>
        </is>
      </c>
      <c r="B1051" s="1" t="n">
        <v>45215</v>
      </c>
      <c r="C1051" s="1" t="n">
        <v>46192</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41694-2024</t>
        </is>
      </c>
      <c r="B1052" s="1" t="n">
        <v>45560</v>
      </c>
      <c r="C1052" s="1" t="n">
        <v>46192</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36795-2023</t>
        </is>
      </c>
      <c r="B1053" s="1" t="n">
        <v>45154</v>
      </c>
      <c r="C1053" s="1" t="n">
        <v>46192</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46942-2024</t>
        </is>
      </c>
      <c r="B1054" s="1" t="n">
        <v>45585</v>
      </c>
      <c r="C1054" s="1" t="n">
        <v>46192</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43696-2024</t>
        </is>
      </c>
      <c r="B1055" s="1" t="n">
        <v>45569</v>
      </c>
      <c r="C1055" s="1" t="n">
        <v>46192</v>
      </c>
      <c r="D1055" t="inlineStr">
        <is>
          <t>SKÅNE LÄN</t>
        </is>
      </c>
      <c r="E1055" t="inlineStr">
        <is>
          <t>HÄSSLEHOLM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36706-2022</t>
        </is>
      </c>
      <c r="B1056" s="1" t="n">
        <v>44805</v>
      </c>
      <c r="C1056" s="1" t="n">
        <v>46192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22594-2024</t>
        </is>
      </c>
      <c r="B1057" s="1" t="n">
        <v>45447</v>
      </c>
      <c r="C1057" s="1" t="n">
        <v>46192</v>
      </c>
      <c r="D1057" t="inlineStr">
        <is>
          <t>SKÅNE LÄN</t>
        </is>
      </c>
      <c r="E1057" t="inlineStr">
        <is>
          <t>HÄSSLEHOLM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33879-2025</t>
        </is>
      </c>
      <c r="B1058" s="1" t="n">
        <v>45842</v>
      </c>
      <c r="C1058" s="1" t="n">
        <v>46192</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25213-2023</t>
        </is>
      </c>
      <c r="B1059" s="1" t="n">
        <v>45086</v>
      </c>
      <c r="C1059" s="1" t="n">
        <v>46192</v>
      </c>
      <c r="D1059" t="inlineStr">
        <is>
          <t>SKÅNE LÄN</t>
        </is>
      </c>
      <c r="E1059" t="inlineStr">
        <is>
          <t>HÄSSLEHOLM</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18063-2023</t>
        </is>
      </c>
      <c r="B1060" s="1" t="n">
        <v>45040</v>
      </c>
      <c r="C1060" s="1" t="n">
        <v>46192</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22678-2025</t>
        </is>
      </c>
      <c r="B1061" s="1" t="n">
        <v>45789</v>
      </c>
      <c r="C1061" s="1" t="n">
        <v>46192</v>
      </c>
      <c r="D1061" t="inlineStr">
        <is>
          <t>SKÅNE LÄN</t>
        </is>
      </c>
      <c r="E1061" t="inlineStr">
        <is>
          <t>HÄSSLEHOLM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25646-2026</t>
        </is>
      </c>
      <c r="B1062" s="1" t="n">
        <v>46177</v>
      </c>
      <c r="C1062" s="1" t="n">
        <v>46192</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1706-2025</t>
        </is>
      </c>
      <c r="B1063" s="1" t="n">
        <v>45670</v>
      </c>
      <c r="C1063" s="1" t="n">
        <v>46192</v>
      </c>
      <c r="D1063" t="inlineStr">
        <is>
          <t>SKÅNE LÄN</t>
        </is>
      </c>
      <c r="E1063" t="inlineStr">
        <is>
          <t>HÄSSLEHOLM</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20872-2025</t>
        </is>
      </c>
      <c r="B1064" s="1" t="n">
        <v>45777</v>
      </c>
      <c r="C1064" s="1" t="n">
        <v>46192</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26011-2026</t>
        </is>
      </c>
      <c r="B1065" s="1" t="n">
        <v>46181</v>
      </c>
      <c r="C1065" s="1" t="n">
        <v>46192</v>
      </c>
      <c r="D1065" t="inlineStr">
        <is>
          <t>SKÅNE LÄN</t>
        </is>
      </c>
      <c r="E1065" t="inlineStr">
        <is>
          <t>HÄSSLEHOLM</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26393-2026</t>
        </is>
      </c>
      <c r="B1066" s="1" t="n">
        <v>46183</v>
      </c>
      <c r="C1066" s="1" t="n">
        <v>46192</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26443-2026</t>
        </is>
      </c>
      <c r="B1067" s="1" t="n">
        <v>46182</v>
      </c>
      <c r="C1067" s="1" t="n">
        <v>46192</v>
      </c>
      <c r="D1067" t="inlineStr">
        <is>
          <t>SKÅNE LÄN</t>
        </is>
      </c>
      <c r="E1067" t="inlineStr">
        <is>
          <t>HÄSSLEHOLM</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13932-2023</t>
        </is>
      </c>
      <c r="B1068" s="1" t="n">
        <v>45008</v>
      </c>
      <c r="C1068" s="1" t="n">
        <v>46192</v>
      </c>
      <c r="D1068" t="inlineStr">
        <is>
          <t>SKÅNE LÄN</t>
        </is>
      </c>
      <c r="E1068" t="inlineStr">
        <is>
          <t>HÄSSLEHOLM</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5497-2026</t>
        </is>
      </c>
      <c r="B1069" s="1" t="n">
        <v>46050</v>
      </c>
      <c r="C1069" s="1" t="n">
        <v>46192</v>
      </c>
      <c r="D1069" t="inlineStr">
        <is>
          <t>SKÅNE LÄN</t>
        </is>
      </c>
      <c r="E1069" t="inlineStr">
        <is>
          <t>HÄSSLEHOLM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26291-2026</t>
        </is>
      </c>
      <c r="B1070" s="1" t="n">
        <v>46182</v>
      </c>
      <c r="C1070" s="1" t="n">
        <v>46192</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26316-2026</t>
        </is>
      </c>
      <c r="B1071" s="1" t="n">
        <v>46182</v>
      </c>
      <c r="C1071" s="1" t="n">
        <v>46192</v>
      </c>
      <c r="D1071" t="inlineStr">
        <is>
          <t>SKÅNE LÄN</t>
        </is>
      </c>
      <c r="E1071" t="inlineStr">
        <is>
          <t>HÄSSLEHOLM</t>
        </is>
      </c>
      <c r="F1071" t="inlineStr">
        <is>
          <t>Övriga Aktiebolag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26447-2026</t>
        </is>
      </c>
      <c r="B1072" s="1" t="n">
        <v>46182</v>
      </c>
      <c r="C1072" s="1" t="n">
        <v>46192</v>
      </c>
      <c r="D1072" t="inlineStr">
        <is>
          <t>SKÅNE LÄN</t>
        </is>
      </c>
      <c r="E1072" t="inlineStr">
        <is>
          <t>HÄSSLEHOLM</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26437-2026</t>
        </is>
      </c>
      <c r="B1073" s="1" t="n">
        <v>46182</v>
      </c>
      <c r="C1073" s="1" t="n">
        <v>46192</v>
      </c>
      <c r="D1073" t="inlineStr">
        <is>
          <t>SKÅNE LÄN</t>
        </is>
      </c>
      <c r="E1073" t="inlineStr">
        <is>
          <t>HÄSSLEHOLM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26166-2026</t>
        </is>
      </c>
      <c r="B1074" s="1" t="n">
        <v>46181</v>
      </c>
      <c r="C1074" s="1" t="n">
        <v>46192</v>
      </c>
      <c r="D1074" t="inlineStr">
        <is>
          <t>SKÅNE LÄN</t>
        </is>
      </c>
      <c r="E1074" t="inlineStr">
        <is>
          <t>HÄSSLEHOLM</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26286-2026</t>
        </is>
      </c>
      <c r="B1075" s="1" t="n">
        <v>46182</v>
      </c>
      <c r="C1075" s="1" t="n">
        <v>46192</v>
      </c>
      <c r="D1075" t="inlineStr">
        <is>
          <t>SKÅNE LÄN</t>
        </is>
      </c>
      <c r="E1075" t="inlineStr">
        <is>
          <t>HÄSSLEHOLM</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26505-2026</t>
        </is>
      </c>
      <c r="B1076" s="1" t="n">
        <v>46183</v>
      </c>
      <c r="C1076" s="1" t="n">
        <v>46192</v>
      </c>
      <c r="D1076" t="inlineStr">
        <is>
          <t>SKÅNE LÄN</t>
        </is>
      </c>
      <c r="E1076" t="inlineStr">
        <is>
          <t>HÄSSLEHOLM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26403-2026</t>
        </is>
      </c>
      <c r="B1077" s="1" t="n">
        <v>46182</v>
      </c>
      <c r="C1077" s="1" t="n">
        <v>46192</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23264-2026</t>
        </is>
      </c>
      <c r="B1078" s="1" t="n">
        <v>46162</v>
      </c>
      <c r="C1078" s="1" t="n">
        <v>46192</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54426-2025</t>
        </is>
      </c>
      <c r="B1079" s="1" t="n">
        <v>45965</v>
      </c>
      <c r="C1079" s="1" t="n">
        <v>46192</v>
      </c>
      <c r="D1079" t="inlineStr">
        <is>
          <t>SKÅNE LÄN</t>
        </is>
      </c>
      <c r="E1079" t="inlineStr">
        <is>
          <t>HÄSSLEHOLM</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47450-2025</t>
        </is>
      </c>
      <c r="B1080" s="1" t="n">
        <v>45930</v>
      </c>
      <c r="C1080" s="1" t="n">
        <v>46192</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47394-2025</t>
        </is>
      </c>
      <c r="B1081" s="1" t="n">
        <v>45930</v>
      </c>
      <c r="C1081" s="1" t="n">
        <v>46192</v>
      </c>
      <c r="D1081" t="inlineStr">
        <is>
          <t>SKÅNE LÄN</t>
        </is>
      </c>
      <c r="E1081" t="inlineStr">
        <is>
          <t>HÄSSLEHOLM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47352-2025</t>
        </is>
      </c>
      <c r="B1082" s="1" t="n">
        <v>45930</v>
      </c>
      <c r="C1082" s="1" t="n">
        <v>46192</v>
      </c>
      <c r="D1082" t="inlineStr">
        <is>
          <t>SKÅNE LÄN</t>
        </is>
      </c>
      <c r="E1082" t="inlineStr">
        <is>
          <t>HÄSSLEHOLM</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47432-2025</t>
        </is>
      </c>
      <c r="B1083" s="1" t="n">
        <v>45930</v>
      </c>
      <c r="C1083" s="1" t="n">
        <v>46192</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27122-2026</t>
        </is>
      </c>
      <c r="B1084" s="1" t="n">
        <v>46188</v>
      </c>
      <c r="C1084" s="1" t="n">
        <v>46192</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47422-2025</t>
        </is>
      </c>
      <c r="B1085" s="1" t="n">
        <v>45930</v>
      </c>
      <c r="C1085" s="1" t="n">
        <v>46192</v>
      </c>
      <c r="D1085" t="inlineStr">
        <is>
          <t>SKÅNE LÄN</t>
        </is>
      </c>
      <c r="E1085" t="inlineStr">
        <is>
          <t>HÄSSLEHOLM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27123-2026</t>
        </is>
      </c>
      <c r="B1086" s="1" t="n">
        <v>46188</v>
      </c>
      <c r="C1086" s="1" t="n">
        <v>46192</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54798-2025</t>
        </is>
      </c>
      <c r="B1087" s="1" t="n">
        <v>45966</v>
      </c>
      <c r="C1087" s="1" t="n">
        <v>46192</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27371-2026</t>
        </is>
      </c>
      <c r="B1088" s="1" t="n">
        <v>46188</v>
      </c>
      <c r="C1088" s="1" t="n">
        <v>46192</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19240-2026</t>
        </is>
      </c>
      <c r="B1089" s="1" t="n">
        <v>46132</v>
      </c>
      <c r="C1089" s="1" t="n">
        <v>46192</v>
      </c>
      <c r="D1089" t="inlineStr">
        <is>
          <t>SKÅNE LÄN</t>
        </is>
      </c>
      <c r="E1089" t="inlineStr">
        <is>
          <t>HÄSSLEHOLM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19831-2026</t>
        </is>
      </c>
      <c r="B1090" s="1" t="n">
        <v>46135</v>
      </c>
      <c r="C1090" s="1" t="n">
        <v>46192</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21613-2026</t>
        </is>
      </c>
      <c r="B1091" s="1" t="n">
        <v>46149</v>
      </c>
      <c r="C1091" s="1" t="n">
        <v>46192</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21615-2026</t>
        </is>
      </c>
      <c r="B1092" s="1" t="n">
        <v>46149</v>
      </c>
      <c r="C1092" s="1" t="n">
        <v>46192</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24992-2026</t>
        </is>
      </c>
      <c r="B1093" s="1" t="n">
        <v>46174</v>
      </c>
      <c r="C1093" s="1" t="n">
        <v>46192</v>
      </c>
      <c r="D1093" t="inlineStr">
        <is>
          <t>SKÅNE LÄN</t>
        </is>
      </c>
      <c r="E1093" t="inlineStr">
        <is>
          <t>HÄSSLEHOLM</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21673-2026</t>
        </is>
      </c>
      <c r="B1094" s="1" t="n">
        <v>46149</v>
      </c>
      <c r="C1094" s="1" t="n">
        <v>46192</v>
      </c>
      <c r="D1094" t="inlineStr">
        <is>
          <t>SKÅNE LÄN</t>
        </is>
      </c>
      <c r="E1094" t="inlineStr">
        <is>
          <t>HÄSSLEHOLM</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21674-2026</t>
        </is>
      </c>
      <c r="B1095" s="1" t="n">
        <v>46149</v>
      </c>
      <c r="C1095" s="1" t="n">
        <v>46192</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21807-2026</t>
        </is>
      </c>
      <c r="B1096" s="1" t="n">
        <v>46148</v>
      </c>
      <c r="C1096" s="1" t="n">
        <v>46192</v>
      </c>
      <c r="D1096" t="inlineStr">
        <is>
          <t>SKÅNE LÄN</t>
        </is>
      </c>
      <c r="E1096" t="inlineStr">
        <is>
          <t>HÄSSLEHOLM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21668-2026</t>
        </is>
      </c>
      <c r="B1097" s="1" t="n">
        <v>46149</v>
      </c>
      <c r="C1097" s="1" t="n">
        <v>46192</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7604-2024</t>
        </is>
      </c>
      <c r="B1098" s="1" t="n">
        <v>45348</v>
      </c>
      <c r="C1098" s="1" t="n">
        <v>46192</v>
      </c>
      <c r="D1098" t="inlineStr">
        <is>
          <t>SKÅNE LÄN</t>
        </is>
      </c>
      <c r="E1098" t="inlineStr">
        <is>
          <t>HÄSSLEHOLM</t>
        </is>
      </c>
      <c r="G1098" t="n">
        <v>11.1</v>
      </c>
      <c r="H1098" t="n">
        <v>0</v>
      </c>
      <c r="I1098" t="n">
        <v>0</v>
      </c>
      <c r="J1098" t="n">
        <v>0</v>
      </c>
      <c r="K1098" t="n">
        <v>0</v>
      </c>
      <c r="L1098" t="n">
        <v>0</v>
      </c>
      <c r="M1098" t="n">
        <v>0</v>
      </c>
      <c r="N1098" t="n">
        <v>0</v>
      </c>
      <c r="O1098" t="n">
        <v>0</v>
      </c>
      <c r="P1098" t="n">
        <v>0</v>
      </c>
      <c r="Q1098" t="n">
        <v>0</v>
      </c>
      <c r="R1098" s="2" t="inlineStr"/>
    </row>
    <row r="1099">
      <c r="A1099" t="inlineStr">
        <is>
          <t>A 21658-2026</t>
        </is>
      </c>
      <c r="B1099" s="1" t="n">
        <v>46149</v>
      </c>
      <c r="C1099" s="1" t="n">
        <v>46192</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2026-06-19T00:41:45Z</dcterms:created>
  <dcterms:modified xmlns:dcterms="http://purl.org/dc/terms/" xmlns:xsi="http://www.w3.org/2001/XMLSchema-instance" xsi:type="dcterms:W3CDTF">2026-06-19T00:41:46Z</dcterms:modified>
</cp:coreProperties>
</file>