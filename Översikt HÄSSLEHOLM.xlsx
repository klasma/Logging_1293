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45937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45937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45937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45937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45937</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45937</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45937</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45937</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45937</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45937</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45937</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62434-2020</t>
        </is>
      </c>
      <c r="B19" s="1" t="n">
        <v>44159</v>
      </c>
      <c r="C19" s="1" t="n">
        <v>45937</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45937</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7862-2024</t>
        </is>
      </c>
      <c r="B21" s="1" t="n">
        <v>45348</v>
      </c>
      <c r="C21" s="1" t="n">
        <v>45937</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20280-2025</t>
        </is>
      </c>
      <c r="B22" s="1" t="n">
        <v>45774.38790509259</v>
      </c>
      <c r="C22" s="1" t="n">
        <v>45937</v>
      </c>
      <c r="D22" t="inlineStr">
        <is>
          <t>SKÅNE LÄN</t>
        </is>
      </c>
      <c r="E22" t="inlineStr">
        <is>
          <t>HÄSSLEHOLM</t>
        </is>
      </c>
      <c r="G22" t="n">
        <v>3</v>
      </c>
      <c r="H22" t="n">
        <v>0</v>
      </c>
      <c r="I22" t="n">
        <v>0</v>
      </c>
      <c r="J22" t="n">
        <v>0</v>
      </c>
      <c r="K22" t="n">
        <v>1</v>
      </c>
      <c r="L22" t="n">
        <v>0</v>
      </c>
      <c r="M22" t="n">
        <v>0</v>
      </c>
      <c r="N22" t="n">
        <v>0</v>
      </c>
      <c r="O22" t="n">
        <v>1</v>
      </c>
      <c r="P22" t="n">
        <v>1</v>
      </c>
      <c r="Q22" t="n">
        <v>1</v>
      </c>
      <c r="R22" s="2" t="inlineStr">
        <is>
          <t>Revig blodrot</t>
        </is>
      </c>
      <c r="S22">
        <f>HYPERLINK("https://klasma.github.io/Logging_1293/artfynd/A 20280-2025 artfynd.xlsx", "A 20280-2025")</f>
        <v/>
      </c>
      <c r="T22">
        <f>HYPERLINK("https://klasma.github.io/Logging_1293/kartor/A 20280-2025 karta.png", "A 20280-2025")</f>
        <v/>
      </c>
      <c r="V22">
        <f>HYPERLINK("https://klasma.github.io/Logging_1293/klagomål/A 20280-2025 FSC-klagomål.docx", "A 20280-2025")</f>
        <v/>
      </c>
      <c r="W22">
        <f>HYPERLINK("https://klasma.github.io/Logging_1293/klagomålsmail/A 20280-2025 FSC-klagomål mail.docx", "A 20280-2025")</f>
        <v/>
      </c>
      <c r="X22">
        <f>HYPERLINK("https://klasma.github.io/Logging_1293/tillsyn/A 20280-2025 tillsynsbegäran.docx", "A 20280-2025")</f>
        <v/>
      </c>
      <c r="Y22">
        <f>HYPERLINK("https://klasma.github.io/Logging_1293/tillsynsmail/A 20280-2025 tillsynsbegäran mail.docx", "A 20280-2025")</f>
        <v/>
      </c>
    </row>
    <row r="23" ht="15" customHeight="1">
      <c r="A23" t="inlineStr">
        <is>
          <t>A 61707-2024</t>
        </is>
      </c>
      <c r="B23" s="1" t="n">
        <v>45648.61747685185</v>
      </c>
      <c r="C23" s="1" t="n">
        <v>45937</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46602-2023</t>
        </is>
      </c>
      <c r="B24" s="1" t="n">
        <v>45194</v>
      </c>
      <c r="C24" s="1" t="n">
        <v>45937</v>
      </c>
      <c r="D24" t="inlineStr">
        <is>
          <t>SKÅNE LÄN</t>
        </is>
      </c>
      <c r="E24" t="inlineStr">
        <is>
          <t>HÄSSLEHOLM</t>
        </is>
      </c>
      <c r="G24" t="n">
        <v>7.3</v>
      </c>
      <c r="H24" t="n">
        <v>0</v>
      </c>
      <c r="I24" t="n">
        <v>0</v>
      </c>
      <c r="J24" t="n">
        <v>0</v>
      </c>
      <c r="K24" t="n">
        <v>1</v>
      </c>
      <c r="L24" t="n">
        <v>0</v>
      </c>
      <c r="M24" t="n">
        <v>0</v>
      </c>
      <c r="N24" t="n">
        <v>0</v>
      </c>
      <c r="O24" t="n">
        <v>1</v>
      </c>
      <c r="P24" t="n">
        <v>1</v>
      </c>
      <c r="Q24" t="n">
        <v>1</v>
      </c>
      <c r="R24" s="2" t="inlineStr">
        <is>
          <t>Lungrot</t>
        </is>
      </c>
      <c r="S24">
        <f>HYPERLINK("https://klasma.github.io/Logging_1293/artfynd/A 46602-2023 artfynd.xlsx", "A 46602-2023")</f>
        <v/>
      </c>
      <c r="T24">
        <f>HYPERLINK("https://klasma.github.io/Logging_1293/kartor/A 46602-2023 karta.png", "A 46602-2023")</f>
        <v/>
      </c>
      <c r="V24">
        <f>HYPERLINK("https://klasma.github.io/Logging_1293/klagomål/A 46602-2023 FSC-klagomål.docx", "A 46602-2023")</f>
        <v/>
      </c>
      <c r="W24">
        <f>HYPERLINK("https://klasma.github.io/Logging_1293/klagomålsmail/A 46602-2023 FSC-klagomål mail.docx", "A 46602-2023")</f>
        <v/>
      </c>
      <c r="X24">
        <f>HYPERLINK("https://klasma.github.io/Logging_1293/tillsyn/A 46602-2023 tillsynsbegäran.docx", "A 46602-2023")</f>
        <v/>
      </c>
      <c r="Y24">
        <f>HYPERLINK("https://klasma.github.io/Logging_1293/tillsynsmail/A 46602-2023 tillsynsbegäran mail.docx", "A 46602-2023")</f>
        <v/>
      </c>
    </row>
    <row r="25" ht="15" customHeight="1">
      <c r="A25" t="inlineStr">
        <is>
          <t>A 6634-2024</t>
        </is>
      </c>
      <c r="B25" s="1" t="n">
        <v>45341</v>
      </c>
      <c r="C25" s="1" t="n">
        <v>45937</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45937</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43874-2022</t>
        </is>
      </c>
      <c r="B27" s="1" t="n">
        <v>44838.44738425926</v>
      </c>
      <c r="C27" s="1" t="n">
        <v>45937</v>
      </c>
      <c r="D27" t="inlineStr">
        <is>
          <t>SKÅNE LÄN</t>
        </is>
      </c>
      <c r="E27" t="inlineStr">
        <is>
          <t>HÄSSLEHOLM</t>
        </is>
      </c>
      <c r="G27" t="n">
        <v>2.1</v>
      </c>
      <c r="H27" t="n">
        <v>0</v>
      </c>
      <c r="I27" t="n">
        <v>0</v>
      </c>
      <c r="J27" t="n">
        <v>1</v>
      </c>
      <c r="K27" t="n">
        <v>0</v>
      </c>
      <c r="L27" t="n">
        <v>0</v>
      </c>
      <c r="M27" t="n">
        <v>0</v>
      </c>
      <c r="N27" t="n">
        <v>0</v>
      </c>
      <c r="O27" t="n">
        <v>1</v>
      </c>
      <c r="P27" t="n">
        <v>0</v>
      </c>
      <c r="Q27" t="n">
        <v>1</v>
      </c>
      <c r="R27" s="2" t="inlineStr">
        <is>
          <t>Igelkott</t>
        </is>
      </c>
      <c r="S27">
        <f>HYPERLINK("https://klasma.github.io/Logging_1293/artfynd/A 43874-2022 artfynd.xlsx", "A 43874-2022")</f>
        <v/>
      </c>
      <c r="T27">
        <f>HYPERLINK("https://klasma.github.io/Logging_1293/kartor/A 43874-2022 karta.png", "A 43874-2022")</f>
        <v/>
      </c>
      <c r="V27">
        <f>HYPERLINK("https://klasma.github.io/Logging_1293/klagomål/A 43874-2022 FSC-klagomål.docx", "A 43874-2022")</f>
        <v/>
      </c>
      <c r="W27">
        <f>HYPERLINK("https://klasma.github.io/Logging_1293/klagomålsmail/A 43874-2022 FSC-klagomål mail.docx", "A 43874-2022")</f>
        <v/>
      </c>
      <c r="X27">
        <f>HYPERLINK("https://klasma.github.io/Logging_1293/tillsyn/A 43874-2022 tillsynsbegäran.docx", "A 43874-2022")</f>
        <v/>
      </c>
      <c r="Y27">
        <f>HYPERLINK("https://klasma.github.io/Logging_1293/tillsynsmail/A 43874-2022 tillsynsbegäran mail.docx", "A 43874-2022")</f>
        <v/>
      </c>
    </row>
    <row r="28" ht="15" customHeight="1">
      <c r="A28" t="inlineStr">
        <is>
          <t>A 4619-2025</t>
        </is>
      </c>
      <c r="B28" s="1" t="n">
        <v>45687</v>
      </c>
      <c r="C28" s="1" t="n">
        <v>45937</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54523-2024</t>
        </is>
      </c>
      <c r="B29" s="1" t="n">
        <v>45617</v>
      </c>
      <c r="C29" s="1" t="n">
        <v>45937</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45937</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9289-2025</t>
        </is>
      </c>
      <c r="B31" s="1" t="n">
        <v>45714</v>
      </c>
      <c r="C31" s="1" t="n">
        <v>45937</v>
      </c>
      <c r="D31" t="inlineStr">
        <is>
          <t>SKÅNE LÄN</t>
        </is>
      </c>
      <c r="E31" t="inlineStr">
        <is>
          <t>HÄSSLEHOLM</t>
        </is>
      </c>
      <c r="G31" t="n">
        <v>18</v>
      </c>
      <c r="H31" t="n">
        <v>0</v>
      </c>
      <c r="I31" t="n">
        <v>1</v>
      </c>
      <c r="J31" t="n">
        <v>0</v>
      </c>
      <c r="K31" t="n">
        <v>0</v>
      </c>
      <c r="L31" t="n">
        <v>0</v>
      </c>
      <c r="M31" t="n">
        <v>0</v>
      </c>
      <c r="N31" t="n">
        <v>0</v>
      </c>
      <c r="O31" t="n">
        <v>0</v>
      </c>
      <c r="P31" t="n">
        <v>0</v>
      </c>
      <c r="Q31" t="n">
        <v>1</v>
      </c>
      <c r="R31" s="2" t="inlineStr">
        <is>
          <t>Tibast</t>
        </is>
      </c>
      <c r="S31">
        <f>HYPERLINK("https://klasma.github.io/Logging_1293/artfynd/A 9289-2025 artfynd.xlsx", "A 9289-2025")</f>
        <v/>
      </c>
      <c r="T31">
        <f>HYPERLINK("https://klasma.github.io/Logging_1293/kartor/A 9289-2025 karta.png", "A 9289-2025")</f>
        <v/>
      </c>
      <c r="V31">
        <f>HYPERLINK("https://klasma.github.io/Logging_1293/klagomål/A 9289-2025 FSC-klagomål.docx", "A 9289-2025")</f>
        <v/>
      </c>
      <c r="W31">
        <f>HYPERLINK("https://klasma.github.io/Logging_1293/klagomålsmail/A 9289-2025 FSC-klagomål mail.docx", "A 9289-2025")</f>
        <v/>
      </c>
      <c r="X31">
        <f>HYPERLINK("https://klasma.github.io/Logging_1293/tillsyn/A 9289-2025 tillsynsbegäran.docx", "A 9289-2025")</f>
        <v/>
      </c>
      <c r="Y31">
        <f>HYPERLINK("https://klasma.github.io/Logging_1293/tillsynsmail/A 9289-2025 tillsynsbegäran mail.docx", "A 9289-2025")</f>
        <v/>
      </c>
    </row>
    <row r="32" ht="15" customHeight="1">
      <c r="A32" t="inlineStr">
        <is>
          <t>A 14933-2023</t>
        </is>
      </c>
      <c r="B32" s="1" t="n">
        <v>45014</v>
      </c>
      <c r="C32" s="1" t="n">
        <v>45937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8223-2025</t>
        </is>
      </c>
      <c r="B33" s="1" t="n">
        <v>45708.46127314815</v>
      </c>
      <c r="C33" s="1" t="n">
        <v>45937</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16107-2025</t>
        </is>
      </c>
      <c r="B34" s="1" t="n">
        <v>45750.34537037037</v>
      </c>
      <c r="C34" s="1" t="n">
        <v>45937</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49572-2022</t>
        </is>
      </c>
      <c r="B35" s="1" t="n">
        <v>44862.335</v>
      </c>
      <c r="C35" s="1" t="n">
        <v>45937</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40613-2025</t>
        </is>
      </c>
      <c r="B36" s="1" t="n">
        <v>45896</v>
      </c>
      <c r="C36" s="1" t="n">
        <v>45937</v>
      </c>
      <c r="D36" t="inlineStr">
        <is>
          <t>SKÅNE LÄN</t>
        </is>
      </c>
      <c r="E36" t="inlineStr">
        <is>
          <t>HÄSSLEHOLM</t>
        </is>
      </c>
      <c r="F36" t="inlineStr">
        <is>
          <t>Kyrkan</t>
        </is>
      </c>
      <c r="G36" t="n">
        <v>3.4</v>
      </c>
      <c r="H36" t="n">
        <v>1</v>
      </c>
      <c r="I36" t="n">
        <v>0</v>
      </c>
      <c r="J36" t="n">
        <v>0</v>
      </c>
      <c r="K36" t="n">
        <v>0</v>
      </c>
      <c r="L36" t="n">
        <v>0</v>
      </c>
      <c r="M36" t="n">
        <v>0</v>
      </c>
      <c r="N36" t="n">
        <v>0</v>
      </c>
      <c r="O36" t="n">
        <v>0</v>
      </c>
      <c r="P36" t="n">
        <v>0</v>
      </c>
      <c r="Q36" t="n">
        <v>1</v>
      </c>
      <c r="R36" s="2" t="inlineStr">
        <is>
          <t>Revlummer</t>
        </is>
      </c>
      <c r="S36">
        <f>HYPERLINK("https://klasma.github.io/Logging_1293/artfynd/A 40613-2025 artfynd.xlsx", "A 40613-2025")</f>
        <v/>
      </c>
      <c r="T36">
        <f>HYPERLINK("https://klasma.github.io/Logging_1293/kartor/A 40613-2025 karta.png", "A 40613-2025")</f>
        <v/>
      </c>
      <c r="V36">
        <f>HYPERLINK("https://klasma.github.io/Logging_1293/klagomål/A 40613-2025 FSC-klagomål.docx", "A 40613-2025")</f>
        <v/>
      </c>
      <c r="W36">
        <f>HYPERLINK("https://klasma.github.io/Logging_1293/klagomålsmail/A 40613-2025 FSC-klagomål mail.docx", "A 40613-2025")</f>
        <v/>
      </c>
      <c r="X36">
        <f>HYPERLINK("https://klasma.github.io/Logging_1293/tillsyn/A 40613-2025 tillsynsbegäran.docx", "A 40613-2025")</f>
        <v/>
      </c>
      <c r="Y36">
        <f>HYPERLINK("https://klasma.github.io/Logging_1293/tillsynsmail/A 40613-2025 tillsynsbegäran mail.docx", "A 40613-2025")</f>
        <v/>
      </c>
    </row>
    <row r="37" ht="15" customHeight="1">
      <c r="A37" t="inlineStr">
        <is>
          <t>A 36690-2025</t>
        </is>
      </c>
      <c r="B37" s="1" t="n">
        <v>45873.42915509259</v>
      </c>
      <c r="C37" s="1" t="n">
        <v>45937</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29272-2023</t>
        </is>
      </c>
      <c r="B38" s="1" t="n">
        <v>45105</v>
      </c>
      <c r="C38" s="1" t="n">
        <v>45937</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45937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45937</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45937</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45937</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45937</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45937</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45937</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45937</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45937</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45937</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45937</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45937</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45937</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45937</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45937</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45937</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45937</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45937</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45937</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45937</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45937</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1445-2021</t>
        </is>
      </c>
      <c r="B60" s="1" t="n">
        <v>44208</v>
      </c>
      <c r="C60" s="1" t="n">
        <v>45937</v>
      </c>
      <c r="D60" t="inlineStr">
        <is>
          <t>SKÅNE LÄN</t>
        </is>
      </c>
      <c r="E60" t="inlineStr">
        <is>
          <t>HÄSSLEHOLM</t>
        </is>
      </c>
      <c r="G60" t="n">
        <v>4.6</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45937</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45937</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45937</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45937</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45937</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45937</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45937</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45937</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45937</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45937</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45937</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45937</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45937</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45937</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45937</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23826-2021</t>
        </is>
      </c>
      <c r="B76" s="1" t="n">
        <v>44335</v>
      </c>
      <c r="C76" s="1" t="n">
        <v>45937</v>
      </c>
      <c r="D76" t="inlineStr">
        <is>
          <t>SKÅNE LÄN</t>
        </is>
      </c>
      <c r="E76" t="inlineStr">
        <is>
          <t>HÄSSLEHOLM</t>
        </is>
      </c>
      <c r="G76" t="n">
        <v>6.5</v>
      </c>
      <c r="H76" t="n">
        <v>0</v>
      </c>
      <c r="I76" t="n">
        <v>0</v>
      </c>
      <c r="J76" t="n">
        <v>0</v>
      </c>
      <c r="K76" t="n">
        <v>0</v>
      </c>
      <c r="L76" t="n">
        <v>0</v>
      </c>
      <c r="M76" t="n">
        <v>0</v>
      </c>
      <c r="N76" t="n">
        <v>0</v>
      </c>
      <c r="O76" t="n">
        <v>0</v>
      </c>
      <c r="P76" t="n">
        <v>0</v>
      </c>
      <c r="Q76" t="n">
        <v>0</v>
      </c>
      <c r="R76" s="2" t="inlineStr"/>
    </row>
    <row r="77" ht="15" customHeight="1">
      <c r="A77" t="inlineStr">
        <is>
          <t>A 56424-2021</t>
        </is>
      </c>
      <c r="B77" s="1" t="n">
        <v>44480</v>
      </c>
      <c r="C77" s="1" t="n">
        <v>45937</v>
      </c>
      <c r="D77" t="inlineStr">
        <is>
          <t>SKÅNE LÄN</t>
        </is>
      </c>
      <c r="E77" t="inlineStr">
        <is>
          <t>HÄSSLEHOLM</t>
        </is>
      </c>
      <c r="F77" t="inlineStr">
        <is>
          <t>Kyrkan</t>
        </is>
      </c>
      <c r="G77" t="n">
        <v>3.4</v>
      </c>
      <c r="H77" t="n">
        <v>0</v>
      </c>
      <c r="I77" t="n">
        <v>0</v>
      </c>
      <c r="J77" t="n">
        <v>0</v>
      </c>
      <c r="K77" t="n">
        <v>0</v>
      </c>
      <c r="L77" t="n">
        <v>0</v>
      </c>
      <c r="M77" t="n">
        <v>0</v>
      </c>
      <c r="N77" t="n">
        <v>0</v>
      </c>
      <c r="O77" t="n">
        <v>0</v>
      </c>
      <c r="P77" t="n">
        <v>0</v>
      </c>
      <c r="Q77" t="n">
        <v>0</v>
      </c>
      <c r="R77" s="2" t="inlineStr"/>
    </row>
    <row r="78" ht="15" customHeight="1">
      <c r="A78" t="inlineStr">
        <is>
          <t>A 58566-2021</t>
        </is>
      </c>
      <c r="B78" s="1" t="n">
        <v>44488.85538194444</v>
      </c>
      <c r="C78" s="1" t="n">
        <v>45937</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45937</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56502-2021</t>
        </is>
      </c>
      <c r="B80" s="1" t="n">
        <v>44480</v>
      </c>
      <c r="C80" s="1" t="n">
        <v>45937</v>
      </c>
      <c r="D80" t="inlineStr">
        <is>
          <t>SKÅNE LÄN</t>
        </is>
      </c>
      <c r="E80" t="inlineStr">
        <is>
          <t>HÄSSLEHOLM</t>
        </is>
      </c>
      <c r="F80" t="inlineStr">
        <is>
          <t>Kyrkan</t>
        </is>
      </c>
      <c r="G80" t="n">
        <v>13.8</v>
      </c>
      <c r="H80" t="n">
        <v>0</v>
      </c>
      <c r="I80" t="n">
        <v>0</v>
      </c>
      <c r="J80" t="n">
        <v>0</v>
      </c>
      <c r="K80" t="n">
        <v>0</v>
      </c>
      <c r="L80" t="n">
        <v>0</v>
      </c>
      <c r="M80" t="n">
        <v>0</v>
      </c>
      <c r="N80" t="n">
        <v>0</v>
      </c>
      <c r="O80" t="n">
        <v>0</v>
      </c>
      <c r="P80" t="n">
        <v>0</v>
      </c>
      <c r="Q80" t="n">
        <v>0</v>
      </c>
      <c r="R80" s="2" t="inlineStr"/>
    </row>
    <row r="81" ht="15" customHeight="1">
      <c r="A81" t="inlineStr">
        <is>
          <t>A 45284-2021</t>
        </is>
      </c>
      <c r="B81" s="1" t="n">
        <v>44439.65418981481</v>
      </c>
      <c r="C81" s="1" t="n">
        <v>45937</v>
      </c>
      <c r="D81" t="inlineStr">
        <is>
          <t>SKÅNE LÄN</t>
        </is>
      </c>
      <c r="E81" t="inlineStr">
        <is>
          <t>HÄSSLEHOLM</t>
        </is>
      </c>
      <c r="G81" t="n">
        <v>1.6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45937</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14402-2022</t>
        </is>
      </c>
      <c r="B83" s="1" t="n">
        <v>44652</v>
      </c>
      <c r="C83" s="1" t="n">
        <v>45937</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24496-2021</t>
        </is>
      </c>
      <c r="B84" s="1" t="n">
        <v>44337</v>
      </c>
      <c r="C84" s="1" t="n">
        <v>45937</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45937</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45937</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3855-2022</t>
        </is>
      </c>
      <c r="B87" s="1" t="n">
        <v>44587</v>
      </c>
      <c r="C87" s="1" t="n">
        <v>45937</v>
      </c>
      <c r="D87" t="inlineStr">
        <is>
          <t>SKÅNE LÄN</t>
        </is>
      </c>
      <c r="E87" t="inlineStr">
        <is>
          <t>HÄSSLEHOLM</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45937</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45937</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45937</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45937</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45937</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45937</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45937</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45937</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45937</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45937</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45937</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45937</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45937</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45937</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52561-2020</t>
        </is>
      </c>
      <c r="B102" s="1" t="n">
        <v>44116</v>
      </c>
      <c r="C102" s="1" t="n">
        <v>45937</v>
      </c>
      <c r="D102" t="inlineStr">
        <is>
          <t>SKÅNE LÄN</t>
        </is>
      </c>
      <c r="E102" t="inlineStr">
        <is>
          <t>HÄSSLEHOLM</t>
        </is>
      </c>
      <c r="G102" t="n">
        <v>6</v>
      </c>
      <c r="H102" t="n">
        <v>0</v>
      </c>
      <c r="I102" t="n">
        <v>0</v>
      </c>
      <c r="J102" t="n">
        <v>0</v>
      </c>
      <c r="K102" t="n">
        <v>0</v>
      </c>
      <c r="L102" t="n">
        <v>0</v>
      </c>
      <c r="M102" t="n">
        <v>0</v>
      </c>
      <c r="N102" t="n">
        <v>0</v>
      </c>
      <c r="O102" t="n">
        <v>0</v>
      </c>
      <c r="P102" t="n">
        <v>0</v>
      </c>
      <c r="Q102" t="n">
        <v>0</v>
      </c>
      <c r="R102" s="2" t="inlineStr"/>
    </row>
    <row r="103" ht="15" customHeight="1">
      <c r="A103" t="inlineStr">
        <is>
          <t>A 7857-2022</t>
        </is>
      </c>
      <c r="B103" s="1" t="n">
        <v>44607</v>
      </c>
      <c r="C103" s="1" t="n">
        <v>45937</v>
      </c>
      <c r="D103" t="inlineStr">
        <is>
          <t>SKÅNE LÄN</t>
        </is>
      </c>
      <c r="E103" t="inlineStr">
        <is>
          <t>HÄSSLEHOLM</t>
        </is>
      </c>
      <c r="F103" t="inlineStr">
        <is>
          <t>Kyrkan</t>
        </is>
      </c>
      <c r="G103" t="n">
        <v>12.2</v>
      </c>
      <c r="H103" t="n">
        <v>0</v>
      </c>
      <c r="I103" t="n">
        <v>0</v>
      </c>
      <c r="J103" t="n">
        <v>0</v>
      </c>
      <c r="K103" t="n">
        <v>0</v>
      </c>
      <c r="L103" t="n">
        <v>0</v>
      </c>
      <c r="M103" t="n">
        <v>0</v>
      </c>
      <c r="N103" t="n">
        <v>0</v>
      </c>
      <c r="O103" t="n">
        <v>0</v>
      </c>
      <c r="P103" t="n">
        <v>0</v>
      </c>
      <c r="Q103" t="n">
        <v>0</v>
      </c>
      <c r="R103" s="2" t="inlineStr"/>
    </row>
    <row r="104" ht="15" customHeight="1">
      <c r="A104" t="inlineStr">
        <is>
          <t>A 61072-2021</t>
        </is>
      </c>
      <c r="B104" s="1" t="n">
        <v>44497.83344907407</v>
      </c>
      <c r="C104" s="1" t="n">
        <v>45937</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34982-2022</t>
        </is>
      </c>
      <c r="B105" s="1" t="n">
        <v>44796.69055555556</v>
      </c>
      <c r="C105" s="1" t="n">
        <v>45937</v>
      </c>
      <c r="D105" t="inlineStr">
        <is>
          <t>SKÅNE LÄN</t>
        </is>
      </c>
      <c r="E105" t="inlineStr">
        <is>
          <t>HÄSSLEHOLM</t>
        </is>
      </c>
      <c r="F105" t="inlineStr">
        <is>
          <t>Kyrkan</t>
        </is>
      </c>
      <c r="G105" t="n">
        <v>3.4</v>
      </c>
      <c r="H105" t="n">
        <v>0</v>
      </c>
      <c r="I105" t="n">
        <v>0</v>
      </c>
      <c r="J105" t="n">
        <v>0</v>
      </c>
      <c r="K105" t="n">
        <v>0</v>
      </c>
      <c r="L105" t="n">
        <v>0</v>
      </c>
      <c r="M105" t="n">
        <v>0</v>
      </c>
      <c r="N105" t="n">
        <v>0</v>
      </c>
      <c r="O105" t="n">
        <v>0</v>
      </c>
      <c r="P105" t="n">
        <v>0</v>
      </c>
      <c r="Q105" t="n">
        <v>0</v>
      </c>
      <c r="R105" s="2" t="inlineStr"/>
    </row>
    <row r="106" ht="15" customHeight="1">
      <c r="A106" t="inlineStr">
        <is>
          <t>A 37170-2022</t>
        </is>
      </c>
      <c r="B106" s="1" t="n">
        <v>44806.61038194445</v>
      </c>
      <c r="C106" s="1" t="n">
        <v>45937</v>
      </c>
      <c r="D106" t="inlineStr">
        <is>
          <t>SKÅNE LÄN</t>
        </is>
      </c>
      <c r="E106" t="inlineStr">
        <is>
          <t>HÄSSLEHOLM</t>
        </is>
      </c>
      <c r="F106" t="inlineStr">
        <is>
          <t>Kyrkan</t>
        </is>
      </c>
      <c r="G106" t="n">
        <v>4.5</v>
      </c>
      <c r="H106" t="n">
        <v>0</v>
      </c>
      <c r="I106" t="n">
        <v>0</v>
      </c>
      <c r="J106" t="n">
        <v>0</v>
      </c>
      <c r="K106" t="n">
        <v>0</v>
      </c>
      <c r="L106" t="n">
        <v>0</v>
      </c>
      <c r="M106" t="n">
        <v>0</v>
      </c>
      <c r="N106" t="n">
        <v>0</v>
      </c>
      <c r="O106" t="n">
        <v>0</v>
      </c>
      <c r="P106" t="n">
        <v>0</v>
      </c>
      <c r="Q106" t="n">
        <v>0</v>
      </c>
      <c r="R106" s="2" t="inlineStr"/>
    </row>
    <row r="107" ht="15" customHeight="1">
      <c r="A107" t="inlineStr">
        <is>
          <t>A 61073-2021</t>
        </is>
      </c>
      <c r="B107" s="1" t="n">
        <v>44497.83447916667</v>
      </c>
      <c r="C107" s="1" t="n">
        <v>45937</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45937</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45937</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45937</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69103-2020</t>
        </is>
      </c>
      <c r="B111" s="1" t="n">
        <v>44188</v>
      </c>
      <c r="C111" s="1" t="n">
        <v>45937</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45937</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6962-2021</t>
        </is>
      </c>
      <c r="B113" s="1" t="n">
        <v>44237</v>
      </c>
      <c r="C113" s="1" t="n">
        <v>45937</v>
      </c>
      <c r="D113" t="inlineStr">
        <is>
          <t>SKÅNE LÄN</t>
        </is>
      </c>
      <c r="E113" t="inlineStr">
        <is>
          <t>HÄSSLEHOLM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45937</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9292-2022</t>
        </is>
      </c>
      <c r="B115" s="1" t="n">
        <v>44616</v>
      </c>
      <c r="C115" s="1" t="n">
        <v>45937</v>
      </c>
      <c r="D115" t="inlineStr">
        <is>
          <t>SKÅNE LÄN</t>
        </is>
      </c>
      <c r="E115" t="inlineStr">
        <is>
          <t>HÄSSLEHOLM</t>
        </is>
      </c>
      <c r="G115" t="n">
        <v>1.6</v>
      </c>
      <c r="H115" t="n">
        <v>0</v>
      </c>
      <c r="I115" t="n">
        <v>0</v>
      </c>
      <c r="J115" t="n">
        <v>0</v>
      </c>
      <c r="K115" t="n">
        <v>0</v>
      </c>
      <c r="L115" t="n">
        <v>0</v>
      </c>
      <c r="M115" t="n">
        <v>0</v>
      </c>
      <c r="N115" t="n">
        <v>0</v>
      </c>
      <c r="O115" t="n">
        <v>0</v>
      </c>
      <c r="P115" t="n">
        <v>0</v>
      </c>
      <c r="Q115" t="n">
        <v>0</v>
      </c>
      <c r="R115" s="2" t="inlineStr"/>
    </row>
    <row r="116" ht="15" customHeight="1">
      <c r="A116" t="inlineStr">
        <is>
          <t>A 3277-2022</t>
        </is>
      </c>
      <c r="B116" s="1" t="n">
        <v>44584.41274305555</v>
      </c>
      <c r="C116" s="1" t="n">
        <v>45937</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45937</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45937</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8278-2021</t>
        </is>
      </c>
      <c r="B119" s="1" t="n">
        <v>44244</v>
      </c>
      <c r="C119" s="1" t="n">
        <v>45937</v>
      </c>
      <c r="D119" t="inlineStr">
        <is>
          <t>SKÅNE LÄN</t>
        </is>
      </c>
      <c r="E119" t="inlineStr">
        <is>
          <t>HÄSSLEHOLM</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45937</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45937</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45937</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45937</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45937</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45937</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45937</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45937</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45937</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45937</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45937</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45937</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45937</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45937</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45937</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45937</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45937</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45937</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45937</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45937</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44397.57800925926</v>
      </c>
      <c r="C140" s="1" t="n">
        <v>45937</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20659-2021</t>
        </is>
      </c>
      <c r="B141" s="1" t="n">
        <v>44316</v>
      </c>
      <c r="C141" s="1" t="n">
        <v>45937</v>
      </c>
      <c r="D141" t="inlineStr">
        <is>
          <t>SKÅNE LÄN</t>
        </is>
      </c>
      <c r="E141" t="inlineStr">
        <is>
          <t>HÄSSLEHOLM</t>
        </is>
      </c>
      <c r="G141" t="n">
        <v>2.8</v>
      </c>
      <c r="H141" t="n">
        <v>0</v>
      </c>
      <c r="I141" t="n">
        <v>0</v>
      </c>
      <c r="J141" t="n">
        <v>0</v>
      </c>
      <c r="K141" t="n">
        <v>0</v>
      </c>
      <c r="L141" t="n">
        <v>0</v>
      </c>
      <c r="M141" t="n">
        <v>0</v>
      </c>
      <c r="N141" t="n">
        <v>0</v>
      </c>
      <c r="O141" t="n">
        <v>0</v>
      </c>
      <c r="P141" t="n">
        <v>0</v>
      </c>
      <c r="Q141" t="n">
        <v>0</v>
      </c>
      <c r="R141" s="2" t="inlineStr"/>
    </row>
    <row r="142" ht="15" customHeight="1">
      <c r="A142" t="inlineStr">
        <is>
          <t>A 21535-2021</t>
        </is>
      </c>
      <c r="B142" s="1" t="n">
        <v>44321</v>
      </c>
      <c r="C142" s="1" t="n">
        <v>45937</v>
      </c>
      <c r="D142" t="inlineStr">
        <is>
          <t>SKÅNE LÄN</t>
        </is>
      </c>
      <c r="E142" t="inlineStr">
        <is>
          <t>HÄSSLEHOLM</t>
        </is>
      </c>
      <c r="G142" t="n">
        <v>2.8</v>
      </c>
      <c r="H142" t="n">
        <v>0</v>
      </c>
      <c r="I142" t="n">
        <v>0</v>
      </c>
      <c r="J142" t="n">
        <v>0</v>
      </c>
      <c r="K142" t="n">
        <v>0</v>
      </c>
      <c r="L142" t="n">
        <v>0</v>
      </c>
      <c r="M142" t="n">
        <v>0</v>
      </c>
      <c r="N142" t="n">
        <v>0</v>
      </c>
      <c r="O142" t="n">
        <v>0</v>
      </c>
      <c r="P142" t="n">
        <v>0</v>
      </c>
      <c r="Q142" t="n">
        <v>0</v>
      </c>
      <c r="R142" s="2" t="inlineStr"/>
    </row>
    <row r="143" ht="15" customHeight="1">
      <c r="A143" t="inlineStr">
        <is>
          <t>A 62782-2020</t>
        </is>
      </c>
      <c r="B143" s="1" t="n">
        <v>44161</v>
      </c>
      <c r="C143" s="1" t="n">
        <v>45937</v>
      </c>
      <c r="D143" t="inlineStr">
        <is>
          <t>SKÅNE LÄN</t>
        </is>
      </c>
      <c r="E143" t="inlineStr">
        <is>
          <t>HÄSSLEHOLM</t>
        </is>
      </c>
      <c r="F143" t="inlineStr">
        <is>
          <t>Kyrkan</t>
        </is>
      </c>
      <c r="G143" t="n">
        <v>1.6</v>
      </c>
      <c r="H143" t="n">
        <v>0</v>
      </c>
      <c r="I143" t="n">
        <v>0</v>
      </c>
      <c r="J143" t="n">
        <v>0</v>
      </c>
      <c r="K143" t="n">
        <v>0</v>
      </c>
      <c r="L143" t="n">
        <v>0</v>
      </c>
      <c r="M143" t="n">
        <v>0</v>
      </c>
      <c r="N143" t="n">
        <v>0</v>
      </c>
      <c r="O143" t="n">
        <v>0</v>
      </c>
      <c r="P143" t="n">
        <v>0</v>
      </c>
      <c r="Q143" t="n">
        <v>0</v>
      </c>
      <c r="R143" s="2" t="inlineStr"/>
    </row>
    <row r="144" ht="15" customHeight="1">
      <c r="A144" t="inlineStr">
        <is>
          <t>A 34027-2021</t>
        </is>
      </c>
      <c r="B144" s="1" t="n">
        <v>44379</v>
      </c>
      <c r="C144" s="1" t="n">
        <v>45937</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32792-2021</t>
        </is>
      </c>
      <c r="B145" s="1" t="n">
        <v>44375</v>
      </c>
      <c r="C145" s="1" t="n">
        <v>45937</v>
      </c>
      <c r="D145" t="inlineStr">
        <is>
          <t>SKÅNE LÄN</t>
        </is>
      </c>
      <c r="E145" t="inlineStr">
        <is>
          <t>HÄSSLEHOLM</t>
        </is>
      </c>
      <c r="G145" t="n">
        <v>1</v>
      </c>
      <c r="H145" t="n">
        <v>0</v>
      </c>
      <c r="I145" t="n">
        <v>0</v>
      </c>
      <c r="J145" t="n">
        <v>0</v>
      </c>
      <c r="K145" t="n">
        <v>0</v>
      </c>
      <c r="L145" t="n">
        <v>0</v>
      </c>
      <c r="M145" t="n">
        <v>0</v>
      </c>
      <c r="N145" t="n">
        <v>0</v>
      </c>
      <c r="O145" t="n">
        <v>0</v>
      </c>
      <c r="P145" t="n">
        <v>0</v>
      </c>
      <c r="Q145" t="n">
        <v>0</v>
      </c>
      <c r="R145" s="2" t="inlineStr"/>
    </row>
    <row r="146" ht="15" customHeight="1">
      <c r="A146" t="inlineStr">
        <is>
          <t>A 3167-2022</t>
        </is>
      </c>
      <c r="B146" s="1" t="n">
        <v>44582</v>
      </c>
      <c r="C146" s="1" t="n">
        <v>45937</v>
      </c>
      <c r="D146" t="inlineStr">
        <is>
          <t>SKÅNE LÄN</t>
        </is>
      </c>
      <c r="E146" t="inlineStr">
        <is>
          <t>HÄSSLEHOLM</t>
        </is>
      </c>
      <c r="F146" t="inlineStr">
        <is>
          <t>Kommuner</t>
        </is>
      </c>
      <c r="G146" t="n">
        <v>1.5</v>
      </c>
      <c r="H146" t="n">
        <v>0</v>
      </c>
      <c r="I146" t="n">
        <v>0</v>
      </c>
      <c r="J146" t="n">
        <v>0</v>
      </c>
      <c r="K146" t="n">
        <v>0</v>
      </c>
      <c r="L146" t="n">
        <v>0</v>
      </c>
      <c r="M146" t="n">
        <v>0</v>
      </c>
      <c r="N146" t="n">
        <v>0</v>
      </c>
      <c r="O146" t="n">
        <v>0</v>
      </c>
      <c r="P146" t="n">
        <v>0</v>
      </c>
      <c r="Q146" t="n">
        <v>0</v>
      </c>
      <c r="R146" s="2" t="inlineStr"/>
    </row>
    <row r="147" ht="15" customHeight="1">
      <c r="A147" t="inlineStr">
        <is>
          <t>A 74297-2021</t>
        </is>
      </c>
      <c r="B147" s="1" t="n">
        <v>44558</v>
      </c>
      <c r="C147" s="1" t="n">
        <v>45937</v>
      </c>
      <c r="D147" t="inlineStr">
        <is>
          <t>SKÅNE LÄN</t>
        </is>
      </c>
      <c r="E147" t="inlineStr">
        <is>
          <t>HÄSSLEHOLM</t>
        </is>
      </c>
      <c r="F147" t="inlineStr">
        <is>
          <t>Kyrkan</t>
        </is>
      </c>
      <c r="G147" t="n">
        <v>3.8</v>
      </c>
      <c r="H147" t="n">
        <v>0</v>
      </c>
      <c r="I147" t="n">
        <v>0</v>
      </c>
      <c r="J147" t="n">
        <v>0</v>
      </c>
      <c r="K147" t="n">
        <v>0</v>
      </c>
      <c r="L147" t="n">
        <v>0</v>
      </c>
      <c r="M147" t="n">
        <v>0</v>
      </c>
      <c r="N147" t="n">
        <v>0</v>
      </c>
      <c r="O147" t="n">
        <v>0</v>
      </c>
      <c r="P147" t="n">
        <v>0</v>
      </c>
      <c r="Q147" t="n">
        <v>0</v>
      </c>
      <c r="R147" s="2" t="inlineStr"/>
    </row>
    <row r="148" ht="15" customHeight="1">
      <c r="A148" t="inlineStr">
        <is>
          <t>A 2514-2021</t>
        </is>
      </c>
      <c r="B148" s="1" t="n">
        <v>44214</v>
      </c>
      <c r="C148" s="1" t="n">
        <v>45937</v>
      </c>
      <c r="D148" t="inlineStr">
        <is>
          <t>SKÅNE LÄN</t>
        </is>
      </c>
      <c r="E148" t="inlineStr">
        <is>
          <t>HÄSSLEHOLM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13811-2021</t>
        </is>
      </c>
      <c r="B149" s="1" t="n">
        <v>44276</v>
      </c>
      <c r="C149" s="1" t="n">
        <v>45937</v>
      </c>
      <c r="D149" t="inlineStr">
        <is>
          <t>SKÅNE LÄN</t>
        </is>
      </c>
      <c r="E149" t="inlineStr">
        <is>
          <t>HÄSSLEHOLM</t>
        </is>
      </c>
      <c r="G149" t="n">
        <v>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45937</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45937</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45937</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57807-2020</t>
        </is>
      </c>
      <c r="B153" s="1" t="n">
        <v>44141</v>
      </c>
      <c r="C153" s="1" t="n">
        <v>45937</v>
      </c>
      <c r="D153" t="inlineStr">
        <is>
          <t>SKÅNE LÄN</t>
        </is>
      </c>
      <c r="E153" t="inlineStr">
        <is>
          <t>HÄSSLEHOLM</t>
        </is>
      </c>
      <c r="G153" t="n">
        <v>1.9</v>
      </c>
      <c r="H153" t="n">
        <v>0</v>
      </c>
      <c r="I153" t="n">
        <v>0</v>
      </c>
      <c r="J153" t="n">
        <v>0</v>
      </c>
      <c r="K153" t="n">
        <v>0</v>
      </c>
      <c r="L153" t="n">
        <v>0</v>
      </c>
      <c r="M153" t="n">
        <v>0</v>
      </c>
      <c r="N153" t="n">
        <v>0</v>
      </c>
      <c r="O153" t="n">
        <v>0</v>
      </c>
      <c r="P153" t="n">
        <v>0</v>
      </c>
      <c r="Q153" t="n">
        <v>0</v>
      </c>
      <c r="R153" s="2" t="inlineStr"/>
    </row>
    <row r="154" ht="15" customHeight="1">
      <c r="A154" t="inlineStr">
        <is>
          <t>A 62802-2020</t>
        </is>
      </c>
      <c r="B154" s="1" t="n">
        <v>44161</v>
      </c>
      <c r="C154" s="1" t="n">
        <v>45937</v>
      </c>
      <c r="D154" t="inlineStr">
        <is>
          <t>SKÅNE LÄN</t>
        </is>
      </c>
      <c r="E154" t="inlineStr">
        <is>
          <t>HÄSSLEHOLM</t>
        </is>
      </c>
      <c r="G154" t="n">
        <v>1.1</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45937</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69505-2020</t>
        </is>
      </c>
      <c r="B156" s="1" t="n">
        <v>44194</v>
      </c>
      <c r="C156" s="1" t="n">
        <v>45937</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34679-2021</t>
        </is>
      </c>
      <c r="B157" s="1" t="n">
        <v>44382</v>
      </c>
      <c r="C157" s="1" t="n">
        <v>45937</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61216-2020</t>
        </is>
      </c>
      <c r="B158" s="1" t="n">
        <v>44155</v>
      </c>
      <c r="C158" s="1" t="n">
        <v>45937</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45937</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4161-2022</t>
        </is>
      </c>
      <c r="B160" s="1" t="n">
        <v>44588</v>
      </c>
      <c r="C160" s="1" t="n">
        <v>45937</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1535-2022</t>
        </is>
      </c>
      <c r="B161" s="1" t="n">
        <v>44573</v>
      </c>
      <c r="C161" s="1" t="n">
        <v>45937</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45937</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40702-2021</t>
        </is>
      </c>
      <c r="B163" s="1" t="n">
        <v>44420.61719907408</v>
      </c>
      <c r="C163" s="1" t="n">
        <v>45937</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6967-2021</t>
        </is>
      </c>
      <c r="B164" s="1" t="n">
        <v>44237</v>
      </c>
      <c r="C164" s="1" t="n">
        <v>45937</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21029-2021</t>
        </is>
      </c>
      <c r="B165" s="1" t="n">
        <v>44319.63366898148</v>
      </c>
      <c r="C165" s="1" t="n">
        <v>45937</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418-2022</t>
        </is>
      </c>
      <c r="B166" s="1" t="n">
        <v>44565.84958333334</v>
      </c>
      <c r="C166" s="1" t="n">
        <v>45937</v>
      </c>
      <c r="D166" t="inlineStr">
        <is>
          <t>SKÅNE LÄN</t>
        </is>
      </c>
      <c r="E166" t="inlineStr">
        <is>
          <t>HÄSSLEHOLM</t>
        </is>
      </c>
      <c r="G166" t="n">
        <v>0</v>
      </c>
      <c r="H166" t="n">
        <v>0</v>
      </c>
      <c r="I166" t="n">
        <v>0</v>
      </c>
      <c r="J166" t="n">
        <v>0</v>
      </c>
      <c r="K166" t="n">
        <v>0</v>
      </c>
      <c r="L166" t="n">
        <v>0</v>
      </c>
      <c r="M166" t="n">
        <v>0</v>
      </c>
      <c r="N166" t="n">
        <v>0</v>
      </c>
      <c r="O166" t="n">
        <v>0</v>
      </c>
      <c r="P166" t="n">
        <v>0</v>
      </c>
      <c r="Q166" t="n">
        <v>0</v>
      </c>
      <c r="R166" s="2" t="inlineStr"/>
    </row>
    <row r="167" ht="15" customHeight="1">
      <c r="A167" t="inlineStr">
        <is>
          <t>A 64607-2021</t>
        </is>
      </c>
      <c r="B167" s="1" t="n">
        <v>44511</v>
      </c>
      <c r="C167" s="1" t="n">
        <v>45937</v>
      </c>
      <c r="D167" t="inlineStr">
        <is>
          <t>SKÅNE LÄN</t>
        </is>
      </c>
      <c r="E167" t="inlineStr">
        <is>
          <t>HÄSSLEHOLM</t>
        </is>
      </c>
      <c r="G167" t="n">
        <v>1.5</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45937</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9453-2021</t>
        </is>
      </c>
      <c r="B169" s="1" t="n">
        <v>44251</v>
      </c>
      <c r="C169" s="1" t="n">
        <v>45937</v>
      </c>
      <c r="D169" t="inlineStr">
        <is>
          <t>SKÅNE LÄN</t>
        </is>
      </c>
      <c r="E169" t="inlineStr">
        <is>
          <t>HÄSSLEHOLM</t>
        </is>
      </c>
      <c r="G169" t="n">
        <v>1.4</v>
      </c>
      <c r="H169" t="n">
        <v>0</v>
      </c>
      <c r="I169" t="n">
        <v>0</v>
      </c>
      <c r="J169" t="n">
        <v>0</v>
      </c>
      <c r="K169" t="n">
        <v>0</v>
      </c>
      <c r="L169" t="n">
        <v>0</v>
      </c>
      <c r="M169" t="n">
        <v>0</v>
      </c>
      <c r="N169" t="n">
        <v>0</v>
      </c>
      <c r="O169" t="n">
        <v>0</v>
      </c>
      <c r="P169" t="n">
        <v>0</v>
      </c>
      <c r="Q169" t="n">
        <v>0</v>
      </c>
      <c r="R169" s="2" t="inlineStr"/>
    </row>
    <row r="170" ht="15" customHeight="1">
      <c r="A170" t="inlineStr">
        <is>
          <t>A 66474-2020</t>
        </is>
      </c>
      <c r="B170" s="1" t="n">
        <v>44177</v>
      </c>
      <c r="C170" s="1" t="n">
        <v>45937</v>
      </c>
      <c r="D170" t="inlineStr">
        <is>
          <t>SKÅNE LÄN</t>
        </is>
      </c>
      <c r="E170" t="inlineStr">
        <is>
          <t>HÄSSLEHOLM</t>
        </is>
      </c>
      <c r="G170" t="n">
        <v>2.8</v>
      </c>
      <c r="H170" t="n">
        <v>0</v>
      </c>
      <c r="I170" t="n">
        <v>0</v>
      </c>
      <c r="J170" t="n">
        <v>0</v>
      </c>
      <c r="K170" t="n">
        <v>0</v>
      </c>
      <c r="L170" t="n">
        <v>0</v>
      </c>
      <c r="M170" t="n">
        <v>0</v>
      </c>
      <c r="N170" t="n">
        <v>0</v>
      </c>
      <c r="O170" t="n">
        <v>0</v>
      </c>
      <c r="P170" t="n">
        <v>0</v>
      </c>
      <c r="Q170" t="n">
        <v>0</v>
      </c>
      <c r="R170" s="2" t="inlineStr"/>
    </row>
    <row r="171" ht="15" customHeight="1">
      <c r="A171" t="inlineStr">
        <is>
          <t>A 7250-2022</t>
        </is>
      </c>
      <c r="B171" s="1" t="n">
        <v>44606</v>
      </c>
      <c r="C171" s="1" t="n">
        <v>45937</v>
      </c>
      <c r="D171" t="inlineStr">
        <is>
          <t>SKÅNE LÄN</t>
        </is>
      </c>
      <c r="E171" t="inlineStr">
        <is>
          <t>HÄSSLEHOLM</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23003-2021</t>
        </is>
      </c>
      <c r="B172" s="1" t="n">
        <v>44328</v>
      </c>
      <c r="C172" s="1" t="n">
        <v>45937</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18515-2021</t>
        </is>
      </c>
      <c r="B173" s="1" t="n">
        <v>44305</v>
      </c>
      <c r="C173" s="1" t="n">
        <v>45937</v>
      </c>
      <c r="D173" t="inlineStr">
        <is>
          <t>SKÅNE LÄN</t>
        </is>
      </c>
      <c r="E173" t="inlineStr">
        <is>
          <t>HÄSSLEHOLM</t>
        </is>
      </c>
      <c r="F173" t="inlineStr">
        <is>
          <t>Övriga Aktiebolag</t>
        </is>
      </c>
      <c r="G173" t="n">
        <v>0.5</v>
      </c>
      <c r="H173" t="n">
        <v>0</v>
      </c>
      <c r="I173" t="n">
        <v>0</v>
      </c>
      <c r="J173" t="n">
        <v>0</v>
      </c>
      <c r="K173" t="n">
        <v>0</v>
      </c>
      <c r="L173" t="n">
        <v>0</v>
      </c>
      <c r="M173" t="n">
        <v>0</v>
      </c>
      <c r="N173" t="n">
        <v>0</v>
      </c>
      <c r="O173" t="n">
        <v>0</v>
      </c>
      <c r="P173" t="n">
        <v>0</v>
      </c>
      <c r="Q173" t="n">
        <v>0</v>
      </c>
      <c r="R173" s="2" t="inlineStr"/>
    </row>
    <row r="174" ht="15" customHeight="1">
      <c r="A174" t="inlineStr">
        <is>
          <t>A 18523-2021</t>
        </is>
      </c>
      <c r="B174" s="1" t="n">
        <v>44305</v>
      </c>
      <c r="C174" s="1" t="n">
        <v>45937</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12617-2021</t>
        </is>
      </c>
      <c r="B175" s="1" t="n">
        <v>44270.45030092593</v>
      </c>
      <c r="C175" s="1" t="n">
        <v>45937</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51895-2021</t>
        </is>
      </c>
      <c r="B176" s="1" t="n">
        <v>44462</v>
      </c>
      <c r="C176" s="1" t="n">
        <v>45937</v>
      </c>
      <c r="D176" t="inlineStr">
        <is>
          <t>SKÅNE LÄN</t>
        </is>
      </c>
      <c r="E176" t="inlineStr">
        <is>
          <t>HÄSSLEHOLM</t>
        </is>
      </c>
      <c r="G176" t="n">
        <v>5.7</v>
      </c>
      <c r="H176" t="n">
        <v>0</v>
      </c>
      <c r="I176" t="n">
        <v>0</v>
      </c>
      <c r="J176" t="n">
        <v>0</v>
      </c>
      <c r="K176" t="n">
        <v>0</v>
      </c>
      <c r="L176" t="n">
        <v>0</v>
      </c>
      <c r="M176" t="n">
        <v>0</v>
      </c>
      <c r="N176" t="n">
        <v>0</v>
      </c>
      <c r="O176" t="n">
        <v>0</v>
      </c>
      <c r="P176" t="n">
        <v>0</v>
      </c>
      <c r="Q176" t="n">
        <v>0</v>
      </c>
      <c r="R176" s="2" t="inlineStr"/>
    </row>
    <row r="177" ht="15" customHeight="1">
      <c r="A177" t="inlineStr">
        <is>
          <t>A 2631-2022</t>
        </is>
      </c>
      <c r="B177" s="1" t="n">
        <v>44580</v>
      </c>
      <c r="C177" s="1" t="n">
        <v>45937</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5091-2022</t>
        </is>
      </c>
      <c r="B178" s="1" t="n">
        <v>44593.85114583333</v>
      </c>
      <c r="C178" s="1" t="n">
        <v>45937</v>
      </c>
      <c r="D178" t="inlineStr">
        <is>
          <t>SKÅNE LÄN</t>
        </is>
      </c>
      <c r="E178" t="inlineStr">
        <is>
          <t>HÄSSLEHOLM</t>
        </is>
      </c>
      <c r="G178" t="n">
        <v>2.5</v>
      </c>
      <c r="H178" t="n">
        <v>0</v>
      </c>
      <c r="I178" t="n">
        <v>0</v>
      </c>
      <c r="J178" t="n">
        <v>0</v>
      </c>
      <c r="K178" t="n">
        <v>0</v>
      </c>
      <c r="L178" t="n">
        <v>0</v>
      </c>
      <c r="M178" t="n">
        <v>0</v>
      </c>
      <c r="N178" t="n">
        <v>0</v>
      </c>
      <c r="O178" t="n">
        <v>0</v>
      </c>
      <c r="P178" t="n">
        <v>0</v>
      </c>
      <c r="Q178" t="n">
        <v>0</v>
      </c>
      <c r="R178" s="2" t="inlineStr"/>
    </row>
    <row r="179" ht="15" customHeight="1">
      <c r="A179" t="inlineStr">
        <is>
          <t>A 219-2022</t>
        </is>
      </c>
      <c r="B179" s="1" t="n">
        <v>44564</v>
      </c>
      <c r="C179" s="1" t="n">
        <v>45937</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6048-2022</t>
        </is>
      </c>
      <c r="B180" s="1" t="n">
        <v>44599.5174537037</v>
      </c>
      <c r="C180" s="1" t="n">
        <v>45937</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15423-2022</t>
        </is>
      </c>
      <c r="B181" s="1" t="n">
        <v>44659</v>
      </c>
      <c r="C181" s="1" t="n">
        <v>45937</v>
      </c>
      <c r="D181" t="inlineStr">
        <is>
          <t>SKÅNE LÄN</t>
        </is>
      </c>
      <c r="E181" t="inlineStr">
        <is>
          <t>HÄSSLEHOLM</t>
        </is>
      </c>
      <c r="F181" t="inlineStr">
        <is>
          <t>Kyrkan</t>
        </is>
      </c>
      <c r="G181" t="n">
        <v>0.9</v>
      </c>
      <c r="H181" t="n">
        <v>0</v>
      </c>
      <c r="I181" t="n">
        <v>0</v>
      </c>
      <c r="J181" t="n">
        <v>0</v>
      </c>
      <c r="K181" t="n">
        <v>0</v>
      </c>
      <c r="L181" t="n">
        <v>0</v>
      </c>
      <c r="M181" t="n">
        <v>0</v>
      </c>
      <c r="N181" t="n">
        <v>0</v>
      </c>
      <c r="O181" t="n">
        <v>0</v>
      </c>
      <c r="P181" t="n">
        <v>0</v>
      </c>
      <c r="Q181" t="n">
        <v>0</v>
      </c>
      <c r="R181" s="2" t="inlineStr"/>
    </row>
    <row r="182" ht="15" customHeight="1">
      <c r="A182" t="inlineStr">
        <is>
          <t>A 60260-2021</t>
        </is>
      </c>
      <c r="B182" s="1" t="n">
        <v>44495</v>
      </c>
      <c r="C182" s="1" t="n">
        <v>45937</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15986-2022</t>
        </is>
      </c>
      <c r="B183" s="1" t="n">
        <v>44664</v>
      </c>
      <c r="C183" s="1" t="n">
        <v>45937</v>
      </c>
      <c r="D183" t="inlineStr">
        <is>
          <t>SKÅNE LÄN</t>
        </is>
      </c>
      <c r="E183" t="inlineStr">
        <is>
          <t>HÄSSLEHOLM</t>
        </is>
      </c>
      <c r="F183" t="inlineStr">
        <is>
          <t>Kyrkan</t>
        </is>
      </c>
      <c r="G183" t="n">
        <v>6</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45937</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53576-2022</t>
        </is>
      </c>
      <c r="B185" s="1" t="n">
        <v>44875</v>
      </c>
      <c r="C185" s="1" t="n">
        <v>45937</v>
      </c>
      <c r="D185" t="inlineStr">
        <is>
          <t>SKÅNE LÄN</t>
        </is>
      </c>
      <c r="E185" t="inlineStr">
        <is>
          <t>HÄSSLEHOLM</t>
        </is>
      </c>
      <c r="F185" t="inlineStr">
        <is>
          <t>Övriga Aktiebolag</t>
        </is>
      </c>
      <c r="G185" t="n">
        <v>1.2</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45937</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51888-2021</t>
        </is>
      </c>
      <c r="B187" s="1" t="n">
        <v>44462</v>
      </c>
      <c r="C187" s="1" t="n">
        <v>45937</v>
      </c>
      <c r="D187" t="inlineStr">
        <is>
          <t>SKÅNE LÄN</t>
        </is>
      </c>
      <c r="E187" t="inlineStr">
        <is>
          <t>HÄSSLEHOLM</t>
        </is>
      </c>
      <c r="G187" t="n">
        <v>5.6</v>
      </c>
      <c r="H187" t="n">
        <v>0</v>
      </c>
      <c r="I187" t="n">
        <v>0</v>
      </c>
      <c r="J187" t="n">
        <v>0</v>
      </c>
      <c r="K187" t="n">
        <v>0</v>
      </c>
      <c r="L187" t="n">
        <v>0</v>
      </c>
      <c r="M187" t="n">
        <v>0</v>
      </c>
      <c r="N187" t="n">
        <v>0</v>
      </c>
      <c r="O187" t="n">
        <v>0</v>
      </c>
      <c r="P187" t="n">
        <v>0</v>
      </c>
      <c r="Q187" t="n">
        <v>0</v>
      </c>
      <c r="R187" s="2" t="inlineStr"/>
    </row>
    <row r="188" ht="15" customHeight="1">
      <c r="A188" t="inlineStr">
        <is>
          <t>A 52786-2021</t>
        </is>
      </c>
      <c r="B188" s="1" t="n">
        <v>44467.36061342592</v>
      </c>
      <c r="C188" s="1" t="n">
        <v>45937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62347-2020</t>
        </is>
      </c>
      <c r="B189" s="1" t="n">
        <v>44159</v>
      </c>
      <c r="C189" s="1" t="n">
        <v>45937</v>
      </c>
      <c r="D189" t="inlineStr">
        <is>
          <t>SKÅNE LÄN</t>
        </is>
      </c>
      <c r="E189" t="inlineStr">
        <is>
          <t>HÄSSLEHOLM</t>
        </is>
      </c>
      <c r="G189" t="n">
        <v>4</v>
      </c>
      <c r="H189" t="n">
        <v>0</v>
      </c>
      <c r="I189" t="n">
        <v>0</v>
      </c>
      <c r="J189" t="n">
        <v>0</v>
      </c>
      <c r="K189" t="n">
        <v>0</v>
      </c>
      <c r="L189" t="n">
        <v>0</v>
      </c>
      <c r="M189" t="n">
        <v>0</v>
      </c>
      <c r="N189" t="n">
        <v>0</v>
      </c>
      <c r="O189" t="n">
        <v>0</v>
      </c>
      <c r="P189" t="n">
        <v>0</v>
      </c>
      <c r="Q189" t="n">
        <v>0</v>
      </c>
      <c r="R189" s="2" t="inlineStr"/>
    </row>
    <row r="190" ht="15" customHeight="1">
      <c r="A190" t="inlineStr">
        <is>
          <t>A 29143-2021</t>
        </is>
      </c>
      <c r="B190" s="1" t="n">
        <v>44358.6319212963</v>
      </c>
      <c r="C190" s="1" t="n">
        <v>45937</v>
      </c>
      <c r="D190" t="inlineStr">
        <is>
          <t>SKÅNE LÄN</t>
        </is>
      </c>
      <c r="E190" t="inlineStr">
        <is>
          <t>HÄSSLEHOLM</t>
        </is>
      </c>
      <c r="G190" t="n">
        <v>2.9</v>
      </c>
      <c r="H190" t="n">
        <v>0</v>
      </c>
      <c r="I190" t="n">
        <v>0</v>
      </c>
      <c r="J190" t="n">
        <v>0</v>
      </c>
      <c r="K190" t="n">
        <v>0</v>
      </c>
      <c r="L190" t="n">
        <v>0</v>
      </c>
      <c r="M190" t="n">
        <v>0</v>
      </c>
      <c r="N190" t="n">
        <v>0</v>
      </c>
      <c r="O190" t="n">
        <v>0</v>
      </c>
      <c r="P190" t="n">
        <v>0</v>
      </c>
      <c r="Q190" t="n">
        <v>0</v>
      </c>
      <c r="R190" s="2" t="inlineStr"/>
    </row>
    <row r="191" ht="15" customHeight="1">
      <c r="A191" t="inlineStr">
        <is>
          <t>A 58509-2020</t>
        </is>
      </c>
      <c r="B191" s="1" t="n">
        <v>44144</v>
      </c>
      <c r="C191" s="1" t="n">
        <v>45937</v>
      </c>
      <c r="D191" t="inlineStr">
        <is>
          <t>SKÅNE LÄN</t>
        </is>
      </c>
      <c r="E191" t="inlineStr">
        <is>
          <t>HÄSSLEHOLM</t>
        </is>
      </c>
      <c r="G191" t="n">
        <v>8.5</v>
      </c>
      <c r="H191" t="n">
        <v>0</v>
      </c>
      <c r="I191" t="n">
        <v>0</v>
      </c>
      <c r="J191" t="n">
        <v>0</v>
      </c>
      <c r="K191" t="n">
        <v>0</v>
      </c>
      <c r="L191" t="n">
        <v>0</v>
      </c>
      <c r="M191" t="n">
        <v>0</v>
      </c>
      <c r="N191" t="n">
        <v>0</v>
      </c>
      <c r="O191" t="n">
        <v>0</v>
      </c>
      <c r="P191" t="n">
        <v>0</v>
      </c>
      <c r="Q191" t="n">
        <v>0</v>
      </c>
      <c r="R191" s="2" t="inlineStr"/>
    </row>
    <row r="192" ht="15" customHeight="1">
      <c r="A192" t="inlineStr">
        <is>
          <t>A 56989-2021</t>
        </is>
      </c>
      <c r="B192" s="1" t="n">
        <v>44482</v>
      </c>
      <c r="C192" s="1" t="n">
        <v>45937</v>
      </c>
      <c r="D192" t="inlineStr">
        <is>
          <t>SKÅNE LÄN</t>
        </is>
      </c>
      <c r="E192" t="inlineStr">
        <is>
          <t>HÄSSLEHOLM</t>
        </is>
      </c>
      <c r="G192" t="n">
        <v>1.1</v>
      </c>
      <c r="H192" t="n">
        <v>0</v>
      </c>
      <c r="I192" t="n">
        <v>0</v>
      </c>
      <c r="J192" t="n">
        <v>0</v>
      </c>
      <c r="K192" t="n">
        <v>0</v>
      </c>
      <c r="L192" t="n">
        <v>0</v>
      </c>
      <c r="M192" t="n">
        <v>0</v>
      </c>
      <c r="N192" t="n">
        <v>0</v>
      </c>
      <c r="O192" t="n">
        <v>0</v>
      </c>
      <c r="P192" t="n">
        <v>0</v>
      </c>
      <c r="Q192" t="n">
        <v>0</v>
      </c>
      <c r="R192" s="2" t="inlineStr"/>
    </row>
    <row r="193" ht="15" customHeight="1">
      <c r="A193" t="inlineStr">
        <is>
          <t>A 57811-2020</t>
        </is>
      </c>
      <c r="B193" s="1" t="n">
        <v>44141</v>
      </c>
      <c r="C193" s="1" t="n">
        <v>45937</v>
      </c>
      <c r="D193" t="inlineStr">
        <is>
          <t>SKÅNE LÄN</t>
        </is>
      </c>
      <c r="E193" t="inlineStr">
        <is>
          <t>HÄSSLEHOLM</t>
        </is>
      </c>
      <c r="G193" t="n">
        <v>2</v>
      </c>
      <c r="H193" t="n">
        <v>0</v>
      </c>
      <c r="I193" t="n">
        <v>0</v>
      </c>
      <c r="J193" t="n">
        <v>0</v>
      </c>
      <c r="K193" t="n">
        <v>0</v>
      </c>
      <c r="L193" t="n">
        <v>0</v>
      </c>
      <c r="M193" t="n">
        <v>0</v>
      </c>
      <c r="N193" t="n">
        <v>0</v>
      </c>
      <c r="O193" t="n">
        <v>0</v>
      </c>
      <c r="P193" t="n">
        <v>0</v>
      </c>
      <c r="Q193" t="n">
        <v>0</v>
      </c>
      <c r="R193" s="2" t="inlineStr"/>
    </row>
    <row r="194" ht="15" customHeight="1">
      <c r="A194" t="inlineStr">
        <is>
          <t>A 51159-2021</t>
        </is>
      </c>
      <c r="B194" s="1" t="n">
        <v>44461</v>
      </c>
      <c r="C194" s="1" t="n">
        <v>45937</v>
      </c>
      <c r="D194" t="inlineStr">
        <is>
          <t>SKÅNE LÄN</t>
        </is>
      </c>
      <c r="E194" t="inlineStr">
        <is>
          <t>HÄSSLEHOLM</t>
        </is>
      </c>
      <c r="F194" t="inlineStr">
        <is>
          <t>Kommuner</t>
        </is>
      </c>
      <c r="G194" t="n">
        <v>0.8</v>
      </c>
      <c r="H194" t="n">
        <v>0</v>
      </c>
      <c r="I194" t="n">
        <v>0</v>
      </c>
      <c r="J194" t="n">
        <v>0</v>
      </c>
      <c r="K194" t="n">
        <v>0</v>
      </c>
      <c r="L194" t="n">
        <v>0</v>
      </c>
      <c r="M194" t="n">
        <v>0</v>
      </c>
      <c r="N194" t="n">
        <v>0</v>
      </c>
      <c r="O194" t="n">
        <v>0</v>
      </c>
      <c r="P194" t="n">
        <v>0</v>
      </c>
      <c r="Q194" t="n">
        <v>0</v>
      </c>
      <c r="R194" s="2" t="inlineStr"/>
    </row>
    <row r="195" ht="15" customHeight="1">
      <c r="A195" t="inlineStr">
        <is>
          <t>A 59542-2020</t>
        </is>
      </c>
      <c r="B195" s="1" t="n">
        <v>44148</v>
      </c>
      <c r="C195" s="1" t="n">
        <v>45937</v>
      </c>
      <c r="D195" t="inlineStr">
        <is>
          <t>SKÅNE LÄN</t>
        </is>
      </c>
      <c r="E195" t="inlineStr">
        <is>
          <t>HÄSSLEHOLM</t>
        </is>
      </c>
      <c r="G195" t="n">
        <v>0.7</v>
      </c>
      <c r="H195" t="n">
        <v>0</v>
      </c>
      <c r="I195" t="n">
        <v>0</v>
      </c>
      <c r="J195" t="n">
        <v>0</v>
      </c>
      <c r="K195" t="n">
        <v>0</v>
      </c>
      <c r="L195" t="n">
        <v>0</v>
      </c>
      <c r="M195" t="n">
        <v>0</v>
      </c>
      <c r="N195" t="n">
        <v>0</v>
      </c>
      <c r="O195" t="n">
        <v>0</v>
      </c>
      <c r="P195" t="n">
        <v>0</v>
      </c>
      <c r="Q195" t="n">
        <v>0</v>
      </c>
      <c r="R195" s="2" t="inlineStr"/>
    </row>
    <row r="196" ht="15" customHeight="1">
      <c r="A196" t="inlineStr">
        <is>
          <t>A 25383-2021</t>
        </is>
      </c>
      <c r="B196" s="1" t="n">
        <v>44342</v>
      </c>
      <c r="C196" s="1" t="n">
        <v>45937</v>
      </c>
      <c r="D196" t="inlineStr">
        <is>
          <t>SKÅNE LÄN</t>
        </is>
      </c>
      <c r="E196" t="inlineStr">
        <is>
          <t>HÄSSLEHOLM</t>
        </is>
      </c>
      <c r="G196" t="n">
        <v>0.7</v>
      </c>
      <c r="H196" t="n">
        <v>0</v>
      </c>
      <c r="I196" t="n">
        <v>0</v>
      </c>
      <c r="J196" t="n">
        <v>0</v>
      </c>
      <c r="K196" t="n">
        <v>0</v>
      </c>
      <c r="L196" t="n">
        <v>0</v>
      </c>
      <c r="M196" t="n">
        <v>0</v>
      </c>
      <c r="N196" t="n">
        <v>0</v>
      </c>
      <c r="O196" t="n">
        <v>0</v>
      </c>
      <c r="P196" t="n">
        <v>0</v>
      </c>
      <c r="Q196" t="n">
        <v>0</v>
      </c>
      <c r="R196" s="2" t="inlineStr"/>
    </row>
    <row r="197" ht="15" customHeight="1">
      <c r="A197" t="inlineStr">
        <is>
          <t>A 23830-2021</t>
        </is>
      </c>
      <c r="B197" s="1" t="n">
        <v>44335</v>
      </c>
      <c r="C197" s="1" t="n">
        <v>45937</v>
      </c>
      <c r="D197" t="inlineStr">
        <is>
          <t>SKÅNE LÄN</t>
        </is>
      </c>
      <c r="E197" t="inlineStr">
        <is>
          <t>HÄSSLEHOLM</t>
        </is>
      </c>
      <c r="G197" t="n">
        <v>18.7</v>
      </c>
      <c r="H197" t="n">
        <v>0</v>
      </c>
      <c r="I197" t="n">
        <v>0</v>
      </c>
      <c r="J197" t="n">
        <v>0</v>
      </c>
      <c r="K197" t="n">
        <v>0</v>
      </c>
      <c r="L197" t="n">
        <v>0</v>
      </c>
      <c r="M197" t="n">
        <v>0</v>
      </c>
      <c r="N197" t="n">
        <v>0</v>
      </c>
      <c r="O197" t="n">
        <v>0</v>
      </c>
      <c r="P197" t="n">
        <v>0</v>
      </c>
      <c r="Q197" t="n">
        <v>0</v>
      </c>
      <c r="R197" s="2" t="inlineStr"/>
    </row>
    <row r="198" ht="15" customHeight="1">
      <c r="A198" t="inlineStr">
        <is>
          <t>A 44669-2022</t>
        </is>
      </c>
      <c r="B198" s="1" t="n">
        <v>44840</v>
      </c>
      <c r="C198" s="1" t="n">
        <v>45937</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7729-2021</t>
        </is>
      </c>
      <c r="B199" s="1" t="n">
        <v>44242</v>
      </c>
      <c r="C199" s="1" t="n">
        <v>45937</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197-2021</t>
        </is>
      </c>
      <c r="B200" s="1" t="n">
        <v>44200</v>
      </c>
      <c r="C200" s="1" t="n">
        <v>45937</v>
      </c>
      <c r="D200" t="inlineStr">
        <is>
          <t>SKÅNE LÄN</t>
        </is>
      </c>
      <c r="E200" t="inlineStr">
        <is>
          <t>HÄSSLEHOLM</t>
        </is>
      </c>
      <c r="G200" t="n">
        <v>12.9</v>
      </c>
      <c r="H200" t="n">
        <v>0</v>
      </c>
      <c r="I200" t="n">
        <v>0</v>
      </c>
      <c r="J200" t="n">
        <v>0</v>
      </c>
      <c r="K200" t="n">
        <v>0</v>
      </c>
      <c r="L200" t="n">
        <v>0</v>
      </c>
      <c r="M200" t="n">
        <v>0</v>
      </c>
      <c r="N200" t="n">
        <v>0</v>
      </c>
      <c r="O200" t="n">
        <v>0</v>
      </c>
      <c r="P200" t="n">
        <v>0</v>
      </c>
      <c r="Q200" t="n">
        <v>0</v>
      </c>
      <c r="R200" s="2" t="inlineStr"/>
    </row>
    <row r="201" ht="15" customHeight="1">
      <c r="A201" t="inlineStr">
        <is>
          <t>A 27330-2021</t>
        </is>
      </c>
      <c r="B201" s="1" t="n">
        <v>44351</v>
      </c>
      <c r="C201" s="1" t="n">
        <v>45937</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26386-2022</t>
        </is>
      </c>
      <c r="B202" s="1" t="n">
        <v>44735.6803125</v>
      </c>
      <c r="C202" s="1" t="n">
        <v>45937</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11616-2021</t>
        </is>
      </c>
      <c r="B203" s="1" t="n">
        <v>44264.63064814815</v>
      </c>
      <c r="C203" s="1" t="n">
        <v>45937</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25469-2022</t>
        </is>
      </c>
      <c r="B204" s="1" t="n">
        <v>44732</v>
      </c>
      <c r="C204" s="1" t="n">
        <v>45937</v>
      </c>
      <c r="D204" t="inlineStr">
        <is>
          <t>SKÅNE LÄN</t>
        </is>
      </c>
      <c r="E204" t="inlineStr">
        <is>
          <t>HÄSSLEHOLM</t>
        </is>
      </c>
      <c r="G204" t="n">
        <v>4.2</v>
      </c>
      <c r="H204" t="n">
        <v>0</v>
      </c>
      <c r="I204" t="n">
        <v>0</v>
      </c>
      <c r="J204" t="n">
        <v>0</v>
      </c>
      <c r="K204" t="n">
        <v>0</v>
      </c>
      <c r="L204" t="n">
        <v>0</v>
      </c>
      <c r="M204" t="n">
        <v>0</v>
      </c>
      <c r="N204" t="n">
        <v>0</v>
      </c>
      <c r="O204" t="n">
        <v>0</v>
      </c>
      <c r="P204" t="n">
        <v>0</v>
      </c>
      <c r="Q204" t="n">
        <v>0</v>
      </c>
      <c r="R204" s="2" t="inlineStr"/>
    </row>
    <row r="205" ht="15" customHeight="1">
      <c r="A205" t="inlineStr">
        <is>
          <t>A 51893-2021</t>
        </is>
      </c>
      <c r="B205" s="1" t="n">
        <v>44462</v>
      </c>
      <c r="C205" s="1" t="n">
        <v>45937</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73513-2021</t>
        </is>
      </c>
      <c r="B206" s="1" t="n">
        <v>44551.69012731482</v>
      </c>
      <c r="C206" s="1" t="n">
        <v>45937</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55394-2022</t>
        </is>
      </c>
      <c r="B207" s="1" t="n">
        <v>44887.57112268519</v>
      </c>
      <c r="C207" s="1" t="n">
        <v>45937</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59302-2020</t>
        </is>
      </c>
      <c r="B208" s="1" t="n">
        <v>44147</v>
      </c>
      <c r="C208" s="1" t="n">
        <v>45937</v>
      </c>
      <c r="D208" t="inlineStr">
        <is>
          <t>SKÅNE LÄN</t>
        </is>
      </c>
      <c r="E208" t="inlineStr">
        <is>
          <t>HÄSSLEHOLM</t>
        </is>
      </c>
      <c r="G208" t="n">
        <v>11.2</v>
      </c>
      <c r="H208" t="n">
        <v>0</v>
      </c>
      <c r="I208" t="n">
        <v>0</v>
      </c>
      <c r="J208" t="n">
        <v>0</v>
      </c>
      <c r="K208" t="n">
        <v>0</v>
      </c>
      <c r="L208" t="n">
        <v>0</v>
      </c>
      <c r="M208" t="n">
        <v>0</v>
      </c>
      <c r="N208" t="n">
        <v>0</v>
      </c>
      <c r="O208" t="n">
        <v>0</v>
      </c>
      <c r="P208" t="n">
        <v>0</v>
      </c>
      <c r="Q208" t="n">
        <v>0</v>
      </c>
      <c r="R208" s="2" t="inlineStr"/>
    </row>
    <row r="209" ht="15" customHeight="1">
      <c r="A209" t="inlineStr">
        <is>
          <t>A 66520-2020</t>
        </is>
      </c>
      <c r="B209" s="1" t="n">
        <v>44179</v>
      </c>
      <c r="C209" s="1" t="n">
        <v>45937</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45357-2022</t>
        </is>
      </c>
      <c r="B210" s="1" t="n">
        <v>44844.61952546296</v>
      </c>
      <c r="C210" s="1" t="n">
        <v>45937</v>
      </c>
      <c r="D210" t="inlineStr">
        <is>
          <t>SKÅNE LÄN</t>
        </is>
      </c>
      <c r="E210" t="inlineStr">
        <is>
          <t>HÄSSLEHOLM</t>
        </is>
      </c>
      <c r="G210" t="n">
        <v>5.8</v>
      </c>
      <c r="H210" t="n">
        <v>0</v>
      </c>
      <c r="I210" t="n">
        <v>0</v>
      </c>
      <c r="J210" t="n">
        <v>0</v>
      </c>
      <c r="K210" t="n">
        <v>0</v>
      </c>
      <c r="L210" t="n">
        <v>0</v>
      </c>
      <c r="M210" t="n">
        <v>0</v>
      </c>
      <c r="N210" t="n">
        <v>0</v>
      </c>
      <c r="O210" t="n">
        <v>0</v>
      </c>
      <c r="P210" t="n">
        <v>0</v>
      </c>
      <c r="Q210" t="n">
        <v>0</v>
      </c>
      <c r="R210" s="2" t="inlineStr"/>
    </row>
    <row r="211" ht="15" customHeight="1">
      <c r="A211" t="inlineStr">
        <is>
          <t>A 45989-2021</t>
        </is>
      </c>
      <c r="B211" s="1" t="n">
        <v>44441.74627314815</v>
      </c>
      <c r="C211" s="1" t="n">
        <v>45937</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7248-2021</t>
        </is>
      </c>
      <c r="B212" s="1" t="n">
        <v>44236</v>
      </c>
      <c r="C212" s="1" t="n">
        <v>45937</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7262-2022</t>
        </is>
      </c>
      <c r="B213" s="1" t="n">
        <v>44606</v>
      </c>
      <c r="C213" s="1" t="n">
        <v>45937</v>
      </c>
      <c r="D213" t="inlineStr">
        <is>
          <t>SKÅNE LÄN</t>
        </is>
      </c>
      <c r="E213" t="inlineStr">
        <is>
          <t>HÄSSLEHOLM</t>
        </is>
      </c>
      <c r="F213" t="inlineStr">
        <is>
          <t>Övriga Aktiebolag</t>
        </is>
      </c>
      <c r="G213" t="n">
        <v>1</v>
      </c>
      <c r="H213" t="n">
        <v>0</v>
      </c>
      <c r="I213" t="n">
        <v>0</v>
      </c>
      <c r="J213" t="n">
        <v>0</v>
      </c>
      <c r="K213" t="n">
        <v>0</v>
      </c>
      <c r="L213" t="n">
        <v>0</v>
      </c>
      <c r="M213" t="n">
        <v>0</v>
      </c>
      <c r="N213" t="n">
        <v>0</v>
      </c>
      <c r="O213" t="n">
        <v>0</v>
      </c>
      <c r="P213" t="n">
        <v>0</v>
      </c>
      <c r="Q213" t="n">
        <v>0</v>
      </c>
      <c r="R213" s="2" t="inlineStr"/>
    </row>
    <row r="214" ht="15" customHeight="1">
      <c r="A214" t="inlineStr">
        <is>
          <t>A 354-2022</t>
        </is>
      </c>
      <c r="B214" s="1" t="n">
        <v>44565.62510416667</v>
      </c>
      <c r="C214" s="1" t="n">
        <v>45937</v>
      </c>
      <c r="D214" t="inlineStr">
        <is>
          <t>SKÅNE LÄN</t>
        </is>
      </c>
      <c r="E214" t="inlineStr">
        <is>
          <t>HÄSSLEHOLM</t>
        </is>
      </c>
      <c r="G214" t="n">
        <v>2.4</v>
      </c>
      <c r="H214" t="n">
        <v>0</v>
      </c>
      <c r="I214" t="n">
        <v>0</v>
      </c>
      <c r="J214" t="n">
        <v>0</v>
      </c>
      <c r="K214" t="n">
        <v>0</v>
      </c>
      <c r="L214" t="n">
        <v>0</v>
      </c>
      <c r="M214" t="n">
        <v>0</v>
      </c>
      <c r="N214" t="n">
        <v>0</v>
      </c>
      <c r="O214" t="n">
        <v>0</v>
      </c>
      <c r="P214" t="n">
        <v>0</v>
      </c>
      <c r="Q214" t="n">
        <v>0</v>
      </c>
      <c r="R214" s="2" t="inlineStr"/>
    </row>
    <row r="215" ht="15" customHeight="1">
      <c r="A215" t="inlineStr">
        <is>
          <t>A 32892-2021</t>
        </is>
      </c>
      <c r="B215" s="1" t="n">
        <v>44375</v>
      </c>
      <c r="C215" s="1" t="n">
        <v>45937</v>
      </c>
      <c r="D215" t="inlineStr">
        <is>
          <t>SKÅNE LÄN</t>
        </is>
      </c>
      <c r="E215" t="inlineStr">
        <is>
          <t>HÄSSLEHOLM</t>
        </is>
      </c>
      <c r="G215" t="n">
        <v>2.9</v>
      </c>
      <c r="H215" t="n">
        <v>0</v>
      </c>
      <c r="I215" t="n">
        <v>0</v>
      </c>
      <c r="J215" t="n">
        <v>0</v>
      </c>
      <c r="K215" t="n">
        <v>0</v>
      </c>
      <c r="L215" t="n">
        <v>0</v>
      </c>
      <c r="M215" t="n">
        <v>0</v>
      </c>
      <c r="N215" t="n">
        <v>0</v>
      </c>
      <c r="O215" t="n">
        <v>0</v>
      </c>
      <c r="P215" t="n">
        <v>0</v>
      </c>
      <c r="Q215" t="n">
        <v>0</v>
      </c>
      <c r="R215" s="2" t="inlineStr"/>
    </row>
    <row r="216" ht="15" customHeight="1">
      <c r="A216" t="inlineStr">
        <is>
          <t>A 8695-2021</t>
        </is>
      </c>
      <c r="B216" s="1" t="n">
        <v>44246</v>
      </c>
      <c r="C216" s="1" t="n">
        <v>45937</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1461-2021</t>
        </is>
      </c>
      <c r="B217" s="1" t="n">
        <v>44208</v>
      </c>
      <c r="C217" s="1" t="n">
        <v>45937</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57665-2022</t>
        </is>
      </c>
      <c r="B218" s="1" t="n">
        <v>44897.4494212963</v>
      </c>
      <c r="C218" s="1" t="n">
        <v>45937</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57676-2022</t>
        </is>
      </c>
      <c r="B219" s="1" t="n">
        <v>44897</v>
      </c>
      <c r="C219" s="1" t="n">
        <v>45937</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39102-2022</t>
        </is>
      </c>
      <c r="B220" s="1" t="n">
        <v>44817.43260416666</v>
      </c>
      <c r="C220" s="1" t="n">
        <v>45937</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54671-2022</t>
        </is>
      </c>
      <c r="B221" s="1" t="n">
        <v>44883</v>
      </c>
      <c r="C221" s="1" t="n">
        <v>45937</v>
      </c>
      <c r="D221" t="inlineStr">
        <is>
          <t>SKÅNE LÄN</t>
        </is>
      </c>
      <c r="E221" t="inlineStr">
        <is>
          <t>HÄSSLEHOLM</t>
        </is>
      </c>
      <c r="G221" t="n">
        <v>1.4</v>
      </c>
      <c r="H221" t="n">
        <v>0</v>
      </c>
      <c r="I221" t="n">
        <v>0</v>
      </c>
      <c r="J221" t="n">
        <v>0</v>
      </c>
      <c r="K221" t="n">
        <v>0</v>
      </c>
      <c r="L221" t="n">
        <v>0</v>
      </c>
      <c r="M221" t="n">
        <v>0</v>
      </c>
      <c r="N221" t="n">
        <v>0</v>
      </c>
      <c r="O221" t="n">
        <v>0</v>
      </c>
      <c r="P221" t="n">
        <v>0</v>
      </c>
      <c r="Q221" t="n">
        <v>0</v>
      </c>
      <c r="R221" s="2" t="inlineStr"/>
    </row>
    <row r="222" ht="15" customHeight="1">
      <c r="A222" t="inlineStr">
        <is>
          <t>A 53887-2023</t>
        </is>
      </c>
      <c r="B222" s="1" t="n">
        <v>45231.52675925926</v>
      </c>
      <c r="C222" s="1" t="n">
        <v>45937</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49167-2022</t>
        </is>
      </c>
      <c r="B223" s="1" t="n">
        <v>44860</v>
      </c>
      <c r="C223" s="1" t="n">
        <v>45937</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28071-2023</t>
        </is>
      </c>
      <c r="B224" s="1" t="n">
        <v>45099.37755787037</v>
      </c>
      <c r="C224" s="1" t="n">
        <v>45937</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47112-2021</t>
        </is>
      </c>
      <c r="B225" s="1" t="n">
        <v>44446</v>
      </c>
      <c r="C225" s="1" t="n">
        <v>45937</v>
      </c>
      <c r="D225" t="inlineStr">
        <is>
          <t>SKÅNE LÄN</t>
        </is>
      </c>
      <c r="E225" t="inlineStr">
        <is>
          <t>HÄSSLEHOLM</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3507-2024</t>
        </is>
      </c>
      <c r="B226" s="1" t="n">
        <v>45320.4906712963</v>
      </c>
      <c r="C226" s="1" t="n">
        <v>45937</v>
      </c>
      <c r="D226" t="inlineStr">
        <is>
          <t>SKÅNE LÄN</t>
        </is>
      </c>
      <c r="E226" t="inlineStr">
        <is>
          <t>HÄSSLEHOLM</t>
        </is>
      </c>
      <c r="G226" t="n">
        <v>6.4</v>
      </c>
      <c r="H226" t="n">
        <v>0</v>
      </c>
      <c r="I226" t="n">
        <v>0</v>
      </c>
      <c r="J226" t="n">
        <v>0</v>
      </c>
      <c r="K226" t="n">
        <v>0</v>
      </c>
      <c r="L226" t="n">
        <v>0</v>
      </c>
      <c r="M226" t="n">
        <v>0</v>
      </c>
      <c r="N226" t="n">
        <v>0</v>
      </c>
      <c r="O226" t="n">
        <v>0</v>
      </c>
      <c r="P226" t="n">
        <v>0</v>
      </c>
      <c r="Q226" t="n">
        <v>0</v>
      </c>
      <c r="R226" s="2" t="inlineStr"/>
    </row>
    <row r="227" ht="15" customHeight="1">
      <c r="A227" t="inlineStr">
        <is>
          <t>A 4119-2024</t>
        </is>
      </c>
      <c r="B227" s="1" t="n">
        <v>45323.67920138889</v>
      </c>
      <c r="C227" s="1" t="n">
        <v>45937</v>
      </c>
      <c r="D227" t="inlineStr">
        <is>
          <t>SKÅNE LÄN</t>
        </is>
      </c>
      <c r="E227" t="inlineStr">
        <is>
          <t>HÄSSLEHOLM</t>
        </is>
      </c>
      <c r="G227" t="n">
        <v>0.8</v>
      </c>
      <c r="H227" t="n">
        <v>0</v>
      </c>
      <c r="I227" t="n">
        <v>0</v>
      </c>
      <c r="J227" t="n">
        <v>0</v>
      </c>
      <c r="K227" t="n">
        <v>0</v>
      </c>
      <c r="L227" t="n">
        <v>0</v>
      </c>
      <c r="M227" t="n">
        <v>0</v>
      </c>
      <c r="N227" t="n">
        <v>0</v>
      </c>
      <c r="O227" t="n">
        <v>0</v>
      </c>
      <c r="P227" t="n">
        <v>0</v>
      </c>
      <c r="Q227" t="n">
        <v>0</v>
      </c>
      <c r="R227" s="2" t="inlineStr"/>
    </row>
    <row r="228" ht="15" customHeight="1">
      <c r="A228" t="inlineStr">
        <is>
          <t>A 48877-2024</t>
        </is>
      </c>
      <c r="B228" s="1" t="n">
        <v>45594.31729166667</v>
      </c>
      <c r="C228" s="1" t="n">
        <v>45937</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20510-2021</t>
        </is>
      </c>
      <c r="B229" s="1" t="n">
        <v>44315</v>
      </c>
      <c r="C229" s="1" t="n">
        <v>45937</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54362-2020</t>
        </is>
      </c>
      <c r="B230" s="1" t="n">
        <v>44126</v>
      </c>
      <c r="C230" s="1" t="n">
        <v>45937</v>
      </c>
      <c r="D230" t="inlineStr">
        <is>
          <t>SKÅNE LÄN</t>
        </is>
      </c>
      <c r="E230" t="inlineStr">
        <is>
          <t>HÄSSLEHOLM</t>
        </is>
      </c>
      <c r="G230" t="n">
        <v>4.5</v>
      </c>
      <c r="H230" t="n">
        <v>0</v>
      </c>
      <c r="I230" t="n">
        <v>0</v>
      </c>
      <c r="J230" t="n">
        <v>0</v>
      </c>
      <c r="K230" t="n">
        <v>0</v>
      </c>
      <c r="L230" t="n">
        <v>0</v>
      </c>
      <c r="M230" t="n">
        <v>0</v>
      </c>
      <c r="N230" t="n">
        <v>0</v>
      </c>
      <c r="O230" t="n">
        <v>0</v>
      </c>
      <c r="P230" t="n">
        <v>0</v>
      </c>
      <c r="Q230" t="n">
        <v>0</v>
      </c>
      <c r="R230" s="2" t="inlineStr"/>
    </row>
    <row r="231" ht="15" customHeight="1">
      <c r="A231" t="inlineStr">
        <is>
          <t>A 47647-2024</t>
        </is>
      </c>
      <c r="B231" s="1" t="n">
        <v>45588</v>
      </c>
      <c r="C231" s="1" t="n">
        <v>45937</v>
      </c>
      <c r="D231" t="inlineStr">
        <is>
          <t>SKÅNE LÄN</t>
        </is>
      </c>
      <c r="E231" t="inlineStr">
        <is>
          <t>HÄSSLEHOLM</t>
        </is>
      </c>
      <c r="G231" t="n">
        <v>6.5</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45937</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64826-2021</t>
        </is>
      </c>
      <c r="B233" s="1" t="n">
        <v>44512.55935185185</v>
      </c>
      <c r="C233" s="1" t="n">
        <v>45937</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6414-2022</t>
        </is>
      </c>
      <c r="B234" s="1" t="n">
        <v>44600</v>
      </c>
      <c r="C234" s="1" t="n">
        <v>45937</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54079-2020</t>
        </is>
      </c>
      <c r="B235" s="1" t="n">
        <v>44125.61570601852</v>
      </c>
      <c r="C235" s="1" t="n">
        <v>45937</v>
      </c>
      <c r="D235" t="inlineStr">
        <is>
          <t>SKÅNE LÄN</t>
        </is>
      </c>
      <c r="E235" t="inlineStr">
        <is>
          <t>HÄSSLEHOLM</t>
        </is>
      </c>
      <c r="G235" t="n">
        <v>0.3</v>
      </c>
      <c r="H235" t="n">
        <v>0</v>
      </c>
      <c r="I235" t="n">
        <v>0</v>
      </c>
      <c r="J235" t="n">
        <v>0</v>
      </c>
      <c r="K235" t="n">
        <v>0</v>
      </c>
      <c r="L235" t="n">
        <v>0</v>
      </c>
      <c r="M235" t="n">
        <v>0</v>
      </c>
      <c r="N235" t="n">
        <v>0</v>
      </c>
      <c r="O235" t="n">
        <v>0</v>
      </c>
      <c r="P235" t="n">
        <v>0</v>
      </c>
      <c r="Q235" t="n">
        <v>0</v>
      </c>
      <c r="R235" s="2" t="inlineStr"/>
    </row>
    <row r="236" ht="15" customHeight="1">
      <c r="A236" t="inlineStr">
        <is>
          <t>A 23967-2022</t>
        </is>
      </c>
      <c r="B236" s="1" t="n">
        <v>44722.74079861111</v>
      </c>
      <c r="C236" s="1" t="n">
        <v>45937</v>
      </c>
      <c r="D236" t="inlineStr">
        <is>
          <t>SKÅNE LÄN</t>
        </is>
      </c>
      <c r="E236" t="inlineStr">
        <is>
          <t>HÄSSLEHOLM</t>
        </is>
      </c>
      <c r="F236" t="inlineStr">
        <is>
          <t>Kyrkan</t>
        </is>
      </c>
      <c r="G236" t="n">
        <v>12.4</v>
      </c>
      <c r="H236" t="n">
        <v>0</v>
      </c>
      <c r="I236" t="n">
        <v>0</v>
      </c>
      <c r="J236" t="n">
        <v>0</v>
      </c>
      <c r="K236" t="n">
        <v>0</v>
      </c>
      <c r="L236" t="n">
        <v>0</v>
      </c>
      <c r="M236" t="n">
        <v>0</v>
      </c>
      <c r="N236" t="n">
        <v>0</v>
      </c>
      <c r="O236" t="n">
        <v>0</v>
      </c>
      <c r="P236" t="n">
        <v>0</v>
      </c>
      <c r="Q236" t="n">
        <v>0</v>
      </c>
      <c r="R236" s="2" t="inlineStr"/>
    </row>
    <row r="237" ht="15" customHeight="1">
      <c r="A237" t="inlineStr">
        <is>
          <t>A 69198-2020</t>
        </is>
      </c>
      <c r="B237" s="1" t="n">
        <v>44191</v>
      </c>
      <c r="C237" s="1" t="n">
        <v>45937</v>
      </c>
      <c r="D237" t="inlineStr">
        <is>
          <t>SKÅNE LÄN</t>
        </is>
      </c>
      <c r="E237" t="inlineStr">
        <is>
          <t>HÄSSLEHOLM</t>
        </is>
      </c>
      <c r="G237" t="n">
        <v>6.6</v>
      </c>
      <c r="H237" t="n">
        <v>0</v>
      </c>
      <c r="I237" t="n">
        <v>0</v>
      </c>
      <c r="J237" t="n">
        <v>0</v>
      </c>
      <c r="K237" t="n">
        <v>0</v>
      </c>
      <c r="L237" t="n">
        <v>0</v>
      </c>
      <c r="M237" t="n">
        <v>0</v>
      </c>
      <c r="N237" t="n">
        <v>0</v>
      </c>
      <c r="O237" t="n">
        <v>0</v>
      </c>
      <c r="P237" t="n">
        <v>0</v>
      </c>
      <c r="Q237" t="n">
        <v>0</v>
      </c>
      <c r="R237" s="2" t="inlineStr"/>
    </row>
    <row r="238" ht="15" customHeight="1">
      <c r="A238" t="inlineStr">
        <is>
          <t>A 60597-2020</t>
        </is>
      </c>
      <c r="B238" s="1" t="n">
        <v>44152</v>
      </c>
      <c r="C238" s="1" t="n">
        <v>45937</v>
      </c>
      <c r="D238" t="inlineStr">
        <is>
          <t>SKÅNE LÄN</t>
        </is>
      </c>
      <c r="E238" t="inlineStr">
        <is>
          <t>HÄSSLEHOLM</t>
        </is>
      </c>
      <c r="G238" t="n">
        <v>3.4</v>
      </c>
      <c r="H238" t="n">
        <v>0</v>
      </c>
      <c r="I238" t="n">
        <v>0</v>
      </c>
      <c r="J238" t="n">
        <v>0</v>
      </c>
      <c r="K238" t="n">
        <v>0</v>
      </c>
      <c r="L238" t="n">
        <v>0</v>
      </c>
      <c r="M238" t="n">
        <v>0</v>
      </c>
      <c r="N238" t="n">
        <v>0</v>
      </c>
      <c r="O238" t="n">
        <v>0</v>
      </c>
      <c r="P238" t="n">
        <v>0</v>
      </c>
      <c r="Q238" t="n">
        <v>0</v>
      </c>
      <c r="R238" s="2" t="inlineStr"/>
    </row>
    <row r="239" ht="15" customHeight="1">
      <c r="A239" t="inlineStr">
        <is>
          <t>A 69504-2020</t>
        </is>
      </c>
      <c r="B239" s="1" t="n">
        <v>44194</v>
      </c>
      <c r="C239" s="1" t="n">
        <v>45937</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22132-2024</t>
        </is>
      </c>
      <c r="B240" s="1" t="n">
        <v>45444.37234953704</v>
      </c>
      <c r="C240" s="1" t="n">
        <v>45937</v>
      </c>
      <c r="D240" t="inlineStr">
        <is>
          <t>SKÅNE LÄN</t>
        </is>
      </c>
      <c r="E240" t="inlineStr">
        <is>
          <t>HÄSSLEHOLM</t>
        </is>
      </c>
      <c r="G240" t="n">
        <v>3.1</v>
      </c>
      <c r="H240" t="n">
        <v>0</v>
      </c>
      <c r="I240" t="n">
        <v>0</v>
      </c>
      <c r="J240" t="n">
        <v>0</v>
      </c>
      <c r="K240" t="n">
        <v>0</v>
      </c>
      <c r="L240" t="n">
        <v>0</v>
      </c>
      <c r="M240" t="n">
        <v>0</v>
      </c>
      <c r="N240" t="n">
        <v>0</v>
      </c>
      <c r="O240" t="n">
        <v>0</v>
      </c>
      <c r="P240" t="n">
        <v>0</v>
      </c>
      <c r="Q240" t="n">
        <v>0</v>
      </c>
      <c r="R240" s="2" t="inlineStr"/>
    </row>
    <row r="241" ht="15" customHeight="1">
      <c r="A241" t="inlineStr">
        <is>
          <t>A 54171-2022</t>
        </is>
      </c>
      <c r="B241" s="1" t="n">
        <v>44881</v>
      </c>
      <c r="C241" s="1" t="n">
        <v>45937</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56431-2021</t>
        </is>
      </c>
      <c r="B242" s="1" t="n">
        <v>44480</v>
      </c>
      <c r="C242" s="1" t="n">
        <v>45937</v>
      </c>
      <c r="D242" t="inlineStr">
        <is>
          <t>SKÅNE LÄN</t>
        </is>
      </c>
      <c r="E242" t="inlineStr">
        <is>
          <t>HÄSSLEHOLM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3245-2022</t>
        </is>
      </c>
      <c r="B243" s="1" t="n">
        <v>44583.39136574074</v>
      </c>
      <c r="C243" s="1" t="n">
        <v>45937</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2858-2022</t>
        </is>
      </c>
      <c r="B244" s="1" t="n">
        <v>44581</v>
      </c>
      <c r="C244" s="1" t="n">
        <v>45937</v>
      </c>
      <c r="D244" t="inlineStr">
        <is>
          <t>SKÅNE LÄN</t>
        </is>
      </c>
      <c r="E244" t="inlineStr">
        <is>
          <t>HÄSSLEHOLM</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8177-2022</t>
        </is>
      </c>
      <c r="B245" s="1" t="n">
        <v>44607</v>
      </c>
      <c r="C245" s="1" t="n">
        <v>45937</v>
      </c>
      <c r="D245" t="inlineStr">
        <is>
          <t>SKÅNE LÄN</t>
        </is>
      </c>
      <c r="E245" t="inlineStr">
        <is>
          <t>HÄSSLEHOLM</t>
        </is>
      </c>
      <c r="F245" t="inlineStr">
        <is>
          <t>Kyrkan</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25464-2022</t>
        </is>
      </c>
      <c r="B246" s="1" t="n">
        <v>44729</v>
      </c>
      <c r="C246" s="1" t="n">
        <v>45937</v>
      </c>
      <c r="D246" t="inlineStr">
        <is>
          <t>SKÅNE LÄN</t>
        </is>
      </c>
      <c r="E246" t="inlineStr">
        <is>
          <t>HÄSSLEHOLM</t>
        </is>
      </c>
      <c r="G246" t="n">
        <v>21</v>
      </c>
      <c r="H246" t="n">
        <v>0</v>
      </c>
      <c r="I246" t="n">
        <v>0</v>
      </c>
      <c r="J246" t="n">
        <v>0</v>
      </c>
      <c r="K246" t="n">
        <v>0</v>
      </c>
      <c r="L246" t="n">
        <v>0</v>
      </c>
      <c r="M246" t="n">
        <v>0</v>
      </c>
      <c r="N246" t="n">
        <v>0</v>
      </c>
      <c r="O246" t="n">
        <v>0</v>
      </c>
      <c r="P246" t="n">
        <v>0</v>
      </c>
      <c r="Q246" t="n">
        <v>0</v>
      </c>
      <c r="R246" s="2" t="inlineStr"/>
    </row>
    <row r="247" ht="15" customHeight="1">
      <c r="A247" t="inlineStr">
        <is>
          <t>A 31255-2024</t>
        </is>
      </c>
      <c r="B247" s="1" t="n">
        <v>45503.69114583333</v>
      </c>
      <c r="C247" s="1" t="n">
        <v>45937</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27959-2022</t>
        </is>
      </c>
      <c r="B248" s="1" t="n">
        <v>44744</v>
      </c>
      <c r="C248" s="1" t="n">
        <v>45937</v>
      </c>
      <c r="D248" t="inlineStr">
        <is>
          <t>SKÅNE LÄN</t>
        </is>
      </c>
      <c r="E248" t="inlineStr">
        <is>
          <t>HÄSSLEHOLM</t>
        </is>
      </c>
      <c r="G248" t="n">
        <v>3</v>
      </c>
      <c r="H248" t="n">
        <v>0</v>
      </c>
      <c r="I248" t="n">
        <v>0</v>
      </c>
      <c r="J248" t="n">
        <v>0</v>
      </c>
      <c r="K248" t="n">
        <v>0</v>
      </c>
      <c r="L248" t="n">
        <v>0</v>
      </c>
      <c r="M248" t="n">
        <v>0</v>
      </c>
      <c r="N248" t="n">
        <v>0</v>
      </c>
      <c r="O248" t="n">
        <v>0</v>
      </c>
      <c r="P248" t="n">
        <v>0</v>
      </c>
      <c r="Q248" t="n">
        <v>0</v>
      </c>
      <c r="R248" s="2" t="inlineStr"/>
    </row>
    <row r="249" ht="15" customHeight="1">
      <c r="A249" t="inlineStr">
        <is>
          <t>A 52567-2021</t>
        </is>
      </c>
      <c r="B249" s="1" t="n">
        <v>44466</v>
      </c>
      <c r="C249" s="1" t="n">
        <v>45937</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6965-2021</t>
        </is>
      </c>
      <c r="B250" s="1" t="n">
        <v>44237</v>
      </c>
      <c r="C250" s="1" t="n">
        <v>45937</v>
      </c>
      <c r="D250" t="inlineStr">
        <is>
          <t>SKÅNE LÄN</t>
        </is>
      </c>
      <c r="E250" t="inlineStr">
        <is>
          <t>HÄSSLEHOLM</t>
        </is>
      </c>
      <c r="G250" t="n">
        <v>0.3</v>
      </c>
      <c r="H250" t="n">
        <v>0</v>
      </c>
      <c r="I250" t="n">
        <v>0</v>
      </c>
      <c r="J250" t="n">
        <v>0</v>
      </c>
      <c r="K250" t="n">
        <v>0</v>
      </c>
      <c r="L250" t="n">
        <v>0</v>
      </c>
      <c r="M250" t="n">
        <v>0</v>
      </c>
      <c r="N250" t="n">
        <v>0</v>
      </c>
      <c r="O250" t="n">
        <v>0</v>
      </c>
      <c r="P250" t="n">
        <v>0</v>
      </c>
      <c r="Q250" t="n">
        <v>0</v>
      </c>
      <c r="R250" s="2" t="inlineStr"/>
    </row>
    <row r="251" ht="15" customHeight="1">
      <c r="A251" t="inlineStr">
        <is>
          <t>A 4787-2023</t>
        </is>
      </c>
      <c r="B251" s="1" t="n">
        <v>44957.60079861111</v>
      </c>
      <c r="C251" s="1" t="n">
        <v>45937</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4788-2023</t>
        </is>
      </c>
      <c r="B252" s="1" t="n">
        <v>44957.60130787037</v>
      </c>
      <c r="C252" s="1" t="n">
        <v>45937</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11715-2023</t>
        </is>
      </c>
      <c r="B253" s="1" t="n">
        <v>44992</v>
      </c>
      <c r="C253" s="1" t="n">
        <v>45937</v>
      </c>
      <c r="D253" t="inlineStr">
        <is>
          <t>SKÅNE LÄN</t>
        </is>
      </c>
      <c r="E253" t="inlineStr">
        <is>
          <t>HÄSSLEHOLM</t>
        </is>
      </c>
      <c r="F253" t="inlineStr">
        <is>
          <t>Övriga Aktiebolag</t>
        </is>
      </c>
      <c r="G253" t="n">
        <v>2</v>
      </c>
      <c r="H253" t="n">
        <v>0</v>
      </c>
      <c r="I253" t="n">
        <v>0</v>
      </c>
      <c r="J253" t="n">
        <v>0</v>
      </c>
      <c r="K253" t="n">
        <v>0</v>
      </c>
      <c r="L253" t="n">
        <v>0</v>
      </c>
      <c r="M253" t="n">
        <v>0</v>
      </c>
      <c r="N253" t="n">
        <v>0</v>
      </c>
      <c r="O253" t="n">
        <v>0</v>
      </c>
      <c r="P253" t="n">
        <v>0</v>
      </c>
      <c r="Q253" t="n">
        <v>0</v>
      </c>
      <c r="R253" s="2" t="inlineStr"/>
    </row>
    <row r="254" ht="15" customHeight="1">
      <c r="A254" t="inlineStr">
        <is>
          <t>A 25606-2024</t>
        </is>
      </c>
      <c r="B254" s="1" t="n">
        <v>45463.63179398148</v>
      </c>
      <c r="C254" s="1" t="n">
        <v>45937</v>
      </c>
      <c r="D254" t="inlineStr">
        <is>
          <t>SKÅNE LÄN</t>
        </is>
      </c>
      <c r="E254" t="inlineStr">
        <is>
          <t>HÄSSLEHOLM</t>
        </is>
      </c>
      <c r="G254" t="n">
        <v>1.5</v>
      </c>
      <c r="H254" t="n">
        <v>0</v>
      </c>
      <c r="I254" t="n">
        <v>0</v>
      </c>
      <c r="J254" t="n">
        <v>0</v>
      </c>
      <c r="K254" t="n">
        <v>0</v>
      </c>
      <c r="L254" t="n">
        <v>0</v>
      </c>
      <c r="M254" t="n">
        <v>0</v>
      </c>
      <c r="N254" t="n">
        <v>0</v>
      </c>
      <c r="O254" t="n">
        <v>0</v>
      </c>
      <c r="P254" t="n">
        <v>0</v>
      </c>
      <c r="Q254" t="n">
        <v>0</v>
      </c>
      <c r="R254" s="2" t="inlineStr"/>
    </row>
    <row r="255" ht="15" customHeight="1">
      <c r="A255" t="inlineStr">
        <is>
          <t>A 32210-2024</t>
        </is>
      </c>
      <c r="B255" s="1" t="n">
        <v>45511.67777777778</v>
      </c>
      <c r="C255" s="1" t="n">
        <v>45937</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59431-2023</t>
        </is>
      </c>
      <c r="B256" s="1" t="n">
        <v>45254.29207175926</v>
      </c>
      <c r="C256" s="1" t="n">
        <v>45937</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59433-2023</t>
        </is>
      </c>
      <c r="B257" s="1" t="n">
        <v>45254.29768518519</v>
      </c>
      <c r="C257" s="1" t="n">
        <v>45937</v>
      </c>
      <c r="D257" t="inlineStr">
        <is>
          <t>SKÅNE LÄN</t>
        </is>
      </c>
      <c r="E257" t="inlineStr">
        <is>
          <t>HÄSSLEHOLM</t>
        </is>
      </c>
      <c r="G257" t="n">
        <v>3.1</v>
      </c>
      <c r="H257" t="n">
        <v>0</v>
      </c>
      <c r="I257" t="n">
        <v>0</v>
      </c>
      <c r="J257" t="n">
        <v>0</v>
      </c>
      <c r="K257" t="n">
        <v>0</v>
      </c>
      <c r="L257" t="n">
        <v>0</v>
      </c>
      <c r="M257" t="n">
        <v>0</v>
      </c>
      <c r="N257" t="n">
        <v>0</v>
      </c>
      <c r="O257" t="n">
        <v>0</v>
      </c>
      <c r="P257" t="n">
        <v>0</v>
      </c>
      <c r="Q257" t="n">
        <v>0</v>
      </c>
      <c r="R257" s="2" t="inlineStr"/>
    </row>
    <row r="258" ht="15" customHeight="1">
      <c r="A258" t="inlineStr">
        <is>
          <t>A 1538-2024</t>
        </is>
      </c>
      <c r="B258" s="1" t="n">
        <v>45306</v>
      </c>
      <c r="C258" s="1" t="n">
        <v>45937</v>
      </c>
      <c r="D258" t="inlineStr">
        <is>
          <t>SKÅNE LÄN</t>
        </is>
      </c>
      <c r="E258" t="inlineStr">
        <is>
          <t>HÄSSLEHOLM</t>
        </is>
      </c>
      <c r="G258" t="n">
        <v>4.8</v>
      </c>
      <c r="H258" t="n">
        <v>0</v>
      </c>
      <c r="I258" t="n">
        <v>0</v>
      </c>
      <c r="J258" t="n">
        <v>0</v>
      </c>
      <c r="K258" t="n">
        <v>0</v>
      </c>
      <c r="L258" t="n">
        <v>0</v>
      </c>
      <c r="M258" t="n">
        <v>0</v>
      </c>
      <c r="N258" t="n">
        <v>0</v>
      </c>
      <c r="O258" t="n">
        <v>0</v>
      </c>
      <c r="P258" t="n">
        <v>0</v>
      </c>
      <c r="Q258" t="n">
        <v>0</v>
      </c>
      <c r="R258" s="2" t="inlineStr"/>
    </row>
    <row r="259" ht="15" customHeight="1">
      <c r="A259" t="inlineStr">
        <is>
          <t>A 23864-2024</t>
        </is>
      </c>
      <c r="B259" s="1" t="n">
        <v>45455</v>
      </c>
      <c r="C259" s="1" t="n">
        <v>45937</v>
      </c>
      <c r="D259" t="inlineStr">
        <is>
          <t>SKÅNE LÄN</t>
        </is>
      </c>
      <c r="E259" t="inlineStr">
        <is>
          <t>HÄSSLEHOLM</t>
        </is>
      </c>
      <c r="G259" t="n">
        <v>6.2</v>
      </c>
      <c r="H259" t="n">
        <v>0</v>
      </c>
      <c r="I259" t="n">
        <v>0</v>
      </c>
      <c r="J259" t="n">
        <v>0</v>
      </c>
      <c r="K259" t="n">
        <v>0</v>
      </c>
      <c r="L259" t="n">
        <v>0</v>
      </c>
      <c r="M259" t="n">
        <v>0</v>
      </c>
      <c r="N259" t="n">
        <v>0</v>
      </c>
      <c r="O259" t="n">
        <v>0</v>
      </c>
      <c r="P259" t="n">
        <v>0</v>
      </c>
      <c r="Q259" t="n">
        <v>0</v>
      </c>
      <c r="R259" s="2" t="inlineStr"/>
    </row>
    <row r="260" ht="15" customHeight="1">
      <c r="A260" t="inlineStr">
        <is>
          <t>A 30344-2022</t>
        </is>
      </c>
      <c r="B260" s="1" t="n">
        <v>44760.50783564815</v>
      </c>
      <c r="C260" s="1" t="n">
        <v>45937</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25533-2024</t>
        </is>
      </c>
      <c r="B261" s="1" t="n">
        <v>45463</v>
      </c>
      <c r="C261" s="1" t="n">
        <v>45937</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27991-2024</t>
        </is>
      </c>
      <c r="B262" s="1" t="n">
        <v>45476</v>
      </c>
      <c r="C262" s="1" t="n">
        <v>45937</v>
      </c>
      <c r="D262" t="inlineStr">
        <is>
          <t>SKÅNE LÄN</t>
        </is>
      </c>
      <c r="E262" t="inlineStr">
        <is>
          <t>HÄSSLEHOLM</t>
        </is>
      </c>
      <c r="G262" t="n">
        <v>5.8</v>
      </c>
      <c r="H262" t="n">
        <v>0</v>
      </c>
      <c r="I262" t="n">
        <v>0</v>
      </c>
      <c r="J262" t="n">
        <v>0</v>
      </c>
      <c r="K262" t="n">
        <v>0</v>
      </c>
      <c r="L262" t="n">
        <v>0</v>
      </c>
      <c r="M262" t="n">
        <v>0</v>
      </c>
      <c r="N262" t="n">
        <v>0</v>
      </c>
      <c r="O262" t="n">
        <v>0</v>
      </c>
      <c r="P262" t="n">
        <v>0</v>
      </c>
      <c r="Q262" t="n">
        <v>0</v>
      </c>
      <c r="R262" s="2" t="inlineStr"/>
    </row>
    <row r="263" ht="15" customHeight="1">
      <c r="A263" t="inlineStr">
        <is>
          <t>A 6612-2024</t>
        </is>
      </c>
      <c r="B263" s="1" t="n">
        <v>45341.58859953703</v>
      </c>
      <c r="C263" s="1" t="n">
        <v>45937</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31934-2024</t>
        </is>
      </c>
      <c r="B264" s="1" t="n">
        <v>45510.41177083334</v>
      </c>
      <c r="C264" s="1" t="n">
        <v>45937</v>
      </c>
      <c r="D264" t="inlineStr">
        <is>
          <t>SKÅNE LÄN</t>
        </is>
      </c>
      <c r="E264" t="inlineStr">
        <is>
          <t>HÄSSLEHOLM</t>
        </is>
      </c>
      <c r="G264" t="n">
        <v>1.9</v>
      </c>
      <c r="H264" t="n">
        <v>0</v>
      </c>
      <c r="I264" t="n">
        <v>0</v>
      </c>
      <c r="J264" t="n">
        <v>0</v>
      </c>
      <c r="K264" t="n">
        <v>0</v>
      </c>
      <c r="L264" t="n">
        <v>0</v>
      </c>
      <c r="M264" t="n">
        <v>0</v>
      </c>
      <c r="N264" t="n">
        <v>0</v>
      </c>
      <c r="O264" t="n">
        <v>0</v>
      </c>
      <c r="P264" t="n">
        <v>0</v>
      </c>
      <c r="Q264" t="n">
        <v>0</v>
      </c>
      <c r="R264" s="2" t="inlineStr"/>
    </row>
    <row r="265" ht="15" customHeight="1">
      <c r="A265" t="inlineStr">
        <is>
          <t>A 29847-2024</t>
        </is>
      </c>
      <c r="B265" s="1" t="n">
        <v>45485.6278587963</v>
      </c>
      <c r="C265" s="1" t="n">
        <v>45937</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5887-2025</t>
        </is>
      </c>
      <c r="B266" s="1" t="n">
        <v>45695.37925925926</v>
      </c>
      <c r="C266" s="1" t="n">
        <v>45937</v>
      </c>
      <c r="D266" t="inlineStr">
        <is>
          <t>SKÅNE LÄN</t>
        </is>
      </c>
      <c r="E266" t="inlineStr">
        <is>
          <t>HÄSSLEHOLM</t>
        </is>
      </c>
      <c r="G266" t="n">
        <v>4.8</v>
      </c>
      <c r="H266" t="n">
        <v>0</v>
      </c>
      <c r="I266" t="n">
        <v>0</v>
      </c>
      <c r="J266" t="n">
        <v>0</v>
      </c>
      <c r="K266" t="n">
        <v>0</v>
      </c>
      <c r="L266" t="n">
        <v>0</v>
      </c>
      <c r="M266" t="n">
        <v>0</v>
      </c>
      <c r="N266" t="n">
        <v>0</v>
      </c>
      <c r="O266" t="n">
        <v>0</v>
      </c>
      <c r="P266" t="n">
        <v>0</v>
      </c>
      <c r="Q266" t="n">
        <v>0</v>
      </c>
      <c r="R266" s="2" t="inlineStr"/>
    </row>
    <row r="267" ht="15" customHeight="1">
      <c r="A267" t="inlineStr">
        <is>
          <t>A 7653-2024</t>
        </is>
      </c>
      <c r="B267" s="1" t="n">
        <v>45348.69043981482</v>
      </c>
      <c r="C267" s="1" t="n">
        <v>45937</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54174-2022</t>
        </is>
      </c>
      <c r="B268" s="1" t="n">
        <v>44881</v>
      </c>
      <c r="C268" s="1" t="n">
        <v>45937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52235-2021</t>
        </is>
      </c>
      <c r="B269" s="1" t="n">
        <v>44463.60085648148</v>
      </c>
      <c r="C269" s="1" t="n">
        <v>45937</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8760-2024</t>
        </is>
      </c>
      <c r="B270" s="1" t="n">
        <v>45356.53420138889</v>
      </c>
      <c r="C270" s="1" t="n">
        <v>45937</v>
      </c>
      <c r="D270" t="inlineStr">
        <is>
          <t>SKÅNE LÄN</t>
        </is>
      </c>
      <c r="E270" t="inlineStr">
        <is>
          <t>HÄSSLEHOLM</t>
        </is>
      </c>
      <c r="G270" t="n">
        <v>6.1</v>
      </c>
      <c r="H270" t="n">
        <v>0</v>
      </c>
      <c r="I270" t="n">
        <v>0</v>
      </c>
      <c r="J270" t="n">
        <v>0</v>
      </c>
      <c r="K270" t="n">
        <v>0</v>
      </c>
      <c r="L270" t="n">
        <v>0</v>
      </c>
      <c r="M270" t="n">
        <v>0</v>
      </c>
      <c r="N270" t="n">
        <v>0</v>
      </c>
      <c r="O270" t="n">
        <v>0</v>
      </c>
      <c r="P270" t="n">
        <v>0</v>
      </c>
      <c r="Q270" t="n">
        <v>0</v>
      </c>
      <c r="R270" s="2" t="inlineStr"/>
    </row>
    <row r="271" ht="15" customHeight="1">
      <c r="A271" t="inlineStr">
        <is>
          <t>A 25788-2021</t>
        </is>
      </c>
      <c r="B271" s="1" t="n">
        <v>44343</v>
      </c>
      <c r="C271" s="1" t="n">
        <v>45937</v>
      </c>
      <c r="D271" t="inlineStr">
        <is>
          <t>SKÅNE LÄN</t>
        </is>
      </c>
      <c r="E271" t="inlineStr">
        <is>
          <t>HÄSSLEHOLM</t>
        </is>
      </c>
      <c r="G271" t="n">
        <v>4.8</v>
      </c>
      <c r="H271" t="n">
        <v>0</v>
      </c>
      <c r="I271" t="n">
        <v>0</v>
      </c>
      <c r="J271" t="n">
        <v>0</v>
      </c>
      <c r="K271" t="n">
        <v>0</v>
      </c>
      <c r="L271" t="n">
        <v>0</v>
      </c>
      <c r="M271" t="n">
        <v>0</v>
      </c>
      <c r="N271" t="n">
        <v>0</v>
      </c>
      <c r="O271" t="n">
        <v>0</v>
      </c>
      <c r="P271" t="n">
        <v>0</v>
      </c>
      <c r="Q271" t="n">
        <v>0</v>
      </c>
      <c r="R271" s="2" t="inlineStr"/>
    </row>
    <row r="272" ht="15" customHeight="1">
      <c r="A272" t="inlineStr">
        <is>
          <t>A 48889-2024</t>
        </is>
      </c>
      <c r="B272" s="1" t="n">
        <v>45594.33754629629</v>
      </c>
      <c r="C272" s="1" t="n">
        <v>45937</v>
      </c>
      <c r="D272" t="inlineStr">
        <is>
          <t>SKÅNE LÄN</t>
        </is>
      </c>
      <c r="E272" t="inlineStr">
        <is>
          <t>HÄSSLEHOLM</t>
        </is>
      </c>
      <c r="G272" t="n">
        <v>1.5</v>
      </c>
      <c r="H272" t="n">
        <v>0</v>
      </c>
      <c r="I272" t="n">
        <v>0</v>
      </c>
      <c r="J272" t="n">
        <v>0</v>
      </c>
      <c r="K272" t="n">
        <v>0</v>
      </c>
      <c r="L272" t="n">
        <v>0</v>
      </c>
      <c r="M272" t="n">
        <v>0</v>
      </c>
      <c r="N272" t="n">
        <v>0</v>
      </c>
      <c r="O272" t="n">
        <v>0</v>
      </c>
      <c r="P272" t="n">
        <v>0</v>
      </c>
      <c r="Q272" t="n">
        <v>0</v>
      </c>
      <c r="R272" s="2" t="inlineStr"/>
    </row>
    <row r="273" ht="15" customHeight="1">
      <c r="A273" t="inlineStr">
        <is>
          <t>A 12570-2023</t>
        </is>
      </c>
      <c r="B273" s="1" t="n">
        <v>44999</v>
      </c>
      <c r="C273" s="1" t="n">
        <v>45937</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53302-2022</t>
        </is>
      </c>
      <c r="B274" s="1" t="n">
        <v>44877</v>
      </c>
      <c r="C274" s="1" t="n">
        <v>45937</v>
      </c>
      <c r="D274" t="inlineStr">
        <is>
          <t>SKÅNE LÄN</t>
        </is>
      </c>
      <c r="E274" t="inlineStr">
        <is>
          <t>HÄSSLEHOLM</t>
        </is>
      </c>
      <c r="G274" t="n">
        <v>0.1</v>
      </c>
      <c r="H274" t="n">
        <v>0</v>
      </c>
      <c r="I274" t="n">
        <v>0</v>
      </c>
      <c r="J274" t="n">
        <v>0</v>
      </c>
      <c r="K274" t="n">
        <v>0</v>
      </c>
      <c r="L274" t="n">
        <v>0</v>
      </c>
      <c r="M274" t="n">
        <v>0</v>
      </c>
      <c r="N274" t="n">
        <v>0</v>
      </c>
      <c r="O274" t="n">
        <v>0</v>
      </c>
      <c r="P274" t="n">
        <v>0</v>
      </c>
      <c r="Q274" t="n">
        <v>0</v>
      </c>
      <c r="R274" s="2" t="inlineStr"/>
    </row>
    <row r="275" ht="15" customHeight="1">
      <c r="A275" t="inlineStr">
        <is>
          <t>A 56527-2021</t>
        </is>
      </c>
      <c r="B275" s="1" t="n">
        <v>44480</v>
      </c>
      <c r="C275" s="1" t="n">
        <v>45937</v>
      </c>
      <c r="D275" t="inlineStr">
        <is>
          <t>SKÅNE LÄN</t>
        </is>
      </c>
      <c r="E275" t="inlineStr">
        <is>
          <t>HÄSSLEHOLM</t>
        </is>
      </c>
      <c r="F275" t="inlineStr">
        <is>
          <t>Kyrkan</t>
        </is>
      </c>
      <c r="G275" t="n">
        <v>2.7</v>
      </c>
      <c r="H275" t="n">
        <v>0</v>
      </c>
      <c r="I275" t="n">
        <v>0</v>
      </c>
      <c r="J275" t="n">
        <v>0</v>
      </c>
      <c r="K275" t="n">
        <v>0</v>
      </c>
      <c r="L275" t="n">
        <v>0</v>
      </c>
      <c r="M275" t="n">
        <v>0</v>
      </c>
      <c r="N275" t="n">
        <v>0</v>
      </c>
      <c r="O275" t="n">
        <v>0</v>
      </c>
      <c r="P275" t="n">
        <v>0</v>
      </c>
      <c r="Q275" t="n">
        <v>0</v>
      </c>
      <c r="R275" s="2" t="inlineStr"/>
    </row>
    <row r="276" ht="15" customHeight="1">
      <c r="A276" t="inlineStr">
        <is>
          <t>A 14926-2024</t>
        </is>
      </c>
      <c r="B276" s="1" t="n">
        <v>45398</v>
      </c>
      <c r="C276" s="1" t="n">
        <v>45937</v>
      </c>
      <c r="D276" t="inlineStr">
        <is>
          <t>SKÅNE LÄN</t>
        </is>
      </c>
      <c r="E276" t="inlineStr">
        <is>
          <t>HÄSSLEHOLM</t>
        </is>
      </c>
      <c r="G276" t="n">
        <v>3.4</v>
      </c>
      <c r="H276" t="n">
        <v>0</v>
      </c>
      <c r="I276" t="n">
        <v>0</v>
      </c>
      <c r="J276" t="n">
        <v>0</v>
      </c>
      <c r="K276" t="n">
        <v>0</v>
      </c>
      <c r="L276" t="n">
        <v>0</v>
      </c>
      <c r="M276" t="n">
        <v>0</v>
      </c>
      <c r="N276" t="n">
        <v>0</v>
      </c>
      <c r="O276" t="n">
        <v>0</v>
      </c>
      <c r="P276" t="n">
        <v>0</v>
      </c>
      <c r="Q276" t="n">
        <v>0</v>
      </c>
      <c r="R276" s="2" t="inlineStr"/>
    </row>
    <row r="277" ht="15" customHeight="1">
      <c r="A277" t="inlineStr">
        <is>
          <t>A 2688-2024</t>
        </is>
      </c>
      <c r="B277" s="1" t="n">
        <v>45314</v>
      </c>
      <c r="C277" s="1" t="n">
        <v>45937</v>
      </c>
      <c r="D277" t="inlineStr">
        <is>
          <t>SKÅNE LÄN</t>
        </is>
      </c>
      <c r="E277" t="inlineStr">
        <is>
          <t>HÄSSLEHOLM</t>
        </is>
      </c>
      <c r="F277" t="inlineStr">
        <is>
          <t>Övriga Aktiebolag</t>
        </is>
      </c>
      <c r="G277" t="n">
        <v>2.8</v>
      </c>
      <c r="H277" t="n">
        <v>0</v>
      </c>
      <c r="I277" t="n">
        <v>0</v>
      </c>
      <c r="J277" t="n">
        <v>0</v>
      </c>
      <c r="K277" t="n">
        <v>0</v>
      </c>
      <c r="L277" t="n">
        <v>0</v>
      </c>
      <c r="M277" t="n">
        <v>0</v>
      </c>
      <c r="N277" t="n">
        <v>0</v>
      </c>
      <c r="O277" t="n">
        <v>0</v>
      </c>
      <c r="P277" t="n">
        <v>0</v>
      </c>
      <c r="Q277" t="n">
        <v>0</v>
      </c>
      <c r="R277" s="2" t="inlineStr"/>
    </row>
    <row r="278" ht="15" customHeight="1">
      <c r="A278" t="inlineStr">
        <is>
          <t>A 36733-2023</t>
        </is>
      </c>
      <c r="B278" s="1" t="n">
        <v>45153.69989583334</v>
      </c>
      <c r="C278" s="1" t="n">
        <v>45937</v>
      </c>
      <c r="D278" t="inlineStr">
        <is>
          <t>SKÅNE LÄN</t>
        </is>
      </c>
      <c r="E278" t="inlineStr">
        <is>
          <t>HÄSSLEHOLM</t>
        </is>
      </c>
      <c r="G278" t="n">
        <v>4.8</v>
      </c>
      <c r="H278" t="n">
        <v>0</v>
      </c>
      <c r="I278" t="n">
        <v>0</v>
      </c>
      <c r="J278" t="n">
        <v>0</v>
      </c>
      <c r="K278" t="n">
        <v>0</v>
      </c>
      <c r="L278" t="n">
        <v>0</v>
      </c>
      <c r="M278" t="n">
        <v>0</v>
      </c>
      <c r="N278" t="n">
        <v>0</v>
      </c>
      <c r="O278" t="n">
        <v>0</v>
      </c>
      <c r="P278" t="n">
        <v>0</v>
      </c>
      <c r="Q278" t="n">
        <v>0</v>
      </c>
      <c r="R278" s="2" t="inlineStr"/>
    </row>
    <row r="279" ht="15" customHeight="1">
      <c r="A279" t="inlineStr">
        <is>
          <t>A 52642-2021</t>
        </is>
      </c>
      <c r="B279" s="1" t="n">
        <v>44466.64298611111</v>
      </c>
      <c r="C279" s="1" t="n">
        <v>45937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29850-2024</t>
        </is>
      </c>
      <c r="B280" s="1" t="n">
        <v>45485.64620370371</v>
      </c>
      <c r="C280" s="1" t="n">
        <v>45937</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2567-2024</t>
        </is>
      </c>
      <c r="B281" s="1" t="n">
        <v>45313.62460648148</v>
      </c>
      <c r="C281" s="1" t="n">
        <v>45937</v>
      </c>
      <c r="D281" t="inlineStr">
        <is>
          <t>SKÅNE LÄN</t>
        </is>
      </c>
      <c r="E281" t="inlineStr">
        <is>
          <t>HÄSSLEHOLM</t>
        </is>
      </c>
      <c r="G281" t="n">
        <v>1.1</v>
      </c>
      <c r="H281" t="n">
        <v>0</v>
      </c>
      <c r="I281" t="n">
        <v>0</v>
      </c>
      <c r="J281" t="n">
        <v>0</v>
      </c>
      <c r="K281" t="n">
        <v>0</v>
      </c>
      <c r="L281" t="n">
        <v>0</v>
      </c>
      <c r="M281" t="n">
        <v>0</v>
      </c>
      <c r="N281" t="n">
        <v>0</v>
      </c>
      <c r="O281" t="n">
        <v>0</v>
      </c>
      <c r="P281" t="n">
        <v>0</v>
      </c>
      <c r="Q281" t="n">
        <v>0</v>
      </c>
      <c r="R281" s="2" t="inlineStr"/>
    </row>
    <row r="282" ht="15" customHeight="1">
      <c r="A282" t="inlineStr">
        <is>
          <t>A 35711-2024</t>
        </is>
      </c>
      <c r="B282" s="1" t="n">
        <v>45532</v>
      </c>
      <c r="C282" s="1" t="n">
        <v>45937</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8244-2023</t>
        </is>
      </c>
      <c r="B283" s="1" t="n">
        <v>44974</v>
      </c>
      <c r="C283" s="1" t="n">
        <v>45937</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8246-2023</t>
        </is>
      </c>
      <c r="B284" s="1" t="n">
        <v>44974</v>
      </c>
      <c r="C284" s="1" t="n">
        <v>45937</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3992-2022</t>
        </is>
      </c>
      <c r="B285" s="1" t="n">
        <v>44587</v>
      </c>
      <c r="C285" s="1" t="n">
        <v>45937</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34834-2023</t>
        </is>
      </c>
      <c r="B286" s="1" t="n">
        <v>45141.7199537037</v>
      </c>
      <c r="C286" s="1" t="n">
        <v>45937</v>
      </c>
      <c r="D286" t="inlineStr">
        <is>
          <t>SKÅNE LÄN</t>
        </is>
      </c>
      <c r="E286" t="inlineStr">
        <is>
          <t>HÄSSLEHOLM</t>
        </is>
      </c>
      <c r="G286" t="n">
        <v>1</v>
      </c>
      <c r="H286" t="n">
        <v>0</v>
      </c>
      <c r="I286" t="n">
        <v>0</v>
      </c>
      <c r="J286" t="n">
        <v>0</v>
      </c>
      <c r="K286" t="n">
        <v>0</v>
      </c>
      <c r="L286" t="n">
        <v>0</v>
      </c>
      <c r="M286" t="n">
        <v>0</v>
      </c>
      <c r="N286" t="n">
        <v>0</v>
      </c>
      <c r="O286" t="n">
        <v>0</v>
      </c>
      <c r="P286" t="n">
        <v>0</v>
      </c>
      <c r="Q286" t="n">
        <v>0</v>
      </c>
      <c r="R286" s="2" t="inlineStr"/>
    </row>
    <row r="287" ht="15" customHeight="1">
      <c r="A287" t="inlineStr">
        <is>
          <t>A 24679-2023</t>
        </is>
      </c>
      <c r="B287" s="1" t="n">
        <v>45084</v>
      </c>
      <c r="C287" s="1" t="n">
        <v>45937</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25955-2022</t>
        </is>
      </c>
      <c r="B288" s="1" t="n">
        <v>44734</v>
      </c>
      <c r="C288" s="1" t="n">
        <v>45937</v>
      </c>
      <c r="D288" t="inlineStr">
        <is>
          <t>SKÅNE LÄN</t>
        </is>
      </c>
      <c r="E288" t="inlineStr">
        <is>
          <t>HÄSSLEHOLM</t>
        </is>
      </c>
      <c r="G288" t="n">
        <v>0.5</v>
      </c>
      <c r="H288" t="n">
        <v>0</v>
      </c>
      <c r="I288" t="n">
        <v>0</v>
      </c>
      <c r="J288" t="n">
        <v>0</v>
      </c>
      <c r="K288" t="n">
        <v>0</v>
      </c>
      <c r="L288" t="n">
        <v>0</v>
      </c>
      <c r="M288" t="n">
        <v>0</v>
      </c>
      <c r="N288" t="n">
        <v>0</v>
      </c>
      <c r="O288" t="n">
        <v>0</v>
      </c>
      <c r="P288" t="n">
        <v>0</v>
      </c>
      <c r="Q288" t="n">
        <v>0</v>
      </c>
      <c r="R288" s="2" t="inlineStr"/>
    </row>
    <row r="289" ht="15" customHeight="1">
      <c r="A289" t="inlineStr">
        <is>
          <t>A 62041-2022</t>
        </is>
      </c>
      <c r="B289" s="1" t="n">
        <v>44918.55743055556</v>
      </c>
      <c r="C289" s="1" t="n">
        <v>45937</v>
      </c>
      <c r="D289" t="inlineStr">
        <is>
          <t>SKÅNE LÄN</t>
        </is>
      </c>
      <c r="E289" t="inlineStr">
        <is>
          <t>HÄSSLEHOLM</t>
        </is>
      </c>
      <c r="G289" t="n">
        <v>2.8</v>
      </c>
      <c r="H289" t="n">
        <v>0</v>
      </c>
      <c r="I289" t="n">
        <v>0</v>
      </c>
      <c r="J289" t="n">
        <v>0</v>
      </c>
      <c r="K289" t="n">
        <v>0</v>
      </c>
      <c r="L289" t="n">
        <v>0</v>
      </c>
      <c r="M289" t="n">
        <v>0</v>
      </c>
      <c r="N289" t="n">
        <v>0</v>
      </c>
      <c r="O289" t="n">
        <v>0</v>
      </c>
      <c r="P289" t="n">
        <v>0</v>
      </c>
      <c r="Q289" t="n">
        <v>0</v>
      </c>
      <c r="R289" s="2" t="inlineStr"/>
    </row>
    <row r="290" ht="15" customHeight="1">
      <c r="A290" t="inlineStr">
        <is>
          <t>A 40734-2024</t>
        </is>
      </c>
      <c r="B290" s="1" t="n">
        <v>45558</v>
      </c>
      <c r="C290" s="1" t="n">
        <v>45937</v>
      </c>
      <c r="D290" t="inlineStr">
        <is>
          <t>SKÅNE LÄN</t>
        </is>
      </c>
      <c r="E290" t="inlineStr">
        <is>
          <t>HÄSSLEHOLM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40738-2024</t>
        </is>
      </c>
      <c r="B291" s="1" t="n">
        <v>45558</v>
      </c>
      <c r="C291" s="1" t="n">
        <v>45937</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20657-2022</t>
        </is>
      </c>
      <c r="B292" s="1" t="n">
        <v>44700</v>
      </c>
      <c r="C292" s="1" t="n">
        <v>45937</v>
      </c>
      <c r="D292" t="inlineStr">
        <is>
          <t>SKÅNE LÄN</t>
        </is>
      </c>
      <c r="E292" t="inlineStr">
        <is>
          <t>HÄSSLEHOLM</t>
        </is>
      </c>
      <c r="G292" t="n">
        <v>3.8</v>
      </c>
      <c r="H292" t="n">
        <v>0</v>
      </c>
      <c r="I292" t="n">
        <v>0</v>
      </c>
      <c r="J292" t="n">
        <v>0</v>
      </c>
      <c r="K292" t="n">
        <v>0</v>
      </c>
      <c r="L292" t="n">
        <v>0</v>
      </c>
      <c r="M292" t="n">
        <v>0</v>
      </c>
      <c r="N292" t="n">
        <v>0</v>
      </c>
      <c r="O292" t="n">
        <v>0</v>
      </c>
      <c r="P292" t="n">
        <v>0</v>
      </c>
      <c r="Q292" t="n">
        <v>0</v>
      </c>
      <c r="R292" s="2" t="inlineStr"/>
    </row>
    <row r="293" ht="15" customHeight="1">
      <c r="A293" t="inlineStr">
        <is>
          <t>A 15508-2023</t>
        </is>
      </c>
      <c r="B293" s="1" t="n">
        <v>45020.50045138889</v>
      </c>
      <c r="C293" s="1" t="n">
        <v>45937</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37141-2021</t>
        </is>
      </c>
      <c r="B294" s="1" t="n">
        <v>44396</v>
      </c>
      <c r="C294" s="1" t="n">
        <v>45937</v>
      </c>
      <c r="D294" t="inlineStr">
        <is>
          <t>SKÅNE LÄN</t>
        </is>
      </c>
      <c r="E294" t="inlineStr">
        <is>
          <t>HÄSSLEHOLM</t>
        </is>
      </c>
      <c r="G294" t="n">
        <v>12.8</v>
      </c>
      <c r="H294" t="n">
        <v>0</v>
      </c>
      <c r="I294" t="n">
        <v>0</v>
      </c>
      <c r="J294" t="n">
        <v>0</v>
      </c>
      <c r="K294" t="n">
        <v>0</v>
      </c>
      <c r="L294" t="n">
        <v>0</v>
      </c>
      <c r="M294" t="n">
        <v>0</v>
      </c>
      <c r="N294" t="n">
        <v>0</v>
      </c>
      <c r="O294" t="n">
        <v>0</v>
      </c>
      <c r="P294" t="n">
        <v>0</v>
      </c>
      <c r="Q294" t="n">
        <v>0</v>
      </c>
      <c r="R294" s="2" t="inlineStr"/>
    </row>
    <row r="295" ht="15" customHeight="1">
      <c r="A295" t="inlineStr">
        <is>
          <t>A 29994-2023</t>
        </is>
      </c>
      <c r="B295" s="1" t="n">
        <v>45109.60038194444</v>
      </c>
      <c r="C295" s="1" t="n">
        <v>45937</v>
      </c>
      <c r="D295" t="inlineStr">
        <is>
          <t>SKÅNE LÄN</t>
        </is>
      </c>
      <c r="E295" t="inlineStr">
        <is>
          <t>HÄSSLEHOLM</t>
        </is>
      </c>
      <c r="G295" t="n">
        <v>2.8</v>
      </c>
      <c r="H295" t="n">
        <v>0</v>
      </c>
      <c r="I295" t="n">
        <v>0</v>
      </c>
      <c r="J295" t="n">
        <v>0</v>
      </c>
      <c r="K295" t="n">
        <v>0</v>
      </c>
      <c r="L295" t="n">
        <v>0</v>
      </c>
      <c r="M295" t="n">
        <v>0</v>
      </c>
      <c r="N295" t="n">
        <v>0</v>
      </c>
      <c r="O295" t="n">
        <v>0</v>
      </c>
      <c r="P295" t="n">
        <v>0</v>
      </c>
      <c r="Q295" t="n">
        <v>0</v>
      </c>
      <c r="R295" s="2" t="inlineStr"/>
    </row>
    <row r="296" ht="15" customHeight="1">
      <c r="A296" t="inlineStr">
        <is>
          <t>A 34187-2023</t>
        </is>
      </c>
      <c r="B296" s="1" t="n">
        <v>45138</v>
      </c>
      <c r="C296" s="1" t="n">
        <v>45937</v>
      </c>
      <c r="D296" t="inlineStr">
        <is>
          <t>SKÅNE LÄN</t>
        </is>
      </c>
      <c r="E296" t="inlineStr">
        <is>
          <t>HÄSSLEHOLM</t>
        </is>
      </c>
      <c r="G296" t="n">
        <v>0.4</v>
      </c>
      <c r="H296" t="n">
        <v>0</v>
      </c>
      <c r="I296" t="n">
        <v>0</v>
      </c>
      <c r="J296" t="n">
        <v>0</v>
      </c>
      <c r="K296" t="n">
        <v>0</v>
      </c>
      <c r="L296" t="n">
        <v>0</v>
      </c>
      <c r="M296" t="n">
        <v>0</v>
      </c>
      <c r="N296" t="n">
        <v>0</v>
      </c>
      <c r="O296" t="n">
        <v>0</v>
      </c>
      <c r="P296" t="n">
        <v>0</v>
      </c>
      <c r="Q296" t="n">
        <v>0</v>
      </c>
      <c r="R296" s="2" t="inlineStr"/>
    </row>
    <row r="297" ht="15" customHeight="1">
      <c r="A297" t="inlineStr">
        <is>
          <t>A 20872-2025</t>
        </is>
      </c>
      <c r="B297" s="1" t="n">
        <v>45777.34688657407</v>
      </c>
      <c r="C297" s="1" t="n">
        <v>45937</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45399-2022</t>
        </is>
      </c>
      <c r="B298" s="1" t="n">
        <v>44844.70513888889</v>
      </c>
      <c r="C298" s="1" t="n">
        <v>45937</v>
      </c>
      <c r="D298" t="inlineStr">
        <is>
          <t>SKÅNE LÄN</t>
        </is>
      </c>
      <c r="E298" t="inlineStr">
        <is>
          <t>HÄSSLEHOLM</t>
        </is>
      </c>
      <c r="G298" t="n">
        <v>0</v>
      </c>
      <c r="H298" t="n">
        <v>0</v>
      </c>
      <c r="I298" t="n">
        <v>0</v>
      </c>
      <c r="J298" t="n">
        <v>0</v>
      </c>
      <c r="K298" t="n">
        <v>0</v>
      </c>
      <c r="L298" t="n">
        <v>0</v>
      </c>
      <c r="M298" t="n">
        <v>0</v>
      </c>
      <c r="N298" t="n">
        <v>0</v>
      </c>
      <c r="O298" t="n">
        <v>0</v>
      </c>
      <c r="P298" t="n">
        <v>0</v>
      </c>
      <c r="Q298" t="n">
        <v>0</v>
      </c>
      <c r="R298" s="2" t="inlineStr"/>
    </row>
    <row r="299" ht="15" customHeight="1">
      <c r="A299" t="inlineStr">
        <is>
          <t>A 11019-2025</t>
        </is>
      </c>
      <c r="B299" s="1" t="n">
        <v>45723</v>
      </c>
      <c r="C299" s="1" t="n">
        <v>45937</v>
      </c>
      <c r="D299" t="inlineStr">
        <is>
          <t>SKÅNE LÄN</t>
        </is>
      </c>
      <c r="E299" t="inlineStr">
        <is>
          <t>HÄSSLEHOLM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56062-2024</t>
        </is>
      </c>
      <c r="B300" s="1" t="n">
        <v>45624.37105324074</v>
      </c>
      <c r="C300" s="1" t="n">
        <v>45937</v>
      </c>
      <c r="D300" t="inlineStr">
        <is>
          <t>SKÅNE LÄN</t>
        </is>
      </c>
      <c r="E300" t="inlineStr">
        <is>
          <t>HÄSSLEHOLM</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45299-2024</t>
        </is>
      </c>
      <c r="B301" s="1" t="n">
        <v>45576.40599537037</v>
      </c>
      <c r="C301" s="1" t="n">
        <v>45937</v>
      </c>
      <c r="D301" t="inlineStr">
        <is>
          <t>SKÅNE LÄN</t>
        </is>
      </c>
      <c r="E301" t="inlineStr">
        <is>
          <t>HÄSSLEHOLM</t>
        </is>
      </c>
      <c r="G301" t="n">
        <v>1.3</v>
      </c>
      <c r="H301" t="n">
        <v>0</v>
      </c>
      <c r="I301" t="n">
        <v>0</v>
      </c>
      <c r="J301" t="n">
        <v>0</v>
      </c>
      <c r="K301" t="n">
        <v>0</v>
      </c>
      <c r="L301" t="n">
        <v>0</v>
      </c>
      <c r="M301" t="n">
        <v>0</v>
      </c>
      <c r="N301" t="n">
        <v>0</v>
      </c>
      <c r="O301" t="n">
        <v>0</v>
      </c>
      <c r="P301" t="n">
        <v>0</v>
      </c>
      <c r="Q301" t="n">
        <v>0</v>
      </c>
      <c r="R301" s="2" t="inlineStr"/>
    </row>
    <row r="302" ht="15" customHeight="1">
      <c r="A302" t="inlineStr">
        <is>
          <t>A 34369-2023</t>
        </is>
      </c>
      <c r="B302" s="1" t="n">
        <v>45139.47817129629</v>
      </c>
      <c r="C302" s="1" t="n">
        <v>45937</v>
      </c>
      <c r="D302" t="inlineStr">
        <is>
          <t>SKÅNE LÄN</t>
        </is>
      </c>
      <c r="E302" t="inlineStr">
        <is>
          <t>HÄSSLEHOLM</t>
        </is>
      </c>
      <c r="G302" t="n">
        <v>2</v>
      </c>
      <c r="H302" t="n">
        <v>0</v>
      </c>
      <c r="I302" t="n">
        <v>0</v>
      </c>
      <c r="J302" t="n">
        <v>0</v>
      </c>
      <c r="K302" t="n">
        <v>0</v>
      </c>
      <c r="L302" t="n">
        <v>0</v>
      </c>
      <c r="M302" t="n">
        <v>0</v>
      </c>
      <c r="N302" t="n">
        <v>0</v>
      </c>
      <c r="O302" t="n">
        <v>0</v>
      </c>
      <c r="P302" t="n">
        <v>0</v>
      </c>
      <c r="Q302" t="n">
        <v>0</v>
      </c>
      <c r="R302" s="2" t="inlineStr"/>
    </row>
    <row r="303" ht="15" customHeight="1">
      <c r="A303" t="inlineStr">
        <is>
          <t>A 49379-2021</t>
        </is>
      </c>
      <c r="B303" s="1" t="n">
        <v>44454</v>
      </c>
      <c r="C303" s="1" t="n">
        <v>45937</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32881-2024</t>
        </is>
      </c>
      <c r="B304" s="1" t="n">
        <v>45516</v>
      </c>
      <c r="C304" s="1" t="n">
        <v>45937</v>
      </c>
      <c r="D304" t="inlineStr">
        <is>
          <t>SKÅNE LÄN</t>
        </is>
      </c>
      <c r="E304" t="inlineStr">
        <is>
          <t>HÄSSLEHOLM</t>
        </is>
      </c>
      <c r="G304" t="n">
        <v>6.3</v>
      </c>
      <c r="H304" t="n">
        <v>0</v>
      </c>
      <c r="I304" t="n">
        <v>0</v>
      </c>
      <c r="J304" t="n">
        <v>0</v>
      </c>
      <c r="K304" t="n">
        <v>0</v>
      </c>
      <c r="L304" t="n">
        <v>0</v>
      </c>
      <c r="M304" t="n">
        <v>0</v>
      </c>
      <c r="N304" t="n">
        <v>0</v>
      </c>
      <c r="O304" t="n">
        <v>0</v>
      </c>
      <c r="P304" t="n">
        <v>0</v>
      </c>
      <c r="Q304" t="n">
        <v>0</v>
      </c>
      <c r="R304" s="2" t="inlineStr"/>
    </row>
    <row r="305" ht="15" customHeight="1">
      <c r="A305" t="inlineStr">
        <is>
          <t>A 2743-2023</t>
        </is>
      </c>
      <c r="B305" s="1" t="n">
        <v>44944</v>
      </c>
      <c r="C305" s="1" t="n">
        <v>45937</v>
      </c>
      <c r="D305" t="inlineStr">
        <is>
          <t>SKÅNE LÄN</t>
        </is>
      </c>
      <c r="E305" t="inlineStr">
        <is>
          <t>HÄSSLEHOLM</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27297-2023</t>
        </is>
      </c>
      <c r="B306" s="1" t="n">
        <v>45096</v>
      </c>
      <c r="C306" s="1" t="n">
        <v>45937</v>
      </c>
      <c r="D306" t="inlineStr">
        <is>
          <t>SKÅNE LÄN</t>
        </is>
      </c>
      <c r="E306" t="inlineStr">
        <is>
          <t>HÄSSLEHOLM</t>
        </is>
      </c>
      <c r="G306" t="n">
        <v>1.3</v>
      </c>
      <c r="H306" t="n">
        <v>0</v>
      </c>
      <c r="I306" t="n">
        <v>0</v>
      </c>
      <c r="J306" t="n">
        <v>0</v>
      </c>
      <c r="K306" t="n">
        <v>0</v>
      </c>
      <c r="L306" t="n">
        <v>0</v>
      </c>
      <c r="M306" t="n">
        <v>0</v>
      </c>
      <c r="N306" t="n">
        <v>0</v>
      </c>
      <c r="O306" t="n">
        <v>0</v>
      </c>
      <c r="P306" t="n">
        <v>0</v>
      </c>
      <c r="Q306" t="n">
        <v>0</v>
      </c>
      <c r="R306" s="2" t="inlineStr"/>
    </row>
    <row r="307" ht="15" customHeight="1">
      <c r="A307" t="inlineStr">
        <is>
          <t>A 3930-2021</t>
        </is>
      </c>
      <c r="B307" s="1" t="n">
        <v>44222</v>
      </c>
      <c r="C307" s="1" t="n">
        <v>45937</v>
      </c>
      <c r="D307" t="inlineStr">
        <is>
          <t>SKÅNE LÄN</t>
        </is>
      </c>
      <c r="E307" t="inlineStr">
        <is>
          <t>HÄSSLEHOLM</t>
        </is>
      </c>
      <c r="G307" t="n">
        <v>3.4</v>
      </c>
      <c r="H307" t="n">
        <v>0</v>
      </c>
      <c r="I307" t="n">
        <v>0</v>
      </c>
      <c r="J307" t="n">
        <v>0</v>
      </c>
      <c r="K307" t="n">
        <v>0</v>
      </c>
      <c r="L307" t="n">
        <v>0</v>
      </c>
      <c r="M307" t="n">
        <v>0</v>
      </c>
      <c r="N307" t="n">
        <v>0</v>
      </c>
      <c r="O307" t="n">
        <v>0</v>
      </c>
      <c r="P307" t="n">
        <v>0</v>
      </c>
      <c r="Q307" t="n">
        <v>0</v>
      </c>
      <c r="R307" s="2" t="inlineStr"/>
    </row>
    <row r="308" ht="15" customHeight="1">
      <c r="A308" t="inlineStr">
        <is>
          <t>A 21091-2025</t>
        </is>
      </c>
      <c r="B308" s="1" t="n">
        <v>45777</v>
      </c>
      <c r="C308" s="1" t="n">
        <v>45937</v>
      </c>
      <c r="D308" t="inlineStr">
        <is>
          <t>SKÅNE LÄN</t>
        </is>
      </c>
      <c r="E308" t="inlineStr">
        <is>
          <t>HÄSSLEHOLM</t>
        </is>
      </c>
      <c r="G308" t="n">
        <v>3.4</v>
      </c>
      <c r="H308" t="n">
        <v>0</v>
      </c>
      <c r="I308" t="n">
        <v>0</v>
      </c>
      <c r="J308" t="n">
        <v>0</v>
      </c>
      <c r="K308" t="n">
        <v>0</v>
      </c>
      <c r="L308" t="n">
        <v>0</v>
      </c>
      <c r="M308" t="n">
        <v>0</v>
      </c>
      <c r="N308" t="n">
        <v>0</v>
      </c>
      <c r="O308" t="n">
        <v>0</v>
      </c>
      <c r="P308" t="n">
        <v>0</v>
      </c>
      <c r="Q308" t="n">
        <v>0</v>
      </c>
      <c r="R308" s="2" t="inlineStr"/>
    </row>
    <row r="309" ht="15" customHeight="1">
      <c r="A309" t="inlineStr">
        <is>
          <t>A 8378-2023</t>
        </is>
      </c>
      <c r="B309" s="1" t="n">
        <v>44971</v>
      </c>
      <c r="C309" s="1" t="n">
        <v>45937</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62044-2022</t>
        </is>
      </c>
      <c r="B310" s="1" t="n">
        <v>44918.55976851852</v>
      </c>
      <c r="C310" s="1" t="n">
        <v>45937</v>
      </c>
      <c r="D310" t="inlineStr">
        <is>
          <t>SKÅNE LÄN</t>
        </is>
      </c>
      <c r="E310" t="inlineStr">
        <is>
          <t>HÄSSLEHOLM</t>
        </is>
      </c>
      <c r="G310" t="n">
        <v>2.1</v>
      </c>
      <c r="H310" t="n">
        <v>0</v>
      </c>
      <c r="I310" t="n">
        <v>0</v>
      </c>
      <c r="J310" t="n">
        <v>0</v>
      </c>
      <c r="K310" t="n">
        <v>0</v>
      </c>
      <c r="L310" t="n">
        <v>0</v>
      </c>
      <c r="M310" t="n">
        <v>0</v>
      </c>
      <c r="N310" t="n">
        <v>0</v>
      </c>
      <c r="O310" t="n">
        <v>0</v>
      </c>
      <c r="P310" t="n">
        <v>0</v>
      </c>
      <c r="Q310" t="n">
        <v>0</v>
      </c>
      <c r="R310" s="2" t="inlineStr"/>
    </row>
    <row r="311" ht="15" customHeight="1">
      <c r="A311" t="inlineStr">
        <is>
          <t>A 21206-2025</t>
        </is>
      </c>
      <c r="B311" s="1" t="n">
        <v>45779.48318287037</v>
      </c>
      <c r="C311" s="1" t="n">
        <v>45937</v>
      </c>
      <c r="D311" t="inlineStr">
        <is>
          <t>SKÅNE LÄN</t>
        </is>
      </c>
      <c r="E311" t="inlineStr">
        <is>
          <t>HÄSSLEHOLM</t>
        </is>
      </c>
      <c r="G311" t="n">
        <v>2.2</v>
      </c>
      <c r="H311" t="n">
        <v>0</v>
      </c>
      <c r="I311" t="n">
        <v>0</v>
      </c>
      <c r="J311" t="n">
        <v>0</v>
      </c>
      <c r="K311" t="n">
        <v>0</v>
      </c>
      <c r="L311" t="n">
        <v>0</v>
      </c>
      <c r="M311" t="n">
        <v>0</v>
      </c>
      <c r="N311" t="n">
        <v>0</v>
      </c>
      <c r="O311" t="n">
        <v>0</v>
      </c>
      <c r="P311" t="n">
        <v>0</v>
      </c>
      <c r="Q311" t="n">
        <v>0</v>
      </c>
      <c r="R311" s="2" t="inlineStr"/>
    </row>
    <row r="312" ht="15" customHeight="1">
      <c r="A312" t="inlineStr">
        <is>
          <t>A 6164-2023</t>
        </is>
      </c>
      <c r="B312" s="1" t="n">
        <v>44964.66871527778</v>
      </c>
      <c r="C312" s="1" t="n">
        <v>45937</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60704-2023</t>
        </is>
      </c>
      <c r="B313" s="1" t="n">
        <v>45260.51340277777</v>
      </c>
      <c r="C313" s="1" t="n">
        <v>45937</v>
      </c>
      <c r="D313" t="inlineStr">
        <is>
          <t>SKÅNE LÄN</t>
        </is>
      </c>
      <c r="E313" t="inlineStr">
        <is>
          <t>HÄSSLEHOLM</t>
        </is>
      </c>
      <c r="G313" t="n">
        <v>2.1</v>
      </c>
      <c r="H313" t="n">
        <v>0</v>
      </c>
      <c r="I313" t="n">
        <v>0</v>
      </c>
      <c r="J313" t="n">
        <v>0</v>
      </c>
      <c r="K313" t="n">
        <v>0</v>
      </c>
      <c r="L313" t="n">
        <v>0</v>
      </c>
      <c r="M313" t="n">
        <v>0</v>
      </c>
      <c r="N313" t="n">
        <v>0</v>
      </c>
      <c r="O313" t="n">
        <v>0</v>
      </c>
      <c r="P313" t="n">
        <v>0</v>
      </c>
      <c r="Q313" t="n">
        <v>0</v>
      </c>
      <c r="R313" s="2" t="inlineStr"/>
    </row>
    <row r="314" ht="15" customHeight="1">
      <c r="A314" t="inlineStr">
        <is>
          <t>A 61569-2023</t>
        </is>
      </c>
      <c r="B314" s="1" t="n">
        <v>45265</v>
      </c>
      <c r="C314" s="1" t="n">
        <v>45937</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7306-2025</t>
        </is>
      </c>
      <c r="B315" s="1" t="n">
        <v>45702</v>
      </c>
      <c r="C315" s="1" t="n">
        <v>45937</v>
      </c>
      <c r="D315" t="inlineStr">
        <is>
          <t>SKÅNE LÄN</t>
        </is>
      </c>
      <c r="E315" t="inlineStr">
        <is>
          <t>HÄSSLEHOLM</t>
        </is>
      </c>
      <c r="F315" t="inlineStr">
        <is>
          <t>Övriga Aktiebolag</t>
        </is>
      </c>
      <c r="G315" t="n">
        <v>3.3</v>
      </c>
      <c r="H315" t="n">
        <v>0</v>
      </c>
      <c r="I315" t="n">
        <v>0</v>
      </c>
      <c r="J315" t="n">
        <v>0</v>
      </c>
      <c r="K315" t="n">
        <v>0</v>
      </c>
      <c r="L315" t="n">
        <v>0</v>
      </c>
      <c r="M315" t="n">
        <v>0</v>
      </c>
      <c r="N315" t="n">
        <v>0</v>
      </c>
      <c r="O315" t="n">
        <v>0</v>
      </c>
      <c r="P315" t="n">
        <v>0</v>
      </c>
      <c r="Q315" t="n">
        <v>0</v>
      </c>
      <c r="R315" s="2" t="inlineStr"/>
    </row>
    <row r="316" ht="15" customHeight="1">
      <c r="A316" t="inlineStr">
        <is>
          <t>A 7308-2025</t>
        </is>
      </c>
      <c r="B316" s="1" t="n">
        <v>45702</v>
      </c>
      <c r="C316" s="1" t="n">
        <v>45937</v>
      </c>
      <c r="D316" t="inlineStr">
        <is>
          <t>SKÅNE LÄN</t>
        </is>
      </c>
      <c r="E316" t="inlineStr">
        <is>
          <t>HÄSSLEHOLM</t>
        </is>
      </c>
      <c r="F316" t="inlineStr">
        <is>
          <t>Övriga Aktiebolag</t>
        </is>
      </c>
      <c r="G316" t="n">
        <v>4.8</v>
      </c>
      <c r="H316" t="n">
        <v>0</v>
      </c>
      <c r="I316" t="n">
        <v>0</v>
      </c>
      <c r="J316" t="n">
        <v>0</v>
      </c>
      <c r="K316" t="n">
        <v>0</v>
      </c>
      <c r="L316" t="n">
        <v>0</v>
      </c>
      <c r="M316" t="n">
        <v>0</v>
      </c>
      <c r="N316" t="n">
        <v>0</v>
      </c>
      <c r="O316" t="n">
        <v>0</v>
      </c>
      <c r="P316" t="n">
        <v>0</v>
      </c>
      <c r="Q316" t="n">
        <v>0</v>
      </c>
      <c r="R316" s="2" t="inlineStr"/>
    </row>
    <row r="317" ht="15" customHeight="1">
      <c r="A317" t="inlineStr">
        <is>
          <t>A 37318-2024</t>
        </is>
      </c>
      <c r="B317" s="1" t="n">
        <v>45540</v>
      </c>
      <c r="C317" s="1" t="n">
        <v>45937</v>
      </c>
      <c r="D317" t="inlineStr">
        <is>
          <t>SKÅNE LÄN</t>
        </is>
      </c>
      <c r="E317" t="inlineStr">
        <is>
          <t>HÄSSLEHOLM</t>
        </is>
      </c>
      <c r="G317" t="n">
        <v>3.9</v>
      </c>
      <c r="H317" t="n">
        <v>0</v>
      </c>
      <c r="I317" t="n">
        <v>0</v>
      </c>
      <c r="J317" t="n">
        <v>0</v>
      </c>
      <c r="K317" t="n">
        <v>0</v>
      </c>
      <c r="L317" t="n">
        <v>0</v>
      </c>
      <c r="M317" t="n">
        <v>0</v>
      </c>
      <c r="N317" t="n">
        <v>0</v>
      </c>
      <c r="O317" t="n">
        <v>0</v>
      </c>
      <c r="P317" t="n">
        <v>0</v>
      </c>
      <c r="Q317" t="n">
        <v>0</v>
      </c>
      <c r="R317" s="2" t="inlineStr"/>
    </row>
    <row r="318" ht="15" customHeight="1">
      <c r="A318" t="inlineStr">
        <is>
          <t>A 58891-2022</t>
        </is>
      </c>
      <c r="B318" s="1" t="n">
        <v>44896</v>
      </c>
      <c r="C318" s="1" t="n">
        <v>45937</v>
      </c>
      <c r="D318" t="inlineStr">
        <is>
          <t>SKÅNE LÄN</t>
        </is>
      </c>
      <c r="E318" t="inlineStr">
        <is>
          <t>HÄSSLEHOLM</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37324-2024</t>
        </is>
      </c>
      <c r="B319" s="1" t="n">
        <v>45540.50104166667</v>
      </c>
      <c r="C319" s="1" t="n">
        <v>45937</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29845-2024</t>
        </is>
      </c>
      <c r="B320" s="1" t="n">
        <v>45485.6212037037</v>
      </c>
      <c r="C320" s="1" t="n">
        <v>45937</v>
      </c>
      <c r="D320" t="inlineStr">
        <is>
          <t>SKÅNE LÄN</t>
        </is>
      </c>
      <c r="E320" t="inlineStr">
        <is>
          <t>HÄSSLEHOLM</t>
        </is>
      </c>
      <c r="G320" t="n">
        <v>1.3</v>
      </c>
      <c r="H320" t="n">
        <v>0</v>
      </c>
      <c r="I320" t="n">
        <v>0</v>
      </c>
      <c r="J320" t="n">
        <v>0</v>
      </c>
      <c r="K320" t="n">
        <v>0</v>
      </c>
      <c r="L320" t="n">
        <v>0</v>
      </c>
      <c r="M320" t="n">
        <v>0</v>
      </c>
      <c r="N320" t="n">
        <v>0</v>
      </c>
      <c r="O320" t="n">
        <v>0</v>
      </c>
      <c r="P320" t="n">
        <v>0</v>
      </c>
      <c r="Q320" t="n">
        <v>0</v>
      </c>
      <c r="R320" s="2" t="inlineStr"/>
    </row>
    <row r="321" ht="15" customHeight="1">
      <c r="A321" t="inlineStr">
        <is>
          <t>A 20006-2025</t>
        </is>
      </c>
      <c r="B321" s="1" t="n">
        <v>45772.05032407407</v>
      </c>
      <c r="C321" s="1" t="n">
        <v>45937</v>
      </c>
      <c r="D321" t="inlineStr">
        <is>
          <t>SKÅNE LÄN</t>
        </is>
      </c>
      <c r="E321" t="inlineStr">
        <is>
          <t>HÄSSLEHOLM</t>
        </is>
      </c>
      <c r="G321" t="n">
        <v>3.9</v>
      </c>
      <c r="H321" t="n">
        <v>0</v>
      </c>
      <c r="I321" t="n">
        <v>0</v>
      </c>
      <c r="J321" t="n">
        <v>0</v>
      </c>
      <c r="K321" t="n">
        <v>0</v>
      </c>
      <c r="L321" t="n">
        <v>0</v>
      </c>
      <c r="M321" t="n">
        <v>0</v>
      </c>
      <c r="N321" t="n">
        <v>0</v>
      </c>
      <c r="O321" t="n">
        <v>0</v>
      </c>
      <c r="P321" t="n">
        <v>0</v>
      </c>
      <c r="Q321" t="n">
        <v>0</v>
      </c>
      <c r="R321" s="2" t="inlineStr"/>
    </row>
    <row r="322" ht="15" customHeight="1">
      <c r="A322" t="inlineStr">
        <is>
          <t>A 25176-2024</t>
        </is>
      </c>
      <c r="B322" s="1" t="n">
        <v>45462.54582175926</v>
      </c>
      <c r="C322" s="1" t="n">
        <v>45937</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61533-2024</t>
        </is>
      </c>
      <c r="B323" s="1" t="n">
        <v>45646</v>
      </c>
      <c r="C323" s="1" t="n">
        <v>45937</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61537-2024</t>
        </is>
      </c>
      <c r="B324" s="1" t="n">
        <v>45646</v>
      </c>
      <c r="C324" s="1" t="n">
        <v>45937</v>
      </c>
      <c r="D324" t="inlineStr">
        <is>
          <t>SKÅNE LÄN</t>
        </is>
      </c>
      <c r="E324" t="inlineStr">
        <is>
          <t>HÄSSLEHOLM</t>
        </is>
      </c>
      <c r="G324" t="n">
        <v>3.7</v>
      </c>
      <c r="H324" t="n">
        <v>0</v>
      </c>
      <c r="I324" t="n">
        <v>0</v>
      </c>
      <c r="J324" t="n">
        <v>0</v>
      </c>
      <c r="K324" t="n">
        <v>0</v>
      </c>
      <c r="L324" t="n">
        <v>0</v>
      </c>
      <c r="M324" t="n">
        <v>0</v>
      </c>
      <c r="N324" t="n">
        <v>0</v>
      </c>
      <c r="O324" t="n">
        <v>0</v>
      </c>
      <c r="P324" t="n">
        <v>0</v>
      </c>
      <c r="Q324" t="n">
        <v>0</v>
      </c>
      <c r="R324" s="2" t="inlineStr"/>
    </row>
    <row r="325" ht="15" customHeight="1">
      <c r="A325" t="inlineStr">
        <is>
          <t>A 21638-2025</t>
        </is>
      </c>
      <c r="B325" s="1" t="n">
        <v>45783.43087962963</v>
      </c>
      <c r="C325" s="1" t="n">
        <v>45937</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315-2022</t>
        </is>
      </c>
      <c r="B326" s="1" t="n">
        <v>44565.55630787037</v>
      </c>
      <c r="C326" s="1" t="n">
        <v>45937</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7818-2024</t>
        </is>
      </c>
      <c r="B327" s="1" t="n">
        <v>45349.68872685185</v>
      </c>
      <c r="C327" s="1" t="n">
        <v>45937</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31161-2024</t>
        </is>
      </c>
      <c r="B328" s="1" t="n">
        <v>45503</v>
      </c>
      <c r="C328" s="1" t="n">
        <v>45937</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33067-2024</t>
        </is>
      </c>
      <c r="B329" s="1" t="n">
        <v>45517.6520949074</v>
      </c>
      <c r="C329" s="1" t="n">
        <v>45937</v>
      </c>
      <c r="D329" t="inlineStr">
        <is>
          <t>SKÅNE LÄN</t>
        </is>
      </c>
      <c r="E329" t="inlineStr">
        <is>
          <t>HÄSSLEHOLM</t>
        </is>
      </c>
      <c r="G329" t="n">
        <v>0.4</v>
      </c>
      <c r="H329" t="n">
        <v>0</v>
      </c>
      <c r="I329" t="n">
        <v>0</v>
      </c>
      <c r="J329" t="n">
        <v>0</v>
      </c>
      <c r="K329" t="n">
        <v>0</v>
      </c>
      <c r="L329" t="n">
        <v>0</v>
      </c>
      <c r="M329" t="n">
        <v>0</v>
      </c>
      <c r="N329" t="n">
        <v>0</v>
      </c>
      <c r="O329" t="n">
        <v>0</v>
      </c>
      <c r="P329" t="n">
        <v>0</v>
      </c>
      <c r="Q329" t="n">
        <v>0</v>
      </c>
      <c r="R329" s="2" t="inlineStr"/>
    </row>
    <row r="330" ht="15" customHeight="1">
      <c r="A330" t="inlineStr">
        <is>
          <t>A 39111-2023</t>
        </is>
      </c>
      <c r="B330" s="1" t="n">
        <v>45164.87140046297</v>
      </c>
      <c r="C330" s="1" t="n">
        <v>45937</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26642-2023</t>
        </is>
      </c>
      <c r="B331" s="1" t="n">
        <v>45092.8975</v>
      </c>
      <c r="C331" s="1" t="n">
        <v>45937</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60851-2024</t>
        </is>
      </c>
      <c r="B332" s="1" t="n">
        <v>45644.66182870371</v>
      </c>
      <c r="C332" s="1" t="n">
        <v>45937</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317-2025</t>
        </is>
      </c>
      <c r="B333" s="1" t="n">
        <v>45660</v>
      </c>
      <c r="C333" s="1" t="n">
        <v>45937</v>
      </c>
      <c r="D333" t="inlineStr">
        <is>
          <t>SKÅNE LÄN</t>
        </is>
      </c>
      <c r="E333" t="inlineStr">
        <is>
          <t>HÄSSLEHOLM</t>
        </is>
      </c>
      <c r="G333" t="n">
        <v>1.6</v>
      </c>
      <c r="H333" t="n">
        <v>0</v>
      </c>
      <c r="I333" t="n">
        <v>0</v>
      </c>
      <c r="J333" t="n">
        <v>0</v>
      </c>
      <c r="K333" t="n">
        <v>0</v>
      </c>
      <c r="L333" t="n">
        <v>0</v>
      </c>
      <c r="M333" t="n">
        <v>0</v>
      </c>
      <c r="N333" t="n">
        <v>0</v>
      </c>
      <c r="O333" t="n">
        <v>0</v>
      </c>
      <c r="P333" t="n">
        <v>0</v>
      </c>
      <c r="Q333" t="n">
        <v>0</v>
      </c>
      <c r="R333" s="2" t="inlineStr"/>
    </row>
    <row r="334" ht="15" customHeight="1">
      <c r="A334" t="inlineStr">
        <is>
          <t>A 21625-2025</t>
        </is>
      </c>
      <c r="B334" s="1" t="n">
        <v>45783.41252314814</v>
      </c>
      <c r="C334" s="1" t="n">
        <v>45937</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38888-2023</t>
        </is>
      </c>
      <c r="B335" s="1" t="n">
        <v>45161</v>
      </c>
      <c r="C335" s="1" t="n">
        <v>45937</v>
      </c>
      <c r="D335" t="inlineStr">
        <is>
          <t>SKÅNE LÄN</t>
        </is>
      </c>
      <c r="E335" t="inlineStr">
        <is>
          <t>HÄSSLEHOLM</t>
        </is>
      </c>
      <c r="G335" t="n">
        <v>1.6</v>
      </c>
      <c r="H335" t="n">
        <v>0</v>
      </c>
      <c r="I335" t="n">
        <v>0</v>
      </c>
      <c r="J335" t="n">
        <v>0</v>
      </c>
      <c r="K335" t="n">
        <v>0</v>
      </c>
      <c r="L335" t="n">
        <v>0</v>
      </c>
      <c r="M335" t="n">
        <v>0</v>
      </c>
      <c r="N335" t="n">
        <v>0</v>
      </c>
      <c r="O335" t="n">
        <v>0</v>
      </c>
      <c r="P335" t="n">
        <v>0</v>
      </c>
      <c r="Q335" t="n">
        <v>0</v>
      </c>
      <c r="R335" s="2" t="inlineStr"/>
    </row>
    <row r="336" ht="15" customHeight="1">
      <c r="A336" t="inlineStr">
        <is>
          <t>A 3726-2024</t>
        </is>
      </c>
      <c r="B336" s="1" t="n">
        <v>45321</v>
      </c>
      <c r="C336" s="1" t="n">
        <v>45937</v>
      </c>
      <c r="D336" t="inlineStr">
        <is>
          <t>SKÅNE LÄN</t>
        </is>
      </c>
      <c r="E336" t="inlineStr">
        <is>
          <t>HÄSSLEHOLM</t>
        </is>
      </c>
      <c r="G336" t="n">
        <v>0.3</v>
      </c>
      <c r="H336" t="n">
        <v>0</v>
      </c>
      <c r="I336" t="n">
        <v>0</v>
      </c>
      <c r="J336" t="n">
        <v>0</v>
      </c>
      <c r="K336" t="n">
        <v>0</v>
      </c>
      <c r="L336" t="n">
        <v>0</v>
      </c>
      <c r="M336" t="n">
        <v>0</v>
      </c>
      <c r="N336" t="n">
        <v>0</v>
      </c>
      <c r="O336" t="n">
        <v>0</v>
      </c>
      <c r="P336" t="n">
        <v>0</v>
      </c>
      <c r="Q336" t="n">
        <v>0</v>
      </c>
      <c r="R336" s="2" t="inlineStr"/>
    </row>
    <row r="337" ht="15" customHeight="1">
      <c r="A337" t="inlineStr">
        <is>
          <t>A 60920-2024</t>
        </is>
      </c>
      <c r="B337" s="1" t="n">
        <v>45645.34442129629</v>
      </c>
      <c r="C337" s="1" t="n">
        <v>45937</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30092-2025</t>
        </is>
      </c>
      <c r="B338" s="1" t="n">
        <v>45826</v>
      </c>
      <c r="C338" s="1" t="n">
        <v>45937</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39044-2024</t>
        </is>
      </c>
      <c r="B339" s="1" t="n">
        <v>45548.47707175926</v>
      </c>
      <c r="C339" s="1" t="n">
        <v>45937</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1703-2025</t>
        </is>
      </c>
      <c r="B340" s="1" t="n">
        <v>45670.80732638889</v>
      </c>
      <c r="C340" s="1" t="n">
        <v>45937</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22024-2025</t>
        </is>
      </c>
      <c r="B341" s="1" t="n">
        <v>45784.85322916666</v>
      </c>
      <c r="C341" s="1" t="n">
        <v>45937</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29274-2023</t>
        </is>
      </c>
      <c r="B342" s="1" t="n">
        <v>45105</v>
      </c>
      <c r="C342" s="1" t="n">
        <v>45937</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5992-2022</t>
        </is>
      </c>
      <c r="B343" s="1" t="n">
        <v>44599</v>
      </c>
      <c r="C343" s="1" t="n">
        <v>45937</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34890-2023</t>
        </is>
      </c>
      <c r="B344" s="1" t="n">
        <v>45142.39475694444</v>
      </c>
      <c r="C344" s="1" t="n">
        <v>45937</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3886-2024</t>
        </is>
      </c>
      <c r="B345" s="1" t="n">
        <v>45322.44539351852</v>
      </c>
      <c r="C345" s="1" t="n">
        <v>45937</v>
      </c>
      <c r="D345" t="inlineStr">
        <is>
          <t>SKÅNE LÄN</t>
        </is>
      </c>
      <c r="E345" t="inlineStr">
        <is>
          <t>HÄSSLEHOLM</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11240-2023</t>
        </is>
      </c>
      <c r="B346" s="1" t="n">
        <v>44992</v>
      </c>
      <c r="C346" s="1" t="n">
        <v>45937</v>
      </c>
      <c r="D346" t="inlineStr">
        <is>
          <t>SKÅNE LÄN</t>
        </is>
      </c>
      <c r="E346" t="inlineStr">
        <is>
          <t>HÄSSLEHOLM</t>
        </is>
      </c>
      <c r="G346" t="n">
        <v>2.1</v>
      </c>
      <c r="H346" t="n">
        <v>0</v>
      </c>
      <c r="I346" t="n">
        <v>0</v>
      </c>
      <c r="J346" t="n">
        <v>0</v>
      </c>
      <c r="K346" t="n">
        <v>0</v>
      </c>
      <c r="L346" t="n">
        <v>0</v>
      </c>
      <c r="M346" t="n">
        <v>0</v>
      </c>
      <c r="N346" t="n">
        <v>0</v>
      </c>
      <c r="O346" t="n">
        <v>0</v>
      </c>
      <c r="P346" t="n">
        <v>0</v>
      </c>
      <c r="Q346" t="n">
        <v>0</v>
      </c>
      <c r="R346" s="2" t="inlineStr"/>
    </row>
    <row r="347" ht="15" customHeight="1">
      <c r="A347" t="inlineStr">
        <is>
          <t>A 14255-2024</t>
        </is>
      </c>
      <c r="B347" s="1" t="n">
        <v>45393</v>
      </c>
      <c r="C347" s="1" t="n">
        <v>45937</v>
      </c>
      <c r="D347" t="inlineStr">
        <is>
          <t>SKÅNE LÄN</t>
        </is>
      </c>
      <c r="E347" t="inlineStr">
        <is>
          <t>HÄSSLEHOLM</t>
        </is>
      </c>
      <c r="G347" t="n">
        <v>11.9</v>
      </c>
      <c r="H347" t="n">
        <v>0</v>
      </c>
      <c r="I347" t="n">
        <v>0</v>
      </c>
      <c r="J347" t="n">
        <v>0</v>
      </c>
      <c r="K347" t="n">
        <v>0</v>
      </c>
      <c r="L347" t="n">
        <v>0</v>
      </c>
      <c r="M347" t="n">
        <v>0</v>
      </c>
      <c r="N347" t="n">
        <v>0</v>
      </c>
      <c r="O347" t="n">
        <v>0</v>
      </c>
      <c r="P347" t="n">
        <v>0</v>
      </c>
      <c r="Q347" t="n">
        <v>0</v>
      </c>
      <c r="R347" s="2" t="inlineStr"/>
    </row>
    <row r="348" ht="15" customHeight="1">
      <c r="A348" t="inlineStr">
        <is>
          <t>A 61932-2023</t>
        </is>
      </c>
      <c r="B348" s="1" t="n">
        <v>45266.53761574074</v>
      </c>
      <c r="C348" s="1" t="n">
        <v>45937</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5016-2024</t>
        </is>
      </c>
      <c r="B349" s="1" t="n">
        <v>45329</v>
      </c>
      <c r="C349" s="1" t="n">
        <v>45937</v>
      </c>
      <c r="D349" t="inlineStr">
        <is>
          <t>SKÅNE LÄN</t>
        </is>
      </c>
      <c r="E349" t="inlineStr">
        <is>
          <t>HÄSSLEHOLM</t>
        </is>
      </c>
      <c r="G349" t="n">
        <v>3.2</v>
      </c>
      <c r="H349" t="n">
        <v>0</v>
      </c>
      <c r="I349" t="n">
        <v>0</v>
      </c>
      <c r="J349" t="n">
        <v>0</v>
      </c>
      <c r="K349" t="n">
        <v>0</v>
      </c>
      <c r="L349" t="n">
        <v>0</v>
      </c>
      <c r="M349" t="n">
        <v>0</v>
      </c>
      <c r="N349" t="n">
        <v>0</v>
      </c>
      <c r="O349" t="n">
        <v>0</v>
      </c>
      <c r="P349" t="n">
        <v>0</v>
      </c>
      <c r="Q349" t="n">
        <v>0</v>
      </c>
      <c r="R349" s="2" t="inlineStr"/>
    </row>
    <row r="350" ht="15" customHeight="1">
      <c r="A350" t="inlineStr">
        <is>
          <t>A 3248-2022</t>
        </is>
      </c>
      <c r="B350" s="1" t="n">
        <v>44583</v>
      </c>
      <c r="C350" s="1" t="n">
        <v>45937</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20058-2023</t>
        </is>
      </c>
      <c r="B351" s="1" t="n">
        <v>45054.68476851852</v>
      </c>
      <c r="C351" s="1" t="n">
        <v>45937</v>
      </c>
      <c r="D351" t="inlineStr">
        <is>
          <t>SKÅNE LÄN</t>
        </is>
      </c>
      <c r="E351" t="inlineStr">
        <is>
          <t>HÄSSLEHOLM</t>
        </is>
      </c>
      <c r="G351" t="n">
        <v>1.4</v>
      </c>
      <c r="H351" t="n">
        <v>0</v>
      </c>
      <c r="I351" t="n">
        <v>0</v>
      </c>
      <c r="J351" t="n">
        <v>0</v>
      </c>
      <c r="K351" t="n">
        <v>0</v>
      </c>
      <c r="L351" t="n">
        <v>0</v>
      </c>
      <c r="M351" t="n">
        <v>0</v>
      </c>
      <c r="N351" t="n">
        <v>0</v>
      </c>
      <c r="O351" t="n">
        <v>0</v>
      </c>
      <c r="P351" t="n">
        <v>0</v>
      </c>
      <c r="Q351" t="n">
        <v>0</v>
      </c>
      <c r="R351" s="2" t="inlineStr"/>
    </row>
    <row r="352" ht="15" customHeight="1">
      <c r="A352" t="inlineStr">
        <is>
          <t>A 10897-2023</t>
        </is>
      </c>
      <c r="B352" s="1" t="n">
        <v>44985</v>
      </c>
      <c r="C352" s="1" t="n">
        <v>45937</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13149-2024</t>
        </is>
      </c>
      <c r="B353" s="1" t="n">
        <v>45386</v>
      </c>
      <c r="C353" s="1" t="n">
        <v>45937</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53466-2024</t>
        </is>
      </c>
      <c r="B354" s="1" t="n">
        <v>45614.55304398148</v>
      </c>
      <c r="C354" s="1" t="n">
        <v>45937</v>
      </c>
      <c r="D354" t="inlineStr">
        <is>
          <t>SKÅNE LÄN</t>
        </is>
      </c>
      <c r="E354" t="inlineStr">
        <is>
          <t>HÄSSLEHOLM</t>
        </is>
      </c>
      <c r="G354" t="n">
        <v>1.3</v>
      </c>
      <c r="H354" t="n">
        <v>0</v>
      </c>
      <c r="I354" t="n">
        <v>0</v>
      </c>
      <c r="J354" t="n">
        <v>0</v>
      </c>
      <c r="K354" t="n">
        <v>0</v>
      </c>
      <c r="L354" t="n">
        <v>0</v>
      </c>
      <c r="M354" t="n">
        <v>0</v>
      </c>
      <c r="N354" t="n">
        <v>0</v>
      </c>
      <c r="O354" t="n">
        <v>0</v>
      </c>
      <c r="P354" t="n">
        <v>0</v>
      </c>
      <c r="Q354" t="n">
        <v>0</v>
      </c>
      <c r="R354" s="2" t="inlineStr"/>
    </row>
    <row r="355" ht="15" customHeight="1">
      <c r="A355" t="inlineStr">
        <is>
          <t>A 16108-2025</t>
        </is>
      </c>
      <c r="B355" s="1" t="n">
        <v>45750.34667824074</v>
      </c>
      <c r="C355" s="1" t="n">
        <v>45937</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6310-2025</t>
        </is>
      </c>
      <c r="B356" s="1" t="n">
        <v>45698</v>
      </c>
      <c r="C356" s="1" t="n">
        <v>45937</v>
      </c>
      <c r="D356" t="inlineStr">
        <is>
          <t>SKÅNE LÄN</t>
        </is>
      </c>
      <c r="E356" t="inlineStr">
        <is>
          <t>HÄSSLEHOLM</t>
        </is>
      </c>
      <c r="G356" t="n">
        <v>2.7</v>
      </c>
      <c r="H356" t="n">
        <v>0</v>
      </c>
      <c r="I356" t="n">
        <v>0</v>
      </c>
      <c r="J356" t="n">
        <v>0</v>
      </c>
      <c r="K356" t="n">
        <v>0</v>
      </c>
      <c r="L356" t="n">
        <v>0</v>
      </c>
      <c r="M356" t="n">
        <v>0</v>
      </c>
      <c r="N356" t="n">
        <v>0</v>
      </c>
      <c r="O356" t="n">
        <v>0</v>
      </c>
      <c r="P356" t="n">
        <v>0</v>
      </c>
      <c r="Q356" t="n">
        <v>0</v>
      </c>
      <c r="R356" s="2" t="inlineStr"/>
    </row>
    <row r="357" ht="15" customHeight="1">
      <c r="A357" t="inlineStr">
        <is>
          <t>A 4512-2024</t>
        </is>
      </c>
      <c r="B357" s="1" t="n">
        <v>45327.6312962963</v>
      </c>
      <c r="C357" s="1" t="n">
        <v>45937</v>
      </c>
      <c r="D357" t="inlineStr">
        <is>
          <t>SKÅNE LÄN</t>
        </is>
      </c>
      <c r="E357" t="inlineStr">
        <is>
          <t>HÄSSLEHOLM</t>
        </is>
      </c>
      <c r="G357" t="n">
        <v>2</v>
      </c>
      <c r="H357" t="n">
        <v>0</v>
      </c>
      <c r="I357" t="n">
        <v>0</v>
      </c>
      <c r="J357" t="n">
        <v>0</v>
      </c>
      <c r="K357" t="n">
        <v>0</v>
      </c>
      <c r="L357" t="n">
        <v>0</v>
      </c>
      <c r="M357" t="n">
        <v>0</v>
      </c>
      <c r="N357" t="n">
        <v>0</v>
      </c>
      <c r="O357" t="n">
        <v>0</v>
      </c>
      <c r="P357" t="n">
        <v>0</v>
      </c>
      <c r="Q357" t="n">
        <v>0</v>
      </c>
      <c r="R357" s="2" t="inlineStr"/>
    </row>
    <row r="358" ht="15" customHeight="1">
      <c r="A358" t="inlineStr">
        <is>
          <t>A 4916-2024</t>
        </is>
      </c>
      <c r="B358" s="1" t="n">
        <v>45329</v>
      </c>
      <c r="C358" s="1" t="n">
        <v>45937</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10230-2025</t>
        </is>
      </c>
      <c r="B359" s="1" t="n">
        <v>45720</v>
      </c>
      <c r="C359" s="1" t="n">
        <v>45937</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30109-2025</t>
        </is>
      </c>
      <c r="B360" s="1" t="n">
        <v>45826</v>
      </c>
      <c r="C360" s="1" t="n">
        <v>45937</v>
      </c>
      <c r="D360" t="inlineStr">
        <is>
          <t>SKÅNE LÄN</t>
        </is>
      </c>
      <c r="E360" t="inlineStr">
        <is>
          <t>HÄSSLEHOLM</t>
        </is>
      </c>
      <c r="G360" t="n">
        <v>2.4</v>
      </c>
      <c r="H360" t="n">
        <v>0</v>
      </c>
      <c r="I360" t="n">
        <v>0</v>
      </c>
      <c r="J360" t="n">
        <v>0</v>
      </c>
      <c r="K360" t="n">
        <v>0</v>
      </c>
      <c r="L360" t="n">
        <v>0</v>
      </c>
      <c r="M360" t="n">
        <v>0</v>
      </c>
      <c r="N360" t="n">
        <v>0</v>
      </c>
      <c r="O360" t="n">
        <v>0</v>
      </c>
      <c r="P360" t="n">
        <v>0</v>
      </c>
      <c r="Q360" t="n">
        <v>0</v>
      </c>
      <c r="R360" s="2" t="inlineStr"/>
    </row>
    <row r="361" ht="15" customHeight="1">
      <c r="A361" t="inlineStr">
        <is>
          <t>A 19735-2023</t>
        </is>
      </c>
      <c r="B361" s="1" t="n">
        <v>45051.52199074074</v>
      </c>
      <c r="C361" s="1" t="n">
        <v>45937</v>
      </c>
      <c r="D361" t="inlineStr">
        <is>
          <t>SKÅNE LÄN</t>
        </is>
      </c>
      <c r="E361" t="inlineStr">
        <is>
          <t>HÄSSLEHOLM</t>
        </is>
      </c>
      <c r="G361" t="n">
        <v>4</v>
      </c>
      <c r="H361" t="n">
        <v>0</v>
      </c>
      <c r="I361" t="n">
        <v>0</v>
      </c>
      <c r="J361" t="n">
        <v>0</v>
      </c>
      <c r="K361" t="n">
        <v>0</v>
      </c>
      <c r="L361" t="n">
        <v>0</v>
      </c>
      <c r="M361" t="n">
        <v>0</v>
      </c>
      <c r="N361" t="n">
        <v>0</v>
      </c>
      <c r="O361" t="n">
        <v>0</v>
      </c>
      <c r="P361" t="n">
        <v>0</v>
      </c>
      <c r="Q361" t="n">
        <v>0</v>
      </c>
      <c r="R361" s="2" t="inlineStr"/>
    </row>
    <row r="362" ht="15" customHeight="1">
      <c r="A362" t="inlineStr">
        <is>
          <t>A 48797-2023</t>
        </is>
      </c>
      <c r="B362" s="1" t="n">
        <v>45209.24986111111</v>
      </c>
      <c r="C362" s="1" t="n">
        <v>45937</v>
      </c>
      <c r="D362" t="inlineStr">
        <is>
          <t>SKÅNE LÄN</t>
        </is>
      </c>
      <c r="E362" t="inlineStr">
        <is>
          <t>HÄSSLEHOLM</t>
        </is>
      </c>
      <c r="G362" t="n">
        <v>1.2</v>
      </c>
      <c r="H362" t="n">
        <v>0</v>
      </c>
      <c r="I362" t="n">
        <v>0</v>
      </c>
      <c r="J362" t="n">
        <v>0</v>
      </c>
      <c r="K362" t="n">
        <v>0</v>
      </c>
      <c r="L362" t="n">
        <v>0</v>
      </c>
      <c r="M362" t="n">
        <v>0</v>
      </c>
      <c r="N362" t="n">
        <v>0</v>
      </c>
      <c r="O362" t="n">
        <v>0</v>
      </c>
      <c r="P362" t="n">
        <v>0</v>
      </c>
      <c r="Q362" t="n">
        <v>0</v>
      </c>
      <c r="R362" s="2" t="inlineStr"/>
    </row>
    <row r="363" ht="15" customHeight="1">
      <c r="A363" t="inlineStr">
        <is>
          <t>A 5532-2025</t>
        </is>
      </c>
      <c r="B363" s="1" t="n">
        <v>45693</v>
      </c>
      <c r="C363" s="1" t="n">
        <v>45937</v>
      </c>
      <c r="D363" t="inlineStr">
        <is>
          <t>SKÅNE LÄN</t>
        </is>
      </c>
      <c r="E363" t="inlineStr">
        <is>
          <t>HÄSSLEHOLM</t>
        </is>
      </c>
      <c r="G363" t="n">
        <v>2.4</v>
      </c>
      <c r="H363" t="n">
        <v>0</v>
      </c>
      <c r="I363" t="n">
        <v>0</v>
      </c>
      <c r="J363" t="n">
        <v>0</v>
      </c>
      <c r="K363" t="n">
        <v>0</v>
      </c>
      <c r="L363" t="n">
        <v>0</v>
      </c>
      <c r="M363" t="n">
        <v>0</v>
      </c>
      <c r="N363" t="n">
        <v>0</v>
      </c>
      <c r="O363" t="n">
        <v>0</v>
      </c>
      <c r="P363" t="n">
        <v>0</v>
      </c>
      <c r="Q363" t="n">
        <v>0</v>
      </c>
      <c r="R363" s="2" t="inlineStr"/>
    </row>
    <row r="364" ht="15" customHeight="1">
      <c r="A364" t="inlineStr">
        <is>
          <t>A 55662-2022</t>
        </is>
      </c>
      <c r="B364" s="1" t="n">
        <v>44883</v>
      </c>
      <c r="C364" s="1" t="n">
        <v>45937</v>
      </c>
      <c r="D364" t="inlineStr">
        <is>
          <t>SKÅNE LÄN</t>
        </is>
      </c>
      <c r="E364" t="inlineStr">
        <is>
          <t>HÄSSLEHOLM</t>
        </is>
      </c>
      <c r="F364" t="inlineStr">
        <is>
          <t>Övriga Aktiebolag</t>
        </is>
      </c>
      <c r="G364" t="n">
        <v>2.6</v>
      </c>
      <c r="H364" t="n">
        <v>0</v>
      </c>
      <c r="I364" t="n">
        <v>0</v>
      </c>
      <c r="J364" t="n">
        <v>0</v>
      </c>
      <c r="K364" t="n">
        <v>0</v>
      </c>
      <c r="L364" t="n">
        <v>0</v>
      </c>
      <c r="M364" t="n">
        <v>0</v>
      </c>
      <c r="N364" t="n">
        <v>0</v>
      </c>
      <c r="O364" t="n">
        <v>0</v>
      </c>
      <c r="P364" t="n">
        <v>0</v>
      </c>
      <c r="Q364" t="n">
        <v>0</v>
      </c>
      <c r="R364" s="2" t="inlineStr"/>
    </row>
    <row r="365" ht="15" customHeight="1">
      <c r="A365" t="inlineStr">
        <is>
          <t>A 28236-2022</t>
        </is>
      </c>
      <c r="B365" s="1" t="n">
        <v>44746</v>
      </c>
      <c r="C365" s="1" t="n">
        <v>45937</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16474-2025</t>
        </is>
      </c>
      <c r="B366" s="1" t="n">
        <v>45751.56834490741</v>
      </c>
      <c r="C366" s="1" t="n">
        <v>45937</v>
      </c>
      <c r="D366" t="inlineStr">
        <is>
          <t>SKÅNE LÄN</t>
        </is>
      </c>
      <c r="E366" t="inlineStr">
        <is>
          <t>HÄSSLEHOLM</t>
        </is>
      </c>
      <c r="G366" t="n">
        <v>5.9</v>
      </c>
      <c r="H366" t="n">
        <v>0</v>
      </c>
      <c r="I366" t="n">
        <v>0</v>
      </c>
      <c r="J366" t="n">
        <v>0</v>
      </c>
      <c r="K366" t="n">
        <v>0</v>
      </c>
      <c r="L366" t="n">
        <v>0</v>
      </c>
      <c r="M366" t="n">
        <v>0</v>
      </c>
      <c r="N366" t="n">
        <v>0</v>
      </c>
      <c r="O366" t="n">
        <v>0</v>
      </c>
      <c r="P366" t="n">
        <v>0</v>
      </c>
      <c r="Q366" t="n">
        <v>0</v>
      </c>
      <c r="R366" s="2" t="inlineStr"/>
    </row>
    <row r="367" ht="15" customHeight="1">
      <c r="A367" t="inlineStr">
        <is>
          <t>A 8524-2024</t>
        </is>
      </c>
      <c r="B367" s="1" t="n">
        <v>45355.48570601852</v>
      </c>
      <c r="C367" s="1" t="n">
        <v>45937</v>
      </c>
      <c r="D367" t="inlineStr">
        <is>
          <t>SKÅNE LÄN</t>
        </is>
      </c>
      <c r="E367" t="inlineStr">
        <is>
          <t>HÄSSLEHOLM</t>
        </is>
      </c>
      <c r="G367" t="n">
        <v>4</v>
      </c>
      <c r="H367" t="n">
        <v>0</v>
      </c>
      <c r="I367" t="n">
        <v>0</v>
      </c>
      <c r="J367" t="n">
        <v>0</v>
      </c>
      <c r="K367" t="n">
        <v>0</v>
      </c>
      <c r="L367" t="n">
        <v>0</v>
      </c>
      <c r="M367" t="n">
        <v>0</v>
      </c>
      <c r="N367" t="n">
        <v>0</v>
      </c>
      <c r="O367" t="n">
        <v>0</v>
      </c>
      <c r="P367" t="n">
        <v>0</v>
      </c>
      <c r="Q367" t="n">
        <v>0</v>
      </c>
      <c r="R367" s="2" t="inlineStr"/>
    </row>
    <row r="368" ht="15" customHeight="1">
      <c r="A368" t="inlineStr">
        <is>
          <t>A 22157-2024</t>
        </is>
      </c>
      <c r="B368" s="1" t="n">
        <v>45445.85290509259</v>
      </c>
      <c r="C368" s="1" t="n">
        <v>45937</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56986-2024</t>
        </is>
      </c>
      <c r="B369" s="1" t="n">
        <v>45626</v>
      </c>
      <c r="C369" s="1" t="n">
        <v>45937</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20279-2025</t>
        </is>
      </c>
      <c r="B370" s="1" t="n">
        <v>45774.38643518519</v>
      </c>
      <c r="C370" s="1" t="n">
        <v>45937</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14145-2023</t>
        </is>
      </c>
      <c r="B371" s="1" t="n">
        <v>45009</v>
      </c>
      <c r="C371" s="1" t="n">
        <v>45937</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6309-2025</t>
        </is>
      </c>
      <c r="B372" s="1" t="n">
        <v>45698</v>
      </c>
      <c r="C372" s="1" t="n">
        <v>45937</v>
      </c>
      <c r="D372" t="inlineStr">
        <is>
          <t>SKÅNE LÄN</t>
        </is>
      </c>
      <c r="E372" t="inlineStr">
        <is>
          <t>HÄSSLEHOLM</t>
        </is>
      </c>
      <c r="G372" t="n">
        <v>2.7</v>
      </c>
      <c r="H372" t="n">
        <v>0</v>
      </c>
      <c r="I372" t="n">
        <v>0</v>
      </c>
      <c r="J372" t="n">
        <v>0</v>
      </c>
      <c r="K372" t="n">
        <v>0</v>
      </c>
      <c r="L372" t="n">
        <v>0</v>
      </c>
      <c r="M372" t="n">
        <v>0</v>
      </c>
      <c r="N372" t="n">
        <v>0</v>
      </c>
      <c r="O372" t="n">
        <v>0</v>
      </c>
      <c r="P372" t="n">
        <v>0</v>
      </c>
      <c r="Q372" t="n">
        <v>0</v>
      </c>
      <c r="R372" s="2" t="inlineStr"/>
    </row>
    <row r="373" ht="15" customHeight="1">
      <c r="A373" t="inlineStr">
        <is>
          <t>A 62199-2022</t>
        </is>
      </c>
      <c r="B373" s="1" t="n">
        <v>44915</v>
      </c>
      <c r="C373" s="1" t="n">
        <v>45937</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14157-2021</t>
        </is>
      </c>
      <c r="B374" s="1" t="n">
        <v>44278.43246527778</v>
      </c>
      <c r="C374" s="1" t="n">
        <v>45937</v>
      </c>
      <c r="D374" t="inlineStr">
        <is>
          <t>SKÅNE LÄN</t>
        </is>
      </c>
      <c r="E374" t="inlineStr">
        <is>
          <t>HÄSSLEHOLM</t>
        </is>
      </c>
      <c r="G374" t="n">
        <v>10.5</v>
      </c>
      <c r="H374" t="n">
        <v>0</v>
      </c>
      <c r="I374" t="n">
        <v>0</v>
      </c>
      <c r="J374" t="n">
        <v>0</v>
      </c>
      <c r="K374" t="n">
        <v>0</v>
      </c>
      <c r="L374" t="n">
        <v>0</v>
      </c>
      <c r="M374" t="n">
        <v>0</v>
      </c>
      <c r="N374" t="n">
        <v>0</v>
      </c>
      <c r="O374" t="n">
        <v>0</v>
      </c>
      <c r="P374" t="n">
        <v>0</v>
      </c>
      <c r="Q374" t="n">
        <v>0</v>
      </c>
      <c r="R374" s="2" t="inlineStr"/>
    </row>
    <row r="375" ht="15" customHeight="1">
      <c r="A375" t="inlineStr">
        <is>
          <t>A 29844-2024</t>
        </is>
      </c>
      <c r="B375" s="1" t="n">
        <v>45485</v>
      </c>
      <c r="C375" s="1" t="n">
        <v>45937</v>
      </c>
      <c r="D375" t="inlineStr">
        <is>
          <t>SKÅNE LÄN</t>
        </is>
      </c>
      <c r="E375" t="inlineStr">
        <is>
          <t>HÄSSLEHOLM</t>
        </is>
      </c>
      <c r="G375" t="n">
        <v>1.9</v>
      </c>
      <c r="H375" t="n">
        <v>0</v>
      </c>
      <c r="I375" t="n">
        <v>0</v>
      </c>
      <c r="J375" t="n">
        <v>0</v>
      </c>
      <c r="K375" t="n">
        <v>0</v>
      </c>
      <c r="L375" t="n">
        <v>0</v>
      </c>
      <c r="M375" t="n">
        <v>0</v>
      </c>
      <c r="N375" t="n">
        <v>0</v>
      </c>
      <c r="O375" t="n">
        <v>0</v>
      </c>
      <c r="P375" t="n">
        <v>0</v>
      </c>
      <c r="Q375" t="n">
        <v>0</v>
      </c>
      <c r="R375" s="2" t="inlineStr"/>
    </row>
    <row r="376" ht="15" customHeight="1">
      <c r="A376" t="inlineStr">
        <is>
          <t>A 49111-2023</t>
        </is>
      </c>
      <c r="B376" s="1" t="n">
        <v>45210.44464120371</v>
      </c>
      <c r="C376" s="1" t="n">
        <v>45937</v>
      </c>
      <c r="D376" t="inlineStr">
        <is>
          <t>SKÅNE LÄN</t>
        </is>
      </c>
      <c r="E376" t="inlineStr">
        <is>
          <t>HÄSSLEHOLM</t>
        </is>
      </c>
      <c r="G376" t="n">
        <v>0.2</v>
      </c>
      <c r="H376" t="n">
        <v>0</v>
      </c>
      <c r="I376" t="n">
        <v>0</v>
      </c>
      <c r="J376" t="n">
        <v>0</v>
      </c>
      <c r="K376" t="n">
        <v>0</v>
      </c>
      <c r="L376" t="n">
        <v>0</v>
      </c>
      <c r="M376" t="n">
        <v>0</v>
      </c>
      <c r="N376" t="n">
        <v>0</v>
      </c>
      <c r="O376" t="n">
        <v>0</v>
      </c>
      <c r="P376" t="n">
        <v>0</v>
      </c>
      <c r="Q376" t="n">
        <v>0</v>
      </c>
      <c r="R376" s="2" t="inlineStr"/>
    </row>
    <row r="377" ht="15" customHeight="1">
      <c r="A377" t="inlineStr">
        <is>
          <t>A 12344-2023</t>
        </is>
      </c>
      <c r="B377" s="1" t="n">
        <v>44999</v>
      </c>
      <c r="C377" s="1" t="n">
        <v>45937</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58272-2024</t>
        </is>
      </c>
      <c r="B378" s="1" t="n">
        <v>45632.57025462963</v>
      </c>
      <c r="C378" s="1" t="n">
        <v>45937</v>
      </c>
      <c r="D378" t="inlineStr">
        <is>
          <t>SKÅNE LÄN</t>
        </is>
      </c>
      <c r="E378" t="inlineStr">
        <is>
          <t>HÄSSLEHOLM</t>
        </is>
      </c>
      <c r="G378" t="n">
        <v>2.3</v>
      </c>
      <c r="H378" t="n">
        <v>0</v>
      </c>
      <c r="I378" t="n">
        <v>0</v>
      </c>
      <c r="J378" t="n">
        <v>0</v>
      </c>
      <c r="K378" t="n">
        <v>0</v>
      </c>
      <c r="L378" t="n">
        <v>0</v>
      </c>
      <c r="M378" t="n">
        <v>0</v>
      </c>
      <c r="N378" t="n">
        <v>0</v>
      </c>
      <c r="O378" t="n">
        <v>0</v>
      </c>
      <c r="P378" t="n">
        <v>0</v>
      </c>
      <c r="Q378" t="n">
        <v>0</v>
      </c>
      <c r="R378" s="2" t="inlineStr"/>
    </row>
    <row r="379" ht="15" customHeight="1">
      <c r="A379" t="inlineStr">
        <is>
          <t>A 40536-2024</t>
        </is>
      </c>
      <c r="B379" s="1" t="n">
        <v>45555.61314814815</v>
      </c>
      <c r="C379" s="1" t="n">
        <v>45937</v>
      </c>
      <c r="D379" t="inlineStr">
        <is>
          <t>SKÅNE LÄN</t>
        </is>
      </c>
      <c r="E379" t="inlineStr">
        <is>
          <t>HÄSSLEHOLM</t>
        </is>
      </c>
      <c r="G379" t="n">
        <v>1</v>
      </c>
      <c r="H379" t="n">
        <v>0</v>
      </c>
      <c r="I379" t="n">
        <v>0</v>
      </c>
      <c r="J379" t="n">
        <v>0</v>
      </c>
      <c r="K379" t="n">
        <v>0</v>
      </c>
      <c r="L379" t="n">
        <v>0</v>
      </c>
      <c r="M379" t="n">
        <v>0</v>
      </c>
      <c r="N379" t="n">
        <v>0</v>
      </c>
      <c r="O379" t="n">
        <v>0</v>
      </c>
      <c r="P379" t="n">
        <v>0</v>
      </c>
      <c r="Q379" t="n">
        <v>0</v>
      </c>
      <c r="R379" s="2" t="inlineStr"/>
    </row>
    <row r="380" ht="15" customHeight="1">
      <c r="A380" t="inlineStr">
        <is>
          <t>A 54359-2020</t>
        </is>
      </c>
      <c r="B380" s="1" t="n">
        <v>44126</v>
      </c>
      <c r="C380" s="1" t="n">
        <v>45937</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54374-2020</t>
        </is>
      </c>
      <c r="B381" s="1" t="n">
        <v>44126</v>
      </c>
      <c r="C381" s="1" t="n">
        <v>45937</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33266-2024</t>
        </is>
      </c>
      <c r="B382" s="1" t="n">
        <v>45518</v>
      </c>
      <c r="C382" s="1" t="n">
        <v>45937</v>
      </c>
      <c r="D382" t="inlineStr">
        <is>
          <t>SKÅNE LÄN</t>
        </is>
      </c>
      <c r="E382" t="inlineStr">
        <is>
          <t>HÄSSLEHOLM</t>
        </is>
      </c>
      <c r="G382" t="n">
        <v>3.2</v>
      </c>
      <c r="H382" t="n">
        <v>0</v>
      </c>
      <c r="I382" t="n">
        <v>0</v>
      </c>
      <c r="J382" t="n">
        <v>0</v>
      </c>
      <c r="K382" t="n">
        <v>0</v>
      </c>
      <c r="L382" t="n">
        <v>0</v>
      </c>
      <c r="M382" t="n">
        <v>0</v>
      </c>
      <c r="N382" t="n">
        <v>0</v>
      </c>
      <c r="O382" t="n">
        <v>0</v>
      </c>
      <c r="P382" t="n">
        <v>0</v>
      </c>
      <c r="Q382" t="n">
        <v>0</v>
      </c>
      <c r="R382" s="2" t="inlineStr"/>
    </row>
    <row r="383" ht="15" customHeight="1">
      <c r="A383" t="inlineStr">
        <is>
          <t>A 31391-2023</t>
        </is>
      </c>
      <c r="B383" s="1" t="n">
        <v>45114.56143518518</v>
      </c>
      <c r="C383" s="1" t="n">
        <v>45937</v>
      </c>
      <c r="D383" t="inlineStr">
        <is>
          <t>SKÅNE LÄN</t>
        </is>
      </c>
      <c r="E383" t="inlineStr">
        <is>
          <t>HÄSSLEHOLM</t>
        </is>
      </c>
      <c r="G383" t="n">
        <v>3.1</v>
      </c>
      <c r="H383" t="n">
        <v>0</v>
      </c>
      <c r="I383" t="n">
        <v>0</v>
      </c>
      <c r="J383" t="n">
        <v>0</v>
      </c>
      <c r="K383" t="n">
        <v>0</v>
      </c>
      <c r="L383" t="n">
        <v>0</v>
      </c>
      <c r="M383" t="n">
        <v>0</v>
      </c>
      <c r="N383" t="n">
        <v>0</v>
      </c>
      <c r="O383" t="n">
        <v>0</v>
      </c>
      <c r="P383" t="n">
        <v>0</v>
      </c>
      <c r="Q383" t="n">
        <v>0</v>
      </c>
      <c r="R383" s="2" t="inlineStr"/>
    </row>
    <row r="384" ht="15" customHeight="1">
      <c r="A384" t="inlineStr">
        <is>
          <t>A 677-2024</t>
        </is>
      </c>
      <c r="B384" s="1" t="n">
        <v>45300</v>
      </c>
      <c r="C384" s="1" t="n">
        <v>45937</v>
      </c>
      <c r="D384" t="inlineStr">
        <is>
          <t>SKÅNE LÄN</t>
        </is>
      </c>
      <c r="E384" t="inlineStr">
        <is>
          <t>HÄSSLEHOLM</t>
        </is>
      </c>
      <c r="G384" t="n">
        <v>6.8</v>
      </c>
      <c r="H384" t="n">
        <v>0</v>
      </c>
      <c r="I384" t="n">
        <v>0</v>
      </c>
      <c r="J384" t="n">
        <v>0</v>
      </c>
      <c r="K384" t="n">
        <v>0</v>
      </c>
      <c r="L384" t="n">
        <v>0</v>
      </c>
      <c r="M384" t="n">
        <v>0</v>
      </c>
      <c r="N384" t="n">
        <v>0</v>
      </c>
      <c r="O384" t="n">
        <v>0</v>
      </c>
      <c r="P384" t="n">
        <v>0</v>
      </c>
      <c r="Q384" t="n">
        <v>0</v>
      </c>
      <c r="R384" s="2" t="inlineStr"/>
    </row>
    <row r="385" ht="15" customHeight="1">
      <c r="A385" t="inlineStr">
        <is>
          <t>A 56386-2023</t>
        </is>
      </c>
      <c r="B385" s="1" t="n">
        <v>45243</v>
      </c>
      <c r="C385" s="1" t="n">
        <v>45937</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2490-2024</t>
        </is>
      </c>
      <c r="B386" s="1" t="n">
        <v>45313.43649305555</v>
      </c>
      <c r="C386" s="1" t="n">
        <v>45937</v>
      </c>
      <c r="D386" t="inlineStr">
        <is>
          <t>SKÅNE LÄN</t>
        </is>
      </c>
      <c r="E386" t="inlineStr">
        <is>
          <t>HÄSSLEHOLM</t>
        </is>
      </c>
      <c r="G386" t="n">
        <v>4</v>
      </c>
      <c r="H386" t="n">
        <v>0</v>
      </c>
      <c r="I386" t="n">
        <v>0</v>
      </c>
      <c r="J386" t="n">
        <v>0</v>
      </c>
      <c r="K386" t="n">
        <v>0</v>
      </c>
      <c r="L386" t="n">
        <v>0</v>
      </c>
      <c r="M386" t="n">
        <v>0</v>
      </c>
      <c r="N386" t="n">
        <v>0</v>
      </c>
      <c r="O386" t="n">
        <v>0</v>
      </c>
      <c r="P386" t="n">
        <v>0</v>
      </c>
      <c r="Q386" t="n">
        <v>0</v>
      </c>
      <c r="R386" s="2" t="inlineStr"/>
    </row>
    <row r="387" ht="15" customHeight="1">
      <c r="A387" t="inlineStr">
        <is>
          <t>A 50244-2024</t>
        </is>
      </c>
      <c r="B387" s="1" t="n">
        <v>45600.56502314815</v>
      </c>
      <c r="C387" s="1" t="n">
        <v>45937</v>
      </c>
      <c r="D387" t="inlineStr">
        <is>
          <t>SKÅNE LÄN</t>
        </is>
      </c>
      <c r="E387" t="inlineStr">
        <is>
          <t>HÄSSLEHOLM</t>
        </is>
      </c>
      <c r="G387" t="n">
        <v>1.9</v>
      </c>
      <c r="H387" t="n">
        <v>0</v>
      </c>
      <c r="I387" t="n">
        <v>0</v>
      </c>
      <c r="J387" t="n">
        <v>0</v>
      </c>
      <c r="K387" t="n">
        <v>0</v>
      </c>
      <c r="L387" t="n">
        <v>0</v>
      </c>
      <c r="M387" t="n">
        <v>0</v>
      </c>
      <c r="N387" t="n">
        <v>0</v>
      </c>
      <c r="O387" t="n">
        <v>0</v>
      </c>
      <c r="P387" t="n">
        <v>0</v>
      </c>
      <c r="Q387" t="n">
        <v>0</v>
      </c>
      <c r="R387" s="2" t="inlineStr"/>
    </row>
    <row r="388" ht="15" customHeight="1">
      <c r="A388" t="inlineStr">
        <is>
          <t>A 9924-2025</t>
        </is>
      </c>
      <c r="B388" s="1" t="n">
        <v>45717.72505787037</v>
      </c>
      <c r="C388" s="1" t="n">
        <v>45937</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69109-2020</t>
        </is>
      </c>
      <c r="B389" s="1" t="n">
        <v>44188</v>
      </c>
      <c r="C389" s="1" t="n">
        <v>45937</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45361-2023</t>
        </is>
      </c>
      <c r="B390" s="1" t="n">
        <v>45192.49068287037</v>
      </c>
      <c r="C390" s="1" t="n">
        <v>45937</v>
      </c>
      <c r="D390" t="inlineStr">
        <is>
          <t>SKÅNE LÄN</t>
        </is>
      </c>
      <c r="E390" t="inlineStr">
        <is>
          <t>HÄSSLEHOLM</t>
        </is>
      </c>
      <c r="G390" t="n">
        <v>1.9</v>
      </c>
      <c r="H390" t="n">
        <v>0</v>
      </c>
      <c r="I390" t="n">
        <v>0</v>
      </c>
      <c r="J390" t="n">
        <v>0</v>
      </c>
      <c r="K390" t="n">
        <v>0</v>
      </c>
      <c r="L390" t="n">
        <v>0</v>
      </c>
      <c r="M390" t="n">
        <v>0</v>
      </c>
      <c r="N390" t="n">
        <v>0</v>
      </c>
      <c r="O390" t="n">
        <v>0</v>
      </c>
      <c r="P390" t="n">
        <v>0</v>
      </c>
      <c r="Q390" t="n">
        <v>0</v>
      </c>
      <c r="R390" s="2" t="inlineStr"/>
    </row>
    <row r="391" ht="15" customHeight="1">
      <c r="A391" t="inlineStr">
        <is>
          <t>A 13007-2024</t>
        </is>
      </c>
      <c r="B391" s="1" t="n">
        <v>45385.57092592592</v>
      </c>
      <c r="C391" s="1" t="n">
        <v>45937</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23007-2025</t>
        </is>
      </c>
      <c r="B392" s="1" t="n">
        <v>45790</v>
      </c>
      <c r="C392" s="1" t="n">
        <v>45937</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34299-2024</t>
        </is>
      </c>
      <c r="B393" s="1" t="n">
        <v>45524</v>
      </c>
      <c r="C393" s="1" t="n">
        <v>45937</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15562-2024</t>
        </is>
      </c>
      <c r="B394" s="1" t="n">
        <v>45401.64975694445</v>
      </c>
      <c r="C394" s="1" t="n">
        <v>45937</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60846-2022</t>
        </is>
      </c>
      <c r="B395" s="1" t="n">
        <v>44914</v>
      </c>
      <c r="C395" s="1" t="n">
        <v>45937</v>
      </c>
      <c r="D395" t="inlineStr">
        <is>
          <t>SKÅNE LÄN</t>
        </is>
      </c>
      <c r="E395" t="inlineStr">
        <is>
          <t>HÄSSLEHOLM</t>
        </is>
      </c>
      <c r="G395" t="n">
        <v>2.1</v>
      </c>
      <c r="H395" t="n">
        <v>0</v>
      </c>
      <c r="I395" t="n">
        <v>0</v>
      </c>
      <c r="J395" t="n">
        <v>0</v>
      </c>
      <c r="K395" t="n">
        <v>0</v>
      </c>
      <c r="L395" t="n">
        <v>0</v>
      </c>
      <c r="M395" t="n">
        <v>0</v>
      </c>
      <c r="N395" t="n">
        <v>0</v>
      </c>
      <c r="O395" t="n">
        <v>0</v>
      </c>
      <c r="P395" t="n">
        <v>0</v>
      </c>
      <c r="Q395" t="n">
        <v>0</v>
      </c>
      <c r="R395" s="2" t="inlineStr"/>
    </row>
    <row r="396" ht="15" customHeight="1">
      <c r="A396" t="inlineStr">
        <is>
          <t>A 9747-2024</t>
        </is>
      </c>
      <c r="B396" s="1" t="n">
        <v>45362</v>
      </c>
      <c r="C396" s="1" t="n">
        <v>45937</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7221-2025</t>
        </is>
      </c>
      <c r="B397" s="1" t="n">
        <v>45701</v>
      </c>
      <c r="C397" s="1" t="n">
        <v>45937</v>
      </c>
      <c r="D397" t="inlineStr">
        <is>
          <t>SKÅNE LÄN</t>
        </is>
      </c>
      <c r="E397" t="inlineStr">
        <is>
          <t>HÄSSLEHOLM</t>
        </is>
      </c>
      <c r="G397" t="n">
        <v>1.8</v>
      </c>
      <c r="H397" t="n">
        <v>0</v>
      </c>
      <c r="I397" t="n">
        <v>0</v>
      </c>
      <c r="J397" t="n">
        <v>0</v>
      </c>
      <c r="K397" t="n">
        <v>0</v>
      </c>
      <c r="L397" t="n">
        <v>0</v>
      </c>
      <c r="M397" t="n">
        <v>0</v>
      </c>
      <c r="N397" t="n">
        <v>0</v>
      </c>
      <c r="O397" t="n">
        <v>0</v>
      </c>
      <c r="P397" t="n">
        <v>0</v>
      </c>
      <c r="Q397" t="n">
        <v>0</v>
      </c>
      <c r="R397" s="2" t="inlineStr"/>
    </row>
    <row r="398" ht="15" customHeight="1">
      <c r="A398" t="inlineStr">
        <is>
          <t>A 18580-2023</t>
        </is>
      </c>
      <c r="B398" s="1" t="n">
        <v>45043.37037037037</v>
      </c>
      <c r="C398" s="1" t="n">
        <v>45937</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74030-2021</t>
        </is>
      </c>
      <c r="B399" s="1" t="n">
        <v>44553</v>
      </c>
      <c r="C399" s="1" t="n">
        <v>45937</v>
      </c>
      <c r="D399" t="inlineStr">
        <is>
          <t>SKÅNE LÄN</t>
        </is>
      </c>
      <c r="E399" t="inlineStr">
        <is>
          <t>HÄSSLEHOLM</t>
        </is>
      </c>
      <c r="G399" t="n">
        <v>1.5</v>
      </c>
      <c r="H399" t="n">
        <v>0</v>
      </c>
      <c r="I399" t="n">
        <v>0</v>
      </c>
      <c r="J399" t="n">
        <v>0</v>
      </c>
      <c r="K399" t="n">
        <v>0</v>
      </c>
      <c r="L399" t="n">
        <v>0</v>
      </c>
      <c r="M399" t="n">
        <v>0</v>
      </c>
      <c r="N399" t="n">
        <v>0</v>
      </c>
      <c r="O399" t="n">
        <v>0</v>
      </c>
      <c r="P399" t="n">
        <v>0</v>
      </c>
      <c r="Q399" t="n">
        <v>0</v>
      </c>
      <c r="R399" s="2" t="inlineStr"/>
    </row>
    <row r="400" ht="15" customHeight="1">
      <c r="A400" t="inlineStr">
        <is>
          <t>A 17335-2024</t>
        </is>
      </c>
      <c r="B400" s="1" t="n">
        <v>45414.5687962963</v>
      </c>
      <c r="C400" s="1" t="n">
        <v>45937</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27606-2024</t>
        </is>
      </c>
      <c r="B401" s="1" t="n">
        <v>45474</v>
      </c>
      <c r="C401" s="1" t="n">
        <v>45937</v>
      </c>
      <c r="D401" t="inlineStr">
        <is>
          <t>SKÅNE LÄN</t>
        </is>
      </c>
      <c r="E401" t="inlineStr">
        <is>
          <t>HÄSSLEHOLM</t>
        </is>
      </c>
      <c r="G401" t="n">
        <v>3.6</v>
      </c>
      <c r="H401" t="n">
        <v>0</v>
      </c>
      <c r="I401" t="n">
        <v>0</v>
      </c>
      <c r="J401" t="n">
        <v>0</v>
      </c>
      <c r="K401" t="n">
        <v>0</v>
      </c>
      <c r="L401" t="n">
        <v>0</v>
      </c>
      <c r="M401" t="n">
        <v>0</v>
      </c>
      <c r="N401" t="n">
        <v>0</v>
      </c>
      <c r="O401" t="n">
        <v>0</v>
      </c>
      <c r="P401" t="n">
        <v>0</v>
      </c>
      <c r="Q401" t="n">
        <v>0</v>
      </c>
      <c r="R401" s="2" t="inlineStr"/>
    </row>
    <row r="402" ht="15" customHeight="1">
      <c r="A402" t="inlineStr">
        <is>
          <t>A 50000-2023</t>
        </is>
      </c>
      <c r="B402" s="1" t="n">
        <v>45215.4434837963</v>
      </c>
      <c r="C402" s="1" t="n">
        <v>45937</v>
      </c>
      <c r="D402" t="inlineStr">
        <is>
          <t>SKÅNE LÄN</t>
        </is>
      </c>
      <c r="E402" t="inlineStr">
        <is>
          <t>HÄSSLEHOLM</t>
        </is>
      </c>
      <c r="G402" t="n">
        <v>1.6</v>
      </c>
      <c r="H402" t="n">
        <v>0</v>
      </c>
      <c r="I402" t="n">
        <v>0</v>
      </c>
      <c r="J402" t="n">
        <v>0</v>
      </c>
      <c r="K402" t="n">
        <v>0</v>
      </c>
      <c r="L402" t="n">
        <v>0</v>
      </c>
      <c r="M402" t="n">
        <v>0</v>
      </c>
      <c r="N402" t="n">
        <v>0</v>
      </c>
      <c r="O402" t="n">
        <v>0</v>
      </c>
      <c r="P402" t="n">
        <v>0</v>
      </c>
      <c r="Q402" t="n">
        <v>0</v>
      </c>
      <c r="R402" s="2" t="inlineStr"/>
    </row>
    <row r="403" ht="15" customHeight="1">
      <c r="A403" t="inlineStr">
        <is>
          <t>A 50607-2023</t>
        </is>
      </c>
      <c r="B403" s="1" t="n">
        <v>45210</v>
      </c>
      <c r="C403" s="1" t="n">
        <v>45937</v>
      </c>
      <c r="D403" t="inlineStr">
        <is>
          <t>SKÅNE LÄN</t>
        </is>
      </c>
      <c r="E403" t="inlineStr">
        <is>
          <t>HÄSSLEHOLM</t>
        </is>
      </c>
      <c r="G403" t="n">
        <v>1.8</v>
      </c>
      <c r="H403" t="n">
        <v>0</v>
      </c>
      <c r="I403" t="n">
        <v>0</v>
      </c>
      <c r="J403" t="n">
        <v>0</v>
      </c>
      <c r="K403" t="n">
        <v>0</v>
      </c>
      <c r="L403" t="n">
        <v>0</v>
      </c>
      <c r="M403" t="n">
        <v>0</v>
      </c>
      <c r="N403" t="n">
        <v>0</v>
      </c>
      <c r="O403" t="n">
        <v>0</v>
      </c>
      <c r="P403" t="n">
        <v>0</v>
      </c>
      <c r="Q403" t="n">
        <v>0</v>
      </c>
      <c r="R403" s="2" t="inlineStr"/>
    </row>
    <row r="404" ht="15" customHeight="1">
      <c r="A404" t="inlineStr">
        <is>
          <t>A 50616-2023</t>
        </is>
      </c>
      <c r="B404" s="1" t="n">
        <v>45210</v>
      </c>
      <c r="C404" s="1" t="n">
        <v>45937</v>
      </c>
      <c r="D404" t="inlineStr">
        <is>
          <t>SKÅNE LÄN</t>
        </is>
      </c>
      <c r="E404" t="inlineStr">
        <is>
          <t>HÄSSLEHOLM</t>
        </is>
      </c>
      <c r="G404" t="n">
        <v>1.1</v>
      </c>
      <c r="H404" t="n">
        <v>0</v>
      </c>
      <c r="I404" t="n">
        <v>0</v>
      </c>
      <c r="J404" t="n">
        <v>0</v>
      </c>
      <c r="K404" t="n">
        <v>0</v>
      </c>
      <c r="L404" t="n">
        <v>0</v>
      </c>
      <c r="M404" t="n">
        <v>0</v>
      </c>
      <c r="N404" t="n">
        <v>0</v>
      </c>
      <c r="O404" t="n">
        <v>0</v>
      </c>
      <c r="P404" t="n">
        <v>0</v>
      </c>
      <c r="Q404" t="n">
        <v>0</v>
      </c>
      <c r="R404" s="2" t="inlineStr"/>
    </row>
    <row r="405" ht="15" customHeight="1">
      <c r="A405" t="inlineStr">
        <is>
          <t>A 9323-2025</t>
        </is>
      </c>
      <c r="B405" s="1" t="n">
        <v>45714.73532407408</v>
      </c>
      <c r="C405" s="1" t="n">
        <v>45937</v>
      </c>
      <c r="D405" t="inlineStr">
        <is>
          <t>SKÅNE LÄN</t>
        </is>
      </c>
      <c r="E405" t="inlineStr">
        <is>
          <t>HÄSSLEHOLM</t>
        </is>
      </c>
      <c r="G405" t="n">
        <v>5.2</v>
      </c>
      <c r="H405" t="n">
        <v>0</v>
      </c>
      <c r="I405" t="n">
        <v>0</v>
      </c>
      <c r="J405" t="n">
        <v>0</v>
      </c>
      <c r="K405" t="n">
        <v>0</v>
      </c>
      <c r="L405" t="n">
        <v>0</v>
      </c>
      <c r="M405" t="n">
        <v>0</v>
      </c>
      <c r="N405" t="n">
        <v>0</v>
      </c>
      <c r="O405" t="n">
        <v>0</v>
      </c>
      <c r="P405" t="n">
        <v>0</v>
      </c>
      <c r="Q405" t="n">
        <v>0</v>
      </c>
      <c r="R405" s="2" t="inlineStr"/>
    </row>
    <row r="406" ht="15" customHeight="1">
      <c r="A406" t="inlineStr">
        <is>
          <t>A 56735-2024</t>
        </is>
      </c>
      <c r="B406" s="1" t="n">
        <v>45628.36234953703</v>
      </c>
      <c r="C406" s="1" t="n">
        <v>45937</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23946-2023</t>
        </is>
      </c>
      <c r="B407" s="1" t="n">
        <v>45078.61601851852</v>
      </c>
      <c r="C407" s="1" t="n">
        <v>45937</v>
      </c>
      <c r="D407" t="inlineStr">
        <is>
          <t>SKÅNE LÄN</t>
        </is>
      </c>
      <c r="E407" t="inlineStr">
        <is>
          <t>HÄSSLEHOLM</t>
        </is>
      </c>
      <c r="G407" t="n">
        <v>0.2</v>
      </c>
      <c r="H407" t="n">
        <v>0</v>
      </c>
      <c r="I407" t="n">
        <v>0</v>
      </c>
      <c r="J407" t="n">
        <v>0</v>
      </c>
      <c r="K407" t="n">
        <v>0</v>
      </c>
      <c r="L407" t="n">
        <v>0</v>
      </c>
      <c r="M407" t="n">
        <v>0</v>
      </c>
      <c r="N407" t="n">
        <v>0</v>
      </c>
      <c r="O407" t="n">
        <v>0</v>
      </c>
      <c r="P407" t="n">
        <v>0</v>
      </c>
      <c r="Q407" t="n">
        <v>0</v>
      </c>
      <c r="R407" s="2" t="inlineStr"/>
    </row>
    <row r="408" ht="15" customHeight="1">
      <c r="A408" t="inlineStr">
        <is>
          <t>A 49250-2022</t>
        </is>
      </c>
      <c r="B408" s="1" t="n">
        <v>44858</v>
      </c>
      <c r="C408" s="1" t="n">
        <v>45937</v>
      </c>
      <c r="D408" t="inlineStr">
        <is>
          <t>SKÅNE LÄN</t>
        </is>
      </c>
      <c r="E408" t="inlineStr">
        <is>
          <t>HÄSSLEHOLM</t>
        </is>
      </c>
      <c r="F408" t="inlineStr">
        <is>
          <t>Kyrkan</t>
        </is>
      </c>
      <c r="G408" t="n">
        <v>1.5</v>
      </c>
      <c r="H408" t="n">
        <v>0</v>
      </c>
      <c r="I408" t="n">
        <v>0</v>
      </c>
      <c r="J408" t="n">
        <v>0</v>
      </c>
      <c r="K408" t="n">
        <v>0</v>
      </c>
      <c r="L408" t="n">
        <v>0</v>
      </c>
      <c r="M408" t="n">
        <v>0</v>
      </c>
      <c r="N408" t="n">
        <v>0</v>
      </c>
      <c r="O408" t="n">
        <v>0</v>
      </c>
      <c r="P408" t="n">
        <v>0</v>
      </c>
      <c r="Q408" t="n">
        <v>0</v>
      </c>
      <c r="R408" s="2" t="inlineStr"/>
    </row>
    <row r="409" ht="15" customHeight="1">
      <c r="A409" t="inlineStr">
        <is>
          <t>A 2621-2025</t>
        </is>
      </c>
      <c r="B409" s="1" t="n">
        <v>45675.60765046296</v>
      </c>
      <c r="C409" s="1" t="n">
        <v>45937</v>
      </c>
      <c r="D409" t="inlineStr">
        <is>
          <t>SKÅNE LÄN</t>
        </is>
      </c>
      <c r="E409" t="inlineStr">
        <is>
          <t>HÄSSLEHOLM</t>
        </is>
      </c>
      <c r="F409" t="inlineStr">
        <is>
          <t>Kommuner</t>
        </is>
      </c>
      <c r="G409" t="n">
        <v>3</v>
      </c>
      <c r="H409" t="n">
        <v>0</v>
      </c>
      <c r="I409" t="n">
        <v>0</v>
      </c>
      <c r="J409" t="n">
        <v>0</v>
      </c>
      <c r="K409" t="n">
        <v>0</v>
      </c>
      <c r="L409" t="n">
        <v>0</v>
      </c>
      <c r="M409" t="n">
        <v>0</v>
      </c>
      <c r="N409" t="n">
        <v>0</v>
      </c>
      <c r="O409" t="n">
        <v>0</v>
      </c>
      <c r="P409" t="n">
        <v>0</v>
      </c>
      <c r="Q409" t="n">
        <v>0</v>
      </c>
      <c r="R409" s="2" t="inlineStr"/>
    </row>
    <row r="410" ht="15" customHeight="1">
      <c r="A410" t="inlineStr">
        <is>
          <t>A 8759-2024</t>
        </is>
      </c>
      <c r="B410" s="1" t="n">
        <v>45356.52271990741</v>
      </c>
      <c r="C410" s="1" t="n">
        <v>45937</v>
      </c>
      <c r="D410" t="inlineStr">
        <is>
          <t>SKÅNE LÄN</t>
        </is>
      </c>
      <c r="E410" t="inlineStr">
        <is>
          <t>HÄSSLEHOLM</t>
        </is>
      </c>
      <c r="G410" t="n">
        <v>5.7</v>
      </c>
      <c r="H410" t="n">
        <v>0</v>
      </c>
      <c r="I410" t="n">
        <v>0</v>
      </c>
      <c r="J410" t="n">
        <v>0</v>
      </c>
      <c r="K410" t="n">
        <v>0</v>
      </c>
      <c r="L410" t="n">
        <v>0</v>
      </c>
      <c r="M410" t="n">
        <v>0</v>
      </c>
      <c r="N410" t="n">
        <v>0</v>
      </c>
      <c r="O410" t="n">
        <v>0</v>
      </c>
      <c r="P410" t="n">
        <v>0</v>
      </c>
      <c r="Q410" t="n">
        <v>0</v>
      </c>
      <c r="R410" s="2" t="inlineStr"/>
    </row>
    <row r="411" ht="15" customHeight="1">
      <c r="A411" t="inlineStr">
        <is>
          <t>A 23005-2025</t>
        </is>
      </c>
      <c r="B411" s="1" t="n">
        <v>45790</v>
      </c>
      <c r="C411" s="1" t="n">
        <v>45937</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8737-2025</t>
        </is>
      </c>
      <c r="B412" s="1" t="n">
        <v>45712.54578703704</v>
      </c>
      <c r="C412" s="1" t="n">
        <v>45937</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10020-2024</t>
        </is>
      </c>
      <c r="B413" s="1" t="n">
        <v>45363.96944444445</v>
      </c>
      <c r="C413" s="1" t="n">
        <v>45937</v>
      </c>
      <c r="D413" t="inlineStr">
        <is>
          <t>SKÅNE LÄN</t>
        </is>
      </c>
      <c r="E413" t="inlineStr">
        <is>
          <t>HÄSSLEHOLM</t>
        </is>
      </c>
      <c r="G413" t="n">
        <v>5.3</v>
      </c>
      <c r="H413" t="n">
        <v>0</v>
      </c>
      <c r="I413" t="n">
        <v>0</v>
      </c>
      <c r="J413" t="n">
        <v>0</v>
      </c>
      <c r="K413" t="n">
        <v>0</v>
      </c>
      <c r="L413" t="n">
        <v>0</v>
      </c>
      <c r="M413" t="n">
        <v>0</v>
      </c>
      <c r="N413" t="n">
        <v>0</v>
      </c>
      <c r="O413" t="n">
        <v>0</v>
      </c>
      <c r="P413" t="n">
        <v>0</v>
      </c>
      <c r="Q413" t="n">
        <v>0</v>
      </c>
      <c r="R413" s="2" t="inlineStr"/>
    </row>
    <row r="414" ht="15" customHeight="1">
      <c r="A414" t="inlineStr">
        <is>
          <t>A 22587-2025</t>
        </is>
      </c>
      <c r="B414" s="1" t="n">
        <v>45789.39974537037</v>
      </c>
      <c r="C414" s="1" t="n">
        <v>45937</v>
      </c>
      <c r="D414" t="inlineStr">
        <is>
          <t>SKÅNE LÄN</t>
        </is>
      </c>
      <c r="E414" t="inlineStr">
        <is>
          <t>HÄSSLEHOLM</t>
        </is>
      </c>
      <c r="G414" t="n">
        <v>5.7</v>
      </c>
      <c r="H414" t="n">
        <v>0</v>
      </c>
      <c r="I414" t="n">
        <v>0</v>
      </c>
      <c r="J414" t="n">
        <v>0</v>
      </c>
      <c r="K414" t="n">
        <v>0</v>
      </c>
      <c r="L414" t="n">
        <v>0</v>
      </c>
      <c r="M414" t="n">
        <v>0</v>
      </c>
      <c r="N414" t="n">
        <v>0</v>
      </c>
      <c r="O414" t="n">
        <v>0</v>
      </c>
      <c r="P414" t="n">
        <v>0</v>
      </c>
      <c r="Q414" t="n">
        <v>0</v>
      </c>
      <c r="R414" s="2" t="inlineStr"/>
    </row>
    <row r="415" ht="15" customHeight="1">
      <c r="A415" t="inlineStr">
        <is>
          <t>A 22592-2025</t>
        </is>
      </c>
      <c r="B415" s="1" t="n">
        <v>45789.40502314815</v>
      </c>
      <c r="C415" s="1" t="n">
        <v>45937</v>
      </c>
      <c r="D415" t="inlineStr">
        <is>
          <t>SKÅNE LÄN</t>
        </is>
      </c>
      <c r="E415" t="inlineStr">
        <is>
          <t>HÄSSLEHOLM</t>
        </is>
      </c>
      <c r="G415" t="n">
        <v>7.1</v>
      </c>
      <c r="H415" t="n">
        <v>0</v>
      </c>
      <c r="I415" t="n">
        <v>0</v>
      </c>
      <c r="J415" t="n">
        <v>0</v>
      </c>
      <c r="K415" t="n">
        <v>0</v>
      </c>
      <c r="L415" t="n">
        <v>0</v>
      </c>
      <c r="M415" t="n">
        <v>0</v>
      </c>
      <c r="N415" t="n">
        <v>0</v>
      </c>
      <c r="O415" t="n">
        <v>0</v>
      </c>
      <c r="P415" t="n">
        <v>0</v>
      </c>
      <c r="Q415" t="n">
        <v>0</v>
      </c>
      <c r="R415" s="2" t="inlineStr"/>
    </row>
    <row r="416" ht="15" customHeight="1">
      <c r="A416" t="inlineStr">
        <is>
          <t>A 54408-2024</t>
        </is>
      </c>
      <c r="B416" s="1" t="n">
        <v>45617.47263888889</v>
      </c>
      <c r="C416" s="1" t="n">
        <v>45937</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17171-2025</t>
        </is>
      </c>
      <c r="B417" s="1" t="n">
        <v>45755</v>
      </c>
      <c r="C417" s="1" t="n">
        <v>45937</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13954-2023</t>
        </is>
      </c>
      <c r="B418" s="1" t="n">
        <v>45008</v>
      </c>
      <c r="C418" s="1" t="n">
        <v>45937</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51018-2023</t>
        </is>
      </c>
      <c r="B419" s="1" t="n">
        <v>45218</v>
      </c>
      <c r="C419" s="1" t="n">
        <v>45937</v>
      </c>
      <c r="D419" t="inlineStr">
        <is>
          <t>SKÅNE LÄN</t>
        </is>
      </c>
      <c r="E419" t="inlineStr">
        <is>
          <t>HÄSSLEHOLM</t>
        </is>
      </c>
      <c r="G419" t="n">
        <v>3.1</v>
      </c>
      <c r="H419" t="n">
        <v>0</v>
      </c>
      <c r="I419" t="n">
        <v>0</v>
      </c>
      <c r="J419" t="n">
        <v>0</v>
      </c>
      <c r="K419" t="n">
        <v>0</v>
      </c>
      <c r="L419" t="n">
        <v>0</v>
      </c>
      <c r="M419" t="n">
        <v>0</v>
      </c>
      <c r="N419" t="n">
        <v>0</v>
      </c>
      <c r="O419" t="n">
        <v>0</v>
      </c>
      <c r="P419" t="n">
        <v>0</v>
      </c>
      <c r="Q419" t="n">
        <v>0</v>
      </c>
      <c r="R419" s="2" t="inlineStr"/>
    </row>
    <row r="420" ht="15" customHeight="1">
      <c r="A420" t="inlineStr">
        <is>
          <t>A 40152-2024</t>
        </is>
      </c>
      <c r="B420" s="1" t="n">
        <v>45554</v>
      </c>
      <c r="C420" s="1" t="n">
        <v>45937</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14008-2023</t>
        </is>
      </c>
      <c r="B421" s="1" t="n">
        <v>45008.56725694444</v>
      </c>
      <c r="C421" s="1" t="n">
        <v>45937</v>
      </c>
      <c r="D421" t="inlineStr">
        <is>
          <t>SKÅNE LÄN</t>
        </is>
      </c>
      <c r="E421" t="inlineStr">
        <is>
          <t>HÄSSLEHOLM</t>
        </is>
      </c>
      <c r="G421" t="n">
        <v>3.3</v>
      </c>
      <c r="H421" t="n">
        <v>0</v>
      </c>
      <c r="I421" t="n">
        <v>0</v>
      </c>
      <c r="J421" t="n">
        <v>0</v>
      </c>
      <c r="K421" t="n">
        <v>0</v>
      </c>
      <c r="L421" t="n">
        <v>0</v>
      </c>
      <c r="M421" t="n">
        <v>0</v>
      </c>
      <c r="N421" t="n">
        <v>0</v>
      </c>
      <c r="O421" t="n">
        <v>0</v>
      </c>
      <c r="P421" t="n">
        <v>0</v>
      </c>
      <c r="Q421" t="n">
        <v>0</v>
      </c>
      <c r="R421" s="2" t="inlineStr"/>
    </row>
    <row r="422" ht="15" customHeight="1">
      <c r="A422" t="inlineStr">
        <is>
          <t>A 20493-2024</t>
        </is>
      </c>
      <c r="B422" s="1" t="n">
        <v>45435</v>
      </c>
      <c r="C422" s="1" t="n">
        <v>45937</v>
      </c>
      <c r="D422" t="inlineStr">
        <is>
          <t>SKÅNE LÄN</t>
        </is>
      </c>
      <c r="E422" t="inlineStr">
        <is>
          <t>HÄSSLEHOLM</t>
        </is>
      </c>
      <c r="G422" t="n">
        <v>1.2</v>
      </c>
      <c r="H422" t="n">
        <v>0</v>
      </c>
      <c r="I422" t="n">
        <v>0</v>
      </c>
      <c r="J422" t="n">
        <v>0</v>
      </c>
      <c r="K422" t="n">
        <v>0</v>
      </c>
      <c r="L422" t="n">
        <v>0</v>
      </c>
      <c r="M422" t="n">
        <v>0</v>
      </c>
      <c r="N422" t="n">
        <v>0</v>
      </c>
      <c r="O422" t="n">
        <v>0</v>
      </c>
      <c r="P422" t="n">
        <v>0</v>
      </c>
      <c r="Q422" t="n">
        <v>0</v>
      </c>
      <c r="R422" s="2" t="inlineStr"/>
    </row>
    <row r="423" ht="15" customHeight="1">
      <c r="A423" t="inlineStr">
        <is>
          <t>A 13851-2025</t>
        </is>
      </c>
      <c r="B423" s="1" t="n">
        <v>45737.56777777777</v>
      </c>
      <c r="C423" s="1" t="n">
        <v>45937</v>
      </c>
      <c r="D423" t="inlineStr">
        <is>
          <t>SKÅNE LÄN</t>
        </is>
      </c>
      <c r="E423" t="inlineStr">
        <is>
          <t>HÄSSLEHOLM</t>
        </is>
      </c>
      <c r="G423" t="n">
        <v>3</v>
      </c>
      <c r="H423" t="n">
        <v>0</v>
      </c>
      <c r="I423" t="n">
        <v>0</v>
      </c>
      <c r="J423" t="n">
        <v>0</v>
      </c>
      <c r="K423" t="n">
        <v>0</v>
      </c>
      <c r="L423" t="n">
        <v>0</v>
      </c>
      <c r="M423" t="n">
        <v>0</v>
      </c>
      <c r="N423" t="n">
        <v>0</v>
      </c>
      <c r="O423" t="n">
        <v>0</v>
      </c>
      <c r="P423" t="n">
        <v>0</v>
      </c>
      <c r="Q423" t="n">
        <v>0</v>
      </c>
      <c r="R423" s="2" t="inlineStr"/>
    </row>
    <row r="424" ht="15" customHeight="1">
      <c r="A424" t="inlineStr">
        <is>
          <t>A 12936-2025</t>
        </is>
      </c>
      <c r="B424" s="1" t="n">
        <v>45734</v>
      </c>
      <c r="C424" s="1" t="n">
        <v>45937</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31254-2024</t>
        </is>
      </c>
      <c r="B425" s="1" t="n">
        <v>45503</v>
      </c>
      <c r="C425" s="1" t="n">
        <v>45937</v>
      </c>
      <c r="D425" t="inlineStr">
        <is>
          <t>SKÅNE LÄN</t>
        </is>
      </c>
      <c r="E425" t="inlineStr">
        <is>
          <t>HÄSSLEHOLM</t>
        </is>
      </c>
      <c r="G425" t="n">
        <v>2.2</v>
      </c>
      <c r="H425" t="n">
        <v>0</v>
      </c>
      <c r="I425" t="n">
        <v>0</v>
      </c>
      <c r="J425" t="n">
        <v>0</v>
      </c>
      <c r="K425" t="n">
        <v>0</v>
      </c>
      <c r="L425" t="n">
        <v>0</v>
      </c>
      <c r="M425" t="n">
        <v>0</v>
      </c>
      <c r="N425" t="n">
        <v>0</v>
      </c>
      <c r="O425" t="n">
        <v>0</v>
      </c>
      <c r="P425" t="n">
        <v>0</v>
      </c>
      <c r="Q425" t="n">
        <v>0</v>
      </c>
      <c r="R425" s="2" t="inlineStr"/>
    </row>
    <row r="426" ht="15" customHeight="1">
      <c r="A426" t="inlineStr">
        <is>
          <t>A 27825-2024</t>
        </is>
      </c>
      <c r="B426" s="1" t="n">
        <v>45475</v>
      </c>
      <c r="C426" s="1" t="n">
        <v>45937</v>
      </c>
      <c r="D426" t="inlineStr">
        <is>
          <t>SKÅNE LÄN</t>
        </is>
      </c>
      <c r="E426" t="inlineStr">
        <is>
          <t>HÄSSLEHOLM</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11753-2025</t>
        </is>
      </c>
      <c r="B427" s="1" t="n">
        <v>45727</v>
      </c>
      <c r="C427" s="1" t="n">
        <v>45937</v>
      </c>
      <c r="D427" t="inlineStr">
        <is>
          <t>SKÅNE LÄN</t>
        </is>
      </c>
      <c r="E427" t="inlineStr">
        <is>
          <t>HÄSSLEHOLM</t>
        </is>
      </c>
      <c r="G427" t="n">
        <v>2.7</v>
      </c>
      <c r="H427" t="n">
        <v>0</v>
      </c>
      <c r="I427" t="n">
        <v>0</v>
      </c>
      <c r="J427" t="n">
        <v>0</v>
      </c>
      <c r="K427" t="n">
        <v>0</v>
      </c>
      <c r="L427" t="n">
        <v>0</v>
      </c>
      <c r="M427" t="n">
        <v>0</v>
      </c>
      <c r="N427" t="n">
        <v>0</v>
      </c>
      <c r="O427" t="n">
        <v>0</v>
      </c>
      <c r="P427" t="n">
        <v>0</v>
      </c>
      <c r="Q427" t="n">
        <v>0</v>
      </c>
      <c r="R427" s="2" t="inlineStr"/>
    </row>
    <row r="428" ht="15" customHeight="1">
      <c r="A428" t="inlineStr">
        <is>
          <t>A 41874-2024</t>
        </is>
      </c>
      <c r="B428" s="1" t="n">
        <v>45561</v>
      </c>
      <c r="C428" s="1" t="n">
        <v>45937</v>
      </c>
      <c r="D428" t="inlineStr">
        <is>
          <t>SKÅNE LÄN</t>
        </is>
      </c>
      <c r="E428" t="inlineStr">
        <is>
          <t>HÄSSLEHOLM</t>
        </is>
      </c>
      <c r="G428" t="n">
        <v>1</v>
      </c>
      <c r="H428" t="n">
        <v>0</v>
      </c>
      <c r="I428" t="n">
        <v>0</v>
      </c>
      <c r="J428" t="n">
        <v>0</v>
      </c>
      <c r="K428" t="n">
        <v>0</v>
      </c>
      <c r="L428" t="n">
        <v>0</v>
      </c>
      <c r="M428" t="n">
        <v>0</v>
      </c>
      <c r="N428" t="n">
        <v>0</v>
      </c>
      <c r="O428" t="n">
        <v>0</v>
      </c>
      <c r="P428" t="n">
        <v>0</v>
      </c>
      <c r="Q428" t="n">
        <v>0</v>
      </c>
      <c r="R428" s="2" t="inlineStr"/>
    </row>
    <row r="429" ht="15" customHeight="1">
      <c r="A429" t="inlineStr">
        <is>
          <t>A 11798-2022</t>
        </is>
      </c>
      <c r="B429" s="1" t="n">
        <v>44634.64900462963</v>
      </c>
      <c r="C429" s="1" t="n">
        <v>45937</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37764-2022</t>
        </is>
      </c>
      <c r="B430" s="1" t="n">
        <v>44810</v>
      </c>
      <c r="C430" s="1" t="n">
        <v>45937</v>
      </c>
      <c r="D430" t="inlineStr">
        <is>
          <t>SKÅNE LÄN</t>
        </is>
      </c>
      <c r="E430" t="inlineStr">
        <is>
          <t>HÄSSLEHOLM</t>
        </is>
      </c>
      <c r="F430" t="inlineStr">
        <is>
          <t>Kyrkan</t>
        </is>
      </c>
      <c r="G430" t="n">
        <v>9.4</v>
      </c>
      <c r="H430" t="n">
        <v>0</v>
      </c>
      <c r="I430" t="n">
        <v>0</v>
      </c>
      <c r="J430" t="n">
        <v>0</v>
      </c>
      <c r="K430" t="n">
        <v>0</v>
      </c>
      <c r="L430" t="n">
        <v>0</v>
      </c>
      <c r="M430" t="n">
        <v>0</v>
      </c>
      <c r="N430" t="n">
        <v>0</v>
      </c>
      <c r="O430" t="n">
        <v>0</v>
      </c>
      <c r="P430" t="n">
        <v>0</v>
      </c>
      <c r="Q430" t="n">
        <v>0</v>
      </c>
      <c r="R430" s="2" t="inlineStr"/>
    </row>
    <row r="431" ht="15" customHeight="1">
      <c r="A431" t="inlineStr">
        <is>
          <t>A 13890-2024</t>
        </is>
      </c>
      <c r="B431" s="1" t="n">
        <v>45391</v>
      </c>
      <c r="C431" s="1" t="n">
        <v>45937</v>
      </c>
      <c r="D431" t="inlineStr">
        <is>
          <t>SKÅNE LÄN</t>
        </is>
      </c>
      <c r="E431" t="inlineStr">
        <is>
          <t>HÄSSLEHOLM</t>
        </is>
      </c>
      <c r="F431" t="inlineStr">
        <is>
          <t>Kommuner</t>
        </is>
      </c>
      <c r="G431" t="n">
        <v>1.4</v>
      </c>
      <c r="H431" t="n">
        <v>0</v>
      </c>
      <c r="I431" t="n">
        <v>0</v>
      </c>
      <c r="J431" t="n">
        <v>0</v>
      </c>
      <c r="K431" t="n">
        <v>0</v>
      </c>
      <c r="L431" t="n">
        <v>0</v>
      </c>
      <c r="M431" t="n">
        <v>0</v>
      </c>
      <c r="N431" t="n">
        <v>0</v>
      </c>
      <c r="O431" t="n">
        <v>0</v>
      </c>
      <c r="P431" t="n">
        <v>0</v>
      </c>
      <c r="Q431" t="n">
        <v>0</v>
      </c>
      <c r="R431" s="2" t="inlineStr"/>
    </row>
    <row r="432" ht="15" customHeight="1">
      <c r="A432" t="inlineStr">
        <is>
          <t>A 39223-2024</t>
        </is>
      </c>
      <c r="B432" s="1" t="n">
        <v>45550</v>
      </c>
      <c r="C432" s="1" t="n">
        <v>45937</v>
      </c>
      <c r="D432" t="inlineStr">
        <is>
          <t>SKÅNE LÄN</t>
        </is>
      </c>
      <c r="E432" t="inlineStr">
        <is>
          <t>HÄSSLEHOLM</t>
        </is>
      </c>
      <c r="G432" t="n">
        <v>3.1</v>
      </c>
      <c r="H432" t="n">
        <v>0</v>
      </c>
      <c r="I432" t="n">
        <v>0</v>
      </c>
      <c r="J432" t="n">
        <v>0</v>
      </c>
      <c r="K432" t="n">
        <v>0</v>
      </c>
      <c r="L432" t="n">
        <v>0</v>
      </c>
      <c r="M432" t="n">
        <v>0</v>
      </c>
      <c r="N432" t="n">
        <v>0</v>
      </c>
      <c r="O432" t="n">
        <v>0</v>
      </c>
      <c r="P432" t="n">
        <v>0</v>
      </c>
      <c r="Q432" t="n">
        <v>0</v>
      </c>
      <c r="R432" s="2" t="inlineStr"/>
    </row>
    <row r="433" ht="15" customHeight="1">
      <c r="A433" t="inlineStr">
        <is>
          <t>A 6122-2021</t>
        </is>
      </c>
      <c r="B433" s="1" t="n">
        <v>44232.55091435185</v>
      </c>
      <c r="C433" s="1" t="n">
        <v>45937</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13932-2023</t>
        </is>
      </c>
      <c r="B434" s="1" t="n">
        <v>45008.43935185186</v>
      </c>
      <c r="C434" s="1" t="n">
        <v>45937</v>
      </c>
      <c r="D434" t="inlineStr">
        <is>
          <t>SKÅNE LÄN</t>
        </is>
      </c>
      <c r="E434" t="inlineStr">
        <is>
          <t>HÄSSLEHOLM</t>
        </is>
      </c>
      <c r="G434" t="n">
        <v>3.3</v>
      </c>
      <c r="H434" t="n">
        <v>0</v>
      </c>
      <c r="I434" t="n">
        <v>0</v>
      </c>
      <c r="J434" t="n">
        <v>0</v>
      </c>
      <c r="K434" t="n">
        <v>0</v>
      </c>
      <c r="L434" t="n">
        <v>0</v>
      </c>
      <c r="M434" t="n">
        <v>0</v>
      </c>
      <c r="N434" t="n">
        <v>0</v>
      </c>
      <c r="O434" t="n">
        <v>0</v>
      </c>
      <c r="P434" t="n">
        <v>0</v>
      </c>
      <c r="Q434" t="n">
        <v>0</v>
      </c>
      <c r="R434" s="2" t="inlineStr"/>
    </row>
    <row r="435" ht="15" customHeight="1">
      <c r="A435" t="inlineStr">
        <is>
          <t>A 8749-2024</t>
        </is>
      </c>
      <c r="B435" s="1" t="n">
        <v>45356.50387731481</v>
      </c>
      <c r="C435" s="1" t="n">
        <v>45937</v>
      </c>
      <c r="D435" t="inlineStr">
        <is>
          <t>SKÅNE LÄN</t>
        </is>
      </c>
      <c r="E435" t="inlineStr">
        <is>
          <t>HÄSSLEHOLM</t>
        </is>
      </c>
      <c r="G435" t="n">
        <v>2.9</v>
      </c>
      <c r="H435" t="n">
        <v>0</v>
      </c>
      <c r="I435" t="n">
        <v>0</v>
      </c>
      <c r="J435" t="n">
        <v>0</v>
      </c>
      <c r="K435" t="n">
        <v>0</v>
      </c>
      <c r="L435" t="n">
        <v>0</v>
      </c>
      <c r="M435" t="n">
        <v>0</v>
      </c>
      <c r="N435" t="n">
        <v>0</v>
      </c>
      <c r="O435" t="n">
        <v>0</v>
      </c>
      <c r="P435" t="n">
        <v>0</v>
      </c>
      <c r="Q435" t="n">
        <v>0</v>
      </c>
      <c r="R435" s="2" t="inlineStr"/>
    </row>
    <row r="436" ht="15" customHeight="1">
      <c r="A436" t="inlineStr">
        <is>
          <t>A 8752-2024</t>
        </is>
      </c>
      <c r="B436" s="1" t="n">
        <v>45356</v>
      </c>
      <c r="C436" s="1" t="n">
        <v>45937</v>
      </c>
      <c r="D436" t="inlineStr">
        <is>
          <t>SKÅNE LÄN</t>
        </is>
      </c>
      <c r="E436" t="inlineStr">
        <is>
          <t>HÄSSLEHOLM</t>
        </is>
      </c>
      <c r="G436" t="n">
        <v>3.4</v>
      </c>
      <c r="H436" t="n">
        <v>0</v>
      </c>
      <c r="I436" t="n">
        <v>0</v>
      </c>
      <c r="J436" t="n">
        <v>0</v>
      </c>
      <c r="K436" t="n">
        <v>0</v>
      </c>
      <c r="L436" t="n">
        <v>0</v>
      </c>
      <c r="M436" t="n">
        <v>0</v>
      </c>
      <c r="N436" t="n">
        <v>0</v>
      </c>
      <c r="O436" t="n">
        <v>0</v>
      </c>
      <c r="P436" t="n">
        <v>0</v>
      </c>
      <c r="Q436" t="n">
        <v>0</v>
      </c>
      <c r="R436" s="2" t="inlineStr"/>
    </row>
    <row r="437" ht="15" customHeight="1">
      <c r="A437" t="inlineStr">
        <is>
          <t>A 32008-2024</t>
        </is>
      </c>
      <c r="B437" s="1" t="n">
        <v>45510</v>
      </c>
      <c r="C437" s="1" t="n">
        <v>45937</v>
      </c>
      <c r="D437" t="inlineStr">
        <is>
          <t>SKÅNE LÄN</t>
        </is>
      </c>
      <c r="E437" t="inlineStr">
        <is>
          <t>HÄSSLEHOLM</t>
        </is>
      </c>
      <c r="G437" t="n">
        <v>5.1</v>
      </c>
      <c r="H437" t="n">
        <v>0</v>
      </c>
      <c r="I437" t="n">
        <v>0</v>
      </c>
      <c r="J437" t="n">
        <v>0</v>
      </c>
      <c r="K437" t="n">
        <v>0</v>
      </c>
      <c r="L437" t="n">
        <v>0</v>
      </c>
      <c r="M437" t="n">
        <v>0</v>
      </c>
      <c r="N437" t="n">
        <v>0</v>
      </c>
      <c r="O437" t="n">
        <v>0</v>
      </c>
      <c r="P437" t="n">
        <v>0</v>
      </c>
      <c r="Q437" t="n">
        <v>0</v>
      </c>
      <c r="R437" s="2" t="inlineStr"/>
    </row>
    <row r="438" ht="15" customHeight="1">
      <c r="A438" t="inlineStr">
        <is>
          <t>A 42906-2022</t>
        </is>
      </c>
      <c r="B438" s="1" t="n">
        <v>44833</v>
      </c>
      <c r="C438" s="1" t="n">
        <v>45937</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15036-2024</t>
        </is>
      </c>
      <c r="B439" s="1" t="n">
        <v>45399.48100694444</v>
      </c>
      <c r="C439" s="1" t="n">
        <v>45937</v>
      </c>
      <c r="D439" t="inlineStr">
        <is>
          <t>SKÅNE LÄN</t>
        </is>
      </c>
      <c r="E439" t="inlineStr">
        <is>
          <t>HÄSSLEHOLM</t>
        </is>
      </c>
      <c r="G439" t="n">
        <v>1.6</v>
      </c>
      <c r="H439" t="n">
        <v>0</v>
      </c>
      <c r="I439" t="n">
        <v>0</v>
      </c>
      <c r="J439" t="n">
        <v>0</v>
      </c>
      <c r="K439" t="n">
        <v>0</v>
      </c>
      <c r="L439" t="n">
        <v>0</v>
      </c>
      <c r="M439" t="n">
        <v>0</v>
      </c>
      <c r="N439" t="n">
        <v>0</v>
      </c>
      <c r="O439" t="n">
        <v>0</v>
      </c>
      <c r="P439" t="n">
        <v>0</v>
      </c>
      <c r="Q439" t="n">
        <v>0</v>
      </c>
      <c r="R439" s="2" t="inlineStr"/>
    </row>
    <row r="440" ht="15" customHeight="1">
      <c r="A440" t="inlineStr">
        <is>
          <t>A 17138-2025</t>
        </is>
      </c>
      <c r="B440" s="1" t="n">
        <v>45755.80378472222</v>
      </c>
      <c r="C440" s="1" t="n">
        <v>45937</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15512-2025</t>
        </is>
      </c>
      <c r="B441" s="1" t="n">
        <v>45747</v>
      </c>
      <c r="C441" s="1" t="n">
        <v>45937</v>
      </c>
      <c r="D441" t="inlineStr">
        <is>
          <t>SKÅNE LÄN</t>
        </is>
      </c>
      <c r="E441" t="inlineStr">
        <is>
          <t>HÄSSLEHOLM</t>
        </is>
      </c>
      <c r="G441" t="n">
        <v>3.5</v>
      </c>
      <c r="H441" t="n">
        <v>0</v>
      </c>
      <c r="I441" t="n">
        <v>0</v>
      </c>
      <c r="J441" t="n">
        <v>0</v>
      </c>
      <c r="K441" t="n">
        <v>0</v>
      </c>
      <c r="L441" t="n">
        <v>0</v>
      </c>
      <c r="M441" t="n">
        <v>0</v>
      </c>
      <c r="N441" t="n">
        <v>0</v>
      </c>
      <c r="O441" t="n">
        <v>0</v>
      </c>
      <c r="P441" t="n">
        <v>0</v>
      </c>
      <c r="Q441" t="n">
        <v>0</v>
      </c>
      <c r="R441" s="2" t="inlineStr"/>
    </row>
    <row r="442" ht="15" customHeight="1">
      <c r="A442" t="inlineStr">
        <is>
          <t>A 37486-2024</t>
        </is>
      </c>
      <c r="B442" s="1" t="n">
        <v>45541</v>
      </c>
      <c r="C442" s="1" t="n">
        <v>45937</v>
      </c>
      <c r="D442" t="inlineStr">
        <is>
          <t>SKÅNE LÄN</t>
        </is>
      </c>
      <c r="E442" t="inlineStr">
        <is>
          <t>HÄSSLEHOLM</t>
        </is>
      </c>
      <c r="G442" t="n">
        <v>8.5</v>
      </c>
      <c r="H442" t="n">
        <v>0</v>
      </c>
      <c r="I442" t="n">
        <v>0</v>
      </c>
      <c r="J442" t="n">
        <v>0</v>
      </c>
      <c r="K442" t="n">
        <v>0</v>
      </c>
      <c r="L442" t="n">
        <v>0</v>
      </c>
      <c r="M442" t="n">
        <v>0</v>
      </c>
      <c r="N442" t="n">
        <v>0</v>
      </c>
      <c r="O442" t="n">
        <v>0</v>
      </c>
      <c r="P442" t="n">
        <v>0</v>
      </c>
      <c r="Q442" t="n">
        <v>0</v>
      </c>
      <c r="R442" s="2" t="inlineStr"/>
    </row>
    <row r="443" ht="15" customHeight="1">
      <c r="A443" t="inlineStr">
        <is>
          <t>A 44838-2023</t>
        </is>
      </c>
      <c r="B443" s="1" t="n">
        <v>45190</v>
      </c>
      <c r="C443" s="1" t="n">
        <v>45937</v>
      </c>
      <c r="D443" t="inlineStr">
        <is>
          <t>SKÅNE LÄN</t>
        </is>
      </c>
      <c r="E443" t="inlineStr">
        <is>
          <t>HÄSSLEHOLM</t>
        </is>
      </c>
      <c r="F443" t="inlineStr">
        <is>
          <t>Kommuner</t>
        </is>
      </c>
      <c r="G443" t="n">
        <v>2</v>
      </c>
      <c r="H443" t="n">
        <v>0</v>
      </c>
      <c r="I443" t="n">
        <v>0</v>
      </c>
      <c r="J443" t="n">
        <v>0</v>
      </c>
      <c r="K443" t="n">
        <v>0</v>
      </c>
      <c r="L443" t="n">
        <v>0</v>
      </c>
      <c r="M443" t="n">
        <v>0</v>
      </c>
      <c r="N443" t="n">
        <v>0</v>
      </c>
      <c r="O443" t="n">
        <v>0</v>
      </c>
      <c r="P443" t="n">
        <v>0</v>
      </c>
      <c r="Q443" t="n">
        <v>0</v>
      </c>
      <c r="R443" s="2" t="inlineStr"/>
    </row>
    <row r="444" ht="15" customHeight="1">
      <c r="A444" t="inlineStr">
        <is>
          <t>A 58915-2023</t>
        </is>
      </c>
      <c r="B444" s="1" t="n">
        <v>45250</v>
      </c>
      <c r="C444" s="1" t="n">
        <v>45937</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18648-2021</t>
        </is>
      </c>
      <c r="B445" s="1" t="n">
        <v>44306.70583333333</v>
      </c>
      <c r="C445" s="1" t="n">
        <v>45937</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20494-2024</t>
        </is>
      </c>
      <c r="B446" s="1" t="n">
        <v>45435</v>
      </c>
      <c r="C446" s="1" t="n">
        <v>45937</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15072-2024</t>
        </is>
      </c>
      <c r="B447" s="1" t="n">
        <v>45399.5996875</v>
      </c>
      <c r="C447" s="1" t="n">
        <v>45937</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16930-2024</t>
        </is>
      </c>
      <c r="B448" s="1" t="n">
        <v>45411</v>
      </c>
      <c r="C448" s="1" t="n">
        <v>45937</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57033-2022</t>
        </is>
      </c>
      <c r="B449" s="1" t="n">
        <v>44895.31270833333</v>
      </c>
      <c r="C449" s="1" t="n">
        <v>45937</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14700-2023</t>
        </is>
      </c>
      <c r="B450" s="1" t="n">
        <v>45014.38376157408</v>
      </c>
      <c r="C450" s="1" t="n">
        <v>45937</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45220-2023</t>
        </is>
      </c>
      <c r="B451" s="1" t="n">
        <v>45191</v>
      </c>
      <c r="C451" s="1" t="n">
        <v>45937</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3531-2023</t>
        </is>
      </c>
      <c r="B452" s="1" t="n">
        <v>44950</v>
      </c>
      <c r="C452" s="1" t="n">
        <v>45937</v>
      </c>
      <c r="D452" t="inlineStr">
        <is>
          <t>SKÅNE LÄN</t>
        </is>
      </c>
      <c r="E452" t="inlineStr">
        <is>
          <t>HÄSSLEHOLM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38712-2024</t>
        </is>
      </c>
      <c r="B453" s="1" t="n">
        <v>45547</v>
      </c>
      <c r="C453" s="1" t="n">
        <v>45937</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57647-2024</t>
        </is>
      </c>
      <c r="B454" s="1" t="n">
        <v>45630</v>
      </c>
      <c r="C454" s="1" t="n">
        <v>45937</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4579-2025</t>
        </is>
      </c>
      <c r="B455" s="1" t="n">
        <v>45687.5009375</v>
      </c>
      <c r="C455" s="1" t="n">
        <v>45937</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1344-2021</t>
        </is>
      </c>
      <c r="B456" s="1" t="n">
        <v>44208</v>
      </c>
      <c r="C456" s="1" t="n">
        <v>45937</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18623-2023</t>
        </is>
      </c>
      <c r="B457" s="1" t="n">
        <v>45043</v>
      </c>
      <c r="C457" s="1" t="n">
        <v>45937</v>
      </c>
      <c r="D457" t="inlineStr">
        <is>
          <t>SKÅNE LÄN</t>
        </is>
      </c>
      <c r="E457" t="inlineStr">
        <is>
          <t>HÄSSLEHOLM</t>
        </is>
      </c>
      <c r="G457" t="n">
        <v>3.2</v>
      </c>
      <c r="H457" t="n">
        <v>0</v>
      </c>
      <c r="I457" t="n">
        <v>0</v>
      </c>
      <c r="J457" t="n">
        <v>0</v>
      </c>
      <c r="K457" t="n">
        <v>0</v>
      </c>
      <c r="L457" t="n">
        <v>0</v>
      </c>
      <c r="M457" t="n">
        <v>0</v>
      </c>
      <c r="N457" t="n">
        <v>0</v>
      </c>
      <c r="O457" t="n">
        <v>0</v>
      </c>
      <c r="P457" t="n">
        <v>0</v>
      </c>
      <c r="Q457" t="n">
        <v>0</v>
      </c>
      <c r="R457" s="2" t="inlineStr"/>
    </row>
    <row r="458" ht="15" customHeight="1">
      <c r="A458" t="inlineStr">
        <is>
          <t>A 44697-2021</t>
        </is>
      </c>
      <c r="B458" s="1" t="n">
        <v>44438</v>
      </c>
      <c r="C458" s="1" t="n">
        <v>45937</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53067-2022</t>
        </is>
      </c>
      <c r="B459" s="1" t="n">
        <v>44873</v>
      </c>
      <c r="C459" s="1" t="n">
        <v>45937</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61929-2023</t>
        </is>
      </c>
      <c r="B460" s="1" t="n">
        <v>45266</v>
      </c>
      <c r="C460" s="1" t="n">
        <v>45937</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10115-2024</t>
        </is>
      </c>
      <c r="B461" s="1" t="n">
        <v>45364.55339120371</v>
      </c>
      <c r="C461" s="1" t="n">
        <v>45937</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3663-2024</t>
        </is>
      </c>
      <c r="B462" s="1" t="n">
        <v>45321.34775462963</v>
      </c>
      <c r="C462" s="1" t="n">
        <v>45937</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1120-2024</t>
        </is>
      </c>
      <c r="B463" s="1" t="n">
        <v>45302.4452662037</v>
      </c>
      <c r="C463" s="1" t="n">
        <v>45937</v>
      </c>
      <c r="D463" t="inlineStr">
        <is>
          <t>SKÅNE LÄN</t>
        </is>
      </c>
      <c r="E463" t="inlineStr">
        <is>
          <t>HÄSSLEHOLM</t>
        </is>
      </c>
      <c r="G463" t="n">
        <v>2.7</v>
      </c>
      <c r="H463" t="n">
        <v>0</v>
      </c>
      <c r="I463" t="n">
        <v>0</v>
      </c>
      <c r="J463" t="n">
        <v>0</v>
      </c>
      <c r="K463" t="n">
        <v>0</v>
      </c>
      <c r="L463" t="n">
        <v>0</v>
      </c>
      <c r="M463" t="n">
        <v>0</v>
      </c>
      <c r="N463" t="n">
        <v>0</v>
      </c>
      <c r="O463" t="n">
        <v>0</v>
      </c>
      <c r="P463" t="n">
        <v>0</v>
      </c>
      <c r="Q463" t="n">
        <v>0</v>
      </c>
      <c r="R463" s="2" t="inlineStr"/>
    </row>
    <row r="464" ht="15" customHeight="1">
      <c r="A464" t="inlineStr">
        <is>
          <t>A 67801-2021</t>
        </is>
      </c>
      <c r="B464" s="1" t="n">
        <v>44525</v>
      </c>
      <c r="C464" s="1" t="n">
        <v>45937</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7771-2021</t>
        </is>
      </c>
      <c r="B465" s="1" t="n">
        <v>44242</v>
      </c>
      <c r="C465" s="1" t="n">
        <v>45937</v>
      </c>
      <c r="D465" t="inlineStr">
        <is>
          <t>SKÅNE LÄN</t>
        </is>
      </c>
      <c r="E465" t="inlineStr">
        <is>
          <t>HÄSSLEHOLM</t>
        </is>
      </c>
      <c r="G465" t="n">
        <v>4.2</v>
      </c>
      <c r="H465" t="n">
        <v>0</v>
      </c>
      <c r="I465" t="n">
        <v>0</v>
      </c>
      <c r="J465" t="n">
        <v>0</v>
      </c>
      <c r="K465" t="n">
        <v>0</v>
      </c>
      <c r="L465" t="n">
        <v>0</v>
      </c>
      <c r="M465" t="n">
        <v>0</v>
      </c>
      <c r="N465" t="n">
        <v>0</v>
      </c>
      <c r="O465" t="n">
        <v>0</v>
      </c>
      <c r="P465" t="n">
        <v>0</v>
      </c>
      <c r="Q465" t="n">
        <v>0</v>
      </c>
      <c r="R465" s="2" t="inlineStr"/>
    </row>
    <row r="466" ht="15" customHeight="1">
      <c r="A466" t="inlineStr">
        <is>
          <t>A 11262-2025</t>
        </is>
      </c>
      <c r="B466" s="1" t="n">
        <v>45726</v>
      </c>
      <c r="C466" s="1" t="n">
        <v>45937</v>
      </c>
      <c r="D466" t="inlineStr">
        <is>
          <t>SKÅNE LÄN</t>
        </is>
      </c>
      <c r="E466" t="inlineStr">
        <is>
          <t>HÄSSLEHOLM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5395-2024</t>
        </is>
      </c>
      <c r="B467" s="1" t="n">
        <v>45331</v>
      </c>
      <c r="C467" s="1" t="n">
        <v>45937</v>
      </c>
      <c r="D467" t="inlineStr">
        <is>
          <t>SKÅNE LÄN</t>
        </is>
      </c>
      <c r="E467" t="inlineStr">
        <is>
          <t>HÄSSLEHOLM</t>
        </is>
      </c>
      <c r="G467" t="n">
        <v>2.6</v>
      </c>
      <c r="H467" t="n">
        <v>0</v>
      </c>
      <c r="I467" t="n">
        <v>0</v>
      </c>
      <c r="J467" t="n">
        <v>0</v>
      </c>
      <c r="K467" t="n">
        <v>0</v>
      </c>
      <c r="L467" t="n">
        <v>0</v>
      </c>
      <c r="M467" t="n">
        <v>0</v>
      </c>
      <c r="N467" t="n">
        <v>0</v>
      </c>
      <c r="O467" t="n">
        <v>0</v>
      </c>
      <c r="P467" t="n">
        <v>0</v>
      </c>
      <c r="Q467" t="n">
        <v>0</v>
      </c>
      <c r="R467" s="2" t="inlineStr"/>
    </row>
    <row r="468" ht="15" customHeight="1">
      <c r="A468" t="inlineStr">
        <is>
          <t>A 27177-2024</t>
        </is>
      </c>
      <c r="B468" s="1" t="n">
        <v>45471.57201388889</v>
      </c>
      <c r="C468" s="1" t="n">
        <v>45937</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56069-2024</t>
        </is>
      </c>
      <c r="B469" s="1" t="n">
        <v>45624.38006944444</v>
      </c>
      <c r="C469" s="1" t="n">
        <v>45937</v>
      </c>
      <c r="D469" t="inlineStr">
        <is>
          <t>SKÅNE LÄN</t>
        </is>
      </c>
      <c r="E469" t="inlineStr">
        <is>
          <t>HÄSSLEHOLM</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42428-2022</t>
        </is>
      </c>
      <c r="B470" s="1" t="n">
        <v>44831</v>
      </c>
      <c r="C470" s="1" t="n">
        <v>45937</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45398-2024</t>
        </is>
      </c>
      <c r="B471" s="1" t="n">
        <v>45576.56260416667</v>
      </c>
      <c r="C471" s="1" t="n">
        <v>45937</v>
      </c>
      <c r="D471" t="inlineStr">
        <is>
          <t>SKÅNE LÄN</t>
        </is>
      </c>
      <c r="E471" t="inlineStr">
        <is>
          <t>HÄSSLEHOLM</t>
        </is>
      </c>
      <c r="G471" t="n">
        <v>4.2</v>
      </c>
      <c r="H471" t="n">
        <v>0</v>
      </c>
      <c r="I471" t="n">
        <v>0</v>
      </c>
      <c r="J471" t="n">
        <v>0</v>
      </c>
      <c r="K471" t="n">
        <v>0</v>
      </c>
      <c r="L471" t="n">
        <v>0</v>
      </c>
      <c r="M471" t="n">
        <v>0</v>
      </c>
      <c r="N471" t="n">
        <v>0</v>
      </c>
      <c r="O471" t="n">
        <v>0</v>
      </c>
      <c r="P471" t="n">
        <v>0</v>
      </c>
      <c r="Q471" t="n">
        <v>0</v>
      </c>
      <c r="R471" s="2" t="inlineStr"/>
    </row>
    <row r="472" ht="15" customHeight="1">
      <c r="A472" t="inlineStr">
        <is>
          <t>A 60797-2024</t>
        </is>
      </c>
      <c r="B472" s="1" t="n">
        <v>45644</v>
      </c>
      <c r="C472" s="1" t="n">
        <v>45937</v>
      </c>
      <c r="D472" t="inlineStr">
        <is>
          <t>SKÅNE LÄN</t>
        </is>
      </c>
      <c r="E472" t="inlineStr">
        <is>
          <t>HÄSSLEHOLM</t>
        </is>
      </c>
      <c r="G472" t="n">
        <v>3.4</v>
      </c>
      <c r="H472" t="n">
        <v>0</v>
      </c>
      <c r="I472" t="n">
        <v>0</v>
      </c>
      <c r="J472" t="n">
        <v>0</v>
      </c>
      <c r="K472" t="n">
        <v>0</v>
      </c>
      <c r="L472" t="n">
        <v>0</v>
      </c>
      <c r="M472" t="n">
        <v>0</v>
      </c>
      <c r="N472" t="n">
        <v>0</v>
      </c>
      <c r="O472" t="n">
        <v>0</v>
      </c>
      <c r="P472" t="n">
        <v>0</v>
      </c>
      <c r="Q472" t="n">
        <v>0</v>
      </c>
      <c r="R472" s="2" t="inlineStr"/>
    </row>
    <row r="473" ht="15" customHeight="1">
      <c r="A473" t="inlineStr">
        <is>
          <t>A 22595-2024</t>
        </is>
      </c>
      <c r="B473" s="1" t="n">
        <v>45447.61053240741</v>
      </c>
      <c r="C473" s="1" t="n">
        <v>45937</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4809-2025</t>
        </is>
      </c>
      <c r="B474" s="1" t="n">
        <v>45688.60148148148</v>
      </c>
      <c r="C474" s="1" t="n">
        <v>45937</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59030-2024</t>
        </is>
      </c>
      <c r="B475" s="1" t="n">
        <v>45636.68916666666</v>
      </c>
      <c r="C475" s="1" t="n">
        <v>45937</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38148-2022</t>
        </is>
      </c>
      <c r="B476" s="1" t="n">
        <v>44811</v>
      </c>
      <c r="C476" s="1" t="n">
        <v>45937</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24034-2025</t>
        </is>
      </c>
      <c r="B477" s="1" t="n">
        <v>45796.48251157408</v>
      </c>
      <c r="C477" s="1" t="n">
        <v>45937</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61182-2024</t>
        </is>
      </c>
      <c r="B478" s="1" t="n">
        <v>45645</v>
      </c>
      <c r="C478" s="1" t="n">
        <v>45937</v>
      </c>
      <c r="D478" t="inlineStr">
        <is>
          <t>SKÅNE LÄN</t>
        </is>
      </c>
      <c r="E478" t="inlineStr">
        <is>
          <t>HÄSSLEHOLM</t>
        </is>
      </c>
      <c r="G478" t="n">
        <v>3.2</v>
      </c>
      <c r="H478" t="n">
        <v>0</v>
      </c>
      <c r="I478" t="n">
        <v>0</v>
      </c>
      <c r="J478" t="n">
        <v>0</v>
      </c>
      <c r="K478" t="n">
        <v>0</v>
      </c>
      <c r="L478" t="n">
        <v>0</v>
      </c>
      <c r="M478" t="n">
        <v>0</v>
      </c>
      <c r="N478" t="n">
        <v>0</v>
      </c>
      <c r="O478" t="n">
        <v>0</v>
      </c>
      <c r="P478" t="n">
        <v>0</v>
      </c>
      <c r="Q478" t="n">
        <v>0</v>
      </c>
      <c r="R478" s="2" t="inlineStr"/>
    </row>
    <row r="479" ht="15" customHeight="1">
      <c r="A479" t="inlineStr">
        <is>
          <t>A 61186-2022</t>
        </is>
      </c>
      <c r="B479" s="1" t="n">
        <v>44915.50745370371</v>
      </c>
      <c r="C479" s="1" t="n">
        <v>45937</v>
      </c>
      <c r="D479" t="inlineStr">
        <is>
          <t>SKÅNE LÄN</t>
        </is>
      </c>
      <c r="E479" t="inlineStr">
        <is>
          <t>HÄSSLEHOLM</t>
        </is>
      </c>
      <c r="G479" t="n">
        <v>2.9</v>
      </c>
      <c r="H479" t="n">
        <v>0</v>
      </c>
      <c r="I479" t="n">
        <v>0</v>
      </c>
      <c r="J479" t="n">
        <v>0</v>
      </c>
      <c r="K479" t="n">
        <v>0</v>
      </c>
      <c r="L479" t="n">
        <v>0</v>
      </c>
      <c r="M479" t="n">
        <v>0</v>
      </c>
      <c r="N479" t="n">
        <v>0</v>
      </c>
      <c r="O479" t="n">
        <v>0</v>
      </c>
      <c r="P479" t="n">
        <v>0</v>
      </c>
      <c r="Q479" t="n">
        <v>0</v>
      </c>
      <c r="R479" s="2" t="inlineStr"/>
    </row>
    <row r="480" ht="15" customHeight="1">
      <c r="A480" t="inlineStr">
        <is>
          <t>A 13018-2024</t>
        </is>
      </c>
      <c r="B480" s="1" t="n">
        <v>45385.58274305556</v>
      </c>
      <c r="C480" s="1" t="n">
        <v>45937</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34342-2021</t>
        </is>
      </c>
      <c r="B481" s="1" t="n">
        <v>44379</v>
      </c>
      <c r="C481" s="1" t="n">
        <v>45937</v>
      </c>
      <c r="D481" t="inlineStr">
        <is>
          <t>SKÅNE LÄN</t>
        </is>
      </c>
      <c r="E481" t="inlineStr">
        <is>
          <t>HÄSSLEHOLM</t>
        </is>
      </c>
      <c r="G481" t="n">
        <v>7</v>
      </c>
      <c r="H481" t="n">
        <v>0</v>
      </c>
      <c r="I481" t="n">
        <v>0</v>
      </c>
      <c r="J481" t="n">
        <v>0</v>
      </c>
      <c r="K481" t="n">
        <v>0</v>
      </c>
      <c r="L481" t="n">
        <v>0</v>
      </c>
      <c r="M481" t="n">
        <v>0</v>
      </c>
      <c r="N481" t="n">
        <v>0</v>
      </c>
      <c r="O481" t="n">
        <v>0</v>
      </c>
      <c r="P481" t="n">
        <v>0</v>
      </c>
      <c r="Q481" t="n">
        <v>0</v>
      </c>
      <c r="R481" s="2" t="inlineStr"/>
    </row>
    <row r="482" ht="15" customHeight="1">
      <c r="A482" t="inlineStr">
        <is>
          <t>A 26857-2025</t>
        </is>
      </c>
      <c r="B482" s="1" t="n">
        <v>45810</v>
      </c>
      <c r="C482" s="1" t="n">
        <v>45937</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45937</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13990-2022</t>
        </is>
      </c>
      <c r="B484" s="1" t="n">
        <v>44650</v>
      </c>
      <c r="C484" s="1" t="n">
        <v>45937</v>
      </c>
      <c r="D484" t="inlineStr">
        <is>
          <t>SKÅNE LÄN</t>
        </is>
      </c>
      <c r="E484" t="inlineStr">
        <is>
          <t>HÄSSLEHOLM</t>
        </is>
      </c>
      <c r="G484" t="n">
        <v>3.6</v>
      </c>
      <c r="H484" t="n">
        <v>0</v>
      </c>
      <c r="I484" t="n">
        <v>0</v>
      </c>
      <c r="J484" t="n">
        <v>0</v>
      </c>
      <c r="K484" t="n">
        <v>0</v>
      </c>
      <c r="L484" t="n">
        <v>0</v>
      </c>
      <c r="M484" t="n">
        <v>0</v>
      </c>
      <c r="N484" t="n">
        <v>0</v>
      </c>
      <c r="O484" t="n">
        <v>0</v>
      </c>
      <c r="P484" t="n">
        <v>0</v>
      </c>
      <c r="Q484" t="n">
        <v>0</v>
      </c>
      <c r="R484" s="2" t="inlineStr"/>
    </row>
    <row r="485" ht="15" customHeight="1">
      <c r="A485" t="inlineStr">
        <is>
          <t>A 24039-2025</t>
        </is>
      </c>
      <c r="B485" s="1" t="n">
        <v>45796.48675925926</v>
      </c>
      <c r="C485" s="1" t="n">
        <v>45937</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7481-2023</t>
        </is>
      </c>
      <c r="B486" s="1" t="n">
        <v>44971</v>
      </c>
      <c r="C486" s="1" t="n">
        <v>45937</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25219-2023</t>
        </is>
      </c>
      <c r="B487" s="1" t="n">
        <v>45086.60541666667</v>
      </c>
      <c r="C487" s="1" t="n">
        <v>45937</v>
      </c>
      <c r="D487" t="inlineStr">
        <is>
          <t>SKÅNE LÄN</t>
        </is>
      </c>
      <c r="E487" t="inlineStr">
        <is>
          <t>HÄSSLEHOLM</t>
        </is>
      </c>
      <c r="G487" t="n">
        <v>6.9</v>
      </c>
      <c r="H487" t="n">
        <v>0</v>
      </c>
      <c r="I487" t="n">
        <v>0</v>
      </c>
      <c r="J487" t="n">
        <v>0</v>
      </c>
      <c r="K487" t="n">
        <v>0</v>
      </c>
      <c r="L487" t="n">
        <v>0</v>
      </c>
      <c r="M487" t="n">
        <v>0</v>
      </c>
      <c r="N487" t="n">
        <v>0</v>
      </c>
      <c r="O487" t="n">
        <v>0</v>
      </c>
      <c r="P487" t="n">
        <v>0</v>
      </c>
      <c r="Q487" t="n">
        <v>0</v>
      </c>
      <c r="R487" s="2" t="inlineStr"/>
    </row>
    <row r="488" ht="15" customHeight="1">
      <c r="A488" t="inlineStr">
        <is>
          <t>A 9302-2025</t>
        </is>
      </c>
      <c r="B488" s="1" t="n">
        <v>45714.67233796296</v>
      </c>
      <c r="C488" s="1" t="n">
        <v>45937</v>
      </c>
      <c r="D488" t="inlineStr">
        <is>
          <t>SKÅNE LÄN</t>
        </is>
      </c>
      <c r="E488" t="inlineStr">
        <is>
          <t>HÄSSLEHOLM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6596-2021</t>
        </is>
      </c>
      <c r="B489" s="1" t="n">
        <v>44236</v>
      </c>
      <c r="C489" s="1" t="n">
        <v>45937</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9322-2025</t>
        </is>
      </c>
      <c r="B490" s="1" t="n">
        <v>45714.72241898148</v>
      </c>
      <c r="C490" s="1" t="n">
        <v>45937</v>
      </c>
      <c r="D490" t="inlineStr">
        <is>
          <t>SKÅNE LÄN</t>
        </is>
      </c>
      <c r="E490" t="inlineStr">
        <is>
          <t>HÄSSLEHOLM</t>
        </is>
      </c>
      <c r="G490" t="n">
        <v>2.6</v>
      </c>
      <c r="H490" t="n">
        <v>0</v>
      </c>
      <c r="I490" t="n">
        <v>0</v>
      </c>
      <c r="J490" t="n">
        <v>0</v>
      </c>
      <c r="K490" t="n">
        <v>0</v>
      </c>
      <c r="L490" t="n">
        <v>0</v>
      </c>
      <c r="M490" t="n">
        <v>0</v>
      </c>
      <c r="N490" t="n">
        <v>0</v>
      </c>
      <c r="O490" t="n">
        <v>0</v>
      </c>
      <c r="P490" t="n">
        <v>0</v>
      </c>
      <c r="Q490" t="n">
        <v>0</v>
      </c>
      <c r="R490" s="2" t="inlineStr"/>
    </row>
    <row r="491" ht="15" customHeight="1">
      <c r="A491" t="inlineStr">
        <is>
          <t>A 7681-2025</t>
        </is>
      </c>
      <c r="B491" s="1" t="n">
        <v>45706.36758101852</v>
      </c>
      <c r="C491" s="1" t="n">
        <v>45937</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35150-2023</t>
        </is>
      </c>
      <c r="B492" s="1" t="n">
        <v>45145</v>
      </c>
      <c r="C492" s="1" t="n">
        <v>45937</v>
      </c>
      <c r="D492" t="inlineStr">
        <is>
          <t>SKÅNE LÄN</t>
        </is>
      </c>
      <c r="E492" t="inlineStr">
        <is>
          <t>HÄSSLEHOLM</t>
        </is>
      </c>
      <c r="G492" t="n">
        <v>4.9</v>
      </c>
      <c r="H492" t="n">
        <v>0</v>
      </c>
      <c r="I492" t="n">
        <v>0</v>
      </c>
      <c r="J492" t="n">
        <v>0</v>
      </c>
      <c r="K492" t="n">
        <v>0</v>
      </c>
      <c r="L492" t="n">
        <v>0</v>
      </c>
      <c r="M492" t="n">
        <v>0</v>
      </c>
      <c r="N492" t="n">
        <v>0</v>
      </c>
      <c r="O492" t="n">
        <v>0</v>
      </c>
      <c r="P492" t="n">
        <v>0</v>
      </c>
      <c r="Q492" t="n">
        <v>0</v>
      </c>
      <c r="R492" s="2" t="inlineStr"/>
    </row>
    <row r="493" ht="15" customHeight="1">
      <c r="A493" t="inlineStr">
        <is>
          <t>A 24032-2025</t>
        </is>
      </c>
      <c r="B493" s="1" t="n">
        <v>45796.478125</v>
      </c>
      <c r="C493" s="1" t="n">
        <v>45937</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37300-2023</t>
        </is>
      </c>
      <c r="B494" s="1" t="n">
        <v>45156</v>
      </c>
      <c r="C494" s="1" t="n">
        <v>45937</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12780-2024</t>
        </is>
      </c>
      <c r="B495" s="1" t="n">
        <v>45384.59726851852</v>
      </c>
      <c r="C495" s="1" t="n">
        <v>45937</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5252-2025</t>
        </is>
      </c>
      <c r="B496" s="1" t="n">
        <v>45692.3449537037</v>
      </c>
      <c r="C496" s="1" t="n">
        <v>45937</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24047-2025</t>
        </is>
      </c>
      <c r="B497" s="1" t="n">
        <v>45796.49528935185</v>
      </c>
      <c r="C497" s="1" t="n">
        <v>45937</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12507-2022</t>
        </is>
      </c>
      <c r="B498" s="1" t="n">
        <v>44638</v>
      </c>
      <c r="C498" s="1" t="n">
        <v>45937</v>
      </c>
      <c r="D498" t="inlineStr">
        <is>
          <t>SKÅNE LÄN</t>
        </is>
      </c>
      <c r="E498" t="inlineStr">
        <is>
          <t>HÄSSLEHOLM</t>
        </is>
      </c>
      <c r="G498" t="n">
        <v>2.7</v>
      </c>
      <c r="H498" t="n">
        <v>0</v>
      </c>
      <c r="I498" t="n">
        <v>0</v>
      </c>
      <c r="J498" t="n">
        <v>0</v>
      </c>
      <c r="K498" t="n">
        <v>0</v>
      </c>
      <c r="L498" t="n">
        <v>0</v>
      </c>
      <c r="M498" t="n">
        <v>0</v>
      </c>
      <c r="N498" t="n">
        <v>0</v>
      </c>
      <c r="O498" t="n">
        <v>0</v>
      </c>
      <c r="P498" t="n">
        <v>0</v>
      </c>
      <c r="Q498" t="n">
        <v>0</v>
      </c>
      <c r="R498" s="2" t="inlineStr"/>
    </row>
    <row r="499" ht="15" customHeight="1">
      <c r="A499" t="inlineStr">
        <is>
          <t>A 39915-2023</t>
        </is>
      </c>
      <c r="B499" s="1" t="n">
        <v>45168.4684375</v>
      </c>
      <c r="C499" s="1" t="n">
        <v>45937</v>
      </c>
      <c r="D499" t="inlineStr">
        <is>
          <t>SKÅNE LÄN</t>
        </is>
      </c>
      <c r="E499" t="inlineStr">
        <is>
          <t>HÄSSLEHOLM</t>
        </is>
      </c>
      <c r="G499" t="n">
        <v>0.4</v>
      </c>
      <c r="H499" t="n">
        <v>0</v>
      </c>
      <c r="I499" t="n">
        <v>0</v>
      </c>
      <c r="J499" t="n">
        <v>0</v>
      </c>
      <c r="K499" t="n">
        <v>0</v>
      </c>
      <c r="L499" t="n">
        <v>0</v>
      </c>
      <c r="M499" t="n">
        <v>0</v>
      </c>
      <c r="N499" t="n">
        <v>0</v>
      </c>
      <c r="O499" t="n">
        <v>0</v>
      </c>
      <c r="P499" t="n">
        <v>0</v>
      </c>
      <c r="Q499" t="n">
        <v>0</v>
      </c>
      <c r="R499" s="2" t="inlineStr"/>
    </row>
    <row r="500" ht="15" customHeight="1">
      <c r="A500" t="inlineStr">
        <is>
          <t>A 28457-2024</t>
        </is>
      </c>
      <c r="B500" s="1" t="n">
        <v>45477.68884259259</v>
      </c>
      <c r="C500" s="1" t="n">
        <v>45937</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60789-2024</t>
        </is>
      </c>
      <c r="B501" s="1" t="n">
        <v>45644</v>
      </c>
      <c r="C501" s="1" t="n">
        <v>45937</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10594-2025</t>
        </is>
      </c>
      <c r="B502" s="1" t="n">
        <v>45721</v>
      </c>
      <c r="C502" s="1" t="n">
        <v>45937</v>
      </c>
      <c r="D502" t="inlineStr">
        <is>
          <t>SKÅNE LÄN</t>
        </is>
      </c>
      <c r="E502" t="inlineStr">
        <is>
          <t>HÄSSLEHOLM</t>
        </is>
      </c>
      <c r="G502" t="n">
        <v>5.3</v>
      </c>
      <c r="H502" t="n">
        <v>0</v>
      </c>
      <c r="I502" t="n">
        <v>0</v>
      </c>
      <c r="J502" t="n">
        <v>0</v>
      </c>
      <c r="K502" t="n">
        <v>0</v>
      </c>
      <c r="L502" t="n">
        <v>0</v>
      </c>
      <c r="M502" t="n">
        <v>0</v>
      </c>
      <c r="N502" t="n">
        <v>0</v>
      </c>
      <c r="O502" t="n">
        <v>0</v>
      </c>
      <c r="P502" t="n">
        <v>0</v>
      </c>
      <c r="Q502" t="n">
        <v>0</v>
      </c>
      <c r="R502" s="2" t="inlineStr"/>
    </row>
    <row r="503" ht="15" customHeight="1">
      <c r="A503" t="inlineStr">
        <is>
          <t>A 24029-2025</t>
        </is>
      </c>
      <c r="B503" s="1" t="n">
        <v>45796.47552083333</v>
      </c>
      <c r="C503" s="1" t="n">
        <v>45937</v>
      </c>
      <c r="D503" t="inlineStr">
        <is>
          <t>SKÅNE LÄN</t>
        </is>
      </c>
      <c r="E503" t="inlineStr">
        <is>
          <t>HÄSSLEHOLM</t>
        </is>
      </c>
      <c r="G503" t="n">
        <v>0.9</v>
      </c>
      <c r="H503" t="n">
        <v>0</v>
      </c>
      <c r="I503" t="n">
        <v>0</v>
      </c>
      <c r="J503" t="n">
        <v>0</v>
      </c>
      <c r="K503" t="n">
        <v>0</v>
      </c>
      <c r="L503" t="n">
        <v>0</v>
      </c>
      <c r="M503" t="n">
        <v>0</v>
      </c>
      <c r="N503" t="n">
        <v>0</v>
      </c>
      <c r="O503" t="n">
        <v>0</v>
      </c>
      <c r="P503" t="n">
        <v>0</v>
      </c>
      <c r="Q503" t="n">
        <v>0</v>
      </c>
      <c r="R503" s="2" t="inlineStr"/>
    </row>
    <row r="504" ht="15" customHeight="1">
      <c r="A504" t="inlineStr">
        <is>
          <t>A 22690-2022</t>
        </is>
      </c>
      <c r="B504" s="1" t="n">
        <v>44714.5421875</v>
      </c>
      <c r="C504" s="1" t="n">
        <v>45937</v>
      </c>
      <c r="D504" t="inlineStr">
        <is>
          <t>SKÅNE LÄN</t>
        </is>
      </c>
      <c r="E504" t="inlineStr">
        <is>
          <t>HÄSSLEHOLM</t>
        </is>
      </c>
      <c r="G504" t="n">
        <v>1.7</v>
      </c>
      <c r="H504" t="n">
        <v>0</v>
      </c>
      <c r="I504" t="n">
        <v>0</v>
      </c>
      <c r="J504" t="n">
        <v>0</v>
      </c>
      <c r="K504" t="n">
        <v>0</v>
      </c>
      <c r="L504" t="n">
        <v>0</v>
      </c>
      <c r="M504" t="n">
        <v>0</v>
      </c>
      <c r="N504" t="n">
        <v>0</v>
      </c>
      <c r="O504" t="n">
        <v>0</v>
      </c>
      <c r="P504" t="n">
        <v>0</v>
      </c>
      <c r="Q504" t="n">
        <v>0</v>
      </c>
      <c r="R504" s="2" t="inlineStr"/>
    </row>
    <row r="505" ht="15" customHeight="1">
      <c r="A505" t="inlineStr">
        <is>
          <t>A 22594-2024</t>
        </is>
      </c>
      <c r="B505" s="1" t="n">
        <v>45447.60892361111</v>
      </c>
      <c r="C505" s="1" t="n">
        <v>45937</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55056-2021</t>
        </is>
      </c>
      <c r="B506" s="1" t="n">
        <v>44474.62072916667</v>
      </c>
      <c r="C506" s="1" t="n">
        <v>45937</v>
      </c>
      <c r="D506" t="inlineStr">
        <is>
          <t>SKÅNE LÄN</t>
        </is>
      </c>
      <c r="E506" t="inlineStr">
        <is>
          <t>HÄSSLEHOLM</t>
        </is>
      </c>
      <c r="G506" t="n">
        <v>2.5</v>
      </c>
      <c r="H506" t="n">
        <v>0</v>
      </c>
      <c r="I506" t="n">
        <v>0</v>
      </c>
      <c r="J506" t="n">
        <v>0</v>
      </c>
      <c r="K506" t="n">
        <v>0</v>
      </c>
      <c r="L506" t="n">
        <v>0</v>
      </c>
      <c r="M506" t="n">
        <v>0</v>
      </c>
      <c r="N506" t="n">
        <v>0</v>
      </c>
      <c r="O506" t="n">
        <v>0</v>
      </c>
      <c r="P506" t="n">
        <v>0</v>
      </c>
      <c r="Q506" t="n">
        <v>0</v>
      </c>
      <c r="R506" s="2" t="inlineStr"/>
    </row>
    <row r="507" ht="15" customHeight="1">
      <c r="A507" t="inlineStr">
        <is>
          <t>A 35890-2023</t>
        </is>
      </c>
      <c r="B507" s="1" t="n">
        <v>45148</v>
      </c>
      <c r="C507" s="1" t="n">
        <v>45937</v>
      </c>
      <c r="D507" t="inlineStr">
        <is>
          <t>SKÅNE LÄN</t>
        </is>
      </c>
      <c r="E507" t="inlineStr">
        <is>
          <t>HÄSSLEHOLM</t>
        </is>
      </c>
      <c r="G507" t="n">
        <v>2</v>
      </c>
      <c r="H507" t="n">
        <v>0</v>
      </c>
      <c r="I507" t="n">
        <v>0</v>
      </c>
      <c r="J507" t="n">
        <v>0</v>
      </c>
      <c r="K507" t="n">
        <v>0</v>
      </c>
      <c r="L507" t="n">
        <v>0</v>
      </c>
      <c r="M507" t="n">
        <v>0</v>
      </c>
      <c r="N507" t="n">
        <v>0</v>
      </c>
      <c r="O507" t="n">
        <v>0</v>
      </c>
      <c r="P507" t="n">
        <v>0</v>
      </c>
      <c r="Q507" t="n">
        <v>0</v>
      </c>
      <c r="R507" s="2" t="inlineStr"/>
    </row>
    <row r="508" ht="15" customHeight="1">
      <c r="A508" t="inlineStr">
        <is>
          <t>A 35895-2023</t>
        </is>
      </c>
      <c r="B508" s="1" t="n">
        <v>45148</v>
      </c>
      <c r="C508" s="1" t="n">
        <v>45937</v>
      </c>
      <c r="D508" t="inlineStr">
        <is>
          <t>SKÅNE LÄN</t>
        </is>
      </c>
      <c r="E508" t="inlineStr">
        <is>
          <t>HÄSSLEHOLM</t>
        </is>
      </c>
      <c r="G508" t="n">
        <v>0.4</v>
      </c>
      <c r="H508" t="n">
        <v>0</v>
      </c>
      <c r="I508" t="n">
        <v>0</v>
      </c>
      <c r="J508" t="n">
        <v>0</v>
      </c>
      <c r="K508" t="n">
        <v>0</v>
      </c>
      <c r="L508" t="n">
        <v>0</v>
      </c>
      <c r="M508" t="n">
        <v>0</v>
      </c>
      <c r="N508" t="n">
        <v>0</v>
      </c>
      <c r="O508" t="n">
        <v>0</v>
      </c>
      <c r="P508" t="n">
        <v>0</v>
      </c>
      <c r="Q508" t="n">
        <v>0</v>
      </c>
      <c r="R508" s="2" t="inlineStr"/>
    </row>
    <row r="509" ht="15" customHeight="1">
      <c r="A509" t="inlineStr">
        <is>
          <t>A 57079-2022</t>
        </is>
      </c>
      <c r="B509" s="1" t="n">
        <v>44895</v>
      </c>
      <c r="C509" s="1" t="n">
        <v>45937</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24675-2025</t>
        </is>
      </c>
      <c r="B510" s="1" t="n">
        <v>45798.653125</v>
      </c>
      <c r="C510" s="1" t="n">
        <v>45937</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4042-2023</t>
        </is>
      </c>
      <c r="B511" s="1" t="n">
        <v>44952.59950231481</v>
      </c>
      <c r="C511" s="1" t="n">
        <v>45937</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10562-2025</t>
        </is>
      </c>
      <c r="B512" s="1" t="n">
        <v>45721.52913194444</v>
      </c>
      <c r="C512" s="1" t="n">
        <v>45937</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3123-2023</t>
        </is>
      </c>
      <c r="B513" s="1" t="n">
        <v>44946.4925</v>
      </c>
      <c r="C513" s="1" t="n">
        <v>45937</v>
      </c>
      <c r="D513" t="inlineStr">
        <is>
          <t>SKÅNE LÄN</t>
        </is>
      </c>
      <c r="E513" t="inlineStr">
        <is>
          <t>HÄSSLEHOLM</t>
        </is>
      </c>
      <c r="G513" t="n">
        <v>3.5</v>
      </c>
      <c r="H513" t="n">
        <v>0</v>
      </c>
      <c r="I513" t="n">
        <v>0</v>
      </c>
      <c r="J513" t="n">
        <v>0</v>
      </c>
      <c r="K513" t="n">
        <v>0</v>
      </c>
      <c r="L513" t="n">
        <v>0</v>
      </c>
      <c r="M513" t="n">
        <v>0</v>
      </c>
      <c r="N513" t="n">
        <v>0</v>
      </c>
      <c r="O513" t="n">
        <v>0</v>
      </c>
      <c r="P513" t="n">
        <v>0</v>
      </c>
      <c r="Q513" t="n">
        <v>0</v>
      </c>
      <c r="R513" s="2" t="inlineStr"/>
    </row>
    <row r="514" ht="15" customHeight="1">
      <c r="A514" t="inlineStr">
        <is>
          <t>A 3126-2023</t>
        </is>
      </c>
      <c r="B514" s="1" t="n">
        <v>44946.49570601852</v>
      </c>
      <c r="C514" s="1" t="n">
        <v>45937</v>
      </c>
      <c r="D514" t="inlineStr">
        <is>
          <t>SKÅNE LÄN</t>
        </is>
      </c>
      <c r="E514" t="inlineStr">
        <is>
          <t>HÄSSLEHOLM</t>
        </is>
      </c>
      <c r="G514" t="n">
        <v>2.2</v>
      </c>
      <c r="H514" t="n">
        <v>0</v>
      </c>
      <c r="I514" t="n">
        <v>0</v>
      </c>
      <c r="J514" t="n">
        <v>0</v>
      </c>
      <c r="K514" t="n">
        <v>0</v>
      </c>
      <c r="L514" t="n">
        <v>0</v>
      </c>
      <c r="M514" t="n">
        <v>0</v>
      </c>
      <c r="N514" t="n">
        <v>0</v>
      </c>
      <c r="O514" t="n">
        <v>0</v>
      </c>
      <c r="P514" t="n">
        <v>0</v>
      </c>
      <c r="Q514" t="n">
        <v>0</v>
      </c>
      <c r="R514" s="2" t="inlineStr"/>
    </row>
    <row r="515" ht="15" customHeight="1">
      <c r="A515" t="inlineStr">
        <is>
          <t>A 61498-2022</t>
        </is>
      </c>
      <c r="B515" s="1" t="n">
        <v>44910</v>
      </c>
      <c r="C515" s="1" t="n">
        <v>45937</v>
      </c>
      <c r="D515" t="inlineStr">
        <is>
          <t>SKÅNE LÄN</t>
        </is>
      </c>
      <c r="E515" t="inlineStr">
        <is>
          <t>HÄSSLEHOLM</t>
        </is>
      </c>
      <c r="F515" t="inlineStr">
        <is>
          <t>Kyrkan</t>
        </is>
      </c>
      <c r="G515" t="n">
        <v>3.2</v>
      </c>
      <c r="H515" t="n">
        <v>0</v>
      </c>
      <c r="I515" t="n">
        <v>0</v>
      </c>
      <c r="J515" t="n">
        <v>0</v>
      </c>
      <c r="K515" t="n">
        <v>0</v>
      </c>
      <c r="L515" t="n">
        <v>0</v>
      </c>
      <c r="M515" t="n">
        <v>0</v>
      </c>
      <c r="N515" t="n">
        <v>0</v>
      </c>
      <c r="O515" t="n">
        <v>0</v>
      </c>
      <c r="P515" t="n">
        <v>0</v>
      </c>
      <c r="Q515" t="n">
        <v>0</v>
      </c>
      <c r="R515" s="2" t="inlineStr"/>
    </row>
    <row r="516" ht="15" customHeight="1">
      <c r="A516" t="inlineStr">
        <is>
          <t>A 15417-2022</t>
        </is>
      </c>
      <c r="B516" s="1" t="n">
        <v>44659</v>
      </c>
      <c r="C516" s="1" t="n">
        <v>45937</v>
      </c>
      <c r="D516" t="inlineStr">
        <is>
          <t>SKÅNE LÄN</t>
        </is>
      </c>
      <c r="E516" t="inlineStr">
        <is>
          <t>HÄSSLEHOLM</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32512-2024</t>
        </is>
      </c>
      <c r="B517" s="1" t="n">
        <v>45513.45613425926</v>
      </c>
      <c r="C517" s="1" t="n">
        <v>45937</v>
      </c>
      <c r="D517" t="inlineStr">
        <is>
          <t>SKÅNE LÄN</t>
        </is>
      </c>
      <c r="E517" t="inlineStr">
        <is>
          <t>HÄSSLEHOLM</t>
        </is>
      </c>
      <c r="G517" t="n">
        <v>1.8</v>
      </c>
      <c r="H517" t="n">
        <v>0</v>
      </c>
      <c r="I517" t="n">
        <v>0</v>
      </c>
      <c r="J517" t="n">
        <v>0</v>
      </c>
      <c r="K517" t="n">
        <v>0</v>
      </c>
      <c r="L517" t="n">
        <v>0</v>
      </c>
      <c r="M517" t="n">
        <v>0</v>
      </c>
      <c r="N517" t="n">
        <v>0</v>
      </c>
      <c r="O517" t="n">
        <v>0</v>
      </c>
      <c r="P517" t="n">
        <v>0</v>
      </c>
      <c r="Q517" t="n">
        <v>0</v>
      </c>
      <c r="R517" s="2" t="inlineStr"/>
    </row>
    <row r="518" ht="15" customHeight="1">
      <c r="A518" t="inlineStr">
        <is>
          <t>A 25213-2023</t>
        </is>
      </c>
      <c r="B518" s="1" t="n">
        <v>45086.60010416667</v>
      </c>
      <c r="C518" s="1" t="n">
        <v>45937</v>
      </c>
      <c r="D518" t="inlineStr">
        <is>
          <t>SKÅNE LÄN</t>
        </is>
      </c>
      <c r="E518" t="inlineStr">
        <is>
          <t>HÄSSLEHOLM</t>
        </is>
      </c>
      <c r="G518" t="n">
        <v>7.2</v>
      </c>
      <c r="H518" t="n">
        <v>0</v>
      </c>
      <c r="I518" t="n">
        <v>0</v>
      </c>
      <c r="J518" t="n">
        <v>0</v>
      </c>
      <c r="K518" t="n">
        <v>0</v>
      </c>
      <c r="L518" t="n">
        <v>0</v>
      </c>
      <c r="M518" t="n">
        <v>0</v>
      </c>
      <c r="N518" t="n">
        <v>0</v>
      </c>
      <c r="O518" t="n">
        <v>0</v>
      </c>
      <c r="P518" t="n">
        <v>0</v>
      </c>
      <c r="Q518" t="n">
        <v>0</v>
      </c>
      <c r="R518" s="2" t="inlineStr"/>
    </row>
    <row r="519" ht="15" customHeight="1">
      <c r="A519" t="inlineStr">
        <is>
          <t>A 4750-2024</t>
        </is>
      </c>
      <c r="B519" s="1" t="n">
        <v>45328</v>
      </c>
      <c r="C519" s="1" t="n">
        <v>45937</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36240-2023</t>
        </is>
      </c>
      <c r="B520" s="1" t="n">
        <v>45150.89295138889</v>
      </c>
      <c r="C520" s="1" t="n">
        <v>45937</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23956-2023</t>
        </is>
      </c>
      <c r="B521" s="1" t="n">
        <v>45078.62302083334</v>
      </c>
      <c r="C521" s="1" t="n">
        <v>45937</v>
      </c>
      <c r="D521" t="inlineStr">
        <is>
          <t>SKÅNE LÄN</t>
        </is>
      </c>
      <c r="E521" t="inlineStr">
        <is>
          <t>HÄSSLEHOLM</t>
        </is>
      </c>
      <c r="G521" t="n">
        <v>0.1</v>
      </c>
      <c r="H521" t="n">
        <v>0</v>
      </c>
      <c r="I521" t="n">
        <v>0</v>
      </c>
      <c r="J521" t="n">
        <v>0</v>
      </c>
      <c r="K521" t="n">
        <v>0</v>
      </c>
      <c r="L521" t="n">
        <v>0</v>
      </c>
      <c r="M521" t="n">
        <v>0</v>
      </c>
      <c r="N521" t="n">
        <v>0</v>
      </c>
      <c r="O521" t="n">
        <v>0</v>
      </c>
      <c r="P521" t="n">
        <v>0</v>
      </c>
      <c r="Q521" t="n">
        <v>0</v>
      </c>
      <c r="R521" s="2" t="inlineStr"/>
    </row>
    <row r="522" ht="15" customHeight="1">
      <c r="A522" t="inlineStr">
        <is>
          <t>A 51287-2022</t>
        </is>
      </c>
      <c r="B522" s="1" t="n">
        <v>44868.83146990741</v>
      </c>
      <c r="C522" s="1" t="n">
        <v>45937</v>
      </c>
      <c r="D522" t="inlineStr">
        <is>
          <t>SKÅNE LÄN</t>
        </is>
      </c>
      <c r="E522" t="inlineStr">
        <is>
          <t>HÄSSLEHOLM</t>
        </is>
      </c>
      <c r="G522" t="n">
        <v>2.2</v>
      </c>
      <c r="H522" t="n">
        <v>0</v>
      </c>
      <c r="I522" t="n">
        <v>0</v>
      </c>
      <c r="J522" t="n">
        <v>0</v>
      </c>
      <c r="K522" t="n">
        <v>0</v>
      </c>
      <c r="L522" t="n">
        <v>0</v>
      </c>
      <c r="M522" t="n">
        <v>0</v>
      </c>
      <c r="N522" t="n">
        <v>0</v>
      </c>
      <c r="O522" t="n">
        <v>0</v>
      </c>
      <c r="P522" t="n">
        <v>0</v>
      </c>
      <c r="Q522" t="n">
        <v>0</v>
      </c>
      <c r="R522" s="2" t="inlineStr"/>
    </row>
    <row r="523" ht="15" customHeight="1">
      <c r="A523" t="inlineStr">
        <is>
          <t>A 55522-2024</t>
        </is>
      </c>
      <c r="B523" s="1" t="n">
        <v>45622</v>
      </c>
      <c r="C523" s="1" t="n">
        <v>45937</v>
      </c>
      <c r="D523" t="inlineStr">
        <is>
          <t>SKÅNE LÄN</t>
        </is>
      </c>
      <c r="E523" t="inlineStr">
        <is>
          <t>HÄSSLEHOLM</t>
        </is>
      </c>
      <c r="G523" t="n">
        <v>5.6</v>
      </c>
      <c r="H523" t="n">
        <v>0</v>
      </c>
      <c r="I523" t="n">
        <v>0</v>
      </c>
      <c r="J523" t="n">
        <v>0</v>
      </c>
      <c r="K523" t="n">
        <v>0</v>
      </c>
      <c r="L523" t="n">
        <v>0</v>
      </c>
      <c r="M523" t="n">
        <v>0</v>
      </c>
      <c r="N523" t="n">
        <v>0</v>
      </c>
      <c r="O523" t="n">
        <v>0</v>
      </c>
      <c r="P523" t="n">
        <v>0</v>
      </c>
      <c r="Q523" t="n">
        <v>0</v>
      </c>
      <c r="R523" s="2" t="inlineStr"/>
    </row>
    <row r="524" ht="15" customHeight="1">
      <c r="A524" t="inlineStr">
        <is>
          <t>A 20564-2023</t>
        </is>
      </c>
      <c r="B524" s="1" t="n">
        <v>45057</v>
      </c>
      <c r="C524" s="1" t="n">
        <v>45937</v>
      </c>
      <c r="D524" t="inlineStr">
        <is>
          <t>SKÅNE LÄN</t>
        </is>
      </c>
      <c r="E524" t="inlineStr">
        <is>
          <t>HÄSSLEHOLM</t>
        </is>
      </c>
      <c r="G524" t="n">
        <v>2.6</v>
      </c>
      <c r="H524" t="n">
        <v>0</v>
      </c>
      <c r="I524" t="n">
        <v>0</v>
      </c>
      <c r="J524" t="n">
        <v>0</v>
      </c>
      <c r="K524" t="n">
        <v>0</v>
      </c>
      <c r="L524" t="n">
        <v>0</v>
      </c>
      <c r="M524" t="n">
        <v>0</v>
      </c>
      <c r="N524" t="n">
        <v>0</v>
      </c>
      <c r="O524" t="n">
        <v>0</v>
      </c>
      <c r="P524" t="n">
        <v>0</v>
      </c>
      <c r="Q524" t="n">
        <v>0</v>
      </c>
      <c r="R524" s="2" t="inlineStr"/>
    </row>
    <row r="525" ht="15" customHeight="1">
      <c r="A525" t="inlineStr">
        <is>
          <t>A 11708-2025</t>
        </is>
      </c>
      <c r="B525" s="1" t="n">
        <v>45727.58626157408</v>
      </c>
      <c r="C525" s="1" t="n">
        <v>45937</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5242-2025</t>
        </is>
      </c>
      <c r="B526" s="1" t="n">
        <v>45692.32883101852</v>
      </c>
      <c r="C526" s="1" t="n">
        <v>45937</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41694-2024</t>
        </is>
      </c>
      <c r="B527" s="1" t="n">
        <v>45560.68341435185</v>
      </c>
      <c r="C527" s="1" t="n">
        <v>45937</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47757-2024</t>
        </is>
      </c>
      <c r="B528" s="1" t="n">
        <v>45588.55075231481</v>
      </c>
      <c r="C528" s="1" t="n">
        <v>45937</v>
      </c>
      <c r="D528" t="inlineStr">
        <is>
          <t>SKÅNE LÄN</t>
        </is>
      </c>
      <c r="E528" t="inlineStr">
        <is>
          <t>HÄSSLEHOLM</t>
        </is>
      </c>
      <c r="G528" t="n">
        <v>5.5</v>
      </c>
      <c r="H528" t="n">
        <v>0</v>
      </c>
      <c r="I528" t="n">
        <v>0</v>
      </c>
      <c r="J528" t="n">
        <v>0</v>
      </c>
      <c r="K528" t="n">
        <v>0</v>
      </c>
      <c r="L528" t="n">
        <v>0</v>
      </c>
      <c r="M528" t="n">
        <v>0</v>
      </c>
      <c r="N528" t="n">
        <v>0</v>
      </c>
      <c r="O528" t="n">
        <v>0</v>
      </c>
      <c r="P528" t="n">
        <v>0</v>
      </c>
      <c r="Q528" t="n">
        <v>0</v>
      </c>
      <c r="R528" s="2" t="inlineStr"/>
    </row>
    <row r="529" ht="15" customHeight="1">
      <c r="A529" t="inlineStr">
        <is>
          <t>A 42735-2024</t>
        </is>
      </c>
      <c r="B529" s="1" t="n">
        <v>45566.47274305556</v>
      </c>
      <c r="C529" s="1" t="n">
        <v>45937</v>
      </c>
      <c r="D529" t="inlineStr">
        <is>
          <t>SKÅNE LÄN</t>
        </is>
      </c>
      <c r="E529" t="inlineStr">
        <is>
          <t>HÄSSLEHOLM</t>
        </is>
      </c>
      <c r="G529" t="n">
        <v>3.7</v>
      </c>
      <c r="H529" t="n">
        <v>0</v>
      </c>
      <c r="I529" t="n">
        <v>0</v>
      </c>
      <c r="J529" t="n">
        <v>0</v>
      </c>
      <c r="K529" t="n">
        <v>0</v>
      </c>
      <c r="L529" t="n">
        <v>0</v>
      </c>
      <c r="M529" t="n">
        <v>0</v>
      </c>
      <c r="N529" t="n">
        <v>0</v>
      </c>
      <c r="O529" t="n">
        <v>0</v>
      </c>
      <c r="P529" t="n">
        <v>0</v>
      </c>
      <c r="Q529" t="n">
        <v>0</v>
      </c>
      <c r="R529" s="2" t="inlineStr"/>
    </row>
    <row r="530" ht="15" customHeight="1">
      <c r="A530" t="inlineStr">
        <is>
          <t>A 48112-2024</t>
        </is>
      </c>
      <c r="B530" s="1" t="n">
        <v>45589.6295949074</v>
      </c>
      <c r="C530" s="1" t="n">
        <v>45937</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24658-2025</t>
        </is>
      </c>
      <c r="B531" s="1" t="n">
        <v>45798.64134259259</v>
      </c>
      <c r="C531" s="1" t="n">
        <v>45937</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2663-2023</t>
        </is>
      </c>
      <c r="B532" s="1" t="n">
        <v>44942</v>
      </c>
      <c r="C532" s="1" t="n">
        <v>45937</v>
      </c>
      <c r="D532" t="inlineStr">
        <is>
          <t>SKÅNE LÄN</t>
        </is>
      </c>
      <c r="E532" t="inlineStr">
        <is>
          <t>HÄSSLEHOLM</t>
        </is>
      </c>
      <c r="F532" t="inlineStr">
        <is>
          <t>Kyrkan</t>
        </is>
      </c>
      <c r="G532" t="n">
        <v>0.8</v>
      </c>
      <c r="H532" t="n">
        <v>0</v>
      </c>
      <c r="I532" t="n">
        <v>0</v>
      </c>
      <c r="J532" t="n">
        <v>0</v>
      </c>
      <c r="K532" t="n">
        <v>0</v>
      </c>
      <c r="L532" t="n">
        <v>0</v>
      </c>
      <c r="M532" t="n">
        <v>0</v>
      </c>
      <c r="N532" t="n">
        <v>0</v>
      </c>
      <c r="O532" t="n">
        <v>0</v>
      </c>
      <c r="P532" t="n">
        <v>0</v>
      </c>
      <c r="Q532" t="n">
        <v>0</v>
      </c>
      <c r="R532" s="2" t="inlineStr"/>
    </row>
    <row r="533" ht="15" customHeight="1">
      <c r="A533" t="inlineStr">
        <is>
          <t>A 24250-2025</t>
        </is>
      </c>
      <c r="B533" s="1" t="n">
        <v>45797.40260416667</v>
      </c>
      <c r="C533" s="1" t="n">
        <v>45937</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24865-2024</t>
        </is>
      </c>
      <c r="B534" s="1" t="n">
        <v>45461.48974537037</v>
      </c>
      <c r="C534" s="1" t="n">
        <v>45937</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3925-2021</t>
        </is>
      </c>
      <c r="B535" s="1" t="n">
        <v>44222</v>
      </c>
      <c r="C535" s="1" t="n">
        <v>45937</v>
      </c>
      <c r="D535" t="inlineStr">
        <is>
          <t>SKÅNE LÄN</t>
        </is>
      </c>
      <c r="E535" t="inlineStr">
        <is>
          <t>HÄSSLEHOLM</t>
        </is>
      </c>
      <c r="G535" t="n">
        <v>1.2</v>
      </c>
      <c r="H535" t="n">
        <v>0</v>
      </c>
      <c r="I535" t="n">
        <v>0</v>
      </c>
      <c r="J535" t="n">
        <v>0</v>
      </c>
      <c r="K535" t="n">
        <v>0</v>
      </c>
      <c r="L535" t="n">
        <v>0</v>
      </c>
      <c r="M535" t="n">
        <v>0</v>
      </c>
      <c r="N535" t="n">
        <v>0</v>
      </c>
      <c r="O535" t="n">
        <v>0</v>
      </c>
      <c r="P535" t="n">
        <v>0</v>
      </c>
      <c r="Q535" t="n">
        <v>0</v>
      </c>
      <c r="R535" s="2" t="inlineStr"/>
    </row>
    <row r="536" ht="15" customHeight="1">
      <c r="A536" t="inlineStr">
        <is>
          <t>A 32826-2024</t>
        </is>
      </c>
      <c r="B536" s="1" t="n">
        <v>45516.59056712963</v>
      </c>
      <c r="C536" s="1" t="n">
        <v>45937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7192-2025</t>
        </is>
      </c>
      <c r="B537" s="1" t="n">
        <v>45702.44746527778</v>
      </c>
      <c r="C537" s="1" t="n">
        <v>45937</v>
      </c>
      <c r="D537" t="inlineStr">
        <is>
          <t>SKÅNE LÄN</t>
        </is>
      </c>
      <c r="E537" t="inlineStr">
        <is>
          <t>HÄSSLEHOLM</t>
        </is>
      </c>
      <c r="G537" t="n">
        <v>1.2</v>
      </c>
      <c r="H537" t="n">
        <v>0</v>
      </c>
      <c r="I537" t="n">
        <v>0</v>
      </c>
      <c r="J537" t="n">
        <v>0</v>
      </c>
      <c r="K537" t="n">
        <v>0</v>
      </c>
      <c r="L537" t="n">
        <v>0</v>
      </c>
      <c r="M537" t="n">
        <v>0</v>
      </c>
      <c r="N537" t="n">
        <v>0</v>
      </c>
      <c r="O537" t="n">
        <v>0</v>
      </c>
      <c r="P537" t="n">
        <v>0</v>
      </c>
      <c r="Q537" t="n">
        <v>0</v>
      </c>
      <c r="R537" s="2" t="inlineStr"/>
    </row>
    <row r="538" ht="15" customHeight="1">
      <c r="A538" t="inlineStr">
        <is>
          <t>A 24985-2025</t>
        </is>
      </c>
      <c r="B538" s="1" t="n">
        <v>45799.60256944445</v>
      </c>
      <c r="C538" s="1" t="n">
        <v>45937</v>
      </c>
      <c r="D538" t="inlineStr">
        <is>
          <t>SKÅNE LÄN</t>
        </is>
      </c>
      <c r="E538" t="inlineStr">
        <is>
          <t>HÄSSLEHOLM</t>
        </is>
      </c>
      <c r="G538" t="n">
        <v>2.3</v>
      </c>
      <c r="H538" t="n">
        <v>0</v>
      </c>
      <c r="I538" t="n">
        <v>0</v>
      </c>
      <c r="J538" t="n">
        <v>0</v>
      </c>
      <c r="K538" t="n">
        <v>0</v>
      </c>
      <c r="L538" t="n">
        <v>0</v>
      </c>
      <c r="M538" t="n">
        <v>0</v>
      </c>
      <c r="N538" t="n">
        <v>0</v>
      </c>
      <c r="O538" t="n">
        <v>0</v>
      </c>
      <c r="P538" t="n">
        <v>0</v>
      </c>
      <c r="Q538" t="n">
        <v>0</v>
      </c>
      <c r="R538" s="2" t="inlineStr"/>
    </row>
    <row r="539" ht="15" customHeight="1">
      <c r="A539" t="inlineStr">
        <is>
          <t>A 27954-2022</t>
        </is>
      </c>
      <c r="B539" s="1" t="n">
        <v>44743</v>
      </c>
      <c r="C539" s="1" t="n">
        <v>45937</v>
      </c>
      <c r="D539" t="inlineStr">
        <is>
          <t>SKÅNE LÄN</t>
        </is>
      </c>
      <c r="E539" t="inlineStr">
        <is>
          <t>HÄSSLEHOLM</t>
        </is>
      </c>
      <c r="G539" t="n">
        <v>9.4</v>
      </c>
      <c r="H539" t="n">
        <v>0</v>
      </c>
      <c r="I539" t="n">
        <v>0</v>
      </c>
      <c r="J539" t="n">
        <v>0</v>
      </c>
      <c r="K539" t="n">
        <v>0</v>
      </c>
      <c r="L539" t="n">
        <v>0</v>
      </c>
      <c r="M539" t="n">
        <v>0</v>
      </c>
      <c r="N539" t="n">
        <v>0</v>
      </c>
      <c r="O539" t="n">
        <v>0</v>
      </c>
      <c r="P539" t="n">
        <v>0</v>
      </c>
      <c r="Q539" t="n">
        <v>0</v>
      </c>
      <c r="R539" s="2" t="inlineStr"/>
    </row>
    <row r="540" ht="15" customHeight="1">
      <c r="A540" t="inlineStr">
        <is>
          <t>A 27837-2024</t>
        </is>
      </c>
      <c r="B540" s="1" t="n">
        <v>45475</v>
      </c>
      <c r="C540" s="1" t="n">
        <v>45937</v>
      </c>
      <c r="D540" t="inlineStr">
        <is>
          <t>SKÅNE LÄN</t>
        </is>
      </c>
      <c r="E540" t="inlineStr">
        <is>
          <t>HÄSSLEHOLM</t>
        </is>
      </c>
      <c r="F540" t="inlineStr">
        <is>
          <t>Kommuner</t>
        </is>
      </c>
      <c r="G540" t="n">
        <v>2.3</v>
      </c>
      <c r="H540" t="n">
        <v>0</v>
      </c>
      <c r="I540" t="n">
        <v>0</v>
      </c>
      <c r="J540" t="n">
        <v>0</v>
      </c>
      <c r="K540" t="n">
        <v>0</v>
      </c>
      <c r="L540" t="n">
        <v>0</v>
      </c>
      <c r="M540" t="n">
        <v>0</v>
      </c>
      <c r="N540" t="n">
        <v>0</v>
      </c>
      <c r="O540" t="n">
        <v>0</v>
      </c>
      <c r="P540" t="n">
        <v>0</v>
      </c>
      <c r="Q540" t="n">
        <v>0</v>
      </c>
      <c r="R540" s="2" t="inlineStr"/>
    </row>
    <row r="541" ht="15" customHeight="1">
      <c r="A541" t="inlineStr">
        <is>
          <t>A 29659-2024</t>
        </is>
      </c>
      <c r="B541" s="1" t="n">
        <v>45484.92587962963</v>
      </c>
      <c r="C541" s="1" t="n">
        <v>45937</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33927-2021</t>
        </is>
      </c>
      <c r="B542" s="1" t="n">
        <v>44378</v>
      </c>
      <c r="C542" s="1" t="n">
        <v>45937</v>
      </c>
      <c r="D542" t="inlineStr">
        <is>
          <t>SKÅNE LÄN</t>
        </is>
      </c>
      <c r="E542" t="inlineStr">
        <is>
          <t>HÄSSLEHOLM</t>
        </is>
      </c>
      <c r="G542" t="n">
        <v>16.7</v>
      </c>
      <c r="H542" t="n">
        <v>0</v>
      </c>
      <c r="I542" t="n">
        <v>0</v>
      </c>
      <c r="J542" t="n">
        <v>0</v>
      </c>
      <c r="K542" t="n">
        <v>0</v>
      </c>
      <c r="L542" t="n">
        <v>0</v>
      </c>
      <c r="M542" t="n">
        <v>0</v>
      </c>
      <c r="N542" t="n">
        <v>0</v>
      </c>
      <c r="O542" t="n">
        <v>0</v>
      </c>
      <c r="P542" t="n">
        <v>0</v>
      </c>
      <c r="Q542" t="n">
        <v>0</v>
      </c>
      <c r="R542" s="2" t="inlineStr"/>
    </row>
    <row r="543" ht="15" customHeight="1">
      <c r="A543" t="inlineStr">
        <is>
          <t>A 1679-2022</t>
        </is>
      </c>
      <c r="B543" s="1" t="n">
        <v>44573</v>
      </c>
      <c r="C543" s="1" t="n">
        <v>45937</v>
      </c>
      <c r="D543" t="inlineStr">
        <is>
          <t>SKÅNE LÄN</t>
        </is>
      </c>
      <c r="E543" t="inlineStr">
        <is>
          <t>HÄSSLEHOLM</t>
        </is>
      </c>
      <c r="F543" t="inlineStr">
        <is>
          <t>Kyrkan</t>
        </is>
      </c>
      <c r="G543" t="n">
        <v>4.3</v>
      </c>
      <c r="H543" t="n">
        <v>0</v>
      </c>
      <c r="I543" t="n">
        <v>0</v>
      </c>
      <c r="J543" t="n">
        <v>0</v>
      </c>
      <c r="K543" t="n">
        <v>0</v>
      </c>
      <c r="L543" t="n">
        <v>0</v>
      </c>
      <c r="M543" t="n">
        <v>0</v>
      </c>
      <c r="N543" t="n">
        <v>0</v>
      </c>
      <c r="O543" t="n">
        <v>0</v>
      </c>
      <c r="P543" t="n">
        <v>0</v>
      </c>
      <c r="Q543" t="n">
        <v>0</v>
      </c>
      <c r="R543" s="2" t="inlineStr"/>
    </row>
    <row r="544" ht="15" customHeight="1">
      <c r="A544" t="inlineStr">
        <is>
          <t>A 25057-2024</t>
        </is>
      </c>
      <c r="B544" s="1" t="n">
        <v>45462</v>
      </c>
      <c r="C544" s="1" t="n">
        <v>45937</v>
      </c>
      <c r="D544" t="inlineStr">
        <is>
          <t>SKÅNE LÄN</t>
        </is>
      </c>
      <c r="E544" t="inlineStr">
        <is>
          <t>HÄSSLEHOLM</t>
        </is>
      </c>
      <c r="G544" t="n">
        <v>4.3</v>
      </c>
      <c r="H544" t="n">
        <v>0</v>
      </c>
      <c r="I544" t="n">
        <v>0</v>
      </c>
      <c r="J544" t="n">
        <v>0</v>
      </c>
      <c r="K544" t="n">
        <v>0</v>
      </c>
      <c r="L544" t="n">
        <v>0</v>
      </c>
      <c r="M544" t="n">
        <v>0</v>
      </c>
      <c r="N544" t="n">
        <v>0</v>
      </c>
      <c r="O544" t="n">
        <v>0</v>
      </c>
      <c r="P544" t="n">
        <v>0</v>
      </c>
      <c r="Q544" t="n">
        <v>0</v>
      </c>
      <c r="R544" s="2" t="inlineStr"/>
    </row>
    <row r="545" ht="15" customHeight="1">
      <c r="A545" t="inlineStr">
        <is>
          <t>A 9668-2025</t>
        </is>
      </c>
      <c r="B545" s="1" t="n">
        <v>45716.3278587963</v>
      </c>
      <c r="C545" s="1" t="n">
        <v>45937</v>
      </c>
      <c r="D545" t="inlineStr">
        <is>
          <t>SKÅNE LÄN</t>
        </is>
      </c>
      <c r="E545" t="inlineStr">
        <is>
          <t>HÄSSLEHOLM</t>
        </is>
      </c>
      <c r="G545" t="n">
        <v>1.2</v>
      </c>
      <c r="H545" t="n">
        <v>0</v>
      </c>
      <c r="I545" t="n">
        <v>0</v>
      </c>
      <c r="J545" t="n">
        <v>0</v>
      </c>
      <c r="K545" t="n">
        <v>0</v>
      </c>
      <c r="L545" t="n">
        <v>0</v>
      </c>
      <c r="M545" t="n">
        <v>0</v>
      </c>
      <c r="N545" t="n">
        <v>0</v>
      </c>
      <c r="O545" t="n">
        <v>0</v>
      </c>
      <c r="P545" t="n">
        <v>0</v>
      </c>
      <c r="Q545" t="n">
        <v>0</v>
      </c>
      <c r="R545" s="2" t="inlineStr"/>
    </row>
    <row r="546" ht="15" customHeight="1">
      <c r="A546" t="inlineStr">
        <is>
          <t>A 56158-2020</t>
        </is>
      </c>
      <c r="B546" s="1" t="n">
        <v>44133</v>
      </c>
      <c r="C546" s="1" t="n">
        <v>45937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45984-2021</t>
        </is>
      </c>
      <c r="B547" s="1" t="n">
        <v>44441</v>
      </c>
      <c r="C547" s="1" t="n">
        <v>45937</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259-2024</t>
        </is>
      </c>
      <c r="B548" s="1" t="n">
        <v>45294</v>
      </c>
      <c r="C548" s="1" t="n">
        <v>45937</v>
      </c>
      <c r="D548" t="inlineStr">
        <is>
          <t>SKÅNE LÄN</t>
        </is>
      </c>
      <c r="E548" t="inlineStr">
        <is>
          <t>HÄSSLEHOLM</t>
        </is>
      </c>
      <c r="G548" t="n">
        <v>8</v>
      </c>
      <c r="H548" t="n">
        <v>0</v>
      </c>
      <c r="I548" t="n">
        <v>0</v>
      </c>
      <c r="J548" t="n">
        <v>0</v>
      </c>
      <c r="K548" t="n">
        <v>0</v>
      </c>
      <c r="L548" t="n">
        <v>0</v>
      </c>
      <c r="M548" t="n">
        <v>0</v>
      </c>
      <c r="N548" t="n">
        <v>0</v>
      </c>
      <c r="O548" t="n">
        <v>0</v>
      </c>
      <c r="P548" t="n">
        <v>0</v>
      </c>
      <c r="Q548" t="n">
        <v>0</v>
      </c>
      <c r="R548" s="2" t="inlineStr"/>
    </row>
    <row r="549" ht="15" customHeight="1">
      <c r="A549" t="inlineStr">
        <is>
          <t>A 61170-2022</t>
        </is>
      </c>
      <c r="B549" s="1" t="n">
        <v>44915.48543981482</v>
      </c>
      <c r="C549" s="1" t="n">
        <v>45937</v>
      </c>
      <c r="D549" t="inlineStr">
        <is>
          <t>SKÅNE LÄN</t>
        </is>
      </c>
      <c r="E549" t="inlineStr">
        <is>
          <t>HÄSSLEHOLM</t>
        </is>
      </c>
      <c r="G549" t="n">
        <v>1.2</v>
      </c>
      <c r="H549" t="n">
        <v>0</v>
      </c>
      <c r="I549" t="n">
        <v>0</v>
      </c>
      <c r="J549" t="n">
        <v>0</v>
      </c>
      <c r="K549" t="n">
        <v>0</v>
      </c>
      <c r="L549" t="n">
        <v>0</v>
      </c>
      <c r="M549" t="n">
        <v>0</v>
      </c>
      <c r="N549" t="n">
        <v>0</v>
      </c>
      <c r="O549" t="n">
        <v>0</v>
      </c>
      <c r="P549" t="n">
        <v>0</v>
      </c>
      <c r="Q549" t="n">
        <v>0</v>
      </c>
      <c r="R549" s="2" t="inlineStr"/>
    </row>
    <row r="550" ht="15" customHeight="1">
      <c r="A550" t="inlineStr">
        <is>
          <t>A 10028-2024</t>
        </is>
      </c>
      <c r="B550" s="1" t="n">
        <v>45363.97292824074</v>
      </c>
      <c r="C550" s="1" t="n">
        <v>45937</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61158-2022</t>
        </is>
      </c>
      <c r="B551" s="1" t="n">
        <v>44915.47112268519</v>
      </c>
      <c r="C551" s="1" t="n">
        <v>45937</v>
      </c>
      <c r="D551" t="inlineStr">
        <is>
          <t>SKÅNE LÄN</t>
        </is>
      </c>
      <c r="E551" t="inlineStr">
        <is>
          <t>HÄSSLEHOLM</t>
        </is>
      </c>
      <c r="G551" t="n">
        <v>8.4</v>
      </c>
      <c r="H551" t="n">
        <v>0</v>
      </c>
      <c r="I551" t="n">
        <v>0</v>
      </c>
      <c r="J551" t="n">
        <v>0</v>
      </c>
      <c r="K551" t="n">
        <v>0</v>
      </c>
      <c r="L551" t="n">
        <v>0</v>
      </c>
      <c r="M551" t="n">
        <v>0</v>
      </c>
      <c r="N551" t="n">
        <v>0</v>
      </c>
      <c r="O551" t="n">
        <v>0</v>
      </c>
      <c r="P551" t="n">
        <v>0</v>
      </c>
      <c r="Q551" t="n">
        <v>0</v>
      </c>
      <c r="R551" s="2" t="inlineStr"/>
    </row>
    <row r="552" ht="15" customHeight="1">
      <c r="A552" t="inlineStr">
        <is>
          <t>A 12468-2024</t>
        </is>
      </c>
      <c r="B552" s="1" t="n">
        <v>45379</v>
      </c>
      <c r="C552" s="1" t="n">
        <v>45937</v>
      </c>
      <c r="D552" t="inlineStr">
        <is>
          <t>SKÅNE LÄN</t>
        </is>
      </c>
      <c r="E552" t="inlineStr">
        <is>
          <t>HÄSSLEHOLM</t>
        </is>
      </c>
      <c r="G552" t="n">
        <v>15.5</v>
      </c>
      <c r="H552" t="n">
        <v>0</v>
      </c>
      <c r="I552" t="n">
        <v>0</v>
      </c>
      <c r="J552" t="n">
        <v>0</v>
      </c>
      <c r="K552" t="n">
        <v>0</v>
      </c>
      <c r="L552" t="n">
        <v>0</v>
      </c>
      <c r="M552" t="n">
        <v>0</v>
      </c>
      <c r="N552" t="n">
        <v>0</v>
      </c>
      <c r="O552" t="n">
        <v>0</v>
      </c>
      <c r="P552" t="n">
        <v>0</v>
      </c>
      <c r="Q552" t="n">
        <v>0</v>
      </c>
      <c r="R552" s="2" t="inlineStr"/>
    </row>
    <row r="553" ht="15" customHeight="1">
      <c r="A553" t="inlineStr">
        <is>
          <t>A 6835-2023</t>
        </is>
      </c>
      <c r="B553" s="1" t="n">
        <v>44967</v>
      </c>
      <c r="C553" s="1" t="n">
        <v>45937</v>
      </c>
      <c r="D553" t="inlineStr">
        <is>
          <t>SKÅNE LÄN</t>
        </is>
      </c>
      <c r="E553" t="inlineStr">
        <is>
          <t>HÄSSLEHOLM</t>
        </is>
      </c>
      <c r="G553" t="n">
        <v>4.8</v>
      </c>
      <c r="H553" t="n">
        <v>0</v>
      </c>
      <c r="I553" t="n">
        <v>0</v>
      </c>
      <c r="J553" t="n">
        <v>0</v>
      </c>
      <c r="K553" t="n">
        <v>0</v>
      </c>
      <c r="L553" t="n">
        <v>0</v>
      </c>
      <c r="M553" t="n">
        <v>0</v>
      </c>
      <c r="N553" t="n">
        <v>0</v>
      </c>
      <c r="O553" t="n">
        <v>0</v>
      </c>
      <c r="P553" t="n">
        <v>0</v>
      </c>
      <c r="Q553" t="n">
        <v>0</v>
      </c>
      <c r="R553" s="2" t="inlineStr"/>
    </row>
    <row r="554" ht="15" customHeight="1">
      <c r="A554" t="inlineStr">
        <is>
          <t>A 9885-2021</t>
        </is>
      </c>
      <c r="B554" s="1" t="n">
        <v>44253</v>
      </c>
      <c r="C554" s="1" t="n">
        <v>45937</v>
      </c>
      <c r="D554" t="inlineStr">
        <is>
          <t>SKÅNE LÄN</t>
        </is>
      </c>
      <c r="E554" t="inlineStr">
        <is>
          <t>HÄSSLEHOLM</t>
        </is>
      </c>
      <c r="G554" t="n">
        <v>2.4</v>
      </c>
      <c r="H554" t="n">
        <v>0</v>
      </c>
      <c r="I554" t="n">
        <v>0</v>
      </c>
      <c r="J554" t="n">
        <v>0</v>
      </c>
      <c r="K554" t="n">
        <v>0</v>
      </c>
      <c r="L554" t="n">
        <v>0</v>
      </c>
      <c r="M554" t="n">
        <v>0</v>
      </c>
      <c r="N554" t="n">
        <v>0</v>
      </c>
      <c r="O554" t="n">
        <v>0</v>
      </c>
      <c r="P554" t="n">
        <v>0</v>
      </c>
      <c r="Q554" t="n">
        <v>0</v>
      </c>
      <c r="R554" s="2" t="inlineStr"/>
    </row>
    <row r="555" ht="15" customHeight="1">
      <c r="A555" t="inlineStr">
        <is>
          <t>A 4009-2024</t>
        </is>
      </c>
      <c r="B555" s="1" t="n">
        <v>45323</v>
      </c>
      <c r="C555" s="1" t="n">
        <v>45937</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60848-2022</t>
        </is>
      </c>
      <c r="B556" s="1" t="n">
        <v>44914</v>
      </c>
      <c r="C556" s="1" t="n">
        <v>45937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24246-2023</t>
        </is>
      </c>
      <c r="B557" s="1" t="n">
        <v>45079</v>
      </c>
      <c r="C557" s="1" t="n">
        <v>45937</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24249-2023</t>
        </is>
      </c>
      <c r="B558" s="1" t="n">
        <v>45079.62466435185</v>
      </c>
      <c r="C558" s="1" t="n">
        <v>45937</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52548-2023</t>
        </is>
      </c>
      <c r="B559" s="1" t="n">
        <v>45218</v>
      </c>
      <c r="C559" s="1" t="n">
        <v>45937</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25372-2025</t>
        </is>
      </c>
      <c r="B560" s="1" t="n">
        <v>45799</v>
      </c>
      <c r="C560" s="1" t="n">
        <v>45937</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9399-2025</t>
        </is>
      </c>
      <c r="B561" s="1" t="n">
        <v>45715.37861111111</v>
      </c>
      <c r="C561" s="1" t="n">
        <v>45937</v>
      </c>
      <c r="D561" t="inlineStr">
        <is>
          <t>SKÅNE LÄN</t>
        </is>
      </c>
      <c r="E561" t="inlineStr">
        <is>
          <t>HÄSSLEHOLM</t>
        </is>
      </c>
      <c r="G561" t="n">
        <v>5.2</v>
      </c>
      <c r="H561" t="n">
        <v>0</v>
      </c>
      <c r="I561" t="n">
        <v>0</v>
      </c>
      <c r="J561" t="n">
        <v>0</v>
      </c>
      <c r="K561" t="n">
        <v>0</v>
      </c>
      <c r="L561" t="n">
        <v>0</v>
      </c>
      <c r="M561" t="n">
        <v>0</v>
      </c>
      <c r="N561" t="n">
        <v>0</v>
      </c>
      <c r="O561" t="n">
        <v>0</v>
      </c>
      <c r="P561" t="n">
        <v>0</v>
      </c>
      <c r="Q561" t="n">
        <v>0</v>
      </c>
      <c r="R561" s="2" t="inlineStr"/>
    </row>
    <row r="562" ht="15" customHeight="1">
      <c r="A562" t="inlineStr">
        <is>
          <t>A 31933-2024</t>
        </is>
      </c>
      <c r="B562" s="1" t="n">
        <v>45510.41123842593</v>
      </c>
      <c r="C562" s="1" t="n">
        <v>45937</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9098-2022</t>
        </is>
      </c>
      <c r="B563" s="1" t="n">
        <v>44615</v>
      </c>
      <c r="C563" s="1" t="n">
        <v>45937</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12338-2024</t>
        </is>
      </c>
      <c r="B564" s="1" t="n">
        <v>45378.72869212963</v>
      </c>
      <c r="C564" s="1" t="n">
        <v>45937</v>
      </c>
      <c r="D564" t="inlineStr">
        <is>
          <t>SKÅNE LÄN</t>
        </is>
      </c>
      <c r="E564" t="inlineStr">
        <is>
          <t>HÄSSLEHOLM</t>
        </is>
      </c>
      <c r="G564" t="n">
        <v>1.8</v>
      </c>
      <c r="H564" t="n">
        <v>0</v>
      </c>
      <c r="I564" t="n">
        <v>0</v>
      </c>
      <c r="J564" t="n">
        <v>0</v>
      </c>
      <c r="K564" t="n">
        <v>0</v>
      </c>
      <c r="L564" t="n">
        <v>0</v>
      </c>
      <c r="M564" t="n">
        <v>0</v>
      </c>
      <c r="N564" t="n">
        <v>0</v>
      </c>
      <c r="O564" t="n">
        <v>0</v>
      </c>
      <c r="P564" t="n">
        <v>0</v>
      </c>
      <c r="Q564" t="n">
        <v>0</v>
      </c>
      <c r="R564" s="2" t="inlineStr"/>
    </row>
    <row r="565" ht="15" customHeight="1">
      <c r="A565" t="inlineStr">
        <is>
          <t>A 9678-2025</t>
        </is>
      </c>
      <c r="B565" s="1" t="n">
        <v>45716.34403935185</v>
      </c>
      <c r="C565" s="1" t="n">
        <v>45937</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34883-2023</t>
        </is>
      </c>
      <c r="B566" s="1" t="n">
        <v>45142.37902777778</v>
      </c>
      <c r="C566" s="1" t="n">
        <v>45937</v>
      </c>
      <c r="D566" t="inlineStr">
        <is>
          <t>SKÅNE LÄN</t>
        </is>
      </c>
      <c r="E566" t="inlineStr">
        <is>
          <t>HÄSSLEHOLM</t>
        </is>
      </c>
      <c r="G566" t="n">
        <v>2.5</v>
      </c>
      <c r="H566" t="n">
        <v>0</v>
      </c>
      <c r="I566" t="n">
        <v>0</v>
      </c>
      <c r="J566" t="n">
        <v>0</v>
      </c>
      <c r="K566" t="n">
        <v>0</v>
      </c>
      <c r="L566" t="n">
        <v>0</v>
      </c>
      <c r="M566" t="n">
        <v>0</v>
      </c>
      <c r="N566" t="n">
        <v>0</v>
      </c>
      <c r="O566" t="n">
        <v>0</v>
      </c>
      <c r="P566" t="n">
        <v>0</v>
      </c>
      <c r="Q566" t="n">
        <v>0</v>
      </c>
      <c r="R566" s="2" t="inlineStr"/>
    </row>
    <row r="567" ht="15" customHeight="1">
      <c r="A567" t="inlineStr">
        <is>
          <t>A 34886-2023</t>
        </is>
      </c>
      <c r="B567" s="1" t="n">
        <v>45142.38450231482</v>
      </c>
      <c r="C567" s="1" t="n">
        <v>45937</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51565-2023</t>
        </is>
      </c>
      <c r="B568" s="1" t="n">
        <v>45222</v>
      </c>
      <c r="C568" s="1" t="n">
        <v>45937</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7476-2025</t>
        </is>
      </c>
      <c r="B569" s="1" t="n">
        <v>45702</v>
      </c>
      <c r="C569" s="1" t="n">
        <v>45937</v>
      </c>
      <c r="D569" t="inlineStr">
        <is>
          <t>SKÅNE LÄN</t>
        </is>
      </c>
      <c r="E569" t="inlineStr">
        <is>
          <t>HÄSSLEHOLM</t>
        </is>
      </c>
      <c r="F569" t="inlineStr">
        <is>
          <t>Övriga Aktiebolag</t>
        </is>
      </c>
      <c r="G569" t="n">
        <v>2.1</v>
      </c>
      <c r="H569" t="n">
        <v>0</v>
      </c>
      <c r="I569" t="n">
        <v>0</v>
      </c>
      <c r="J569" t="n">
        <v>0</v>
      </c>
      <c r="K569" t="n">
        <v>0</v>
      </c>
      <c r="L569" t="n">
        <v>0</v>
      </c>
      <c r="M569" t="n">
        <v>0</v>
      </c>
      <c r="N569" t="n">
        <v>0</v>
      </c>
      <c r="O569" t="n">
        <v>0</v>
      </c>
      <c r="P569" t="n">
        <v>0</v>
      </c>
      <c r="Q569" t="n">
        <v>0</v>
      </c>
      <c r="R569" s="2" t="inlineStr"/>
    </row>
    <row r="570" ht="15" customHeight="1">
      <c r="A570" t="inlineStr">
        <is>
          <t>A 54659-2023</t>
        </is>
      </c>
      <c r="B570" s="1" t="n">
        <v>45235</v>
      </c>
      <c r="C570" s="1" t="n">
        <v>45937</v>
      </c>
      <c r="D570" t="inlineStr">
        <is>
          <t>SKÅNE LÄN</t>
        </is>
      </c>
      <c r="E570" t="inlineStr">
        <is>
          <t>HÄSSLEHOLM</t>
        </is>
      </c>
      <c r="G570" t="n">
        <v>5</v>
      </c>
      <c r="H570" t="n">
        <v>0</v>
      </c>
      <c r="I570" t="n">
        <v>0</v>
      </c>
      <c r="J570" t="n">
        <v>0</v>
      </c>
      <c r="K570" t="n">
        <v>0</v>
      </c>
      <c r="L570" t="n">
        <v>0</v>
      </c>
      <c r="M570" t="n">
        <v>0</v>
      </c>
      <c r="N570" t="n">
        <v>0</v>
      </c>
      <c r="O570" t="n">
        <v>0</v>
      </c>
      <c r="P570" t="n">
        <v>0</v>
      </c>
      <c r="Q570" t="n">
        <v>0</v>
      </c>
      <c r="R570" s="2" t="inlineStr"/>
    </row>
    <row r="571" ht="15" customHeight="1">
      <c r="A571" t="inlineStr">
        <is>
          <t>A 25430-2025</t>
        </is>
      </c>
      <c r="B571" s="1" t="n">
        <v>45800.78212962963</v>
      </c>
      <c r="C571" s="1" t="n">
        <v>45937</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57649-2022</t>
        </is>
      </c>
      <c r="B572" s="1" t="n">
        <v>44897.42755787037</v>
      </c>
      <c r="C572" s="1" t="n">
        <v>45937</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11470-2025</t>
        </is>
      </c>
      <c r="B573" s="1" t="n">
        <v>45726</v>
      </c>
      <c r="C573" s="1" t="n">
        <v>45937</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12558-2023</t>
        </is>
      </c>
      <c r="B574" s="1" t="n">
        <v>45000.36103009259</v>
      </c>
      <c r="C574" s="1" t="n">
        <v>45937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8160-2024</t>
        </is>
      </c>
      <c r="B575" s="1" t="n">
        <v>45351</v>
      </c>
      <c r="C575" s="1" t="n">
        <v>45937</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13673-2023</t>
        </is>
      </c>
      <c r="B576" s="1" t="n">
        <v>45006.87957175926</v>
      </c>
      <c r="C576" s="1" t="n">
        <v>45937</v>
      </c>
      <c r="D576" t="inlineStr">
        <is>
          <t>SKÅNE LÄN</t>
        </is>
      </c>
      <c r="E576" t="inlineStr">
        <is>
          <t>HÄSSLEHOLM</t>
        </is>
      </c>
      <c r="G576" t="n">
        <v>3.2</v>
      </c>
      <c r="H576" t="n">
        <v>0</v>
      </c>
      <c r="I576" t="n">
        <v>0</v>
      </c>
      <c r="J576" t="n">
        <v>0</v>
      </c>
      <c r="K576" t="n">
        <v>0</v>
      </c>
      <c r="L576" t="n">
        <v>0</v>
      </c>
      <c r="M576" t="n">
        <v>0</v>
      </c>
      <c r="N576" t="n">
        <v>0</v>
      </c>
      <c r="O576" t="n">
        <v>0</v>
      </c>
      <c r="P576" t="n">
        <v>0</v>
      </c>
      <c r="Q576" t="n">
        <v>0</v>
      </c>
      <c r="R576" s="2" t="inlineStr"/>
    </row>
    <row r="577" ht="15" customHeight="1">
      <c r="A577" t="inlineStr">
        <is>
          <t>A 25615-2025</t>
        </is>
      </c>
      <c r="B577" s="1" t="n">
        <v>45803</v>
      </c>
      <c r="C577" s="1" t="n">
        <v>45937</v>
      </c>
      <c r="D577" t="inlineStr">
        <is>
          <t>SKÅNE LÄN</t>
        </is>
      </c>
      <c r="E577" t="inlineStr">
        <is>
          <t>HÄSSLEHOLM</t>
        </is>
      </c>
      <c r="G577" t="n">
        <v>2.6</v>
      </c>
      <c r="H577" t="n">
        <v>0</v>
      </c>
      <c r="I577" t="n">
        <v>0</v>
      </c>
      <c r="J577" t="n">
        <v>0</v>
      </c>
      <c r="K577" t="n">
        <v>0</v>
      </c>
      <c r="L577" t="n">
        <v>0</v>
      </c>
      <c r="M577" t="n">
        <v>0</v>
      </c>
      <c r="N577" t="n">
        <v>0</v>
      </c>
      <c r="O577" t="n">
        <v>0</v>
      </c>
      <c r="P577" t="n">
        <v>0</v>
      </c>
      <c r="Q577" t="n">
        <v>0</v>
      </c>
      <c r="R577" s="2" t="inlineStr"/>
    </row>
    <row r="578" ht="15" customHeight="1">
      <c r="A578" t="inlineStr">
        <is>
          <t>A 48844-2023</t>
        </is>
      </c>
      <c r="B578" s="1" t="n">
        <v>45209</v>
      </c>
      <c r="C578" s="1" t="n">
        <v>45937</v>
      </c>
      <c r="D578" t="inlineStr">
        <is>
          <t>SKÅNE LÄN</t>
        </is>
      </c>
      <c r="E578" t="inlineStr">
        <is>
          <t>HÄSSLEHOLM</t>
        </is>
      </c>
      <c r="G578" t="n">
        <v>4</v>
      </c>
      <c r="H578" t="n">
        <v>0</v>
      </c>
      <c r="I578" t="n">
        <v>0</v>
      </c>
      <c r="J578" t="n">
        <v>0</v>
      </c>
      <c r="K578" t="n">
        <v>0</v>
      </c>
      <c r="L578" t="n">
        <v>0</v>
      </c>
      <c r="M578" t="n">
        <v>0</v>
      </c>
      <c r="N578" t="n">
        <v>0</v>
      </c>
      <c r="O578" t="n">
        <v>0</v>
      </c>
      <c r="P578" t="n">
        <v>0</v>
      </c>
      <c r="Q578" t="n">
        <v>0</v>
      </c>
      <c r="R578" s="2" t="inlineStr"/>
    </row>
    <row r="579" ht="15" customHeight="1">
      <c r="A579" t="inlineStr">
        <is>
          <t>A 1557-2023</t>
        </is>
      </c>
      <c r="B579" s="1" t="n">
        <v>44937</v>
      </c>
      <c r="C579" s="1" t="n">
        <v>45937</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25431-2025</t>
        </is>
      </c>
      <c r="B580" s="1" t="n">
        <v>45800.78340277778</v>
      </c>
      <c r="C580" s="1" t="n">
        <v>45937</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25432-2025</t>
        </is>
      </c>
      <c r="B581" s="1" t="n">
        <v>45800.7847800926</v>
      </c>
      <c r="C581" s="1" t="n">
        <v>45937</v>
      </c>
      <c r="D581" t="inlineStr">
        <is>
          <t>SKÅNE LÄN</t>
        </is>
      </c>
      <c r="E581" t="inlineStr">
        <is>
          <t>HÄSSLEHOLM</t>
        </is>
      </c>
      <c r="G581" t="n">
        <v>1.8</v>
      </c>
      <c r="H581" t="n">
        <v>0</v>
      </c>
      <c r="I581" t="n">
        <v>0</v>
      </c>
      <c r="J581" t="n">
        <v>0</v>
      </c>
      <c r="K581" t="n">
        <v>0</v>
      </c>
      <c r="L581" t="n">
        <v>0</v>
      </c>
      <c r="M581" t="n">
        <v>0</v>
      </c>
      <c r="N581" t="n">
        <v>0</v>
      </c>
      <c r="O581" t="n">
        <v>0</v>
      </c>
      <c r="P581" t="n">
        <v>0</v>
      </c>
      <c r="Q581" t="n">
        <v>0</v>
      </c>
      <c r="R581" s="2" t="inlineStr"/>
    </row>
    <row r="582" ht="15" customHeight="1">
      <c r="A582" t="inlineStr">
        <is>
          <t>A 46605-2025</t>
        </is>
      </c>
      <c r="B582" s="1" t="n">
        <v>45926.41214120371</v>
      </c>
      <c r="C582" s="1" t="n">
        <v>45937</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11412-2025</t>
        </is>
      </c>
      <c r="B583" s="1" t="n">
        <v>45726</v>
      </c>
      <c r="C583" s="1" t="n">
        <v>45937</v>
      </c>
      <c r="D583" t="inlineStr">
        <is>
          <t>SKÅNE LÄN</t>
        </is>
      </c>
      <c r="E583" t="inlineStr">
        <is>
          <t>HÄSSLEHOLM</t>
        </is>
      </c>
      <c r="G583" t="n">
        <v>2.1</v>
      </c>
      <c r="H583" t="n">
        <v>0</v>
      </c>
      <c r="I583" t="n">
        <v>0</v>
      </c>
      <c r="J583" t="n">
        <v>0</v>
      </c>
      <c r="K583" t="n">
        <v>0</v>
      </c>
      <c r="L583" t="n">
        <v>0</v>
      </c>
      <c r="M583" t="n">
        <v>0</v>
      </c>
      <c r="N583" t="n">
        <v>0</v>
      </c>
      <c r="O583" t="n">
        <v>0</v>
      </c>
      <c r="P583" t="n">
        <v>0</v>
      </c>
      <c r="Q583" t="n">
        <v>0</v>
      </c>
      <c r="R583" s="2" t="inlineStr"/>
    </row>
    <row r="584" ht="15" customHeight="1">
      <c r="A584" t="inlineStr">
        <is>
          <t>A 43696-2024</t>
        </is>
      </c>
      <c r="B584" s="1" t="n">
        <v>45569.58855324074</v>
      </c>
      <c r="C584" s="1" t="n">
        <v>45937</v>
      </c>
      <c r="D584" t="inlineStr">
        <is>
          <t>SKÅNE LÄN</t>
        </is>
      </c>
      <c r="E584" t="inlineStr">
        <is>
          <t>HÄSSLEHOLM</t>
        </is>
      </c>
      <c r="G584" t="n">
        <v>2.9</v>
      </c>
      <c r="H584" t="n">
        <v>0</v>
      </c>
      <c r="I584" t="n">
        <v>0</v>
      </c>
      <c r="J584" t="n">
        <v>0</v>
      </c>
      <c r="K584" t="n">
        <v>0</v>
      </c>
      <c r="L584" t="n">
        <v>0</v>
      </c>
      <c r="M584" t="n">
        <v>0</v>
      </c>
      <c r="N584" t="n">
        <v>0</v>
      </c>
      <c r="O584" t="n">
        <v>0</v>
      </c>
      <c r="P584" t="n">
        <v>0</v>
      </c>
      <c r="Q584" t="n">
        <v>0</v>
      </c>
      <c r="R584" s="2" t="inlineStr"/>
    </row>
    <row r="585" ht="15" customHeight="1">
      <c r="A585" t="inlineStr">
        <is>
          <t>A 12182-2025</t>
        </is>
      </c>
      <c r="B585" s="1" t="n">
        <v>45729</v>
      </c>
      <c r="C585" s="1" t="n">
        <v>45937</v>
      </c>
      <c r="D585" t="inlineStr">
        <is>
          <t>SKÅNE LÄN</t>
        </is>
      </c>
      <c r="E585" t="inlineStr">
        <is>
          <t>HÄSSLEHOLM</t>
        </is>
      </c>
      <c r="G585" t="n">
        <v>1.8</v>
      </c>
      <c r="H585" t="n">
        <v>0</v>
      </c>
      <c r="I585" t="n">
        <v>0</v>
      </c>
      <c r="J585" t="n">
        <v>0</v>
      </c>
      <c r="K585" t="n">
        <v>0</v>
      </c>
      <c r="L585" t="n">
        <v>0</v>
      </c>
      <c r="M585" t="n">
        <v>0</v>
      </c>
      <c r="N585" t="n">
        <v>0</v>
      </c>
      <c r="O585" t="n">
        <v>0</v>
      </c>
      <c r="P585" t="n">
        <v>0</v>
      </c>
      <c r="Q585" t="n">
        <v>0</v>
      </c>
      <c r="R585" s="2" t="inlineStr"/>
    </row>
    <row r="586" ht="15" customHeight="1">
      <c r="A586" t="inlineStr">
        <is>
          <t>A 2813-2021</t>
        </is>
      </c>
      <c r="B586" s="1" t="n">
        <v>44215</v>
      </c>
      <c r="C586" s="1" t="n">
        <v>45937</v>
      </c>
      <c r="D586" t="inlineStr">
        <is>
          <t>SKÅNE LÄN</t>
        </is>
      </c>
      <c r="E586" t="inlineStr">
        <is>
          <t>HÄSSLEHOLM</t>
        </is>
      </c>
      <c r="G586" t="n">
        <v>7.1</v>
      </c>
      <c r="H586" t="n">
        <v>0</v>
      </c>
      <c r="I586" t="n">
        <v>0</v>
      </c>
      <c r="J586" t="n">
        <v>0</v>
      </c>
      <c r="K586" t="n">
        <v>0</v>
      </c>
      <c r="L586" t="n">
        <v>0</v>
      </c>
      <c r="M586" t="n">
        <v>0</v>
      </c>
      <c r="N586" t="n">
        <v>0</v>
      </c>
      <c r="O586" t="n">
        <v>0</v>
      </c>
      <c r="P586" t="n">
        <v>0</v>
      </c>
      <c r="Q586" t="n">
        <v>0</v>
      </c>
      <c r="R586" s="2" t="inlineStr"/>
    </row>
    <row r="587" ht="15" customHeight="1">
      <c r="A587" t="inlineStr">
        <is>
          <t>A 20185-2023</t>
        </is>
      </c>
      <c r="B587" s="1" t="n">
        <v>45055.56795138889</v>
      </c>
      <c r="C587" s="1" t="n">
        <v>45937</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38376-2022</t>
        </is>
      </c>
      <c r="B588" s="1" t="n">
        <v>44812</v>
      </c>
      <c r="C588" s="1" t="n">
        <v>45937</v>
      </c>
      <c r="D588" t="inlineStr">
        <is>
          <t>SKÅNE LÄN</t>
        </is>
      </c>
      <c r="E588" t="inlineStr">
        <is>
          <t>HÄSSLEHOLM</t>
        </is>
      </c>
      <c r="G588" t="n">
        <v>1.9</v>
      </c>
      <c r="H588" t="n">
        <v>0</v>
      </c>
      <c r="I588" t="n">
        <v>0</v>
      </c>
      <c r="J588" t="n">
        <v>0</v>
      </c>
      <c r="K588" t="n">
        <v>0</v>
      </c>
      <c r="L588" t="n">
        <v>0</v>
      </c>
      <c r="M588" t="n">
        <v>0</v>
      </c>
      <c r="N588" t="n">
        <v>0</v>
      </c>
      <c r="O588" t="n">
        <v>0</v>
      </c>
      <c r="P588" t="n">
        <v>0</v>
      </c>
      <c r="Q588" t="n">
        <v>0</v>
      </c>
      <c r="R588" s="2" t="inlineStr"/>
    </row>
    <row r="589" ht="15" customHeight="1">
      <c r="A589" t="inlineStr">
        <is>
          <t>A 11466-2025</t>
        </is>
      </c>
      <c r="B589" s="1" t="n">
        <v>45726</v>
      </c>
      <c r="C589" s="1" t="n">
        <v>45937</v>
      </c>
      <c r="D589" t="inlineStr">
        <is>
          <t>SKÅNE LÄN</t>
        </is>
      </c>
      <c r="E589" t="inlineStr">
        <is>
          <t>HÄSSLEHOLM</t>
        </is>
      </c>
      <c r="G589" t="n">
        <v>3.2</v>
      </c>
      <c r="H589" t="n">
        <v>0</v>
      </c>
      <c r="I589" t="n">
        <v>0</v>
      </c>
      <c r="J589" t="n">
        <v>0</v>
      </c>
      <c r="K589" t="n">
        <v>0</v>
      </c>
      <c r="L589" t="n">
        <v>0</v>
      </c>
      <c r="M589" t="n">
        <v>0</v>
      </c>
      <c r="N589" t="n">
        <v>0</v>
      </c>
      <c r="O589" t="n">
        <v>0</v>
      </c>
      <c r="P589" t="n">
        <v>0</v>
      </c>
      <c r="Q589" t="n">
        <v>0</v>
      </c>
      <c r="R589" s="2" t="inlineStr"/>
    </row>
    <row r="590" ht="15" customHeight="1">
      <c r="A590" t="inlineStr">
        <is>
          <t>A 26232-2025</t>
        </is>
      </c>
      <c r="B590" s="1" t="n">
        <v>45805.56642361111</v>
      </c>
      <c r="C590" s="1" t="n">
        <v>45937</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18908-2023</t>
        </is>
      </c>
      <c r="B591" s="1" t="n">
        <v>45044</v>
      </c>
      <c r="C591" s="1" t="n">
        <v>45937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61436-2024</t>
        </is>
      </c>
      <c r="B592" s="1" t="n">
        <v>45646.46329861111</v>
      </c>
      <c r="C592" s="1" t="n">
        <v>45937</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21329-2023</t>
        </is>
      </c>
      <c r="B593" s="1" t="n">
        <v>45062</v>
      </c>
      <c r="C593" s="1" t="n">
        <v>45937</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26244-2025</t>
        </is>
      </c>
      <c r="B594" s="1" t="n">
        <v>45805.57364583333</v>
      </c>
      <c r="C594" s="1" t="n">
        <v>45937</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38358-2024</t>
        </is>
      </c>
      <c r="B595" s="1" t="n">
        <v>45545.79068287037</v>
      </c>
      <c r="C595" s="1" t="n">
        <v>45937</v>
      </c>
      <c r="D595" t="inlineStr">
        <is>
          <t>SKÅNE LÄN</t>
        </is>
      </c>
      <c r="E595" t="inlineStr">
        <is>
          <t>HÄSSLEHOLM</t>
        </is>
      </c>
      <c r="G595" t="n">
        <v>9</v>
      </c>
      <c r="H595" t="n">
        <v>0</v>
      </c>
      <c r="I595" t="n">
        <v>0</v>
      </c>
      <c r="J595" t="n">
        <v>0</v>
      </c>
      <c r="K595" t="n">
        <v>0</v>
      </c>
      <c r="L595" t="n">
        <v>0</v>
      </c>
      <c r="M595" t="n">
        <v>0</v>
      </c>
      <c r="N595" t="n">
        <v>0</v>
      </c>
      <c r="O595" t="n">
        <v>0</v>
      </c>
      <c r="P595" t="n">
        <v>0</v>
      </c>
      <c r="Q595" t="n">
        <v>0</v>
      </c>
      <c r="R595" s="2" t="inlineStr"/>
    </row>
    <row r="596" ht="15" customHeight="1">
      <c r="A596" t="inlineStr">
        <is>
          <t>A 45222-2023</t>
        </is>
      </c>
      <c r="B596" s="1" t="n">
        <v>45191</v>
      </c>
      <c r="C596" s="1" t="n">
        <v>45937</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13310-2025</t>
        </is>
      </c>
      <c r="B597" s="1" t="n">
        <v>45735.58814814815</v>
      </c>
      <c r="C597" s="1" t="n">
        <v>45937</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25538-2024</t>
        </is>
      </c>
      <c r="B598" s="1" t="n">
        <v>45463</v>
      </c>
      <c r="C598" s="1" t="n">
        <v>45937</v>
      </c>
      <c r="D598" t="inlineStr">
        <is>
          <t>SKÅNE LÄN</t>
        </is>
      </c>
      <c r="E598" t="inlineStr">
        <is>
          <t>HÄSSLEHOLM</t>
        </is>
      </c>
      <c r="G598" t="n">
        <v>1.6</v>
      </c>
      <c r="H598" t="n">
        <v>0</v>
      </c>
      <c r="I598" t="n">
        <v>0</v>
      </c>
      <c r="J598" t="n">
        <v>0</v>
      </c>
      <c r="K598" t="n">
        <v>0</v>
      </c>
      <c r="L598" t="n">
        <v>0</v>
      </c>
      <c r="M598" t="n">
        <v>0</v>
      </c>
      <c r="N598" t="n">
        <v>0</v>
      </c>
      <c r="O598" t="n">
        <v>0</v>
      </c>
      <c r="P598" t="n">
        <v>0</v>
      </c>
      <c r="Q598" t="n">
        <v>0</v>
      </c>
      <c r="R598" s="2" t="inlineStr"/>
    </row>
    <row r="599" ht="15" customHeight="1">
      <c r="A599" t="inlineStr">
        <is>
          <t>A 49824-2024</t>
        </is>
      </c>
      <c r="B599" s="1" t="n">
        <v>45597</v>
      </c>
      <c r="C599" s="1" t="n">
        <v>45937</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6791-2021</t>
        </is>
      </c>
      <c r="B600" s="1" t="n">
        <v>44236</v>
      </c>
      <c r="C600" s="1" t="n">
        <v>45937</v>
      </c>
      <c r="D600" t="inlineStr">
        <is>
          <t>SKÅNE LÄN</t>
        </is>
      </c>
      <c r="E600" t="inlineStr">
        <is>
          <t>HÄSSLEHOLM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15055-2023</t>
        </is>
      </c>
      <c r="B601" s="1" t="n">
        <v>45015</v>
      </c>
      <c r="C601" s="1" t="n">
        <v>45937</v>
      </c>
      <c r="D601" t="inlineStr">
        <is>
          <t>SKÅNE LÄN</t>
        </is>
      </c>
      <c r="E601" t="inlineStr">
        <is>
          <t>HÄSSLEHOLM</t>
        </is>
      </c>
      <c r="G601" t="n">
        <v>1.9</v>
      </c>
      <c r="H601" t="n">
        <v>0</v>
      </c>
      <c r="I601" t="n">
        <v>0</v>
      </c>
      <c r="J601" t="n">
        <v>0</v>
      </c>
      <c r="K601" t="n">
        <v>0</v>
      </c>
      <c r="L601" t="n">
        <v>0</v>
      </c>
      <c r="M601" t="n">
        <v>0</v>
      </c>
      <c r="N601" t="n">
        <v>0</v>
      </c>
      <c r="O601" t="n">
        <v>0</v>
      </c>
      <c r="P601" t="n">
        <v>0</v>
      </c>
      <c r="Q601" t="n">
        <v>0</v>
      </c>
      <c r="R601" s="2" t="inlineStr"/>
    </row>
    <row r="602" ht="15" customHeight="1">
      <c r="A602" t="inlineStr">
        <is>
          <t>A 25324-2024</t>
        </is>
      </c>
      <c r="B602" s="1" t="n">
        <v>45462.804375</v>
      </c>
      <c r="C602" s="1" t="n">
        <v>45937</v>
      </c>
      <c r="D602" t="inlineStr">
        <is>
          <t>SKÅNE LÄN</t>
        </is>
      </c>
      <c r="E602" t="inlineStr">
        <is>
          <t>HÄSSLEHOLM</t>
        </is>
      </c>
      <c r="G602" t="n">
        <v>0.2</v>
      </c>
      <c r="H602" t="n">
        <v>0</v>
      </c>
      <c r="I602" t="n">
        <v>0</v>
      </c>
      <c r="J602" t="n">
        <v>0</v>
      </c>
      <c r="K602" t="n">
        <v>0</v>
      </c>
      <c r="L602" t="n">
        <v>0</v>
      </c>
      <c r="M602" t="n">
        <v>0</v>
      </c>
      <c r="N602" t="n">
        <v>0</v>
      </c>
      <c r="O602" t="n">
        <v>0</v>
      </c>
      <c r="P602" t="n">
        <v>0</v>
      </c>
      <c r="Q602" t="n">
        <v>0</v>
      </c>
      <c r="R602" s="2" t="inlineStr"/>
    </row>
    <row r="603" ht="15" customHeight="1">
      <c r="A603" t="inlineStr">
        <is>
          <t>A 54435-2024</t>
        </is>
      </c>
      <c r="B603" s="1" t="n">
        <v>45617.49494212963</v>
      </c>
      <c r="C603" s="1" t="n">
        <v>45937</v>
      </c>
      <c r="D603" t="inlineStr">
        <is>
          <t>SKÅNE LÄN</t>
        </is>
      </c>
      <c r="E603" t="inlineStr">
        <is>
          <t>HÄSSLEHOLM</t>
        </is>
      </c>
      <c r="G603" t="n">
        <v>2.3</v>
      </c>
      <c r="H603" t="n">
        <v>0</v>
      </c>
      <c r="I603" t="n">
        <v>0</v>
      </c>
      <c r="J603" t="n">
        <v>0</v>
      </c>
      <c r="K603" t="n">
        <v>0</v>
      </c>
      <c r="L603" t="n">
        <v>0</v>
      </c>
      <c r="M603" t="n">
        <v>0</v>
      </c>
      <c r="N603" t="n">
        <v>0</v>
      </c>
      <c r="O603" t="n">
        <v>0</v>
      </c>
      <c r="P603" t="n">
        <v>0</v>
      </c>
      <c r="Q603" t="n">
        <v>0</v>
      </c>
      <c r="R603" s="2" t="inlineStr"/>
    </row>
    <row r="604" ht="15" customHeight="1">
      <c r="A604" t="inlineStr">
        <is>
          <t>A 27349-2025</t>
        </is>
      </c>
      <c r="B604" s="1" t="n">
        <v>45812</v>
      </c>
      <c r="C604" s="1" t="n">
        <v>45937</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16368-2025</t>
        </is>
      </c>
      <c r="B605" s="1" t="n">
        <v>45751</v>
      </c>
      <c r="C605" s="1" t="n">
        <v>45937</v>
      </c>
      <c r="D605" t="inlineStr">
        <is>
          <t>SKÅNE LÄN</t>
        </is>
      </c>
      <c r="E605" t="inlineStr">
        <is>
          <t>HÄSSLEHOLM</t>
        </is>
      </c>
      <c r="G605" t="n">
        <v>5</v>
      </c>
      <c r="H605" t="n">
        <v>0</v>
      </c>
      <c r="I605" t="n">
        <v>0</v>
      </c>
      <c r="J605" t="n">
        <v>0</v>
      </c>
      <c r="K605" t="n">
        <v>0</v>
      </c>
      <c r="L605" t="n">
        <v>0</v>
      </c>
      <c r="M605" t="n">
        <v>0</v>
      </c>
      <c r="N605" t="n">
        <v>0</v>
      </c>
      <c r="O605" t="n">
        <v>0</v>
      </c>
      <c r="P605" t="n">
        <v>0</v>
      </c>
      <c r="Q605" t="n">
        <v>0</v>
      </c>
      <c r="R605" s="2" t="inlineStr"/>
    </row>
    <row r="606" ht="15" customHeight="1">
      <c r="A606" t="inlineStr">
        <is>
          <t>A 6327-2021</t>
        </is>
      </c>
      <c r="B606" s="1" t="n">
        <v>44235</v>
      </c>
      <c r="C606" s="1" t="n">
        <v>45937</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720-2025</t>
        </is>
      </c>
      <c r="B607" s="1" t="n">
        <v>45665.3744212963</v>
      </c>
      <c r="C607" s="1" t="n">
        <v>45937</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31581-2023</t>
        </is>
      </c>
      <c r="B608" s="1" t="n">
        <v>45117.45165509259</v>
      </c>
      <c r="C608" s="1" t="n">
        <v>45937</v>
      </c>
      <c r="D608" t="inlineStr">
        <is>
          <t>SKÅNE LÄN</t>
        </is>
      </c>
      <c r="E608" t="inlineStr">
        <is>
          <t>HÄSSLEHOLM</t>
        </is>
      </c>
      <c r="G608" t="n">
        <v>1.7</v>
      </c>
      <c r="H608" t="n">
        <v>0</v>
      </c>
      <c r="I608" t="n">
        <v>0</v>
      </c>
      <c r="J608" t="n">
        <v>0</v>
      </c>
      <c r="K608" t="n">
        <v>0</v>
      </c>
      <c r="L608" t="n">
        <v>0</v>
      </c>
      <c r="M608" t="n">
        <v>0</v>
      </c>
      <c r="N608" t="n">
        <v>0</v>
      </c>
      <c r="O608" t="n">
        <v>0</v>
      </c>
      <c r="P608" t="n">
        <v>0</v>
      </c>
      <c r="Q608" t="n">
        <v>0</v>
      </c>
      <c r="R608" s="2" t="inlineStr"/>
    </row>
    <row r="609" ht="15" customHeight="1">
      <c r="A609" t="inlineStr">
        <is>
          <t>A 5478-2021</t>
        </is>
      </c>
      <c r="B609" s="1" t="n">
        <v>44230</v>
      </c>
      <c r="C609" s="1" t="n">
        <v>45937</v>
      </c>
      <c r="D609" t="inlineStr">
        <is>
          <t>SKÅNE LÄN</t>
        </is>
      </c>
      <c r="E609" t="inlineStr">
        <is>
          <t>HÄSSLEHOLM</t>
        </is>
      </c>
      <c r="G609" t="n">
        <v>0.1</v>
      </c>
      <c r="H609" t="n">
        <v>0</v>
      </c>
      <c r="I609" t="n">
        <v>0</v>
      </c>
      <c r="J609" t="n">
        <v>0</v>
      </c>
      <c r="K609" t="n">
        <v>0</v>
      </c>
      <c r="L609" t="n">
        <v>0</v>
      </c>
      <c r="M609" t="n">
        <v>0</v>
      </c>
      <c r="N609" t="n">
        <v>0</v>
      </c>
      <c r="O609" t="n">
        <v>0</v>
      </c>
      <c r="P609" t="n">
        <v>0</v>
      </c>
      <c r="Q609" t="n">
        <v>0</v>
      </c>
      <c r="R609" s="2" t="inlineStr"/>
    </row>
    <row r="610" ht="15" customHeight="1">
      <c r="A610" t="inlineStr">
        <is>
          <t>A 27393-2025</t>
        </is>
      </c>
      <c r="B610" s="1" t="n">
        <v>45812.68295138889</v>
      </c>
      <c r="C610" s="1" t="n">
        <v>45937</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2290-2024</t>
        </is>
      </c>
      <c r="B611" s="1" t="n">
        <v>45310</v>
      </c>
      <c r="C611" s="1" t="n">
        <v>45937</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1560-2023</t>
        </is>
      </c>
      <c r="B612" s="1" t="n">
        <v>44937</v>
      </c>
      <c r="C612" s="1" t="n">
        <v>45937</v>
      </c>
      <c r="D612" t="inlineStr">
        <is>
          <t>SKÅNE LÄN</t>
        </is>
      </c>
      <c r="E612" t="inlineStr">
        <is>
          <t>HÄSSLEHOLM</t>
        </is>
      </c>
      <c r="G612" t="n">
        <v>6.8</v>
      </c>
      <c r="H612" t="n">
        <v>0</v>
      </c>
      <c r="I612" t="n">
        <v>0</v>
      </c>
      <c r="J612" t="n">
        <v>0</v>
      </c>
      <c r="K612" t="n">
        <v>0</v>
      </c>
      <c r="L612" t="n">
        <v>0</v>
      </c>
      <c r="M612" t="n">
        <v>0</v>
      </c>
      <c r="N612" t="n">
        <v>0</v>
      </c>
      <c r="O612" t="n">
        <v>0</v>
      </c>
      <c r="P612" t="n">
        <v>0</v>
      </c>
      <c r="Q612" t="n">
        <v>0</v>
      </c>
      <c r="R612" s="2" t="inlineStr"/>
    </row>
    <row r="613" ht="15" customHeight="1">
      <c r="A613" t="inlineStr">
        <is>
          <t>A 33597-2023</t>
        </is>
      </c>
      <c r="B613" s="1" t="n">
        <v>45132</v>
      </c>
      <c r="C613" s="1" t="n">
        <v>45937</v>
      </c>
      <c r="D613" t="inlineStr">
        <is>
          <t>SKÅNE LÄN</t>
        </is>
      </c>
      <c r="E613" t="inlineStr">
        <is>
          <t>HÄSSLEHOLM</t>
        </is>
      </c>
      <c r="G613" t="n">
        <v>3.9</v>
      </c>
      <c r="H613" t="n">
        <v>0</v>
      </c>
      <c r="I613" t="n">
        <v>0</v>
      </c>
      <c r="J613" t="n">
        <v>0</v>
      </c>
      <c r="K613" t="n">
        <v>0</v>
      </c>
      <c r="L613" t="n">
        <v>0</v>
      </c>
      <c r="M613" t="n">
        <v>0</v>
      </c>
      <c r="N613" t="n">
        <v>0</v>
      </c>
      <c r="O613" t="n">
        <v>0</v>
      </c>
      <c r="P613" t="n">
        <v>0</v>
      </c>
      <c r="Q613" t="n">
        <v>0</v>
      </c>
      <c r="R613" s="2" t="inlineStr"/>
    </row>
    <row r="614" ht="15" customHeight="1">
      <c r="A614" t="inlineStr">
        <is>
          <t>A 33599-2023</t>
        </is>
      </c>
      <c r="B614" s="1" t="n">
        <v>45132</v>
      </c>
      <c r="C614" s="1" t="n">
        <v>45937</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13316-2023</t>
        </is>
      </c>
      <c r="B615" s="1" t="n">
        <v>45005.39013888889</v>
      </c>
      <c r="C615" s="1" t="n">
        <v>45937</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65235-2021</t>
        </is>
      </c>
      <c r="B616" s="1" t="n">
        <v>44515</v>
      </c>
      <c r="C616" s="1" t="n">
        <v>45937</v>
      </c>
      <c r="D616" t="inlineStr">
        <is>
          <t>SKÅNE LÄN</t>
        </is>
      </c>
      <c r="E616" t="inlineStr">
        <is>
          <t>HÄSSLEHOLM</t>
        </is>
      </c>
      <c r="G616" t="n">
        <v>2.5</v>
      </c>
      <c r="H616" t="n">
        <v>0</v>
      </c>
      <c r="I616" t="n">
        <v>0</v>
      </c>
      <c r="J616" t="n">
        <v>0</v>
      </c>
      <c r="K616" t="n">
        <v>0</v>
      </c>
      <c r="L616" t="n">
        <v>0</v>
      </c>
      <c r="M616" t="n">
        <v>0</v>
      </c>
      <c r="N616" t="n">
        <v>0</v>
      </c>
      <c r="O616" t="n">
        <v>0</v>
      </c>
      <c r="P616" t="n">
        <v>0</v>
      </c>
      <c r="Q616" t="n">
        <v>0</v>
      </c>
      <c r="R616" s="2" t="inlineStr"/>
    </row>
    <row r="617" ht="15" customHeight="1">
      <c r="A617" t="inlineStr">
        <is>
          <t>A 34342-2021</t>
        </is>
      </c>
      <c r="B617" s="1" t="n">
        <v>44379</v>
      </c>
      <c r="C617" s="1" t="n">
        <v>45937</v>
      </c>
      <c r="D617" t="inlineStr">
        <is>
          <t>SKÅNE LÄN</t>
        </is>
      </c>
      <c r="E617" t="inlineStr">
        <is>
          <t>HÄSSLEHOLM</t>
        </is>
      </c>
      <c r="G617" t="n">
        <v>7</v>
      </c>
      <c r="H617" t="n">
        <v>0</v>
      </c>
      <c r="I617" t="n">
        <v>0</v>
      </c>
      <c r="J617" t="n">
        <v>0</v>
      </c>
      <c r="K617" t="n">
        <v>0</v>
      </c>
      <c r="L617" t="n">
        <v>0</v>
      </c>
      <c r="M617" t="n">
        <v>0</v>
      </c>
      <c r="N617" t="n">
        <v>0</v>
      </c>
      <c r="O617" t="n">
        <v>0</v>
      </c>
      <c r="P617" t="n">
        <v>0</v>
      </c>
      <c r="Q617" t="n">
        <v>0</v>
      </c>
      <c r="R617" s="2" t="inlineStr"/>
    </row>
    <row r="618" ht="15" customHeight="1">
      <c r="A618" t="inlineStr">
        <is>
          <t>A 13358-2023</t>
        </is>
      </c>
      <c r="B618" s="1" t="n">
        <v>45005</v>
      </c>
      <c r="C618" s="1" t="n">
        <v>45937</v>
      </c>
      <c r="D618" t="inlineStr">
        <is>
          <t>SKÅNE LÄN</t>
        </is>
      </c>
      <c r="E618" t="inlineStr">
        <is>
          <t>HÄSSLEHOLM</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5316-2023</t>
        </is>
      </c>
      <c r="B619" s="1" t="n">
        <v>44959</v>
      </c>
      <c r="C619" s="1" t="n">
        <v>45937</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33938-2023</t>
        </is>
      </c>
      <c r="B620" s="1" t="n">
        <v>45124</v>
      </c>
      <c r="C620" s="1" t="n">
        <v>45937</v>
      </c>
      <c r="D620" t="inlineStr">
        <is>
          <t>SKÅNE LÄN</t>
        </is>
      </c>
      <c r="E620" t="inlineStr">
        <is>
          <t>HÄSSLEHOLM</t>
        </is>
      </c>
      <c r="G620" t="n">
        <v>1.8</v>
      </c>
      <c r="H620" t="n">
        <v>0</v>
      </c>
      <c r="I620" t="n">
        <v>0</v>
      </c>
      <c r="J620" t="n">
        <v>0</v>
      </c>
      <c r="K620" t="n">
        <v>0</v>
      </c>
      <c r="L620" t="n">
        <v>0</v>
      </c>
      <c r="M620" t="n">
        <v>0</v>
      </c>
      <c r="N620" t="n">
        <v>0</v>
      </c>
      <c r="O620" t="n">
        <v>0</v>
      </c>
      <c r="P620" t="n">
        <v>0</v>
      </c>
      <c r="Q620" t="n">
        <v>0</v>
      </c>
      <c r="R620" s="2" t="inlineStr"/>
    </row>
    <row r="621" ht="15" customHeight="1">
      <c r="A621" t="inlineStr">
        <is>
          <t>A 32794-2023</t>
        </is>
      </c>
      <c r="B621" s="1" t="n">
        <v>45124.40446759259</v>
      </c>
      <c r="C621" s="1" t="n">
        <v>45937</v>
      </c>
      <c r="D621" t="inlineStr">
        <is>
          <t>SKÅNE LÄN</t>
        </is>
      </c>
      <c r="E621" t="inlineStr">
        <is>
          <t>HÄSSLEHOLM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22693-2022</t>
        </is>
      </c>
      <c r="B622" s="1" t="n">
        <v>44714.54729166667</v>
      </c>
      <c r="C622" s="1" t="n">
        <v>45937</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28211-2022</t>
        </is>
      </c>
      <c r="B623" s="1" t="n">
        <v>44746</v>
      </c>
      <c r="C623" s="1" t="n">
        <v>45937</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35889-2023</t>
        </is>
      </c>
      <c r="B624" s="1" t="n">
        <v>45148</v>
      </c>
      <c r="C624" s="1" t="n">
        <v>45937</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35894-2023</t>
        </is>
      </c>
      <c r="B625" s="1" t="n">
        <v>45148</v>
      </c>
      <c r="C625" s="1" t="n">
        <v>45937</v>
      </c>
      <c r="D625" t="inlineStr">
        <is>
          <t>SKÅNE LÄN</t>
        </is>
      </c>
      <c r="E625" t="inlineStr">
        <is>
          <t>HÄSSLEHOLM</t>
        </is>
      </c>
      <c r="G625" t="n">
        <v>1.5</v>
      </c>
      <c r="H625" t="n">
        <v>0</v>
      </c>
      <c r="I625" t="n">
        <v>0</v>
      </c>
      <c r="J625" t="n">
        <v>0</v>
      </c>
      <c r="K625" t="n">
        <v>0</v>
      </c>
      <c r="L625" t="n">
        <v>0</v>
      </c>
      <c r="M625" t="n">
        <v>0</v>
      </c>
      <c r="N625" t="n">
        <v>0</v>
      </c>
      <c r="O625" t="n">
        <v>0</v>
      </c>
      <c r="P625" t="n">
        <v>0</v>
      </c>
      <c r="Q625" t="n">
        <v>0</v>
      </c>
      <c r="R625" s="2" t="inlineStr"/>
    </row>
    <row r="626" ht="15" customHeight="1">
      <c r="A626" t="inlineStr">
        <is>
          <t>A 12162-2023</t>
        </is>
      </c>
      <c r="B626" s="1" t="n">
        <v>44998.49619212963</v>
      </c>
      <c r="C626" s="1" t="n">
        <v>45937</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28240-2025</t>
        </is>
      </c>
      <c r="B627" s="1" t="n">
        <v>45817</v>
      </c>
      <c r="C627" s="1" t="n">
        <v>45937</v>
      </c>
      <c r="D627" t="inlineStr">
        <is>
          <t>SKÅNE LÄN</t>
        </is>
      </c>
      <c r="E627" t="inlineStr">
        <is>
          <t>HÄSSLEHOLM</t>
        </is>
      </c>
      <c r="G627" t="n">
        <v>7.7</v>
      </c>
      <c r="H627" t="n">
        <v>0</v>
      </c>
      <c r="I627" t="n">
        <v>0</v>
      </c>
      <c r="J627" t="n">
        <v>0</v>
      </c>
      <c r="K627" t="n">
        <v>0</v>
      </c>
      <c r="L627" t="n">
        <v>0</v>
      </c>
      <c r="M627" t="n">
        <v>0</v>
      </c>
      <c r="N627" t="n">
        <v>0</v>
      </c>
      <c r="O627" t="n">
        <v>0</v>
      </c>
      <c r="P627" t="n">
        <v>0</v>
      </c>
      <c r="Q627" t="n">
        <v>0</v>
      </c>
      <c r="R627" s="2" t="inlineStr"/>
    </row>
    <row r="628" ht="15" customHeight="1">
      <c r="A628" t="inlineStr">
        <is>
          <t>A 35974-2022</t>
        </is>
      </c>
      <c r="B628" s="1" t="n">
        <v>44802</v>
      </c>
      <c r="C628" s="1" t="n">
        <v>45937</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24906-2022</t>
        </is>
      </c>
      <c r="B629" s="1" t="n">
        <v>44728</v>
      </c>
      <c r="C629" s="1" t="n">
        <v>45937</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7150-2025</t>
        </is>
      </c>
      <c r="B630" s="1" t="n">
        <v>45702.38239583333</v>
      </c>
      <c r="C630" s="1" t="n">
        <v>45937</v>
      </c>
      <c r="D630" t="inlineStr">
        <is>
          <t>SKÅNE LÄN</t>
        </is>
      </c>
      <c r="E630" t="inlineStr">
        <is>
          <t>HÄSSLEHOLM</t>
        </is>
      </c>
      <c r="G630" t="n">
        <v>2.3</v>
      </c>
      <c r="H630" t="n">
        <v>0</v>
      </c>
      <c r="I630" t="n">
        <v>0</v>
      </c>
      <c r="J630" t="n">
        <v>0</v>
      </c>
      <c r="K630" t="n">
        <v>0</v>
      </c>
      <c r="L630" t="n">
        <v>0</v>
      </c>
      <c r="M630" t="n">
        <v>0</v>
      </c>
      <c r="N630" t="n">
        <v>0</v>
      </c>
      <c r="O630" t="n">
        <v>0</v>
      </c>
      <c r="P630" t="n">
        <v>0</v>
      </c>
      <c r="Q630" t="n">
        <v>0</v>
      </c>
      <c r="R630" s="2" t="inlineStr"/>
    </row>
    <row r="631" ht="15" customHeight="1">
      <c r="A631" t="inlineStr">
        <is>
          <t>A 28095-2025</t>
        </is>
      </c>
      <c r="B631" s="1" t="n">
        <v>45817</v>
      </c>
      <c r="C631" s="1" t="n">
        <v>45937</v>
      </c>
      <c r="D631" t="inlineStr">
        <is>
          <t>SKÅNE LÄN</t>
        </is>
      </c>
      <c r="E631" t="inlineStr">
        <is>
          <t>HÄSSLEHOLM</t>
        </is>
      </c>
      <c r="G631" t="n">
        <v>2.5</v>
      </c>
      <c r="H631" t="n">
        <v>0</v>
      </c>
      <c r="I631" t="n">
        <v>0</v>
      </c>
      <c r="J631" t="n">
        <v>0</v>
      </c>
      <c r="K631" t="n">
        <v>0</v>
      </c>
      <c r="L631" t="n">
        <v>0</v>
      </c>
      <c r="M631" t="n">
        <v>0</v>
      </c>
      <c r="N631" t="n">
        <v>0</v>
      </c>
      <c r="O631" t="n">
        <v>0</v>
      </c>
      <c r="P631" t="n">
        <v>0</v>
      </c>
      <c r="Q631" t="n">
        <v>0</v>
      </c>
      <c r="R631" s="2" t="inlineStr"/>
    </row>
    <row r="632" ht="15" customHeight="1">
      <c r="A632" t="inlineStr">
        <is>
          <t>A 55303-2024</t>
        </is>
      </c>
      <c r="B632" s="1" t="n">
        <v>45621.6434837963</v>
      </c>
      <c r="C632" s="1" t="n">
        <v>45937</v>
      </c>
      <c r="D632" t="inlineStr">
        <is>
          <t>SKÅNE LÄN</t>
        </is>
      </c>
      <c r="E632" t="inlineStr">
        <is>
          <t>HÄSSLEHOLM</t>
        </is>
      </c>
      <c r="G632" t="n">
        <v>3.3</v>
      </c>
      <c r="H632" t="n">
        <v>0</v>
      </c>
      <c r="I632" t="n">
        <v>0</v>
      </c>
      <c r="J632" t="n">
        <v>0</v>
      </c>
      <c r="K632" t="n">
        <v>0</v>
      </c>
      <c r="L632" t="n">
        <v>0</v>
      </c>
      <c r="M632" t="n">
        <v>0</v>
      </c>
      <c r="N632" t="n">
        <v>0</v>
      </c>
      <c r="O632" t="n">
        <v>0</v>
      </c>
      <c r="P632" t="n">
        <v>0</v>
      </c>
      <c r="Q632" t="n">
        <v>0</v>
      </c>
      <c r="R632" s="2" t="inlineStr"/>
    </row>
    <row r="633" ht="15" customHeight="1">
      <c r="A633" t="inlineStr">
        <is>
          <t>A 16397-2022</t>
        </is>
      </c>
      <c r="B633" s="1" t="n">
        <v>44671</v>
      </c>
      <c r="C633" s="1" t="n">
        <v>45937</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16398-2022</t>
        </is>
      </c>
      <c r="B634" s="1" t="n">
        <v>44671</v>
      </c>
      <c r="C634" s="1" t="n">
        <v>45937</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14702-2025</t>
        </is>
      </c>
      <c r="B635" s="1" t="n">
        <v>45742.60403935185</v>
      </c>
      <c r="C635" s="1" t="n">
        <v>45937</v>
      </c>
      <c r="D635" t="inlineStr">
        <is>
          <t>SKÅNE LÄN</t>
        </is>
      </c>
      <c r="E635" t="inlineStr">
        <is>
          <t>HÄSSLEHOLM</t>
        </is>
      </c>
      <c r="G635" t="n">
        <v>1.8</v>
      </c>
      <c r="H635" t="n">
        <v>0</v>
      </c>
      <c r="I635" t="n">
        <v>0</v>
      </c>
      <c r="J635" t="n">
        <v>0</v>
      </c>
      <c r="K635" t="n">
        <v>0</v>
      </c>
      <c r="L635" t="n">
        <v>0</v>
      </c>
      <c r="M635" t="n">
        <v>0</v>
      </c>
      <c r="N635" t="n">
        <v>0</v>
      </c>
      <c r="O635" t="n">
        <v>0</v>
      </c>
      <c r="P635" t="n">
        <v>0</v>
      </c>
      <c r="Q635" t="n">
        <v>0</v>
      </c>
      <c r="R635" s="2" t="inlineStr"/>
    </row>
    <row r="636" ht="15" customHeight="1">
      <c r="A636" t="inlineStr">
        <is>
          <t>A 9669-2025</t>
        </is>
      </c>
      <c r="B636" s="1" t="n">
        <v>45716.32921296296</v>
      </c>
      <c r="C636" s="1" t="n">
        <v>45937</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27940-2025</t>
        </is>
      </c>
      <c r="B637" s="1" t="n">
        <v>45817.50439814815</v>
      </c>
      <c r="C637" s="1" t="n">
        <v>45937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27887-2025</t>
        </is>
      </c>
      <c r="B638" s="1" t="n">
        <v>45817.45994212963</v>
      </c>
      <c r="C638" s="1" t="n">
        <v>45937</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59109-2023</t>
        </is>
      </c>
      <c r="B639" s="1" t="n">
        <v>45253.30819444444</v>
      </c>
      <c r="C639" s="1" t="n">
        <v>45937</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46761-2025</t>
        </is>
      </c>
      <c r="B640" s="1" t="n">
        <v>45926.62289351852</v>
      </c>
      <c r="C640" s="1" t="n">
        <v>45937</v>
      </c>
      <c r="D640" t="inlineStr">
        <is>
          <t>SKÅNE LÄN</t>
        </is>
      </c>
      <c r="E640" t="inlineStr">
        <is>
          <t>HÄSSLEHOLM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49827-2022</t>
        </is>
      </c>
      <c r="B641" s="1" t="n">
        <v>44859</v>
      </c>
      <c r="C641" s="1" t="n">
        <v>45937</v>
      </c>
      <c r="D641" t="inlineStr">
        <is>
          <t>SKÅNE LÄN</t>
        </is>
      </c>
      <c r="E641" t="inlineStr">
        <is>
          <t>HÄSSLEHOLM</t>
        </is>
      </c>
      <c r="G641" t="n">
        <v>6.1</v>
      </c>
      <c r="H641" t="n">
        <v>0</v>
      </c>
      <c r="I641" t="n">
        <v>0</v>
      </c>
      <c r="J641" t="n">
        <v>0</v>
      </c>
      <c r="K641" t="n">
        <v>0</v>
      </c>
      <c r="L641" t="n">
        <v>0</v>
      </c>
      <c r="M641" t="n">
        <v>0</v>
      </c>
      <c r="N641" t="n">
        <v>0</v>
      </c>
      <c r="O641" t="n">
        <v>0</v>
      </c>
      <c r="P641" t="n">
        <v>0</v>
      </c>
      <c r="Q641" t="n">
        <v>0</v>
      </c>
      <c r="R641" s="2" t="inlineStr"/>
    </row>
    <row r="642" ht="15" customHeight="1">
      <c r="A642" t="inlineStr">
        <is>
          <t>A 28251-2025</t>
        </is>
      </c>
      <c r="B642" s="1" t="n">
        <v>45817</v>
      </c>
      <c r="C642" s="1" t="n">
        <v>45937</v>
      </c>
      <c r="D642" t="inlineStr">
        <is>
          <t>SKÅNE LÄN</t>
        </is>
      </c>
      <c r="E642" t="inlineStr">
        <is>
          <t>HÄSSLEHOLM</t>
        </is>
      </c>
      <c r="G642" t="n">
        <v>7.2</v>
      </c>
      <c r="H642" t="n">
        <v>0</v>
      </c>
      <c r="I642" t="n">
        <v>0</v>
      </c>
      <c r="J642" t="n">
        <v>0</v>
      </c>
      <c r="K642" t="n">
        <v>0</v>
      </c>
      <c r="L642" t="n">
        <v>0</v>
      </c>
      <c r="M642" t="n">
        <v>0</v>
      </c>
      <c r="N642" t="n">
        <v>0</v>
      </c>
      <c r="O642" t="n">
        <v>0</v>
      </c>
      <c r="P642" t="n">
        <v>0</v>
      </c>
      <c r="Q642" t="n">
        <v>0</v>
      </c>
      <c r="R642" s="2" t="inlineStr"/>
    </row>
    <row r="643" ht="15" customHeight="1">
      <c r="A643" t="inlineStr">
        <is>
          <t>A 27934-2025</t>
        </is>
      </c>
      <c r="B643" s="1" t="n">
        <v>45817.49761574074</v>
      </c>
      <c r="C643" s="1" t="n">
        <v>45937</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59434-2023</t>
        </is>
      </c>
      <c r="B644" s="1" t="n">
        <v>45254.30440972222</v>
      </c>
      <c r="C644" s="1" t="n">
        <v>45937</v>
      </c>
      <c r="D644" t="inlineStr">
        <is>
          <t>SKÅNE LÄN</t>
        </is>
      </c>
      <c r="E644" t="inlineStr">
        <is>
          <t>HÄSSLEHOLM</t>
        </is>
      </c>
      <c r="G644" t="n">
        <v>3.6</v>
      </c>
      <c r="H644" t="n">
        <v>0</v>
      </c>
      <c r="I644" t="n">
        <v>0</v>
      </c>
      <c r="J644" t="n">
        <v>0</v>
      </c>
      <c r="K644" t="n">
        <v>0</v>
      </c>
      <c r="L644" t="n">
        <v>0</v>
      </c>
      <c r="M644" t="n">
        <v>0</v>
      </c>
      <c r="N644" t="n">
        <v>0</v>
      </c>
      <c r="O644" t="n">
        <v>0</v>
      </c>
      <c r="P644" t="n">
        <v>0</v>
      </c>
      <c r="Q644" t="n">
        <v>0</v>
      </c>
      <c r="R644" s="2" t="inlineStr"/>
    </row>
    <row r="645" ht="15" customHeight="1">
      <c r="A645" t="inlineStr">
        <is>
          <t>A 28122-2025</t>
        </is>
      </c>
      <c r="B645" s="1" t="n">
        <v>45817</v>
      </c>
      <c r="C645" s="1" t="n">
        <v>45937</v>
      </c>
      <c r="D645" t="inlineStr">
        <is>
          <t>SKÅNE LÄN</t>
        </is>
      </c>
      <c r="E645" t="inlineStr">
        <is>
          <t>HÄSSLEHOLM</t>
        </is>
      </c>
      <c r="G645" t="n">
        <v>2.4</v>
      </c>
      <c r="H645" t="n">
        <v>0</v>
      </c>
      <c r="I645" t="n">
        <v>0</v>
      </c>
      <c r="J645" t="n">
        <v>0</v>
      </c>
      <c r="K645" t="n">
        <v>0</v>
      </c>
      <c r="L645" t="n">
        <v>0</v>
      </c>
      <c r="M645" t="n">
        <v>0</v>
      </c>
      <c r="N645" t="n">
        <v>0</v>
      </c>
      <c r="O645" t="n">
        <v>0</v>
      </c>
      <c r="P645" t="n">
        <v>0</v>
      </c>
      <c r="Q645" t="n">
        <v>0</v>
      </c>
      <c r="R645" s="2" t="inlineStr"/>
    </row>
    <row r="646" ht="15" customHeight="1">
      <c r="A646" t="inlineStr">
        <is>
          <t>A 58888-2024</t>
        </is>
      </c>
      <c r="B646" s="1" t="n">
        <v>45636.45962962963</v>
      </c>
      <c r="C646" s="1" t="n">
        <v>45937</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21028-2021</t>
        </is>
      </c>
      <c r="B647" s="1" t="n">
        <v>44319</v>
      </c>
      <c r="C647" s="1" t="n">
        <v>45937</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55284-2023</t>
        </is>
      </c>
      <c r="B648" s="1" t="n">
        <v>45237.74259259259</v>
      </c>
      <c r="C648" s="1" t="n">
        <v>45937</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22384-2024</t>
        </is>
      </c>
      <c r="B649" s="1" t="n">
        <v>45446.65592592592</v>
      </c>
      <c r="C649" s="1" t="n">
        <v>45937</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1445-2021</t>
        </is>
      </c>
      <c r="B650" s="1" t="n">
        <v>44208</v>
      </c>
      <c r="C650" s="1" t="n">
        <v>45937</v>
      </c>
      <c r="D650" t="inlineStr">
        <is>
          <t>SKÅNE LÄN</t>
        </is>
      </c>
      <c r="E650" t="inlineStr">
        <is>
          <t>HÄSSLEHOLM</t>
        </is>
      </c>
      <c r="G650" t="n">
        <v>4.6</v>
      </c>
      <c r="H650" t="n">
        <v>0</v>
      </c>
      <c r="I650" t="n">
        <v>0</v>
      </c>
      <c r="J650" t="n">
        <v>0</v>
      </c>
      <c r="K650" t="n">
        <v>0</v>
      </c>
      <c r="L650" t="n">
        <v>0</v>
      </c>
      <c r="M650" t="n">
        <v>0</v>
      </c>
      <c r="N650" t="n">
        <v>0</v>
      </c>
      <c r="O650" t="n">
        <v>0</v>
      </c>
      <c r="P650" t="n">
        <v>0</v>
      </c>
      <c r="Q650" t="n">
        <v>0</v>
      </c>
      <c r="R650" s="2" t="inlineStr"/>
    </row>
    <row r="651" ht="15" customHeight="1">
      <c r="A651" t="inlineStr">
        <is>
          <t>A 6165-2023</t>
        </is>
      </c>
      <c r="B651" s="1" t="n">
        <v>44964.67114583333</v>
      </c>
      <c r="C651" s="1" t="n">
        <v>45937</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16017-2023</t>
        </is>
      </c>
      <c r="B652" s="1" t="n">
        <v>45026</v>
      </c>
      <c r="C652" s="1" t="n">
        <v>45937</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46641-2023</t>
        </is>
      </c>
      <c r="B653" s="1" t="n">
        <v>45198.44523148148</v>
      </c>
      <c r="C653" s="1" t="n">
        <v>45937</v>
      </c>
      <c r="D653" t="inlineStr">
        <is>
          <t>SKÅNE LÄN</t>
        </is>
      </c>
      <c r="E653" t="inlineStr">
        <is>
          <t>HÄSSLEHOLM</t>
        </is>
      </c>
      <c r="G653" t="n">
        <v>1.2</v>
      </c>
      <c r="H653" t="n">
        <v>0</v>
      </c>
      <c r="I653" t="n">
        <v>0</v>
      </c>
      <c r="J653" t="n">
        <v>0</v>
      </c>
      <c r="K653" t="n">
        <v>0</v>
      </c>
      <c r="L653" t="n">
        <v>0</v>
      </c>
      <c r="M653" t="n">
        <v>0</v>
      </c>
      <c r="N653" t="n">
        <v>0</v>
      </c>
      <c r="O653" t="n">
        <v>0</v>
      </c>
      <c r="P653" t="n">
        <v>0</v>
      </c>
      <c r="Q653" t="n">
        <v>0</v>
      </c>
      <c r="R653" s="2" t="inlineStr"/>
    </row>
    <row r="654" ht="15" customHeight="1">
      <c r="A654" t="inlineStr">
        <is>
          <t>A 46645-2023</t>
        </is>
      </c>
      <c r="B654" s="1" t="n">
        <v>45198.44686342592</v>
      </c>
      <c r="C654" s="1" t="n">
        <v>45937</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4734-2025</t>
        </is>
      </c>
      <c r="B655" s="1" t="n">
        <v>45688.44030092593</v>
      </c>
      <c r="C655" s="1" t="n">
        <v>45937</v>
      </c>
      <c r="D655" t="inlineStr">
        <is>
          <t>SKÅNE LÄN</t>
        </is>
      </c>
      <c r="E655" t="inlineStr">
        <is>
          <t>HÄSSLEHOLM</t>
        </is>
      </c>
      <c r="G655" t="n">
        <v>19.6</v>
      </c>
      <c r="H655" t="n">
        <v>0</v>
      </c>
      <c r="I655" t="n">
        <v>0</v>
      </c>
      <c r="J655" t="n">
        <v>0</v>
      </c>
      <c r="K655" t="n">
        <v>0</v>
      </c>
      <c r="L655" t="n">
        <v>0</v>
      </c>
      <c r="M655" t="n">
        <v>0</v>
      </c>
      <c r="N655" t="n">
        <v>0</v>
      </c>
      <c r="O655" t="n">
        <v>0</v>
      </c>
      <c r="P655" t="n">
        <v>0</v>
      </c>
      <c r="Q655" t="n">
        <v>0</v>
      </c>
      <c r="R655" s="2" t="inlineStr"/>
    </row>
    <row r="656" ht="15" customHeight="1">
      <c r="A656" t="inlineStr">
        <is>
          <t>A 29170-2025</t>
        </is>
      </c>
      <c r="B656" s="1" t="n">
        <v>45821.69766203704</v>
      </c>
      <c r="C656" s="1" t="n">
        <v>45937</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47126-2025</t>
        </is>
      </c>
      <c r="B657" s="1" t="n">
        <v>45929.685625</v>
      </c>
      <c r="C657" s="1" t="n">
        <v>45937</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47127-2025</t>
        </is>
      </c>
      <c r="B658" s="1" t="n">
        <v>45929.6893287037</v>
      </c>
      <c r="C658" s="1" t="n">
        <v>45937</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31989-2024</t>
        </is>
      </c>
      <c r="B659" s="1" t="n">
        <v>45510.58085648148</v>
      </c>
      <c r="C659" s="1" t="n">
        <v>45937</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67974-2020</t>
        </is>
      </c>
      <c r="B660" s="1" t="n">
        <v>44182</v>
      </c>
      <c r="C660" s="1" t="n">
        <v>45937</v>
      </c>
      <c r="D660" t="inlineStr">
        <is>
          <t>SKÅNE LÄN</t>
        </is>
      </c>
      <c r="E660" t="inlineStr">
        <is>
          <t>HÄSSLEHOLM</t>
        </is>
      </c>
      <c r="G660" t="n">
        <v>9</v>
      </c>
      <c r="H660" t="n">
        <v>0</v>
      </c>
      <c r="I660" t="n">
        <v>0</v>
      </c>
      <c r="J660" t="n">
        <v>0</v>
      </c>
      <c r="K660" t="n">
        <v>0</v>
      </c>
      <c r="L660" t="n">
        <v>0</v>
      </c>
      <c r="M660" t="n">
        <v>0</v>
      </c>
      <c r="N660" t="n">
        <v>0</v>
      </c>
      <c r="O660" t="n">
        <v>0</v>
      </c>
      <c r="P660" t="n">
        <v>0</v>
      </c>
      <c r="Q660" t="n">
        <v>0</v>
      </c>
      <c r="R660" s="2" t="inlineStr"/>
    </row>
    <row r="661" ht="15" customHeight="1">
      <c r="A661" t="inlineStr">
        <is>
          <t>A 35640-2023</t>
        </is>
      </c>
      <c r="B661" s="1" t="n">
        <v>45147</v>
      </c>
      <c r="C661" s="1" t="n">
        <v>45937</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47259-2025</t>
        </is>
      </c>
      <c r="B662" s="1" t="n">
        <v>45930</v>
      </c>
      <c r="C662" s="1" t="n">
        <v>45937</v>
      </c>
      <c r="D662" t="inlineStr">
        <is>
          <t>SKÅNE LÄN</t>
        </is>
      </c>
      <c r="E662" t="inlineStr">
        <is>
          <t>HÄSSLEHOLM</t>
        </is>
      </c>
      <c r="G662" t="n">
        <v>1.6</v>
      </c>
      <c r="H662" t="n">
        <v>0</v>
      </c>
      <c r="I662" t="n">
        <v>0</v>
      </c>
      <c r="J662" t="n">
        <v>0</v>
      </c>
      <c r="K662" t="n">
        <v>0</v>
      </c>
      <c r="L662" t="n">
        <v>0</v>
      </c>
      <c r="M662" t="n">
        <v>0</v>
      </c>
      <c r="N662" t="n">
        <v>0</v>
      </c>
      <c r="O662" t="n">
        <v>0</v>
      </c>
      <c r="P662" t="n">
        <v>0</v>
      </c>
      <c r="Q662" t="n">
        <v>0</v>
      </c>
      <c r="R662" s="2" t="inlineStr"/>
    </row>
    <row r="663" ht="15" customHeight="1">
      <c r="A663" t="inlineStr">
        <is>
          <t>A 26403-2024</t>
        </is>
      </c>
      <c r="B663" s="1" t="n">
        <v>45469.44505787037</v>
      </c>
      <c r="C663" s="1" t="n">
        <v>45937</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26403-2024</t>
        </is>
      </c>
      <c r="B664" s="1" t="n">
        <v>45469.44505787037</v>
      </c>
      <c r="C664" s="1" t="n">
        <v>45937</v>
      </c>
      <c r="D664" t="inlineStr">
        <is>
          <t>SKÅNE LÄN</t>
        </is>
      </c>
      <c r="E664" t="inlineStr">
        <is>
          <t>HÄSSLEHOLM</t>
        </is>
      </c>
      <c r="G664" t="n">
        <v>2.6</v>
      </c>
      <c r="H664" t="n">
        <v>0</v>
      </c>
      <c r="I664" t="n">
        <v>0</v>
      </c>
      <c r="J664" t="n">
        <v>0</v>
      </c>
      <c r="K664" t="n">
        <v>0</v>
      </c>
      <c r="L664" t="n">
        <v>0</v>
      </c>
      <c r="M664" t="n">
        <v>0</v>
      </c>
      <c r="N664" t="n">
        <v>0</v>
      </c>
      <c r="O664" t="n">
        <v>0</v>
      </c>
      <c r="P664" t="n">
        <v>0</v>
      </c>
      <c r="Q664" t="n">
        <v>0</v>
      </c>
      <c r="R664" s="2" t="inlineStr"/>
    </row>
    <row r="665" ht="15" customHeight="1">
      <c r="A665" t="inlineStr">
        <is>
          <t>A 59556-2023</t>
        </is>
      </c>
      <c r="B665" s="1" t="n">
        <v>45254.56313657408</v>
      </c>
      <c r="C665" s="1" t="n">
        <v>45937</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46786-2025</t>
        </is>
      </c>
      <c r="B666" s="1" t="n">
        <v>45926.64484953704</v>
      </c>
      <c r="C666" s="1" t="n">
        <v>45937</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29168-2025</t>
        </is>
      </c>
      <c r="B667" s="1" t="n">
        <v>45821.69547453704</v>
      </c>
      <c r="C667" s="1" t="n">
        <v>45937</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24776-2025</t>
        </is>
      </c>
      <c r="B668" s="1" t="n">
        <v>45799.40640046296</v>
      </c>
      <c r="C668" s="1" t="n">
        <v>45937</v>
      </c>
      <c r="D668" t="inlineStr">
        <is>
          <t>SKÅNE LÄN</t>
        </is>
      </c>
      <c r="E668" t="inlineStr">
        <is>
          <t>HÄSSLEHOLM</t>
        </is>
      </c>
      <c r="G668" t="n">
        <v>5.4</v>
      </c>
      <c r="H668" t="n">
        <v>0</v>
      </c>
      <c r="I668" t="n">
        <v>0</v>
      </c>
      <c r="J668" t="n">
        <v>0</v>
      </c>
      <c r="K668" t="n">
        <v>0</v>
      </c>
      <c r="L668" t="n">
        <v>0</v>
      </c>
      <c r="M668" t="n">
        <v>0</v>
      </c>
      <c r="N668" t="n">
        <v>0</v>
      </c>
      <c r="O668" t="n">
        <v>0</v>
      </c>
      <c r="P668" t="n">
        <v>0</v>
      </c>
      <c r="Q668" t="n">
        <v>0</v>
      </c>
      <c r="R668" s="2" t="inlineStr"/>
    </row>
    <row r="669" ht="15" customHeight="1">
      <c r="A669" t="inlineStr">
        <is>
          <t>A 48771-2024</t>
        </is>
      </c>
      <c r="B669" s="1" t="n">
        <v>45593.61284722222</v>
      </c>
      <c r="C669" s="1" t="n">
        <v>45937</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24241-2023</t>
        </is>
      </c>
      <c r="B670" s="1" t="n">
        <v>45079.61476851852</v>
      </c>
      <c r="C670" s="1" t="n">
        <v>45937</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23987-2024</t>
        </is>
      </c>
      <c r="B671" s="1" t="n">
        <v>45456</v>
      </c>
      <c r="C671" s="1" t="n">
        <v>45937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19739-2023</t>
        </is>
      </c>
      <c r="B672" s="1" t="n">
        <v>45051</v>
      </c>
      <c r="C672" s="1" t="n">
        <v>45937</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1886-2025</t>
        </is>
      </c>
      <c r="B673" s="1" t="n">
        <v>45671</v>
      </c>
      <c r="C673" s="1" t="n">
        <v>45937</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59246-2024</t>
        </is>
      </c>
      <c r="B674" s="1" t="n">
        <v>45636</v>
      </c>
      <c r="C674" s="1" t="n">
        <v>45937</v>
      </c>
      <c r="D674" t="inlineStr">
        <is>
          <t>SKÅNE LÄN</t>
        </is>
      </c>
      <c r="E674" t="inlineStr">
        <is>
          <t>HÄSSLEHOLM</t>
        </is>
      </c>
      <c r="G674" t="n">
        <v>2.6</v>
      </c>
      <c r="H674" t="n">
        <v>0</v>
      </c>
      <c r="I674" t="n">
        <v>0</v>
      </c>
      <c r="J674" t="n">
        <v>0</v>
      </c>
      <c r="K674" t="n">
        <v>0</v>
      </c>
      <c r="L674" t="n">
        <v>0</v>
      </c>
      <c r="M674" t="n">
        <v>0</v>
      </c>
      <c r="N674" t="n">
        <v>0</v>
      </c>
      <c r="O674" t="n">
        <v>0</v>
      </c>
      <c r="P674" t="n">
        <v>0</v>
      </c>
      <c r="Q674" t="n">
        <v>0</v>
      </c>
      <c r="R674" s="2" t="inlineStr"/>
    </row>
    <row r="675" ht="15" customHeight="1">
      <c r="A675" t="inlineStr">
        <is>
          <t>A 47466-2025</t>
        </is>
      </c>
      <c r="B675" s="1" t="n">
        <v>45930.66677083333</v>
      </c>
      <c r="C675" s="1" t="n">
        <v>45937</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29171-2025</t>
        </is>
      </c>
      <c r="B676" s="1" t="n">
        <v>45821.69863425926</v>
      </c>
      <c r="C676" s="1" t="n">
        <v>45937</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9543-2025</t>
        </is>
      </c>
      <c r="B677" s="1" t="n">
        <v>45715</v>
      </c>
      <c r="C677" s="1" t="n">
        <v>45937</v>
      </c>
      <c r="D677" t="inlineStr">
        <is>
          <t>SKÅNE LÄN</t>
        </is>
      </c>
      <c r="E677" t="inlineStr">
        <is>
          <t>HÄSSLEHOLM</t>
        </is>
      </c>
      <c r="G677" t="n">
        <v>2.6</v>
      </c>
      <c r="H677" t="n">
        <v>0</v>
      </c>
      <c r="I677" t="n">
        <v>0</v>
      </c>
      <c r="J677" t="n">
        <v>0</v>
      </c>
      <c r="K677" t="n">
        <v>0</v>
      </c>
      <c r="L677" t="n">
        <v>0</v>
      </c>
      <c r="M677" t="n">
        <v>0</v>
      </c>
      <c r="N677" t="n">
        <v>0</v>
      </c>
      <c r="O677" t="n">
        <v>0</v>
      </c>
      <c r="P677" t="n">
        <v>0</v>
      </c>
      <c r="Q677" t="n">
        <v>0</v>
      </c>
      <c r="R677" s="2" t="inlineStr"/>
    </row>
    <row r="678" ht="15" customHeight="1">
      <c r="A678" t="inlineStr">
        <is>
          <t>A 46855-2025</t>
        </is>
      </c>
      <c r="B678" s="1" t="n">
        <v>45928.88497685185</v>
      </c>
      <c r="C678" s="1" t="n">
        <v>45937</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23666-2023</t>
        </is>
      </c>
      <c r="B679" s="1" t="n">
        <v>45077</v>
      </c>
      <c r="C679" s="1" t="n">
        <v>45937</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51571-2023</t>
        </is>
      </c>
      <c r="B680" s="1" t="n">
        <v>45222</v>
      </c>
      <c r="C680" s="1" t="n">
        <v>45937</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9239-2025</t>
        </is>
      </c>
      <c r="B681" s="1" t="n">
        <v>45714</v>
      </c>
      <c r="C681" s="1" t="n">
        <v>45937</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16121-2025</t>
        </is>
      </c>
      <c r="B682" s="1" t="n">
        <v>45750.40384259259</v>
      </c>
      <c r="C682" s="1" t="n">
        <v>45937</v>
      </c>
      <c r="D682" t="inlineStr">
        <is>
          <t>SKÅNE LÄN</t>
        </is>
      </c>
      <c r="E682" t="inlineStr">
        <is>
          <t>HÄSSLEHOLM</t>
        </is>
      </c>
      <c r="G682" t="n">
        <v>1.6</v>
      </c>
      <c r="H682" t="n">
        <v>0</v>
      </c>
      <c r="I682" t="n">
        <v>0</v>
      </c>
      <c r="J682" t="n">
        <v>0</v>
      </c>
      <c r="K682" t="n">
        <v>0</v>
      </c>
      <c r="L682" t="n">
        <v>0</v>
      </c>
      <c r="M682" t="n">
        <v>0</v>
      </c>
      <c r="N682" t="n">
        <v>0</v>
      </c>
      <c r="O682" t="n">
        <v>0</v>
      </c>
      <c r="P682" t="n">
        <v>0</v>
      </c>
      <c r="Q682" t="n">
        <v>0</v>
      </c>
      <c r="R682" s="2" t="inlineStr"/>
    </row>
    <row r="683" ht="15" customHeight="1">
      <c r="A683" t="inlineStr">
        <is>
          <t>A 28599-2024</t>
        </is>
      </c>
      <c r="B683" s="1" t="n">
        <v>45478.4247800926</v>
      </c>
      <c r="C683" s="1" t="n">
        <v>45937</v>
      </c>
      <c r="D683" t="inlineStr">
        <is>
          <t>SKÅNE LÄN</t>
        </is>
      </c>
      <c r="E683" t="inlineStr">
        <is>
          <t>HÄSSLEHOLM</t>
        </is>
      </c>
      <c r="G683" t="n">
        <v>8.6</v>
      </c>
      <c r="H683" t="n">
        <v>0</v>
      </c>
      <c r="I683" t="n">
        <v>0</v>
      </c>
      <c r="J683" t="n">
        <v>0</v>
      </c>
      <c r="K683" t="n">
        <v>0</v>
      </c>
      <c r="L683" t="n">
        <v>0</v>
      </c>
      <c r="M683" t="n">
        <v>0</v>
      </c>
      <c r="N683" t="n">
        <v>0</v>
      </c>
      <c r="O683" t="n">
        <v>0</v>
      </c>
      <c r="P683" t="n">
        <v>0</v>
      </c>
      <c r="Q683" t="n">
        <v>0</v>
      </c>
      <c r="R683" s="2" t="inlineStr"/>
    </row>
    <row r="684" ht="15" customHeight="1">
      <c r="A684" t="inlineStr">
        <is>
          <t>A 1616-2025</t>
        </is>
      </c>
      <c r="B684" s="1" t="n">
        <v>45670</v>
      </c>
      <c r="C684" s="1" t="n">
        <v>45937</v>
      </c>
      <c r="D684" t="inlineStr">
        <is>
          <t>SKÅNE LÄN</t>
        </is>
      </c>
      <c r="E684" t="inlineStr">
        <is>
          <t>HÄSSLEHOLM</t>
        </is>
      </c>
      <c r="G684" t="n">
        <v>3.6</v>
      </c>
      <c r="H684" t="n">
        <v>0</v>
      </c>
      <c r="I684" t="n">
        <v>0</v>
      </c>
      <c r="J684" t="n">
        <v>0</v>
      </c>
      <c r="K684" t="n">
        <v>0</v>
      </c>
      <c r="L684" t="n">
        <v>0</v>
      </c>
      <c r="M684" t="n">
        <v>0</v>
      </c>
      <c r="N684" t="n">
        <v>0</v>
      </c>
      <c r="O684" t="n">
        <v>0</v>
      </c>
      <c r="P684" t="n">
        <v>0</v>
      </c>
      <c r="Q684" t="n">
        <v>0</v>
      </c>
      <c r="R684" s="2" t="inlineStr"/>
    </row>
    <row r="685" ht="15" customHeight="1">
      <c r="A685" t="inlineStr">
        <is>
          <t>A 11446-2025</t>
        </is>
      </c>
      <c r="B685" s="1" t="n">
        <v>45726</v>
      </c>
      <c r="C685" s="1" t="n">
        <v>45937</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35237-2023</t>
        </is>
      </c>
      <c r="B686" s="1" t="n">
        <v>45145.74532407407</v>
      </c>
      <c r="C686" s="1" t="n">
        <v>45937</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30010-2025</t>
        </is>
      </c>
      <c r="B687" s="1" t="n">
        <v>45826</v>
      </c>
      <c r="C687" s="1" t="n">
        <v>45937</v>
      </c>
      <c r="D687" t="inlineStr">
        <is>
          <t>SKÅNE LÄN</t>
        </is>
      </c>
      <c r="E687" t="inlineStr">
        <is>
          <t>HÄSSLEHOLM</t>
        </is>
      </c>
      <c r="G687" t="n">
        <v>4.5</v>
      </c>
      <c r="H687" t="n">
        <v>0</v>
      </c>
      <c r="I687" t="n">
        <v>0</v>
      </c>
      <c r="J687" t="n">
        <v>0</v>
      </c>
      <c r="K687" t="n">
        <v>0</v>
      </c>
      <c r="L687" t="n">
        <v>0</v>
      </c>
      <c r="M687" t="n">
        <v>0</v>
      </c>
      <c r="N687" t="n">
        <v>0</v>
      </c>
      <c r="O687" t="n">
        <v>0</v>
      </c>
      <c r="P687" t="n">
        <v>0</v>
      </c>
      <c r="Q687" t="n">
        <v>0</v>
      </c>
      <c r="R687" s="2" t="inlineStr"/>
    </row>
    <row r="688" ht="15" customHeight="1">
      <c r="A688" t="inlineStr">
        <is>
          <t>A 5476-2021</t>
        </is>
      </c>
      <c r="B688" s="1" t="n">
        <v>44230</v>
      </c>
      <c r="C688" s="1" t="n">
        <v>45937</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27291-2023</t>
        </is>
      </c>
      <c r="B689" s="1" t="n">
        <v>45096</v>
      </c>
      <c r="C689" s="1" t="n">
        <v>45937</v>
      </c>
      <c r="D689" t="inlineStr">
        <is>
          <t>SKÅNE LÄN</t>
        </is>
      </c>
      <c r="E689" t="inlineStr">
        <is>
          <t>HÄSSLEHOLM</t>
        </is>
      </c>
      <c r="G689" t="n">
        <v>3.5</v>
      </c>
      <c r="H689" t="n">
        <v>0</v>
      </c>
      <c r="I689" t="n">
        <v>0</v>
      </c>
      <c r="J689" t="n">
        <v>0</v>
      </c>
      <c r="K689" t="n">
        <v>0</v>
      </c>
      <c r="L689" t="n">
        <v>0</v>
      </c>
      <c r="M689" t="n">
        <v>0</v>
      </c>
      <c r="N689" t="n">
        <v>0</v>
      </c>
      <c r="O689" t="n">
        <v>0</v>
      </c>
      <c r="P689" t="n">
        <v>0</v>
      </c>
      <c r="Q689" t="n">
        <v>0</v>
      </c>
      <c r="R689" s="2" t="inlineStr"/>
    </row>
    <row r="690" ht="15" customHeight="1">
      <c r="A690" t="inlineStr">
        <is>
          <t>A 260-2024</t>
        </is>
      </c>
      <c r="B690" s="1" t="n">
        <v>45294</v>
      </c>
      <c r="C690" s="1" t="n">
        <v>45937</v>
      </c>
      <c r="D690" t="inlineStr">
        <is>
          <t>SKÅNE LÄN</t>
        </is>
      </c>
      <c r="E690" t="inlineStr">
        <is>
          <t>HÄSSLEHOLM</t>
        </is>
      </c>
      <c r="G690" t="n">
        <v>0.2</v>
      </c>
      <c r="H690" t="n">
        <v>0</v>
      </c>
      <c r="I690" t="n">
        <v>0</v>
      </c>
      <c r="J690" t="n">
        <v>0</v>
      </c>
      <c r="K690" t="n">
        <v>0</v>
      </c>
      <c r="L690" t="n">
        <v>0</v>
      </c>
      <c r="M690" t="n">
        <v>0</v>
      </c>
      <c r="N690" t="n">
        <v>0</v>
      </c>
      <c r="O690" t="n">
        <v>0</v>
      </c>
      <c r="P690" t="n">
        <v>0</v>
      </c>
      <c r="Q690" t="n">
        <v>0</v>
      </c>
      <c r="R690" s="2" t="inlineStr"/>
    </row>
    <row r="691" ht="15" customHeight="1">
      <c r="A691" t="inlineStr">
        <is>
          <t>A 16860-2025</t>
        </is>
      </c>
      <c r="B691" s="1" t="n">
        <v>45751</v>
      </c>
      <c r="C691" s="1" t="n">
        <v>45937</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9556-2025</t>
        </is>
      </c>
      <c r="B692" s="1" t="n">
        <v>45714</v>
      </c>
      <c r="C692" s="1" t="n">
        <v>45937</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57275-2023</t>
        </is>
      </c>
      <c r="B693" s="1" t="n">
        <v>45245.58886574074</v>
      </c>
      <c r="C693" s="1" t="n">
        <v>45937</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47161-2025</t>
        </is>
      </c>
      <c r="B694" s="1" t="n">
        <v>45929</v>
      </c>
      <c r="C694" s="1" t="n">
        <v>45937</v>
      </c>
      <c r="D694" t="inlineStr">
        <is>
          <t>SKÅNE LÄN</t>
        </is>
      </c>
      <c r="E694" t="inlineStr">
        <is>
          <t>HÄSSLEHOLM</t>
        </is>
      </c>
      <c r="G694" t="n">
        <v>0.9</v>
      </c>
      <c r="H694" t="n">
        <v>0</v>
      </c>
      <c r="I694" t="n">
        <v>0</v>
      </c>
      <c r="J694" t="n">
        <v>0</v>
      </c>
      <c r="K694" t="n">
        <v>0</v>
      </c>
      <c r="L694" t="n">
        <v>0</v>
      </c>
      <c r="M694" t="n">
        <v>0</v>
      </c>
      <c r="N694" t="n">
        <v>0</v>
      </c>
      <c r="O694" t="n">
        <v>0</v>
      </c>
      <c r="P694" t="n">
        <v>0</v>
      </c>
      <c r="Q694" t="n">
        <v>0</v>
      </c>
      <c r="R694" s="2" t="inlineStr"/>
    </row>
    <row r="695" ht="15" customHeight="1">
      <c r="A695" t="inlineStr">
        <is>
          <t>A 39453-2025</t>
        </is>
      </c>
      <c r="B695" s="1" t="n">
        <v>45889</v>
      </c>
      <c r="C695" s="1" t="n">
        <v>45937</v>
      </c>
      <c r="D695" t="inlineStr">
        <is>
          <t>SKÅNE LÄN</t>
        </is>
      </c>
      <c r="E695" t="inlineStr">
        <is>
          <t>HÄSSLEHOLM</t>
        </is>
      </c>
      <c r="G695" t="n">
        <v>2.5</v>
      </c>
      <c r="H695" t="n">
        <v>0</v>
      </c>
      <c r="I695" t="n">
        <v>0</v>
      </c>
      <c r="J695" t="n">
        <v>0</v>
      </c>
      <c r="K695" t="n">
        <v>0</v>
      </c>
      <c r="L695" t="n">
        <v>0</v>
      </c>
      <c r="M695" t="n">
        <v>0</v>
      </c>
      <c r="N695" t="n">
        <v>0</v>
      </c>
      <c r="O695" t="n">
        <v>0</v>
      </c>
      <c r="P695" t="n">
        <v>0</v>
      </c>
      <c r="Q695" t="n">
        <v>0</v>
      </c>
      <c r="R695" s="2" t="inlineStr"/>
    </row>
    <row r="696" ht="15" customHeight="1">
      <c r="A696" t="inlineStr">
        <is>
          <t>A 47432-2025</t>
        </is>
      </c>
      <c r="B696" s="1" t="n">
        <v>45930</v>
      </c>
      <c r="C696" s="1" t="n">
        <v>45937</v>
      </c>
      <c r="D696" t="inlineStr">
        <is>
          <t>SKÅNE LÄN</t>
        </is>
      </c>
      <c r="E696" t="inlineStr">
        <is>
          <t>HÄSSLEHOLM</t>
        </is>
      </c>
      <c r="G696" t="n">
        <v>3.1</v>
      </c>
      <c r="H696" t="n">
        <v>0</v>
      </c>
      <c r="I696" t="n">
        <v>0</v>
      </c>
      <c r="J696" t="n">
        <v>0</v>
      </c>
      <c r="K696" t="n">
        <v>0</v>
      </c>
      <c r="L696" t="n">
        <v>0</v>
      </c>
      <c r="M696" t="n">
        <v>0</v>
      </c>
      <c r="N696" t="n">
        <v>0</v>
      </c>
      <c r="O696" t="n">
        <v>0</v>
      </c>
      <c r="P696" t="n">
        <v>0</v>
      </c>
      <c r="Q696" t="n">
        <v>0</v>
      </c>
      <c r="R696" s="2" t="inlineStr"/>
    </row>
    <row r="697" ht="15" customHeight="1">
      <c r="A697" t="inlineStr">
        <is>
          <t>A 11116-2023</t>
        </is>
      </c>
      <c r="B697" s="1" t="n">
        <v>44986</v>
      </c>
      <c r="C697" s="1" t="n">
        <v>45937</v>
      </c>
      <c r="D697" t="inlineStr">
        <is>
          <t>SKÅNE LÄN</t>
        </is>
      </c>
      <c r="E697" t="inlineStr">
        <is>
          <t>HÄSSLEHOLM</t>
        </is>
      </c>
      <c r="F697" t="inlineStr">
        <is>
          <t>Kommuner</t>
        </is>
      </c>
      <c r="G697" t="n">
        <v>15.1</v>
      </c>
      <c r="H697" t="n">
        <v>0</v>
      </c>
      <c r="I697" t="n">
        <v>0</v>
      </c>
      <c r="J697" t="n">
        <v>0</v>
      </c>
      <c r="K697" t="n">
        <v>0</v>
      </c>
      <c r="L697" t="n">
        <v>0</v>
      </c>
      <c r="M697" t="n">
        <v>0</v>
      </c>
      <c r="N697" t="n">
        <v>0</v>
      </c>
      <c r="O697" t="n">
        <v>0</v>
      </c>
      <c r="P697" t="n">
        <v>0</v>
      </c>
      <c r="Q697" t="n">
        <v>0</v>
      </c>
      <c r="R697" s="2" t="inlineStr"/>
    </row>
    <row r="698" ht="15" customHeight="1">
      <c r="A698" t="inlineStr">
        <is>
          <t>A 39457-2025</t>
        </is>
      </c>
      <c r="B698" s="1" t="n">
        <v>45889.76887731482</v>
      </c>
      <c r="C698" s="1" t="n">
        <v>45937</v>
      </c>
      <c r="D698" t="inlineStr">
        <is>
          <t>SKÅNE LÄN</t>
        </is>
      </c>
      <c r="E698" t="inlineStr">
        <is>
          <t>HÄSSLEHOLM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46813-2024</t>
        </is>
      </c>
      <c r="B699" s="1" t="n">
        <v>45583</v>
      </c>
      <c r="C699" s="1" t="n">
        <v>45937</v>
      </c>
      <c r="D699" t="inlineStr">
        <is>
          <t>SKÅNE LÄN</t>
        </is>
      </c>
      <c r="E699" t="inlineStr">
        <is>
          <t>HÄSSLEHOLM</t>
        </is>
      </c>
      <c r="G699" t="n">
        <v>14.9</v>
      </c>
      <c r="H699" t="n">
        <v>0</v>
      </c>
      <c r="I699" t="n">
        <v>0</v>
      </c>
      <c r="J699" t="n">
        <v>0</v>
      </c>
      <c r="K699" t="n">
        <v>0</v>
      </c>
      <c r="L699" t="n">
        <v>0</v>
      </c>
      <c r="M699" t="n">
        <v>0</v>
      </c>
      <c r="N699" t="n">
        <v>0</v>
      </c>
      <c r="O699" t="n">
        <v>0</v>
      </c>
      <c r="P699" t="n">
        <v>0</v>
      </c>
      <c r="Q699" t="n">
        <v>0</v>
      </c>
      <c r="R699" s="2" t="inlineStr"/>
    </row>
    <row r="700" ht="15" customHeight="1">
      <c r="A700" t="inlineStr">
        <is>
          <t>A 15535-2025</t>
        </is>
      </c>
      <c r="B700" s="1" t="n">
        <v>45747</v>
      </c>
      <c r="C700" s="1" t="n">
        <v>45937</v>
      </c>
      <c r="D700" t="inlineStr">
        <is>
          <t>SKÅNE LÄN</t>
        </is>
      </c>
      <c r="E700" t="inlineStr">
        <is>
          <t>HÄSSLEHOLM</t>
        </is>
      </c>
      <c r="G700" t="n">
        <v>2.9</v>
      </c>
      <c r="H700" t="n">
        <v>0</v>
      </c>
      <c r="I700" t="n">
        <v>0</v>
      </c>
      <c r="J700" t="n">
        <v>0</v>
      </c>
      <c r="K700" t="n">
        <v>0</v>
      </c>
      <c r="L700" t="n">
        <v>0</v>
      </c>
      <c r="M700" t="n">
        <v>0</v>
      </c>
      <c r="N700" t="n">
        <v>0</v>
      </c>
      <c r="O700" t="n">
        <v>0</v>
      </c>
      <c r="P700" t="n">
        <v>0</v>
      </c>
      <c r="Q700" t="n">
        <v>0</v>
      </c>
      <c r="R700" s="2" t="inlineStr"/>
    </row>
    <row r="701" ht="15" customHeight="1">
      <c r="A701" t="inlineStr">
        <is>
          <t>A 15536-2025</t>
        </is>
      </c>
      <c r="B701" s="1" t="n">
        <v>45747</v>
      </c>
      <c r="C701" s="1" t="n">
        <v>45937</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27304-2023</t>
        </is>
      </c>
      <c r="B702" s="1" t="n">
        <v>45096.65199074074</v>
      </c>
      <c r="C702" s="1" t="n">
        <v>45937</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47394-2025</t>
        </is>
      </c>
      <c r="B703" s="1" t="n">
        <v>45930</v>
      </c>
      <c r="C703" s="1" t="n">
        <v>45937</v>
      </c>
      <c r="D703" t="inlineStr">
        <is>
          <t>SKÅNE LÄN</t>
        </is>
      </c>
      <c r="E703" t="inlineStr">
        <is>
          <t>HÄSSLEHOLM</t>
        </is>
      </c>
      <c r="G703" t="n">
        <v>2.4</v>
      </c>
      <c r="H703" t="n">
        <v>0</v>
      </c>
      <c r="I703" t="n">
        <v>0</v>
      </c>
      <c r="J703" t="n">
        <v>0</v>
      </c>
      <c r="K703" t="n">
        <v>0</v>
      </c>
      <c r="L703" t="n">
        <v>0</v>
      </c>
      <c r="M703" t="n">
        <v>0</v>
      </c>
      <c r="N703" t="n">
        <v>0</v>
      </c>
      <c r="O703" t="n">
        <v>0</v>
      </c>
      <c r="P703" t="n">
        <v>0</v>
      </c>
      <c r="Q703" t="n">
        <v>0</v>
      </c>
      <c r="R703" s="2" t="inlineStr"/>
    </row>
    <row r="704" ht="15" customHeight="1">
      <c r="A704" t="inlineStr">
        <is>
          <t>A 47422-2025</t>
        </is>
      </c>
      <c r="B704" s="1" t="n">
        <v>45930</v>
      </c>
      <c r="C704" s="1" t="n">
        <v>45937</v>
      </c>
      <c r="D704" t="inlineStr">
        <is>
          <t>SKÅNE LÄN</t>
        </is>
      </c>
      <c r="E704" t="inlineStr">
        <is>
          <t>HÄSSLEHOLM</t>
        </is>
      </c>
      <c r="G704" t="n">
        <v>3.5</v>
      </c>
      <c r="H704" t="n">
        <v>0</v>
      </c>
      <c r="I704" t="n">
        <v>0</v>
      </c>
      <c r="J704" t="n">
        <v>0</v>
      </c>
      <c r="K704" t="n">
        <v>0</v>
      </c>
      <c r="L704" t="n">
        <v>0</v>
      </c>
      <c r="M704" t="n">
        <v>0</v>
      </c>
      <c r="N704" t="n">
        <v>0</v>
      </c>
      <c r="O704" t="n">
        <v>0</v>
      </c>
      <c r="P704" t="n">
        <v>0</v>
      </c>
      <c r="Q704" t="n">
        <v>0</v>
      </c>
      <c r="R704" s="2" t="inlineStr"/>
    </row>
    <row r="705" ht="15" customHeight="1">
      <c r="A705" t="inlineStr">
        <is>
          <t>A 47450-2025</t>
        </is>
      </c>
      <c r="B705" s="1" t="n">
        <v>45930</v>
      </c>
      <c r="C705" s="1" t="n">
        <v>45937</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11121-2023</t>
        </is>
      </c>
      <c r="B706" s="1" t="n">
        <v>44986</v>
      </c>
      <c r="C706" s="1" t="n">
        <v>45937</v>
      </c>
      <c r="D706" t="inlineStr">
        <is>
          <t>SKÅNE LÄN</t>
        </is>
      </c>
      <c r="E706" t="inlineStr">
        <is>
          <t>HÄSSLEHOLM</t>
        </is>
      </c>
      <c r="F706" t="inlineStr">
        <is>
          <t>Kommuner</t>
        </is>
      </c>
      <c r="G706" t="n">
        <v>5.8</v>
      </c>
      <c r="H706" t="n">
        <v>0</v>
      </c>
      <c r="I706" t="n">
        <v>0</v>
      </c>
      <c r="J706" t="n">
        <v>0</v>
      </c>
      <c r="K706" t="n">
        <v>0</v>
      </c>
      <c r="L706" t="n">
        <v>0</v>
      </c>
      <c r="M706" t="n">
        <v>0</v>
      </c>
      <c r="N706" t="n">
        <v>0</v>
      </c>
      <c r="O706" t="n">
        <v>0</v>
      </c>
      <c r="P706" t="n">
        <v>0</v>
      </c>
      <c r="Q706" t="n">
        <v>0</v>
      </c>
      <c r="R706" s="2" t="inlineStr"/>
    </row>
    <row r="707" ht="15" customHeight="1">
      <c r="A707" t="inlineStr">
        <is>
          <t>A 47473-2025</t>
        </is>
      </c>
      <c r="B707" s="1" t="n">
        <v>45930.67763888889</v>
      </c>
      <c r="C707" s="1" t="n">
        <v>45937</v>
      </c>
      <c r="D707" t="inlineStr">
        <is>
          <t>SKÅNE LÄN</t>
        </is>
      </c>
      <c r="E707" t="inlineStr">
        <is>
          <t>HÄSSLEHOLM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48798-2023</t>
        </is>
      </c>
      <c r="B708" s="1" t="n">
        <v>45209.25318287037</v>
      </c>
      <c r="C708" s="1" t="n">
        <v>45937</v>
      </c>
      <c r="D708" t="inlineStr">
        <is>
          <t>SKÅNE LÄN</t>
        </is>
      </c>
      <c r="E708" t="inlineStr">
        <is>
          <t>HÄSSLEHOLM</t>
        </is>
      </c>
      <c r="G708" t="n">
        <v>2.1</v>
      </c>
      <c r="H708" t="n">
        <v>0</v>
      </c>
      <c r="I708" t="n">
        <v>0</v>
      </c>
      <c r="J708" t="n">
        <v>0</v>
      </c>
      <c r="K708" t="n">
        <v>0</v>
      </c>
      <c r="L708" t="n">
        <v>0</v>
      </c>
      <c r="M708" t="n">
        <v>0</v>
      </c>
      <c r="N708" t="n">
        <v>0</v>
      </c>
      <c r="O708" t="n">
        <v>0</v>
      </c>
      <c r="P708" t="n">
        <v>0</v>
      </c>
      <c r="Q708" t="n">
        <v>0</v>
      </c>
      <c r="R708" s="2" t="inlineStr"/>
    </row>
    <row r="709" ht="15" customHeight="1">
      <c r="A709" t="inlineStr">
        <is>
          <t>A 39366-2025</t>
        </is>
      </c>
      <c r="B709" s="1" t="n">
        <v>45889</v>
      </c>
      <c r="C709" s="1" t="n">
        <v>45937</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47352-2025</t>
        </is>
      </c>
      <c r="B710" s="1" t="n">
        <v>45930</v>
      </c>
      <c r="C710" s="1" t="n">
        <v>45937</v>
      </c>
      <c r="D710" t="inlineStr">
        <is>
          <t>SKÅNE LÄN</t>
        </is>
      </c>
      <c r="E710" t="inlineStr">
        <is>
          <t>HÄSSLEHOLM</t>
        </is>
      </c>
      <c r="G710" t="n">
        <v>16.6</v>
      </c>
      <c r="H710" t="n">
        <v>0</v>
      </c>
      <c r="I710" t="n">
        <v>0</v>
      </c>
      <c r="J710" t="n">
        <v>0</v>
      </c>
      <c r="K710" t="n">
        <v>0</v>
      </c>
      <c r="L710" t="n">
        <v>0</v>
      </c>
      <c r="M710" t="n">
        <v>0</v>
      </c>
      <c r="N710" t="n">
        <v>0</v>
      </c>
      <c r="O710" t="n">
        <v>0</v>
      </c>
      <c r="P710" t="n">
        <v>0</v>
      </c>
      <c r="Q710" t="n">
        <v>0</v>
      </c>
      <c r="R710" s="2" t="inlineStr"/>
    </row>
    <row r="711" ht="15" customHeight="1">
      <c r="A711" t="inlineStr">
        <is>
          <t>A 48191-2021</t>
        </is>
      </c>
      <c r="B711" s="1" t="n">
        <v>44449</v>
      </c>
      <c r="C711" s="1" t="n">
        <v>45937</v>
      </c>
      <c r="D711" t="inlineStr">
        <is>
          <t>SKÅNE LÄN</t>
        </is>
      </c>
      <c r="E711" t="inlineStr">
        <is>
          <t>HÄSSLEHOLM</t>
        </is>
      </c>
      <c r="G711" t="n">
        <v>6</v>
      </c>
      <c r="H711" t="n">
        <v>0</v>
      </c>
      <c r="I711" t="n">
        <v>0</v>
      </c>
      <c r="J711" t="n">
        <v>0</v>
      </c>
      <c r="K711" t="n">
        <v>0</v>
      </c>
      <c r="L711" t="n">
        <v>0</v>
      </c>
      <c r="M711" t="n">
        <v>0</v>
      </c>
      <c r="N711" t="n">
        <v>0</v>
      </c>
      <c r="O711" t="n">
        <v>0</v>
      </c>
      <c r="P711" t="n">
        <v>0</v>
      </c>
      <c r="Q711" t="n">
        <v>0</v>
      </c>
      <c r="R711" s="2" t="inlineStr"/>
    </row>
    <row r="712" ht="15" customHeight="1">
      <c r="A712" t="inlineStr">
        <is>
          <t>A 6845-2023</t>
        </is>
      </c>
      <c r="B712" s="1" t="n">
        <v>44967</v>
      </c>
      <c r="C712" s="1" t="n">
        <v>45937</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48627-2023</t>
        </is>
      </c>
      <c r="B713" s="1" t="n">
        <v>45208.57371527778</v>
      </c>
      <c r="C713" s="1" t="n">
        <v>45937</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17152-2025</t>
        </is>
      </c>
      <c r="B714" s="1" t="n">
        <v>45756.33318287037</v>
      </c>
      <c r="C714" s="1" t="n">
        <v>45937</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48326-2023</t>
        </is>
      </c>
      <c r="B715" s="1" t="n">
        <v>45205</v>
      </c>
      <c r="C715" s="1" t="n">
        <v>45937</v>
      </c>
      <c r="D715" t="inlineStr">
        <is>
          <t>SKÅNE LÄN</t>
        </is>
      </c>
      <c r="E715" t="inlineStr">
        <is>
          <t>HÄSSLEHOLM</t>
        </is>
      </c>
      <c r="G715" t="n">
        <v>12.7</v>
      </c>
      <c r="H715" t="n">
        <v>0</v>
      </c>
      <c r="I715" t="n">
        <v>0</v>
      </c>
      <c r="J715" t="n">
        <v>0</v>
      </c>
      <c r="K715" t="n">
        <v>0</v>
      </c>
      <c r="L715" t="n">
        <v>0</v>
      </c>
      <c r="M715" t="n">
        <v>0</v>
      </c>
      <c r="N715" t="n">
        <v>0</v>
      </c>
      <c r="O715" t="n">
        <v>0</v>
      </c>
      <c r="P715" t="n">
        <v>0</v>
      </c>
      <c r="Q715" t="n">
        <v>0</v>
      </c>
      <c r="R715" s="2" t="inlineStr"/>
    </row>
    <row r="716" ht="15" customHeight="1">
      <c r="A716" t="inlineStr">
        <is>
          <t>A 10752-2025</t>
        </is>
      </c>
      <c r="B716" s="1" t="n">
        <v>45722</v>
      </c>
      <c r="C716" s="1" t="n">
        <v>45937</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32834-2024</t>
        </is>
      </c>
      <c r="B717" s="1" t="n">
        <v>45516.6025</v>
      </c>
      <c r="C717" s="1" t="n">
        <v>45937</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31159-2025</t>
        </is>
      </c>
      <c r="B718" s="1" t="n">
        <v>45832.65322916667</v>
      </c>
      <c r="C718" s="1" t="n">
        <v>45937</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54462-2022</t>
        </is>
      </c>
      <c r="B719" s="1" t="n">
        <v>44882</v>
      </c>
      <c r="C719" s="1" t="n">
        <v>45937</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49199-2024</t>
        </is>
      </c>
      <c r="B720" s="1" t="n">
        <v>45595</v>
      </c>
      <c r="C720" s="1" t="n">
        <v>45937</v>
      </c>
      <c r="D720" t="inlineStr">
        <is>
          <t>SKÅNE LÄN</t>
        </is>
      </c>
      <c r="E720" t="inlineStr">
        <is>
          <t>HÄSSLEHOLM</t>
        </is>
      </c>
      <c r="G720" t="n">
        <v>5.2</v>
      </c>
      <c r="H720" t="n">
        <v>0</v>
      </c>
      <c r="I720" t="n">
        <v>0</v>
      </c>
      <c r="J720" t="n">
        <v>0</v>
      </c>
      <c r="K720" t="n">
        <v>0</v>
      </c>
      <c r="L720" t="n">
        <v>0</v>
      </c>
      <c r="M720" t="n">
        <v>0</v>
      </c>
      <c r="N720" t="n">
        <v>0</v>
      </c>
      <c r="O720" t="n">
        <v>0</v>
      </c>
      <c r="P720" t="n">
        <v>0</v>
      </c>
      <c r="Q720" t="n">
        <v>0</v>
      </c>
      <c r="R720" s="2" t="inlineStr"/>
    </row>
    <row r="721" ht="15" customHeight="1">
      <c r="A721" t="inlineStr">
        <is>
          <t>A 3890-2024</t>
        </is>
      </c>
      <c r="B721" s="1" t="n">
        <v>45322.45366898148</v>
      </c>
      <c r="C721" s="1" t="n">
        <v>45937</v>
      </c>
      <c r="D721" t="inlineStr">
        <is>
          <t>SKÅNE LÄN</t>
        </is>
      </c>
      <c r="E721" t="inlineStr">
        <is>
          <t>HÄSSLEHOLM</t>
        </is>
      </c>
      <c r="G721" t="n">
        <v>3</v>
      </c>
      <c r="H721" t="n">
        <v>0</v>
      </c>
      <c r="I721" t="n">
        <v>0</v>
      </c>
      <c r="J721" t="n">
        <v>0</v>
      </c>
      <c r="K721" t="n">
        <v>0</v>
      </c>
      <c r="L721" t="n">
        <v>0</v>
      </c>
      <c r="M721" t="n">
        <v>0</v>
      </c>
      <c r="N721" t="n">
        <v>0</v>
      </c>
      <c r="O721" t="n">
        <v>0</v>
      </c>
      <c r="P721" t="n">
        <v>0</v>
      </c>
      <c r="Q721" t="n">
        <v>0</v>
      </c>
      <c r="R721" s="2" t="inlineStr"/>
    </row>
    <row r="722" ht="15" customHeight="1">
      <c r="A722" t="inlineStr">
        <is>
          <t>A 58886-2024</t>
        </is>
      </c>
      <c r="B722" s="1" t="n">
        <v>45636.45380787037</v>
      </c>
      <c r="C722" s="1" t="n">
        <v>45937</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13345-2025</t>
        </is>
      </c>
      <c r="B723" s="1" t="n">
        <v>45735.63017361111</v>
      </c>
      <c r="C723" s="1" t="n">
        <v>45937</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54471-2023</t>
        </is>
      </c>
      <c r="B724" s="1" t="n">
        <v>45233.4640162037</v>
      </c>
      <c r="C724" s="1" t="n">
        <v>45937</v>
      </c>
      <c r="D724" t="inlineStr">
        <is>
          <t>SKÅNE LÄN</t>
        </is>
      </c>
      <c r="E724" t="inlineStr">
        <is>
          <t>HÄSSLEHOLM</t>
        </is>
      </c>
      <c r="G724" t="n">
        <v>1.4</v>
      </c>
      <c r="H724" t="n">
        <v>0</v>
      </c>
      <c r="I724" t="n">
        <v>0</v>
      </c>
      <c r="J724" t="n">
        <v>0</v>
      </c>
      <c r="K724" t="n">
        <v>0</v>
      </c>
      <c r="L724" t="n">
        <v>0</v>
      </c>
      <c r="M724" t="n">
        <v>0</v>
      </c>
      <c r="N724" t="n">
        <v>0</v>
      </c>
      <c r="O724" t="n">
        <v>0</v>
      </c>
      <c r="P724" t="n">
        <v>0</v>
      </c>
      <c r="Q724" t="n">
        <v>0</v>
      </c>
      <c r="R724" s="2" t="inlineStr"/>
    </row>
    <row r="725" ht="15" customHeight="1">
      <c r="A725" t="inlineStr">
        <is>
          <t>A 57963-2023</t>
        </is>
      </c>
      <c r="B725" s="1" t="n">
        <v>45247.57732638889</v>
      </c>
      <c r="C725" s="1" t="n">
        <v>45937</v>
      </c>
      <c r="D725" t="inlineStr">
        <is>
          <t>SKÅNE LÄN</t>
        </is>
      </c>
      <c r="E725" t="inlineStr">
        <is>
          <t>HÄSSLEHOLM</t>
        </is>
      </c>
      <c r="G725" t="n">
        <v>4.6</v>
      </c>
      <c r="H725" t="n">
        <v>0</v>
      </c>
      <c r="I725" t="n">
        <v>0</v>
      </c>
      <c r="J725" t="n">
        <v>0</v>
      </c>
      <c r="K725" t="n">
        <v>0</v>
      </c>
      <c r="L725" t="n">
        <v>0</v>
      </c>
      <c r="M725" t="n">
        <v>0</v>
      </c>
      <c r="N725" t="n">
        <v>0</v>
      </c>
      <c r="O725" t="n">
        <v>0</v>
      </c>
      <c r="P725" t="n">
        <v>0</v>
      </c>
      <c r="Q725" t="n">
        <v>0</v>
      </c>
      <c r="R725" s="2" t="inlineStr"/>
    </row>
    <row r="726" ht="15" customHeight="1">
      <c r="A726" t="inlineStr">
        <is>
          <t>A 59028-2023</t>
        </is>
      </c>
      <c r="B726" s="1" t="n">
        <v>45252.67900462963</v>
      </c>
      <c r="C726" s="1" t="n">
        <v>45937</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12469-2023</t>
        </is>
      </c>
      <c r="B727" s="1" t="n">
        <v>44999.62109953703</v>
      </c>
      <c r="C727" s="1" t="n">
        <v>45937</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13544-2025</t>
        </is>
      </c>
      <c r="B728" s="1" t="n">
        <v>45736</v>
      </c>
      <c r="C728" s="1" t="n">
        <v>45937</v>
      </c>
      <c r="D728" t="inlineStr">
        <is>
          <t>SKÅNE LÄN</t>
        </is>
      </c>
      <c r="E728" t="inlineStr">
        <is>
          <t>HÄSSLEHOLM</t>
        </is>
      </c>
      <c r="G728" t="n">
        <v>2.5</v>
      </c>
      <c r="H728" t="n">
        <v>0</v>
      </c>
      <c r="I728" t="n">
        <v>0</v>
      </c>
      <c r="J728" t="n">
        <v>0</v>
      </c>
      <c r="K728" t="n">
        <v>0</v>
      </c>
      <c r="L728" t="n">
        <v>0</v>
      </c>
      <c r="M728" t="n">
        <v>0</v>
      </c>
      <c r="N728" t="n">
        <v>0</v>
      </c>
      <c r="O728" t="n">
        <v>0</v>
      </c>
      <c r="P728" t="n">
        <v>0</v>
      </c>
      <c r="Q728" t="n">
        <v>0</v>
      </c>
      <c r="R728" s="2" t="inlineStr"/>
    </row>
    <row r="729" ht="15" customHeight="1">
      <c r="A729" t="inlineStr">
        <is>
          <t>A 48663-2024</t>
        </is>
      </c>
      <c r="B729" s="1" t="n">
        <v>45593.48892361111</v>
      </c>
      <c r="C729" s="1" t="n">
        <v>45937</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2712-2024</t>
        </is>
      </c>
      <c r="B730" s="1" t="n">
        <v>45314</v>
      </c>
      <c r="C730" s="1" t="n">
        <v>45937</v>
      </c>
      <c r="D730" t="inlineStr">
        <is>
          <t>SKÅNE LÄN</t>
        </is>
      </c>
      <c r="E730" t="inlineStr">
        <is>
          <t>HÄSSLEHOLM</t>
        </is>
      </c>
      <c r="G730" t="n">
        <v>11.3</v>
      </c>
      <c r="H730" t="n">
        <v>0</v>
      </c>
      <c r="I730" t="n">
        <v>0</v>
      </c>
      <c r="J730" t="n">
        <v>0</v>
      </c>
      <c r="K730" t="n">
        <v>0</v>
      </c>
      <c r="L730" t="n">
        <v>0</v>
      </c>
      <c r="M730" t="n">
        <v>0</v>
      </c>
      <c r="N730" t="n">
        <v>0</v>
      </c>
      <c r="O730" t="n">
        <v>0</v>
      </c>
      <c r="P730" t="n">
        <v>0</v>
      </c>
      <c r="Q730" t="n">
        <v>0</v>
      </c>
      <c r="R730" s="2" t="inlineStr"/>
    </row>
    <row r="731" ht="15" customHeight="1">
      <c r="A731" t="inlineStr">
        <is>
          <t>A 50659-2023</t>
        </is>
      </c>
      <c r="B731" s="1" t="n">
        <v>45217</v>
      </c>
      <c r="C731" s="1" t="n">
        <v>45937</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260-2024</t>
        </is>
      </c>
      <c r="B732" s="1" t="n">
        <v>45294</v>
      </c>
      <c r="C732" s="1" t="n">
        <v>45937</v>
      </c>
      <c r="D732" t="inlineStr">
        <is>
          <t>SKÅNE LÄN</t>
        </is>
      </c>
      <c r="E732" t="inlineStr">
        <is>
          <t>HÄSSLEHOLM</t>
        </is>
      </c>
      <c r="G732" t="n">
        <v>1</v>
      </c>
      <c r="H732" t="n">
        <v>0</v>
      </c>
      <c r="I732" t="n">
        <v>0</v>
      </c>
      <c r="J732" t="n">
        <v>0</v>
      </c>
      <c r="K732" t="n">
        <v>0</v>
      </c>
      <c r="L732" t="n">
        <v>0</v>
      </c>
      <c r="M732" t="n">
        <v>0</v>
      </c>
      <c r="N732" t="n">
        <v>0</v>
      </c>
      <c r="O732" t="n">
        <v>0</v>
      </c>
      <c r="P732" t="n">
        <v>0</v>
      </c>
      <c r="Q732" t="n">
        <v>0</v>
      </c>
      <c r="R732" s="2" t="inlineStr"/>
    </row>
    <row r="733" ht="15" customHeight="1">
      <c r="A733" t="inlineStr">
        <is>
          <t>A 8263-2025</t>
        </is>
      </c>
      <c r="B733" s="1" t="n">
        <v>45708.50398148148</v>
      </c>
      <c r="C733" s="1" t="n">
        <v>45937</v>
      </c>
      <c r="D733" t="inlineStr">
        <is>
          <t>SKÅNE LÄN</t>
        </is>
      </c>
      <c r="E733" t="inlineStr">
        <is>
          <t>HÄSSLEHOLM</t>
        </is>
      </c>
      <c r="G733" t="n">
        <v>2.9</v>
      </c>
      <c r="H733" t="n">
        <v>0</v>
      </c>
      <c r="I733" t="n">
        <v>0</v>
      </c>
      <c r="J733" t="n">
        <v>0</v>
      </c>
      <c r="K733" t="n">
        <v>0</v>
      </c>
      <c r="L733" t="n">
        <v>0</v>
      </c>
      <c r="M733" t="n">
        <v>0</v>
      </c>
      <c r="N733" t="n">
        <v>0</v>
      </c>
      <c r="O733" t="n">
        <v>0</v>
      </c>
      <c r="P733" t="n">
        <v>0</v>
      </c>
      <c r="Q733" t="n">
        <v>0</v>
      </c>
      <c r="R733" s="2" t="inlineStr"/>
    </row>
    <row r="734" ht="15" customHeight="1">
      <c r="A734" t="inlineStr">
        <is>
          <t>A 27464-2022</t>
        </is>
      </c>
      <c r="B734" s="1" t="n">
        <v>44742.58704861111</v>
      </c>
      <c r="C734" s="1" t="n">
        <v>45937</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50525-2024</t>
        </is>
      </c>
      <c r="B735" s="1" t="n">
        <v>45601</v>
      </c>
      <c r="C735" s="1" t="n">
        <v>45937</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30006-2023</t>
        </is>
      </c>
      <c r="B736" s="1" t="n">
        <v>45109.79962962963</v>
      </c>
      <c r="C736" s="1" t="n">
        <v>45937</v>
      </c>
      <c r="D736" t="inlineStr">
        <is>
          <t>SKÅNE LÄN</t>
        </is>
      </c>
      <c r="E736" t="inlineStr">
        <is>
          <t>HÄSSLEHOLM</t>
        </is>
      </c>
      <c r="G736" t="n">
        <v>1.7</v>
      </c>
      <c r="H736" t="n">
        <v>0</v>
      </c>
      <c r="I736" t="n">
        <v>0</v>
      </c>
      <c r="J736" t="n">
        <v>0</v>
      </c>
      <c r="K736" t="n">
        <v>0</v>
      </c>
      <c r="L736" t="n">
        <v>0</v>
      </c>
      <c r="M736" t="n">
        <v>0</v>
      </c>
      <c r="N736" t="n">
        <v>0</v>
      </c>
      <c r="O736" t="n">
        <v>0</v>
      </c>
      <c r="P736" t="n">
        <v>0</v>
      </c>
      <c r="Q736" t="n">
        <v>0</v>
      </c>
      <c r="R736" s="2" t="inlineStr"/>
    </row>
    <row r="737" ht="15" customHeight="1">
      <c r="A737" t="inlineStr">
        <is>
          <t>A 27242-2022</t>
        </is>
      </c>
      <c r="B737" s="1" t="n">
        <v>44741</v>
      </c>
      <c r="C737" s="1" t="n">
        <v>45937</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42364-2023</t>
        </is>
      </c>
      <c r="B738" s="1" t="n">
        <v>45180.54754629629</v>
      </c>
      <c r="C738" s="1" t="n">
        <v>45937</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61578-2023</t>
        </is>
      </c>
      <c r="B739" s="1" t="n">
        <v>45265.47399305556</v>
      </c>
      <c r="C739" s="1" t="n">
        <v>45937</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27197-2021</t>
        </is>
      </c>
      <c r="B740" s="1" t="n">
        <v>44350</v>
      </c>
      <c r="C740" s="1" t="n">
        <v>45937</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2597-2024</t>
        </is>
      </c>
      <c r="B741" s="1" t="n">
        <v>45313</v>
      </c>
      <c r="C741" s="1" t="n">
        <v>45937</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32585-2025</t>
        </is>
      </c>
      <c r="B742" s="1" t="n">
        <v>45838.60021990741</v>
      </c>
      <c r="C742" s="1" t="n">
        <v>45937</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39934-2025</t>
        </is>
      </c>
      <c r="B743" s="1" t="n">
        <v>45891.71465277778</v>
      </c>
      <c r="C743" s="1" t="n">
        <v>45937</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62277-2023</t>
        </is>
      </c>
      <c r="B744" s="1" t="n">
        <v>45266</v>
      </c>
      <c r="C744" s="1" t="n">
        <v>45937</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3888-2024</t>
        </is>
      </c>
      <c r="B745" s="1" t="n">
        <v>45322.45089120371</v>
      </c>
      <c r="C745" s="1" t="n">
        <v>45937</v>
      </c>
      <c r="D745" t="inlineStr">
        <is>
          <t>SKÅNE LÄN</t>
        </is>
      </c>
      <c r="E745" t="inlineStr">
        <is>
          <t>HÄSSLEHOLM</t>
        </is>
      </c>
      <c r="G745" t="n">
        <v>2.4</v>
      </c>
      <c r="H745" t="n">
        <v>0</v>
      </c>
      <c r="I745" t="n">
        <v>0</v>
      </c>
      <c r="J745" t="n">
        <v>0</v>
      </c>
      <c r="K745" t="n">
        <v>0</v>
      </c>
      <c r="L745" t="n">
        <v>0</v>
      </c>
      <c r="M745" t="n">
        <v>0</v>
      </c>
      <c r="N745" t="n">
        <v>0</v>
      </c>
      <c r="O745" t="n">
        <v>0</v>
      </c>
      <c r="P745" t="n">
        <v>0</v>
      </c>
      <c r="Q745" t="n">
        <v>0</v>
      </c>
      <c r="R745" s="2" t="inlineStr"/>
    </row>
    <row r="746" ht="15" customHeight="1">
      <c r="A746" t="inlineStr">
        <is>
          <t>A 3889-2024</t>
        </is>
      </c>
      <c r="B746" s="1" t="n">
        <v>45322.45234953704</v>
      </c>
      <c r="C746" s="1" t="n">
        <v>45937</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32592-2025</t>
        </is>
      </c>
      <c r="B747" s="1" t="n">
        <v>45838.61020833333</v>
      </c>
      <c r="C747" s="1" t="n">
        <v>45937</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8249-2023</t>
        </is>
      </c>
      <c r="B748" s="1" t="n">
        <v>44974</v>
      </c>
      <c r="C748" s="1" t="n">
        <v>45937</v>
      </c>
      <c r="D748" t="inlineStr">
        <is>
          <t>SKÅNE LÄN</t>
        </is>
      </c>
      <c r="E748" t="inlineStr">
        <is>
          <t>HÄSSLEHOLM</t>
        </is>
      </c>
      <c r="G748" t="n">
        <v>5.8</v>
      </c>
      <c r="H748" t="n">
        <v>0</v>
      </c>
      <c r="I748" t="n">
        <v>0</v>
      </c>
      <c r="J748" t="n">
        <v>0</v>
      </c>
      <c r="K748" t="n">
        <v>0</v>
      </c>
      <c r="L748" t="n">
        <v>0</v>
      </c>
      <c r="M748" t="n">
        <v>0</v>
      </c>
      <c r="N748" t="n">
        <v>0</v>
      </c>
      <c r="O748" t="n">
        <v>0</v>
      </c>
      <c r="P748" t="n">
        <v>0</v>
      </c>
      <c r="Q748" t="n">
        <v>0</v>
      </c>
      <c r="R748" s="2" t="inlineStr"/>
    </row>
    <row r="749" ht="15" customHeight="1">
      <c r="A749" t="inlineStr">
        <is>
          <t>A 3480-2024</t>
        </is>
      </c>
      <c r="B749" s="1" t="n">
        <v>45320.43998842593</v>
      </c>
      <c r="C749" s="1" t="n">
        <v>45937</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48184-2025</t>
        </is>
      </c>
      <c r="B750" s="1" t="n">
        <v>45933.46131944445</v>
      </c>
      <c r="C750" s="1" t="n">
        <v>45937</v>
      </c>
      <c r="D750" t="inlineStr">
        <is>
          <t>SKÅNE LÄN</t>
        </is>
      </c>
      <c r="E750" t="inlineStr">
        <is>
          <t>HÄSSLEHOLM</t>
        </is>
      </c>
      <c r="G750" t="n">
        <v>3</v>
      </c>
      <c r="H750" t="n">
        <v>0</v>
      </c>
      <c r="I750" t="n">
        <v>0</v>
      </c>
      <c r="J750" t="n">
        <v>0</v>
      </c>
      <c r="K750" t="n">
        <v>0</v>
      </c>
      <c r="L750" t="n">
        <v>0</v>
      </c>
      <c r="M750" t="n">
        <v>0</v>
      </c>
      <c r="N750" t="n">
        <v>0</v>
      </c>
      <c r="O750" t="n">
        <v>0</v>
      </c>
      <c r="P750" t="n">
        <v>0</v>
      </c>
      <c r="Q750" t="n">
        <v>0</v>
      </c>
      <c r="R750" s="2" t="inlineStr"/>
    </row>
    <row r="751" ht="15" customHeight="1">
      <c r="A751" t="inlineStr">
        <is>
          <t>A 33465-2024</t>
        </is>
      </c>
      <c r="B751" s="1" t="n">
        <v>45519.59619212963</v>
      </c>
      <c r="C751" s="1" t="n">
        <v>45937</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48722-2025</t>
        </is>
      </c>
      <c r="B752" s="1" t="n">
        <v>45935</v>
      </c>
      <c r="C752" s="1" t="n">
        <v>45937</v>
      </c>
      <c r="D752" t="inlineStr">
        <is>
          <t>SKÅNE LÄN</t>
        </is>
      </c>
      <c r="E752" t="inlineStr">
        <is>
          <t>HÄSSLEHOLM</t>
        </is>
      </c>
      <c r="G752" t="n">
        <v>4.3</v>
      </c>
      <c r="H752" t="n">
        <v>0</v>
      </c>
      <c r="I752" t="n">
        <v>0</v>
      </c>
      <c r="J752" t="n">
        <v>0</v>
      </c>
      <c r="K752" t="n">
        <v>0</v>
      </c>
      <c r="L752" t="n">
        <v>0</v>
      </c>
      <c r="M752" t="n">
        <v>0</v>
      </c>
      <c r="N752" t="n">
        <v>0</v>
      </c>
      <c r="O752" t="n">
        <v>0</v>
      </c>
      <c r="P752" t="n">
        <v>0</v>
      </c>
      <c r="Q752" t="n">
        <v>0</v>
      </c>
      <c r="R752" s="2" t="inlineStr"/>
    </row>
    <row r="753" ht="15" customHeight="1">
      <c r="A753" t="inlineStr">
        <is>
          <t>A 48185-2025</t>
        </is>
      </c>
      <c r="B753" s="1" t="n">
        <v>45933.46434027778</v>
      </c>
      <c r="C753" s="1" t="n">
        <v>45937</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39937-2025</t>
        </is>
      </c>
      <c r="B754" s="1" t="n">
        <v>45891.73162037037</v>
      </c>
      <c r="C754" s="1" t="n">
        <v>45937</v>
      </c>
      <c r="D754" t="inlineStr">
        <is>
          <t>SKÅNE LÄN</t>
        </is>
      </c>
      <c r="E754" t="inlineStr">
        <is>
          <t>HÄSSLEHOLM</t>
        </is>
      </c>
      <c r="G754" t="n">
        <v>4.5</v>
      </c>
      <c r="H754" t="n">
        <v>0</v>
      </c>
      <c r="I754" t="n">
        <v>0</v>
      </c>
      <c r="J754" t="n">
        <v>0</v>
      </c>
      <c r="K754" t="n">
        <v>0</v>
      </c>
      <c r="L754" t="n">
        <v>0</v>
      </c>
      <c r="M754" t="n">
        <v>0</v>
      </c>
      <c r="N754" t="n">
        <v>0</v>
      </c>
      <c r="O754" t="n">
        <v>0</v>
      </c>
      <c r="P754" t="n">
        <v>0</v>
      </c>
      <c r="Q754" t="n">
        <v>0</v>
      </c>
      <c r="R754" s="2" t="inlineStr"/>
    </row>
    <row r="755" ht="15" customHeight="1">
      <c r="A755" t="inlineStr">
        <is>
          <t>A 55218-2023</t>
        </is>
      </c>
      <c r="B755" s="1" t="n">
        <v>45237</v>
      </c>
      <c r="C755" s="1" t="n">
        <v>45937</v>
      </c>
      <c r="D755" t="inlineStr">
        <is>
          <t>SKÅNE LÄN</t>
        </is>
      </c>
      <c r="E755" t="inlineStr">
        <is>
          <t>HÄSSLEHOLM</t>
        </is>
      </c>
      <c r="G755" t="n">
        <v>2</v>
      </c>
      <c r="H755" t="n">
        <v>0</v>
      </c>
      <c r="I755" t="n">
        <v>0</v>
      </c>
      <c r="J755" t="n">
        <v>0</v>
      </c>
      <c r="K755" t="n">
        <v>0</v>
      </c>
      <c r="L755" t="n">
        <v>0</v>
      </c>
      <c r="M755" t="n">
        <v>0</v>
      </c>
      <c r="N755" t="n">
        <v>0</v>
      </c>
      <c r="O755" t="n">
        <v>0</v>
      </c>
      <c r="P755" t="n">
        <v>0</v>
      </c>
      <c r="Q755" t="n">
        <v>0</v>
      </c>
      <c r="R755" s="2" t="inlineStr"/>
    </row>
    <row r="756" ht="15" customHeight="1">
      <c r="A756" t="inlineStr">
        <is>
          <t>A 31986-2023</t>
        </is>
      </c>
      <c r="B756" s="1" t="n">
        <v>45119</v>
      </c>
      <c r="C756" s="1" t="n">
        <v>45937</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9555-2025</t>
        </is>
      </c>
      <c r="B757" s="1" t="n">
        <v>45714</v>
      </c>
      <c r="C757" s="1" t="n">
        <v>45937</v>
      </c>
      <c r="D757" t="inlineStr">
        <is>
          <t>SKÅNE LÄN</t>
        </is>
      </c>
      <c r="E757" t="inlineStr">
        <is>
          <t>HÄSSLEHOLM</t>
        </is>
      </c>
      <c r="G757" t="n">
        <v>5.4</v>
      </c>
      <c r="H757" t="n">
        <v>0</v>
      </c>
      <c r="I757" t="n">
        <v>0</v>
      </c>
      <c r="J757" t="n">
        <v>0</v>
      </c>
      <c r="K757" t="n">
        <v>0</v>
      </c>
      <c r="L757" t="n">
        <v>0</v>
      </c>
      <c r="M757" t="n">
        <v>0</v>
      </c>
      <c r="N757" t="n">
        <v>0</v>
      </c>
      <c r="O757" t="n">
        <v>0</v>
      </c>
      <c r="P757" t="n">
        <v>0</v>
      </c>
      <c r="Q757" t="n">
        <v>0</v>
      </c>
      <c r="R757" s="2" t="inlineStr"/>
    </row>
    <row r="758" ht="15" customHeight="1">
      <c r="A758" t="inlineStr">
        <is>
          <t>A 41209-2023</t>
        </is>
      </c>
      <c r="B758" s="1" t="n">
        <v>45174.43481481481</v>
      </c>
      <c r="C758" s="1" t="n">
        <v>45937</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1119-2024</t>
        </is>
      </c>
      <c r="B759" s="1" t="n">
        <v>45302</v>
      </c>
      <c r="C759" s="1" t="n">
        <v>45937</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61197-2024</t>
        </is>
      </c>
      <c r="B760" s="1" t="n">
        <v>45645.63184027778</v>
      </c>
      <c r="C760" s="1" t="n">
        <v>45937</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9393-2025</t>
        </is>
      </c>
      <c r="B761" s="1" t="n">
        <v>45715.36230324074</v>
      </c>
      <c r="C761" s="1" t="n">
        <v>45937</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11422-2025</t>
        </is>
      </c>
      <c r="B762" s="1" t="n">
        <v>45726</v>
      </c>
      <c r="C762" s="1" t="n">
        <v>45937</v>
      </c>
      <c r="D762" t="inlineStr">
        <is>
          <t>SKÅNE LÄN</t>
        </is>
      </c>
      <c r="E762" t="inlineStr">
        <is>
          <t>HÄSSLEHOLM</t>
        </is>
      </c>
      <c r="G762" t="n">
        <v>14.9</v>
      </c>
      <c r="H762" t="n">
        <v>0</v>
      </c>
      <c r="I762" t="n">
        <v>0</v>
      </c>
      <c r="J762" t="n">
        <v>0</v>
      </c>
      <c r="K762" t="n">
        <v>0</v>
      </c>
      <c r="L762" t="n">
        <v>0</v>
      </c>
      <c r="M762" t="n">
        <v>0</v>
      </c>
      <c r="N762" t="n">
        <v>0</v>
      </c>
      <c r="O762" t="n">
        <v>0</v>
      </c>
      <c r="P762" t="n">
        <v>0</v>
      </c>
      <c r="Q762" t="n">
        <v>0</v>
      </c>
      <c r="R762" s="2" t="inlineStr"/>
    </row>
    <row r="763" ht="15" customHeight="1">
      <c r="A763" t="inlineStr">
        <is>
          <t>A 13549-2025</t>
        </is>
      </c>
      <c r="B763" s="1" t="n">
        <v>45736</v>
      </c>
      <c r="C763" s="1" t="n">
        <v>45937</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35833-2023</t>
        </is>
      </c>
      <c r="B764" s="1" t="n">
        <v>45148</v>
      </c>
      <c r="C764" s="1" t="n">
        <v>45937</v>
      </c>
      <c r="D764" t="inlineStr">
        <is>
          <t>SKÅNE LÄN</t>
        </is>
      </c>
      <c r="E764" t="inlineStr">
        <is>
          <t>HÄSSLEHOLM</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57277-2023</t>
        </is>
      </c>
      <c r="B765" s="1" t="n">
        <v>45245.59104166667</v>
      </c>
      <c r="C765" s="1" t="n">
        <v>45937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29649-2025</t>
        </is>
      </c>
      <c r="B766" s="1" t="n">
        <v>45825.47446759259</v>
      </c>
      <c r="C766" s="1" t="n">
        <v>45937</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57491-2024</t>
        </is>
      </c>
      <c r="B767" s="1" t="n">
        <v>45629</v>
      </c>
      <c r="C767" s="1" t="n">
        <v>45937</v>
      </c>
      <c r="D767" t="inlineStr">
        <is>
          <t>SKÅNE LÄN</t>
        </is>
      </c>
      <c r="E767" t="inlineStr">
        <is>
          <t>HÄSSLEHOLM</t>
        </is>
      </c>
      <c r="G767" t="n">
        <v>3.2</v>
      </c>
      <c r="H767" t="n">
        <v>0</v>
      </c>
      <c r="I767" t="n">
        <v>0</v>
      </c>
      <c r="J767" t="n">
        <v>0</v>
      </c>
      <c r="K767" t="n">
        <v>0</v>
      </c>
      <c r="L767" t="n">
        <v>0</v>
      </c>
      <c r="M767" t="n">
        <v>0</v>
      </c>
      <c r="N767" t="n">
        <v>0</v>
      </c>
      <c r="O767" t="n">
        <v>0</v>
      </c>
      <c r="P767" t="n">
        <v>0</v>
      </c>
      <c r="Q767" t="n">
        <v>0</v>
      </c>
      <c r="R767" s="2" t="inlineStr"/>
    </row>
    <row r="768" ht="15" customHeight="1">
      <c r="A768" t="inlineStr">
        <is>
          <t>A 33948-2025</t>
        </is>
      </c>
      <c r="B768" s="1" t="n">
        <v>45842.65945601852</v>
      </c>
      <c r="C768" s="1" t="n">
        <v>45937</v>
      </c>
      <c r="D768" t="inlineStr">
        <is>
          <t>SKÅNE LÄN</t>
        </is>
      </c>
      <c r="E768" t="inlineStr">
        <is>
          <t>HÄSSLEHOLM</t>
        </is>
      </c>
      <c r="G768" t="n">
        <v>8.5</v>
      </c>
      <c r="H768" t="n">
        <v>0</v>
      </c>
      <c r="I768" t="n">
        <v>0</v>
      </c>
      <c r="J768" t="n">
        <v>0</v>
      </c>
      <c r="K768" t="n">
        <v>0</v>
      </c>
      <c r="L768" t="n">
        <v>0</v>
      </c>
      <c r="M768" t="n">
        <v>0</v>
      </c>
      <c r="N768" t="n">
        <v>0</v>
      </c>
      <c r="O768" t="n">
        <v>0</v>
      </c>
      <c r="P768" t="n">
        <v>0</v>
      </c>
      <c r="Q768" t="n">
        <v>0</v>
      </c>
      <c r="R768" s="2" t="inlineStr"/>
    </row>
    <row r="769" ht="15" customHeight="1">
      <c r="A769" t="inlineStr">
        <is>
          <t>A 9611-2025</t>
        </is>
      </c>
      <c r="B769" s="1" t="n">
        <v>45715</v>
      </c>
      <c r="C769" s="1" t="n">
        <v>45937</v>
      </c>
      <c r="D769" t="inlineStr">
        <is>
          <t>SKÅNE LÄN</t>
        </is>
      </c>
      <c r="E769" t="inlineStr">
        <is>
          <t>HÄSSLEHOLM</t>
        </is>
      </c>
      <c r="G769" t="n">
        <v>2.1</v>
      </c>
      <c r="H769" t="n">
        <v>0</v>
      </c>
      <c r="I769" t="n">
        <v>0</v>
      </c>
      <c r="J769" t="n">
        <v>0</v>
      </c>
      <c r="K769" t="n">
        <v>0</v>
      </c>
      <c r="L769" t="n">
        <v>0</v>
      </c>
      <c r="M769" t="n">
        <v>0</v>
      </c>
      <c r="N769" t="n">
        <v>0</v>
      </c>
      <c r="O769" t="n">
        <v>0</v>
      </c>
      <c r="P769" t="n">
        <v>0</v>
      </c>
      <c r="Q769" t="n">
        <v>0</v>
      </c>
      <c r="R769" s="2" t="inlineStr"/>
    </row>
    <row r="770" ht="15" customHeight="1">
      <c r="A770" t="inlineStr">
        <is>
          <t>A 5284-2023</t>
        </is>
      </c>
      <c r="B770" s="1" t="n">
        <v>44959.50608796296</v>
      </c>
      <c r="C770" s="1" t="n">
        <v>45937</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5285-2023</t>
        </is>
      </c>
      <c r="B771" s="1" t="n">
        <v>44959.50783564815</v>
      </c>
      <c r="C771" s="1" t="n">
        <v>45937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58250-2024</t>
        </is>
      </c>
      <c r="B772" s="1" t="n">
        <v>45632.55643518519</v>
      </c>
      <c r="C772" s="1" t="n">
        <v>45937</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26207-2021</t>
        </is>
      </c>
      <c r="B773" s="1" t="n">
        <v>44347</v>
      </c>
      <c r="C773" s="1" t="n">
        <v>45937</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57272-2023</t>
        </is>
      </c>
      <c r="B774" s="1" t="n">
        <v>45245</v>
      </c>
      <c r="C774" s="1" t="n">
        <v>45937</v>
      </c>
      <c r="D774" t="inlineStr">
        <is>
          <t>SKÅNE LÄN</t>
        </is>
      </c>
      <c r="E774" t="inlineStr">
        <is>
          <t>HÄSSLEHOLM</t>
        </is>
      </c>
      <c r="G774" t="n">
        <v>2.3</v>
      </c>
      <c r="H774" t="n">
        <v>0</v>
      </c>
      <c r="I774" t="n">
        <v>0</v>
      </c>
      <c r="J774" t="n">
        <v>0</v>
      </c>
      <c r="K774" t="n">
        <v>0</v>
      </c>
      <c r="L774" t="n">
        <v>0</v>
      </c>
      <c r="M774" t="n">
        <v>0</v>
      </c>
      <c r="N774" t="n">
        <v>0</v>
      </c>
      <c r="O774" t="n">
        <v>0</v>
      </c>
      <c r="P774" t="n">
        <v>0</v>
      </c>
      <c r="Q774" t="n">
        <v>0</v>
      </c>
      <c r="R774" s="2" t="inlineStr"/>
    </row>
    <row r="775" ht="15" customHeight="1">
      <c r="A775" t="inlineStr">
        <is>
          <t>A 33875-2025</t>
        </is>
      </c>
      <c r="B775" s="1" t="n">
        <v>45842.55300925926</v>
      </c>
      <c r="C775" s="1" t="n">
        <v>45937</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2479-2024</t>
        </is>
      </c>
      <c r="B776" s="1" t="n">
        <v>45313.40148148148</v>
      </c>
      <c r="C776" s="1" t="n">
        <v>45937</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33877-2025</t>
        </is>
      </c>
      <c r="B777" s="1" t="n">
        <v>45842.55564814815</v>
      </c>
      <c r="C777" s="1" t="n">
        <v>45937</v>
      </c>
      <c r="D777" t="inlineStr">
        <is>
          <t>SKÅNE LÄN</t>
        </is>
      </c>
      <c r="E777" t="inlineStr">
        <is>
          <t>HÄSSLEHOLM</t>
        </is>
      </c>
      <c r="G777" t="n">
        <v>3.9</v>
      </c>
      <c r="H777" t="n">
        <v>0</v>
      </c>
      <c r="I777" t="n">
        <v>0</v>
      </c>
      <c r="J777" t="n">
        <v>0</v>
      </c>
      <c r="K777" t="n">
        <v>0</v>
      </c>
      <c r="L777" t="n">
        <v>0</v>
      </c>
      <c r="M777" t="n">
        <v>0</v>
      </c>
      <c r="N777" t="n">
        <v>0</v>
      </c>
      <c r="O777" t="n">
        <v>0</v>
      </c>
      <c r="P777" t="n">
        <v>0</v>
      </c>
      <c r="Q777" t="n">
        <v>0</v>
      </c>
      <c r="R777" s="2" t="inlineStr"/>
    </row>
    <row r="778" ht="15" customHeight="1">
      <c r="A778" t="inlineStr">
        <is>
          <t>A 33879-2025</t>
        </is>
      </c>
      <c r="B778" s="1" t="n">
        <v>45842.55766203703</v>
      </c>
      <c r="C778" s="1" t="n">
        <v>45937</v>
      </c>
      <c r="D778" t="inlineStr">
        <is>
          <t>SKÅNE LÄN</t>
        </is>
      </c>
      <c r="E778" t="inlineStr">
        <is>
          <t>HÄSSLEHOLM</t>
        </is>
      </c>
      <c r="G778" t="n">
        <v>6.1</v>
      </c>
      <c r="H778" t="n">
        <v>0</v>
      </c>
      <c r="I778" t="n">
        <v>0</v>
      </c>
      <c r="J778" t="n">
        <v>0</v>
      </c>
      <c r="K778" t="n">
        <v>0</v>
      </c>
      <c r="L778" t="n">
        <v>0</v>
      </c>
      <c r="M778" t="n">
        <v>0</v>
      </c>
      <c r="N778" t="n">
        <v>0</v>
      </c>
      <c r="O778" t="n">
        <v>0</v>
      </c>
      <c r="P778" t="n">
        <v>0</v>
      </c>
      <c r="Q778" t="n">
        <v>0</v>
      </c>
      <c r="R778" s="2" t="inlineStr"/>
    </row>
    <row r="779" ht="15" customHeight="1">
      <c r="A779" t="inlineStr">
        <is>
          <t>A 31160-2024</t>
        </is>
      </c>
      <c r="B779" s="1" t="n">
        <v>45503</v>
      </c>
      <c r="C779" s="1" t="n">
        <v>45937</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33562-2025</t>
        </is>
      </c>
      <c r="B780" s="1" t="n">
        <v>45841.57803240741</v>
      </c>
      <c r="C780" s="1" t="n">
        <v>45937</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33950-2025</t>
        </is>
      </c>
      <c r="B781" s="1" t="n">
        <v>45842</v>
      </c>
      <c r="C781" s="1" t="n">
        <v>45937</v>
      </c>
      <c r="D781" t="inlineStr">
        <is>
          <t>SKÅNE LÄN</t>
        </is>
      </c>
      <c r="E781" t="inlineStr">
        <is>
          <t>HÄSSLEHOLM</t>
        </is>
      </c>
      <c r="G781" t="n">
        <v>5.7</v>
      </c>
      <c r="H781" t="n">
        <v>0</v>
      </c>
      <c r="I781" t="n">
        <v>0</v>
      </c>
      <c r="J781" t="n">
        <v>0</v>
      </c>
      <c r="K781" t="n">
        <v>0</v>
      </c>
      <c r="L781" t="n">
        <v>0</v>
      </c>
      <c r="M781" t="n">
        <v>0</v>
      </c>
      <c r="N781" t="n">
        <v>0</v>
      </c>
      <c r="O781" t="n">
        <v>0</v>
      </c>
      <c r="P781" t="n">
        <v>0</v>
      </c>
      <c r="Q781" t="n">
        <v>0</v>
      </c>
      <c r="R781" s="2" t="inlineStr"/>
    </row>
    <row r="782" ht="15" customHeight="1">
      <c r="A782" t="inlineStr">
        <is>
          <t>A 6798-2025</t>
        </is>
      </c>
      <c r="B782" s="1" t="n">
        <v>45700.668125</v>
      </c>
      <c r="C782" s="1" t="n">
        <v>45937</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50664-2023</t>
        </is>
      </c>
      <c r="B783" s="1" t="n">
        <v>45217</v>
      </c>
      <c r="C783" s="1" t="n">
        <v>45937</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56490-2021</t>
        </is>
      </c>
      <c r="B784" s="1" t="n">
        <v>44480</v>
      </c>
      <c r="C784" s="1" t="n">
        <v>45937</v>
      </c>
      <c r="D784" t="inlineStr">
        <is>
          <t>SKÅNE LÄN</t>
        </is>
      </c>
      <c r="E784" t="inlineStr">
        <is>
          <t>HÄSSLEHOLM</t>
        </is>
      </c>
      <c r="F784" t="inlineStr">
        <is>
          <t>Kyrkan</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69357-2021</t>
        </is>
      </c>
      <c r="B785" s="1" t="n">
        <v>44531</v>
      </c>
      <c r="C785" s="1" t="n">
        <v>45937</v>
      </c>
      <c r="D785" t="inlineStr">
        <is>
          <t>SKÅNE LÄN</t>
        </is>
      </c>
      <c r="E785" t="inlineStr">
        <is>
          <t>HÄSSLEHOLM</t>
        </is>
      </c>
      <c r="G785" t="n">
        <v>1.6</v>
      </c>
      <c r="H785" t="n">
        <v>0</v>
      </c>
      <c r="I785" t="n">
        <v>0</v>
      </c>
      <c r="J785" t="n">
        <v>0</v>
      </c>
      <c r="K785" t="n">
        <v>0</v>
      </c>
      <c r="L785" t="n">
        <v>0</v>
      </c>
      <c r="M785" t="n">
        <v>0</v>
      </c>
      <c r="N785" t="n">
        <v>0</v>
      </c>
      <c r="O785" t="n">
        <v>0</v>
      </c>
      <c r="P785" t="n">
        <v>0</v>
      </c>
      <c r="Q785" t="n">
        <v>0</v>
      </c>
      <c r="R785" s="2" t="inlineStr"/>
    </row>
    <row r="786" ht="15" customHeight="1">
      <c r="A786" t="inlineStr">
        <is>
          <t>A 417-2022</t>
        </is>
      </c>
      <c r="B786" s="1" t="n">
        <v>44565.84615740741</v>
      </c>
      <c r="C786" s="1" t="n">
        <v>45937</v>
      </c>
      <c r="D786" t="inlineStr">
        <is>
          <t>SKÅNE LÄN</t>
        </is>
      </c>
      <c r="E786" t="inlineStr">
        <is>
          <t>HÄSSLEHOLM</t>
        </is>
      </c>
      <c r="G786" t="n">
        <v>0</v>
      </c>
      <c r="H786" t="n">
        <v>0</v>
      </c>
      <c r="I786" t="n">
        <v>0</v>
      </c>
      <c r="J786" t="n">
        <v>0</v>
      </c>
      <c r="K786" t="n">
        <v>0</v>
      </c>
      <c r="L786" t="n">
        <v>0</v>
      </c>
      <c r="M786" t="n">
        <v>0</v>
      </c>
      <c r="N786" t="n">
        <v>0</v>
      </c>
      <c r="O786" t="n">
        <v>0</v>
      </c>
      <c r="P786" t="n">
        <v>0</v>
      </c>
      <c r="Q786" t="n">
        <v>0</v>
      </c>
      <c r="R786" s="2" t="inlineStr"/>
    </row>
    <row r="787" ht="15" customHeight="1">
      <c r="A787" t="inlineStr">
        <is>
          <t>A 61934-2023</t>
        </is>
      </c>
      <c r="B787" s="1" t="n">
        <v>45266.54125</v>
      </c>
      <c r="C787" s="1" t="n">
        <v>45937</v>
      </c>
      <c r="D787" t="inlineStr">
        <is>
          <t>SKÅNE LÄN</t>
        </is>
      </c>
      <c r="E787" t="inlineStr">
        <is>
          <t>HÄSSLEHOLM</t>
        </is>
      </c>
      <c r="G787" t="n">
        <v>1.4</v>
      </c>
      <c r="H787" t="n">
        <v>0</v>
      </c>
      <c r="I787" t="n">
        <v>0</v>
      </c>
      <c r="J787" t="n">
        <v>0</v>
      </c>
      <c r="K787" t="n">
        <v>0</v>
      </c>
      <c r="L787" t="n">
        <v>0</v>
      </c>
      <c r="M787" t="n">
        <v>0</v>
      </c>
      <c r="N787" t="n">
        <v>0</v>
      </c>
      <c r="O787" t="n">
        <v>0</v>
      </c>
      <c r="P787" t="n">
        <v>0</v>
      </c>
      <c r="Q787" t="n">
        <v>0</v>
      </c>
      <c r="R787" s="2" t="inlineStr"/>
    </row>
    <row r="788" ht="15" customHeight="1">
      <c r="A788" t="inlineStr">
        <is>
          <t>A 41459-2022</t>
        </is>
      </c>
      <c r="B788" s="1" t="n">
        <v>44826.93372685185</v>
      </c>
      <c r="C788" s="1" t="n">
        <v>45937</v>
      </c>
      <c r="D788" t="inlineStr">
        <is>
          <t>SKÅNE LÄN</t>
        </is>
      </c>
      <c r="E788" t="inlineStr">
        <is>
          <t>HÄSSLEHOLM</t>
        </is>
      </c>
      <c r="G788" t="n">
        <v>2.3</v>
      </c>
      <c r="H788" t="n">
        <v>0</v>
      </c>
      <c r="I788" t="n">
        <v>0</v>
      </c>
      <c r="J788" t="n">
        <v>0</v>
      </c>
      <c r="K788" t="n">
        <v>0</v>
      </c>
      <c r="L788" t="n">
        <v>0</v>
      </c>
      <c r="M788" t="n">
        <v>0</v>
      </c>
      <c r="N788" t="n">
        <v>0</v>
      </c>
      <c r="O788" t="n">
        <v>0</v>
      </c>
      <c r="P788" t="n">
        <v>0</v>
      </c>
      <c r="Q788" t="n">
        <v>0</v>
      </c>
      <c r="R788" s="2" t="inlineStr"/>
    </row>
    <row r="789" ht="15" customHeight="1">
      <c r="A789" t="inlineStr">
        <is>
          <t>A 34174-2025</t>
        </is>
      </c>
      <c r="B789" s="1" t="n">
        <v>45844</v>
      </c>
      <c r="C789" s="1" t="n">
        <v>45937</v>
      </c>
      <c r="D789" t="inlineStr">
        <is>
          <t>SKÅNE LÄN</t>
        </is>
      </c>
      <c r="E789" t="inlineStr">
        <is>
          <t>HÄSSLEHOLM</t>
        </is>
      </c>
      <c r="G789" t="n">
        <v>4.7</v>
      </c>
      <c r="H789" t="n">
        <v>0</v>
      </c>
      <c r="I789" t="n">
        <v>0</v>
      </c>
      <c r="J789" t="n">
        <v>0</v>
      </c>
      <c r="K789" t="n">
        <v>0</v>
      </c>
      <c r="L789" t="n">
        <v>0</v>
      </c>
      <c r="M789" t="n">
        <v>0</v>
      </c>
      <c r="N789" t="n">
        <v>0</v>
      </c>
      <c r="O789" t="n">
        <v>0</v>
      </c>
      <c r="P789" t="n">
        <v>0</v>
      </c>
      <c r="Q789" t="n">
        <v>0</v>
      </c>
      <c r="R789" s="2" t="inlineStr"/>
    </row>
    <row r="790" ht="15" customHeight="1">
      <c r="A790" t="inlineStr">
        <is>
          <t>A 37898-2021</t>
        </is>
      </c>
      <c r="B790" s="1" t="n">
        <v>44403</v>
      </c>
      <c r="C790" s="1" t="n">
        <v>45937</v>
      </c>
      <c r="D790" t="inlineStr">
        <is>
          <t>SKÅNE LÄN</t>
        </is>
      </c>
      <c r="E790" t="inlineStr">
        <is>
          <t>HÄSSLEHOLM</t>
        </is>
      </c>
      <c r="F790" t="inlineStr">
        <is>
          <t>Kommuner</t>
        </is>
      </c>
      <c r="G790" t="n">
        <v>8.4</v>
      </c>
      <c r="H790" t="n">
        <v>0</v>
      </c>
      <c r="I790" t="n">
        <v>0</v>
      </c>
      <c r="J790" t="n">
        <v>0</v>
      </c>
      <c r="K790" t="n">
        <v>0</v>
      </c>
      <c r="L790" t="n">
        <v>0</v>
      </c>
      <c r="M790" t="n">
        <v>0</v>
      </c>
      <c r="N790" t="n">
        <v>0</v>
      </c>
      <c r="O790" t="n">
        <v>0</v>
      </c>
      <c r="P790" t="n">
        <v>0</v>
      </c>
      <c r="Q790" t="n">
        <v>0</v>
      </c>
      <c r="R790" s="2" t="inlineStr"/>
    </row>
    <row r="791" ht="15" customHeight="1">
      <c r="A791" t="inlineStr">
        <is>
          <t>A 19151-2023</t>
        </is>
      </c>
      <c r="B791" s="1" t="n">
        <v>45044</v>
      </c>
      <c r="C791" s="1" t="n">
        <v>45937</v>
      </c>
      <c r="D791" t="inlineStr">
        <is>
          <t>SKÅNE LÄN</t>
        </is>
      </c>
      <c r="E791" t="inlineStr">
        <is>
          <t>HÄSSLEHOLM</t>
        </is>
      </c>
      <c r="G791" t="n">
        <v>1</v>
      </c>
      <c r="H791" t="n">
        <v>0</v>
      </c>
      <c r="I791" t="n">
        <v>0</v>
      </c>
      <c r="J791" t="n">
        <v>0</v>
      </c>
      <c r="K791" t="n">
        <v>0</v>
      </c>
      <c r="L791" t="n">
        <v>0</v>
      </c>
      <c r="M791" t="n">
        <v>0</v>
      </c>
      <c r="N791" t="n">
        <v>0</v>
      </c>
      <c r="O791" t="n">
        <v>0</v>
      </c>
      <c r="P791" t="n">
        <v>0</v>
      </c>
      <c r="Q791" t="n">
        <v>0</v>
      </c>
      <c r="R791" s="2" t="inlineStr"/>
    </row>
    <row r="792" ht="15" customHeight="1">
      <c r="A792" t="inlineStr">
        <is>
          <t>A 35810-2023</t>
        </is>
      </c>
      <c r="B792" s="1" t="n">
        <v>45148.44046296296</v>
      </c>
      <c r="C792" s="1" t="n">
        <v>45937</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54658-2023</t>
        </is>
      </c>
      <c r="B793" s="1" t="n">
        <v>45235</v>
      </c>
      <c r="C793" s="1" t="n">
        <v>45937</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34177-2025</t>
        </is>
      </c>
      <c r="B794" s="1" t="n">
        <v>45844</v>
      </c>
      <c r="C794" s="1" t="n">
        <v>45937</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42370-2023</t>
        </is>
      </c>
      <c r="B795" s="1" t="n">
        <v>45180</v>
      </c>
      <c r="C795" s="1" t="n">
        <v>45937</v>
      </c>
      <c r="D795" t="inlineStr">
        <is>
          <t>SKÅNE LÄN</t>
        </is>
      </c>
      <c r="E795" t="inlineStr">
        <is>
          <t>HÄSSLEHOLM</t>
        </is>
      </c>
      <c r="G795" t="n">
        <v>2.6</v>
      </c>
      <c r="H795" t="n">
        <v>0</v>
      </c>
      <c r="I795" t="n">
        <v>0</v>
      </c>
      <c r="J795" t="n">
        <v>0</v>
      </c>
      <c r="K795" t="n">
        <v>0</v>
      </c>
      <c r="L795" t="n">
        <v>0</v>
      </c>
      <c r="M795" t="n">
        <v>0</v>
      </c>
      <c r="N795" t="n">
        <v>0</v>
      </c>
      <c r="O795" t="n">
        <v>0</v>
      </c>
      <c r="P795" t="n">
        <v>0</v>
      </c>
      <c r="Q795" t="n">
        <v>0</v>
      </c>
      <c r="R795" s="2" t="inlineStr"/>
    </row>
    <row r="796" ht="15" customHeight="1">
      <c r="A796" t="inlineStr">
        <is>
          <t>A 22678-2025</t>
        </is>
      </c>
      <c r="B796" s="1" t="n">
        <v>45789.49725694444</v>
      </c>
      <c r="C796" s="1" t="n">
        <v>45937</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23172-2022</t>
        </is>
      </c>
      <c r="B797" s="1" t="n">
        <v>44719</v>
      </c>
      <c r="C797" s="1" t="n">
        <v>45937</v>
      </c>
      <c r="D797" t="inlineStr">
        <is>
          <t>SKÅNE LÄN</t>
        </is>
      </c>
      <c r="E797" t="inlineStr">
        <is>
          <t>HÄSSLEHOLM</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23173-2022</t>
        </is>
      </c>
      <c r="B798" s="1" t="n">
        <v>44719.72155092593</v>
      </c>
      <c r="C798" s="1" t="n">
        <v>45937</v>
      </c>
      <c r="D798" t="inlineStr">
        <is>
          <t>SKÅNE LÄN</t>
        </is>
      </c>
      <c r="E798" t="inlineStr">
        <is>
          <t>HÄSSLEHOLM</t>
        </is>
      </c>
      <c r="F798" t="inlineStr">
        <is>
          <t>Övriga Aktiebolag</t>
        </is>
      </c>
      <c r="G798" t="n">
        <v>0.9</v>
      </c>
      <c r="H798" t="n">
        <v>0</v>
      </c>
      <c r="I798" t="n">
        <v>0</v>
      </c>
      <c r="J798" t="n">
        <v>0</v>
      </c>
      <c r="K798" t="n">
        <v>0</v>
      </c>
      <c r="L798" t="n">
        <v>0</v>
      </c>
      <c r="M798" t="n">
        <v>0</v>
      </c>
      <c r="N798" t="n">
        <v>0</v>
      </c>
      <c r="O798" t="n">
        <v>0</v>
      </c>
      <c r="P798" t="n">
        <v>0</v>
      </c>
      <c r="Q798" t="n">
        <v>0</v>
      </c>
      <c r="R798" s="2" t="inlineStr"/>
    </row>
    <row r="799" ht="15" customHeight="1">
      <c r="A799" t="inlineStr">
        <is>
          <t>A 32958-2023</t>
        </is>
      </c>
      <c r="B799" s="1" t="n">
        <v>45125.52142361111</v>
      </c>
      <c r="C799" s="1" t="n">
        <v>45937</v>
      </c>
      <c r="D799" t="inlineStr">
        <is>
          <t>SKÅNE LÄN</t>
        </is>
      </c>
      <c r="E799" t="inlineStr">
        <is>
          <t>HÄSSLEHOLM</t>
        </is>
      </c>
      <c r="G799" t="n">
        <v>7.9</v>
      </c>
      <c r="H799" t="n">
        <v>0</v>
      </c>
      <c r="I799" t="n">
        <v>0</v>
      </c>
      <c r="J799" t="n">
        <v>0</v>
      </c>
      <c r="K799" t="n">
        <v>0</v>
      </c>
      <c r="L799" t="n">
        <v>0</v>
      </c>
      <c r="M799" t="n">
        <v>0</v>
      </c>
      <c r="N799" t="n">
        <v>0</v>
      </c>
      <c r="O799" t="n">
        <v>0</v>
      </c>
      <c r="P799" t="n">
        <v>0</v>
      </c>
      <c r="Q799" t="n">
        <v>0</v>
      </c>
      <c r="R799" s="2" t="inlineStr"/>
    </row>
    <row r="800" ht="15" customHeight="1">
      <c r="A800" t="inlineStr">
        <is>
          <t>A 16951-2025</t>
        </is>
      </c>
      <c r="B800" s="1" t="n">
        <v>45755</v>
      </c>
      <c r="C800" s="1" t="n">
        <v>45937</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52608-2023</t>
        </is>
      </c>
      <c r="B801" s="1" t="n">
        <v>45219</v>
      </c>
      <c r="C801" s="1" t="n">
        <v>45937</v>
      </c>
      <c r="D801" t="inlineStr">
        <is>
          <t>SKÅNE LÄN</t>
        </is>
      </c>
      <c r="E801" t="inlineStr">
        <is>
          <t>HÄSSLEHOLM</t>
        </is>
      </c>
      <c r="F801" t="inlineStr">
        <is>
          <t>Övriga Aktiebolag</t>
        </is>
      </c>
      <c r="G801" t="n">
        <v>2.1</v>
      </c>
      <c r="H801" t="n">
        <v>0</v>
      </c>
      <c r="I801" t="n">
        <v>0</v>
      </c>
      <c r="J801" t="n">
        <v>0</v>
      </c>
      <c r="K801" t="n">
        <v>0</v>
      </c>
      <c r="L801" t="n">
        <v>0</v>
      </c>
      <c r="M801" t="n">
        <v>0</v>
      </c>
      <c r="N801" t="n">
        <v>0</v>
      </c>
      <c r="O801" t="n">
        <v>0</v>
      </c>
      <c r="P801" t="n">
        <v>0</v>
      </c>
      <c r="Q801" t="n">
        <v>0</v>
      </c>
      <c r="R801" s="2" t="inlineStr"/>
    </row>
    <row r="802" ht="15" customHeight="1">
      <c r="A802" t="inlineStr">
        <is>
          <t>A 18063-2023</t>
        </is>
      </c>
      <c r="B802" s="1" t="n">
        <v>45040.62850694444</v>
      </c>
      <c r="C802" s="1" t="n">
        <v>45937</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8239-2025</t>
        </is>
      </c>
      <c r="B803" s="1" t="n">
        <v>45708.47984953703</v>
      </c>
      <c r="C803" s="1" t="n">
        <v>45937</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56355-2023</t>
        </is>
      </c>
      <c r="B804" s="1" t="n">
        <v>45243.3702662037</v>
      </c>
      <c r="C804" s="1" t="n">
        <v>45937</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14674-2025</t>
        </is>
      </c>
      <c r="B805" s="1" t="n">
        <v>45742.55548611111</v>
      </c>
      <c r="C805" s="1" t="n">
        <v>45937</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54777-2022</t>
        </is>
      </c>
      <c r="B806" s="1" t="n">
        <v>44883</v>
      </c>
      <c r="C806" s="1" t="n">
        <v>45937</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9394-2025</t>
        </is>
      </c>
      <c r="B807" s="1" t="n">
        <v>45715.36387731481</v>
      </c>
      <c r="C807" s="1" t="n">
        <v>45937</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7305-2025</t>
        </is>
      </c>
      <c r="B808" s="1" t="n">
        <v>45702</v>
      </c>
      <c r="C808" s="1" t="n">
        <v>45937</v>
      </c>
      <c r="D808" t="inlineStr">
        <is>
          <t>SKÅNE LÄN</t>
        </is>
      </c>
      <c r="E808" t="inlineStr">
        <is>
          <t>HÄSSLEHOLM</t>
        </is>
      </c>
      <c r="F808" t="inlineStr">
        <is>
          <t>Övriga Aktiebolag</t>
        </is>
      </c>
      <c r="G808" t="n">
        <v>2.2</v>
      </c>
      <c r="H808" t="n">
        <v>0</v>
      </c>
      <c r="I808" t="n">
        <v>0</v>
      </c>
      <c r="J808" t="n">
        <v>0</v>
      </c>
      <c r="K808" t="n">
        <v>0</v>
      </c>
      <c r="L808" t="n">
        <v>0</v>
      </c>
      <c r="M808" t="n">
        <v>0</v>
      </c>
      <c r="N808" t="n">
        <v>0</v>
      </c>
      <c r="O808" t="n">
        <v>0</v>
      </c>
      <c r="P808" t="n">
        <v>0</v>
      </c>
      <c r="Q808" t="n">
        <v>0</v>
      </c>
      <c r="R808" s="2" t="inlineStr"/>
    </row>
    <row r="809" ht="15" customHeight="1">
      <c r="A809" t="inlineStr">
        <is>
          <t>A 52341-2023</t>
        </is>
      </c>
      <c r="B809" s="1" t="n">
        <v>45224.67006944444</v>
      </c>
      <c r="C809" s="1" t="n">
        <v>45937</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23683-2023</t>
        </is>
      </c>
      <c r="B810" s="1" t="n">
        <v>45077</v>
      </c>
      <c r="C810" s="1" t="n">
        <v>45937</v>
      </c>
      <c r="D810" t="inlineStr">
        <is>
          <t>SKÅNE LÄN</t>
        </is>
      </c>
      <c r="E810" t="inlineStr">
        <is>
          <t>HÄSSLEHOLM</t>
        </is>
      </c>
      <c r="G810" t="n">
        <v>0.5</v>
      </c>
      <c r="H810" t="n">
        <v>0</v>
      </c>
      <c r="I810" t="n">
        <v>0</v>
      </c>
      <c r="J810" t="n">
        <v>0</v>
      </c>
      <c r="K810" t="n">
        <v>0</v>
      </c>
      <c r="L810" t="n">
        <v>0</v>
      </c>
      <c r="M810" t="n">
        <v>0</v>
      </c>
      <c r="N810" t="n">
        <v>0</v>
      </c>
      <c r="O810" t="n">
        <v>0</v>
      </c>
      <c r="P810" t="n">
        <v>0</v>
      </c>
      <c r="Q810" t="n">
        <v>0</v>
      </c>
      <c r="R810" s="2" t="inlineStr"/>
    </row>
    <row r="811" ht="15" customHeight="1">
      <c r="A811" t="inlineStr">
        <is>
          <t>A 23955-2023</t>
        </is>
      </c>
      <c r="B811" s="1" t="n">
        <v>45078.62217592593</v>
      </c>
      <c r="C811" s="1" t="n">
        <v>45937</v>
      </c>
      <c r="D811" t="inlineStr">
        <is>
          <t>SKÅNE LÄN</t>
        </is>
      </c>
      <c r="E811" t="inlineStr">
        <is>
          <t>HÄSSLEHOLM</t>
        </is>
      </c>
      <c r="G811" t="n">
        <v>1.4</v>
      </c>
      <c r="H811" t="n">
        <v>0</v>
      </c>
      <c r="I811" t="n">
        <v>0</v>
      </c>
      <c r="J811" t="n">
        <v>0</v>
      </c>
      <c r="K811" t="n">
        <v>0</v>
      </c>
      <c r="L811" t="n">
        <v>0</v>
      </c>
      <c r="M811" t="n">
        <v>0</v>
      </c>
      <c r="N811" t="n">
        <v>0</v>
      </c>
      <c r="O811" t="n">
        <v>0</v>
      </c>
      <c r="P811" t="n">
        <v>0</v>
      </c>
      <c r="Q811" t="n">
        <v>0</v>
      </c>
      <c r="R811" s="2" t="inlineStr"/>
    </row>
    <row r="812" ht="15" customHeight="1">
      <c r="A812" t="inlineStr">
        <is>
          <t>A 27173-2024</t>
        </is>
      </c>
      <c r="B812" s="1" t="n">
        <v>45471.57048611111</v>
      </c>
      <c r="C812" s="1" t="n">
        <v>45937</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34869-2025</t>
        </is>
      </c>
      <c r="B813" s="1" t="n">
        <v>45849</v>
      </c>
      <c r="C813" s="1" t="n">
        <v>45937</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23860-2024</t>
        </is>
      </c>
      <c r="B814" s="1" t="n">
        <v>45455</v>
      </c>
      <c r="C814" s="1" t="n">
        <v>45937</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524-2024</t>
        </is>
      </c>
      <c r="B815" s="1" t="n">
        <v>45299</v>
      </c>
      <c r="C815" s="1" t="n">
        <v>45937</v>
      </c>
      <c r="D815" t="inlineStr">
        <is>
          <t>SKÅNE LÄN</t>
        </is>
      </c>
      <c r="E815" t="inlineStr">
        <is>
          <t>HÄSSLEHOLM</t>
        </is>
      </c>
      <c r="G815" t="n">
        <v>29.4</v>
      </c>
      <c r="H815" t="n">
        <v>0</v>
      </c>
      <c r="I815" t="n">
        <v>0</v>
      </c>
      <c r="J815" t="n">
        <v>0</v>
      </c>
      <c r="K815" t="n">
        <v>0</v>
      </c>
      <c r="L815" t="n">
        <v>0</v>
      </c>
      <c r="M815" t="n">
        <v>0</v>
      </c>
      <c r="N815" t="n">
        <v>0</v>
      </c>
      <c r="O815" t="n">
        <v>0</v>
      </c>
      <c r="P815" t="n">
        <v>0</v>
      </c>
      <c r="Q815" t="n">
        <v>0</v>
      </c>
      <c r="R815" s="2" t="inlineStr"/>
    </row>
    <row r="816" ht="15" customHeight="1">
      <c r="A816" t="inlineStr">
        <is>
          <t>A 15800-2025</t>
        </is>
      </c>
      <c r="B816" s="1" t="n">
        <v>45748.64831018518</v>
      </c>
      <c r="C816" s="1" t="n">
        <v>45937</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40780-2022</t>
        </is>
      </c>
      <c r="B817" s="1" t="n">
        <v>44820</v>
      </c>
      <c r="C817" s="1" t="n">
        <v>45937</v>
      </c>
      <c r="D817" t="inlineStr">
        <is>
          <t>SKÅNE LÄN</t>
        </is>
      </c>
      <c r="E817" t="inlineStr">
        <is>
          <t>HÄSSLEHOLM</t>
        </is>
      </c>
      <c r="G817" t="n">
        <v>7.4</v>
      </c>
      <c r="H817" t="n">
        <v>0</v>
      </c>
      <c r="I817" t="n">
        <v>0</v>
      </c>
      <c r="J817" t="n">
        <v>0</v>
      </c>
      <c r="K817" t="n">
        <v>0</v>
      </c>
      <c r="L817" t="n">
        <v>0</v>
      </c>
      <c r="M817" t="n">
        <v>0</v>
      </c>
      <c r="N817" t="n">
        <v>0</v>
      </c>
      <c r="O817" t="n">
        <v>0</v>
      </c>
      <c r="P817" t="n">
        <v>0</v>
      </c>
      <c r="Q817" t="n">
        <v>0</v>
      </c>
      <c r="R817" s="2" t="inlineStr"/>
    </row>
    <row r="818" ht="15" customHeight="1">
      <c r="A818" t="inlineStr">
        <is>
          <t>A 51245-2023</t>
        </is>
      </c>
      <c r="B818" s="1" t="n">
        <v>45212</v>
      </c>
      <c r="C818" s="1" t="n">
        <v>45937</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54518-2022</t>
        </is>
      </c>
      <c r="B819" s="1" t="n">
        <v>44882</v>
      </c>
      <c r="C819" s="1" t="n">
        <v>45937</v>
      </c>
      <c r="D819" t="inlineStr">
        <is>
          <t>SKÅNE LÄN</t>
        </is>
      </c>
      <c r="E819" t="inlineStr">
        <is>
          <t>HÄSSLEHOLM</t>
        </is>
      </c>
      <c r="F819" t="inlineStr">
        <is>
          <t>Övriga Aktiebolag</t>
        </is>
      </c>
      <c r="G819" t="n">
        <v>6.8</v>
      </c>
      <c r="H819" t="n">
        <v>0</v>
      </c>
      <c r="I819" t="n">
        <v>0</v>
      </c>
      <c r="J819" t="n">
        <v>0</v>
      </c>
      <c r="K819" t="n">
        <v>0</v>
      </c>
      <c r="L819" t="n">
        <v>0</v>
      </c>
      <c r="M819" t="n">
        <v>0</v>
      </c>
      <c r="N819" t="n">
        <v>0</v>
      </c>
      <c r="O819" t="n">
        <v>0</v>
      </c>
      <c r="P819" t="n">
        <v>0</v>
      </c>
      <c r="Q819" t="n">
        <v>0</v>
      </c>
      <c r="R819" s="2" t="inlineStr"/>
    </row>
    <row r="820" ht="15" customHeight="1">
      <c r="A820" t="inlineStr">
        <is>
          <t>A 40241-2025</t>
        </is>
      </c>
      <c r="B820" s="1" t="n">
        <v>45894.87251157407</v>
      </c>
      <c r="C820" s="1" t="n">
        <v>45937</v>
      </c>
      <c r="D820" t="inlineStr">
        <is>
          <t>SKÅNE LÄN</t>
        </is>
      </c>
      <c r="E820" t="inlineStr">
        <is>
          <t>HÄSSLEHOLM</t>
        </is>
      </c>
      <c r="G820" t="n">
        <v>3.8</v>
      </c>
      <c r="H820" t="n">
        <v>0</v>
      </c>
      <c r="I820" t="n">
        <v>0</v>
      </c>
      <c r="J820" t="n">
        <v>0</v>
      </c>
      <c r="K820" t="n">
        <v>0</v>
      </c>
      <c r="L820" t="n">
        <v>0</v>
      </c>
      <c r="M820" t="n">
        <v>0</v>
      </c>
      <c r="N820" t="n">
        <v>0</v>
      </c>
      <c r="O820" t="n">
        <v>0</v>
      </c>
      <c r="P820" t="n">
        <v>0</v>
      </c>
      <c r="Q820" t="n">
        <v>0</v>
      </c>
      <c r="R820" s="2" t="inlineStr"/>
    </row>
    <row r="821" ht="15" customHeight="1">
      <c r="A821" t="inlineStr">
        <is>
          <t>A 7094-2023</t>
        </is>
      </c>
      <c r="B821" s="1" t="n">
        <v>44970.36958333333</v>
      </c>
      <c r="C821" s="1" t="n">
        <v>45937</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3500-2024</t>
        </is>
      </c>
      <c r="B822" s="1" t="n">
        <v>45320</v>
      </c>
      <c r="C822" s="1" t="n">
        <v>45937</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35259-2025</t>
        </is>
      </c>
      <c r="B823" s="1" t="n">
        <v>45853.76912037037</v>
      </c>
      <c r="C823" s="1" t="n">
        <v>45937</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20970-2025</t>
        </is>
      </c>
      <c r="B824" s="1" t="n">
        <v>45777.45417824074</v>
      </c>
      <c r="C824" s="1" t="n">
        <v>45937</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11266-2025</t>
        </is>
      </c>
      <c r="B825" s="1" t="n">
        <v>45726</v>
      </c>
      <c r="C825" s="1" t="n">
        <v>45937</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49950-2023</t>
        </is>
      </c>
      <c r="B826" s="1" t="n">
        <v>45215</v>
      </c>
      <c r="C826" s="1" t="n">
        <v>45937</v>
      </c>
      <c r="D826" t="inlineStr">
        <is>
          <t>SKÅNE LÄN</t>
        </is>
      </c>
      <c r="E826" t="inlineStr">
        <is>
          <t>HÄSSLEHOLM</t>
        </is>
      </c>
      <c r="G826" t="n">
        <v>1</v>
      </c>
      <c r="H826" t="n">
        <v>0</v>
      </c>
      <c r="I826" t="n">
        <v>0</v>
      </c>
      <c r="J826" t="n">
        <v>0</v>
      </c>
      <c r="K826" t="n">
        <v>0</v>
      </c>
      <c r="L826" t="n">
        <v>0</v>
      </c>
      <c r="M826" t="n">
        <v>0</v>
      </c>
      <c r="N826" t="n">
        <v>0</v>
      </c>
      <c r="O826" t="n">
        <v>0</v>
      </c>
      <c r="P826" t="n">
        <v>0</v>
      </c>
      <c r="Q826" t="n">
        <v>0</v>
      </c>
      <c r="R826" s="2" t="inlineStr"/>
    </row>
    <row r="827" ht="15" customHeight="1">
      <c r="A827" t="inlineStr">
        <is>
          <t>A 29853-2024</t>
        </is>
      </c>
      <c r="B827" s="1" t="n">
        <v>45485.65844907407</v>
      </c>
      <c r="C827" s="1" t="n">
        <v>45937</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57695-2023</t>
        </is>
      </c>
      <c r="B828" s="1" t="n">
        <v>45246</v>
      </c>
      <c r="C828" s="1" t="n">
        <v>45937</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17413-2025</t>
        </is>
      </c>
      <c r="B829" s="1" t="n">
        <v>45757.37480324074</v>
      </c>
      <c r="C829" s="1" t="n">
        <v>45937</v>
      </c>
      <c r="D829" t="inlineStr">
        <is>
          <t>SKÅNE LÄN</t>
        </is>
      </c>
      <c r="E829" t="inlineStr">
        <is>
          <t>HÄSSLEHOLM</t>
        </is>
      </c>
      <c r="G829" t="n">
        <v>0.8</v>
      </c>
      <c r="H829" t="n">
        <v>0</v>
      </c>
      <c r="I829" t="n">
        <v>0</v>
      </c>
      <c r="J829" t="n">
        <v>0</v>
      </c>
      <c r="K829" t="n">
        <v>0</v>
      </c>
      <c r="L829" t="n">
        <v>0</v>
      </c>
      <c r="M829" t="n">
        <v>0</v>
      </c>
      <c r="N829" t="n">
        <v>0</v>
      </c>
      <c r="O829" t="n">
        <v>0</v>
      </c>
      <c r="P829" t="n">
        <v>0</v>
      </c>
      <c r="Q829" t="n">
        <v>0</v>
      </c>
      <c r="R829" s="2" t="inlineStr"/>
    </row>
    <row r="830" ht="15" customHeight="1">
      <c r="A830" t="inlineStr">
        <is>
          <t>A 9615-2025</t>
        </is>
      </c>
      <c r="B830" s="1" t="n">
        <v>45715</v>
      </c>
      <c r="C830" s="1" t="n">
        <v>45937</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48747-2022</t>
        </is>
      </c>
      <c r="B831" s="1" t="n">
        <v>44859</v>
      </c>
      <c r="C831" s="1" t="n">
        <v>45937</v>
      </c>
      <c r="D831" t="inlineStr">
        <is>
          <t>SKÅNE LÄN</t>
        </is>
      </c>
      <c r="E831" t="inlineStr">
        <is>
          <t>HÄSSLEHOLM</t>
        </is>
      </c>
      <c r="G831" t="n">
        <v>1.9</v>
      </c>
      <c r="H831" t="n">
        <v>0</v>
      </c>
      <c r="I831" t="n">
        <v>0</v>
      </c>
      <c r="J831" t="n">
        <v>0</v>
      </c>
      <c r="K831" t="n">
        <v>0</v>
      </c>
      <c r="L831" t="n">
        <v>0</v>
      </c>
      <c r="M831" t="n">
        <v>0</v>
      </c>
      <c r="N831" t="n">
        <v>0</v>
      </c>
      <c r="O831" t="n">
        <v>0</v>
      </c>
      <c r="P831" t="n">
        <v>0</v>
      </c>
      <c r="Q831" t="n">
        <v>0</v>
      </c>
      <c r="R831" s="2" t="inlineStr"/>
    </row>
    <row r="832" ht="15" customHeight="1">
      <c r="A832" t="inlineStr">
        <is>
          <t>A 7153-2025</t>
        </is>
      </c>
      <c r="B832" s="1" t="n">
        <v>45702.38512731482</v>
      </c>
      <c r="C832" s="1" t="n">
        <v>45937</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42232-2022</t>
        </is>
      </c>
      <c r="B833" s="1" t="n">
        <v>44830.77591435185</v>
      </c>
      <c r="C833" s="1" t="n">
        <v>45937</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7581-2023</t>
        </is>
      </c>
      <c r="B834" s="1" t="n">
        <v>44972.39556712963</v>
      </c>
      <c r="C834" s="1" t="n">
        <v>45937</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38829-2024</t>
        </is>
      </c>
      <c r="B835" s="1" t="n">
        <v>45547.57247685185</v>
      </c>
      <c r="C835" s="1" t="n">
        <v>45937</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21141-2024</t>
        </is>
      </c>
      <c r="B836" s="1" t="n">
        <v>45440.39012731481</v>
      </c>
      <c r="C836" s="1" t="n">
        <v>45937</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25542-2024</t>
        </is>
      </c>
      <c r="B837" s="1" t="n">
        <v>45463</v>
      </c>
      <c r="C837" s="1" t="n">
        <v>45937</v>
      </c>
      <c r="D837" t="inlineStr">
        <is>
          <t>SKÅNE LÄN</t>
        </is>
      </c>
      <c r="E837" t="inlineStr">
        <is>
          <t>HÄSSLEHOLM</t>
        </is>
      </c>
      <c r="G837" t="n">
        <v>6.9</v>
      </c>
      <c r="H837" t="n">
        <v>0</v>
      </c>
      <c r="I837" t="n">
        <v>0</v>
      </c>
      <c r="J837" t="n">
        <v>0</v>
      </c>
      <c r="K837" t="n">
        <v>0</v>
      </c>
      <c r="L837" t="n">
        <v>0</v>
      </c>
      <c r="M837" t="n">
        <v>0</v>
      </c>
      <c r="N837" t="n">
        <v>0</v>
      </c>
      <c r="O837" t="n">
        <v>0</v>
      </c>
      <c r="P837" t="n">
        <v>0</v>
      </c>
      <c r="Q837" t="n">
        <v>0</v>
      </c>
      <c r="R837" s="2" t="inlineStr"/>
    </row>
    <row r="838" ht="15" customHeight="1">
      <c r="A838" t="inlineStr">
        <is>
          <t>A 14670-2025</t>
        </is>
      </c>
      <c r="B838" s="1" t="n">
        <v>45742.55079861111</v>
      </c>
      <c r="C838" s="1" t="n">
        <v>45937</v>
      </c>
      <c r="D838" t="inlineStr">
        <is>
          <t>SKÅNE LÄN</t>
        </is>
      </c>
      <c r="E838" t="inlineStr">
        <is>
          <t>HÄSSLEHOLM</t>
        </is>
      </c>
      <c r="G838" t="n">
        <v>1.1</v>
      </c>
      <c r="H838" t="n">
        <v>0</v>
      </c>
      <c r="I838" t="n">
        <v>0</v>
      </c>
      <c r="J838" t="n">
        <v>0</v>
      </c>
      <c r="K838" t="n">
        <v>0</v>
      </c>
      <c r="L838" t="n">
        <v>0</v>
      </c>
      <c r="M838" t="n">
        <v>0</v>
      </c>
      <c r="N838" t="n">
        <v>0</v>
      </c>
      <c r="O838" t="n">
        <v>0</v>
      </c>
      <c r="P838" t="n">
        <v>0</v>
      </c>
      <c r="Q838" t="n">
        <v>0</v>
      </c>
      <c r="R838" s="2" t="inlineStr"/>
    </row>
    <row r="839" ht="15" customHeight="1">
      <c r="A839" t="inlineStr">
        <is>
          <t>A 11603-2025</t>
        </is>
      </c>
      <c r="B839" s="1" t="n">
        <v>45727</v>
      </c>
      <c r="C839" s="1" t="n">
        <v>45937</v>
      </c>
      <c r="D839" t="inlineStr">
        <is>
          <t>SKÅNE LÄN</t>
        </is>
      </c>
      <c r="E839" t="inlineStr">
        <is>
          <t>HÄSSLEHOLM</t>
        </is>
      </c>
      <c r="G839" t="n">
        <v>5.6</v>
      </c>
      <c r="H839" t="n">
        <v>0</v>
      </c>
      <c r="I839" t="n">
        <v>0</v>
      </c>
      <c r="J839" t="n">
        <v>0</v>
      </c>
      <c r="K839" t="n">
        <v>0</v>
      </c>
      <c r="L839" t="n">
        <v>0</v>
      </c>
      <c r="M839" t="n">
        <v>0</v>
      </c>
      <c r="N839" t="n">
        <v>0</v>
      </c>
      <c r="O839" t="n">
        <v>0</v>
      </c>
      <c r="P839" t="n">
        <v>0</v>
      </c>
      <c r="Q839" t="n">
        <v>0</v>
      </c>
      <c r="R839" s="2" t="inlineStr"/>
    </row>
    <row r="840" ht="15" customHeight="1">
      <c r="A840" t="inlineStr">
        <is>
          <t>A 13712-2025</t>
        </is>
      </c>
      <c r="B840" s="1" t="n">
        <v>45737</v>
      </c>
      <c r="C840" s="1" t="n">
        <v>45937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55454-2021</t>
        </is>
      </c>
      <c r="B841" s="1" t="n">
        <v>44475</v>
      </c>
      <c r="C841" s="1" t="n">
        <v>45937</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46288-2023</t>
        </is>
      </c>
      <c r="B842" s="1" t="n">
        <v>45197.30221064815</v>
      </c>
      <c r="C842" s="1" t="n">
        <v>45937</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61489-2024</t>
        </is>
      </c>
      <c r="B843" s="1" t="n">
        <v>45646.54875</v>
      </c>
      <c r="C843" s="1" t="n">
        <v>45937</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57967-2023</t>
        </is>
      </c>
      <c r="B844" s="1" t="n">
        <v>45247.57984953704</v>
      </c>
      <c r="C844" s="1" t="n">
        <v>45937</v>
      </c>
      <c r="D844" t="inlineStr">
        <is>
          <t>SKÅNE LÄN</t>
        </is>
      </c>
      <c r="E844" t="inlineStr">
        <is>
          <t>HÄSSLEHOLM</t>
        </is>
      </c>
      <c r="G844" t="n">
        <v>8.6</v>
      </c>
      <c r="H844" t="n">
        <v>0</v>
      </c>
      <c r="I844" t="n">
        <v>0</v>
      </c>
      <c r="J844" t="n">
        <v>0</v>
      </c>
      <c r="K844" t="n">
        <v>0</v>
      </c>
      <c r="L844" t="n">
        <v>0</v>
      </c>
      <c r="M844" t="n">
        <v>0</v>
      </c>
      <c r="N844" t="n">
        <v>0</v>
      </c>
      <c r="O844" t="n">
        <v>0</v>
      </c>
      <c r="P844" t="n">
        <v>0</v>
      </c>
      <c r="Q844" t="n">
        <v>0</v>
      </c>
      <c r="R844" s="2" t="inlineStr"/>
    </row>
    <row r="845" ht="15" customHeight="1">
      <c r="A845" t="inlineStr">
        <is>
          <t>A 26879-2024</t>
        </is>
      </c>
      <c r="B845" s="1" t="n">
        <v>45470</v>
      </c>
      <c r="C845" s="1" t="n">
        <v>45937</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19744-2023</t>
        </is>
      </c>
      <c r="B846" s="1" t="n">
        <v>45051</v>
      </c>
      <c r="C846" s="1" t="n">
        <v>45937</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15990-2023</t>
        </is>
      </c>
      <c r="B847" s="1" t="n">
        <v>45023.39584490741</v>
      </c>
      <c r="C847" s="1" t="n">
        <v>45937</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59728-2022</t>
        </is>
      </c>
      <c r="B848" s="1" t="n">
        <v>44900</v>
      </c>
      <c r="C848" s="1" t="n">
        <v>45937</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47907-2021</t>
        </is>
      </c>
      <c r="B849" s="1" t="n">
        <v>44448</v>
      </c>
      <c r="C849" s="1" t="n">
        <v>45937</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7513-2025</t>
        </is>
      </c>
      <c r="B850" s="1" t="n">
        <v>45702</v>
      </c>
      <c r="C850" s="1" t="n">
        <v>45937</v>
      </c>
      <c r="D850" t="inlineStr">
        <is>
          <t>SKÅNE LÄN</t>
        </is>
      </c>
      <c r="E850" t="inlineStr">
        <is>
          <t>HÄSSLEHOLM</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45400-2022</t>
        </is>
      </c>
      <c r="B851" s="1" t="n">
        <v>44844.713125</v>
      </c>
      <c r="C851" s="1" t="n">
        <v>45937</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3294-2025</t>
        </is>
      </c>
      <c r="B852" s="1" t="n">
        <v>45679.64125</v>
      </c>
      <c r="C852" s="1" t="n">
        <v>45937</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13897-2024</t>
        </is>
      </c>
      <c r="B853" s="1" t="n">
        <v>45391</v>
      </c>
      <c r="C853" s="1" t="n">
        <v>45937</v>
      </c>
      <c r="D853" t="inlineStr">
        <is>
          <t>SKÅNE LÄN</t>
        </is>
      </c>
      <c r="E853" t="inlineStr">
        <is>
          <t>HÄSSLEHOLM</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69500-2020</t>
        </is>
      </c>
      <c r="B854" s="1" t="n">
        <v>44194</v>
      </c>
      <c r="C854" s="1" t="n">
        <v>45937</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54874-2022</t>
        </is>
      </c>
      <c r="B855" s="1" t="n">
        <v>44881</v>
      </c>
      <c r="C855" s="1" t="n">
        <v>45937</v>
      </c>
      <c r="D855" t="inlineStr">
        <is>
          <t>SKÅNE LÄN</t>
        </is>
      </c>
      <c r="E855" t="inlineStr">
        <is>
          <t>HÄSSLEHOLM</t>
        </is>
      </c>
      <c r="G855" t="n">
        <v>8.1</v>
      </c>
      <c r="H855" t="n">
        <v>0</v>
      </c>
      <c r="I855" t="n">
        <v>0</v>
      </c>
      <c r="J855" t="n">
        <v>0</v>
      </c>
      <c r="K855" t="n">
        <v>0</v>
      </c>
      <c r="L855" t="n">
        <v>0</v>
      </c>
      <c r="M855" t="n">
        <v>0</v>
      </c>
      <c r="N855" t="n">
        <v>0</v>
      </c>
      <c r="O855" t="n">
        <v>0</v>
      </c>
      <c r="P855" t="n">
        <v>0</v>
      </c>
      <c r="Q855" t="n">
        <v>0</v>
      </c>
      <c r="R855" s="2" t="inlineStr"/>
    </row>
    <row r="856" ht="15" customHeight="1">
      <c r="A856" t="inlineStr">
        <is>
          <t>A 41680-2024</t>
        </is>
      </c>
      <c r="B856" s="1" t="n">
        <v>45560</v>
      </c>
      <c r="C856" s="1" t="n">
        <v>45937</v>
      </c>
      <c r="D856" t="inlineStr">
        <is>
          <t>SKÅNE LÄN</t>
        </is>
      </c>
      <c r="E856" t="inlineStr">
        <is>
          <t>HÄSSLEHOLM</t>
        </is>
      </c>
      <c r="G856" t="n">
        <v>0.2</v>
      </c>
      <c r="H856" t="n">
        <v>0</v>
      </c>
      <c r="I856" t="n">
        <v>0</v>
      </c>
      <c r="J856" t="n">
        <v>0</v>
      </c>
      <c r="K856" t="n">
        <v>0</v>
      </c>
      <c r="L856" t="n">
        <v>0</v>
      </c>
      <c r="M856" t="n">
        <v>0</v>
      </c>
      <c r="N856" t="n">
        <v>0</v>
      </c>
      <c r="O856" t="n">
        <v>0</v>
      </c>
      <c r="P856" t="n">
        <v>0</v>
      </c>
      <c r="Q856" t="n">
        <v>0</v>
      </c>
      <c r="R856" s="2" t="inlineStr"/>
    </row>
    <row r="857" ht="15" customHeight="1">
      <c r="A857" t="inlineStr">
        <is>
          <t>A 1706-2025</t>
        </is>
      </c>
      <c r="B857" s="1" t="n">
        <v>45670</v>
      </c>
      <c r="C857" s="1" t="n">
        <v>45937</v>
      </c>
      <c r="D857" t="inlineStr">
        <is>
          <t>SKÅNE LÄN</t>
        </is>
      </c>
      <c r="E857" t="inlineStr">
        <is>
          <t>HÄSSLEHOLM</t>
        </is>
      </c>
      <c r="G857" t="n">
        <v>5</v>
      </c>
      <c r="H857" t="n">
        <v>0</v>
      </c>
      <c r="I857" t="n">
        <v>0</v>
      </c>
      <c r="J857" t="n">
        <v>0</v>
      </c>
      <c r="K857" t="n">
        <v>0</v>
      </c>
      <c r="L857" t="n">
        <v>0</v>
      </c>
      <c r="M857" t="n">
        <v>0</v>
      </c>
      <c r="N857" t="n">
        <v>0</v>
      </c>
      <c r="O857" t="n">
        <v>0</v>
      </c>
      <c r="P857" t="n">
        <v>0</v>
      </c>
      <c r="Q857" t="n">
        <v>0</v>
      </c>
      <c r="R857" s="2" t="inlineStr"/>
    </row>
    <row r="858" ht="15" customHeight="1">
      <c r="A858" t="inlineStr">
        <is>
          <t>A 61625-2022</t>
        </is>
      </c>
      <c r="B858" s="1" t="n">
        <v>44916</v>
      </c>
      <c r="C858" s="1" t="n">
        <v>45937</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41400-2025</t>
        </is>
      </c>
      <c r="B859" s="1" t="n">
        <v>45901</v>
      </c>
      <c r="C859" s="1" t="n">
        <v>45937</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41401-2025</t>
        </is>
      </c>
      <c r="B860" s="1" t="n">
        <v>45901</v>
      </c>
      <c r="C860" s="1" t="n">
        <v>45937</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31268-2024</t>
        </is>
      </c>
      <c r="B861" s="1" t="n">
        <v>45504</v>
      </c>
      <c r="C861" s="1" t="n">
        <v>45937</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13856-2025</t>
        </is>
      </c>
      <c r="B862" s="1" t="n">
        <v>45737.57289351852</v>
      </c>
      <c r="C862" s="1" t="n">
        <v>45937</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36568-2024</t>
        </is>
      </c>
      <c r="B863" s="1" t="n">
        <v>45537</v>
      </c>
      <c r="C863" s="1" t="n">
        <v>45937</v>
      </c>
      <c r="D863" t="inlineStr">
        <is>
          <t>SKÅNE LÄN</t>
        </is>
      </c>
      <c r="E863" t="inlineStr">
        <is>
          <t>HÄSSLEHOLM</t>
        </is>
      </c>
      <c r="G863" t="n">
        <v>4.3</v>
      </c>
      <c r="H863" t="n">
        <v>0</v>
      </c>
      <c r="I863" t="n">
        <v>0</v>
      </c>
      <c r="J863" t="n">
        <v>0</v>
      </c>
      <c r="K863" t="n">
        <v>0</v>
      </c>
      <c r="L863" t="n">
        <v>0</v>
      </c>
      <c r="M863" t="n">
        <v>0</v>
      </c>
      <c r="N863" t="n">
        <v>0</v>
      </c>
      <c r="O863" t="n">
        <v>0</v>
      </c>
      <c r="P863" t="n">
        <v>0</v>
      </c>
      <c r="Q863" t="n">
        <v>0</v>
      </c>
      <c r="R863" s="2" t="inlineStr"/>
    </row>
    <row r="864" ht="15" customHeight="1">
      <c r="A864" t="inlineStr">
        <is>
          <t>A 32794-2021</t>
        </is>
      </c>
      <c r="B864" s="1" t="n">
        <v>44375</v>
      </c>
      <c r="C864" s="1" t="n">
        <v>45937</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13961-2023</t>
        </is>
      </c>
      <c r="B865" s="1" t="n">
        <v>45008</v>
      </c>
      <c r="C865" s="1" t="n">
        <v>45937</v>
      </c>
      <c r="D865" t="inlineStr">
        <is>
          <t>SKÅNE LÄN</t>
        </is>
      </c>
      <c r="E865" t="inlineStr">
        <is>
          <t>HÄSSLEHOLM</t>
        </is>
      </c>
      <c r="G865" t="n">
        <v>3.8</v>
      </c>
      <c r="H865" t="n">
        <v>0</v>
      </c>
      <c r="I865" t="n">
        <v>0</v>
      </c>
      <c r="J865" t="n">
        <v>0</v>
      </c>
      <c r="K865" t="n">
        <v>0</v>
      </c>
      <c r="L865" t="n">
        <v>0</v>
      </c>
      <c r="M865" t="n">
        <v>0</v>
      </c>
      <c r="N865" t="n">
        <v>0</v>
      </c>
      <c r="O865" t="n">
        <v>0</v>
      </c>
      <c r="P865" t="n">
        <v>0</v>
      </c>
      <c r="Q865" t="n">
        <v>0</v>
      </c>
      <c r="R865" s="2" t="inlineStr"/>
    </row>
    <row r="866" ht="15" customHeight="1">
      <c r="A866" t="inlineStr">
        <is>
          <t>A 3855-2023</t>
        </is>
      </c>
      <c r="B866" s="1" t="n">
        <v>44951.69708333333</v>
      </c>
      <c r="C866" s="1" t="n">
        <v>45937</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34301-2024</t>
        </is>
      </c>
      <c r="B867" s="1" t="n">
        <v>45524</v>
      </c>
      <c r="C867" s="1" t="n">
        <v>45937</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15060-2023</t>
        </is>
      </c>
      <c r="B868" s="1" t="n">
        <v>45015.69832175926</v>
      </c>
      <c r="C868" s="1" t="n">
        <v>45937</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54171-2021</t>
        </is>
      </c>
      <c r="B869" s="1" t="n">
        <v>44470</v>
      </c>
      <c r="C869" s="1" t="n">
        <v>45937</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36085-2025</t>
        </is>
      </c>
      <c r="B870" s="1" t="n">
        <v>45866.46190972222</v>
      </c>
      <c r="C870" s="1" t="n">
        <v>45937</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7604-2024</t>
        </is>
      </c>
      <c r="B871" s="1" t="n">
        <v>45348</v>
      </c>
      <c r="C871" s="1" t="n">
        <v>45937</v>
      </c>
      <c r="D871" t="inlineStr">
        <is>
          <t>SKÅNE LÄN</t>
        </is>
      </c>
      <c r="E871" t="inlineStr">
        <is>
          <t>HÄSSLEHOLM</t>
        </is>
      </c>
      <c r="G871" t="n">
        <v>11.1</v>
      </c>
      <c r="H871" t="n">
        <v>0</v>
      </c>
      <c r="I871" t="n">
        <v>0</v>
      </c>
      <c r="J871" t="n">
        <v>0</v>
      </c>
      <c r="K871" t="n">
        <v>0</v>
      </c>
      <c r="L871" t="n">
        <v>0</v>
      </c>
      <c r="M871" t="n">
        <v>0</v>
      </c>
      <c r="N871" t="n">
        <v>0</v>
      </c>
      <c r="O871" t="n">
        <v>0</v>
      </c>
      <c r="P871" t="n">
        <v>0</v>
      </c>
      <c r="Q871" t="n">
        <v>0</v>
      </c>
      <c r="R871" s="2" t="inlineStr"/>
    </row>
    <row r="872" ht="15" customHeight="1">
      <c r="A872" t="inlineStr">
        <is>
          <t>A 13347-2025</t>
        </is>
      </c>
      <c r="B872" s="1" t="n">
        <v>45735.63175925926</v>
      </c>
      <c r="C872" s="1" t="n">
        <v>45937</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32154-2024</t>
        </is>
      </c>
      <c r="B873" s="1" t="n">
        <v>45511</v>
      </c>
      <c r="C873" s="1" t="n">
        <v>45937</v>
      </c>
      <c r="D873" t="inlineStr">
        <is>
          <t>SKÅNE LÄN</t>
        </is>
      </c>
      <c r="E873" t="inlineStr">
        <is>
          <t>HÄSSLEHOLM</t>
        </is>
      </c>
      <c r="G873" t="n">
        <v>6.4</v>
      </c>
      <c r="H873" t="n">
        <v>0</v>
      </c>
      <c r="I873" t="n">
        <v>0</v>
      </c>
      <c r="J873" t="n">
        <v>0</v>
      </c>
      <c r="K873" t="n">
        <v>0</v>
      </c>
      <c r="L873" t="n">
        <v>0</v>
      </c>
      <c r="M873" t="n">
        <v>0</v>
      </c>
      <c r="N873" t="n">
        <v>0</v>
      </c>
      <c r="O873" t="n">
        <v>0</v>
      </c>
      <c r="P873" t="n">
        <v>0</v>
      </c>
      <c r="Q873" t="n">
        <v>0</v>
      </c>
      <c r="R873" s="2" t="inlineStr"/>
    </row>
    <row r="874" ht="15" customHeight="1">
      <c r="A874" t="inlineStr">
        <is>
          <t>A 53055-2021</t>
        </is>
      </c>
      <c r="B874" s="1" t="n">
        <v>44467</v>
      </c>
      <c r="C874" s="1" t="n">
        <v>45937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42520-2025</t>
        </is>
      </c>
      <c r="B875" s="1" t="n">
        <v>45905.54846064815</v>
      </c>
      <c r="C875" s="1" t="n">
        <v>45937</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36130-2025</t>
        </is>
      </c>
      <c r="B876" s="1" t="n">
        <v>45866.62273148148</v>
      </c>
      <c r="C876" s="1" t="n">
        <v>45937</v>
      </c>
      <c r="D876" t="inlineStr">
        <is>
          <t>SKÅNE LÄN</t>
        </is>
      </c>
      <c r="E876" t="inlineStr">
        <is>
          <t>HÄSSLEHOLM</t>
        </is>
      </c>
      <c r="G876" t="n">
        <v>4.7</v>
      </c>
      <c r="H876" t="n">
        <v>0</v>
      </c>
      <c r="I876" t="n">
        <v>0</v>
      </c>
      <c r="J876" t="n">
        <v>0</v>
      </c>
      <c r="K876" t="n">
        <v>0</v>
      </c>
      <c r="L876" t="n">
        <v>0</v>
      </c>
      <c r="M876" t="n">
        <v>0</v>
      </c>
      <c r="N876" t="n">
        <v>0</v>
      </c>
      <c r="O876" t="n">
        <v>0</v>
      </c>
      <c r="P876" t="n">
        <v>0</v>
      </c>
      <c r="Q876" t="n">
        <v>0</v>
      </c>
      <c r="R876" s="2" t="inlineStr"/>
    </row>
    <row r="877" ht="15" customHeight="1">
      <c r="A877" t="inlineStr">
        <is>
          <t>A 11260-2021</t>
        </is>
      </c>
      <c r="B877" s="1" t="n">
        <v>44263</v>
      </c>
      <c r="C877" s="1" t="n">
        <v>45937</v>
      </c>
      <c r="D877" t="inlineStr">
        <is>
          <t>SKÅNE LÄN</t>
        </is>
      </c>
      <c r="E877" t="inlineStr">
        <is>
          <t>HÄSSLEHOLM</t>
        </is>
      </c>
      <c r="G877" t="n">
        <v>5.4</v>
      </c>
      <c r="H877" t="n">
        <v>0</v>
      </c>
      <c r="I877" t="n">
        <v>0</v>
      </c>
      <c r="J877" t="n">
        <v>0</v>
      </c>
      <c r="K877" t="n">
        <v>0</v>
      </c>
      <c r="L877" t="n">
        <v>0</v>
      </c>
      <c r="M877" t="n">
        <v>0</v>
      </c>
      <c r="N877" t="n">
        <v>0</v>
      </c>
      <c r="O877" t="n">
        <v>0</v>
      </c>
      <c r="P877" t="n">
        <v>0</v>
      </c>
      <c r="Q877" t="n">
        <v>0</v>
      </c>
      <c r="R877" s="2" t="inlineStr"/>
    </row>
    <row r="878" ht="15" customHeight="1">
      <c r="A878" t="inlineStr">
        <is>
          <t>A 13198-2025</t>
        </is>
      </c>
      <c r="B878" s="1" t="n">
        <v>45735</v>
      </c>
      <c r="C878" s="1" t="n">
        <v>45937</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3135-2023</t>
        </is>
      </c>
      <c r="B879" s="1" t="n">
        <v>44946.51672453704</v>
      </c>
      <c r="C879" s="1" t="n">
        <v>45937</v>
      </c>
      <c r="D879" t="inlineStr">
        <is>
          <t>SKÅNE LÄN</t>
        </is>
      </c>
      <c r="E879" t="inlineStr">
        <is>
          <t>HÄSSLEHOLM</t>
        </is>
      </c>
      <c r="G879" t="n">
        <v>7.2</v>
      </c>
      <c r="H879" t="n">
        <v>0</v>
      </c>
      <c r="I879" t="n">
        <v>0</v>
      </c>
      <c r="J879" t="n">
        <v>0</v>
      </c>
      <c r="K879" t="n">
        <v>0</v>
      </c>
      <c r="L879" t="n">
        <v>0</v>
      </c>
      <c r="M879" t="n">
        <v>0</v>
      </c>
      <c r="N879" t="n">
        <v>0</v>
      </c>
      <c r="O879" t="n">
        <v>0</v>
      </c>
      <c r="P879" t="n">
        <v>0</v>
      </c>
      <c r="Q879" t="n">
        <v>0</v>
      </c>
      <c r="R879" s="2" t="inlineStr"/>
    </row>
    <row r="880" ht="15" customHeight="1">
      <c r="A880" t="inlineStr">
        <is>
          <t>A 19666-2025</t>
        </is>
      </c>
      <c r="B880" s="1" t="n">
        <v>45770.69326388889</v>
      </c>
      <c r="C880" s="1" t="n">
        <v>45937</v>
      </c>
      <c r="D880" t="inlineStr">
        <is>
          <t>SKÅNE LÄN</t>
        </is>
      </c>
      <c r="E880" t="inlineStr">
        <is>
          <t>HÄSSLEHOLM</t>
        </is>
      </c>
      <c r="G880" t="n">
        <v>2.4</v>
      </c>
      <c r="H880" t="n">
        <v>0</v>
      </c>
      <c r="I880" t="n">
        <v>0</v>
      </c>
      <c r="J880" t="n">
        <v>0</v>
      </c>
      <c r="K880" t="n">
        <v>0</v>
      </c>
      <c r="L880" t="n">
        <v>0</v>
      </c>
      <c r="M880" t="n">
        <v>0</v>
      </c>
      <c r="N880" t="n">
        <v>0</v>
      </c>
      <c r="O880" t="n">
        <v>0</v>
      </c>
      <c r="P880" t="n">
        <v>0</v>
      </c>
      <c r="Q880" t="n">
        <v>0</v>
      </c>
      <c r="R880" s="2" t="inlineStr"/>
    </row>
    <row r="881" ht="15" customHeight="1">
      <c r="A881" t="inlineStr">
        <is>
          <t>A 59429-2023</t>
        </is>
      </c>
      <c r="B881" s="1" t="n">
        <v>45254.2875</v>
      </c>
      <c r="C881" s="1" t="n">
        <v>45937</v>
      </c>
      <c r="D881" t="inlineStr">
        <is>
          <t>SKÅNE LÄN</t>
        </is>
      </c>
      <c r="E881" t="inlineStr">
        <is>
          <t>HÄSSLEHOLM</t>
        </is>
      </c>
      <c r="G881" t="n">
        <v>0</v>
      </c>
      <c r="H881" t="n">
        <v>0</v>
      </c>
      <c r="I881" t="n">
        <v>0</v>
      </c>
      <c r="J881" t="n">
        <v>0</v>
      </c>
      <c r="K881" t="n">
        <v>0</v>
      </c>
      <c r="L881" t="n">
        <v>0</v>
      </c>
      <c r="M881" t="n">
        <v>0</v>
      </c>
      <c r="N881" t="n">
        <v>0</v>
      </c>
      <c r="O881" t="n">
        <v>0</v>
      </c>
      <c r="P881" t="n">
        <v>0</v>
      </c>
      <c r="Q881" t="n">
        <v>0</v>
      </c>
      <c r="R881" s="2" t="inlineStr"/>
    </row>
    <row r="882" ht="15" customHeight="1">
      <c r="A882" t="inlineStr">
        <is>
          <t>A 43332-2025</t>
        </is>
      </c>
      <c r="B882" s="1" t="n">
        <v>45910.70217592592</v>
      </c>
      <c r="C882" s="1" t="n">
        <v>45937</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40202-2022</t>
        </is>
      </c>
      <c r="B883" s="1" t="n">
        <v>44820.60614583334</v>
      </c>
      <c r="C883" s="1" t="n">
        <v>45937</v>
      </c>
      <c r="D883" t="inlineStr">
        <is>
          <t>SKÅNE LÄN</t>
        </is>
      </c>
      <c r="E883" t="inlineStr">
        <is>
          <t>HÄSSLEHOLM</t>
        </is>
      </c>
      <c r="G883" t="n">
        <v>1.1</v>
      </c>
      <c r="H883" t="n">
        <v>0</v>
      </c>
      <c r="I883" t="n">
        <v>0</v>
      </c>
      <c r="J883" t="n">
        <v>0</v>
      </c>
      <c r="K883" t="n">
        <v>0</v>
      </c>
      <c r="L883" t="n">
        <v>0</v>
      </c>
      <c r="M883" t="n">
        <v>0</v>
      </c>
      <c r="N883" t="n">
        <v>0</v>
      </c>
      <c r="O883" t="n">
        <v>0</v>
      </c>
      <c r="P883" t="n">
        <v>0</v>
      </c>
      <c r="Q883" t="n">
        <v>0</v>
      </c>
      <c r="R883" s="2" t="inlineStr"/>
    </row>
    <row r="884" ht="15" customHeight="1">
      <c r="A884" t="inlineStr">
        <is>
          <t>A 36706-2022</t>
        </is>
      </c>
      <c r="B884" s="1" t="n">
        <v>44805.32891203704</v>
      </c>
      <c r="C884" s="1" t="n">
        <v>45937</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441-2022</t>
        </is>
      </c>
      <c r="B885" s="1" t="n">
        <v>44565.97125</v>
      </c>
      <c r="C885" s="1" t="n">
        <v>45937</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36361-2025</t>
        </is>
      </c>
      <c r="B886" s="1" t="n">
        <v>45867</v>
      </c>
      <c r="C886" s="1" t="n">
        <v>45937</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54326-2022</t>
        </is>
      </c>
      <c r="B887" s="1" t="n">
        <v>44882.42965277778</v>
      </c>
      <c r="C887" s="1" t="n">
        <v>45937</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41998-2021</t>
        </is>
      </c>
      <c r="B888" s="1" t="n">
        <v>44425</v>
      </c>
      <c r="C888" s="1" t="n">
        <v>45937</v>
      </c>
      <c r="D888" t="inlineStr">
        <is>
          <t>SKÅNE LÄN</t>
        </is>
      </c>
      <c r="E888" t="inlineStr">
        <is>
          <t>HÄSSLEHOLM</t>
        </is>
      </c>
      <c r="G888" t="n">
        <v>1.3</v>
      </c>
      <c r="H888" t="n">
        <v>0</v>
      </c>
      <c r="I888" t="n">
        <v>0</v>
      </c>
      <c r="J888" t="n">
        <v>0</v>
      </c>
      <c r="K888" t="n">
        <v>0</v>
      </c>
      <c r="L888" t="n">
        <v>0</v>
      </c>
      <c r="M888" t="n">
        <v>0</v>
      </c>
      <c r="N888" t="n">
        <v>0</v>
      </c>
      <c r="O888" t="n">
        <v>0</v>
      </c>
      <c r="P888" t="n">
        <v>0</v>
      </c>
      <c r="Q888" t="n">
        <v>0</v>
      </c>
      <c r="R888" s="2" t="inlineStr"/>
    </row>
    <row r="889" ht="15" customHeight="1">
      <c r="A889" t="inlineStr">
        <is>
          <t>A 3364-2023</t>
        </is>
      </c>
      <c r="B889" s="1" t="n">
        <v>44949</v>
      </c>
      <c r="C889" s="1" t="n">
        <v>45937</v>
      </c>
      <c r="D889" t="inlineStr">
        <is>
          <t>SKÅNE LÄN</t>
        </is>
      </c>
      <c r="E889" t="inlineStr">
        <is>
          <t>HÄSSLEHOLM</t>
        </is>
      </c>
      <c r="G889" t="n">
        <v>5.1</v>
      </c>
      <c r="H889" t="n">
        <v>0</v>
      </c>
      <c r="I889" t="n">
        <v>0</v>
      </c>
      <c r="J889" t="n">
        <v>0</v>
      </c>
      <c r="K889" t="n">
        <v>0</v>
      </c>
      <c r="L889" t="n">
        <v>0</v>
      </c>
      <c r="M889" t="n">
        <v>0</v>
      </c>
      <c r="N889" t="n">
        <v>0</v>
      </c>
      <c r="O889" t="n">
        <v>0</v>
      </c>
      <c r="P889" t="n">
        <v>0</v>
      </c>
      <c r="Q889" t="n">
        <v>0</v>
      </c>
      <c r="R889" s="2" t="inlineStr"/>
    </row>
    <row r="890" ht="15" customHeight="1">
      <c r="A890" t="inlineStr">
        <is>
          <t>A 61524-2022</t>
        </is>
      </c>
      <c r="B890" s="1" t="n">
        <v>44910</v>
      </c>
      <c r="C890" s="1" t="n">
        <v>45937</v>
      </c>
      <c r="D890" t="inlineStr">
        <is>
          <t>SKÅNE LÄN</t>
        </is>
      </c>
      <c r="E890" t="inlineStr">
        <is>
          <t>HÄSSLEHOLM</t>
        </is>
      </c>
      <c r="F890" t="inlineStr">
        <is>
          <t>Kyrkan</t>
        </is>
      </c>
      <c r="G890" t="n">
        <v>2.1</v>
      </c>
      <c r="H890" t="n">
        <v>0</v>
      </c>
      <c r="I890" t="n">
        <v>0</v>
      </c>
      <c r="J890" t="n">
        <v>0</v>
      </c>
      <c r="K890" t="n">
        <v>0</v>
      </c>
      <c r="L890" t="n">
        <v>0</v>
      </c>
      <c r="M890" t="n">
        <v>0</v>
      </c>
      <c r="N890" t="n">
        <v>0</v>
      </c>
      <c r="O890" t="n">
        <v>0</v>
      </c>
      <c r="P890" t="n">
        <v>0</v>
      </c>
      <c r="Q890" t="n">
        <v>0</v>
      </c>
      <c r="R890" s="2" t="inlineStr"/>
    </row>
    <row r="891" ht="15" customHeight="1">
      <c r="A891" t="inlineStr">
        <is>
          <t>A 24904-2025</t>
        </is>
      </c>
      <c r="B891" s="1" t="n">
        <v>45799</v>
      </c>
      <c r="C891" s="1" t="n">
        <v>45937</v>
      </c>
      <c r="D891" t="inlineStr">
        <is>
          <t>SKÅNE LÄN</t>
        </is>
      </c>
      <c r="E891" t="inlineStr">
        <is>
          <t>HÄSSLEHOLM</t>
        </is>
      </c>
      <c r="G891" t="n">
        <v>2.2</v>
      </c>
      <c r="H891" t="n">
        <v>0</v>
      </c>
      <c r="I891" t="n">
        <v>0</v>
      </c>
      <c r="J891" t="n">
        <v>0</v>
      </c>
      <c r="K891" t="n">
        <v>0</v>
      </c>
      <c r="L891" t="n">
        <v>0</v>
      </c>
      <c r="M891" t="n">
        <v>0</v>
      </c>
      <c r="N891" t="n">
        <v>0</v>
      </c>
      <c r="O891" t="n">
        <v>0</v>
      </c>
      <c r="P891" t="n">
        <v>0</v>
      </c>
      <c r="Q891" t="n">
        <v>0</v>
      </c>
      <c r="R891" s="2" t="inlineStr"/>
    </row>
    <row r="892" ht="15" customHeight="1">
      <c r="A892" t="inlineStr">
        <is>
          <t>A 61533-2022</t>
        </is>
      </c>
      <c r="B892" s="1" t="n">
        <v>44910</v>
      </c>
      <c r="C892" s="1" t="n">
        <v>45937</v>
      </c>
      <c r="D892" t="inlineStr">
        <is>
          <t>SKÅNE LÄN</t>
        </is>
      </c>
      <c r="E892" t="inlineStr">
        <is>
          <t>HÄSSLEHOLM</t>
        </is>
      </c>
      <c r="F892" t="inlineStr">
        <is>
          <t>Kyrkan</t>
        </is>
      </c>
      <c r="G892" t="n">
        <v>1</v>
      </c>
      <c r="H892" t="n">
        <v>0</v>
      </c>
      <c r="I892" t="n">
        <v>0</v>
      </c>
      <c r="J892" t="n">
        <v>0</v>
      </c>
      <c r="K892" t="n">
        <v>0</v>
      </c>
      <c r="L892" t="n">
        <v>0</v>
      </c>
      <c r="M892" t="n">
        <v>0</v>
      </c>
      <c r="N892" t="n">
        <v>0</v>
      </c>
      <c r="O892" t="n">
        <v>0</v>
      </c>
      <c r="P892" t="n">
        <v>0</v>
      </c>
      <c r="Q892" t="n">
        <v>0</v>
      </c>
      <c r="R892" s="2" t="inlineStr"/>
    </row>
    <row r="893" ht="15" customHeight="1">
      <c r="A893" t="inlineStr">
        <is>
          <t>A 43629-2023</t>
        </is>
      </c>
      <c r="B893" s="1" t="n">
        <v>45184</v>
      </c>
      <c r="C893" s="1" t="n">
        <v>45937</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57656-2022</t>
        </is>
      </c>
      <c r="B894" s="1" t="n">
        <v>44897.4325925926</v>
      </c>
      <c r="C894" s="1" t="n">
        <v>45937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36358-2025</t>
        </is>
      </c>
      <c r="B895" s="1" t="n">
        <v>45867</v>
      </c>
      <c r="C895" s="1" t="n">
        <v>45937</v>
      </c>
      <c r="D895" t="inlineStr">
        <is>
          <t>SKÅNE LÄN</t>
        </is>
      </c>
      <c r="E895" t="inlineStr">
        <is>
          <t>HÄSSLEHOLM</t>
        </is>
      </c>
      <c r="G895" t="n">
        <v>2.8</v>
      </c>
      <c r="H895" t="n">
        <v>0</v>
      </c>
      <c r="I895" t="n">
        <v>0</v>
      </c>
      <c r="J895" t="n">
        <v>0</v>
      </c>
      <c r="K895" t="n">
        <v>0</v>
      </c>
      <c r="L895" t="n">
        <v>0</v>
      </c>
      <c r="M895" t="n">
        <v>0</v>
      </c>
      <c r="N895" t="n">
        <v>0</v>
      </c>
      <c r="O895" t="n">
        <v>0</v>
      </c>
      <c r="P895" t="n">
        <v>0</v>
      </c>
      <c r="Q895" t="n">
        <v>0</v>
      </c>
      <c r="R895" s="2" t="inlineStr"/>
    </row>
    <row r="896" ht="15" customHeight="1">
      <c r="A896" t="inlineStr">
        <is>
          <t>A 8619-2023</t>
        </is>
      </c>
      <c r="B896" s="1" t="n">
        <v>44977.81979166667</v>
      </c>
      <c r="C896" s="1" t="n">
        <v>45937</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36359-2025</t>
        </is>
      </c>
      <c r="B897" s="1" t="n">
        <v>45867</v>
      </c>
      <c r="C897" s="1" t="n">
        <v>45937</v>
      </c>
      <c r="D897" t="inlineStr">
        <is>
          <t>SKÅNE LÄN</t>
        </is>
      </c>
      <c r="E897" t="inlineStr">
        <is>
          <t>HÄSSLEHOLM</t>
        </is>
      </c>
      <c r="G897" t="n">
        <v>2.2</v>
      </c>
      <c r="H897" t="n">
        <v>0</v>
      </c>
      <c r="I897" t="n">
        <v>0</v>
      </c>
      <c r="J897" t="n">
        <v>0</v>
      </c>
      <c r="K897" t="n">
        <v>0</v>
      </c>
      <c r="L897" t="n">
        <v>0</v>
      </c>
      <c r="M897" t="n">
        <v>0</v>
      </c>
      <c r="N897" t="n">
        <v>0</v>
      </c>
      <c r="O897" t="n">
        <v>0</v>
      </c>
      <c r="P897" t="n">
        <v>0</v>
      </c>
      <c r="Q897" t="n">
        <v>0</v>
      </c>
      <c r="R897" s="2" t="inlineStr"/>
    </row>
    <row r="898" ht="15" customHeight="1">
      <c r="A898" t="inlineStr">
        <is>
          <t>A 36259-2025</t>
        </is>
      </c>
      <c r="B898" s="1" t="n">
        <v>45867.59799768519</v>
      </c>
      <c r="C898" s="1" t="n">
        <v>45937</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8250-2023</t>
        </is>
      </c>
      <c r="B899" s="1" t="n">
        <v>44974</v>
      </c>
      <c r="C899" s="1" t="n">
        <v>45937</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49219-2021</t>
        </is>
      </c>
      <c r="B900" s="1" t="n">
        <v>44454</v>
      </c>
      <c r="C900" s="1" t="n">
        <v>45937</v>
      </c>
      <c r="D900" t="inlineStr">
        <is>
          <t>SKÅNE LÄN</t>
        </is>
      </c>
      <c r="E900" t="inlineStr">
        <is>
          <t>HÄSSLEHOLM</t>
        </is>
      </c>
      <c r="G900" t="n">
        <v>7.8</v>
      </c>
      <c r="H900" t="n">
        <v>0</v>
      </c>
      <c r="I900" t="n">
        <v>0</v>
      </c>
      <c r="J900" t="n">
        <v>0</v>
      </c>
      <c r="K900" t="n">
        <v>0</v>
      </c>
      <c r="L900" t="n">
        <v>0</v>
      </c>
      <c r="M900" t="n">
        <v>0</v>
      </c>
      <c r="N900" t="n">
        <v>0</v>
      </c>
      <c r="O900" t="n">
        <v>0</v>
      </c>
      <c r="P900" t="n">
        <v>0</v>
      </c>
      <c r="Q900" t="n">
        <v>0</v>
      </c>
      <c r="R900" s="2" t="inlineStr"/>
    </row>
    <row r="901" ht="15" customHeight="1">
      <c r="A901" t="inlineStr">
        <is>
          <t>A 6101-2022</t>
        </is>
      </c>
      <c r="B901" s="1" t="n">
        <v>44599.63016203704</v>
      </c>
      <c r="C901" s="1" t="n">
        <v>45937</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43869-2025</t>
        </is>
      </c>
      <c r="B902" s="1" t="n">
        <v>45912.66452546296</v>
      </c>
      <c r="C902" s="1" t="n">
        <v>45937</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46000-2021</t>
        </is>
      </c>
      <c r="B903" s="1" t="n">
        <v>44441</v>
      </c>
      <c r="C903" s="1" t="n">
        <v>45937</v>
      </c>
      <c r="D903" t="inlineStr">
        <is>
          <t>SKÅNE LÄN</t>
        </is>
      </c>
      <c r="E903" t="inlineStr">
        <is>
          <t>HÄSSLEHOLM</t>
        </is>
      </c>
      <c r="G903" t="n">
        <v>1.6</v>
      </c>
      <c r="H903" t="n">
        <v>0</v>
      </c>
      <c r="I903" t="n">
        <v>0</v>
      </c>
      <c r="J903" t="n">
        <v>0</v>
      </c>
      <c r="K903" t="n">
        <v>0</v>
      </c>
      <c r="L903" t="n">
        <v>0</v>
      </c>
      <c r="M903" t="n">
        <v>0</v>
      </c>
      <c r="N903" t="n">
        <v>0</v>
      </c>
      <c r="O903" t="n">
        <v>0</v>
      </c>
      <c r="P903" t="n">
        <v>0</v>
      </c>
      <c r="Q903" t="n">
        <v>0</v>
      </c>
      <c r="R903" s="2" t="inlineStr"/>
    </row>
    <row r="904" ht="15" customHeight="1">
      <c r="A904" t="inlineStr">
        <is>
          <t>A 43741-2025</t>
        </is>
      </c>
      <c r="B904" s="1" t="n">
        <v>45912.45541666666</v>
      </c>
      <c r="C904" s="1" t="n">
        <v>45937</v>
      </c>
      <c r="D904" t="inlineStr">
        <is>
          <t>SKÅNE LÄN</t>
        </is>
      </c>
      <c r="E904" t="inlineStr">
        <is>
          <t>HÄSSLEHOLM</t>
        </is>
      </c>
      <c r="G904" t="n">
        <v>4.3</v>
      </c>
      <c r="H904" t="n">
        <v>0</v>
      </c>
      <c r="I904" t="n">
        <v>0</v>
      </c>
      <c r="J904" t="n">
        <v>0</v>
      </c>
      <c r="K904" t="n">
        <v>0</v>
      </c>
      <c r="L904" t="n">
        <v>0</v>
      </c>
      <c r="M904" t="n">
        <v>0</v>
      </c>
      <c r="N904" t="n">
        <v>0</v>
      </c>
      <c r="O904" t="n">
        <v>0</v>
      </c>
      <c r="P904" t="n">
        <v>0</v>
      </c>
      <c r="Q904" t="n">
        <v>0</v>
      </c>
      <c r="R904" s="2" t="inlineStr"/>
    </row>
    <row r="905" ht="15" customHeight="1">
      <c r="A905" t="inlineStr">
        <is>
          <t>A 6842-2023</t>
        </is>
      </c>
      <c r="B905" s="1" t="n">
        <v>44967</v>
      </c>
      <c r="C905" s="1" t="n">
        <v>45937</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43516-2025</t>
        </is>
      </c>
      <c r="B906" s="1" t="n">
        <v>45911</v>
      </c>
      <c r="C906" s="1" t="n">
        <v>45937</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62171-2022</t>
        </is>
      </c>
      <c r="B907" s="1" t="n">
        <v>44915</v>
      </c>
      <c r="C907" s="1" t="n">
        <v>45937</v>
      </c>
      <c r="D907" t="inlineStr">
        <is>
          <t>SKÅNE LÄN</t>
        </is>
      </c>
      <c r="E907" t="inlineStr">
        <is>
          <t>HÄSSLEHOLM</t>
        </is>
      </c>
      <c r="F907" t="inlineStr">
        <is>
          <t>Kyrkan</t>
        </is>
      </c>
      <c r="G907" t="n">
        <v>9</v>
      </c>
      <c r="H907" t="n">
        <v>0</v>
      </c>
      <c r="I907" t="n">
        <v>0</v>
      </c>
      <c r="J907" t="n">
        <v>0</v>
      </c>
      <c r="K907" t="n">
        <v>0</v>
      </c>
      <c r="L907" t="n">
        <v>0</v>
      </c>
      <c r="M907" t="n">
        <v>0</v>
      </c>
      <c r="N907" t="n">
        <v>0</v>
      </c>
      <c r="O907" t="n">
        <v>0</v>
      </c>
      <c r="P907" t="n">
        <v>0</v>
      </c>
      <c r="Q907" t="n">
        <v>0</v>
      </c>
      <c r="R907" s="2" t="inlineStr"/>
    </row>
    <row r="908" ht="15" customHeight="1">
      <c r="A908" t="inlineStr">
        <is>
          <t>A 43333-2025</t>
        </is>
      </c>
      <c r="B908" s="1" t="n">
        <v>45910</v>
      </c>
      <c r="C908" s="1" t="n">
        <v>45937</v>
      </c>
      <c r="D908" t="inlineStr">
        <is>
          <t>SKÅNE LÄN</t>
        </is>
      </c>
      <c r="E908" t="inlineStr">
        <is>
          <t>HÄSSLEHOLM</t>
        </is>
      </c>
      <c r="G908" t="n">
        <v>10.1</v>
      </c>
      <c r="H908" t="n">
        <v>0</v>
      </c>
      <c r="I908" t="n">
        <v>0</v>
      </c>
      <c r="J908" t="n">
        <v>0</v>
      </c>
      <c r="K908" t="n">
        <v>0</v>
      </c>
      <c r="L908" t="n">
        <v>0</v>
      </c>
      <c r="M908" t="n">
        <v>0</v>
      </c>
      <c r="N908" t="n">
        <v>0</v>
      </c>
      <c r="O908" t="n">
        <v>0</v>
      </c>
      <c r="P908" t="n">
        <v>0</v>
      </c>
      <c r="Q908" t="n">
        <v>0</v>
      </c>
      <c r="R908" s="2" t="inlineStr"/>
    </row>
    <row r="909" ht="15" customHeight="1">
      <c r="A909" t="inlineStr">
        <is>
          <t>A 32100-2024</t>
        </is>
      </c>
      <c r="B909" s="1" t="n">
        <v>45511.41451388889</v>
      </c>
      <c r="C909" s="1" t="n">
        <v>45937</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33481-2024</t>
        </is>
      </c>
      <c r="B910" s="1" t="n">
        <v>45519</v>
      </c>
      <c r="C910" s="1" t="n">
        <v>45937</v>
      </c>
      <c r="D910" t="inlineStr">
        <is>
          <t>SKÅNE LÄN</t>
        </is>
      </c>
      <c r="E910" t="inlineStr">
        <is>
          <t>HÄSSLEHOLM</t>
        </is>
      </c>
      <c r="G910" t="n">
        <v>3</v>
      </c>
      <c r="H910" t="n">
        <v>0</v>
      </c>
      <c r="I910" t="n">
        <v>0</v>
      </c>
      <c r="J910" t="n">
        <v>0</v>
      </c>
      <c r="K910" t="n">
        <v>0</v>
      </c>
      <c r="L910" t="n">
        <v>0</v>
      </c>
      <c r="M910" t="n">
        <v>0</v>
      </c>
      <c r="N910" t="n">
        <v>0</v>
      </c>
      <c r="O910" t="n">
        <v>0</v>
      </c>
      <c r="P910" t="n">
        <v>0</v>
      </c>
      <c r="Q910" t="n">
        <v>0</v>
      </c>
      <c r="R910" s="2" t="inlineStr"/>
    </row>
    <row r="911" ht="15" customHeight="1">
      <c r="A911" t="inlineStr">
        <is>
          <t>A 48807-2021</t>
        </is>
      </c>
      <c r="B911" s="1" t="n">
        <v>44452</v>
      </c>
      <c r="C911" s="1" t="n">
        <v>45937</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7202-2022</t>
        </is>
      </c>
      <c r="B912" s="1" t="n">
        <v>44606</v>
      </c>
      <c r="C912" s="1" t="n">
        <v>45937</v>
      </c>
      <c r="D912" t="inlineStr">
        <is>
          <t>SKÅNE LÄN</t>
        </is>
      </c>
      <c r="E912" t="inlineStr">
        <is>
          <t>HÄSSLEHOLM</t>
        </is>
      </c>
      <c r="G912" t="n">
        <v>4.7</v>
      </c>
      <c r="H912" t="n">
        <v>0</v>
      </c>
      <c r="I912" t="n">
        <v>0</v>
      </c>
      <c r="J912" t="n">
        <v>0</v>
      </c>
      <c r="K912" t="n">
        <v>0</v>
      </c>
      <c r="L912" t="n">
        <v>0</v>
      </c>
      <c r="M912" t="n">
        <v>0</v>
      </c>
      <c r="N912" t="n">
        <v>0</v>
      </c>
      <c r="O912" t="n">
        <v>0</v>
      </c>
      <c r="P912" t="n">
        <v>0</v>
      </c>
      <c r="Q912" t="n">
        <v>0</v>
      </c>
      <c r="R912" s="2" t="inlineStr"/>
    </row>
    <row r="913" ht="15" customHeight="1">
      <c r="A913" t="inlineStr">
        <is>
          <t>A 54176-2022</t>
        </is>
      </c>
      <c r="B913" s="1" t="n">
        <v>44881</v>
      </c>
      <c r="C913" s="1" t="n">
        <v>45937</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25726-2025</t>
        </is>
      </c>
      <c r="B914" s="1" t="n">
        <v>45803</v>
      </c>
      <c r="C914" s="1" t="n">
        <v>45937</v>
      </c>
      <c r="D914" t="inlineStr">
        <is>
          <t>SKÅNE LÄN</t>
        </is>
      </c>
      <c r="E914" t="inlineStr">
        <is>
          <t>HÄSSLEHOLM</t>
        </is>
      </c>
      <c r="G914" t="n">
        <v>5.5</v>
      </c>
      <c r="H914" t="n">
        <v>0</v>
      </c>
      <c r="I914" t="n">
        <v>0</v>
      </c>
      <c r="J914" t="n">
        <v>0</v>
      </c>
      <c r="K914" t="n">
        <v>0</v>
      </c>
      <c r="L914" t="n">
        <v>0</v>
      </c>
      <c r="M914" t="n">
        <v>0</v>
      </c>
      <c r="N914" t="n">
        <v>0</v>
      </c>
      <c r="O914" t="n">
        <v>0</v>
      </c>
      <c r="P914" t="n">
        <v>0</v>
      </c>
      <c r="Q914" t="n">
        <v>0</v>
      </c>
      <c r="R914" s="2" t="inlineStr"/>
    </row>
    <row r="915" ht="15" customHeight="1">
      <c r="A915" t="inlineStr">
        <is>
          <t>A 43738-2025</t>
        </is>
      </c>
      <c r="B915" s="1" t="n">
        <v>45912.45037037037</v>
      </c>
      <c r="C915" s="1" t="n">
        <v>45937</v>
      </c>
      <c r="D915" t="inlineStr">
        <is>
          <t>SKÅNE LÄN</t>
        </is>
      </c>
      <c r="E915" t="inlineStr">
        <is>
          <t>HÄSSLEHOLM</t>
        </is>
      </c>
      <c r="G915" t="n">
        <v>1.3</v>
      </c>
      <c r="H915" t="n">
        <v>0</v>
      </c>
      <c r="I915" t="n">
        <v>0</v>
      </c>
      <c r="J915" t="n">
        <v>0</v>
      </c>
      <c r="K915" t="n">
        <v>0</v>
      </c>
      <c r="L915" t="n">
        <v>0</v>
      </c>
      <c r="M915" t="n">
        <v>0</v>
      </c>
      <c r="N915" t="n">
        <v>0</v>
      </c>
      <c r="O915" t="n">
        <v>0</v>
      </c>
      <c r="P915" t="n">
        <v>0</v>
      </c>
      <c r="Q915" t="n">
        <v>0</v>
      </c>
      <c r="R915" s="2" t="inlineStr"/>
    </row>
    <row r="916" ht="15" customHeight="1">
      <c r="A916" t="inlineStr">
        <is>
          <t>A 16614-2025</t>
        </is>
      </c>
      <c r="B916" s="1" t="n">
        <v>45754.283125</v>
      </c>
      <c r="C916" s="1" t="n">
        <v>45937</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23723-2023</t>
        </is>
      </c>
      <c r="B917" s="1" t="n">
        <v>45077</v>
      </c>
      <c r="C917" s="1" t="n">
        <v>45937</v>
      </c>
      <c r="D917" t="inlineStr">
        <is>
          <t>SKÅNE LÄN</t>
        </is>
      </c>
      <c r="E917" t="inlineStr">
        <is>
          <t>HÄSSLEHOLM</t>
        </is>
      </c>
      <c r="G917" t="n">
        <v>3.9</v>
      </c>
      <c r="H917" t="n">
        <v>0</v>
      </c>
      <c r="I917" t="n">
        <v>0</v>
      </c>
      <c r="J917" t="n">
        <v>0</v>
      </c>
      <c r="K917" t="n">
        <v>0</v>
      </c>
      <c r="L917" t="n">
        <v>0</v>
      </c>
      <c r="M917" t="n">
        <v>0</v>
      </c>
      <c r="N917" t="n">
        <v>0</v>
      </c>
      <c r="O917" t="n">
        <v>0</v>
      </c>
      <c r="P917" t="n">
        <v>0</v>
      </c>
      <c r="Q917" t="n">
        <v>0</v>
      </c>
      <c r="R917" s="2" t="inlineStr"/>
    </row>
    <row r="918" ht="15" customHeight="1">
      <c r="A918" t="inlineStr">
        <is>
          <t>A 4945-2022</t>
        </is>
      </c>
      <c r="B918" s="1" t="n">
        <v>44593</v>
      </c>
      <c r="C918" s="1" t="n">
        <v>45937</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47248-2023</t>
        </is>
      </c>
      <c r="B919" s="1" t="n">
        <v>45202</v>
      </c>
      <c r="C919" s="1" t="n">
        <v>45937</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5054-2022</t>
        </is>
      </c>
      <c r="B920" s="1" t="n">
        <v>44593.69065972222</v>
      </c>
      <c r="C920" s="1" t="n">
        <v>45937</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38306-2022</t>
        </is>
      </c>
      <c r="B921" s="1" t="n">
        <v>44812.57515046297</v>
      </c>
      <c r="C921" s="1" t="n">
        <v>45937</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49181-2024</t>
        </is>
      </c>
      <c r="B922" s="1" t="n">
        <v>45595</v>
      </c>
      <c r="C922" s="1" t="n">
        <v>45937</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35845-2022</t>
        </is>
      </c>
      <c r="B923" s="1" t="n">
        <v>44802</v>
      </c>
      <c r="C923" s="1" t="n">
        <v>45937</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3349-2023</t>
        </is>
      </c>
      <c r="B924" s="1" t="n">
        <v>44949</v>
      </c>
      <c r="C924" s="1" t="n">
        <v>45937</v>
      </c>
      <c r="D924" t="inlineStr">
        <is>
          <t>SKÅNE LÄN</t>
        </is>
      </c>
      <c r="E924" t="inlineStr">
        <is>
          <t>HÄSSLEHOLM</t>
        </is>
      </c>
      <c r="G924" t="n">
        <v>2.3</v>
      </c>
      <c r="H924" t="n">
        <v>0</v>
      </c>
      <c r="I924" t="n">
        <v>0</v>
      </c>
      <c r="J924" t="n">
        <v>0</v>
      </c>
      <c r="K924" t="n">
        <v>0</v>
      </c>
      <c r="L924" t="n">
        <v>0</v>
      </c>
      <c r="M924" t="n">
        <v>0</v>
      </c>
      <c r="N924" t="n">
        <v>0</v>
      </c>
      <c r="O924" t="n">
        <v>0</v>
      </c>
      <c r="P924" t="n">
        <v>0</v>
      </c>
      <c r="Q924" t="n">
        <v>0</v>
      </c>
      <c r="R924" s="2" t="inlineStr"/>
    </row>
    <row r="925" ht="15" customHeight="1">
      <c r="A925" t="inlineStr">
        <is>
          <t>A 8209-2025</t>
        </is>
      </c>
      <c r="B925" s="1" t="n">
        <v>45708.44244212963</v>
      </c>
      <c r="C925" s="1" t="n">
        <v>45937</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36938-2025</t>
        </is>
      </c>
      <c r="B926" s="1" t="n">
        <v>45874.58476851852</v>
      </c>
      <c r="C926" s="1" t="n">
        <v>45937</v>
      </c>
      <c r="D926" t="inlineStr">
        <is>
          <t>SKÅNE LÄN</t>
        </is>
      </c>
      <c r="E926" t="inlineStr">
        <is>
          <t>HÄSSLEHOLM</t>
        </is>
      </c>
      <c r="G926" t="n">
        <v>3.7</v>
      </c>
      <c r="H926" t="n">
        <v>0</v>
      </c>
      <c r="I926" t="n">
        <v>0</v>
      </c>
      <c r="J926" t="n">
        <v>0</v>
      </c>
      <c r="K926" t="n">
        <v>0</v>
      </c>
      <c r="L926" t="n">
        <v>0</v>
      </c>
      <c r="M926" t="n">
        <v>0</v>
      </c>
      <c r="N926" t="n">
        <v>0</v>
      </c>
      <c r="O926" t="n">
        <v>0</v>
      </c>
      <c r="P926" t="n">
        <v>0</v>
      </c>
      <c r="Q926" t="n">
        <v>0</v>
      </c>
      <c r="R926" s="2" t="inlineStr"/>
    </row>
    <row r="927" ht="15" customHeight="1">
      <c r="A927" t="inlineStr">
        <is>
          <t>A 12503-2022</t>
        </is>
      </c>
      <c r="B927" s="1" t="n">
        <v>44638</v>
      </c>
      <c r="C927" s="1" t="n">
        <v>45937</v>
      </c>
      <c r="D927" t="inlineStr">
        <is>
          <t>SKÅNE LÄN</t>
        </is>
      </c>
      <c r="E927" t="inlineStr">
        <is>
          <t>HÄSSLEHOLM</t>
        </is>
      </c>
      <c r="G927" t="n">
        <v>1.3</v>
      </c>
      <c r="H927" t="n">
        <v>0</v>
      </c>
      <c r="I927" t="n">
        <v>0</v>
      </c>
      <c r="J927" t="n">
        <v>0</v>
      </c>
      <c r="K927" t="n">
        <v>0</v>
      </c>
      <c r="L927" t="n">
        <v>0</v>
      </c>
      <c r="M927" t="n">
        <v>0</v>
      </c>
      <c r="N927" t="n">
        <v>0</v>
      </c>
      <c r="O927" t="n">
        <v>0</v>
      </c>
      <c r="P927" t="n">
        <v>0</v>
      </c>
      <c r="Q927" t="n">
        <v>0</v>
      </c>
      <c r="R927" s="2" t="inlineStr"/>
    </row>
    <row r="928" ht="15" customHeight="1">
      <c r="A928" t="inlineStr">
        <is>
          <t>A 23950-2023</t>
        </is>
      </c>
      <c r="B928" s="1" t="n">
        <v>45078.61771990741</v>
      </c>
      <c r="C928" s="1" t="n">
        <v>45937</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23952-2023</t>
        </is>
      </c>
      <c r="B929" s="1" t="n">
        <v>45078.62064814815</v>
      </c>
      <c r="C929" s="1" t="n">
        <v>45937</v>
      </c>
      <c r="D929" t="inlineStr">
        <is>
          <t>SKÅNE LÄN</t>
        </is>
      </c>
      <c r="E929" t="inlineStr">
        <is>
          <t>HÄSSLEHOLM</t>
        </is>
      </c>
      <c r="G929" t="n">
        <v>0.4</v>
      </c>
      <c r="H929" t="n">
        <v>0</v>
      </c>
      <c r="I929" t="n">
        <v>0</v>
      </c>
      <c r="J929" t="n">
        <v>0</v>
      </c>
      <c r="K929" t="n">
        <v>0</v>
      </c>
      <c r="L929" t="n">
        <v>0</v>
      </c>
      <c r="M929" t="n">
        <v>0</v>
      </c>
      <c r="N929" t="n">
        <v>0</v>
      </c>
      <c r="O929" t="n">
        <v>0</v>
      </c>
      <c r="P929" t="n">
        <v>0</v>
      </c>
      <c r="Q929" t="n">
        <v>0</v>
      </c>
      <c r="R929" s="2" t="inlineStr"/>
    </row>
    <row r="930" ht="15" customHeight="1">
      <c r="A930" t="inlineStr">
        <is>
          <t>A 49384-2021</t>
        </is>
      </c>
      <c r="B930" s="1" t="n">
        <v>44454</v>
      </c>
      <c r="C930" s="1" t="n">
        <v>45937</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44330-2025</t>
        </is>
      </c>
      <c r="B931" s="1" t="n">
        <v>45916.42120370371</v>
      </c>
      <c r="C931" s="1" t="n">
        <v>45937</v>
      </c>
      <c r="D931" t="inlineStr">
        <is>
          <t>SKÅNE LÄN</t>
        </is>
      </c>
      <c r="E931" t="inlineStr">
        <is>
          <t>HÄSSLEHOLM</t>
        </is>
      </c>
      <c r="G931" t="n">
        <v>2.7</v>
      </c>
      <c r="H931" t="n">
        <v>0</v>
      </c>
      <c r="I931" t="n">
        <v>0</v>
      </c>
      <c r="J931" t="n">
        <v>0</v>
      </c>
      <c r="K931" t="n">
        <v>0</v>
      </c>
      <c r="L931" t="n">
        <v>0</v>
      </c>
      <c r="M931" t="n">
        <v>0</v>
      </c>
      <c r="N931" t="n">
        <v>0</v>
      </c>
      <c r="O931" t="n">
        <v>0</v>
      </c>
      <c r="P931" t="n">
        <v>0</v>
      </c>
      <c r="Q931" t="n">
        <v>0</v>
      </c>
      <c r="R931" s="2" t="inlineStr"/>
    </row>
    <row r="932" ht="15" customHeight="1">
      <c r="A932" t="inlineStr">
        <is>
          <t>A 60959-2022</t>
        </is>
      </c>
      <c r="B932" s="1" t="n">
        <v>44914.64777777778</v>
      </c>
      <c r="C932" s="1" t="n">
        <v>45937</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2144-2023</t>
        </is>
      </c>
      <c r="B933" s="1" t="n">
        <v>44940.79054398148</v>
      </c>
      <c r="C933" s="1" t="n">
        <v>45937</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61680-2022</t>
        </is>
      </c>
      <c r="B934" s="1" t="n">
        <v>44917.36372685185</v>
      </c>
      <c r="C934" s="1" t="n">
        <v>45937</v>
      </c>
      <c r="D934" t="inlineStr">
        <is>
          <t>SKÅNE LÄN</t>
        </is>
      </c>
      <c r="E934" t="inlineStr">
        <is>
          <t>HÄSSLEHOLM</t>
        </is>
      </c>
      <c r="G934" t="n">
        <v>2.4</v>
      </c>
      <c r="H934" t="n">
        <v>0</v>
      </c>
      <c r="I934" t="n">
        <v>0</v>
      </c>
      <c r="J934" t="n">
        <v>0</v>
      </c>
      <c r="K934" t="n">
        <v>0</v>
      </c>
      <c r="L934" t="n">
        <v>0</v>
      </c>
      <c r="M934" t="n">
        <v>0</v>
      </c>
      <c r="N934" t="n">
        <v>0</v>
      </c>
      <c r="O934" t="n">
        <v>0</v>
      </c>
      <c r="P934" t="n">
        <v>0</v>
      </c>
      <c r="Q934" t="n">
        <v>0</v>
      </c>
      <c r="R934" s="2" t="inlineStr"/>
    </row>
    <row r="935" ht="15" customHeight="1">
      <c r="A935" t="inlineStr">
        <is>
          <t>A 16550-2025</t>
        </is>
      </c>
      <c r="B935" s="1" t="n">
        <v>45751.69412037037</v>
      </c>
      <c r="C935" s="1" t="n">
        <v>45937</v>
      </c>
      <c r="D935" t="inlineStr">
        <is>
          <t>SKÅNE LÄN</t>
        </is>
      </c>
      <c r="E935" t="inlineStr">
        <is>
          <t>HÄSSLEHOLM</t>
        </is>
      </c>
      <c r="G935" t="n">
        <v>0.7</v>
      </c>
      <c r="H935" t="n">
        <v>0</v>
      </c>
      <c r="I935" t="n">
        <v>0</v>
      </c>
      <c r="J935" t="n">
        <v>0</v>
      </c>
      <c r="K935" t="n">
        <v>0</v>
      </c>
      <c r="L935" t="n">
        <v>0</v>
      </c>
      <c r="M935" t="n">
        <v>0</v>
      </c>
      <c r="N935" t="n">
        <v>0</v>
      </c>
      <c r="O935" t="n">
        <v>0</v>
      </c>
      <c r="P935" t="n">
        <v>0</v>
      </c>
      <c r="Q935" t="n">
        <v>0</v>
      </c>
      <c r="R935" s="2" t="inlineStr"/>
    </row>
    <row r="936" ht="15" customHeight="1">
      <c r="A936" t="inlineStr">
        <is>
          <t>A 16285-2025</t>
        </is>
      </c>
      <c r="B936" s="1" t="n">
        <v>45751.30045138889</v>
      </c>
      <c r="C936" s="1" t="n">
        <v>45937</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5780-2024</t>
        </is>
      </c>
      <c r="B937" s="1" t="n">
        <v>45335.41983796296</v>
      </c>
      <c r="C937" s="1" t="n">
        <v>45937</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3746-2024</t>
        </is>
      </c>
      <c r="B938" s="1" t="n">
        <v>45321.50745370371</v>
      </c>
      <c r="C938" s="1" t="n">
        <v>45937</v>
      </c>
      <c r="D938" t="inlineStr">
        <is>
          <t>SKÅNE LÄN</t>
        </is>
      </c>
      <c r="E938" t="inlineStr">
        <is>
          <t>HÄSSLEHOLM</t>
        </is>
      </c>
      <c r="G938" t="n">
        <v>3.4</v>
      </c>
      <c r="H938" t="n">
        <v>0</v>
      </c>
      <c r="I938" t="n">
        <v>0</v>
      </c>
      <c r="J938" t="n">
        <v>0</v>
      </c>
      <c r="K938" t="n">
        <v>0</v>
      </c>
      <c r="L938" t="n">
        <v>0</v>
      </c>
      <c r="M938" t="n">
        <v>0</v>
      </c>
      <c r="N938" t="n">
        <v>0</v>
      </c>
      <c r="O938" t="n">
        <v>0</v>
      </c>
      <c r="P938" t="n">
        <v>0</v>
      </c>
      <c r="Q938" t="n">
        <v>0</v>
      </c>
      <c r="R938" s="2" t="inlineStr"/>
    </row>
    <row r="939" ht="15" customHeight="1">
      <c r="A939" t="inlineStr">
        <is>
          <t>A 6638-2021</t>
        </is>
      </c>
      <c r="B939" s="1" t="n">
        <v>44235</v>
      </c>
      <c r="C939" s="1" t="n">
        <v>45937</v>
      </c>
      <c r="D939" t="inlineStr">
        <is>
          <t>SKÅNE LÄN</t>
        </is>
      </c>
      <c r="E939" t="inlineStr">
        <is>
          <t>HÄSSLEHOLM</t>
        </is>
      </c>
      <c r="G939" t="n">
        <v>112.4</v>
      </c>
      <c r="H939" t="n">
        <v>0</v>
      </c>
      <c r="I939" t="n">
        <v>0</v>
      </c>
      <c r="J939" t="n">
        <v>0</v>
      </c>
      <c r="K939" t="n">
        <v>0</v>
      </c>
      <c r="L939" t="n">
        <v>0</v>
      </c>
      <c r="M939" t="n">
        <v>0</v>
      </c>
      <c r="N939" t="n">
        <v>0</v>
      </c>
      <c r="O939" t="n">
        <v>0</v>
      </c>
      <c r="P939" t="n">
        <v>0</v>
      </c>
      <c r="Q939" t="n">
        <v>0</v>
      </c>
      <c r="R939" s="2" t="inlineStr"/>
    </row>
    <row r="940" ht="15" customHeight="1">
      <c r="A940" t="inlineStr">
        <is>
          <t>A 44262-2021</t>
        </is>
      </c>
      <c r="B940" s="1" t="n">
        <v>44434</v>
      </c>
      <c r="C940" s="1" t="n">
        <v>45937</v>
      </c>
      <c r="D940" t="inlineStr">
        <is>
          <t>SKÅNE LÄN</t>
        </is>
      </c>
      <c r="E940" t="inlineStr">
        <is>
          <t>HÄSSLEHOLM</t>
        </is>
      </c>
      <c r="G940" t="n">
        <v>4.7</v>
      </c>
      <c r="H940" t="n">
        <v>0</v>
      </c>
      <c r="I940" t="n">
        <v>0</v>
      </c>
      <c r="J940" t="n">
        <v>0</v>
      </c>
      <c r="K940" t="n">
        <v>0</v>
      </c>
      <c r="L940" t="n">
        <v>0</v>
      </c>
      <c r="M940" t="n">
        <v>0</v>
      </c>
      <c r="N940" t="n">
        <v>0</v>
      </c>
      <c r="O940" t="n">
        <v>0</v>
      </c>
      <c r="P940" t="n">
        <v>0</v>
      </c>
      <c r="Q940" t="n">
        <v>0</v>
      </c>
      <c r="R940" s="2" t="inlineStr"/>
    </row>
    <row r="941" ht="15" customHeight="1">
      <c r="A941" t="inlineStr">
        <is>
          <t>A 15897-2025</t>
        </is>
      </c>
      <c r="B941" s="1" t="n">
        <v>45749.41598379629</v>
      </c>
      <c r="C941" s="1" t="n">
        <v>45937</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1553-2023</t>
        </is>
      </c>
      <c r="B942" s="1" t="n">
        <v>44937</v>
      </c>
      <c r="C942" s="1" t="n">
        <v>45937</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1562-2023</t>
        </is>
      </c>
      <c r="B943" s="1" t="n">
        <v>44937.60450231482</v>
      </c>
      <c r="C943" s="1" t="n">
        <v>45937</v>
      </c>
      <c r="D943" t="inlineStr">
        <is>
          <t>SKÅNE LÄN</t>
        </is>
      </c>
      <c r="E943" t="inlineStr">
        <is>
          <t>HÄSSLEHOLM</t>
        </is>
      </c>
      <c r="G943" t="n">
        <v>2.7</v>
      </c>
      <c r="H943" t="n">
        <v>0</v>
      </c>
      <c r="I943" t="n">
        <v>0</v>
      </c>
      <c r="J943" t="n">
        <v>0</v>
      </c>
      <c r="K943" t="n">
        <v>0</v>
      </c>
      <c r="L943" t="n">
        <v>0</v>
      </c>
      <c r="M943" t="n">
        <v>0</v>
      </c>
      <c r="N943" t="n">
        <v>0</v>
      </c>
      <c r="O943" t="n">
        <v>0</v>
      </c>
      <c r="P943" t="n">
        <v>0</v>
      </c>
      <c r="Q943" t="n">
        <v>0</v>
      </c>
      <c r="R943" s="2" t="inlineStr"/>
    </row>
    <row r="944" ht="15" customHeight="1">
      <c r="A944" t="inlineStr">
        <is>
          <t>A 61504-2022</t>
        </is>
      </c>
      <c r="B944" s="1" t="n">
        <v>44910</v>
      </c>
      <c r="C944" s="1" t="n">
        <v>45937</v>
      </c>
      <c r="D944" t="inlineStr">
        <is>
          <t>SKÅNE LÄN</t>
        </is>
      </c>
      <c r="E944" t="inlineStr">
        <is>
          <t>HÄSSLEHOLM</t>
        </is>
      </c>
      <c r="F944" t="inlineStr">
        <is>
          <t>Kyrkan</t>
        </is>
      </c>
      <c r="G944" t="n">
        <v>2.9</v>
      </c>
      <c r="H944" t="n">
        <v>0</v>
      </c>
      <c r="I944" t="n">
        <v>0</v>
      </c>
      <c r="J944" t="n">
        <v>0</v>
      </c>
      <c r="K944" t="n">
        <v>0</v>
      </c>
      <c r="L944" t="n">
        <v>0</v>
      </c>
      <c r="M944" t="n">
        <v>0</v>
      </c>
      <c r="N944" t="n">
        <v>0</v>
      </c>
      <c r="O944" t="n">
        <v>0</v>
      </c>
      <c r="P944" t="n">
        <v>0</v>
      </c>
      <c r="Q944" t="n">
        <v>0</v>
      </c>
      <c r="R944" s="2" t="inlineStr"/>
    </row>
    <row r="945" ht="15" customHeight="1">
      <c r="A945" t="inlineStr">
        <is>
          <t>A 3452-2023</t>
        </is>
      </c>
      <c r="B945" s="1" t="n">
        <v>44949</v>
      </c>
      <c r="C945" s="1" t="n">
        <v>45937</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29275-2023</t>
        </is>
      </c>
      <c r="B946" s="1" t="n">
        <v>45105</v>
      </c>
      <c r="C946" s="1" t="n">
        <v>45937</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27502-2023</t>
        </is>
      </c>
      <c r="B947" s="1" t="n">
        <v>45092</v>
      </c>
      <c r="C947" s="1" t="n">
        <v>45937</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54473-2023</t>
        </is>
      </c>
      <c r="B948" s="1" t="n">
        <v>45233</v>
      </c>
      <c r="C948" s="1" t="n">
        <v>45937</v>
      </c>
      <c r="D948" t="inlineStr">
        <is>
          <t>SKÅNE LÄN</t>
        </is>
      </c>
      <c r="E948" t="inlineStr">
        <is>
          <t>HÄSSLEHOLM</t>
        </is>
      </c>
      <c r="G948" t="n">
        <v>24.5</v>
      </c>
      <c r="H948" t="n">
        <v>0</v>
      </c>
      <c r="I948" t="n">
        <v>0</v>
      </c>
      <c r="J948" t="n">
        <v>0</v>
      </c>
      <c r="K948" t="n">
        <v>0</v>
      </c>
      <c r="L948" t="n">
        <v>0</v>
      </c>
      <c r="M948" t="n">
        <v>0</v>
      </c>
      <c r="N948" t="n">
        <v>0</v>
      </c>
      <c r="O948" t="n">
        <v>0</v>
      </c>
      <c r="P948" t="n">
        <v>0</v>
      </c>
      <c r="Q948" t="n">
        <v>0</v>
      </c>
      <c r="R948" s="2" t="inlineStr"/>
    </row>
    <row r="949" ht="15" customHeight="1">
      <c r="A949" t="inlineStr">
        <is>
          <t>A 2596-2024</t>
        </is>
      </c>
      <c r="B949" s="1" t="n">
        <v>45313.69969907407</v>
      </c>
      <c r="C949" s="1" t="n">
        <v>45937</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2681-2024</t>
        </is>
      </c>
      <c r="B950" s="1" t="n">
        <v>45314</v>
      </c>
      <c r="C950" s="1" t="n">
        <v>45937</v>
      </c>
      <c r="D950" t="inlineStr">
        <is>
          <t>SKÅNE LÄN</t>
        </is>
      </c>
      <c r="E950" t="inlineStr">
        <is>
          <t>HÄSSLEHOLM</t>
        </is>
      </c>
      <c r="F950" t="inlineStr">
        <is>
          <t>Övriga Aktiebolag</t>
        </is>
      </c>
      <c r="G950" t="n">
        <v>1.4</v>
      </c>
      <c r="H950" t="n">
        <v>0</v>
      </c>
      <c r="I950" t="n">
        <v>0</v>
      </c>
      <c r="J950" t="n">
        <v>0</v>
      </c>
      <c r="K950" t="n">
        <v>0</v>
      </c>
      <c r="L950" t="n">
        <v>0</v>
      </c>
      <c r="M950" t="n">
        <v>0</v>
      </c>
      <c r="N950" t="n">
        <v>0</v>
      </c>
      <c r="O950" t="n">
        <v>0</v>
      </c>
      <c r="P950" t="n">
        <v>0</v>
      </c>
      <c r="Q950" t="n">
        <v>0</v>
      </c>
      <c r="R950" s="2" t="inlineStr"/>
    </row>
    <row r="951" ht="15" customHeight="1">
      <c r="A951" t="inlineStr">
        <is>
          <t>A 4187-2023</t>
        </is>
      </c>
      <c r="B951" s="1" t="n">
        <v>44953</v>
      </c>
      <c r="C951" s="1" t="n">
        <v>45937</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26641-2023</t>
        </is>
      </c>
      <c r="B952" s="1" t="n">
        <v>45092.89619212963</v>
      </c>
      <c r="C952" s="1" t="n">
        <v>45937</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4382-2023</t>
        </is>
      </c>
      <c r="B953" s="1" t="n">
        <v>44955.61152777778</v>
      </c>
      <c r="C953" s="1" t="n">
        <v>45937</v>
      </c>
      <c r="D953" t="inlineStr">
        <is>
          <t>SKÅNE LÄN</t>
        </is>
      </c>
      <c r="E953" t="inlineStr">
        <is>
          <t>HÄSSLEHOLM</t>
        </is>
      </c>
      <c r="G953" t="n">
        <v>0.3</v>
      </c>
      <c r="H953" t="n">
        <v>0</v>
      </c>
      <c r="I953" t="n">
        <v>0</v>
      </c>
      <c r="J953" t="n">
        <v>0</v>
      </c>
      <c r="K953" t="n">
        <v>0</v>
      </c>
      <c r="L953" t="n">
        <v>0</v>
      </c>
      <c r="M953" t="n">
        <v>0</v>
      </c>
      <c r="N953" t="n">
        <v>0</v>
      </c>
      <c r="O953" t="n">
        <v>0</v>
      </c>
      <c r="P953" t="n">
        <v>0</v>
      </c>
      <c r="Q953" t="n">
        <v>0</v>
      </c>
      <c r="R953" s="2" t="inlineStr"/>
    </row>
    <row r="954" ht="15" customHeight="1">
      <c r="A954" t="inlineStr">
        <is>
          <t>A 44614-2025</t>
        </is>
      </c>
      <c r="B954" s="1" t="n">
        <v>45917.45422453704</v>
      </c>
      <c r="C954" s="1" t="n">
        <v>45937</v>
      </c>
      <c r="D954" t="inlineStr">
        <is>
          <t>SKÅNE LÄN</t>
        </is>
      </c>
      <c r="E954" t="inlineStr">
        <is>
          <t>HÄSSLEHOLM</t>
        </is>
      </c>
      <c r="G954" t="n">
        <v>5.4</v>
      </c>
      <c r="H954" t="n">
        <v>0</v>
      </c>
      <c r="I954" t="n">
        <v>0</v>
      </c>
      <c r="J954" t="n">
        <v>0</v>
      </c>
      <c r="K954" t="n">
        <v>0</v>
      </c>
      <c r="L954" t="n">
        <v>0</v>
      </c>
      <c r="M954" t="n">
        <v>0</v>
      </c>
      <c r="N954" t="n">
        <v>0</v>
      </c>
      <c r="O954" t="n">
        <v>0</v>
      </c>
      <c r="P954" t="n">
        <v>0</v>
      </c>
      <c r="Q954" t="n">
        <v>0</v>
      </c>
      <c r="R954" s="2" t="inlineStr"/>
    </row>
    <row r="955" ht="15" customHeight="1">
      <c r="A955" t="inlineStr">
        <is>
          <t>A 44611-2025</t>
        </is>
      </c>
      <c r="B955" s="1" t="n">
        <v>45917.45109953704</v>
      </c>
      <c r="C955" s="1" t="n">
        <v>45937</v>
      </c>
      <c r="D955" t="inlineStr">
        <is>
          <t>SKÅNE LÄN</t>
        </is>
      </c>
      <c r="E955" t="inlineStr">
        <is>
          <t>HÄSSLEHOLM</t>
        </is>
      </c>
      <c r="G955" t="n">
        <v>1.3</v>
      </c>
      <c r="H955" t="n">
        <v>0</v>
      </c>
      <c r="I955" t="n">
        <v>0</v>
      </c>
      <c r="J955" t="n">
        <v>0</v>
      </c>
      <c r="K955" t="n">
        <v>0</v>
      </c>
      <c r="L955" t="n">
        <v>0</v>
      </c>
      <c r="M955" t="n">
        <v>0</v>
      </c>
      <c r="N955" t="n">
        <v>0</v>
      </c>
      <c r="O955" t="n">
        <v>0</v>
      </c>
      <c r="P955" t="n">
        <v>0</v>
      </c>
      <c r="Q955" t="n">
        <v>0</v>
      </c>
      <c r="R955" s="2" t="inlineStr"/>
    </row>
    <row r="956" ht="15" customHeight="1">
      <c r="A956" t="inlineStr">
        <is>
          <t>A 44616-2025</t>
        </is>
      </c>
      <c r="B956" s="1" t="n">
        <v>45917.45572916666</v>
      </c>
      <c r="C956" s="1" t="n">
        <v>45937</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51752-2023</t>
        </is>
      </c>
      <c r="B957" s="1" t="n">
        <v>45222</v>
      </c>
      <c r="C957" s="1" t="n">
        <v>45937</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44515-2025</t>
        </is>
      </c>
      <c r="B958" s="1" t="n">
        <v>45916.7062037037</v>
      </c>
      <c r="C958" s="1" t="n">
        <v>45937</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20800-2023</t>
        </is>
      </c>
      <c r="B959" s="1" t="n">
        <v>45058.61640046296</v>
      </c>
      <c r="C959" s="1" t="n">
        <v>45937</v>
      </c>
      <c r="D959" t="inlineStr">
        <is>
          <t>SKÅNE LÄN</t>
        </is>
      </c>
      <c r="E959" t="inlineStr">
        <is>
          <t>HÄSSLEHOLM</t>
        </is>
      </c>
      <c r="G959" t="n">
        <v>0.4</v>
      </c>
      <c r="H959" t="n">
        <v>0</v>
      </c>
      <c r="I959" t="n">
        <v>0</v>
      </c>
      <c r="J959" t="n">
        <v>0</v>
      </c>
      <c r="K959" t="n">
        <v>0</v>
      </c>
      <c r="L959" t="n">
        <v>0</v>
      </c>
      <c r="M959" t="n">
        <v>0</v>
      </c>
      <c r="N959" t="n">
        <v>0</v>
      </c>
      <c r="O959" t="n">
        <v>0</v>
      </c>
      <c r="P959" t="n">
        <v>0</v>
      </c>
      <c r="Q959" t="n">
        <v>0</v>
      </c>
      <c r="R959" s="2" t="inlineStr"/>
    </row>
    <row r="960" ht="15" customHeight="1">
      <c r="A960" t="inlineStr">
        <is>
          <t>A 49219-2024</t>
        </is>
      </c>
      <c r="B960" s="1" t="n">
        <v>45595.40923611111</v>
      </c>
      <c r="C960" s="1" t="n">
        <v>45937</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7152-2025</t>
        </is>
      </c>
      <c r="B961" s="1" t="n">
        <v>45702.3837037037</v>
      </c>
      <c r="C961" s="1" t="n">
        <v>45937</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7160-2025</t>
        </is>
      </c>
      <c r="B962" s="1" t="n">
        <v>45702.3875462963</v>
      </c>
      <c r="C962" s="1" t="n">
        <v>45937</v>
      </c>
      <c r="D962" t="inlineStr">
        <is>
          <t>SKÅNE LÄN</t>
        </is>
      </c>
      <c r="E962" t="inlineStr">
        <is>
          <t>HÄSSLEHOLM</t>
        </is>
      </c>
      <c r="G962" t="n">
        <v>2.5</v>
      </c>
      <c r="H962" t="n">
        <v>0</v>
      </c>
      <c r="I962" t="n">
        <v>0</v>
      </c>
      <c r="J962" t="n">
        <v>0</v>
      </c>
      <c r="K962" t="n">
        <v>0</v>
      </c>
      <c r="L962" t="n">
        <v>0</v>
      </c>
      <c r="M962" t="n">
        <v>0</v>
      </c>
      <c r="N962" t="n">
        <v>0</v>
      </c>
      <c r="O962" t="n">
        <v>0</v>
      </c>
      <c r="P962" t="n">
        <v>0</v>
      </c>
      <c r="Q962" t="n">
        <v>0</v>
      </c>
      <c r="R962" s="2" t="inlineStr"/>
    </row>
    <row r="963" ht="15" customHeight="1">
      <c r="A963" t="inlineStr">
        <is>
          <t>A 44523-2025</t>
        </is>
      </c>
      <c r="B963" s="1" t="n">
        <v>45916</v>
      </c>
      <c r="C963" s="1" t="n">
        <v>45937</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14939-2023</t>
        </is>
      </c>
      <c r="B964" s="1" t="n">
        <v>45014</v>
      </c>
      <c r="C964" s="1" t="n">
        <v>45937</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44624-2025</t>
        </is>
      </c>
      <c r="B965" s="1" t="n">
        <v>45917.47152777778</v>
      </c>
      <c r="C965" s="1" t="n">
        <v>45937</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37286-2025</t>
        </is>
      </c>
      <c r="B966" s="1" t="n">
        <v>45876.50116898148</v>
      </c>
      <c r="C966" s="1" t="n">
        <v>45937</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49107-2023</t>
        </is>
      </c>
      <c r="B967" s="1" t="n">
        <v>45210.44337962963</v>
      </c>
      <c r="C967" s="1" t="n">
        <v>45937</v>
      </c>
      <c r="D967" t="inlineStr">
        <is>
          <t>SKÅNE LÄN</t>
        </is>
      </c>
      <c r="E967" t="inlineStr">
        <is>
          <t>HÄSSLEHOLM</t>
        </is>
      </c>
      <c r="G967" t="n">
        <v>0.3</v>
      </c>
      <c r="H967" t="n">
        <v>0</v>
      </c>
      <c r="I967" t="n">
        <v>0</v>
      </c>
      <c r="J967" t="n">
        <v>0</v>
      </c>
      <c r="K967" t="n">
        <v>0</v>
      </c>
      <c r="L967" t="n">
        <v>0</v>
      </c>
      <c r="M967" t="n">
        <v>0</v>
      </c>
      <c r="N967" t="n">
        <v>0</v>
      </c>
      <c r="O967" t="n">
        <v>0</v>
      </c>
      <c r="P967" t="n">
        <v>0</v>
      </c>
      <c r="Q967" t="n">
        <v>0</v>
      </c>
      <c r="R967" s="2" t="inlineStr"/>
    </row>
    <row r="968" ht="15" customHeight="1">
      <c r="A968" t="inlineStr">
        <is>
          <t>A 5282-2023</t>
        </is>
      </c>
      <c r="B968" s="1" t="n">
        <v>44959.50471064815</v>
      </c>
      <c r="C968" s="1" t="n">
        <v>45937</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6180-2021</t>
        </is>
      </c>
      <c r="B969" s="1" t="n">
        <v>44232</v>
      </c>
      <c r="C969" s="1" t="n">
        <v>45937</v>
      </c>
      <c r="D969" t="inlineStr">
        <is>
          <t>SKÅNE LÄN</t>
        </is>
      </c>
      <c r="E969" t="inlineStr">
        <is>
          <t>HÄSSLEHOLM</t>
        </is>
      </c>
      <c r="F969" t="inlineStr">
        <is>
          <t>Kyrkan</t>
        </is>
      </c>
      <c r="G969" t="n">
        <v>1.1</v>
      </c>
      <c r="H969" t="n">
        <v>0</v>
      </c>
      <c r="I969" t="n">
        <v>0</v>
      </c>
      <c r="J969" t="n">
        <v>0</v>
      </c>
      <c r="K969" t="n">
        <v>0</v>
      </c>
      <c r="L969" t="n">
        <v>0</v>
      </c>
      <c r="M969" t="n">
        <v>0</v>
      </c>
      <c r="N969" t="n">
        <v>0</v>
      </c>
      <c r="O969" t="n">
        <v>0</v>
      </c>
      <c r="P969" t="n">
        <v>0</v>
      </c>
      <c r="Q969" t="n">
        <v>0</v>
      </c>
      <c r="R969" s="2" t="inlineStr"/>
    </row>
    <row r="970" ht="15" customHeight="1">
      <c r="A970" t="inlineStr">
        <is>
          <t>A 15104-2023</t>
        </is>
      </c>
      <c r="B970" s="1" t="n">
        <v>45016.40576388889</v>
      </c>
      <c r="C970" s="1" t="n">
        <v>45937</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66321-2021</t>
        </is>
      </c>
      <c r="B971" s="1" t="n">
        <v>44518</v>
      </c>
      <c r="C971" s="1" t="n">
        <v>45937</v>
      </c>
      <c r="D971" t="inlineStr">
        <is>
          <t>SKÅNE LÄN</t>
        </is>
      </c>
      <c r="E971" t="inlineStr">
        <is>
          <t>HÄSSLEHOLM</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37271-2025</t>
        </is>
      </c>
      <c r="B972" s="1" t="n">
        <v>45876.47828703704</v>
      </c>
      <c r="C972" s="1" t="n">
        <v>45937</v>
      </c>
      <c r="D972" t="inlineStr">
        <is>
          <t>SKÅNE LÄN</t>
        </is>
      </c>
      <c r="E972" t="inlineStr">
        <is>
          <t>HÄSSLEHOLM</t>
        </is>
      </c>
      <c r="G972" t="n">
        <v>4.1</v>
      </c>
      <c r="H972" t="n">
        <v>0</v>
      </c>
      <c r="I972" t="n">
        <v>0</v>
      </c>
      <c r="J972" t="n">
        <v>0</v>
      </c>
      <c r="K972" t="n">
        <v>0</v>
      </c>
      <c r="L972" t="n">
        <v>0</v>
      </c>
      <c r="M972" t="n">
        <v>0</v>
      </c>
      <c r="N972" t="n">
        <v>0</v>
      </c>
      <c r="O972" t="n">
        <v>0</v>
      </c>
      <c r="P972" t="n">
        <v>0</v>
      </c>
      <c r="Q972" t="n">
        <v>0</v>
      </c>
      <c r="R972" s="2" t="inlineStr"/>
    </row>
    <row r="973" ht="15" customHeight="1">
      <c r="A973" t="inlineStr">
        <is>
          <t>A 53897-2023</t>
        </is>
      </c>
      <c r="B973" s="1" t="n">
        <v>45231.53934027778</v>
      </c>
      <c r="C973" s="1" t="n">
        <v>45937</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21494-2023</t>
        </is>
      </c>
      <c r="B974" s="1" t="n">
        <v>45063</v>
      </c>
      <c r="C974" s="1" t="n">
        <v>45937</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21495-2023</t>
        </is>
      </c>
      <c r="B975" s="1" t="n">
        <v>45063</v>
      </c>
      <c r="C975" s="1" t="n">
        <v>45937</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40739-2024</t>
        </is>
      </c>
      <c r="B976" s="1" t="n">
        <v>45558</v>
      </c>
      <c r="C976" s="1" t="n">
        <v>45937</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20990-2023</t>
        </is>
      </c>
      <c r="B977" s="1" t="n">
        <v>45061.46186342592</v>
      </c>
      <c r="C977" s="1" t="n">
        <v>45937</v>
      </c>
      <c r="D977" t="inlineStr">
        <is>
          <t>SKÅNE LÄN</t>
        </is>
      </c>
      <c r="E977" t="inlineStr">
        <is>
          <t>HÄSSLEHOLM</t>
        </is>
      </c>
      <c r="G977" t="n">
        <v>2.8</v>
      </c>
      <c r="H977" t="n">
        <v>0</v>
      </c>
      <c r="I977" t="n">
        <v>0</v>
      </c>
      <c r="J977" t="n">
        <v>0</v>
      </c>
      <c r="K977" t="n">
        <v>0</v>
      </c>
      <c r="L977" t="n">
        <v>0</v>
      </c>
      <c r="M977" t="n">
        <v>0</v>
      </c>
      <c r="N977" t="n">
        <v>0</v>
      </c>
      <c r="O977" t="n">
        <v>0</v>
      </c>
      <c r="P977" t="n">
        <v>0</v>
      </c>
      <c r="Q977" t="n">
        <v>0</v>
      </c>
      <c r="R977" s="2" t="inlineStr"/>
    </row>
    <row r="978" ht="15" customHeight="1">
      <c r="A978" t="inlineStr">
        <is>
          <t>A 45458-2025</t>
        </is>
      </c>
      <c r="B978" s="1" t="n">
        <v>45920</v>
      </c>
      <c r="C978" s="1" t="n">
        <v>45937</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64884-2023</t>
        </is>
      </c>
      <c r="B979" s="1" t="n">
        <v>45282.57809027778</v>
      </c>
      <c r="C979" s="1" t="n">
        <v>45937</v>
      </c>
      <c r="D979" t="inlineStr">
        <is>
          <t>SKÅNE LÄN</t>
        </is>
      </c>
      <c r="E979" t="inlineStr">
        <is>
          <t>HÄSSLEHOLM</t>
        </is>
      </c>
      <c r="G979" t="n">
        <v>4.6</v>
      </c>
      <c r="H979" t="n">
        <v>0</v>
      </c>
      <c r="I979" t="n">
        <v>0</v>
      </c>
      <c r="J979" t="n">
        <v>0</v>
      </c>
      <c r="K979" t="n">
        <v>0</v>
      </c>
      <c r="L979" t="n">
        <v>0</v>
      </c>
      <c r="M979" t="n">
        <v>0</v>
      </c>
      <c r="N979" t="n">
        <v>0</v>
      </c>
      <c r="O979" t="n">
        <v>0</v>
      </c>
      <c r="P979" t="n">
        <v>0</v>
      </c>
      <c r="Q979" t="n">
        <v>0</v>
      </c>
      <c r="R979" s="2" t="inlineStr"/>
    </row>
    <row r="980" ht="15" customHeight="1">
      <c r="A980" t="inlineStr">
        <is>
          <t>A 22140-2023</t>
        </is>
      </c>
      <c r="B980" s="1" t="n">
        <v>45065</v>
      </c>
      <c r="C980" s="1" t="n">
        <v>45937</v>
      </c>
      <c r="D980" t="inlineStr">
        <is>
          <t>SKÅNE LÄN</t>
        </is>
      </c>
      <c r="E980" t="inlineStr">
        <is>
          <t>HÄSSLEHOLM</t>
        </is>
      </c>
      <c r="G980" t="n">
        <v>6.7</v>
      </c>
      <c r="H980" t="n">
        <v>0</v>
      </c>
      <c r="I980" t="n">
        <v>0</v>
      </c>
      <c r="J980" t="n">
        <v>0</v>
      </c>
      <c r="K980" t="n">
        <v>0</v>
      </c>
      <c r="L980" t="n">
        <v>0</v>
      </c>
      <c r="M980" t="n">
        <v>0</v>
      </c>
      <c r="N980" t="n">
        <v>0</v>
      </c>
      <c r="O980" t="n">
        <v>0</v>
      </c>
      <c r="P980" t="n">
        <v>0</v>
      </c>
      <c r="Q980" t="n">
        <v>0</v>
      </c>
      <c r="R980" s="2" t="inlineStr"/>
    </row>
    <row r="981" ht="15" customHeight="1">
      <c r="A981" t="inlineStr">
        <is>
          <t>A 31944-2023</t>
        </is>
      </c>
      <c r="B981" s="1" t="n">
        <v>45119.34895833334</v>
      </c>
      <c r="C981" s="1" t="n">
        <v>45937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7890-2024</t>
        </is>
      </c>
      <c r="B982" s="1" t="n">
        <v>45350.40780092592</v>
      </c>
      <c r="C982" s="1" t="n">
        <v>45937</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31946-2023</t>
        </is>
      </c>
      <c r="B983" s="1" t="n">
        <v>45119.35158564815</v>
      </c>
      <c r="C983" s="1" t="n">
        <v>45937</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22696-2023</t>
        </is>
      </c>
      <c r="B984" s="1" t="n">
        <v>45071.69464120371</v>
      </c>
      <c r="C984" s="1" t="n">
        <v>45937</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8755-2024</t>
        </is>
      </c>
      <c r="B985" s="1" t="n">
        <v>45356</v>
      </c>
      <c r="C985" s="1" t="n">
        <v>45937</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33873-2021</t>
        </is>
      </c>
      <c r="B986" s="1" t="n">
        <v>44378</v>
      </c>
      <c r="C986" s="1" t="n">
        <v>45937</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45273-2025</t>
        </is>
      </c>
      <c r="B987" s="1" t="n">
        <v>45919.70486111111</v>
      </c>
      <c r="C987" s="1" t="n">
        <v>45937</v>
      </c>
      <c r="D987" t="inlineStr">
        <is>
          <t>SKÅNE LÄN</t>
        </is>
      </c>
      <c r="E987" t="inlineStr">
        <is>
          <t>HÄSSLEHOLM</t>
        </is>
      </c>
      <c r="G987" t="n">
        <v>4.4</v>
      </c>
      <c r="H987" t="n">
        <v>0</v>
      </c>
      <c r="I987" t="n">
        <v>0</v>
      </c>
      <c r="J987" t="n">
        <v>0</v>
      </c>
      <c r="K987" t="n">
        <v>0</v>
      </c>
      <c r="L987" t="n">
        <v>0</v>
      </c>
      <c r="M987" t="n">
        <v>0</v>
      </c>
      <c r="N987" t="n">
        <v>0</v>
      </c>
      <c r="O987" t="n">
        <v>0</v>
      </c>
      <c r="P987" t="n">
        <v>0</v>
      </c>
      <c r="Q987" t="n">
        <v>0</v>
      </c>
      <c r="R987" s="2" t="inlineStr"/>
    </row>
    <row r="988" ht="15" customHeight="1">
      <c r="A988" t="inlineStr">
        <is>
          <t>A 45516-2025</t>
        </is>
      </c>
      <c r="B988" s="1" t="n">
        <v>45922</v>
      </c>
      <c r="C988" s="1" t="n">
        <v>45937</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34348-2022</t>
        </is>
      </c>
      <c r="B989" s="1" t="n">
        <v>44792</v>
      </c>
      <c r="C989" s="1" t="n">
        <v>45937</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32981-2025</t>
        </is>
      </c>
      <c r="B990" s="1" t="n">
        <v>45839.86820601852</v>
      </c>
      <c r="C990" s="1" t="n">
        <v>45937</v>
      </c>
      <c r="D990" t="inlineStr">
        <is>
          <t>SKÅNE LÄN</t>
        </is>
      </c>
      <c r="E990" t="inlineStr">
        <is>
          <t>HÄSSLEHOLM</t>
        </is>
      </c>
      <c r="G990" t="n">
        <v>2.7</v>
      </c>
      <c r="H990" t="n">
        <v>0</v>
      </c>
      <c r="I990" t="n">
        <v>0</v>
      </c>
      <c r="J990" t="n">
        <v>0</v>
      </c>
      <c r="K990" t="n">
        <v>0</v>
      </c>
      <c r="L990" t="n">
        <v>0</v>
      </c>
      <c r="M990" t="n">
        <v>0</v>
      </c>
      <c r="N990" t="n">
        <v>0</v>
      </c>
      <c r="O990" t="n">
        <v>0</v>
      </c>
      <c r="P990" t="n">
        <v>0</v>
      </c>
      <c r="Q990" t="n">
        <v>0</v>
      </c>
      <c r="R990" s="2" t="inlineStr"/>
    </row>
    <row r="991" ht="15" customHeight="1">
      <c r="A991" t="inlineStr">
        <is>
          <t>A 6836-2023</t>
        </is>
      </c>
      <c r="B991" s="1" t="n">
        <v>44967</v>
      </c>
      <c r="C991" s="1" t="n">
        <v>45937</v>
      </c>
      <c r="D991" t="inlineStr">
        <is>
          <t>SKÅNE LÄN</t>
        </is>
      </c>
      <c r="E991" t="inlineStr">
        <is>
          <t>HÄSSLEHOLM</t>
        </is>
      </c>
      <c r="G991" t="n">
        <v>3.5</v>
      </c>
      <c r="H991" t="n">
        <v>0</v>
      </c>
      <c r="I991" t="n">
        <v>0</v>
      </c>
      <c r="J991" t="n">
        <v>0</v>
      </c>
      <c r="K991" t="n">
        <v>0</v>
      </c>
      <c r="L991" t="n">
        <v>0</v>
      </c>
      <c r="M991" t="n">
        <v>0</v>
      </c>
      <c r="N991" t="n">
        <v>0</v>
      </c>
      <c r="O991" t="n">
        <v>0</v>
      </c>
      <c r="P991" t="n">
        <v>0</v>
      </c>
      <c r="Q991" t="n">
        <v>0</v>
      </c>
      <c r="R991" s="2" t="inlineStr"/>
    </row>
    <row r="992" ht="15" customHeight="1">
      <c r="A992" t="inlineStr">
        <is>
          <t>A 45221-2025</t>
        </is>
      </c>
      <c r="B992" s="1" t="n">
        <v>45919.57760416667</v>
      </c>
      <c r="C992" s="1" t="n">
        <v>45937</v>
      </c>
      <c r="D992" t="inlineStr">
        <is>
          <t>SKÅNE LÄN</t>
        </is>
      </c>
      <c r="E992" t="inlineStr">
        <is>
          <t>HÄSSLEHOLM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31931-2024</t>
        </is>
      </c>
      <c r="B993" s="1" t="n">
        <v>45510.40878472223</v>
      </c>
      <c r="C993" s="1" t="n">
        <v>45937</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8803-2023</t>
        </is>
      </c>
      <c r="B994" s="1" t="n">
        <v>44978.61712962963</v>
      </c>
      <c r="C994" s="1" t="n">
        <v>45937</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61178-2022</t>
        </is>
      </c>
      <c r="B995" s="1" t="n">
        <v>44915</v>
      </c>
      <c r="C995" s="1" t="n">
        <v>45937</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61185-2022</t>
        </is>
      </c>
      <c r="B996" s="1" t="n">
        <v>44915</v>
      </c>
      <c r="C996" s="1" t="n">
        <v>45937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45495-2025</t>
        </is>
      </c>
      <c r="B997" s="1" t="n">
        <v>45922.56369212963</v>
      </c>
      <c r="C997" s="1" t="n">
        <v>45937</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45514-2025</t>
        </is>
      </c>
      <c r="B998" s="1" t="n">
        <v>45922</v>
      </c>
      <c r="C998" s="1" t="n">
        <v>45937</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11681-2023</t>
        </is>
      </c>
      <c r="B999" s="1" t="n">
        <v>44992</v>
      </c>
      <c r="C999" s="1" t="n">
        <v>45937</v>
      </c>
      <c r="D999" t="inlineStr">
        <is>
          <t>SKÅNE LÄN</t>
        </is>
      </c>
      <c r="E999" t="inlineStr">
        <is>
          <t>HÄSSLEHOLM</t>
        </is>
      </c>
      <c r="F999" t="inlineStr">
        <is>
          <t>Övriga Aktiebolag</t>
        </is>
      </c>
      <c r="G999" t="n">
        <v>1.6</v>
      </c>
      <c r="H999" t="n">
        <v>0</v>
      </c>
      <c r="I999" t="n">
        <v>0</v>
      </c>
      <c r="J999" t="n">
        <v>0</v>
      </c>
      <c r="K999" t="n">
        <v>0</v>
      </c>
      <c r="L999" t="n">
        <v>0</v>
      </c>
      <c r="M999" t="n">
        <v>0</v>
      </c>
      <c r="N999" t="n">
        <v>0</v>
      </c>
      <c r="O999" t="n">
        <v>0</v>
      </c>
      <c r="P999" t="n">
        <v>0</v>
      </c>
      <c r="Q999" t="n">
        <v>0</v>
      </c>
      <c r="R999" s="2" t="inlineStr"/>
    </row>
    <row r="1000" ht="15" customHeight="1">
      <c r="A1000" t="inlineStr">
        <is>
          <t>A 61691-2021</t>
        </is>
      </c>
      <c r="B1000" s="1" t="n">
        <v>44501</v>
      </c>
      <c r="C1000" s="1" t="n">
        <v>45937</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25221-2023</t>
        </is>
      </c>
      <c r="B1001" s="1" t="n">
        <v>45086.60842592592</v>
      </c>
      <c r="C1001" s="1" t="n">
        <v>45937</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59390-2021</t>
        </is>
      </c>
      <c r="B1002" s="1" t="n">
        <v>44490</v>
      </c>
      <c r="C1002" s="1" t="n">
        <v>45937</v>
      </c>
      <c r="D1002" t="inlineStr">
        <is>
          <t>SKÅNE LÄN</t>
        </is>
      </c>
      <c r="E1002" t="inlineStr">
        <is>
          <t>HÄSSLEHOLM</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45496-2025</t>
        </is>
      </c>
      <c r="B1003" s="1" t="n">
        <v>45922</v>
      </c>
      <c r="C1003" s="1" t="n">
        <v>45937</v>
      </c>
      <c r="D1003" t="inlineStr">
        <is>
          <t>SKÅNE LÄN</t>
        </is>
      </c>
      <c r="E1003" t="inlineStr">
        <is>
          <t>HÄSSLEHOLM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46222-2022</t>
        </is>
      </c>
      <c r="B1004" s="1" t="n">
        <v>44847.58725694445</v>
      </c>
      <c r="C1004" s="1" t="n">
        <v>45937</v>
      </c>
      <c r="D1004" t="inlineStr">
        <is>
          <t>SKÅNE LÄN</t>
        </is>
      </c>
      <c r="E1004" t="inlineStr">
        <is>
          <t>HÄSSLEHOLM</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18109-2025</t>
        </is>
      </c>
      <c r="B1005" s="1" t="n">
        <v>45761</v>
      </c>
      <c r="C1005" s="1" t="n">
        <v>45937</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45084-2025</t>
        </is>
      </c>
      <c r="B1006" s="1" t="n">
        <v>45918</v>
      </c>
      <c r="C1006" s="1" t="n">
        <v>45937</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16862-2025</t>
        </is>
      </c>
      <c r="B1007" s="1" t="n">
        <v>45751</v>
      </c>
      <c r="C1007" s="1" t="n">
        <v>45937</v>
      </c>
      <c r="D1007" t="inlineStr">
        <is>
          <t>SKÅNE LÄN</t>
        </is>
      </c>
      <c r="E1007" t="inlineStr">
        <is>
          <t>HÄSSLEHOLM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50564-2023</t>
        </is>
      </c>
      <c r="B1008" s="1" t="n">
        <v>45217.37957175926</v>
      </c>
      <c r="C1008" s="1" t="n">
        <v>45937</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45176-2025</t>
        </is>
      </c>
      <c r="B1009" s="1" t="n">
        <v>45919.52307870371</v>
      </c>
      <c r="C1009" s="1" t="n">
        <v>45937</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15133-2023</t>
        </is>
      </c>
      <c r="B1010" s="1" t="n">
        <v>45016</v>
      </c>
      <c r="C1010" s="1" t="n">
        <v>45937</v>
      </c>
      <c r="D1010" t="inlineStr">
        <is>
          <t>SKÅNE LÄN</t>
        </is>
      </c>
      <c r="E1010" t="inlineStr">
        <is>
          <t>HÄSSLEHOLM</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45314-2025</t>
        </is>
      </c>
      <c r="B1011" s="1" t="n">
        <v>45921.81738425926</v>
      </c>
      <c r="C1011" s="1" t="n">
        <v>45937</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50249-2024</t>
        </is>
      </c>
      <c r="B1012" s="1" t="n">
        <v>45600.56866898148</v>
      </c>
      <c r="C1012" s="1" t="n">
        <v>45937</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15053-2023</t>
        </is>
      </c>
      <c r="B1013" s="1" t="n">
        <v>45015</v>
      </c>
      <c r="C1013" s="1" t="n">
        <v>45937</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60843-2022</t>
        </is>
      </c>
      <c r="B1014" s="1" t="n">
        <v>44914</v>
      </c>
      <c r="C1014" s="1" t="n">
        <v>45937</v>
      </c>
      <c r="D1014" t="inlineStr">
        <is>
          <t>SKÅNE LÄN</t>
        </is>
      </c>
      <c r="E1014" t="inlineStr">
        <is>
          <t>HÄSSLEHOLM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51040-2024</t>
        </is>
      </c>
      <c r="B1015" s="1" t="n">
        <v>45603.43222222223</v>
      </c>
      <c r="C1015" s="1" t="n">
        <v>45937</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56881-2021</t>
        </is>
      </c>
      <c r="B1016" s="1" t="n">
        <v>44481</v>
      </c>
      <c r="C1016" s="1" t="n">
        <v>45937</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23857-2024</t>
        </is>
      </c>
      <c r="B1017" s="1" t="n">
        <v>45455</v>
      </c>
      <c r="C1017" s="1" t="n">
        <v>45937</v>
      </c>
      <c r="D1017" t="inlineStr">
        <is>
          <t>SKÅNE LÄN</t>
        </is>
      </c>
      <c r="E1017" t="inlineStr">
        <is>
          <t>HÄSSLEHOLM</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35644-2023</t>
        </is>
      </c>
      <c r="B1018" s="1" t="n">
        <v>45147</v>
      </c>
      <c r="C1018" s="1" t="n">
        <v>45937</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46185-2022</t>
        </is>
      </c>
      <c r="B1019" s="1" t="n">
        <v>44847</v>
      </c>
      <c r="C1019" s="1" t="n">
        <v>45937</v>
      </c>
      <c r="D1019" t="inlineStr">
        <is>
          <t>SKÅNE LÄN</t>
        </is>
      </c>
      <c r="E1019" t="inlineStr">
        <is>
          <t>HÄSSLEHOLM</t>
        </is>
      </c>
      <c r="G1019" t="n">
        <v>16.8</v>
      </c>
      <c r="H1019" t="n">
        <v>0</v>
      </c>
      <c r="I1019" t="n">
        <v>0</v>
      </c>
      <c r="J1019" t="n">
        <v>0</v>
      </c>
      <c r="K1019" t="n">
        <v>0</v>
      </c>
      <c r="L1019" t="n">
        <v>0</v>
      </c>
      <c r="M1019" t="n">
        <v>0</v>
      </c>
      <c r="N1019" t="n">
        <v>0</v>
      </c>
      <c r="O1019" t="n">
        <v>0</v>
      </c>
      <c r="P1019" t="n">
        <v>0</v>
      </c>
      <c r="Q1019" t="n">
        <v>0</v>
      </c>
      <c r="R1019" s="2" t="inlineStr"/>
    </row>
    <row r="1020" ht="15" customHeight="1">
      <c r="A1020" t="inlineStr">
        <is>
          <t>A 8433-2024</t>
        </is>
      </c>
      <c r="B1020" s="1" t="n">
        <v>45353.48434027778</v>
      </c>
      <c r="C1020" s="1" t="n">
        <v>45937</v>
      </c>
      <c r="D1020" t="inlineStr">
        <is>
          <t>SKÅNE LÄN</t>
        </is>
      </c>
      <c r="E1020" t="inlineStr">
        <is>
          <t>HÄSSLEHOLM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45653-2024</t>
        </is>
      </c>
      <c r="B1021" s="1" t="n">
        <v>45579.48872685185</v>
      </c>
      <c r="C1021" s="1" t="n">
        <v>45937</v>
      </c>
      <c r="D1021" t="inlineStr">
        <is>
          <t>SKÅNE LÄN</t>
        </is>
      </c>
      <c r="E1021" t="inlineStr">
        <is>
          <t>HÄSSLEHOLM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62055-2023</t>
        </is>
      </c>
      <c r="B1022" s="1" t="n">
        <v>45266.70287037037</v>
      </c>
      <c r="C1022" s="1" t="n">
        <v>45937</v>
      </c>
      <c r="D1022" t="inlineStr">
        <is>
          <t>SKÅNE LÄN</t>
        </is>
      </c>
      <c r="E1022" t="inlineStr">
        <is>
          <t>HÄSSLEHOLM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56956-2024</t>
        </is>
      </c>
      <c r="B1023" s="1" t="n">
        <v>45626</v>
      </c>
      <c r="C1023" s="1" t="n">
        <v>45937</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45392-2024</t>
        </is>
      </c>
      <c r="B1024" s="1" t="n">
        <v>45576.55008101852</v>
      </c>
      <c r="C1024" s="1" t="n">
        <v>45937</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20187-2023</t>
        </is>
      </c>
      <c r="B1025" s="1" t="n">
        <v>45055.57027777778</v>
      </c>
      <c r="C1025" s="1" t="n">
        <v>45937</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1543-2024</t>
        </is>
      </c>
      <c r="B1026" s="1" t="n">
        <v>45306</v>
      </c>
      <c r="C1026" s="1" t="n">
        <v>45937</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37038-2022</t>
        </is>
      </c>
      <c r="B1027" s="1" t="n">
        <v>44806.44232638889</v>
      </c>
      <c r="C1027" s="1" t="n">
        <v>45937</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45465-2025</t>
        </is>
      </c>
      <c r="B1028" s="1" t="n">
        <v>45920</v>
      </c>
      <c r="C1028" s="1" t="n">
        <v>45937</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13555-2025</t>
        </is>
      </c>
      <c r="B1029" s="1" t="n">
        <v>45736</v>
      </c>
      <c r="C1029" s="1" t="n">
        <v>45937</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16454-2023</t>
        </is>
      </c>
      <c r="B1030" s="1" t="n">
        <v>45029.48425925926</v>
      </c>
      <c r="C1030" s="1" t="n">
        <v>45937</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31572-2022</t>
        </is>
      </c>
      <c r="B1031" s="1" t="n">
        <v>44775</v>
      </c>
      <c r="C1031" s="1" t="n">
        <v>45937</v>
      </c>
      <c r="D1031" t="inlineStr">
        <is>
          <t>SKÅNE LÄN</t>
        </is>
      </c>
      <c r="E1031" t="inlineStr">
        <is>
          <t>HÄSSLEHOLM</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70087-2021</t>
        </is>
      </c>
      <c r="B1032" s="1" t="n">
        <v>44533</v>
      </c>
      <c r="C1032" s="1" t="n">
        <v>45937</v>
      </c>
      <c r="D1032" t="inlineStr">
        <is>
          <t>SKÅNE LÄN</t>
        </is>
      </c>
      <c r="E1032" t="inlineStr">
        <is>
          <t>HÄSSLEHOLM</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28632-2024</t>
        </is>
      </c>
      <c r="B1033" s="1" t="n">
        <v>45478</v>
      </c>
      <c r="C1033" s="1" t="n">
        <v>45937</v>
      </c>
      <c r="D1033" t="inlineStr">
        <is>
          <t>SKÅNE LÄN</t>
        </is>
      </c>
      <c r="E1033" t="inlineStr">
        <is>
          <t>HÄSSLEHOLM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9375-2023</t>
        </is>
      </c>
      <c r="B1034" s="1" t="n">
        <v>44981</v>
      </c>
      <c r="C1034" s="1" t="n">
        <v>45937</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29287-2023</t>
        </is>
      </c>
      <c r="B1035" s="1" t="n">
        <v>45098</v>
      </c>
      <c r="C1035" s="1" t="n">
        <v>45937</v>
      </c>
      <c r="D1035" t="inlineStr">
        <is>
          <t>SKÅNE LÄN</t>
        </is>
      </c>
      <c r="E1035" t="inlineStr">
        <is>
          <t>HÄSSLEHOLM</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35712-2024</t>
        </is>
      </c>
      <c r="B1036" s="1" t="n">
        <v>45532</v>
      </c>
      <c r="C1036" s="1" t="n">
        <v>45937</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33466-2024</t>
        </is>
      </c>
      <c r="B1037" s="1" t="n">
        <v>45519</v>
      </c>
      <c r="C1037" s="1" t="n">
        <v>45937</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26397-2023</t>
        </is>
      </c>
      <c r="B1038" s="1" t="n">
        <v>45087</v>
      </c>
      <c r="C1038" s="1" t="n">
        <v>45937</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27175-2024</t>
        </is>
      </c>
      <c r="B1039" s="1" t="n">
        <v>45471.57111111111</v>
      </c>
      <c r="C1039" s="1" t="n">
        <v>45937</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55416-2021</t>
        </is>
      </c>
      <c r="B1040" s="1" t="n">
        <v>44475</v>
      </c>
      <c r="C1040" s="1" t="n">
        <v>45937</v>
      </c>
      <c r="D1040" t="inlineStr">
        <is>
          <t>SKÅNE LÄN</t>
        </is>
      </c>
      <c r="E1040" t="inlineStr">
        <is>
          <t>HÄSSLEHOLM</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1197-2024</t>
        </is>
      </c>
      <c r="B1041" s="1" t="n">
        <v>45302</v>
      </c>
      <c r="C1041" s="1" t="n">
        <v>45937</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60509-2023</t>
        </is>
      </c>
      <c r="B1042" s="1" t="n">
        <v>45259</v>
      </c>
      <c r="C1042" s="1" t="n">
        <v>45937</v>
      </c>
      <c r="D1042" t="inlineStr">
        <is>
          <t>SKÅNE LÄN</t>
        </is>
      </c>
      <c r="E1042" t="inlineStr">
        <is>
          <t>HÄSSLEHOLM</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45414-2025</t>
        </is>
      </c>
      <c r="B1043" s="1" t="n">
        <v>45920</v>
      </c>
      <c r="C1043" s="1" t="n">
        <v>45937</v>
      </c>
      <c r="D1043" t="inlineStr">
        <is>
          <t>SKÅNE LÄN</t>
        </is>
      </c>
      <c r="E1043" t="inlineStr">
        <is>
          <t>HÄSSLEHOLM</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45443-2025</t>
        </is>
      </c>
      <c r="B1044" s="1" t="n">
        <v>45920</v>
      </c>
      <c r="C1044" s="1" t="n">
        <v>45937</v>
      </c>
      <c r="D1044" t="inlineStr">
        <is>
          <t>SKÅNE LÄN</t>
        </is>
      </c>
      <c r="E1044" t="inlineStr">
        <is>
          <t>HÄSSLEHOLM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48097-2024</t>
        </is>
      </c>
      <c r="B1045" s="1" t="n">
        <v>45589.61413194444</v>
      </c>
      <c r="C1045" s="1" t="n">
        <v>45937</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45764-2025</t>
        </is>
      </c>
      <c r="B1046" s="1" t="n">
        <v>45923.52037037037</v>
      </c>
      <c r="C1046" s="1" t="n">
        <v>45937</v>
      </c>
      <c r="D1046" t="inlineStr">
        <is>
          <t>SKÅNE LÄN</t>
        </is>
      </c>
      <c r="E1046" t="inlineStr">
        <is>
          <t>HÄSSLEHOLM</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21310-2022</t>
        </is>
      </c>
      <c r="B1047" s="1" t="n">
        <v>44705</v>
      </c>
      <c r="C1047" s="1" t="n">
        <v>45937</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53077-2022</t>
        </is>
      </c>
      <c r="B1048" s="1" t="n">
        <v>44873</v>
      </c>
      <c r="C1048" s="1" t="n">
        <v>45937</v>
      </c>
      <c r="D1048" t="inlineStr">
        <is>
          <t>SKÅNE LÄN</t>
        </is>
      </c>
      <c r="E1048" t="inlineStr">
        <is>
          <t>HÄSSLEHOLM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45683-2025</t>
        </is>
      </c>
      <c r="B1049" s="1" t="n">
        <v>45923.37590277778</v>
      </c>
      <c r="C1049" s="1" t="n">
        <v>45937</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45762-2025</t>
        </is>
      </c>
      <c r="B1050" s="1" t="n">
        <v>45923.51548611111</v>
      </c>
      <c r="C1050" s="1" t="n">
        <v>45937</v>
      </c>
      <c r="D1050" t="inlineStr">
        <is>
          <t>SKÅNE LÄN</t>
        </is>
      </c>
      <c r="E1050" t="inlineStr">
        <is>
          <t>HÄSSLEHOLM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45763-2025</t>
        </is>
      </c>
      <c r="B1051" s="1" t="n">
        <v>45923.51778935185</v>
      </c>
      <c r="C1051" s="1" t="n">
        <v>45937</v>
      </c>
      <c r="D1051" t="inlineStr">
        <is>
          <t>SKÅNE LÄN</t>
        </is>
      </c>
      <c r="E1051" t="inlineStr">
        <is>
          <t>HÄSSLEHOLM</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9485-2023</t>
        </is>
      </c>
      <c r="B1052" s="1" t="n">
        <v>44981.60901620371</v>
      </c>
      <c r="C1052" s="1" t="n">
        <v>45937</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9502-2023</t>
        </is>
      </c>
      <c r="B1053" s="1" t="n">
        <v>44981.63278935185</v>
      </c>
      <c r="C1053" s="1" t="n">
        <v>45937</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19020-2024</t>
        </is>
      </c>
      <c r="B1054" s="1" t="n">
        <v>45427.66167824074</v>
      </c>
      <c r="C1054" s="1" t="n">
        <v>45937</v>
      </c>
      <c r="D1054" t="inlineStr">
        <is>
          <t>SKÅNE LÄN</t>
        </is>
      </c>
      <c r="E1054" t="inlineStr">
        <is>
          <t>HÄSSLEHOLM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52912-2022</t>
        </is>
      </c>
      <c r="B1055" s="1" t="n">
        <v>44872</v>
      </c>
      <c r="C1055" s="1" t="n">
        <v>45937</v>
      </c>
      <c r="D1055" t="inlineStr">
        <is>
          <t>SKÅNE LÄN</t>
        </is>
      </c>
      <c r="E1055" t="inlineStr">
        <is>
          <t>HÄSSLEHOLM</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24640-2023</t>
        </is>
      </c>
      <c r="B1056" s="1" t="n">
        <v>45084.43181712963</v>
      </c>
      <c r="C1056" s="1" t="n">
        <v>45937</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22535-2024</t>
        </is>
      </c>
      <c r="B1057" s="1" t="n">
        <v>45447</v>
      </c>
      <c r="C1057" s="1" t="n">
        <v>45937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10928-2024</t>
        </is>
      </c>
      <c r="B1058" s="1" t="n">
        <v>45370</v>
      </c>
      <c r="C1058" s="1" t="n">
        <v>45937</v>
      </c>
      <c r="D1058" t="inlineStr">
        <is>
          <t>SKÅNE LÄN</t>
        </is>
      </c>
      <c r="E1058" t="inlineStr">
        <is>
          <t>HÄSSLEHOLM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30007-2023</t>
        </is>
      </c>
      <c r="B1059" s="1" t="n">
        <v>45109.80349537037</v>
      </c>
      <c r="C1059" s="1" t="n">
        <v>45937</v>
      </c>
      <c r="D1059" t="inlineStr">
        <is>
          <t>SKÅNE LÄN</t>
        </is>
      </c>
      <c r="E1059" t="inlineStr">
        <is>
          <t>HÄSSLEHOLM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5890-2023</t>
        </is>
      </c>
      <c r="B1060" s="1" t="n">
        <v>44963.64527777778</v>
      </c>
      <c r="C1060" s="1" t="n">
        <v>45937</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5894-2023</t>
        </is>
      </c>
      <c r="B1061" s="1" t="n">
        <v>44963.65148148148</v>
      </c>
      <c r="C1061" s="1" t="n">
        <v>45937</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12843-2023</t>
        </is>
      </c>
      <c r="B1062" s="1" t="n">
        <v>45001.48423611111</v>
      </c>
      <c r="C1062" s="1" t="n">
        <v>45937</v>
      </c>
      <c r="D1062" t="inlineStr">
        <is>
          <t>SKÅNE LÄN</t>
        </is>
      </c>
      <c r="E1062" t="inlineStr">
        <is>
          <t>HÄSSLEHOLM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10944-2024</t>
        </is>
      </c>
      <c r="B1063" s="1" t="n">
        <v>45370</v>
      </c>
      <c r="C1063" s="1" t="n">
        <v>45937</v>
      </c>
      <c r="D1063" t="inlineStr">
        <is>
          <t>SKÅNE LÄN</t>
        </is>
      </c>
      <c r="E1063" t="inlineStr">
        <is>
          <t>HÄSSLEHOLM</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1289-2024</t>
        </is>
      </c>
      <c r="B1064" s="1" t="n">
        <v>45303.32234953704</v>
      </c>
      <c r="C1064" s="1" t="n">
        <v>45937</v>
      </c>
      <c r="D1064" t="inlineStr">
        <is>
          <t>SKÅNE LÄN</t>
        </is>
      </c>
      <c r="E1064" t="inlineStr">
        <is>
          <t>HÄSSLEHOLM</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13309-2025</t>
        </is>
      </c>
      <c r="B1065" s="1" t="n">
        <v>45735.58512731481</v>
      </c>
      <c r="C1065" s="1" t="n">
        <v>45937</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5980-2024</t>
        </is>
      </c>
      <c r="B1066" s="1" t="n">
        <v>45335</v>
      </c>
      <c r="C1066" s="1" t="n">
        <v>45937</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42372-2024</t>
        </is>
      </c>
      <c r="B1067" s="1" t="n">
        <v>45564.5127199074</v>
      </c>
      <c r="C1067" s="1" t="n">
        <v>45937</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17699-2024</t>
        </is>
      </c>
      <c r="B1068" s="1" t="n">
        <v>45418.46094907408</v>
      </c>
      <c r="C1068" s="1" t="n">
        <v>45937</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17702-2024</t>
        </is>
      </c>
      <c r="B1069" s="1" t="n">
        <v>45418.46534722222</v>
      </c>
      <c r="C1069" s="1" t="n">
        <v>45937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20566-2023</t>
        </is>
      </c>
      <c r="B1070" s="1" t="n">
        <v>45057</v>
      </c>
      <c r="C1070" s="1" t="n">
        <v>45937</v>
      </c>
      <c r="D1070" t="inlineStr">
        <is>
          <t>SKÅNE LÄN</t>
        </is>
      </c>
      <c r="E1070" t="inlineStr">
        <is>
          <t>HÄSSLEHOLM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32967-2023</t>
        </is>
      </c>
      <c r="B1071" s="1" t="n">
        <v>45125</v>
      </c>
      <c r="C1071" s="1" t="n">
        <v>45937</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32968-2023</t>
        </is>
      </c>
      <c r="B1072" s="1" t="n">
        <v>45125</v>
      </c>
      <c r="C1072" s="1" t="n">
        <v>45937</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42231-2022</t>
        </is>
      </c>
      <c r="B1073" s="1" t="n">
        <v>44830.77003472222</v>
      </c>
      <c r="C1073" s="1" t="n">
        <v>45937</v>
      </c>
      <c r="D1073" t="inlineStr">
        <is>
          <t>SKÅNE LÄN</t>
        </is>
      </c>
      <c r="E1073" t="inlineStr">
        <is>
          <t>HÄSSLEHOLM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54982-2024</t>
        </is>
      </c>
      <c r="B1074" s="1" t="n">
        <v>45620.7580787037</v>
      </c>
      <c r="C1074" s="1" t="n">
        <v>45937</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36795-2023</t>
        </is>
      </c>
      <c r="B1075" s="1" t="n">
        <v>45154.38245370371</v>
      </c>
      <c r="C1075" s="1" t="n">
        <v>45937</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15698-2023</t>
        </is>
      </c>
      <c r="B1076" s="1" t="n">
        <v>45021</v>
      </c>
      <c r="C1076" s="1" t="n">
        <v>45937</v>
      </c>
      <c r="D1076" t="inlineStr">
        <is>
          <t>SKÅNE LÄN</t>
        </is>
      </c>
      <c r="E1076" t="inlineStr">
        <is>
          <t>HÄSSLEHOLM</t>
        </is>
      </c>
      <c r="F1076" t="inlineStr">
        <is>
          <t>Kommuner</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12584-2025</t>
        </is>
      </c>
      <c r="B1077" s="1" t="n">
        <v>45732</v>
      </c>
      <c r="C1077" s="1" t="n">
        <v>45937</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31998-2023</t>
        </is>
      </c>
      <c r="B1078" s="1" t="n">
        <v>45119</v>
      </c>
      <c r="C1078" s="1" t="n">
        <v>45937</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4140-2023</t>
        </is>
      </c>
      <c r="B1079" s="1" t="n">
        <v>44953</v>
      </c>
      <c r="C1079" s="1" t="n">
        <v>45937</v>
      </c>
      <c r="D1079" t="inlineStr">
        <is>
          <t>SKÅNE LÄN</t>
        </is>
      </c>
      <c r="E1079" t="inlineStr">
        <is>
          <t>HÄSSLEHOLM</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25077-2024</t>
        </is>
      </c>
      <c r="B1080" s="1" t="n">
        <v>45462</v>
      </c>
      <c r="C1080" s="1" t="n">
        <v>45937</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46942-2024</t>
        </is>
      </c>
      <c r="B1081" s="1" t="n">
        <v>45585.6684375</v>
      </c>
      <c r="C1081" s="1" t="n">
        <v>45937</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33257-2024</t>
        </is>
      </c>
      <c r="B1082" s="1" t="n">
        <v>45518</v>
      </c>
      <c r="C1082" s="1" t="n">
        <v>45937</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17492-2025</t>
        </is>
      </c>
      <c r="B1083" s="1" t="n">
        <v>45747</v>
      </c>
      <c r="C1083" s="1" t="n">
        <v>45937</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51618-2024</t>
        </is>
      </c>
      <c r="B1084" s="1" t="n">
        <v>45604.82615740741</v>
      </c>
      <c r="C1084" s="1" t="n">
        <v>45937</v>
      </c>
      <c r="D1084" t="inlineStr">
        <is>
          <t>SKÅNE LÄN</t>
        </is>
      </c>
      <c r="E1084" t="inlineStr">
        <is>
          <t>HÄSSLEHOLM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10409-2024</t>
        </is>
      </c>
      <c r="B1085" s="1" t="n">
        <v>45365.6978125</v>
      </c>
      <c r="C1085" s="1" t="n">
        <v>45937</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31995-2023</t>
        </is>
      </c>
      <c r="B1086" s="1" t="n">
        <v>45107</v>
      </c>
      <c r="C1086" s="1" t="n">
        <v>45937</v>
      </c>
      <c r="D1086" t="inlineStr">
        <is>
          <t>SKÅNE LÄN</t>
        </is>
      </c>
      <c r="E1086" t="inlineStr">
        <is>
          <t>HÄSSLEHOLM</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4356-2024</t>
        </is>
      </c>
      <c r="B1087" s="1" t="n">
        <v>45325.36195601852</v>
      </c>
      <c r="C1087" s="1" t="n">
        <v>45937</v>
      </c>
      <c r="D1087" t="inlineStr">
        <is>
          <t>SKÅNE LÄN</t>
        </is>
      </c>
      <c r="E1087" t="inlineStr">
        <is>
          <t>HÄSSLEHOLM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47840-2023</t>
        </is>
      </c>
      <c r="B1088" s="1" t="n">
        <v>45204</v>
      </c>
      <c r="C1088" s="1" t="n">
        <v>45937</v>
      </c>
      <c r="D1088" t="inlineStr">
        <is>
          <t>SKÅNE LÄN</t>
        </is>
      </c>
      <c r="E1088" t="inlineStr">
        <is>
          <t>HÄSSLEHOLM</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34888-2023</t>
        </is>
      </c>
      <c r="B1089" s="1" t="n">
        <v>45142.388125</v>
      </c>
      <c r="C1089" s="1" t="n">
        <v>45937</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20435-2021</t>
        </is>
      </c>
      <c r="B1090" s="1" t="n">
        <v>44315.5793287037</v>
      </c>
      <c r="C1090" s="1" t="n">
        <v>45937</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53085-2022</t>
        </is>
      </c>
      <c r="B1091" s="1" t="n">
        <v>44873</v>
      </c>
      <c r="C1091" s="1" t="n">
        <v>45937</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16388-2025</t>
        </is>
      </c>
      <c r="B1092" s="1" t="n">
        <v>45751.42787037037</v>
      </c>
      <c r="C1092" s="1" t="n">
        <v>45937</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16668-2025</t>
        </is>
      </c>
      <c r="B1093" s="1" t="n">
        <v>45754.43009259259</v>
      </c>
      <c r="C1093" s="1" t="n">
        <v>45937</v>
      </c>
      <c r="D1093" t="inlineStr">
        <is>
          <t>SKÅNE LÄN</t>
        </is>
      </c>
      <c r="E1093" t="inlineStr">
        <is>
          <t>HÄSSLEHOLM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9709-2023</t>
        </is>
      </c>
      <c r="B1094" s="1" t="n">
        <v>44984.48376157408</v>
      </c>
      <c r="C1094" s="1" t="n">
        <v>45937</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13646-2024</t>
        </is>
      </c>
      <c r="B1095" s="1" t="n">
        <v>45387</v>
      </c>
      <c r="C1095" s="1" t="n">
        <v>45937</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21867-2023</t>
        </is>
      </c>
      <c r="B1096" s="1" t="n">
        <v>45063</v>
      </c>
      <c r="C1096" s="1" t="n">
        <v>45937</v>
      </c>
      <c r="D1096" t="inlineStr">
        <is>
          <t>SKÅNE LÄN</t>
        </is>
      </c>
      <c r="E1096" t="inlineStr">
        <is>
          <t>HÄSSLEHOLM</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13087-2023</t>
        </is>
      </c>
      <c r="B1097" s="1" t="n">
        <v>45001</v>
      </c>
      <c r="C1097" s="1" t="n">
        <v>45937</v>
      </c>
      <c r="D1097" t="inlineStr">
        <is>
          <t>SKÅNE LÄN</t>
        </is>
      </c>
      <c r="E1097" t="inlineStr">
        <is>
          <t>HÄSSLEHOLM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52968-2022</t>
        </is>
      </c>
      <c r="B1098" s="1" t="n">
        <v>44875</v>
      </c>
      <c r="C1098" s="1" t="n">
        <v>45937</v>
      </c>
      <c r="D1098" t="inlineStr">
        <is>
          <t>SKÅNE LÄN</t>
        </is>
      </c>
      <c r="E1098" t="inlineStr">
        <is>
          <t>HÄSSLEHOLM</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62167-2022</t>
        </is>
      </c>
      <c r="B1099" s="1" t="n">
        <v>44915</v>
      </c>
      <c r="C1099" s="1" t="n">
        <v>45937</v>
      </c>
      <c r="D1099" t="inlineStr">
        <is>
          <t>SKÅNE LÄN</t>
        </is>
      </c>
      <c r="E1099" t="inlineStr">
        <is>
          <t>HÄSSLEHOLM</t>
        </is>
      </c>
      <c r="F1099" t="inlineStr">
        <is>
          <t>Kyrkan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62234-2022</t>
        </is>
      </c>
      <c r="B1100" s="1" t="n">
        <v>44922</v>
      </c>
      <c r="C1100" s="1" t="n">
        <v>45937</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45190.38804398148</v>
      </c>
      <c r="C1101" s="1" t="n">
        <v>45937</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9397-2025</t>
        </is>
      </c>
      <c r="B1102" s="1" t="n">
        <v>45715.37361111111</v>
      </c>
      <c r="C1102" s="1" t="n">
        <v>45937</v>
      </c>
      <c r="D1102" t="inlineStr">
        <is>
          <t>SKÅNE LÄN</t>
        </is>
      </c>
      <c r="E1102" t="inlineStr">
        <is>
          <t>HÄSSLEHOLM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6583-2021</t>
        </is>
      </c>
      <c r="B1103" s="1" t="n">
        <v>44236</v>
      </c>
      <c r="C1103" s="1" t="n">
        <v>45937</v>
      </c>
      <c r="D1103" t="inlineStr">
        <is>
          <t>SKÅNE LÄN</t>
        </is>
      </c>
      <c r="E1103" t="inlineStr">
        <is>
          <t>HÄSSLEHOLM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50899-2024</t>
        </is>
      </c>
      <c r="B1104" s="1" t="n">
        <v>45602.68584490741</v>
      </c>
      <c r="C1104" s="1" t="n">
        <v>45937</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48624-2021</t>
        </is>
      </c>
      <c r="B1105" s="1" t="n">
        <v>44452</v>
      </c>
      <c r="C1105" s="1" t="n">
        <v>45937</v>
      </c>
      <c r="D1105" t="inlineStr">
        <is>
          <t>SKÅNE LÄN</t>
        </is>
      </c>
      <c r="E1105" t="inlineStr">
        <is>
          <t>HÄSSLEHOLM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10802-2024</t>
        </is>
      </c>
      <c r="B1106" s="1" t="n">
        <v>45369</v>
      </c>
      <c r="C1106" s="1" t="n">
        <v>45937</v>
      </c>
      <c r="D1106" t="inlineStr">
        <is>
          <t>SKÅNE LÄN</t>
        </is>
      </c>
      <c r="E1106" t="inlineStr">
        <is>
          <t>HÄSSLEHOLM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48046-2023</t>
        </is>
      </c>
      <c r="B1107" s="1" t="n">
        <v>45204.85201388889</v>
      </c>
      <c r="C1107" s="1" t="n">
        <v>45937</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11607-2025</t>
        </is>
      </c>
      <c r="B1108" s="1" t="n">
        <v>45727</v>
      </c>
      <c r="C1108" s="1" t="n">
        <v>45937</v>
      </c>
      <c r="D1108" t="inlineStr">
        <is>
          <t>SKÅNE LÄN</t>
        </is>
      </c>
      <c r="E1108" t="inlineStr">
        <is>
          <t>HÄSSLEHOLM</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13808-2021</t>
        </is>
      </c>
      <c r="B1109" s="1" t="n">
        <v>44276</v>
      </c>
      <c r="C1109" s="1" t="n">
        <v>45937</v>
      </c>
      <c r="D1109" t="inlineStr">
        <is>
          <t>SKÅNE LÄN</t>
        </is>
      </c>
      <c r="E1109" t="inlineStr">
        <is>
          <t>HÄSSLEHOLM</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49106-2023</t>
        </is>
      </c>
      <c r="B1110" s="1" t="n">
        <v>45210</v>
      </c>
      <c r="C1110" s="1" t="n">
        <v>45937</v>
      </c>
      <c r="D1110" t="inlineStr">
        <is>
          <t>SKÅNE LÄN</t>
        </is>
      </c>
      <c r="E1110" t="inlineStr">
        <is>
          <t>HÄSSLEHOLM</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58815-2023</t>
        </is>
      </c>
      <c r="B1111" s="1" t="n">
        <v>45247</v>
      </c>
      <c r="C1111" s="1" t="n">
        <v>45937</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9697-2023</t>
        </is>
      </c>
      <c r="B1112" s="1" t="n">
        <v>44984</v>
      </c>
      <c r="C1112" s="1" t="n">
        <v>45937</v>
      </c>
      <c r="D1112" t="inlineStr">
        <is>
          <t>SKÅNE LÄN</t>
        </is>
      </c>
      <c r="E1112" t="inlineStr">
        <is>
          <t>HÄSSLEHOLM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27478-2023</t>
        </is>
      </c>
      <c r="B1113" s="1" t="n">
        <v>45092</v>
      </c>
      <c r="C1113" s="1" t="n">
        <v>45937</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1170-2025</t>
        </is>
      </c>
      <c r="B1114" s="1" t="n">
        <v>45667.29226851852</v>
      </c>
      <c r="C1114" s="1" t="n">
        <v>45937</v>
      </c>
      <c r="D1114" t="inlineStr">
        <is>
          <t>SKÅNE LÄN</t>
        </is>
      </c>
      <c r="E1114" t="inlineStr">
        <is>
          <t>HÄSSLEHOLM</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57749-2023</t>
        </is>
      </c>
      <c r="B1115" s="1" t="n">
        <v>45246</v>
      </c>
      <c r="C1115" s="1" t="n">
        <v>45937</v>
      </c>
      <c r="D1115" t="inlineStr">
        <is>
          <t>SKÅNE LÄN</t>
        </is>
      </c>
      <c r="E1115" t="inlineStr">
        <is>
          <t>HÄSSLEHOLM</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44940-2023</t>
        </is>
      </c>
      <c r="B1116" s="1" t="n">
        <v>45190.68653935185</v>
      </c>
      <c r="C1116" s="1" t="n">
        <v>45937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18800-2023</t>
        </is>
      </c>
      <c r="B1117" s="1" t="n">
        <v>45044</v>
      </c>
      <c r="C1117" s="1" t="n">
        <v>45937</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25206-2023</t>
        </is>
      </c>
      <c r="B1118" s="1" t="n">
        <v>45086.59318287037</v>
      </c>
      <c r="C1118" s="1" t="n">
        <v>45937</v>
      </c>
      <c r="D1118" t="inlineStr">
        <is>
          <t>SKÅNE LÄN</t>
        </is>
      </c>
      <c r="E1118" t="inlineStr">
        <is>
          <t>HÄSSLEHOLM</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5116-2023</t>
        </is>
      </c>
      <c r="B1119" s="1" t="n">
        <v>44958.67546296296</v>
      </c>
      <c r="C1119" s="1" t="n">
        <v>45937</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10220-2023</t>
        </is>
      </c>
      <c r="B1120" s="1" t="n">
        <v>44986.60916666667</v>
      </c>
      <c r="C1120" s="1" t="n">
        <v>45937</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25611-2024</t>
        </is>
      </c>
      <c r="B1121" s="1" t="n">
        <v>45463</v>
      </c>
      <c r="C1121" s="1" t="n">
        <v>45937</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26536-2022</t>
        </is>
      </c>
      <c r="B1122" s="1" t="n">
        <v>44739.45496527778</v>
      </c>
      <c r="C1122" s="1" t="n">
        <v>45937</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16334-2024</t>
        </is>
      </c>
      <c r="B1123" s="1" t="n">
        <v>45407.54856481482</v>
      </c>
      <c r="C1123" s="1" t="n">
        <v>45937</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41873-2023</t>
        </is>
      </c>
      <c r="B1124" s="1" t="n">
        <v>45176</v>
      </c>
      <c r="C1124" s="1" t="n">
        <v>45937</v>
      </c>
      <c r="D1124" t="inlineStr">
        <is>
          <t>SKÅNE LÄN</t>
        </is>
      </c>
      <c r="E1124" t="inlineStr">
        <is>
          <t>HÄSSLEHOLM</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60973-2024</t>
        </is>
      </c>
      <c r="B1125" s="1" t="n">
        <v>45644</v>
      </c>
      <c r="C1125" s="1" t="n">
        <v>45937</v>
      </c>
      <c r="D1125" t="inlineStr">
        <is>
          <t>SKÅNE LÄN</t>
        </is>
      </c>
      <c r="E1125" t="inlineStr">
        <is>
          <t>HÄSSLEHOLM</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38228-2021</t>
        </is>
      </c>
      <c r="B1126" s="1" t="n">
        <v>44405</v>
      </c>
      <c r="C1126" s="1" t="n">
        <v>45937</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14655-2025</t>
        </is>
      </c>
      <c r="B1127" s="1" t="n">
        <v>45742.5072337963</v>
      </c>
      <c r="C1127" s="1" t="n">
        <v>45937</v>
      </c>
      <c r="D1127" t="inlineStr">
        <is>
          <t>SKÅNE LÄN</t>
        </is>
      </c>
      <c r="E1127" t="inlineStr">
        <is>
          <t>HÄSSLEHOLM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59763-2022</t>
        </is>
      </c>
      <c r="B1128" s="1" t="n">
        <v>44900</v>
      </c>
      <c r="C1128" s="1" t="n">
        <v>45937</v>
      </c>
      <c r="D1128" t="inlineStr">
        <is>
          <t>SKÅNE LÄN</t>
        </is>
      </c>
      <c r="E1128" t="inlineStr">
        <is>
          <t>HÄSSLEHOLM</t>
        </is>
      </c>
      <c r="F1128" t="inlineStr">
        <is>
          <t>Övriga Aktiebolag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43061-2024</t>
        </is>
      </c>
      <c r="B1129" s="1" t="n">
        <v>45567</v>
      </c>
      <c r="C1129" s="1" t="n">
        <v>45937</v>
      </c>
      <c r="D1129" t="inlineStr">
        <is>
          <t>SKÅNE LÄN</t>
        </is>
      </c>
      <c r="E1129" t="inlineStr">
        <is>
          <t>HÄSSLEHOLM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21328-2023</t>
        </is>
      </c>
      <c r="B1130" s="1" t="n">
        <v>45062</v>
      </c>
      <c r="C1130" s="1" t="n">
        <v>45937</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10277-2023</t>
        </is>
      </c>
      <c r="B1131" s="1" t="n">
        <v>44986</v>
      </c>
      <c r="C1131" s="1" t="n">
        <v>45937</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10290-2023</t>
        </is>
      </c>
      <c r="B1132" s="1" t="n">
        <v>44986</v>
      </c>
      <c r="C1132" s="1" t="n">
        <v>45937</v>
      </c>
      <c r="D1132" t="inlineStr">
        <is>
          <t>SKÅNE LÄN</t>
        </is>
      </c>
      <c r="E1132" t="inlineStr">
        <is>
          <t>HÄSSLEHOLM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6619-2024</t>
        </is>
      </c>
      <c r="B1133" s="1" t="n">
        <v>45341.6021412037</v>
      </c>
      <c r="C1133" s="1" t="n">
        <v>45937</v>
      </c>
      <c r="D1133" t="inlineStr">
        <is>
          <t>SKÅNE LÄN</t>
        </is>
      </c>
      <c r="E1133" t="inlineStr">
        <is>
          <t>HÄSSLEHOLM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20666-2023</t>
        </is>
      </c>
      <c r="B1134" s="1" t="n">
        <v>45058.35664351852</v>
      </c>
      <c r="C1134" s="1" t="n">
        <v>45937</v>
      </c>
      <c r="D1134" t="inlineStr">
        <is>
          <t>SKÅNE LÄN</t>
        </is>
      </c>
      <c r="E1134" t="inlineStr">
        <is>
          <t>HÄSSLEHOLM</t>
        </is>
      </c>
      <c r="F1134" t="inlineStr">
        <is>
          <t>Kyrkan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19593-2023</t>
        </is>
      </c>
      <c r="B1135" s="1" t="n">
        <v>45050.75895833333</v>
      </c>
      <c r="C1135" s="1" t="n">
        <v>45937</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7494-2023</t>
        </is>
      </c>
      <c r="B1136" s="1" t="n">
        <v>44971.70835648148</v>
      </c>
      <c r="C1136" s="1" t="n">
        <v>45937</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6087-2025</t>
        </is>
      </c>
      <c r="B1137" s="1" t="n">
        <v>45697.69782407407</v>
      </c>
      <c r="C1137" s="1" t="n">
        <v>45937</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45217.38359953704</v>
      </c>
      <c r="C1138" s="1" t="n">
        <v>45937</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18041-2023</t>
        </is>
      </c>
      <c r="B1139" s="1" t="n">
        <v>45040</v>
      </c>
      <c r="C1139" s="1" t="n">
        <v>45937</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16950-2025</t>
        </is>
      </c>
      <c r="B1140" s="1" t="n">
        <v>45755</v>
      </c>
      <c r="C1140" s="1" t="n">
        <v>45937</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58618-2024</t>
        </is>
      </c>
      <c r="B1141" s="1" t="n">
        <v>45635.56150462963</v>
      </c>
      <c r="C1141" s="1" t="n">
        <v>45937</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52337-2023</t>
        </is>
      </c>
      <c r="B1142" s="1" t="n">
        <v>45224.66359953704</v>
      </c>
      <c r="C1142" s="1" t="n">
        <v>45937</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c r="A1143" t="inlineStr">
        <is>
          <t>A 13084-2025</t>
        </is>
      </c>
      <c r="B1143" s="1" t="n">
        <v>45734</v>
      </c>
      <c r="C1143" s="1" t="n">
        <v>45937</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2025-10-07T12:30:36Z</dcterms:created>
  <dcterms:modified xmlns:dcterms="http://purl.org/dc/terms/" xmlns:xsi="http://www.w3.org/2001/XMLSchema-instance" xsi:type="dcterms:W3CDTF">2025-10-07T12:30:37Z</dcterms:modified>
</cp:coreProperties>
</file>