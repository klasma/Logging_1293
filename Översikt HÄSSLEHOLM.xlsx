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45994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45994</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45994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45994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45994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45994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45994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45994</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45994</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45994</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45994</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45994</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45994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61707-2024</t>
        </is>
      </c>
      <c r="B19" s="1" t="n">
        <v>45648.61747685185</v>
      </c>
      <c r="C19" s="1" t="n">
        <v>45994</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Rödlånke</t>
        </is>
      </c>
      <c r="S19">
        <f>HYPERLINK("https://klasma.github.io/Logging_1293/artfynd/A 61707-2024 artfynd.xlsx", "A 61707-2024")</f>
        <v/>
      </c>
      <c r="T19">
        <f>HYPERLINK("https://klasma.github.io/Logging_1293/kartor/A 61707-2024 karta.png", "A 61707-2024")</f>
        <v/>
      </c>
      <c r="V19">
        <f>HYPERLINK("https://klasma.github.io/Logging_1293/klagomål/A 61707-2024 FSC-klagomål.docx", "A 61707-2024")</f>
        <v/>
      </c>
      <c r="W19">
        <f>HYPERLINK("https://klasma.github.io/Logging_1293/klagomålsmail/A 61707-2024 FSC-klagomål mail.docx", "A 61707-2024")</f>
        <v/>
      </c>
      <c r="X19">
        <f>HYPERLINK("https://klasma.github.io/Logging_1293/tillsyn/A 61707-2024 tillsynsbegäran.docx", "A 61707-2024")</f>
        <v/>
      </c>
      <c r="Y19">
        <f>HYPERLINK("https://klasma.github.io/Logging_1293/tillsynsmail/A 61707-2024 tillsynsbegäran mail.docx", "A 61707-2024")</f>
        <v/>
      </c>
    </row>
    <row r="20" ht="15" customHeight="1">
      <c r="A20" t="inlineStr">
        <is>
          <t>A 4619-2025</t>
        </is>
      </c>
      <c r="B20" s="1" t="n">
        <v>45687</v>
      </c>
      <c r="C20" s="1" t="n">
        <v>45994</v>
      </c>
      <c r="D20" t="inlineStr">
        <is>
          <t>SKÅNE LÄN</t>
        </is>
      </c>
      <c r="E20" t="inlineStr">
        <is>
          <t>HÄSSLEHOLM</t>
        </is>
      </c>
      <c r="G20" t="n">
        <v>2.2</v>
      </c>
      <c r="H20" t="n">
        <v>0</v>
      </c>
      <c r="I20" t="n">
        <v>0</v>
      </c>
      <c r="J20" t="n">
        <v>0</v>
      </c>
      <c r="K20" t="n">
        <v>1</v>
      </c>
      <c r="L20" t="n">
        <v>0</v>
      </c>
      <c r="M20" t="n">
        <v>0</v>
      </c>
      <c r="N20" t="n">
        <v>0</v>
      </c>
      <c r="O20" t="n">
        <v>1</v>
      </c>
      <c r="P20" t="n">
        <v>1</v>
      </c>
      <c r="Q20" t="n">
        <v>1</v>
      </c>
      <c r="R20" s="2" t="inlineStr">
        <is>
          <t>Vildris</t>
        </is>
      </c>
      <c r="S20">
        <f>HYPERLINK("https://klasma.github.io/Logging_1293/artfynd/A 4619-2025 artfynd.xlsx", "A 4619-2025")</f>
        <v/>
      </c>
      <c r="T20">
        <f>HYPERLINK("https://klasma.github.io/Logging_1293/kartor/A 4619-2025 karta.png", "A 4619-2025")</f>
        <v/>
      </c>
      <c r="V20">
        <f>HYPERLINK("https://klasma.github.io/Logging_1293/klagomål/A 4619-2025 FSC-klagomål.docx", "A 4619-2025")</f>
        <v/>
      </c>
      <c r="W20">
        <f>HYPERLINK("https://klasma.github.io/Logging_1293/klagomålsmail/A 4619-2025 FSC-klagomål mail.docx", "A 4619-2025")</f>
        <v/>
      </c>
      <c r="X20">
        <f>HYPERLINK("https://klasma.github.io/Logging_1293/tillsyn/A 4619-2025 tillsynsbegäran.docx", "A 4619-2025")</f>
        <v/>
      </c>
      <c r="Y20">
        <f>HYPERLINK("https://klasma.github.io/Logging_1293/tillsynsmail/A 4619-2025 tillsynsbegäran mail.docx", "A 4619-2025")</f>
        <v/>
      </c>
    </row>
    <row r="21" ht="15" customHeight="1">
      <c r="A21" t="inlineStr">
        <is>
          <t>A 7862-2024</t>
        </is>
      </c>
      <c r="B21" s="1" t="n">
        <v>45348</v>
      </c>
      <c r="C21" s="1" t="n">
        <v>45994</v>
      </c>
      <c r="D21" t="inlineStr">
        <is>
          <t>SKÅNE LÄN</t>
        </is>
      </c>
      <c r="E21" t="inlineStr">
        <is>
          <t>HÄSSLEHOLM</t>
        </is>
      </c>
      <c r="G21" t="n">
        <v>5</v>
      </c>
      <c r="H21" t="n">
        <v>0</v>
      </c>
      <c r="I21" t="n">
        <v>1</v>
      </c>
      <c r="J21" t="n">
        <v>0</v>
      </c>
      <c r="K21" t="n">
        <v>0</v>
      </c>
      <c r="L21" t="n">
        <v>0</v>
      </c>
      <c r="M21" t="n">
        <v>0</v>
      </c>
      <c r="N21" t="n">
        <v>0</v>
      </c>
      <c r="O21" t="n">
        <v>0</v>
      </c>
      <c r="P21" t="n">
        <v>0</v>
      </c>
      <c r="Q21" t="n">
        <v>1</v>
      </c>
      <c r="R21" s="2" t="inlineStr">
        <is>
          <t>Stor revmossa</t>
        </is>
      </c>
      <c r="S21">
        <f>HYPERLINK("https://klasma.github.io/Logging_1293/artfynd/A 7862-2024 artfynd.xlsx", "A 7862-2024")</f>
        <v/>
      </c>
      <c r="T21">
        <f>HYPERLINK("https://klasma.github.io/Logging_1293/kartor/A 7862-2024 karta.png", "A 7862-2024")</f>
        <v/>
      </c>
      <c r="V21">
        <f>HYPERLINK("https://klasma.github.io/Logging_1293/klagomål/A 7862-2024 FSC-klagomål.docx", "A 7862-2024")</f>
        <v/>
      </c>
      <c r="W21">
        <f>HYPERLINK("https://klasma.github.io/Logging_1293/klagomålsmail/A 7862-2024 FSC-klagomål mail.docx", "A 7862-2024")</f>
        <v/>
      </c>
      <c r="X21">
        <f>HYPERLINK("https://klasma.github.io/Logging_1293/tillsyn/A 7862-2024 tillsynsbegäran.docx", "A 7862-2024")</f>
        <v/>
      </c>
      <c r="Y21">
        <f>HYPERLINK("https://klasma.github.io/Logging_1293/tillsynsmail/A 7862-2024 tillsynsbegäran mail.docx", "A 7862-2024")</f>
        <v/>
      </c>
    </row>
    <row r="22" ht="15" customHeight="1">
      <c r="A22" t="inlineStr">
        <is>
          <t>A 49572-2022</t>
        </is>
      </c>
      <c r="B22" s="1" t="n">
        <v>44862.335</v>
      </c>
      <c r="C22" s="1" t="n">
        <v>45994</v>
      </c>
      <c r="D22" t="inlineStr">
        <is>
          <t>SKÅNE LÄN</t>
        </is>
      </c>
      <c r="E22" t="inlineStr">
        <is>
          <t>HÄSSLEHOLM</t>
        </is>
      </c>
      <c r="G22" t="n">
        <v>1.4</v>
      </c>
      <c r="H22" t="n">
        <v>0</v>
      </c>
      <c r="I22" t="n">
        <v>1</v>
      </c>
      <c r="J22" t="n">
        <v>0</v>
      </c>
      <c r="K22" t="n">
        <v>0</v>
      </c>
      <c r="L22" t="n">
        <v>0</v>
      </c>
      <c r="M22" t="n">
        <v>0</v>
      </c>
      <c r="N22" t="n">
        <v>0</v>
      </c>
      <c r="O22" t="n">
        <v>0</v>
      </c>
      <c r="P22" t="n">
        <v>0</v>
      </c>
      <c r="Q22" t="n">
        <v>1</v>
      </c>
      <c r="R22" s="2" t="inlineStr">
        <is>
          <t>Blåmossa</t>
        </is>
      </c>
      <c r="S22">
        <f>HYPERLINK("https://klasma.github.io/Logging_1293/artfynd/A 49572-2022 artfynd.xlsx", "A 49572-2022")</f>
        <v/>
      </c>
      <c r="T22">
        <f>HYPERLINK("https://klasma.github.io/Logging_1293/kartor/A 49572-2022 karta.png", "A 49572-2022")</f>
        <v/>
      </c>
      <c r="V22">
        <f>HYPERLINK("https://klasma.github.io/Logging_1293/klagomål/A 49572-2022 FSC-klagomål.docx", "A 49572-2022")</f>
        <v/>
      </c>
      <c r="W22">
        <f>HYPERLINK("https://klasma.github.io/Logging_1293/klagomålsmail/A 49572-2022 FSC-klagomål mail.docx", "A 49572-2022")</f>
        <v/>
      </c>
      <c r="X22">
        <f>HYPERLINK("https://klasma.github.io/Logging_1293/tillsyn/A 49572-2022 tillsynsbegäran.docx", "A 49572-2022")</f>
        <v/>
      </c>
      <c r="Y22">
        <f>HYPERLINK("https://klasma.github.io/Logging_1293/tillsynsmail/A 49572-2022 tillsynsbegäran mail.docx", "A 49572-2022")</f>
        <v/>
      </c>
    </row>
    <row r="23" ht="15" customHeight="1">
      <c r="A23" t="inlineStr">
        <is>
          <t>A 8223-2025</t>
        </is>
      </c>
      <c r="B23" s="1" t="n">
        <v>45708.46127314815</v>
      </c>
      <c r="C23" s="1" t="n">
        <v>45994</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29272-2023</t>
        </is>
      </c>
      <c r="B24" s="1" t="n">
        <v>45105</v>
      </c>
      <c r="C24" s="1" t="n">
        <v>45994</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6634-2024</t>
        </is>
      </c>
      <c r="B25" s="1" t="n">
        <v>45341</v>
      </c>
      <c r="C25" s="1" t="n">
        <v>45994</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9289-2025</t>
        </is>
      </c>
      <c r="B26" s="1" t="n">
        <v>45714</v>
      </c>
      <c r="C26" s="1" t="n">
        <v>45994</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60925-2024</t>
        </is>
      </c>
      <c r="B27" s="1" t="n">
        <v>45645.3550462963</v>
      </c>
      <c r="C27" s="1" t="n">
        <v>45994</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14933-2023</t>
        </is>
      </c>
      <c r="B28" s="1" t="n">
        <v>45014</v>
      </c>
      <c r="C28" s="1" t="n">
        <v>45994</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16107-2025</t>
        </is>
      </c>
      <c r="B29" s="1" t="n">
        <v>45750.34537037037</v>
      </c>
      <c r="C29" s="1" t="n">
        <v>45994</v>
      </c>
      <c r="D29" t="inlineStr">
        <is>
          <t>SKÅNE LÄN</t>
        </is>
      </c>
      <c r="E29" t="inlineStr">
        <is>
          <t>HÄSSLEHOLM</t>
        </is>
      </c>
      <c r="G29" t="n">
        <v>1.4</v>
      </c>
      <c r="H29" t="n">
        <v>1</v>
      </c>
      <c r="I29" t="n">
        <v>0</v>
      </c>
      <c r="J29" t="n">
        <v>1</v>
      </c>
      <c r="K29" t="n">
        <v>0</v>
      </c>
      <c r="L29" t="n">
        <v>0</v>
      </c>
      <c r="M29" t="n">
        <v>0</v>
      </c>
      <c r="N29" t="n">
        <v>0</v>
      </c>
      <c r="O29" t="n">
        <v>1</v>
      </c>
      <c r="P29" t="n">
        <v>0</v>
      </c>
      <c r="Q29" t="n">
        <v>1</v>
      </c>
      <c r="R29" s="2" t="inlineStr">
        <is>
          <t>Spillkråka</t>
        </is>
      </c>
      <c r="S29">
        <f>HYPERLINK("https://klasma.github.io/Logging_1293/artfynd/A 16107-2025 artfynd.xlsx", "A 16107-2025")</f>
        <v/>
      </c>
      <c r="T29">
        <f>HYPERLINK("https://klasma.github.io/Logging_1293/kartor/A 16107-2025 karta.png", "A 16107-2025")</f>
        <v/>
      </c>
      <c r="V29">
        <f>HYPERLINK("https://klasma.github.io/Logging_1293/klagomål/A 16107-2025 FSC-klagomål.docx", "A 16107-2025")</f>
        <v/>
      </c>
      <c r="W29">
        <f>HYPERLINK("https://klasma.github.io/Logging_1293/klagomålsmail/A 16107-2025 FSC-klagomål mail.docx", "A 16107-2025")</f>
        <v/>
      </c>
      <c r="X29">
        <f>HYPERLINK("https://klasma.github.io/Logging_1293/tillsyn/A 16107-2025 tillsynsbegäran.docx", "A 16107-2025")</f>
        <v/>
      </c>
      <c r="Y29">
        <f>HYPERLINK("https://klasma.github.io/Logging_1293/tillsynsmail/A 16107-2025 tillsynsbegäran mail.docx", "A 16107-2025")</f>
        <v/>
      </c>
      <c r="Z29">
        <f>HYPERLINK("https://klasma.github.io/Logging_1293/fåglar/A 16107-2025 prioriterade fågelarter.docx", "A 16107-2025")</f>
        <v/>
      </c>
    </row>
    <row r="30" ht="15" customHeight="1">
      <c r="A30" t="inlineStr">
        <is>
          <t>A 20280-2025</t>
        </is>
      </c>
      <c r="B30" s="1" t="n">
        <v>45774.38790509259</v>
      </c>
      <c r="C30" s="1" t="n">
        <v>45994</v>
      </c>
      <c r="D30" t="inlineStr">
        <is>
          <t>SKÅNE LÄN</t>
        </is>
      </c>
      <c r="E30" t="inlineStr">
        <is>
          <t>HÄSSLEHOLM</t>
        </is>
      </c>
      <c r="G30" t="n">
        <v>3</v>
      </c>
      <c r="H30" t="n">
        <v>0</v>
      </c>
      <c r="I30" t="n">
        <v>0</v>
      </c>
      <c r="J30" t="n">
        <v>0</v>
      </c>
      <c r="K30" t="n">
        <v>1</v>
      </c>
      <c r="L30" t="n">
        <v>0</v>
      </c>
      <c r="M30" t="n">
        <v>0</v>
      </c>
      <c r="N30" t="n">
        <v>0</v>
      </c>
      <c r="O30" t="n">
        <v>1</v>
      </c>
      <c r="P30" t="n">
        <v>1</v>
      </c>
      <c r="Q30" t="n">
        <v>1</v>
      </c>
      <c r="R30" s="2" t="inlineStr">
        <is>
          <t>Revig blodrot</t>
        </is>
      </c>
      <c r="S30">
        <f>HYPERLINK("https://klasma.github.io/Logging_1293/artfynd/A 20280-2025 artfynd.xlsx", "A 20280-2025")</f>
        <v/>
      </c>
      <c r="T30">
        <f>HYPERLINK("https://klasma.github.io/Logging_1293/kartor/A 20280-2025 karta.png", "A 20280-2025")</f>
        <v/>
      </c>
      <c r="V30">
        <f>HYPERLINK("https://klasma.github.io/Logging_1293/klagomål/A 20280-2025 FSC-klagomål.docx", "A 20280-2025")</f>
        <v/>
      </c>
      <c r="W30">
        <f>HYPERLINK("https://klasma.github.io/Logging_1293/klagomålsmail/A 20280-2025 FSC-klagomål mail.docx", "A 20280-2025")</f>
        <v/>
      </c>
      <c r="X30">
        <f>HYPERLINK("https://klasma.github.io/Logging_1293/tillsyn/A 20280-2025 tillsynsbegäran.docx", "A 20280-2025")</f>
        <v/>
      </c>
      <c r="Y30">
        <f>HYPERLINK("https://klasma.github.io/Logging_1293/tillsynsmail/A 20280-2025 tillsynsbegäran mail.docx", "A 20280-2025")</f>
        <v/>
      </c>
    </row>
    <row r="31" ht="15" customHeight="1">
      <c r="A31" t="inlineStr">
        <is>
          <t>A 43874-2022</t>
        </is>
      </c>
      <c r="B31" s="1" t="n">
        <v>44838.44738425926</v>
      </c>
      <c r="C31" s="1" t="n">
        <v>45994</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40613-2025</t>
        </is>
      </c>
      <c r="B32" s="1" t="n">
        <v>45896</v>
      </c>
      <c r="C32" s="1" t="n">
        <v>45994</v>
      </c>
      <c r="D32" t="inlineStr">
        <is>
          <t>SKÅNE LÄN</t>
        </is>
      </c>
      <c r="E32" t="inlineStr">
        <is>
          <t>HÄSSLEHOLM</t>
        </is>
      </c>
      <c r="F32" t="inlineStr">
        <is>
          <t>Kyrkan</t>
        </is>
      </c>
      <c r="G32" t="n">
        <v>3.4</v>
      </c>
      <c r="H32" t="n">
        <v>1</v>
      </c>
      <c r="I32" t="n">
        <v>0</v>
      </c>
      <c r="J32" t="n">
        <v>0</v>
      </c>
      <c r="K32" t="n">
        <v>0</v>
      </c>
      <c r="L32" t="n">
        <v>0</v>
      </c>
      <c r="M32" t="n">
        <v>0</v>
      </c>
      <c r="N32" t="n">
        <v>0</v>
      </c>
      <c r="O32" t="n">
        <v>0</v>
      </c>
      <c r="P32" t="n">
        <v>0</v>
      </c>
      <c r="Q32" t="n">
        <v>1</v>
      </c>
      <c r="R32" s="2" t="inlineStr">
        <is>
          <t>Revlummer</t>
        </is>
      </c>
      <c r="S32">
        <f>HYPERLINK("https://klasma.github.io/Logging_1293/artfynd/A 40613-2025 artfynd.xlsx", "A 40613-2025")</f>
        <v/>
      </c>
      <c r="T32">
        <f>HYPERLINK("https://klasma.github.io/Logging_1293/kartor/A 40613-2025 karta.png", "A 40613-2025")</f>
        <v/>
      </c>
      <c r="V32">
        <f>HYPERLINK("https://klasma.github.io/Logging_1293/klagomål/A 40613-2025 FSC-klagomål.docx", "A 40613-2025")</f>
        <v/>
      </c>
      <c r="W32">
        <f>HYPERLINK("https://klasma.github.io/Logging_1293/klagomålsmail/A 40613-2025 FSC-klagomål mail.docx", "A 40613-2025")</f>
        <v/>
      </c>
      <c r="X32">
        <f>HYPERLINK("https://klasma.github.io/Logging_1293/tillsyn/A 40613-2025 tillsynsbegäran.docx", "A 40613-2025")</f>
        <v/>
      </c>
      <c r="Y32">
        <f>HYPERLINK("https://klasma.github.io/Logging_1293/tillsynsmail/A 40613-2025 tillsynsbegäran mail.docx", "A 40613-2025")</f>
        <v/>
      </c>
    </row>
    <row r="33" ht="15" customHeight="1">
      <c r="A33" t="inlineStr">
        <is>
          <t>A 46602-2023</t>
        </is>
      </c>
      <c r="B33" s="1" t="n">
        <v>45194</v>
      </c>
      <c r="C33" s="1" t="n">
        <v>45994</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54523-2024</t>
        </is>
      </c>
      <c r="B34" s="1" t="n">
        <v>45617</v>
      </c>
      <c r="C34" s="1" t="n">
        <v>45994</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45994</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36690-2025</t>
        </is>
      </c>
      <c r="B36" s="1" t="n">
        <v>45873.42915509259</v>
      </c>
      <c r="C36" s="1" t="n">
        <v>45994</v>
      </c>
      <c r="D36" t="inlineStr">
        <is>
          <t>SKÅNE LÄN</t>
        </is>
      </c>
      <c r="E36" t="inlineStr">
        <is>
          <t>HÄSSLEHOLM</t>
        </is>
      </c>
      <c r="G36" t="n">
        <v>3.6</v>
      </c>
      <c r="H36" t="n">
        <v>0</v>
      </c>
      <c r="I36" t="n">
        <v>0</v>
      </c>
      <c r="J36" t="n">
        <v>0</v>
      </c>
      <c r="K36" t="n">
        <v>0</v>
      </c>
      <c r="L36" t="n">
        <v>1</v>
      </c>
      <c r="M36" t="n">
        <v>0</v>
      </c>
      <c r="N36" t="n">
        <v>0</v>
      </c>
      <c r="O36" t="n">
        <v>1</v>
      </c>
      <c r="P36" t="n">
        <v>1</v>
      </c>
      <c r="Q36" t="n">
        <v>1</v>
      </c>
      <c r="R36" s="2" t="inlineStr">
        <is>
          <t>Ask</t>
        </is>
      </c>
      <c r="S36">
        <f>HYPERLINK("https://klasma.github.io/Logging_1293/artfynd/A 36690-2025 artfynd.xlsx", "A 36690-2025")</f>
        <v/>
      </c>
      <c r="T36">
        <f>HYPERLINK("https://klasma.github.io/Logging_1293/kartor/A 36690-2025 karta.png", "A 36690-2025")</f>
        <v/>
      </c>
      <c r="V36">
        <f>HYPERLINK("https://klasma.github.io/Logging_1293/klagomål/A 36690-2025 FSC-klagomål.docx", "A 36690-2025")</f>
        <v/>
      </c>
      <c r="W36">
        <f>HYPERLINK("https://klasma.github.io/Logging_1293/klagomålsmail/A 36690-2025 FSC-klagomål mail.docx", "A 36690-2025")</f>
        <v/>
      </c>
      <c r="X36">
        <f>HYPERLINK("https://klasma.github.io/Logging_1293/tillsyn/A 36690-2025 tillsynsbegäran.docx", "A 36690-2025")</f>
        <v/>
      </c>
      <c r="Y36">
        <f>HYPERLINK("https://klasma.github.io/Logging_1293/tillsynsmail/A 36690-2025 tillsynsbegäran mail.docx", "A 36690-2025")</f>
        <v/>
      </c>
    </row>
    <row r="37" ht="15" customHeight="1">
      <c r="A37" t="inlineStr">
        <is>
          <t>A 57533-2025</t>
        </is>
      </c>
      <c r="B37" s="1" t="n">
        <v>45980.63923611111</v>
      </c>
      <c r="C37" s="1" t="n">
        <v>45994</v>
      </c>
      <c r="D37" t="inlineStr">
        <is>
          <t>SKÅNE LÄN</t>
        </is>
      </c>
      <c r="E37" t="inlineStr">
        <is>
          <t>HÄSSLEHOLM</t>
        </is>
      </c>
      <c r="G37" t="n">
        <v>0.9</v>
      </c>
      <c r="H37" t="n">
        <v>0</v>
      </c>
      <c r="I37" t="n">
        <v>1</v>
      </c>
      <c r="J37" t="n">
        <v>0</v>
      </c>
      <c r="K37" t="n">
        <v>0</v>
      </c>
      <c r="L37" t="n">
        <v>0</v>
      </c>
      <c r="M37" t="n">
        <v>0</v>
      </c>
      <c r="N37" t="n">
        <v>0</v>
      </c>
      <c r="O37" t="n">
        <v>0</v>
      </c>
      <c r="P37" t="n">
        <v>0</v>
      </c>
      <c r="Q37" t="n">
        <v>1</v>
      </c>
      <c r="R37" s="2" t="inlineStr">
        <is>
          <t>Strutbräken</t>
        </is>
      </c>
      <c r="S37">
        <f>HYPERLINK("https://klasma.github.io/Logging_1293/artfynd/A 57533-2025 artfynd.xlsx", "A 57533-2025")</f>
        <v/>
      </c>
      <c r="T37">
        <f>HYPERLINK("https://klasma.github.io/Logging_1293/kartor/A 57533-2025 karta.png", "A 57533-2025")</f>
        <v/>
      </c>
      <c r="V37">
        <f>HYPERLINK("https://klasma.github.io/Logging_1293/klagomål/A 57533-2025 FSC-klagomål.docx", "A 57533-2025")</f>
        <v/>
      </c>
      <c r="W37">
        <f>HYPERLINK("https://klasma.github.io/Logging_1293/klagomålsmail/A 57533-2025 FSC-klagomål mail.docx", "A 57533-2025")</f>
        <v/>
      </c>
      <c r="X37">
        <f>HYPERLINK("https://klasma.github.io/Logging_1293/tillsyn/A 57533-2025 tillsynsbegäran.docx", "A 57533-2025")</f>
        <v/>
      </c>
      <c r="Y37">
        <f>HYPERLINK("https://klasma.github.io/Logging_1293/tillsynsmail/A 57533-2025 tillsynsbegäran mail.docx", "A 57533-2025")</f>
        <v/>
      </c>
    </row>
    <row r="38" ht="15" customHeight="1">
      <c r="A38" t="inlineStr">
        <is>
          <t>A 37457-2022</t>
        </is>
      </c>
      <c r="B38" s="1" t="n">
        <v>44809</v>
      </c>
      <c r="C38" s="1" t="n">
        <v>45994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45994</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45994</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45994</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45994</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45994</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45994</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45994</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45994</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44794-2021</t>
        </is>
      </c>
      <c r="B47" s="1" t="n">
        <v>44438</v>
      </c>
      <c r="C47" s="1" t="n">
        <v>45994</v>
      </c>
      <c r="D47" t="inlineStr">
        <is>
          <t>SKÅNE LÄN</t>
        </is>
      </c>
      <c r="E47" t="inlineStr">
        <is>
          <t>HÄSSLEHOLM</t>
        </is>
      </c>
      <c r="G47" t="n">
        <v>0.3</v>
      </c>
      <c r="H47" t="n">
        <v>0</v>
      </c>
      <c r="I47" t="n">
        <v>0</v>
      </c>
      <c r="J47" t="n">
        <v>0</v>
      </c>
      <c r="K47" t="n">
        <v>0</v>
      </c>
      <c r="L47" t="n">
        <v>0</v>
      </c>
      <c r="M47" t="n">
        <v>0</v>
      </c>
      <c r="N47" t="n">
        <v>0</v>
      </c>
      <c r="O47" t="n">
        <v>0</v>
      </c>
      <c r="P47" t="n">
        <v>0</v>
      </c>
      <c r="Q47" t="n">
        <v>0</v>
      </c>
      <c r="R47" s="2" t="inlineStr"/>
    </row>
    <row r="48" ht="15" customHeight="1">
      <c r="A48" t="inlineStr">
        <is>
          <t>A 55154-2022</t>
        </is>
      </c>
      <c r="B48" s="1" t="n">
        <v>44886.68302083333</v>
      </c>
      <c r="C48" s="1" t="n">
        <v>45994</v>
      </c>
      <c r="D48" t="inlineStr">
        <is>
          <t>SKÅNE LÄN</t>
        </is>
      </c>
      <c r="E48" t="inlineStr">
        <is>
          <t>HÄSSLEHOLM</t>
        </is>
      </c>
      <c r="G48" t="n">
        <v>1.4</v>
      </c>
      <c r="H48" t="n">
        <v>0</v>
      </c>
      <c r="I48" t="n">
        <v>0</v>
      </c>
      <c r="J48" t="n">
        <v>0</v>
      </c>
      <c r="K48" t="n">
        <v>0</v>
      </c>
      <c r="L48" t="n">
        <v>0</v>
      </c>
      <c r="M48" t="n">
        <v>0</v>
      </c>
      <c r="N48" t="n">
        <v>0</v>
      </c>
      <c r="O48" t="n">
        <v>0</v>
      </c>
      <c r="P48" t="n">
        <v>0</v>
      </c>
      <c r="Q48" t="n">
        <v>0</v>
      </c>
      <c r="R48" s="2" t="inlineStr"/>
    </row>
    <row r="49" ht="15" customHeight="1">
      <c r="A49" t="inlineStr">
        <is>
          <t>A 55155-2022</t>
        </is>
      </c>
      <c r="B49" s="1" t="n">
        <v>44886.68671296296</v>
      </c>
      <c r="C49" s="1" t="n">
        <v>45994</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35099-2022</t>
        </is>
      </c>
      <c r="B50" s="1" t="n">
        <v>44797</v>
      </c>
      <c r="C50" s="1" t="n">
        <v>45994</v>
      </c>
      <c r="D50" t="inlineStr">
        <is>
          <t>SKÅNE LÄN</t>
        </is>
      </c>
      <c r="E50" t="inlineStr">
        <is>
          <t>HÄSSLEHOLM</t>
        </is>
      </c>
      <c r="G50" t="n">
        <v>4.1</v>
      </c>
      <c r="H50" t="n">
        <v>0</v>
      </c>
      <c r="I50" t="n">
        <v>0</v>
      </c>
      <c r="J50" t="n">
        <v>0</v>
      </c>
      <c r="K50" t="n">
        <v>0</v>
      </c>
      <c r="L50" t="n">
        <v>0</v>
      </c>
      <c r="M50" t="n">
        <v>0</v>
      </c>
      <c r="N50" t="n">
        <v>0</v>
      </c>
      <c r="O50" t="n">
        <v>0</v>
      </c>
      <c r="P50" t="n">
        <v>0</v>
      </c>
      <c r="Q50" t="n">
        <v>0</v>
      </c>
      <c r="R50" s="2" t="inlineStr"/>
    </row>
    <row r="51" ht="15" customHeight="1">
      <c r="A51" t="inlineStr">
        <is>
          <t>A 27452-2022</t>
        </is>
      </c>
      <c r="B51" s="1" t="n">
        <v>44742</v>
      </c>
      <c r="C51" s="1" t="n">
        <v>45994</v>
      </c>
      <c r="D51" t="inlineStr">
        <is>
          <t>SKÅNE LÄN</t>
        </is>
      </c>
      <c r="E51" t="inlineStr">
        <is>
          <t>HÄSSLEHOLM</t>
        </is>
      </c>
      <c r="G51" t="n">
        <v>4.2</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45994</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964-2021</t>
        </is>
      </c>
      <c r="B53" s="1" t="n">
        <v>44207</v>
      </c>
      <c r="C53" s="1" t="n">
        <v>45994</v>
      </c>
      <c r="D53" t="inlineStr">
        <is>
          <t>SKÅNE LÄN</t>
        </is>
      </c>
      <c r="E53" t="inlineStr">
        <is>
          <t>HÄSSLEHOLM</t>
        </is>
      </c>
      <c r="G53" t="n">
        <v>1</v>
      </c>
      <c r="H53" t="n">
        <v>0</v>
      </c>
      <c r="I53" t="n">
        <v>0</v>
      </c>
      <c r="J53" t="n">
        <v>0</v>
      </c>
      <c r="K53" t="n">
        <v>0</v>
      </c>
      <c r="L53" t="n">
        <v>0</v>
      </c>
      <c r="M53" t="n">
        <v>0</v>
      </c>
      <c r="N53" t="n">
        <v>0</v>
      </c>
      <c r="O53" t="n">
        <v>0</v>
      </c>
      <c r="P53" t="n">
        <v>0</v>
      </c>
      <c r="Q53" t="n">
        <v>0</v>
      </c>
      <c r="R53" s="2" t="inlineStr"/>
    </row>
    <row r="54" ht="15" customHeight="1">
      <c r="A54" t="inlineStr">
        <is>
          <t>A 61510-2021</t>
        </is>
      </c>
      <c r="B54" s="1" t="n">
        <v>44501</v>
      </c>
      <c r="C54" s="1" t="n">
        <v>45994</v>
      </c>
      <c r="D54" t="inlineStr">
        <is>
          <t>SKÅNE LÄN</t>
        </is>
      </c>
      <c r="E54" t="inlineStr">
        <is>
          <t>HÄSSLEHOLM</t>
        </is>
      </c>
      <c r="G54" t="n">
        <v>6.1</v>
      </c>
      <c r="H54" t="n">
        <v>0</v>
      </c>
      <c r="I54" t="n">
        <v>0</v>
      </c>
      <c r="J54" t="n">
        <v>0</v>
      </c>
      <c r="K54" t="n">
        <v>0</v>
      </c>
      <c r="L54" t="n">
        <v>0</v>
      </c>
      <c r="M54" t="n">
        <v>0</v>
      </c>
      <c r="N54" t="n">
        <v>0</v>
      </c>
      <c r="O54" t="n">
        <v>0</v>
      </c>
      <c r="P54" t="n">
        <v>0</v>
      </c>
      <c r="Q54" t="n">
        <v>0</v>
      </c>
      <c r="R54" s="2" t="inlineStr"/>
    </row>
    <row r="55" ht="15" customHeight="1">
      <c r="A55" t="inlineStr">
        <is>
          <t>A 23841-2021</t>
        </is>
      </c>
      <c r="B55" s="1" t="n">
        <v>44335</v>
      </c>
      <c r="C55" s="1" t="n">
        <v>45994</v>
      </c>
      <c r="D55" t="inlineStr">
        <is>
          <t>SKÅNE LÄN</t>
        </is>
      </c>
      <c r="E55" t="inlineStr">
        <is>
          <t>HÄSSLEHOLM</t>
        </is>
      </c>
      <c r="G55" t="n">
        <v>16.9</v>
      </c>
      <c r="H55" t="n">
        <v>0</v>
      </c>
      <c r="I55" t="n">
        <v>0</v>
      </c>
      <c r="J55" t="n">
        <v>0</v>
      </c>
      <c r="K55" t="n">
        <v>0</v>
      </c>
      <c r="L55" t="n">
        <v>0</v>
      </c>
      <c r="M55" t="n">
        <v>0</v>
      </c>
      <c r="N55" t="n">
        <v>0</v>
      </c>
      <c r="O55" t="n">
        <v>0</v>
      </c>
      <c r="P55" t="n">
        <v>0</v>
      </c>
      <c r="Q55" t="n">
        <v>0</v>
      </c>
      <c r="R55" s="2" t="inlineStr"/>
    </row>
    <row r="56" ht="15" customHeight="1">
      <c r="A56" t="inlineStr">
        <is>
          <t>A 1445-2021</t>
        </is>
      </c>
      <c r="B56" s="1" t="n">
        <v>44208</v>
      </c>
      <c r="C56" s="1" t="n">
        <v>45994</v>
      </c>
      <c r="D56" t="inlineStr">
        <is>
          <t>SKÅNE LÄN</t>
        </is>
      </c>
      <c r="E56" t="inlineStr">
        <is>
          <t>HÄSSLEHOLM</t>
        </is>
      </c>
      <c r="G56" t="n">
        <v>4.6</v>
      </c>
      <c r="H56" t="n">
        <v>0</v>
      </c>
      <c r="I56" t="n">
        <v>0</v>
      </c>
      <c r="J56" t="n">
        <v>0</v>
      </c>
      <c r="K56" t="n">
        <v>0</v>
      </c>
      <c r="L56" t="n">
        <v>0</v>
      </c>
      <c r="M56" t="n">
        <v>0</v>
      </c>
      <c r="N56" t="n">
        <v>0</v>
      </c>
      <c r="O56" t="n">
        <v>0</v>
      </c>
      <c r="P56" t="n">
        <v>0</v>
      </c>
      <c r="Q56" t="n">
        <v>0</v>
      </c>
      <c r="R56" s="2" t="inlineStr"/>
    </row>
    <row r="57" ht="15" customHeight="1">
      <c r="A57" t="inlineStr">
        <is>
          <t>A 36280-2021</t>
        </is>
      </c>
      <c r="B57" s="1" t="n">
        <v>44389</v>
      </c>
      <c r="C57" s="1" t="n">
        <v>45994</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74476-2021</t>
        </is>
      </c>
      <c r="B58" s="1" t="n">
        <v>44560.55796296296</v>
      </c>
      <c r="C58" s="1" t="n">
        <v>45994</v>
      </c>
      <c r="D58" t="inlineStr">
        <is>
          <t>SKÅNE LÄN</t>
        </is>
      </c>
      <c r="E58" t="inlineStr">
        <is>
          <t>HÄSSLEHOLM</t>
        </is>
      </c>
      <c r="G58" t="n">
        <v>0.4</v>
      </c>
      <c r="H58" t="n">
        <v>0</v>
      </c>
      <c r="I58" t="n">
        <v>0</v>
      </c>
      <c r="J58" t="n">
        <v>0</v>
      </c>
      <c r="K58" t="n">
        <v>0</v>
      </c>
      <c r="L58" t="n">
        <v>0</v>
      </c>
      <c r="M58" t="n">
        <v>0</v>
      </c>
      <c r="N58" t="n">
        <v>0</v>
      </c>
      <c r="O58" t="n">
        <v>0</v>
      </c>
      <c r="P58" t="n">
        <v>0</v>
      </c>
      <c r="Q58" t="n">
        <v>0</v>
      </c>
      <c r="R58" s="2" t="inlineStr"/>
    </row>
    <row r="59" ht="15" customHeight="1">
      <c r="A59" t="inlineStr">
        <is>
          <t>A 220-2022</t>
        </is>
      </c>
      <c r="B59" s="1" t="n">
        <v>44564</v>
      </c>
      <c r="C59" s="1" t="n">
        <v>45994</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45994</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45994</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45994</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45994</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45994</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45994</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45994</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7249-2022</t>
        </is>
      </c>
      <c r="B67" s="1" t="n">
        <v>44606</v>
      </c>
      <c r="C67" s="1" t="n">
        <v>45994</v>
      </c>
      <c r="D67" t="inlineStr">
        <is>
          <t>SKÅNE LÄN</t>
        </is>
      </c>
      <c r="E67" t="inlineStr">
        <is>
          <t>HÄSSLEHOLM</t>
        </is>
      </c>
      <c r="F67" t="inlineStr">
        <is>
          <t>Övriga Aktiebolag</t>
        </is>
      </c>
      <c r="G67" t="n">
        <v>0.6</v>
      </c>
      <c r="H67" t="n">
        <v>0</v>
      </c>
      <c r="I67" t="n">
        <v>0</v>
      </c>
      <c r="J67" t="n">
        <v>0</v>
      </c>
      <c r="K67" t="n">
        <v>0</v>
      </c>
      <c r="L67" t="n">
        <v>0</v>
      </c>
      <c r="M67" t="n">
        <v>0</v>
      </c>
      <c r="N67" t="n">
        <v>0</v>
      </c>
      <c r="O67" t="n">
        <v>0</v>
      </c>
      <c r="P67" t="n">
        <v>0</v>
      </c>
      <c r="Q67" t="n">
        <v>0</v>
      </c>
      <c r="R67" s="2" t="inlineStr"/>
    </row>
    <row r="68" ht="15" customHeight="1">
      <c r="A68" t="inlineStr">
        <is>
          <t>A 14402-2022</t>
        </is>
      </c>
      <c r="B68" s="1" t="n">
        <v>44652</v>
      </c>
      <c r="C68" s="1" t="n">
        <v>45994</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45994</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45994</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45994</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32967-2021</t>
        </is>
      </c>
      <c r="B72" s="1" t="n">
        <v>44376.39391203703</v>
      </c>
      <c r="C72" s="1" t="n">
        <v>45994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45994</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45994</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45994</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45994</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45994</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45994</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45994</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23045-2021</t>
        </is>
      </c>
      <c r="B80" s="1" t="n">
        <v>44329</v>
      </c>
      <c r="C80" s="1" t="n">
        <v>45994</v>
      </c>
      <c r="D80" t="inlineStr">
        <is>
          <t>SKÅNE LÄN</t>
        </is>
      </c>
      <c r="E80" t="inlineStr">
        <is>
          <t>HÄSSLEHOLM</t>
        </is>
      </c>
      <c r="G80" t="n">
        <v>1.9</v>
      </c>
      <c r="H80" t="n">
        <v>0</v>
      </c>
      <c r="I80" t="n">
        <v>0</v>
      </c>
      <c r="J80" t="n">
        <v>0</v>
      </c>
      <c r="K80" t="n">
        <v>0</v>
      </c>
      <c r="L80" t="n">
        <v>0</v>
      </c>
      <c r="M80" t="n">
        <v>0</v>
      </c>
      <c r="N80" t="n">
        <v>0</v>
      </c>
      <c r="O80" t="n">
        <v>0</v>
      </c>
      <c r="P80" t="n">
        <v>0</v>
      </c>
      <c r="Q80" t="n">
        <v>0</v>
      </c>
      <c r="R80" s="2" t="inlineStr"/>
    </row>
    <row r="81" ht="15" customHeight="1">
      <c r="A81" t="inlineStr">
        <is>
          <t>A 8204-2022</t>
        </is>
      </c>
      <c r="B81" s="1" t="n">
        <v>44609.73251157408</v>
      </c>
      <c r="C81" s="1" t="n">
        <v>45994</v>
      </c>
      <c r="D81" t="inlineStr">
        <is>
          <t>SKÅNE LÄN</t>
        </is>
      </c>
      <c r="E81" t="inlineStr">
        <is>
          <t>HÄSSLEHOLM</t>
        </is>
      </c>
      <c r="G81" t="n">
        <v>0.9</v>
      </c>
      <c r="H81" t="n">
        <v>0</v>
      </c>
      <c r="I81" t="n">
        <v>0</v>
      </c>
      <c r="J81" t="n">
        <v>0</v>
      </c>
      <c r="K81" t="n">
        <v>0</v>
      </c>
      <c r="L81" t="n">
        <v>0</v>
      </c>
      <c r="M81" t="n">
        <v>0</v>
      </c>
      <c r="N81" t="n">
        <v>0</v>
      </c>
      <c r="O81" t="n">
        <v>0</v>
      </c>
      <c r="P81" t="n">
        <v>0</v>
      </c>
      <c r="Q81" t="n">
        <v>0</v>
      </c>
      <c r="R81" s="2" t="inlineStr"/>
    </row>
    <row r="82" ht="15" customHeight="1">
      <c r="A82" t="inlineStr">
        <is>
          <t>A 48553-2021</t>
        </is>
      </c>
      <c r="B82" s="1" t="n">
        <v>44452.45701388889</v>
      </c>
      <c r="C82" s="1" t="n">
        <v>45994</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3855-2022</t>
        </is>
      </c>
      <c r="B83" s="1" t="n">
        <v>44587</v>
      </c>
      <c r="C83" s="1" t="n">
        <v>45994</v>
      </c>
      <c r="D83" t="inlineStr">
        <is>
          <t>SKÅNE LÄN</t>
        </is>
      </c>
      <c r="E83" t="inlineStr">
        <is>
          <t>HÄSSLEHOLM</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54106-2022</t>
        </is>
      </c>
      <c r="B84" s="1" t="n">
        <v>44879</v>
      </c>
      <c r="C84" s="1" t="n">
        <v>45994</v>
      </c>
      <c r="D84" t="inlineStr">
        <is>
          <t>SKÅNE LÄN</t>
        </is>
      </c>
      <c r="E84" t="inlineStr">
        <is>
          <t>HÄSSLEHOLM</t>
        </is>
      </c>
      <c r="F84" t="inlineStr">
        <is>
          <t>Övriga Aktiebolag</t>
        </is>
      </c>
      <c r="G84" t="n">
        <v>0.7</v>
      </c>
      <c r="H84" t="n">
        <v>0</v>
      </c>
      <c r="I84" t="n">
        <v>0</v>
      </c>
      <c r="J84" t="n">
        <v>0</v>
      </c>
      <c r="K84" t="n">
        <v>0</v>
      </c>
      <c r="L84" t="n">
        <v>0</v>
      </c>
      <c r="M84" t="n">
        <v>0</v>
      </c>
      <c r="N84" t="n">
        <v>0</v>
      </c>
      <c r="O84" t="n">
        <v>0</v>
      </c>
      <c r="P84" t="n">
        <v>0</v>
      </c>
      <c r="Q84" t="n">
        <v>0</v>
      </c>
      <c r="R84" s="2" t="inlineStr"/>
    </row>
    <row r="85" ht="15" customHeight="1">
      <c r="A85" t="inlineStr">
        <is>
          <t>A 55364-2022</t>
        </is>
      </c>
      <c r="B85" s="1" t="n">
        <v>44887.50657407408</v>
      </c>
      <c r="C85" s="1" t="n">
        <v>45994</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50618-2021</t>
        </is>
      </c>
      <c r="B86" s="1" t="n">
        <v>44459</v>
      </c>
      <c r="C86" s="1" t="n">
        <v>45994</v>
      </c>
      <c r="D86" t="inlineStr">
        <is>
          <t>SKÅNE LÄN</t>
        </is>
      </c>
      <c r="E86" t="inlineStr">
        <is>
          <t>HÄSSLEHOLM</t>
        </is>
      </c>
      <c r="F86" t="inlineStr">
        <is>
          <t>Kyrkan</t>
        </is>
      </c>
      <c r="G86" t="n">
        <v>15.1</v>
      </c>
      <c r="H86" t="n">
        <v>0</v>
      </c>
      <c r="I86" t="n">
        <v>0</v>
      </c>
      <c r="J86" t="n">
        <v>0</v>
      </c>
      <c r="K86" t="n">
        <v>0</v>
      </c>
      <c r="L86" t="n">
        <v>0</v>
      </c>
      <c r="M86" t="n">
        <v>0</v>
      </c>
      <c r="N86" t="n">
        <v>0</v>
      </c>
      <c r="O86" t="n">
        <v>0</v>
      </c>
      <c r="P86" t="n">
        <v>0</v>
      </c>
      <c r="Q86" t="n">
        <v>0</v>
      </c>
      <c r="R86" s="2" t="inlineStr"/>
    </row>
    <row r="87" ht="15" customHeight="1">
      <c r="A87" t="inlineStr">
        <is>
          <t>A 69419-2021</t>
        </is>
      </c>
      <c r="B87" s="1" t="n">
        <v>44531</v>
      </c>
      <c r="C87" s="1" t="n">
        <v>45994</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26387-2022</t>
        </is>
      </c>
      <c r="B88" s="1" t="n">
        <v>44735.68328703703</v>
      </c>
      <c r="C88" s="1" t="n">
        <v>45994</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25379-2021</t>
        </is>
      </c>
      <c r="B89" s="1" t="n">
        <v>44342</v>
      </c>
      <c r="C89" s="1" t="n">
        <v>45994</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40764-2022</t>
        </is>
      </c>
      <c r="B90" s="1" t="n">
        <v>44820</v>
      </c>
      <c r="C90" s="1" t="n">
        <v>45994</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30992-2021</t>
        </is>
      </c>
      <c r="B91" s="1" t="n">
        <v>44366.36262731482</v>
      </c>
      <c r="C91" s="1" t="n">
        <v>45994</v>
      </c>
      <c r="D91" t="inlineStr">
        <is>
          <t>SKÅNE LÄN</t>
        </is>
      </c>
      <c r="E91" t="inlineStr">
        <is>
          <t>HÄSSLEHOLM</t>
        </is>
      </c>
      <c r="G91" t="n">
        <v>3.1</v>
      </c>
      <c r="H91" t="n">
        <v>0</v>
      </c>
      <c r="I91" t="n">
        <v>0</v>
      </c>
      <c r="J91" t="n">
        <v>0</v>
      </c>
      <c r="K91" t="n">
        <v>0</v>
      </c>
      <c r="L91" t="n">
        <v>0</v>
      </c>
      <c r="M91" t="n">
        <v>0</v>
      </c>
      <c r="N91" t="n">
        <v>0</v>
      </c>
      <c r="O91" t="n">
        <v>0</v>
      </c>
      <c r="P91" t="n">
        <v>0</v>
      </c>
      <c r="Q91" t="n">
        <v>0</v>
      </c>
      <c r="R91" s="2" t="inlineStr"/>
    </row>
    <row r="92" ht="15" customHeight="1">
      <c r="A92" t="inlineStr">
        <is>
          <t>A 38160-2021</t>
        </is>
      </c>
      <c r="B92" s="1" t="n">
        <v>44405.42719907407</v>
      </c>
      <c r="C92" s="1" t="n">
        <v>45994</v>
      </c>
      <c r="D92" t="inlineStr">
        <is>
          <t>SKÅNE LÄN</t>
        </is>
      </c>
      <c r="E92" t="inlineStr">
        <is>
          <t>HÄSSLEHOLM</t>
        </is>
      </c>
      <c r="G92" t="n">
        <v>2.2</v>
      </c>
      <c r="H92" t="n">
        <v>0</v>
      </c>
      <c r="I92" t="n">
        <v>0</v>
      </c>
      <c r="J92" t="n">
        <v>0</v>
      </c>
      <c r="K92" t="n">
        <v>0</v>
      </c>
      <c r="L92" t="n">
        <v>0</v>
      </c>
      <c r="M92" t="n">
        <v>0</v>
      </c>
      <c r="N92" t="n">
        <v>0</v>
      </c>
      <c r="O92" t="n">
        <v>0</v>
      </c>
      <c r="P92" t="n">
        <v>0</v>
      </c>
      <c r="Q92" t="n">
        <v>0</v>
      </c>
      <c r="R92" s="2" t="inlineStr"/>
    </row>
    <row r="93" ht="15" customHeight="1">
      <c r="A93" t="inlineStr">
        <is>
          <t>A 64361-2020</t>
        </is>
      </c>
      <c r="B93" s="1" t="n">
        <v>44168</v>
      </c>
      <c r="C93" s="1" t="n">
        <v>45994</v>
      </c>
      <c r="D93" t="inlineStr">
        <is>
          <t>SKÅNE LÄN</t>
        </is>
      </c>
      <c r="E93" t="inlineStr">
        <is>
          <t>HÄSSLEHOLM</t>
        </is>
      </c>
      <c r="G93" t="n">
        <v>5.4</v>
      </c>
      <c r="H93" t="n">
        <v>0</v>
      </c>
      <c r="I93" t="n">
        <v>0</v>
      </c>
      <c r="J93" t="n">
        <v>0</v>
      </c>
      <c r="K93" t="n">
        <v>0</v>
      </c>
      <c r="L93" t="n">
        <v>0</v>
      </c>
      <c r="M93" t="n">
        <v>0</v>
      </c>
      <c r="N93" t="n">
        <v>0</v>
      </c>
      <c r="O93" t="n">
        <v>0</v>
      </c>
      <c r="P93" t="n">
        <v>0</v>
      </c>
      <c r="Q93" t="n">
        <v>0</v>
      </c>
      <c r="R93" s="2" t="inlineStr"/>
    </row>
    <row r="94" ht="15" customHeight="1">
      <c r="A94" t="inlineStr">
        <is>
          <t>A 44755-2021</t>
        </is>
      </c>
      <c r="B94" s="1" t="n">
        <v>44438</v>
      </c>
      <c r="C94" s="1" t="n">
        <v>45994</v>
      </c>
      <c r="D94" t="inlineStr">
        <is>
          <t>SKÅNE LÄN</t>
        </is>
      </c>
      <c r="E94" t="inlineStr">
        <is>
          <t>HÄSSLEHOLM</t>
        </is>
      </c>
      <c r="G94" t="n">
        <v>0.3</v>
      </c>
      <c r="H94" t="n">
        <v>0</v>
      </c>
      <c r="I94" t="n">
        <v>0</v>
      </c>
      <c r="J94" t="n">
        <v>0</v>
      </c>
      <c r="K94" t="n">
        <v>0</v>
      </c>
      <c r="L94" t="n">
        <v>0</v>
      </c>
      <c r="M94" t="n">
        <v>0</v>
      </c>
      <c r="N94" t="n">
        <v>0</v>
      </c>
      <c r="O94" t="n">
        <v>0</v>
      </c>
      <c r="P94" t="n">
        <v>0</v>
      </c>
      <c r="Q94" t="n">
        <v>0</v>
      </c>
      <c r="R94" s="2" t="inlineStr"/>
    </row>
    <row r="95" ht="15" customHeight="1">
      <c r="A95" t="inlineStr">
        <is>
          <t>A 44770-2021</t>
        </is>
      </c>
      <c r="B95" s="1" t="n">
        <v>44438</v>
      </c>
      <c r="C95" s="1" t="n">
        <v>45994</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2765-2022</t>
        </is>
      </c>
      <c r="B96" s="1" t="n">
        <v>44580</v>
      </c>
      <c r="C96" s="1" t="n">
        <v>45994</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37181-2022</t>
        </is>
      </c>
      <c r="B97" s="1" t="n">
        <v>44806</v>
      </c>
      <c r="C97" s="1" t="n">
        <v>45994</v>
      </c>
      <c r="D97" t="inlineStr">
        <is>
          <t>SKÅNE LÄN</t>
        </is>
      </c>
      <c r="E97" t="inlineStr">
        <is>
          <t>HÄSSLEHOLM</t>
        </is>
      </c>
      <c r="F97" t="inlineStr">
        <is>
          <t>Kyrkan</t>
        </is>
      </c>
      <c r="G97" t="n">
        <v>3.5</v>
      </c>
      <c r="H97" t="n">
        <v>0</v>
      </c>
      <c r="I97" t="n">
        <v>0</v>
      </c>
      <c r="J97" t="n">
        <v>0</v>
      </c>
      <c r="K97" t="n">
        <v>0</v>
      </c>
      <c r="L97" t="n">
        <v>0</v>
      </c>
      <c r="M97" t="n">
        <v>0</v>
      </c>
      <c r="N97" t="n">
        <v>0</v>
      </c>
      <c r="O97" t="n">
        <v>0</v>
      </c>
      <c r="P97" t="n">
        <v>0</v>
      </c>
      <c r="Q97" t="n">
        <v>0</v>
      </c>
      <c r="R97" s="2" t="inlineStr"/>
    </row>
    <row r="98" ht="15" customHeight="1">
      <c r="A98" t="inlineStr">
        <is>
          <t>A 30879-2021</t>
        </is>
      </c>
      <c r="B98" s="1" t="n">
        <v>44365</v>
      </c>
      <c r="C98" s="1" t="n">
        <v>45994</v>
      </c>
      <c r="D98" t="inlineStr">
        <is>
          <t>SKÅNE LÄN</t>
        </is>
      </c>
      <c r="E98" t="inlineStr">
        <is>
          <t>HÄSSLEHOLM</t>
        </is>
      </c>
      <c r="G98" t="n">
        <v>1</v>
      </c>
      <c r="H98" t="n">
        <v>0</v>
      </c>
      <c r="I98" t="n">
        <v>0</v>
      </c>
      <c r="J98" t="n">
        <v>0</v>
      </c>
      <c r="K98" t="n">
        <v>0</v>
      </c>
      <c r="L98" t="n">
        <v>0</v>
      </c>
      <c r="M98" t="n">
        <v>0</v>
      </c>
      <c r="N98" t="n">
        <v>0</v>
      </c>
      <c r="O98" t="n">
        <v>0</v>
      </c>
      <c r="P98" t="n">
        <v>0</v>
      </c>
      <c r="Q98" t="n">
        <v>0</v>
      </c>
      <c r="R98" s="2" t="inlineStr"/>
    </row>
    <row r="99" ht="15" customHeight="1">
      <c r="A99" t="inlineStr">
        <is>
          <t>A 61073-2021</t>
        </is>
      </c>
      <c r="B99" s="1" t="n">
        <v>44497.83447916667</v>
      </c>
      <c r="C99" s="1" t="n">
        <v>45994</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7857-2022</t>
        </is>
      </c>
      <c r="B100" s="1" t="n">
        <v>44607</v>
      </c>
      <c r="C100" s="1" t="n">
        <v>45994</v>
      </c>
      <c r="D100" t="inlineStr">
        <is>
          <t>SKÅNE LÄN</t>
        </is>
      </c>
      <c r="E100" t="inlineStr">
        <is>
          <t>HÄSSLEHOLM</t>
        </is>
      </c>
      <c r="F100" t="inlineStr">
        <is>
          <t>Kyrkan</t>
        </is>
      </c>
      <c r="G100" t="n">
        <v>12.2</v>
      </c>
      <c r="H100" t="n">
        <v>0</v>
      </c>
      <c r="I100" t="n">
        <v>0</v>
      </c>
      <c r="J100" t="n">
        <v>0</v>
      </c>
      <c r="K100" t="n">
        <v>0</v>
      </c>
      <c r="L100" t="n">
        <v>0</v>
      </c>
      <c r="M100" t="n">
        <v>0</v>
      </c>
      <c r="N100" t="n">
        <v>0</v>
      </c>
      <c r="O100" t="n">
        <v>0</v>
      </c>
      <c r="P100" t="n">
        <v>0</v>
      </c>
      <c r="Q100" t="n">
        <v>0</v>
      </c>
      <c r="R100" s="2" t="inlineStr"/>
    </row>
    <row r="101" ht="15" customHeight="1">
      <c r="A101" t="inlineStr">
        <is>
          <t>A 61072-2021</t>
        </is>
      </c>
      <c r="B101" s="1" t="n">
        <v>44497.83344907407</v>
      </c>
      <c r="C101" s="1" t="n">
        <v>45994</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34982-2022</t>
        </is>
      </c>
      <c r="B102" s="1" t="n">
        <v>44796.69055555556</v>
      </c>
      <c r="C102" s="1" t="n">
        <v>45994</v>
      </c>
      <c r="D102" t="inlineStr">
        <is>
          <t>SKÅNE LÄN</t>
        </is>
      </c>
      <c r="E102" t="inlineStr">
        <is>
          <t>HÄSSLEHOLM</t>
        </is>
      </c>
      <c r="F102" t="inlineStr">
        <is>
          <t>Kyrkan</t>
        </is>
      </c>
      <c r="G102" t="n">
        <v>3.4</v>
      </c>
      <c r="H102" t="n">
        <v>0</v>
      </c>
      <c r="I102" t="n">
        <v>0</v>
      </c>
      <c r="J102" t="n">
        <v>0</v>
      </c>
      <c r="K102" t="n">
        <v>0</v>
      </c>
      <c r="L102" t="n">
        <v>0</v>
      </c>
      <c r="M102" t="n">
        <v>0</v>
      </c>
      <c r="N102" t="n">
        <v>0</v>
      </c>
      <c r="O102" t="n">
        <v>0</v>
      </c>
      <c r="P102" t="n">
        <v>0</v>
      </c>
      <c r="Q102" t="n">
        <v>0</v>
      </c>
      <c r="R102" s="2" t="inlineStr"/>
    </row>
    <row r="103" ht="15" customHeight="1">
      <c r="A103" t="inlineStr">
        <is>
          <t>A 55425-2022</t>
        </is>
      </c>
      <c r="B103" s="1" t="n">
        <v>44887.60577546297</v>
      </c>
      <c r="C103" s="1" t="n">
        <v>45994</v>
      </c>
      <c r="D103" t="inlineStr">
        <is>
          <t>SKÅNE LÄN</t>
        </is>
      </c>
      <c r="E103" t="inlineStr">
        <is>
          <t>HÄSSLEHOLM</t>
        </is>
      </c>
      <c r="G103" t="n">
        <v>0.5</v>
      </c>
      <c r="H103" t="n">
        <v>0</v>
      </c>
      <c r="I103" t="n">
        <v>0</v>
      </c>
      <c r="J103" t="n">
        <v>0</v>
      </c>
      <c r="K103" t="n">
        <v>0</v>
      </c>
      <c r="L103" t="n">
        <v>0</v>
      </c>
      <c r="M103" t="n">
        <v>0</v>
      </c>
      <c r="N103" t="n">
        <v>0</v>
      </c>
      <c r="O103" t="n">
        <v>0</v>
      </c>
      <c r="P103" t="n">
        <v>0</v>
      </c>
      <c r="Q103" t="n">
        <v>0</v>
      </c>
      <c r="R103" s="2" t="inlineStr"/>
    </row>
    <row r="104" ht="15" customHeight="1">
      <c r="A104" t="inlineStr">
        <is>
          <t>A 69103-2020</t>
        </is>
      </c>
      <c r="B104" s="1" t="n">
        <v>44188</v>
      </c>
      <c r="C104" s="1" t="n">
        <v>45994</v>
      </c>
      <c r="D104" t="inlineStr">
        <is>
          <t>SKÅNE LÄN</t>
        </is>
      </c>
      <c r="E104" t="inlineStr">
        <is>
          <t>HÄSSLEHOLM</t>
        </is>
      </c>
      <c r="G104" t="n">
        <v>0.6</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45994</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3447-2021</t>
        </is>
      </c>
      <c r="B106" s="1" t="n">
        <v>44218</v>
      </c>
      <c r="C106" s="1" t="n">
        <v>45994</v>
      </c>
      <c r="D106" t="inlineStr">
        <is>
          <t>SKÅNE LÄN</t>
        </is>
      </c>
      <c r="E106" t="inlineStr">
        <is>
          <t>HÄSSLEHOLM</t>
        </is>
      </c>
      <c r="G106" t="n">
        <v>3.9</v>
      </c>
      <c r="H106" t="n">
        <v>0</v>
      </c>
      <c r="I106" t="n">
        <v>0</v>
      </c>
      <c r="J106" t="n">
        <v>0</v>
      </c>
      <c r="K106" t="n">
        <v>0</v>
      </c>
      <c r="L106" t="n">
        <v>0</v>
      </c>
      <c r="M106" t="n">
        <v>0</v>
      </c>
      <c r="N106" t="n">
        <v>0</v>
      </c>
      <c r="O106" t="n">
        <v>0</v>
      </c>
      <c r="P106" t="n">
        <v>0</v>
      </c>
      <c r="Q106" t="n">
        <v>0</v>
      </c>
      <c r="R106" s="2" t="inlineStr"/>
    </row>
    <row r="107" ht="15" customHeight="1">
      <c r="A107" t="inlineStr">
        <is>
          <t>A 22320-2021</t>
        </is>
      </c>
      <c r="B107" s="1" t="n">
        <v>44323</v>
      </c>
      <c r="C107" s="1" t="n">
        <v>45994</v>
      </c>
      <c r="D107" t="inlineStr">
        <is>
          <t>SKÅNE LÄN</t>
        </is>
      </c>
      <c r="E107" t="inlineStr">
        <is>
          <t>HÄSSLEHOLM</t>
        </is>
      </c>
      <c r="G107" t="n">
        <v>0.9</v>
      </c>
      <c r="H107" t="n">
        <v>0</v>
      </c>
      <c r="I107" t="n">
        <v>0</v>
      </c>
      <c r="J107" t="n">
        <v>0</v>
      </c>
      <c r="K107" t="n">
        <v>0</v>
      </c>
      <c r="L107" t="n">
        <v>0</v>
      </c>
      <c r="M107" t="n">
        <v>0</v>
      </c>
      <c r="N107" t="n">
        <v>0</v>
      </c>
      <c r="O107" t="n">
        <v>0</v>
      </c>
      <c r="P107" t="n">
        <v>0</v>
      </c>
      <c r="Q107" t="n">
        <v>0</v>
      </c>
      <c r="R107" s="2" t="inlineStr"/>
    </row>
    <row r="108" ht="15" customHeight="1">
      <c r="A108" t="inlineStr">
        <is>
          <t>A 68200-2020</t>
        </is>
      </c>
      <c r="B108" s="1" t="n">
        <v>44183</v>
      </c>
      <c r="C108" s="1" t="n">
        <v>45994</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6962-2021</t>
        </is>
      </c>
      <c r="B109" s="1" t="n">
        <v>44237</v>
      </c>
      <c r="C109" s="1" t="n">
        <v>45994</v>
      </c>
      <c r="D109" t="inlineStr">
        <is>
          <t>SKÅNE LÄN</t>
        </is>
      </c>
      <c r="E109" t="inlineStr">
        <is>
          <t>HÄSSLEHOLM</t>
        </is>
      </c>
      <c r="G109" t="n">
        <v>4.2</v>
      </c>
      <c r="H109" t="n">
        <v>0</v>
      </c>
      <c r="I109" t="n">
        <v>0</v>
      </c>
      <c r="J109" t="n">
        <v>0</v>
      </c>
      <c r="K109" t="n">
        <v>0</v>
      </c>
      <c r="L109" t="n">
        <v>0</v>
      </c>
      <c r="M109" t="n">
        <v>0</v>
      </c>
      <c r="N109" t="n">
        <v>0</v>
      </c>
      <c r="O109" t="n">
        <v>0</v>
      </c>
      <c r="P109" t="n">
        <v>0</v>
      </c>
      <c r="Q109" t="n">
        <v>0</v>
      </c>
      <c r="R109" s="2" t="inlineStr"/>
    </row>
    <row r="110" ht="15" customHeight="1">
      <c r="A110" t="inlineStr">
        <is>
          <t>A 9292-2022</t>
        </is>
      </c>
      <c r="B110" s="1" t="n">
        <v>44616</v>
      </c>
      <c r="C110" s="1" t="n">
        <v>45994</v>
      </c>
      <c r="D110" t="inlineStr">
        <is>
          <t>SKÅNE LÄN</t>
        </is>
      </c>
      <c r="E110" t="inlineStr">
        <is>
          <t>HÄSSLEHOLM</t>
        </is>
      </c>
      <c r="G110" t="n">
        <v>1.6</v>
      </c>
      <c r="H110" t="n">
        <v>0</v>
      </c>
      <c r="I110" t="n">
        <v>0</v>
      </c>
      <c r="J110" t="n">
        <v>0</v>
      </c>
      <c r="K110" t="n">
        <v>0</v>
      </c>
      <c r="L110" t="n">
        <v>0</v>
      </c>
      <c r="M110" t="n">
        <v>0</v>
      </c>
      <c r="N110" t="n">
        <v>0</v>
      </c>
      <c r="O110" t="n">
        <v>0</v>
      </c>
      <c r="P110" t="n">
        <v>0</v>
      </c>
      <c r="Q110" t="n">
        <v>0</v>
      </c>
      <c r="R110" s="2" t="inlineStr"/>
    </row>
    <row r="111" ht="15" customHeight="1">
      <c r="A111" t="inlineStr">
        <is>
          <t>A 3277-2022</t>
        </is>
      </c>
      <c r="B111" s="1" t="n">
        <v>44584.41274305555</v>
      </c>
      <c r="C111" s="1" t="n">
        <v>45994</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7522-2021</t>
        </is>
      </c>
      <c r="B112" s="1" t="n">
        <v>44238</v>
      </c>
      <c r="C112" s="1" t="n">
        <v>45994</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8278-2021</t>
        </is>
      </c>
      <c r="B113" s="1" t="n">
        <v>44244</v>
      </c>
      <c r="C113" s="1" t="n">
        <v>45994</v>
      </c>
      <c r="D113" t="inlineStr">
        <is>
          <t>SKÅNE LÄN</t>
        </is>
      </c>
      <c r="E113" t="inlineStr">
        <is>
          <t>HÄSSLEHOLM</t>
        </is>
      </c>
      <c r="F113" t="inlineStr">
        <is>
          <t>Kyrkan</t>
        </is>
      </c>
      <c r="G113" t="n">
        <v>1.4</v>
      </c>
      <c r="H113" t="n">
        <v>0</v>
      </c>
      <c r="I113" t="n">
        <v>0</v>
      </c>
      <c r="J113" t="n">
        <v>0</v>
      </c>
      <c r="K113" t="n">
        <v>0</v>
      </c>
      <c r="L113" t="n">
        <v>0</v>
      </c>
      <c r="M113" t="n">
        <v>0</v>
      </c>
      <c r="N113" t="n">
        <v>0</v>
      </c>
      <c r="O113" t="n">
        <v>0</v>
      </c>
      <c r="P113" t="n">
        <v>0</v>
      </c>
      <c r="Q113" t="n">
        <v>0</v>
      </c>
      <c r="R113" s="2" t="inlineStr"/>
    </row>
    <row r="114" ht="15" customHeight="1">
      <c r="A114" t="inlineStr">
        <is>
          <t>A 69201-2020</t>
        </is>
      </c>
      <c r="B114" s="1" t="n">
        <v>44191</v>
      </c>
      <c r="C114" s="1" t="n">
        <v>45994</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14054-2021</t>
        </is>
      </c>
      <c r="B115" s="1" t="n">
        <v>44277</v>
      </c>
      <c r="C115" s="1" t="n">
        <v>45994</v>
      </c>
      <c r="D115" t="inlineStr">
        <is>
          <t>SKÅNE LÄN</t>
        </is>
      </c>
      <c r="E115" t="inlineStr">
        <is>
          <t>HÄSSLEHOLM</t>
        </is>
      </c>
      <c r="G115" t="n">
        <v>2</v>
      </c>
      <c r="H115" t="n">
        <v>0</v>
      </c>
      <c r="I115" t="n">
        <v>0</v>
      </c>
      <c r="J115" t="n">
        <v>0</v>
      </c>
      <c r="K115" t="n">
        <v>0</v>
      </c>
      <c r="L115" t="n">
        <v>0</v>
      </c>
      <c r="M115" t="n">
        <v>0</v>
      </c>
      <c r="N115" t="n">
        <v>0</v>
      </c>
      <c r="O115" t="n">
        <v>0</v>
      </c>
      <c r="P115" t="n">
        <v>0</v>
      </c>
      <c r="Q115" t="n">
        <v>0</v>
      </c>
      <c r="R115" s="2" t="inlineStr"/>
    </row>
    <row r="116" ht="15" customHeight="1">
      <c r="A116" t="inlineStr">
        <is>
          <t>A 9257-2021</t>
        </is>
      </c>
      <c r="B116" s="1" t="n">
        <v>44250</v>
      </c>
      <c r="C116" s="1" t="n">
        <v>45994</v>
      </c>
      <c r="D116" t="inlineStr">
        <is>
          <t>SKÅNE LÄN</t>
        </is>
      </c>
      <c r="E116" t="inlineStr">
        <is>
          <t>HÄSSLEHOLM</t>
        </is>
      </c>
      <c r="G116" t="n">
        <v>2.2</v>
      </c>
      <c r="H116" t="n">
        <v>0</v>
      </c>
      <c r="I116" t="n">
        <v>0</v>
      </c>
      <c r="J116" t="n">
        <v>0</v>
      </c>
      <c r="K116" t="n">
        <v>0</v>
      </c>
      <c r="L116" t="n">
        <v>0</v>
      </c>
      <c r="M116" t="n">
        <v>0</v>
      </c>
      <c r="N116" t="n">
        <v>0</v>
      </c>
      <c r="O116" t="n">
        <v>0</v>
      </c>
      <c r="P116" t="n">
        <v>0</v>
      </c>
      <c r="Q116" t="n">
        <v>0</v>
      </c>
      <c r="R116" s="2" t="inlineStr"/>
    </row>
    <row r="117" ht="15" customHeight="1">
      <c r="A117" t="inlineStr">
        <is>
          <t>A 4156-2022</t>
        </is>
      </c>
      <c r="B117" s="1" t="n">
        <v>44588</v>
      </c>
      <c r="C117" s="1" t="n">
        <v>45994</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19449-2021</t>
        </is>
      </c>
      <c r="B118" s="1" t="n">
        <v>44310.88846064815</v>
      </c>
      <c r="C118" s="1" t="n">
        <v>45994</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41581-2021</t>
        </is>
      </c>
      <c r="B119" s="1" t="n">
        <v>44425.40167824074</v>
      </c>
      <c r="C119" s="1" t="n">
        <v>45994</v>
      </c>
      <c r="D119" t="inlineStr">
        <is>
          <t>SKÅNE LÄN</t>
        </is>
      </c>
      <c r="E119" t="inlineStr">
        <is>
          <t>HÄSSLEHOLM</t>
        </is>
      </c>
      <c r="G119" t="n">
        <v>0.7</v>
      </c>
      <c r="H119" t="n">
        <v>0</v>
      </c>
      <c r="I119" t="n">
        <v>0</v>
      </c>
      <c r="J119" t="n">
        <v>0</v>
      </c>
      <c r="K119" t="n">
        <v>0</v>
      </c>
      <c r="L119" t="n">
        <v>0</v>
      </c>
      <c r="M119" t="n">
        <v>0</v>
      </c>
      <c r="N119" t="n">
        <v>0</v>
      </c>
      <c r="O119" t="n">
        <v>0</v>
      </c>
      <c r="P119" t="n">
        <v>0</v>
      </c>
      <c r="Q119" t="n">
        <v>0</v>
      </c>
      <c r="R119" s="2" t="inlineStr"/>
    </row>
    <row r="120" ht="15" customHeight="1">
      <c r="A120" t="inlineStr">
        <is>
          <t>A 15423-2022</t>
        </is>
      </c>
      <c r="B120" s="1" t="n">
        <v>44659</v>
      </c>
      <c r="C120" s="1" t="n">
        <v>45994</v>
      </c>
      <c r="D120" t="inlineStr">
        <is>
          <t>SKÅNE LÄN</t>
        </is>
      </c>
      <c r="E120" t="inlineStr">
        <is>
          <t>HÄSSLEHOLM</t>
        </is>
      </c>
      <c r="F120" t="inlineStr">
        <is>
          <t>Kyrkan</t>
        </is>
      </c>
      <c r="G120" t="n">
        <v>0.9</v>
      </c>
      <c r="H120" t="n">
        <v>0</v>
      </c>
      <c r="I120" t="n">
        <v>0</v>
      </c>
      <c r="J120" t="n">
        <v>0</v>
      </c>
      <c r="K120" t="n">
        <v>0</v>
      </c>
      <c r="L120" t="n">
        <v>0</v>
      </c>
      <c r="M120" t="n">
        <v>0</v>
      </c>
      <c r="N120" t="n">
        <v>0</v>
      </c>
      <c r="O120" t="n">
        <v>0</v>
      </c>
      <c r="P120" t="n">
        <v>0</v>
      </c>
      <c r="Q120" t="n">
        <v>0</v>
      </c>
      <c r="R120" s="2" t="inlineStr"/>
    </row>
    <row r="121" ht="15" customHeight="1">
      <c r="A121" t="inlineStr">
        <is>
          <t>A 52295-2021</t>
        </is>
      </c>
      <c r="B121" s="1" t="n">
        <v>44463</v>
      </c>
      <c r="C121" s="1" t="n">
        <v>45994</v>
      </c>
      <c r="D121" t="inlineStr">
        <is>
          <t>SKÅNE LÄN</t>
        </is>
      </c>
      <c r="E121" t="inlineStr">
        <is>
          <t>HÄSSLEHOLM</t>
        </is>
      </c>
      <c r="G121" t="n">
        <v>0.3</v>
      </c>
      <c r="H121" t="n">
        <v>0</v>
      </c>
      <c r="I121" t="n">
        <v>0</v>
      </c>
      <c r="J121" t="n">
        <v>0</v>
      </c>
      <c r="K121" t="n">
        <v>0</v>
      </c>
      <c r="L121" t="n">
        <v>0</v>
      </c>
      <c r="M121" t="n">
        <v>0</v>
      </c>
      <c r="N121" t="n">
        <v>0</v>
      </c>
      <c r="O121" t="n">
        <v>0</v>
      </c>
      <c r="P121" t="n">
        <v>0</v>
      </c>
      <c r="Q121" t="n">
        <v>0</v>
      </c>
      <c r="R121" s="2" t="inlineStr"/>
    </row>
    <row r="122" ht="15" customHeight="1">
      <c r="A122" t="inlineStr">
        <is>
          <t>A 6973-2021</t>
        </is>
      </c>
      <c r="B122" s="1" t="n">
        <v>44237</v>
      </c>
      <c r="C122" s="1" t="n">
        <v>45994</v>
      </c>
      <c r="D122" t="inlineStr">
        <is>
          <t>SKÅNE LÄN</t>
        </is>
      </c>
      <c r="E122" t="inlineStr">
        <is>
          <t>HÄSSLEHOLM</t>
        </is>
      </c>
      <c r="G122" t="n">
        <v>0.4</v>
      </c>
      <c r="H122" t="n">
        <v>0</v>
      </c>
      <c r="I122" t="n">
        <v>0</v>
      </c>
      <c r="J122" t="n">
        <v>0</v>
      </c>
      <c r="K122" t="n">
        <v>0</v>
      </c>
      <c r="L122" t="n">
        <v>0</v>
      </c>
      <c r="M122" t="n">
        <v>0</v>
      </c>
      <c r="N122" t="n">
        <v>0</v>
      </c>
      <c r="O122" t="n">
        <v>0</v>
      </c>
      <c r="P122" t="n">
        <v>0</v>
      </c>
      <c r="Q122" t="n">
        <v>0</v>
      </c>
      <c r="R122" s="2" t="inlineStr"/>
    </row>
    <row r="123" ht="15" customHeight="1">
      <c r="A123" t="inlineStr">
        <is>
          <t>A 68909-2021</t>
        </is>
      </c>
      <c r="B123" s="1" t="n">
        <v>44530.46730324074</v>
      </c>
      <c r="C123" s="1" t="n">
        <v>45994</v>
      </c>
      <c r="D123" t="inlineStr">
        <is>
          <t>SKÅNE LÄN</t>
        </is>
      </c>
      <c r="E123" t="inlineStr">
        <is>
          <t>HÄSSLEHOLM</t>
        </is>
      </c>
      <c r="G123" t="n">
        <v>0.9</v>
      </c>
      <c r="H123" t="n">
        <v>0</v>
      </c>
      <c r="I123" t="n">
        <v>0</v>
      </c>
      <c r="J123" t="n">
        <v>0</v>
      </c>
      <c r="K123" t="n">
        <v>0</v>
      </c>
      <c r="L123" t="n">
        <v>0</v>
      </c>
      <c r="M123" t="n">
        <v>0</v>
      </c>
      <c r="N123" t="n">
        <v>0</v>
      </c>
      <c r="O123" t="n">
        <v>0</v>
      </c>
      <c r="P123" t="n">
        <v>0</v>
      </c>
      <c r="Q123" t="n">
        <v>0</v>
      </c>
      <c r="R123" s="2" t="inlineStr"/>
    </row>
    <row r="124" ht="15" customHeight="1">
      <c r="A124" t="inlineStr">
        <is>
          <t>A 44328-2021</t>
        </is>
      </c>
      <c r="B124" s="1" t="n">
        <v>44435</v>
      </c>
      <c r="C124" s="1" t="n">
        <v>45994</v>
      </c>
      <c r="D124" t="inlineStr">
        <is>
          <t>SKÅNE LÄN</t>
        </is>
      </c>
      <c r="E124" t="inlineStr">
        <is>
          <t>HÄSSLEHOLM</t>
        </is>
      </c>
      <c r="G124" t="n">
        <v>2.7</v>
      </c>
      <c r="H124" t="n">
        <v>0</v>
      </c>
      <c r="I124" t="n">
        <v>0</v>
      </c>
      <c r="J124" t="n">
        <v>0</v>
      </c>
      <c r="K124" t="n">
        <v>0</v>
      </c>
      <c r="L124" t="n">
        <v>0</v>
      </c>
      <c r="M124" t="n">
        <v>0</v>
      </c>
      <c r="N124" t="n">
        <v>0</v>
      </c>
      <c r="O124" t="n">
        <v>0</v>
      </c>
      <c r="P124" t="n">
        <v>0</v>
      </c>
      <c r="Q124" t="n">
        <v>0</v>
      </c>
      <c r="R124" s="2" t="inlineStr"/>
    </row>
    <row r="125" ht="15" customHeight="1">
      <c r="A125" t="inlineStr">
        <is>
          <t>A 34684-2021</t>
        </is>
      </c>
      <c r="B125" s="1" t="n">
        <v>44382</v>
      </c>
      <c r="C125" s="1" t="n">
        <v>45994</v>
      </c>
      <c r="D125" t="inlineStr">
        <is>
          <t>SKÅNE LÄN</t>
        </is>
      </c>
      <c r="E125" t="inlineStr">
        <is>
          <t>HÄSSLEHOLM</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74293-2021</t>
        </is>
      </c>
      <c r="B126" s="1" t="n">
        <v>44558</v>
      </c>
      <c r="C126" s="1" t="n">
        <v>45994</v>
      </c>
      <c r="D126" t="inlineStr">
        <is>
          <t>SKÅNE LÄN</t>
        </is>
      </c>
      <c r="E126" t="inlineStr">
        <is>
          <t>HÄSSLEHOLM</t>
        </is>
      </c>
      <c r="F126" t="inlineStr">
        <is>
          <t>Kyrkan</t>
        </is>
      </c>
      <c r="G126" t="n">
        <v>3.3</v>
      </c>
      <c r="H126" t="n">
        <v>0</v>
      </c>
      <c r="I126" t="n">
        <v>0</v>
      </c>
      <c r="J126" t="n">
        <v>0</v>
      </c>
      <c r="K126" t="n">
        <v>0</v>
      </c>
      <c r="L126" t="n">
        <v>0</v>
      </c>
      <c r="M126" t="n">
        <v>0</v>
      </c>
      <c r="N126" t="n">
        <v>0</v>
      </c>
      <c r="O126" t="n">
        <v>0</v>
      </c>
      <c r="P126" t="n">
        <v>0</v>
      </c>
      <c r="Q126" t="n">
        <v>0</v>
      </c>
      <c r="R126" s="2" t="inlineStr"/>
    </row>
    <row r="127" ht="15" customHeight="1">
      <c r="A127" t="inlineStr">
        <is>
          <t>A 46217-2022</t>
        </is>
      </c>
      <c r="B127" s="1" t="n">
        <v>44846</v>
      </c>
      <c r="C127" s="1" t="n">
        <v>45994</v>
      </c>
      <c r="D127" t="inlineStr">
        <is>
          <t>SKÅNE LÄN</t>
        </is>
      </c>
      <c r="E127" t="inlineStr">
        <is>
          <t>HÄSSLEHOLM</t>
        </is>
      </c>
      <c r="G127" t="n">
        <v>3.1</v>
      </c>
      <c r="H127" t="n">
        <v>0</v>
      </c>
      <c r="I127" t="n">
        <v>0</v>
      </c>
      <c r="J127" t="n">
        <v>0</v>
      </c>
      <c r="K127" t="n">
        <v>0</v>
      </c>
      <c r="L127" t="n">
        <v>0</v>
      </c>
      <c r="M127" t="n">
        <v>0</v>
      </c>
      <c r="N127" t="n">
        <v>0</v>
      </c>
      <c r="O127" t="n">
        <v>0</v>
      </c>
      <c r="P127" t="n">
        <v>0</v>
      </c>
      <c r="Q127" t="n">
        <v>0</v>
      </c>
      <c r="R127" s="2" t="inlineStr"/>
    </row>
    <row r="128" ht="15" customHeight="1">
      <c r="A128" t="inlineStr">
        <is>
          <t>A 2858-2022</t>
        </is>
      </c>
      <c r="B128" s="1" t="n">
        <v>44581</v>
      </c>
      <c r="C128" s="1" t="n">
        <v>45994</v>
      </c>
      <c r="D128" t="inlineStr">
        <is>
          <t>SKÅNE LÄN</t>
        </is>
      </c>
      <c r="E128" t="inlineStr">
        <is>
          <t>HÄSSLEHOLM</t>
        </is>
      </c>
      <c r="F128" t="inlineStr">
        <is>
          <t>Övriga Aktiebolag</t>
        </is>
      </c>
      <c r="G128" t="n">
        <v>1.3</v>
      </c>
      <c r="H128" t="n">
        <v>0</v>
      </c>
      <c r="I128" t="n">
        <v>0</v>
      </c>
      <c r="J128" t="n">
        <v>0</v>
      </c>
      <c r="K128" t="n">
        <v>0</v>
      </c>
      <c r="L128" t="n">
        <v>0</v>
      </c>
      <c r="M128" t="n">
        <v>0</v>
      </c>
      <c r="N128" t="n">
        <v>0</v>
      </c>
      <c r="O128" t="n">
        <v>0</v>
      </c>
      <c r="P128" t="n">
        <v>0</v>
      </c>
      <c r="Q128" t="n">
        <v>0</v>
      </c>
      <c r="R128" s="2" t="inlineStr"/>
    </row>
    <row r="129" ht="15" customHeight="1">
      <c r="A129" t="inlineStr">
        <is>
          <t>A 56989-2021</t>
        </is>
      </c>
      <c r="B129" s="1" t="n">
        <v>44482</v>
      </c>
      <c r="C129" s="1" t="n">
        <v>45994</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51159-2021</t>
        </is>
      </c>
      <c r="B130" s="1" t="n">
        <v>44461</v>
      </c>
      <c r="C130" s="1" t="n">
        <v>45994</v>
      </c>
      <c r="D130" t="inlineStr">
        <is>
          <t>SKÅNE LÄN</t>
        </is>
      </c>
      <c r="E130" t="inlineStr">
        <is>
          <t>HÄSSLEHOLM</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25383-2021</t>
        </is>
      </c>
      <c r="B131" s="1" t="n">
        <v>44342</v>
      </c>
      <c r="C131" s="1" t="n">
        <v>45994</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27959-2022</t>
        </is>
      </c>
      <c r="B132" s="1" t="n">
        <v>44744</v>
      </c>
      <c r="C132" s="1" t="n">
        <v>45994</v>
      </c>
      <c r="D132" t="inlineStr">
        <is>
          <t>SKÅNE LÄN</t>
        </is>
      </c>
      <c r="E132" t="inlineStr">
        <is>
          <t>HÄSSLEHOLM</t>
        </is>
      </c>
      <c r="G132" t="n">
        <v>3</v>
      </c>
      <c r="H132" t="n">
        <v>0</v>
      </c>
      <c r="I132" t="n">
        <v>0</v>
      </c>
      <c r="J132" t="n">
        <v>0</v>
      </c>
      <c r="K132" t="n">
        <v>0</v>
      </c>
      <c r="L132" t="n">
        <v>0</v>
      </c>
      <c r="M132" t="n">
        <v>0</v>
      </c>
      <c r="N132" t="n">
        <v>0</v>
      </c>
      <c r="O132" t="n">
        <v>0</v>
      </c>
      <c r="P132" t="n">
        <v>0</v>
      </c>
      <c r="Q132" t="n">
        <v>0</v>
      </c>
      <c r="R132" s="2" t="inlineStr"/>
    </row>
    <row r="133" ht="15" customHeight="1">
      <c r="A133" t="inlineStr">
        <is>
          <t>A 27330-2021</t>
        </is>
      </c>
      <c r="B133" s="1" t="n">
        <v>44351</v>
      </c>
      <c r="C133" s="1" t="n">
        <v>45994</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45349-2022</t>
        </is>
      </c>
      <c r="B134" s="1" t="n">
        <v>44844.6118287037</v>
      </c>
      <c r="C134" s="1" t="n">
        <v>45994</v>
      </c>
      <c r="D134" t="inlineStr">
        <is>
          <t>SKÅNE LÄN</t>
        </is>
      </c>
      <c r="E134" t="inlineStr">
        <is>
          <t>HÄSSLEHOLM</t>
        </is>
      </c>
      <c r="G134" t="n">
        <v>6.2</v>
      </c>
      <c r="H134" t="n">
        <v>0</v>
      </c>
      <c r="I134" t="n">
        <v>0</v>
      </c>
      <c r="J134" t="n">
        <v>0</v>
      </c>
      <c r="K134" t="n">
        <v>0</v>
      </c>
      <c r="L134" t="n">
        <v>0</v>
      </c>
      <c r="M134" t="n">
        <v>0</v>
      </c>
      <c r="N134" t="n">
        <v>0</v>
      </c>
      <c r="O134" t="n">
        <v>0</v>
      </c>
      <c r="P134" t="n">
        <v>0</v>
      </c>
      <c r="Q134" t="n">
        <v>0</v>
      </c>
      <c r="R134" s="2" t="inlineStr"/>
    </row>
    <row r="135" ht="15" customHeight="1">
      <c r="A135" t="inlineStr">
        <is>
          <t>A 15118-2022</t>
        </is>
      </c>
      <c r="B135" s="1" t="n">
        <v>44659</v>
      </c>
      <c r="C135" s="1" t="n">
        <v>45994</v>
      </c>
      <c r="D135" t="inlineStr">
        <is>
          <t>SKÅNE LÄN</t>
        </is>
      </c>
      <c r="E135" t="inlineStr">
        <is>
          <t>HÄSSLEHOLM</t>
        </is>
      </c>
      <c r="F135" t="inlineStr">
        <is>
          <t>Kyrkan</t>
        </is>
      </c>
      <c r="G135" t="n">
        <v>0.7</v>
      </c>
      <c r="H135" t="n">
        <v>0</v>
      </c>
      <c r="I135" t="n">
        <v>0</v>
      </c>
      <c r="J135" t="n">
        <v>0</v>
      </c>
      <c r="K135" t="n">
        <v>0</v>
      </c>
      <c r="L135" t="n">
        <v>0</v>
      </c>
      <c r="M135" t="n">
        <v>0</v>
      </c>
      <c r="N135" t="n">
        <v>0</v>
      </c>
      <c r="O135" t="n">
        <v>0</v>
      </c>
      <c r="P135" t="n">
        <v>0</v>
      </c>
      <c r="Q135" t="n">
        <v>0</v>
      </c>
      <c r="R135" s="2" t="inlineStr"/>
    </row>
    <row r="136" ht="15" customHeight="1">
      <c r="A136" t="inlineStr">
        <is>
          <t>A 43639-2021</t>
        </is>
      </c>
      <c r="B136" s="1" t="n">
        <v>44433</v>
      </c>
      <c r="C136" s="1" t="n">
        <v>45994</v>
      </c>
      <c r="D136" t="inlineStr">
        <is>
          <t>SKÅNE LÄN</t>
        </is>
      </c>
      <c r="E136" t="inlineStr">
        <is>
          <t>HÄSSLEHOLM</t>
        </is>
      </c>
      <c r="G136" t="n">
        <v>0.4</v>
      </c>
      <c r="H136" t="n">
        <v>0</v>
      </c>
      <c r="I136" t="n">
        <v>0</v>
      </c>
      <c r="J136" t="n">
        <v>0</v>
      </c>
      <c r="K136" t="n">
        <v>0</v>
      </c>
      <c r="L136" t="n">
        <v>0</v>
      </c>
      <c r="M136" t="n">
        <v>0</v>
      </c>
      <c r="N136" t="n">
        <v>0</v>
      </c>
      <c r="O136" t="n">
        <v>0</v>
      </c>
      <c r="P136" t="n">
        <v>0</v>
      </c>
      <c r="Q136" t="n">
        <v>0</v>
      </c>
      <c r="R136" s="2" t="inlineStr"/>
    </row>
    <row r="137" ht="15" customHeight="1">
      <c r="A137" t="inlineStr">
        <is>
          <t>A 7701-2021</t>
        </is>
      </c>
      <c r="B137" s="1" t="n">
        <v>44242</v>
      </c>
      <c r="C137" s="1" t="n">
        <v>45994</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3276-2022</t>
        </is>
      </c>
      <c r="B138" s="1" t="n">
        <v>44584.40916666666</v>
      </c>
      <c r="C138" s="1" t="n">
        <v>45994</v>
      </c>
      <c r="D138" t="inlineStr">
        <is>
          <t>SKÅNE LÄN</t>
        </is>
      </c>
      <c r="E138" t="inlineStr">
        <is>
          <t>HÄSSLEHOLM</t>
        </is>
      </c>
      <c r="G138" t="n">
        <v>0.2</v>
      </c>
      <c r="H138" t="n">
        <v>0</v>
      </c>
      <c r="I138" t="n">
        <v>0</v>
      </c>
      <c r="J138" t="n">
        <v>0</v>
      </c>
      <c r="K138" t="n">
        <v>0</v>
      </c>
      <c r="L138" t="n">
        <v>0</v>
      </c>
      <c r="M138" t="n">
        <v>0</v>
      </c>
      <c r="N138" t="n">
        <v>0</v>
      </c>
      <c r="O138" t="n">
        <v>0</v>
      </c>
      <c r="P138" t="n">
        <v>0</v>
      </c>
      <c r="Q138" t="n">
        <v>0</v>
      </c>
      <c r="R138" s="2" t="inlineStr"/>
    </row>
    <row r="139" ht="15" customHeight="1">
      <c r="A139" t="inlineStr">
        <is>
          <t>A 354-2022</t>
        </is>
      </c>
      <c r="B139" s="1" t="n">
        <v>44565.62510416667</v>
      </c>
      <c r="C139" s="1" t="n">
        <v>45994</v>
      </c>
      <c r="D139" t="inlineStr">
        <is>
          <t>SKÅNE LÄN</t>
        </is>
      </c>
      <c r="E139" t="inlineStr">
        <is>
          <t>HÄSSLEHOLM</t>
        </is>
      </c>
      <c r="G139" t="n">
        <v>2.4</v>
      </c>
      <c r="H139" t="n">
        <v>0</v>
      </c>
      <c r="I139" t="n">
        <v>0</v>
      </c>
      <c r="J139" t="n">
        <v>0</v>
      </c>
      <c r="K139" t="n">
        <v>0</v>
      </c>
      <c r="L139" t="n">
        <v>0</v>
      </c>
      <c r="M139" t="n">
        <v>0</v>
      </c>
      <c r="N139" t="n">
        <v>0</v>
      </c>
      <c r="O139" t="n">
        <v>0</v>
      </c>
      <c r="P139" t="n">
        <v>0</v>
      </c>
      <c r="Q139" t="n">
        <v>0</v>
      </c>
      <c r="R139" s="2" t="inlineStr"/>
    </row>
    <row r="140" ht="15" customHeight="1">
      <c r="A140" t="inlineStr">
        <is>
          <t>A 52461-2021</t>
        </is>
      </c>
      <c r="B140" s="1" t="n">
        <v>44466</v>
      </c>
      <c r="C140" s="1" t="n">
        <v>45994</v>
      </c>
      <c r="D140" t="inlineStr">
        <is>
          <t>SKÅNE LÄN</t>
        </is>
      </c>
      <c r="E140" t="inlineStr">
        <is>
          <t>HÄSSLEHOLM</t>
        </is>
      </c>
      <c r="G140" t="n">
        <v>2.7</v>
      </c>
      <c r="H140" t="n">
        <v>0</v>
      </c>
      <c r="I140" t="n">
        <v>0</v>
      </c>
      <c r="J140" t="n">
        <v>0</v>
      </c>
      <c r="K140" t="n">
        <v>0</v>
      </c>
      <c r="L140" t="n">
        <v>0</v>
      </c>
      <c r="M140" t="n">
        <v>0</v>
      </c>
      <c r="N140" t="n">
        <v>0</v>
      </c>
      <c r="O140" t="n">
        <v>0</v>
      </c>
      <c r="P140" t="n">
        <v>0</v>
      </c>
      <c r="Q140" t="n">
        <v>0</v>
      </c>
      <c r="R140" s="2" t="inlineStr"/>
    </row>
    <row r="141" ht="15" customHeight="1">
      <c r="A141" t="inlineStr">
        <is>
          <t>A 32892-2021</t>
        </is>
      </c>
      <c r="B141" s="1" t="n">
        <v>44375</v>
      </c>
      <c r="C141" s="1" t="n">
        <v>45994</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63972-2021</t>
        </is>
      </c>
      <c r="B142" s="1" t="n">
        <v>44509.89649305555</v>
      </c>
      <c r="C142" s="1" t="n">
        <v>45994</v>
      </c>
      <c r="D142" t="inlineStr">
        <is>
          <t>SKÅNE LÄN</t>
        </is>
      </c>
      <c r="E142" t="inlineStr">
        <is>
          <t>HÄSSLEHOLM</t>
        </is>
      </c>
      <c r="G142" t="n">
        <v>0.8</v>
      </c>
      <c r="H142" t="n">
        <v>0</v>
      </c>
      <c r="I142" t="n">
        <v>0</v>
      </c>
      <c r="J142" t="n">
        <v>0</v>
      </c>
      <c r="K142" t="n">
        <v>0</v>
      </c>
      <c r="L142" t="n">
        <v>0</v>
      </c>
      <c r="M142" t="n">
        <v>0</v>
      </c>
      <c r="N142" t="n">
        <v>0</v>
      </c>
      <c r="O142" t="n">
        <v>0</v>
      </c>
      <c r="P142" t="n">
        <v>0</v>
      </c>
      <c r="Q142" t="n">
        <v>0</v>
      </c>
      <c r="R142" s="2" t="inlineStr"/>
    </row>
    <row r="143" ht="15" customHeight="1">
      <c r="A143" t="inlineStr">
        <is>
          <t>A 23003-2021</t>
        </is>
      </c>
      <c r="B143" s="1" t="n">
        <v>44328</v>
      </c>
      <c r="C143" s="1" t="n">
        <v>45994</v>
      </c>
      <c r="D143" t="inlineStr">
        <is>
          <t>SKÅNE LÄN</t>
        </is>
      </c>
      <c r="E143" t="inlineStr">
        <is>
          <t>HÄSSLEHOLM</t>
        </is>
      </c>
      <c r="G143" t="n">
        <v>4.4</v>
      </c>
      <c r="H143" t="n">
        <v>0</v>
      </c>
      <c r="I143" t="n">
        <v>0</v>
      </c>
      <c r="J143" t="n">
        <v>0</v>
      </c>
      <c r="K143" t="n">
        <v>0</v>
      </c>
      <c r="L143" t="n">
        <v>0</v>
      </c>
      <c r="M143" t="n">
        <v>0</v>
      </c>
      <c r="N143" t="n">
        <v>0</v>
      </c>
      <c r="O143" t="n">
        <v>0</v>
      </c>
      <c r="P143" t="n">
        <v>0</v>
      </c>
      <c r="Q143" t="n">
        <v>0</v>
      </c>
      <c r="R143" s="2" t="inlineStr"/>
    </row>
    <row r="144" ht="15" customHeight="1">
      <c r="A144" t="inlineStr">
        <is>
          <t>A 2952-2021</t>
        </is>
      </c>
      <c r="B144" s="1" t="n">
        <v>44216</v>
      </c>
      <c r="C144" s="1" t="n">
        <v>45994</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1461-2021</t>
        </is>
      </c>
      <c r="B145" s="1" t="n">
        <v>44208</v>
      </c>
      <c r="C145" s="1" t="n">
        <v>45994</v>
      </c>
      <c r="D145" t="inlineStr">
        <is>
          <t>SKÅNE LÄN</t>
        </is>
      </c>
      <c r="E145" t="inlineStr">
        <is>
          <t>HÄSSLEHOLM</t>
        </is>
      </c>
      <c r="G145" t="n">
        <v>0.8</v>
      </c>
      <c r="H145" t="n">
        <v>0</v>
      </c>
      <c r="I145" t="n">
        <v>0</v>
      </c>
      <c r="J145" t="n">
        <v>0</v>
      </c>
      <c r="K145" t="n">
        <v>0</v>
      </c>
      <c r="L145" t="n">
        <v>0</v>
      </c>
      <c r="M145" t="n">
        <v>0</v>
      </c>
      <c r="N145" t="n">
        <v>0</v>
      </c>
      <c r="O145" t="n">
        <v>0</v>
      </c>
      <c r="P145" t="n">
        <v>0</v>
      </c>
      <c r="Q145" t="n">
        <v>0</v>
      </c>
      <c r="R145" s="2" t="inlineStr"/>
    </row>
    <row r="146" ht="15" customHeight="1">
      <c r="A146" t="inlineStr">
        <is>
          <t>A 5091-2022</t>
        </is>
      </c>
      <c r="B146" s="1" t="n">
        <v>44593.85114583333</v>
      </c>
      <c r="C146" s="1" t="n">
        <v>45994</v>
      </c>
      <c r="D146" t="inlineStr">
        <is>
          <t>SKÅNE LÄN</t>
        </is>
      </c>
      <c r="E146" t="inlineStr">
        <is>
          <t>HÄSSLEHOLM</t>
        </is>
      </c>
      <c r="G146" t="n">
        <v>2.5</v>
      </c>
      <c r="H146" t="n">
        <v>0</v>
      </c>
      <c r="I146" t="n">
        <v>0</v>
      </c>
      <c r="J146" t="n">
        <v>0</v>
      </c>
      <c r="K146" t="n">
        <v>0</v>
      </c>
      <c r="L146" t="n">
        <v>0</v>
      </c>
      <c r="M146" t="n">
        <v>0</v>
      </c>
      <c r="N146" t="n">
        <v>0</v>
      </c>
      <c r="O146" t="n">
        <v>0</v>
      </c>
      <c r="P146" t="n">
        <v>0</v>
      </c>
      <c r="Q146" t="n">
        <v>0</v>
      </c>
      <c r="R146" s="2" t="inlineStr"/>
    </row>
    <row r="147" ht="15" customHeight="1">
      <c r="A147" t="inlineStr">
        <is>
          <t>A 39102-2022</t>
        </is>
      </c>
      <c r="B147" s="1" t="n">
        <v>44817.43260416666</v>
      </c>
      <c r="C147" s="1" t="n">
        <v>45994</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60260-2021</t>
        </is>
      </c>
      <c r="B148" s="1" t="n">
        <v>44495</v>
      </c>
      <c r="C148" s="1" t="n">
        <v>45994</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5564-2022</t>
        </is>
      </c>
      <c r="B149" s="1" t="n">
        <v>44595</v>
      </c>
      <c r="C149" s="1" t="n">
        <v>45994</v>
      </c>
      <c r="D149" t="inlineStr">
        <is>
          <t>SKÅNE LÄN</t>
        </is>
      </c>
      <c r="E149" t="inlineStr">
        <is>
          <t>HÄSSLEHOLM</t>
        </is>
      </c>
      <c r="G149" t="n">
        <v>0.3</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45994</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47112-2021</t>
        </is>
      </c>
      <c r="B151" s="1" t="n">
        <v>44446</v>
      </c>
      <c r="C151" s="1" t="n">
        <v>45994</v>
      </c>
      <c r="D151" t="inlineStr">
        <is>
          <t>SKÅNE LÄN</t>
        </is>
      </c>
      <c r="E151" t="inlineStr">
        <is>
          <t>HÄSSLEHOLM</t>
        </is>
      </c>
      <c r="G151" t="n">
        <v>9.699999999999999</v>
      </c>
      <c r="H151" t="n">
        <v>0</v>
      </c>
      <c r="I151" t="n">
        <v>0</v>
      </c>
      <c r="J151" t="n">
        <v>0</v>
      </c>
      <c r="K151" t="n">
        <v>0</v>
      </c>
      <c r="L151" t="n">
        <v>0</v>
      </c>
      <c r="M151" t="n">
        <v>0</v>
      </c>
      <c r="N151" t="n">
        <v>0</v>
      </c>
      <c r="O151" t="n">
        <v>0</v>
      </c>
      <c r="P151" t="n">
        <v>0</v>
      </c>
      <c r="Q151" t="n">
        <v>0</v>
      </c>
      <c r="R151" s="2" t="inlineStr"/>
    </row>
    <row r="152" ht="15" customHeight="1">
      <c r="A152" t="inlineStr">
        <is>
          <t>A 37334-2021</t>
        </is>
      </c>
      <c r="B152" s="1" t="n">
        <v>44397.57800925926</v>
      </c>
      <c r="C152" s="1" t="n">
        <v>45994</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20659-2021</t>
        </is>
      </c>
      <c r="B153" s="1" t="n">
        <v>44316</v>
      </c>
      <c r="C153" s="1" t="n">
        <v>45994</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21535-2021</t>
        </is>
      </c>
      <c r="B154" s="1" t="n">
        <v>44321</v>
      </c>
      <c r="C154" s="1" t="n">
        <v>45994</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51888-2021</t>
        </is>
      </c>
      <c r="B155" s="1" t="n">
        <v>44462</v>
      </c>
      <c r="C155" s="1" t="n">
        <v>45994</v>
      </c>
      <c r="D155" t="inlineStr">
        <is>
          <t>SKÅNE LÄN</t>
        </is>
      </c>
      <c r="E155" t="inlineStr">
        <is>
          <t>HÄSSLEHOLM</t>
        </is>
      </c>
      <c r="G155" t="n">
        <v>5.6</v>
      </c>
      <c r="H155" t="n">
        <v>0</v>
      </c>
      <c r="I155" t="n">
        <v>0</v>
      </c>
      <c r="J155" t="n">
        <v>0</v>
      </c>
      <c r="K155" t="n">
        <v>0</v>
      </c>
      <c r="L155" t="n">
        <v>0</v>
      </c>
      <c r="M155" t="n">
        <v>0</v>
      </c>
      <c r="N155" t="n">
        <v>0</v>
      </c>
      <c r="O155" t="n">
        <v>0</v>
      </c>
      <c r="P155" t="n">
        <v>0</v>
      </c>
      <c r="Q155" t="n">
        <v>0</v>
      </c>
      <c r="R155" s="2" t="inlineStr"/>
    </row>
    <row r="156" ht="15" customHeight="1">
      <c r="A156" t="inlineStr">
        <is>
          <t>A 52786-2021</t>
        </is>
      </c>
      <c r="B156" s="1" t="n">
        <v>44467.36061342592</v>
      </c>
      <c r="C156" s="1" t="n">
        <v>45994</v>
      </c>
      <c r="D156" t="inlineStr">
        <is>
          <t>SKÅNE LÄN</t>
        </is>
      </c>
      <c r="E156" t="inlineStr">
        <is>
          <t>HÄSSLEHOLM</t>
        </is>
      </c>
      <c r="G156" t="n">
        <v>0.9</v>
      </c>
      <c r="H156" t="n">
        <v>0</v>
      </c>
      <c r="I156" t="n">
        <v>0</v>
      </c>
      <c r="J156" t="n">
        <v>0</v>
      </c>
      <c r="K156" t="n">
        <v>0</v>
      </c>
      <c r="L156" t="n">
        <v>0</v>
      </c>
      <c r="M156" t="n">
        <v>0</v>
      </c>
      <c r="N156" t="n">
        <v>0</v>
      </c>
      <c r="O156" t="n">
        <v>0</v>
      </c>
      <c r="P156" t="n">
        <v>0</v>
      </c>
      <c r="Q156" t="n">
        <v>0</v>
      </c>
      <c r="R156" s="2" t="inlineStr"/>
    </row>
    <row r="157" ht="15" customHeight="1">
      <c r="A157" t="inlineStr">
        <is>
          <t>A 34027-2021</t>
        </is>
      </c>
      <c r="B157" s="1" t="n">
        <v>44379</v>
      </c>
      <c r="C157" s="1" t="n">
        <v>45994</v>
      </c>
      <c r="D157" t="inlineStr">
        <is>
          <t>SKÅNE LÄN</t>
        </is>
      </c>
      <c r="E157" t="inlineStr">
        <is>
          <t>HÄSSLEHOLM</t>
        </is>
      </c>
      <c r="G157" t="n">
        <v>0.8</v>
      </c>
      <c r="H157" t="n">
        <v>0</v>
      </c>
      <c r="I157" t="n">
        <v>0</v>
      </c>
      <c r="J157" t="n">
        <v>0</v>
      </c>
      <c r="K157" t="n">
        <v>0</v>
      </c>
      <c r="L157" t="n">
        <v>0</v>
      </c>
      <c r="M157" t="n">
        <v>0</v>
      </c>
      <c r="N157" t="n">
        <v>0</v>
      </c>
      <c r="O157" t="n">
        <v>0</v>
      </c>
      <c r="P157" t="n">
        <v>0</v>
      </c>
      <c r="Q157" t="n">
        <v>0</v>
      </c>
      <c r="R157" s="2" t="inlineStr"/>
    </row>
    <row r="158" ht="15" customHeight="1">
      <c r="A158" t="inlineStr">
        <is>
          <t>A 6414-2022</t>
        </is>
      </c>
      <c r="B158" s="1" t="n">
        <v>44600</v>
      </c>
      <c r="C158" s="1" t="n">
        <v>45994</v>
      </c>
      <c r="D158" t="inlineStr">
        <is>
          <t>SKÅNE LÄN</t>
        </is>
      </c>
      <c r="E158" t="inlineStr">
        <is>
          <t>HÄSSLEHOLM</t>
        </is>
      </c>
      <c r="G158" t="n">
        <v>2.9</v>
      </c>
      <c r="H158" t="n">
        <v>0</v>
      </c>
      <c r="I158" t="n">
        <v>0</v>
      </c>
      <c r="J158" t="n">
        <v>0</v>
      </c>
      <c r="K158" t="n">
        <v>0</v>
      </c>
      <c r="L158" t="n">
        <v>0</v>
      </c>
      <c r="M158" t="n">
        <v>0</v>
      </c>
      <c r="N158" t="n">
        <v>0</v>
      </c>
      <c r="O158" t="n">
        <v>0</v>
      </c>
      <c r="P158" t="n">
        <v>0</v>
      </c>
      <c r="Q158" t="n">
        <v>0</v>
      </c>
      <c r="R158" s="2" t="inlineStr"/>
    </row>
    <row r="159" ht="15" customHeight="1">
      <c r="A159" t="inlineStr">
        <is>
          <t>A 29143-2021</t>
        </is>
      </c>
      <c r="B159" s="1" t="n">
        <v>44358.6319212963</v>
      </c>
      <c r="C159" s="1" t="n">
        <v>45994</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32792-2021</t>
        </is>
      </c>
      <c r="B160" s="1" t="n">
        <v>44375</v>
      </c>
      <c r="C160" s="1" t="n">
        <v>45994</v>
      </c>
      <c r="D160" t="inlineStr">
        <is>
          <t>SKÅNE LÄN</t>
        </is>
      </c>
      <c r="E160" t="inlineStr">
        <is>
          <t>HÄSSLEHOLM</t>
        </is>
      </c>
      <c r="G160" t="n">
        <v>1</v>
      </c>
      <c r="H160" t="n">
        <v>0</v>
      </c>
      <c r="I160" t="n">
        <v>0</v>
      </c>
      <c r="J160" t="n">
        <v>0</v>
      </c>
      <c r="K160" t="n">
        <v>0</v>
      </c>
      <c r="L160" t="n">
        <v>0</v>
      </c>
      <c r="M160" t="n">
        <v>0</v>
      </c>
      <c r="N160" t="n">
        <v>0</v>
      </c>
      <c r="O160" t="n">
        <v>0</v>
      </c>
      <c r="P160" t="n">
        <v>0</v>
      </c>
      <c r="Q160" t="n">
        <v>0</v>
      </c>
      <c r="R160" s="2" t="inlineStr"/>
    </row>
    <row r="161" ht="15" customHeight="1">
      <c r="A161" t="inlineStr">
        <is>
          <t>A 3167-2022</t>
        </is>
      </c>
      <c r="B161" s="1" t="n">
        <v>44582</v>
      </c>
      <c r="C161" s="1" t="n">
        <v>45994</v>
      </c>
      <c r="D161" t="inlineStr">
        <is>
          <t>SKÅNE LÄN</t>
        </is>
      </c>
      <c r="E161" t="inlineStr">
        <is>
          <t>HÄSSLEHOLM</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33736-2021</t>
        </is>
      </c>
      <c r="B162" s="1" t="n">
        <v>44378</v>
      </c>
      <c r="C162" s="1" t="n">
        <v>45994</v>
      </c>
      <c r="D162" t="inlineStr">
        <is>
          <t>SKÅNE LÄN</t>
        </is>
      </c>
      <c r="E162" t="inlineStr">
        <is>
          <t>HÄSSLEHOLM</t>
        </is>
      </c>
      <c r="G162" t="n">
        <v>7.6</v>
      </c>
      <c r="H162" t="n">
        <v>0</v>
      </c>
      <c r="I162" t="n">
        <v>0</v>
      </c>
      <c r="J162" t="n">
        <v>0</v>
      </c>
      <c r="K162" t="n">
        <v>0</v>
      </c>
      <c r="L162" t="n">
        <v>0</v>
      </c>
      <c r="M162" t="n">
        <v>0</v>
      </c>
      <c r="N162" t="n">
        <v>0</v>
      </c>
      <c r="O162" t="n">
        <v>0</v>
      </c>
      <c r="P162" t="n">
        <v>0</v>
      </c>
      <c r="Q162" t="n">
        <v>0</v>
      </c>
      <c r="R162" s="2" t="inlineStr"/>
    </row>
    <row r="163" ht="15" customHeight="1">
      <c r="A163" t="inlineStr">
        <is>
          <t>A 44669-2022</t>
        </is>
      </c>
      <c r="B163" s="1" t="n">
        <v>44840</v>
      </c>
      <c r="C163" s="1" t="n">
        <v>45994</v>
      </c>
      <c r="D163" t="inlineStr">
        <is>
          <t>SKÅNE LÄN</t>
        </is>
      </c>
      <c r="E163" t="inlineStr">
        <is>
          <t>HÄSSLEHOLM</t>
        </is>
      </c>
      <c r="G163" t="n">
        <v>1.2</v>
      </c>
      <c r="H163" t="n">
        <v>0</v>
      </c>
      <c r="I163" t="n">
        <v>0</v>
      </c>
      <c r="J163" t="n">
        <v>0</v>
      </c>
      <c r="K163" t="n">
        <v>0</v>
      </c>
      <c r="L163" t="n">
        <v>0</v>
      </c>
      <c r="M163" t="n">
        <v>0</v>
      </c>
      <c r="N163" t="n">
        <v>0</v>
      </c>
      <c r="O163" t="n">
        <v>0</v>
      </c>
      <c r="P163" t="n">
        <v>0</v>
      </c>
      <c r="Q163" t="n">
        <v>0</v>
      </c>
      <c r="R163" s="2" t="inlineStr"/>
    </row>
    <row r="164" ht="15" customHeight="1">
      <c r="A164" t="inlineStr">
        <is>
          <t>A 26386-2022</t>
        </is>
      </c>
      <c r="B164" s="1" t="n">
        <v>44735.6803125</v>
      </c>
      <c r="C164" s="1" t="n">
        <v>45994</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56431-2021</t>
        </is>
      </c>
      <c r="B165" s="1" t="n">
        <v>44480</v>
      </c>
      <c r="C165" s="1" t="n">
        <v>45994</v>
      </c>
      <c r="D165" t="inlineStr">
        <is>
          <t>SKÅNE LÄN</t>
        </is>
      </c>
      <c r="E165" t="inlineStr">
        <is>
          <t>HÄSSLEHOLM</t>
        </is>
      </c>
      <c r="F165" t="inlineStr">
        <is>
          <t>Kyrkan</t>
        </is>
      </c>
      <c r="G165" t="n">
        <v>0.9</v>
      </c>
      <c r="H165" t="n">
        <v>0</v>
      </c>
      <c r="I165" t="n">
        <v>0</v>
      </c>
      <c r="J165" t="n">
        <v>0</v>
      </c>
      <c r="K165" t="n">
        <v>0</v>
      </c>
      <c r="L165" t="n">
        <v>0</v>
      </c>
      <c r="M165" t="n">
        <v>0</v>
      </c>
      <c r="N165" t="n">
        <v>0</v>
      </c>
      <c r="O165" t="n">
        <v>0</v>
      </c>
      <c r="P165" t="n">
        <v>0</v>
      </c>
      <c r="Q165" t="n">
        <v>0</v>
      </c>
      <c r="R165" s="2" t="inlineStr"/>
    </row>
    <row r="166" ht="15" customHeight="1">
      <c r="A166" t="inlineStr">
        <is>
          <t>A 34679-2021</t>
        </is>
      </c>
      <c r="B166" s="1" t="n">
        <v>44382</v>
      </c>
      <c r="C166" s="1" t="n">
        <v>45994</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64211-2020</t>
        </is>
      </c>
      <c r="B167" s="1" t="n">
        <v>44168</v>
      </c>
      <c r="C167" s="1" t="n">
        <v>45994</v>
      </c>
      <c r="D167" t="inlineStr">
        <is>
          <t>SKÅNE LÄN</t>
        </is>
      </c>
      <c r="E167" t="inlineStr">
        <is>
          <t>HÄSSLEHOLM</t>
        </is>
      </c>
      <c r="G167" t="n">
        <v>4.1</v>
      </c>
      <c r="H167" t="n">
        <v>0</v>
      </c>
      <c r="I167" t="n">
        <v>0</v>
      </c>
      <c r="J167" t="n">
        <v>0</v>
      </c>
      <c r="K167" t="n">
        <v>0</v>
      </c>
      <c r="L167" t="n">
        <v>0</v>
      </c>
      <c r="M167" t="n">
        <v>0</v>
      </c>
      <c r="N167" t="n">
        <v>0</v>
      </c>
      <c r="O167" t="n">
        <v>0</v>
      </c>
      <c r="P167" t="n">
        <v>0</v>
      </c>
      <c r="Q167" t="n">
        <v>0</v>
      </c>
      <c r="R167" s="2" t="inlineStr"/>
    </row>
    <row r="168" ht="15" customHeight="1">
      <c r="A168" t="inlineStr">
        <is>
          <t>A 4161-2022</t>
        </is>
      </c>
      <c r="B168" s="1" t="n">
        <v>44588</v>
      </c>
      <c r="C168" s="1" t="n">
        <v>45994</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25469-2022</t>
        </is>
      </c>
      <c r="B169" s="1" t="n">
        <v>44732</v>
      </c>
      <c r="C169" s="1" t="n">
        <v>45994</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1535-2022</t>
        </is>
      </c>
      <c r="B170" s="1" t="n">
        <v>44573</v>
      </c>
      <c r="C170" s="1" t="n">
        <v>45994</v>
      </c>
      <c r="D170" t="inlineStr">
        <is>
          <t>SKÅNE LÄN</t>
        </is>
      </c>
      <c r="E170" t="inlineStr">
        <is>
          <t>HÄSSLEHOLM</t>
        </is>
      </c>
      <c r="G170" t="n">
        <v>15</v>
      </c>
      <c r="H170" t="n">
        <v>0</v>
      </c>
      <c r="I170" t="n">
        <v>0</v>
      </c>
      <c r="J170" t="n">
        <v>0</v>
      </c>
      <c r="K170" t="n">
        <v>0</v>
      </c>
      <c r="L170" t="n">
        <v>0</v>
      </c>
      <c r="M170" t="n">
        <v>0</v>
      </c>
      <c r="N170" t="n">
        <v>0</v>
      </c>
      <c r="O170" t="n">
        <v>0</v>
      </c>
      <c r="P170" t="n">
        <v>0</v>
      </c>
      <c r="Q170" t="n">
        <v>0</v>
      </c>
      <c r="R170" s="2" t="inlineStr"/>
    </row>
    <row r="171" ht="15" customHeight="1">
      <c r="A171" t="inlineStr">
        <is>
          <t>A 13982-2021</t>
        </is>
      </c>
      <c r="B171" s="1" t="n">
        <v>44277.57800925926</v>
      </c>
      <c r="C171" s="1" t="n">
        <v>45994</v>
      </c>
      <c r="D171" t="inlineStr">
        <is>
          <t>SKÅNE LÄN</t>
        </is>
      </c>
      <c r="E171" t="inlineStr">
        <is>
          <t>HÄSSLEHOLM</t>
        </is>
      </c>
      <c r="G171" t="n">
        <v>0.7</v>
      </c>
      <c r="H171" t="n">
        <v>0</v>
      </c>
      <c r="I171" t="n">
        <v>0</v>
      </c>
      <c r="J171" t="n">
        <v>0</v>
      </c>
      <c r="K171" t="n">
        <v>0</v>
      </c>
      <c r="L171" t="n">
        <v>0</v>
      </c>
      <c r="M171" t="n">
        <v>0</v>
      </c>
      <c r="N171" t="n">
        <v>0</v>
      </c>
      <c r="O171" t="n">
        <v>0</v>
      </c>
      <c r="P171" t="n">
        <v>0</v>
      </c>
      <c r="Q171" t="n">
        <v>0</v>
      </c>
      <c r="R171" s="2" t="inlineStr"/>
    </row>
    <row r="172" ht="15" customHeight="1">
      <c r="A172" t="inlineStr">
        <is>
          <t>A 40702-2021</t>
        </is>
      </c>
      <c r="B172" s="1" t="n">
        <v>44420.61719907408</v>
      </c>
      <c r="C172" s="1" t="n">
        <v>45994</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73513-2021</t>
        </is>
      </c>
      <c r="B173" s="1" t="n">
        <v>44551.69012731482</v>
      </c>
      <c r="C173" s="1" t="n">
        <v>45994</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21029-2021</t>
        </is>
      </c>
      <c r="B174" s="1" t="n">
        <v>44319.63366898148</v>
      </c>
      <c r="C174" s="1" t="n">
        <v>45994</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52567-2021</t>
        </is>
      </c>
      <c r="B175" s="1" t="n">
        <v>44466</v>
      </c>
      <c r="C175" s="1" t="n">
        <v>45994</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69198-2020</t>
        </is>
      </c>
      <c r="B176" s="1" t="n">
        <v>44191</v>
      </c>
      <c r="C176" s="1" t="n">
        <v>45994</v>
      </c>
      <c r="D176" t="inlineStr">
        <is>
          <t>SKÅNE LÄN</t>
        </is>
      </c>
      <c r="E176" t="inlineStr">
        <is>
          <t>HÄSSLEHOLM</t>
        </is>
      </c>
      <c r="G176" t="n">
        <v>6.6</v>
      </c>
      <c r="H176" t="n">
        <v>0</v>
      </c>
      <c r="I176" t="n">
        <v>0</v>
      </c>
      <c r="J176" t="n">
        <v>0</v>
      </c>
      <c r="K176" t="n">
        <v>0</v>
      </c>
      <c r="L176" t="n">
        <v>0</v>
      </c>
      <c r="M176" t="n">
        <v>0</v>
      </c>
      <c r="N176" t="n">
        <v>0</v>
      </c>
      <c r="O176" t="n">
        <v>0</v>
      </c>
      <c r="P176" t="n">
        <v>0</v>
      </c>
      <c r="Q176" t="n">
        <v>0</v>
      </c>
      <c r="R176" s="2" t="inlineStr"/>
    </row>
    <row r="177" ht="15" customHeight="1">
      <c r="A177" t="inlineStr">
        <is>
          <t>A 64607-2021</t>
        </is>
      </c>
      <c r="B177" s="1" t="n">
        <v>44511</v>
      </c>
      <c r="C177" s="1" t="n">
        <v>45994</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74297-2021</t>
        </is>
      </c>
      <c r="B178" s="1" t="n">
        <v>44558</v>
      </c>
      <c r="C178" s="1" t="n">
        <v>45994</v>
      </c>
      <c r="D178" t="inlineStr">
        <is>
          <t>SKÅNE LÄN</t>
        </is>
      </c>
      <c r="E178" t="inlineStr">
        <is>
          <t>HÄSSLEHOLM</t>
        </is>
      </c>
      <c r="F178" t="inlineStr">
        <is>
          <t>Kyrkan</t>
        </is>
      </c>
      <c r="G178" t="n">
        <v>3.8</v>
      </c>
      <c r="H178" t="n">
        <v>0</v>
      </c>
      <c r="I178" t="n">
        <v>0</v>
      </c>
      <c r="J178" t="n">
        <v>0</v>
      </c>
      <c r="K178" t="n">
        <v>0</v>
      </c>
      <c r="L178" t="n">
        <v>0</v>
      </c>
      <c r="M178" t="n">
        <v>0</v>
      </c>
      <c r="N178" t="n">
        <v>0</v>
      </c>
      <c r="O178" t="n">
        <v>0</v>
      </c>
      <c r="P178" t="n">
        <v>0</v>
      </c>
      <c r="Q178" t="n">
        <v>0</v>
      </c>
      <c r="R178" s="2" t="inlineStr"/>
    </row>
    <row r="179" ht="15" customHeight="1">
      <c r="A179" t="inlineStr">
        <is>
          <t>A 2514-2021</t>
        </is>
      </c>
      <c r="B179" s="1" t="n">
        <v>44214</v>
      </c>
      <c r="C179" s="1" t="n">
        <v>45994</v>
      </c>
      <c r="D179" t="inlineStr">
        <is>
          <t>SKÅNE LÄN</t>
        </is>
      </c>
      <c r="E179" t="inlineStr">
        <is>
          <t>HÄSSLEHOLM</t>
        </is>
      </c>
      <c r="G179" t="n">
        <v>2.3</v>
      </c>
      <c r="H179" t="n">
        <v>0</v>
      </c>
      <c r="I179" t="n">
        <v>0</v>
      </c>
      <c r="J179" t="n">
        <v>0</v>
      </c>
      <c r="K179" t="n">
        <v>0</v>
      </c>
      <c r="L179" t="n">
        <v>0</v>
      </c>
      <c r="M179" t="n">
        <v>0</v>
      </c>
      <c r="N179" t="n">
        <v>0</v>
      </c>
      <c r="O179" t="n">
        <v>0</v>
      </c>
      <c r="P179" t="n">
        <v>0</v>
      </c>
      <c r="Q179" t="n">
        <v>0</v>
      </c>
      <c r="R179" s="2" t="inlineStr"/>
    </row>
    <row r="180" ht="15" customHeight="1">
      <c r="A180" t="inlineStr">
        <is>
          <t>A 66474-2020</t>
        </is>
      </c>
      <c r="B180" s="1" t="n">
        <v>44177</v>
      </c>
      <c r="C180" s="1" t="n">
        <v>45994</v>
      </c>
      <c r="D180" t="inlineStr">
        <is>
          <t>SKÅNE LÄN</t>
        </is>
      </c>
      <c r="E180" t="inlineStr">
        <is>
          <t>HÄSSLEHOLM</t>
        </is>
      </c>
      <c r="G180" t="n">
        <v>2.8</v>
      </c>
      <c r="H180" t="n">
        <v>0</v>
      </c>
      <c r="I180" t="n">
        <v>0</v>
      </c>
      <c r="J180" t="n">
        <v>0</v>
      </c>
      <c r="K180" t="n">
        <v>0</v>
      </c>
      <c r="L180" t="n">
        <v>0</v>
      </c>
      <c r="M180" t="n">
        <v>0</v>
      </c>
      <c r="N180" t="n">
        <v>0</v>
      </c>
      <c r="O180" t="n">
        <v>0</v>
      </c>
      <c r="P180" t="n">
        <v>0</v>
      </c>
      <c r="Q180" t="n">
        <v>0</v>
      </c>
      <c r="R180" s="2" t="inlineStr"/>
    </row>
    <row r="181" ht="15" customHeight="1">
      <c r="A181" t="inlineStr">
        <is>
          <t>A 18515-2021</t>
        </is>
      </c>
      <c r="B181" s="1" t="n">
        <v>44305</v>
      </c>
      <c r="C181" s="1" t="n">
        <v>45994</v>
      </c>
      <c r="D181" t="inlineStr">
        <is>
          <t>SKÅNE LÄN</t>
        </is>
      </c>
      <c r="E181" t="inlineStr">
        <is>
          <t>HÄSSLEHOLM</t>
        </is>
      </c>
      <c r="F181" t="inlineStr">
        <is>
          <t>Övriga Aktiebolag</t>
        </is>
      </c>
      <c r="G181" t="n">
        <v>0.5</v>
      </c>
      <c r="H181" t="n">
        <v>0</v>
      </c>
      <c r="I181" t="n">
        <v>0</v>
      </c>
      <c r="J181" t="n">
        <v>0</v>
      </c>
      <c r="K181" t="n">
        <v>0</v>
      </c>
      <c r="L181" t="n">
        <v>0</v>
      </c>
      <c r="M181" t="n">
        <v>0</v>
      </c>
      <c r="N181" t="n">
        <v>0</v>
      </c>
      <c r="O181" t="n">
        <v>0</v>
      </c>
      <c r="P181" t="n">
        <v>0</v>
      </c>
      <c r="Q181" t="n">
        <v>0</v>
      </c>
      <c r="R181" s="2" t="inlineStr"/>
    </row>
    <row r="182" ht="15" customHeight="1">
      <c r="A182" t="inlineStr">
        <is>
          <t>A 18523-2021</t>
        </is>
      </c>
      <c r="B182" s="1" t="n">
        <v>44305</v>
      </c>
      <c r="C182" s="1" t="n">
        <v>45994</v>
      </c>
      <c r="D182" t="inlineStr">
        <is>
          <t>SKÅNE LÄN</t>
        </is>
      </c>
      <c r="E182" t="inlineStr">
        <is>
          <t>HÄSSLEHOLM</t>
        </is>
      </c>
      <c r="F182" t="inlineStr">
        <is>
          <t>Övriga Aktiebolag</t>
        </is>
      </c>
      <c r="G182" t="n">
        <v>1.2</v>
      </c>
      <c r="H182" t="n">
        <v>0</v>
      </c>
      <c r="I182" t="n">
        <v>0</v>
      </c>
      <c r="J182" t="n">
        <v>0</v>
      </c>
      <c r="K182" t="n">
        <v>0</v>
      </c>
      <c r="L182" t="n">
        <v>0</v>
      </c>
      <c r="M182" t="n">
        <v>0</v>
      </c>
      <c r="N182" t="n">
        <v>0</v>
      </c>
      <c r="O182" t="n">
        <v>0</v>
      </c>
      <c r="P182" t="n">
        <v>0</v>
      </c>
      <c r="Q182" t="n">
        <v>0</v>
      </c>
      <c r="R182" s="2" t="inlineStr"/>
    </row>
    <row r="183" ht="15" customHeight="1">
      <c r="A183" t="inlineStr">
        <is>
          <t>A 12617-2021</t>
        </is>
      </c>
      <c r="B183" s="1" t="n">
        <v>44270.45030092593</v>
      </c>
      <c r="C183" s="1" t="n">
        <v>45994</v>
      </c>
      <c r="D183" t="inlineStr">
        <is>
          <t>SKÅNE LÄN</t>
        </is>
      </c>
      <c r="E183" t="inlineStr">
        <is>
          <t>HÄSSLEHOLM</t>
        </is>
      </c>
      <c r="G183" t="n">
        <v>1.2</v>
      </c>
      <c r="H183" t="n">
        <v>0</v>
      </c>
      <c r="I183" t="n">
        <v>0</v>
      </c>
      <c r="J183" t="n">
        <v>0</v>
      </c>
      <c r="K183" t="n">
        <v>0</v>
      </c>
      <c r="L183" t="n">
        <v>0</v>
      </c>
      <c r="M183" t="n">
        <v>0</v>
      </c>
      <c r="N183" t="n">
        <v>0</v>
      </c>
      <c r="O183" t="n">
        <v>0</v>
      </c>
      <c r="P183" t="n">
        <v>0</v>
      </c>
      <c r="Q183" t="n">
        <v>0</v>
      </c>
      <c r="R183" s="2" t="inlineStr"/>
    </row>
    <row r="184" ht="15" customHeight="1">
      <c r="A184" t="inlineStr">
        <is>
          <t>A 66520-2020</t>
        </is>
      </c>
      <c r="B184" s="1" t="n">
        <v>44179</v>
      </c>
      <c r="C184" s="1" t="n">
        <v>45994</v>
      </c>
      <c r="D184" t="inlineStr">
        <is>
          <t>SKÅNE LÄN</t>
        </is>
      </c>
      <c r="E184" t="inlineStr">
        <is>
          <t>HÄSSLEHOLM</t>
        </is>
      </c>
      <c r="G184" t="n">
        <v>0.4</v>
      </c>
      <c r="H184" t="n">
        <v>0</v>
      </c>
      <c r="I184" t="n">
        <v>0</v>
      </c>
      <c r="J184" t="n">
        <v>0</v>
      </c>
      <c r="K184" t="n">
        <v>0</v>
      </c>
      <c r="L184" t="n">
        <v>0</v>
      </c>
      <c r="M184" t="n">
        <v>0</v>
      </c>
      <c r="N184" t="n">
        <v>0</v>
      </c>
      <c r="O184" t="n">
        <v>0</v>
      </c>
      <c r="P184" t="n">
        <v>0</v>
      </c>
      <c r="Q184" t="n">
        <v>0</v>
      </c>
      <c r="R184" s="2" t="inlineStr"/>
    </row>
    <row r="185" ht="15" customHeight="1">
      <c r="A185" t="inlineStr">
        <is>
          <t>A 6253-2022</t>
        </is>
      </c>
      <c r="B185" s="1" t="n">
        <v>44600</v>
      </c>
      <c r="C185" s="1" t="n">
        <v>45994</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6967-2021</t>
        </is>
      </c>
      <c r="B186" s="1" t="n">
        <v>44237</v>
      </c>
      <c r="C186" s="1" t="n">
        <v>45994</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45357-2022</t>
        </is>
      </c>
      <c r="B187" s="1" t="n">
        <v>44844.61952546296</v>
      </c>
      <c r="C187" s="1" t="n">
        <v>45994</v>
      </c>
      <c r="D187" t="inlineStr">
        <is>
          <t>SKÅNE LÄN</t>
        </is>
      </c>
      <c r="E187" t="inlineStr">
        <is>
          <t>HÄSSLEHOLM</t>
        </is>
      </c>
      <c r="G187" t="n">
        <v>5.8</v>
      </c>
      <c r="H187" t="n">
        <v>0</v>
      </c>
      <c r="I187" t="n">
        <v>0</v>
      </c>
      <c r="J187" t="n">
        <v>0</v>
      </c>
      <c r="K187" t="n">
        <v>0</v>
      </c>
      <c r="L187" t="n">
        <v>0</v>
      </c>
      <c r="M187" t="n">
        <v>0</v>
      </c>
      <c r="N187" t="n">
        <v>0</v>
      </c>
      <c r="O187" t="n">
        <v>0</v>
      </c>
      <c r="P187" t="n">
        <v>0</v>
      </c>
      <c r="Q187" t="n">
        <v>0</v>
      </c>
      <c r="R187" s="2" t="inlineStr"/>
    </row>
    <row r="188" ht="15" customHeight="1">
      <c r="A188" t="inlineStr">
        <is>
          <t>A 2631-2022</t>
        </is>
      </c>
      <c r="B188" s="1" t="n">
        <v>44580</v>
      </c>
      <c r="C188" s="1" t="n">
        <v>45994</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45989-2021</t>
        </is>
      </c>
      <c r="B189" s="1" t="n">
        <v>44441.74627314815</v>
      </c>
      <c r="C189" s="1" t="n">
        <v>45994</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6965-2021</t>
        </is>
      </c>
      <c r="B190" s="1" t="n">
        <v>44237</v>
      </c>
      <c r="C190" s="1" t="n">
        <v>45994</v>
      </c>
      <c r="D190" t="inlineStr">
        <is>
          <t>SKÅNE LÄN</t>
        </is>
      </c>
      <c r="E190" t="inlineStr">
        <is>
          <t>HÄSSLEHOLM</t>
        </is>
      </c>
      <c r="G190" t="n">
        <v>0.3</v>
      </c>
      <c r="H190" t="n">
        <v>0</v>
      </c>
      <c r="I190" t="n">
        <v>0</v>
      </c>
      <c r="J190" t="n">
        <v>0</v>
      </c>
      <c r="K190" t="n">
        <v>0</v>
      </c>
      <c r="L190" t="n">
        <v>0</v>
      </c>
      <c r="M190" t="n">
        <v>0</v>
      </c>
      <c r="N190" t="n">
        <v>0</v>
      </c>
      <c r="O190" t="n">
        <v>0</v>
      </c>
      <c r="P190" t="n">
        <v>0</v>
      </c>
      <c r="Q190" t="n">
        <v>0</v>
      </c>
      <c r="R190" s="2" t="inlineStr"/>
    </row>
    <row r="191" ht="15" customHeight="1">
      <c r="A191" t="inlineStr">
        <is>
          <t>A 7248-2021</t>
        </is>
      </c>
      <c r="B191" s="1" t="n">
        <v>44236</v>
      </c>
      <c r="C191" s="1" t="n">
        <v>45994</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30344-2022</t>
        </is>
      </c>
      <c r="B192" s="1" t="n">
        <v>44760.50783564815</v>
      </c>
      <c r="C192" s="1" t="n">
        <v>45994</v>
      </c>
      <c r="D192" t="inlineStr">
        <is>
          <t>SKÅNE LÄN</t>
        </is>
      </c>
      <c r="E192" t="inlineStr">
        <is>
          <t>HÄSSLEHOLM</t>
        </is>
      </c>
      <c r="G192" t="n">
        <v>0.6</v>
      </c>
      <c r="H192" t="n">
        <v>0</v>
      </c>
      <c r="I192" t="n">
        <v>0</v>
      </c>
      <c r="J192" t="n">
        <v>0</v>
      </c>
      <c r="K192" t="n">
        <v>0</v>
      </c>
      <c r="L192" t="n">
        <v>0</v>
      </c>
      <c r="M192" t="n">
        <v>0</v>
      </c>
      <c r="N192" t="n">
        <v>0</v>
      </c>
      <c r="O192" t="n">
        <v>0</v>
      </c>
      <c r="P192" t="n">
        <v>0</v>
      </c>
      <c r="Q192" t="n">
        <v>0</v>
      </c>
      <c r="R192" s="2" t="inlineStr"/>
    </row>
    <row r="193" ht="15" customHeight="1">
      <c r="A193" t="inlineStr">
        <is>
          <t>A 25788-2021</t>
        </is>
      </c>
      <c r="B193" s="1" t="n">
        <v>44343</v>
      </c>
      <c r="C193" s="1" t="n">
        <v>45994</v>
      </c>
      <c r="D193" t="inlineStr">
        <is>
          <t>SKÅNE LÄN</t>
        </is>
      </c>
      <c r="E193" t="inlineStr">
        <is>
          <t>HÄSSLEHOLM</t>
        </is>
      </c>
      <c r="G193" t="n">
        <v>4.8</v>
      </c>
      <c r="H193" t="n">
        <v>0</v>
      </c>
      <c r="I193" t="n">
        <v>0</v>
      </c>
      <c r="J193" t="n">
        <v>0</v>
      </c>
      <c r="K193" t="n">
        <v>0</v>
      </c>
      <c r="L193" t="n">
        <v>0</v>
      </c>
      <c r="M193" t="n">
        <v>0</v>
      </c>
      <c r="N193" t="n">
        <v>0</v>
      </c>
      <c r="O193" t="n">
        <v>0</v>
      </c>
      <c r="P193" t="n">
        <v>0</v>
      </c>
      <c r="Q193" t="n">
        <v>0</v>
      </c>
      <c r="R193" s="2" t="inlineStr"/>
    </row>
    <row r="194" ht="15" customHeight="1">
      <c r="A194" t="inlineStr">
        <is>
          <t>A 56527-2021</t>
        </is>
      </c>
      <c r="B194" s="1" t="n">
        <v>44480</v>
      </c>
      <c r="C194" s="1" t="n">
        <v>45994</v>
      </c>
      <c r="D194" t="inlineStr">
        <is>
          <t>SKÅNE LÄN</t>
        </is>
      </c>
      <c r="E194" t="inlineStr">
        <is>
          <t>HÄSSLEHOLM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8695-2021</t>
        </is>
      </c>
      <c r="B195" s="1" t="n">
        <v>44246</v>
      </c>
      <c r="C195" s="1" t="n">
        <v>45994</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3992-2022</t>
        </is>
      </c>
      <c r="B196" s="1" t="n">
        <v>44587</v>
      </c>
      <c r="C196" s="1" t="n">
        <v>45994</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25955-2022</t>
        </is>
      </c>
      <c r="B197" s="1" t="n">
        <v>44734</v>
      </c>
      <c r="C197" s="1" t="n">
        <v>45994</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13811-2021</t>
        </is>
      </c>
      <c r="B198" s="1" t="n">
        <v>44276</v>
      </c>
      <c r="C198" s="1" t="n">
        <v>45994</v>
      </c>
      <c r="D198" t="inlineStr">
        <is>
          <t>SKÅNE LÄN</t>
        </is>
      </c>
      <c r="E198" t="inlineStr">
        <is>
          <t>HÄSSLEHOLM</t>
        </is>
      </c>
      <c r="G198" t="n">
        <v>8</v>
      </c>
      <c r="H198" t="n">
        <v>0</v>
      </c>
      <c r="I198" t="n">
        <v>0</v>
      </c>
      <c r="J198" t="n">
        <v>0</v>
      </c>
      <c r="K198" t="n">
        <v>0</v>
      </c>
      <c r="L198" t="n">
        <v>0</v>
      </c>
      <c r="M198" t="n">
        <v>0</v>
      </c>
      <c r="N198" t="n">
        <v>0</v>
      </c>
      <c r="O198" t="n">
        <v>0</v>
      </c>
      <c r="P198" t="n">
        <v>0</v>
      </c>
      <c r="Q198" t="n">
        <v>0</v>
      </c>
      <c r="R198" s="2" t="inlineStr"/>
    </row>
    <row r="199" ht="15" customHeight="1">
      <c r="A199" t="inlineStr">
        <is>
          <t>A 418-2022</t>
        </is>
      </c>
      <c r="B199" s="1" t="n">
        <v>44565.84958333334</v>
      </c>
      <c r="C199" s="1" t="n">
        <v>45994</v>
      </c>
      <c r="D199" t="inlineStr">
        <is>
          <t>SKÅNE LÄN</t>
        </is>
      </c>
      <c r="E199" t="inlineStr">
        <is>
          <t>HÄSSLEHOLM</t>
        </is>
      </c>
      <c r="G199" t="n">
        <v>0</v>
      </c>
      <c r="H199" t="n">
        <v>0</v>
      </c>
      <c r="I199" t="n">
        <v>0</v>
      </c>
      <c r="J199" t="n">
        <v>0</v>
      </c>
      <c r="K199" t="n">
        <v>0</v>
      </c>
      <c r="L199" t="n">
        <v>0</v>
      </c>
      <c r="M199" t="n">
        <v>0</v>
      </c>
      <c r="N199" t="n">
        <v>0</v>
      </c>
      <c r="O199" t="n">
        <v>0</v>
      </c>
      <c r="P199" t="n">
        <v>0</v>
      </c>
      <c r="Q199" t="n">
        <v>0</v>
      </c>
      <c r="R199" s="2" t="inlineStr"/>
    </row>
    <row r="200" ht="15" customHeight="1">
      <c r="A200" t="inlineStr">
        <is>
          <t>A 20657-2022</t>
        </is>
      </c>
      <c r="B200" s="1" t="n">
        <v>44700</v>
      </c>
      <c r="C200" s="1" t="n">
        <v>45994</v>
      </c>
      <c r="D200" t="inlineStr">
        <is>
          <t>SKÅNE LÄN</t>
        </is>
      </c>
      <c r="E200" t="inlineStr">
        <is>
          <t>HÄSSLEHOLM</t>
        </is>
      </c>
      <c r="G200" t="n">
        <v>3.8</v>
      </c>
      <c r="H200" t="n">
        <v>0</v>
      </c>
      <c r="I200" t="n">
        <v>0</v>
      </c>
      <c r="J200" t="n">
        <v>0</v>
      </c>
      <c r="K200" t="n">
        <v>0</v>
      </c>
      <c r="L200" t="n">
        <v>0</v>
      </c>
      <c r="M200" t="n">
        <v>0</v>
      </c>
      <c r="N200" t="n">
        <v>0</v>
      </c>
      <c r="O200" t="n">
        <v>0</v>
      </c>
      <c r="P200" t="n">
        <v>0</v>
      </c>
      <c r="Q200" t="n">
        <v>0</v>
      </c>
      <c r="R200" s="2" t="inlineStr"/>
    </row>
    <row r="201" ht="15" customHeight="1">
      <c r="A201" t="inlineStr">
        <is>
          <t>A 7262-2022</t>
        </is>
      </c>
      <c r="B201" s="1" t="n">
        <v>44606</v>
      </c>
      <c r="C201" s="1" t="n">
        <v>45994</v>
      </c>
      <c r="D201" t="inlineStr">
        <is>
          <t>SKÅNE LÄN</t>
        </is>
      </c>
      <c r="E201" t="inlineStr">
        <is>
          <t>HÄSSLEHOLM</t>
        </is>
      </c>
      <c r="F201" t="inlineStr">
        <is>
          <t>Övriga Aktiebolag</t>
        </is>
      </c>
      <c r="G201" t="n">
        <v>1</v>
      </c>
      <c r="H201" t="n">
        <v>0</v>
      </c>
      <c r="I201" t="n">
        <v>0</v>
      </c>
      <c r="J201" t="n">
        <v>0</v>
      </c>
      <c r="K201" t="n">
        <v>0</v>
      </c>
      <c r="L201" t="n">
        <v>0</v>
      </c>
      <c r="M201" t="n">
        <v>0</v>
      </c>
      <c r="N201" t="n">
        <v>0</v>
      </c>
      <c r="O201" t="n">
        <v>0</v>
      </c>
      <c r="P201" t="n">
        <v>0</v>
      </c>
      <c r="Q201" t="n">
        <v>0</v>
      </c>
      <c r="R201" s="2" t="inlineStr"/>
    </row>
    <row r="202" ht="15" customHeight="1">
      <c r="A202" t="inlineStr">
        <is>
          <t>A 69505-2020</t>
        </is>
      </c>
      <c r="B202" s="1" t="n">
        <v>44194</v>
      </c>
      <c r="C202" s="1" t="n">
        <v>45994</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3930-2021</t>
        </is>
      </c>
      <c r="B203" s="1" t="n">
        <v>44222</v>
      </c>
      <c r="C203" s="1" t="n">
        <v>45994</v>
      </c>
      <c r="D203" t="inlineStr">
        <is>
          <t>SKÅNE LÄN</t>
        </is>
      </c>
      <c r="E203" t="inlineStr">
        <is>
          <t>HÄSSLEHOLM</t>
        </is>
      </c>
      <c r="G203" t="n">
        <v>3.4</v>
      </c>
      <c r="H203" t="n">
        <v>0</v>
      </c>
      <c r="I203" t="n">
        <v>0</v>
      </c>
      <c r="J203" t="n">
        <v>0</v>
      </c>
      <c r="K203" t="n">
        <v>0</v>
      </c>
      <c r="L203" t="n">
        <v>0</v>
      </c>
      <c r="M203" t="n">
        <v>0</v>
      </c>
      <c r="N203" t="n">
        <v>0</v>
      </c>
      <c r="O203" t="n">
        <v>0</v>
      </c>
      <c r="P203" t="n">
        <v>0</v>
      </c>
      <c r="Q203" t="n">
        <v>0</v>
      </c>
      <c r="R203" s="2" t="inlineStr"/>
    </row>
    <row r="204" ht="15" customHeight="1">
      <c r="A204" t="inlineStr">
        <is>
          <t>A 23956-2023</t>
        </is>
      </c>
      <c r="B204" s="1" t="n">
        <v>45078.62302083334</v>
      </c>
      <c r="C204" s="1" t="n">
        <v>45994</v>
      </c>
      <c r="D204" t="inlineStr">
        <is>
          <t>SKÅNE LÄN</t>
        </is>
      </c>
      <c r="E204" t="inlineStr">
        <is>
          <t>HÄSSLEHOLM</t>
        </is>
      </c>
      <c r="G204" t="n">
        <v>0.1</v>
      </c>
      <c r="H204" t="n">
        <v>0</v>
      </c>
      <c r="I204" t="n">
        <v>0</v>
      </c>
      <c r="J204" t="n">
        <v>0</v>
      </c>
      <c r="K204" t="n">
        <v>0</v>
      </c>
      <c r="L204" t="n">
        <v>0</v>
      </c>
      <c r="M204" t="n">
        <v>0</v>
      </c>
      <c r="N204" t="n">
        <v>0</v>
      </c>
      <c r="O204" t="n">
        <v>0</v>
      </c>
      <c r="P204" t="n">
        <v>0</v>
      </c>
      <c r="Q204" t="n">
        <v>0</v>
      </c>
      <c r="R204" s="2" t="inlineStr"/>
    </row>
    <row r="205" ht="15" customHeight="1">
      <c r="A205" t="inlineStr">
        <is>
          <t>A 20510-2021</t>
        </is>
      </c>
      <c r="B205" s="1" t="n">
        <v>44315</v>
      </c>
      <c r="C205" s="1" t="n">
        <v>45994</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64826-2021</t>
        </is>
      </c>
      <c r="B206" s="1" t="n">
        <v>44512.55935185185</v>
      </c>
      <c r="C206" s="1" t="n">
        <v>45994</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23967-2022</t>
        </is>
      </c>
      <c r="B207" s="1" t="n">
        <v>44722.74079861111</v>
      </c>
      <c r="C207" s="1" t="n">
        <v>45994</v>
      </c>
      <c r="D207" t="inlineStr">
        <is>
          <t>SKÅNE LÄN</t>
        </is>
      </c>
      <c r="E207" t="inlineStr">
        <is>
          <t>HÄSSLEHOLM</t>
        </is>
      </c>
      <c r="F207" t="inlineStr">
        <is>
          <t>Kyrkan</t>
        </is>
      </c>
      <c r="G207" t="n">
        <v>12.4</v>
      </c>
      <c r="H207" t="n">
        <v>0</v>
      </c>
      <c r="I207" t="n">
        <v>0</v>
      </c>
      <c r="J207" t="n">
        <v>0</v>
      </c>
      <c r="K207" t="n">
        <v>0</v>
      </c>
      <c r="L207" t="n">
        <v>0</v>
      </c>
      <c r="M207" t="n">
        <v>0</v>
      </c>
      <c r="N207" t="n">
        <v>0</v>
      </c>
      <c r="O207" t="n">
        <v>0</v>
      </c>
      <c r="P207" t="n">
        <v>0</v>
      </c>
      <c r="Q207" t="n">
        <v>0</v>
      </c>
      <c r="R207" s="2" t="inlineStr"/>
    </row>
    <row r="208" ht="15" customHeight="1">
      <c r="A208" t="inlineStr">
        <is>
          <t>A 69504-2020</t>
        </is>
      </c>
      <c r="B208" s="1" t="n">
        <v>44194</v>
      </c>
      <c r="C208" s="1" t="n">
        <v>45994</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7904-2022</t>
        </is>
      </c>
      <c r="B209" s="1" t="n">
        <v>44607</v>
      </c>
      <c r="C209" s="1" t="n">
        <v>45994</v>
      </c>
      <c r="D209" t="inlineStr">
        <is>
          <t>SKÅNE LÄN</t>
        </is>
      </c>
      <c r="E209" t="inlineStr">
        <is>
          <t>HÄSSLEHOLM</t>
        </is>
      </c>
      <c r="F209" t="inlineStr">
        <is>
          <t>Kyrkan</t>
        </is>
      </c>
      <c r="G209" t="n">
        <v>3.9</v>
      </c>
      <c r="H209" t="n">
        <v>0</v>
      </c>
      <c r="I209" t="n">
        <v>0</v>
      </c>
      <c r="J209" t="n">
        <v>0</v>
      </c>
      <c r="K209" t="n">
        <v>0</v>
      </c>
      <c r="L209" t="n">
        <v>0</v>
      </c>
      <c r="M209" t="n">
        <v>0</v>
      </c>
      <c r="N209" t="n">
        <v>0</v>
      </c>
      <c r="O209" t="n">
        <v>0</v>
      </c>
      <c r="P209" t="n">
        <v>0</v>
      </c>
      <c r="Q209" t="n">
        <v>0</v>
      </c>
      <c r="R209" s="2" t="inlineStr"/>
    </row>
    <row r="210" ht="15" customHeight="1">
      <c r="A210" t="inlineStr">
        <is>
          <t>A 9453-2021</t>
        </is>
      </c>
      <c r="B210" s="1" t="n">
        <v>44251</v>
      </c>
      <c r="C210" s="1" t="n">
        <v>45994</v>
      </c>
      <c r="D210" t="inlineStr">
        <is>
          <t>SKÅNE LÄN</t>
        </is>
      </c>
      <c r="E210" t="inlineStr">
        <is>
          <t>HÄSSLEHOLM</t>
        </is>
      </c>
      <c r="G210" t="n">
        <v>1.4</v>
      </c>
      <c r="H210" t="n">
        <v>0</v>
      </c>
      <c r="I210" t="n">
        <v>0</v>
      </c>
      <c r="J210" t="n">
        <v>0</v>
      </c>
      <c r="K210" t="n">
        <v>0</v>
      </c>
      <c r="L210" t="n">
        <v>0</v>
      </c>
      <c r="M210" t="n">
        <v>0</v>
      </c>
      <c r="N210" t="n">
        <v>0</v>
      </c>
      <c r="O210" t="n">
        <v>0</v>
      </c>
      <c r="P210" t="n">
        <v>0</v>
      </c>
      <c r="Q210" t="n">
        <v>0</v>
      </c>
      <c r="R210" s="2" t="inlineStr"/>
    </row>
    <row r="211" ht="15" customHeight="1">
      <c r="A211" t="inlineStr">
        <is>
          <t>A 14674-2025</t>
        </is>
      </c>
      <c r="B211" s="1" t="n">
        <v>45742.55548611111</v>
      </c>
      <c r="C211" s="1" t="n">
        <v>45994</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14702-2025</t>
        </is>
      </c>
      <c r="B212" s="1" t="n">
        <v>45742.60403935185</v>
      </c>
      <c r="C212" s="1" t="n">
        <v>45994</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7250-2022</t>
        </is>
      </c>
      <c r="B213" s="1" t="n">
        <v>44606</v>
      </c>
      <c r="C213" s="1" t="n">
        <v>45994</v>
      </c>
      <c r="D213" t="inlineStr">
        <is>
          <t>SKÅNE LÄN</t>
        </is>
      </c>
      <c r="E213" t="inlineStr">
        <is>
          <t>HÄSSLEHOLM</t>
        </is>
      </c>
      <c r="F213" t="inlineStr">
        <is>
          <t>Övriga Aktiebolag</t>
        </is>
      </c>
      <c r="G213" t="n">
        <v>2.6</v>
      </c>
      <c r="H213" t="n">
        <v>0</v>
      </c>
      <c r="I213" t="n">
        <v>0</v>
      </c>
      <c r="J213" t="n">
        <v>0</v>
      </c>
      <c r="K213" t="n">
        <v>0</v>
      </c>
      <c r="L213" t="n">
        <v>0</v>
      </c>
      <c r="M213" t="n">
        <v>0</v>
      </c>
      <c r="N213" t="n">
        <v>0</v>
      </c>
      <c r="O213" t="n">
        <v>0</v>
      </c>
      <c r="P213" t="n">
        <v>0</v>
      </c>
      <c r="Q213" t="n">
        <v>0</v>
      </c>
      <c r="R213" s="2" t="inlineStr"/>
    </row>
    <row r="214" ht="15" customHeight="1">
      <c r="A214" t="inlineStr">
        <is>
          <t>A 8177-2022</t>
        </is>
      </c>
      <c r="B214" s="1" t="n">
        <v>44607</v>
      </c>
      <c r="C214" s="1" t="n">
        <v>45994</v>
      </c>
      <c r="D214" t="inlineStr">
        <is>
          <t>SKÅNE LÄN</t>
        </is>
      </c>
      <c r="E214" t="inlineStr">
        <is>
          <t>HÄSSLEHOLM</t>
        </is>
      </c>
      <c r="F214" t="inlineStr">
        <is>
          <t>Kyrkan</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25464-2022</t>
        </is>
      </c>
      <c r="B215" s="1" t="n">
        <v>44729</v>
      </c>
      <c r="C215" s="1" t="n">
        <v>45994</v>
      </c>
      <c r="D215" t="inlineStr">
        <is>
          <t>SKÅNE LÄN</t>
        </is>
      </c>
      <c r="E215" t="inlineStr">
        <is>
          <t>HÄSSLEHOLM</t>
        </is>
      </c>
      <c r="G215" t="n">
        <v>21</v>
      </c>
      <c r="H215" t="n">
        <v>0</v>
      </c>
      <c r="I215" t="n">
        <v>0</v>
      </c>
      <c r="J215" t="n">
        <v>0</v>
      </c>
      <c r="K215" t="n">
        <v>0</v>
      </c>
      <c r="L215" t="n">
        <v>0</v>
      </c>
      <c r="M215" t="n">
        <v>0</v>
      </c>
      <c r="N215" t="n">
        <v>0</v>
      </c>
      <c r="O215" t="n">
        <v>0</v>
      </c>
      <c r="P215" t="n">
        <v>0</v>
      </c>
      <c r="Q215" t="n">
        <v>0</v>
      </c>
      <c r="R215" s="2" t="inlineStr"/>
    </row>
    <row r="216" ht="15" customHeight="1">
      <c r="A216" t="inlineStr">
        <is>
          <t>A 16388-2025</t>
        </is>
      </c>
      <c r="B216" s="1" t="n">
        <v>45751.42787037037</v>
      </c>
      <c r="C216" s="1" t="n">
        <v>45994</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51895-2021</t>
        </is>
      </c>
      <c r="B217" s="1" t="n">
        <v>44462</v>
      </c>
      <c r="C217" s="1" t="n">
        <v>45994</v>
      </c>
      <c r="D217" t="inlineStr">
        <is>
          <t>SKÅNE LÄN</t>
        </is>
      </c>
      <c r="E217" t="inlineStr">
        <is>
          <t>HÄSSLEHOLM</t>
        </is>
      </c>
      <c r="G217" t="n">
        <v>5.7</v>
      </c>
      <c r="H217" t="n">
        <v>0</v>
      </c>
      <c r="I217" t="n">
        <v>0</v>
      </c>
      <c r="J217" t="n">
        <v>0</v>
      </c>
      <c r="K217" t="n">
        <v>0</v>
      </c>
      <c r="L217" t="n">
        <v>0</v>
      </c>
      <c r="M217" t="n">
        <v>0</v>
      </c>
      <c r="N217" t="n">
        <v>0</v>
      </c>
      <c r="O217" t="n">
        <v>0</v>
      </c>
      <c r="P217" t="n">
        <v>0</v>
      </c>
      <c r="Q217" t="n">
        <v>0</v>
      </c>
      <c r="R217" s="2" t="inlineStr"/>
    </row>
    <row r="218" ht="15" customHeight="1">
      <c r="A218" t="inlineStr">
        <is>
          <t>A 23950-2023</t>
        </is>
      </c>
      <c r="B218" s="1" t="n">
        <v>45078.61771990741</v>
      </c>
      <c r="C218" s="1" t="n">
        <v>45994</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23952-2023</t>
        </is>
      </c>
      <c r="B219" s="1" t="n">
        <v>45078.62064814815</v>
      </c>
      <c r="C219" s="1" t="n">
        <v>45994</v>
      </c>
      <c r="D219" t="inlineStr">
        <is>
          <t>SKÅNE LÄN</t>
        </is>
      </c>
      <c r="E219" t="inlineStr">
        <is>
          <t>HÄSSLEHOLM</t>
        </is>
      </c>
      <c r="G219" t="n">
        <v>0.4</v>
      </c>
      <c r="H219" t="n">
        <v>0</v>
      </c>
      <c r="I219" t="n">
        <v>0</v>
      </c>
      <c r="J219" t="n">
        <v>0</v>
      </c>
      <c r="K219" t="n">
        <v>0</v>
      </c>
      <c r="L219" t="n">
        <v>0</v>
      </c>
      <c r="M219" t="n">
        <v>0</v>
      </c>
      <c r="N219" t="n">
        <v>0</v>
      </c>
      <c r="O219" t="n">
        <v>0</v>
      </c>
      <c r="P219" t="n">
        <v>0</v>
      </c>
      <c r="Q219" t="n">
        <v>0</v>
      </c>
      <c r="R219" s="2" t="inlineStr"/>
    </row>
    <row r="220" ht="15" customHeight="1">
      <c r="A220" t="inlineStr">
        <is>
          <t>A 35974-2022</t>
        </is>
      </c>
      <c r="B220" s="1" t="n">
        <v>44802</v>
      </c>
      <c r="C220" s="1" t="n">
        <v>45994</v>
      </c>
      <c r="D220" t="inlineStr">
        <is>
          <t>SKÅNE LÄN</t>
        </is>
      </c>
      <c r="E220" t="inlineStr">
        <is>
          <t>HÄSSLEHOLM</t>
        </is>
      </c>
      <c r="G220" t="n">
        <v>3.8</v>
      </c>
      <c r="H220" t="n">
        <v>0</v>
      </c>
      <c r="I220" t="n">
        <v>0</v>
      </c>
      <c r="J220" t="n">
        <v>0</v>
      </c>
      <c r="K220" t="n">
        <v>0</v>
      </c>
      <c r="L220" t="n">
        <v>0</v>
      </c>
      <c r="M220" t="n">
        <v>0</v>
      </c>
      <c r="N220" t="n">
        <v>0</v>
      </c>
      <c r="O220" t="n">
        <v>0</v>
      </c>
      <c r="P220" t="n">
        <v>0</v>
      </c>
      <c r="Q220" t="n">
        <v>0</v>
      </c>
      <c r="R220" s="2" t="inlineStr"/>
    </row>
    <row r="221" ht="15" customHeight="1">
      <c r="A221" t="inlineStr">
        <is>
          <t>A 1619-2022</t>
        </is>
      </c>
      <c r="B221" s="1" t="n">
        <v>44573</v>
      </c>
      <c r="C221" s="1" t="n">
        <v>45994</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41874-2024</t>
        </is>
      </c>
      <c r="B222" s="1" t="n">
        <v>45561</v>
      </c>
      <c r="C222" s="1" t="n">
        <v>45994</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35237-2023</t>
        </is>
      </c>
      <c r="B223" s="1" t="n">
        <v>45145.74532407407</v>
      </c>
      <c r="C223" s="1" t="n">
        <v>45994</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55284-2023</t>
        </is>
      </c>
      <c r="B224" s="1" t="n">
        <v>45237.74259259259</v>
      </c>
      <c r="C224" s="1" t="n">
        <v>45994</v>
      </c>
      <c r="D224" t="inlineStr">
        <is>
          <t>SKÅNE LÄN</t>
        </is>
      </c>
      <c r="E224" t="inlineStr">
        <is>
          <t>HÄSSLEHOLM</t>
        </is>
      </c>
      <c r="G224" t="n">
        <v>1.4</v>
      </c>
      <c r="H224" t="n">
        <v>0</v>
      </c>
      <c r="I224" t="n">
        <v>0</v>
      </c>
      <c r="J224" t="n">
        <v>0</v>
      </c>
      <c r="K224" t="n">
        <v>0</v>
      </c>
      <c r="L224" t="n">
        <v>0</v>
      </c>
      <c r="M224" t="n">
        <v>0</v>
      </c>
      <c r="N224" t="n">
        <v>0</v>
      </c>
      <c r="O224" t="n">
        <v>0</v>
      </c>
      <c r="P224" t="n">
        <v>0</v>
      </c>
      <c r="Q224" t="n">
        <v>0</v>
      </c>
      <c r="R224" s="2" t="inlineStr"/>
    </row>
    <row r="225" ht="15" customHeight="1">
      <c r="A225" t="inlineStr">
        <is>
          <t>A 219-2022</t>
        </is>
      </c>
      <c r="B225" s="1" t="n">
        <v>44564</v>
      </c>
      <c r="C225" s="1" t="n">
        <v>45994</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6048-2022</t>
        </is>
      </c>
      <c r="B226" s="1" t="n">
        <v>44599.5174537037</v>
      </c>
      <c r="C226" s="1" t="n">
        <v>45994</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55412-2022</t>
        </is>
      </c>
      <c r="B227" s="1" t="n">
        <v>44882</v>
      </c>
      <c r="C227" s="1" t="n">
        <v>45994</v>
      </c>
      <c r="D227" t="inlineStr">
        <is>
          <t>SKÅNE LÄN</t>
        </is>
      </c>
      <c r="E227" t="inlineStr">
        <is>
          <t>HÄSSLEHOLM</t>
        </is>
      </c>
      <c r="F227" t="inlineStr">
        <is>
          <t>Övriga Aktiebolag</t>
        </is>
      </c>
      <c r="G227" t="n">
        <v>4</v>
      </c>
      <c r="H227" t="n">
        <v>0</v>
      </c>
      <c r="I227" t="n">
        <v>0</v>
      </c>
      <c r="J227" t="n">
        <v>0</v>
      </c>
      <c r="K227" t="n">
        <v>0</v>
      </c>
      <c r="L227" t="n">
        <v>0</v>
      </c>
      <c r="M227" t="n">
        <v>0</v>
      </c>
      <c r="N227" t="n">
        <v>0</v>
      </c>
      <c r="O227" t="n">
        <v>0</v>
      </c>
      <c r="P227" t="n">
        <v>0</v>
      </c>
      <c r="Q227" t="n">
        <v>0</v>
      </c>
      <c r="R227" s="2" t="inlineStr"/>
    </row>
    <row r="228" ht="15" customHeight="1">
      <c r="A228" t="inlineStr">
        <is>
          <t>A 53576-2022</t>
        </is>
      </c>
      <c r="B228" s="1" t="n">
        <v>44875</v>
      </c>
      <c r="C228" s="1" t="n">
        <v>45994</v>
      </c>
      <c r="D228" t="inlineStr">
        <is>
          <t>SKÅNE LÄN</t>
        </is>
      </c>
      <c r="E228" t="inlineStr">
        <is>
          <t>HÄSSLEHOLM</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32008-2024</t>
        </is>
      </c>
      <c r="B229" s="1" t="n">
        <v>45510</v>
      </c>
      <c r="C229" s="1" t="n">
        <v>45994</v>
      </c>
      <c r="D229" t="inlineStr">
        <is>
          <t>SKÅNE LÄN</t>
        </is>
      </c>
      <c r="E229" t="inlineStr">
        <is>
          <t>HÄSSLEHOLM</t>
        </is>
      </c>
      <c r="G229" t="n">
        <v>5.1</v>
      </c>
      <c r="H229" t="n">
        <v>0</v>
      </c>
      <c r="I229" t="n">
        <v>0</v>
      </c>
      <c r="J229" t="n">
        <v>0</v>
      </c>
      <c r="K229" t="n">
        <v>0</v>
      </c>
      <c r="L229" t="n">
        <v>0</v>
      </c>
      <c r="M229" t="n">
        <v>0</v>
      </c>
      <c r="N229" t="n">
        <v>0</v>
      </c>
      <c r="O229" t="n">
        <v>0</v>
      </c>
      <c r="P229" t="n">
        <v>0</v>
      </c>
      <c r="Q229" t="n">
        <v>0</v>
      </c>
      <c r="R229" s="2" t="inlineStr"/>
    </row>
    <row r="230" ht="15" customHeight="1">
      <c r="A230" t="inlineStr">
        <is>
          <t>A 7890-2024</t>
        </is>
      </c>
      <c r="B230" s="1" t="n">
        <v>45350.40780092592</v>
      </c>
      <c r="C230" s="1" t="n">
        <v>45994</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61524-2022</t>
        </is>
      </c>
      <c r="B231" s="1" t="n">
        <v>44910</v>
      </c>
      <c r="C231" s="1" t="n">
        <v>45994</v>
      </c>
      <c r="D231" t="inlineStr">
        <is>
          <t>SKÅNE LÄN</t>
        </is>
      </c>
      <c r="E231" t="inlineStr">
        <is>
          <t>HÄSSLEHOLM</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61578-2023</t>
        </is>
      </c>
      <c r="B232" s="1" t="n">
        <v>45265.47399305556</v>
      </c>
      <c r="C232" s="1" t="n">
        <v>45994</v>
      </c>
      <c r="D232" t="inlineStr">
        <is>
          <t>SKÅNE LÄN</t>
        </is>
      </c>
      <c r="E232" t="inlineStr">
        <is>
          <t>HÄSSLEHOLM</t>
        </is>
      </c>
      <c r="G232" t="n">
        <v>1.2</v>
      </c>
      <c r="H232" t="n">
        <v>0</v>
      </c>
      <c r="I232" t="n">
        <v>0</v>
      </c>
      <c r="J232" t="n">
        <v>0</v>
      </c>
      <c r="K232" t="n">
        <v>0</v>
      </c>
      <c r="L232" t="n">
        <v>0</v>
      </c>
      <c r="M232" t="n">
        <v>0</v>
      </c>
      <c r="N232" t="n">
        <v>0</v>
      </c>
      <c r="O232" t="n">
        <v>0</v>
      </c>
      <c r="P232" t="n">
        <v>0</v>
      </c>
      <c r="Q232" t="n">
        <v>0</v>
      </c>
      <c r="R232" s="2" t="inlineStr"/>
    </row>
    <row r="233" ht="15" customHeight="1">
      <c r="A233" t="inlineStr">
        <is>
          <t>A 25542-2024</t>
        </is>
      </c>
      <c r="B233" s="1" t="n">
        <v>45463</v>
      </c>
      <c r="C233" s="1" t="n">
        <v>45994</v>
      </c>
      <c r="D233" t="inlineStr">
        <is>
          <t>SKÅNE LÄN</t>
        </is>
      </c>
      <c r="E233" t="inlineStr">
        <is>
          <t>HÄSSLEHOLM</t>
        </is>
      </c>
      <c r="G233" t="n">
        <v>6.9</v>
      </c>
      <c r="H233" t="n">
        <v>0</v>
      </c>
      <c r="I233" t="n">
        <v>0</v>
      </c>
      <c r="J233" t="n">
        <v>0</v>
      </c>
      <c r="K233" t="n">
        <v>0</v>
      </c>
      <c r="L233" t="n">
        <v>0</v>
      </c>
      <c r="M233" t="n">
        <v>0</v>
      </c>
      <c r="N233" t="n">
        <v>0</v>
      </c>
      <c r="O233" t="n">
        <v>0</v>
      </c>
      <c r="P233" t="n">
        <v>0</v>
      </c>
      <c r="Q233" t="n">
        <v>0</v>
      </c>
      <c r="R233" s="2" t="inlineStr"/>
    </row>
    <row r="234" ht="15" customHeight="1">
      <c r="A234" t="inlineStr">
        <is>
          <t>A 24241-2023</t>
        </is>
      </c>
      <c r="B234" s="1" t="n">
        <v>45079.61476851852</v>
      </c>
      <c r="C234" s="1" t="n">
        <v>45994</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57967-2023</t>
        </is>
      </c>
      <c r="B235" s="1" t="n">
        <v>45247.57984953704</v>
      </c>
      <c r="C235" s="1" t="n">
        <v>45994</v>
      </c>
      <c r="D235" t="inlineStr">
        <is>
          <t>SKÅNE LÄN</t>
        </is>
      </c>
      <c r="E235" t="inlineStr">
        <is>
          <t>HÄSSLEHOLM</t>
        </is>
      </c>
      <c r="G235" t="n">
        <v>8.6</v>
      </c>
      <c r="H235" t="n">
        <v>0</v>
      </c>
      <c r="I235" t="n">
        <v>0</v>
      </c>
      <c r="J235" t="n">
        <v>0</v>
      </c>
      <c r="K235" t="n">
        <v>0</v>
      </c>
      <c r="L235" t="n">
        <v>0</v>
      </c>
      <c r="M235" t="n">
        <v>0</v>
      </c>
      <c r="N235" t="n">
        <v>0</v>
      </c>
      <c r="O235" t="n">
        <v>0</v>
      </c>
      <c r="P235" t="n">
        <v>0</v>
      </c>
      <c r="Q235" t="n">
        <v>0</v>
      </c>
      <c r="R235" s="2" t="inlineStr"/>
    </row>
    <row r="236" ht="15" customHeight="1">
      <c r="A236" t="inlineStr">
        <is>
          <t>A 42370-2023</t>
        </is>
      </c>
      <c r="B236" s="1" t="n">
        <v>45180</v>
      </c>
      <c r="C236" s="1" t="n">
        <v>45994</v>
      </c>
      <c r="D236" t="inlineStr">
        <is>
          <t>SKÅNE LÄN</t>
        </is>
      </c>
      <c r="E236" t="inlineStr">
        <is>
          <t>HÄSSLEHOLM</t>
        </is>
      </c>
      <c r="G236" t="n">
        <v>2.6</v>
      </c>
      <c r="H236" t="n">
        <v>0</v>
      </c>
      <c r="I236" t="n">
        <v>0</v>
      </c>
      <c r="J236" t="n">
        <v>0</v>
      </c>
      <c r="K236" t="n">
        <v>0</v>
      </c>
      <c r="L236" t="n">
        <v>0</v>
      </c>
      <c r="M236" t="n">
        <v>0</v>
      </c>
      <c r="N236" t="n">
        <v>0</v>
      </c>
      <c r="O236" t="n">
        <v>0</v>
      </c>
      <c r="P236" t="n">
        <v>0</v>
      </c>
      <c r="Q236" t="n">
        <v>0</v>
      </c>
      <c r="R236" s="2" t="inlineStr"/>
    </row>
    <row r="237" ht="15" customHeight="1">
      <c r="A237" t="inlineStr">
        <is>
          <t>A 21310-2022</t>
        </is>
      </c>
      <c r="B237" s="1" t="n">
        <v>44705</v>
      </c>
      <c r="C237" s="1" t="n">
        <v>45994</v>
      </c>
      <c r="D237" t="inlineStr">
        <is>
          <t>SKÅNE LÄN</t>
        </is>
      </c>
      <c r="E237" t="inlineStr">
        <is>
          <t>HÄSSLEHOLM</t>
        </is>
      </c>
      <c r="G237" t="n">
        <v>1</v>
      </c>
      <c r="H237" t="n">
        <v>0</v>
      </c>
      <c r="I237" t="n">
        <v>0</v>
      </c>
      <c r="J237" t="n">
        <v>0</v>
      </c>
      <c r="K237" t="n">
        <v>0</v>
      </c>
      <c r="L237" t="n">
        <v>0</v>
      </c>
      <c r="M237" t="n">
        <v>0</v>
      </c>
      <c r="N237" t="n">
        <v>0</v>
      </c>
      <c r="O237" t="n">
        <v>0</v>
      </c>
      <c r="P237" t="n">
        <v>0</v>
      </c>
      <c r="Q237" t="n">
        <v>0</v>
      </c>
      <c r="R237" s="2" t="inlineStr"/>
    </row>
    <row r="238" ht="15" customHeight="1">
      <c r="A238" t="inlineStr">
        <is>
          <t>A 62041-2022</t>
        </is>
      </c>
      <c r="B238" s="1" t="n">
        <v>44918.55743055556</v>
      </c>
      <c r="C238" s="1" t="n">
        <v>45994</v>
      </c>
      <c r="D238" t="inlineStr">
        <is>
          <t>SKÅNE LÄN</t>
        </is>
      </c>
      <c r="E238" t="inlineStr">
        <is>
          <t>HÄSSLEHOLM</t>
        </is>
      </c>
      <c r="G238" t="n">
        <v>2.8</v>
      </c>
      <c r="H238" t="n">
        <v>0</v>
      </c>
      <c r="I238" t="n">
        <v>0</v>
      </c>
      <c r="J238" t="n">
        <v>0</v>
      </c>
      <c r="K238" t="n">
        <v>0</v>
      </c>
      <c r="L238" t="n">
        <v>0</v>
      </c>
      <c r="M238" t="n">
        <v>0</v>
      </c>
      <c r="N238" t="n">
        <v>0</v>
      </c>
      <c r="O238" t="n">
        <v>0</v>
      </c>
      <c r="P238" t="n">
        <v>0</v>
      </c>
      <c r="Q238" t="n">
        <v>0</v>
      </c>
      <c r="R238" s="2" t="inlineStr"/>
    </row>
    <row r="239" ht="15" customHeight="1">
      <c r="A239" t="inlineStr">
        <is>
          <t>A 3500-2024</t>
        </is>
      </c>
      <c r="B239" s="1" t="n">
        <v>45320</v>
      </c>
      <c r="C239" s="1" t="n">
        <v>45994</v>
      </c>
      <c r="D239" t="inlineStr">
        <is>
          <t>SKÅNE LÄN</t>
        </is>
      </c>
      <c r="E239" t="inlineStr">
        <is>
          <t>HÄSSLEHOLM</t>
        </is>
      </c>
      <c r="G239" t="n">
        <v>0.9</v>
      </c>
      <c r="H239" t="n">
        <v>0</v>
      </c>
      <c r="I239" t="n">
        <v>0</v>
      </c>
      <c r="J239" t="n">
        <v>0</v>
      </c>
      <c r="K239" t="n">
        <v>0</v>
      </c>
      <c r="L239" t="n">
        <v>0</v>
      </c>
      <c r="M239" t="n">
        <v>0</v>
      </c>
      <c r="N239" t="n">
        <v>0</v>
      </c>
      <c r="O239" t="n">
        <v>0</v>
      </c>
      <c r="P239" t="n">
        <v>0</v>
      </c>
      <c r="Q239" t="n">
        <v>0</v>
      </c>
      <c r="R239" s="2" t="inlineStr"/>
    </row>
    <row r="240" ht="15" customHeight="1">
      <c r="A240" t="inlineStr">
        <is>
          <t>A 58815-2023</t>
        </is>
      </c>
      <c r="B240" s="1" t="n">
        <v>45247</v>
      </c>
      <c r="C240" s="1" t="n">
        <v>45994</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12468-2024</t>
        </is>
      </c>
      <c r="B241" s="1" t="n">
        <v>45379</v>
      </c>
      <c r="C241" s="1" t="n">
        <v>45994</v>
      </c>
      <c r="D241" t="inlineStr">
        <is>
          <t>SKÅNE LÄN</t>
        </is>
      </c>
      <c r="E241" t="inlineStr">
        <is>
          <t>HÄSSLEHOLM</t>
        </is>
      </c>
      <c r="G241" t="n">
        <v>15.5</v>
      </c>
      <c r="H241" t="n">
        <v>0</v>
      </c>
      <c r="I241" t="n">
        <v>0</v>
      </c>
      <c r="J241" t="n">
        <v>0</v>
      </c>
      <c r="K241" t="n">
        <v>0</v>
      </c>
      <c r="L241" t="n">
        <v>0</v>
      </c>
      <c r="M241" t="n">
        <v>0</v>
      </c>
      <c r="N241" t="n">
        <v>0</v>
      </c>
      <c r="O241" t="n">
        <v>0</v>
      </c>
      <c r="P241" t="n">
        <v>0</v>
      </c>
      <c r="Q241" t="n">
        <v>0</v>
      </c>
      <c r="R241" s="2" t="inlineStr"/>
    </row>
    <row r="242" ht="15" customHeight="1">
      <c r="A242" t="inlineStr">
        <is>
          <t>A 33597-2023</t>
        </is>
      </c>
      <c r="B242" s="1" t="n">
        <v>45132</v>
      </c>
      <c r="C242" s="1" t="n">
        <v>45994</v>
      </c>
      <c r="D242" t="inlineStr">
        <is>
          <t>SKÅNE LÄN</t>
        </is>
      </c>
      <c r="E242" t="inlineStr">
        <is>
          <t>HÄSSLEHOLM</t>
        </is>
      </c>
      <c r="G242" t="n">
        <v>3.9</v>
      </c>
      <c r="H242" t="n">
        <v>0</v>
      </c>
      <c r="I242" t="n">
        <v>0</v>
      </c>
      <c r="J242" t="n">
        <v>0</v>
      </c>
      <c r="K242" t="n">
        <v>0</v>
      </c>
      <c r="L242" t="n">
        <v>0</v>
      </c>
      <c r="M242" t="n">
        <v>0</v>
      </c>
      <c r="N242" t="n">
        <v>0</v>
      </c>
      <c r="O242" t="n">
        <v>0</v>
      </c>
      <c r="P242" t="n">
        <v>0</v>
      </c>
      <c r="Q242" t="n">
        <v>0</v>
      </c>
      <c r="R242" s="2" t="inlineStr"/>
    </row>
    <row r="243" ht="15" customHeight="1">
      <c r="A243" t="inlineStr">
        <is>
          <t>A 33599-2023</t>
        </is>
      </c>
      <c r="B243" s="1" t="n">
        <v>45132</v>
      </c>
      <c r="C243" s="1" t="n">
        <v>45994</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27173-2024</t>
        </is>
      </c>
      <c r="B244" s="1" t="n">
        <v>45471.57048611111</v>
      </c>
      <c r="C244" s="1" t="n">
        <v>45994</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11422-2025</t>
        </is>
      </c>
      <c r="B245" s="1" t="n">
        <v>45726</v>
      </c>
      <c r="C245" s="1" t="n">
        <v>45994</v>
      </c>
      <c r="D245" t="inlineStr">
        <is>
          <t>SKÅNE LÄN</t>
        </is>
      </c>
      <c r="E245" t="inlineStr">
        <is>
          <t>HÄSSLEHOLM</t>
        </is>
      </c>
      <c r="G245" t="n">
        <v>14.9</v>
      </c>
      <c r="H245" t="n">
        <v>0</v>
      </c>
      <c r="I245" t="n">
        <v>0</v>
      </c>
      <c r="J245" t="n">
        <v>0</v>
      </c>
      <c r="K245" t="n">
        <v>0</v>
      </c>
      <c r="L245" t="n">
        <v>0</v>
      </c>
      <c r="M245" t="n">
        <v>0</v>
      </c>
      <c r="N245" t="n">
        <v>0</v>
      </c>
      <c r="O245" t="n">
        <v>0</v>
      </c>
      <c r="P245" t="n">
        <v>0</v>
      </c>
      <c r="Q245" t="n">
        <v>0</v>
      </c>
      <c r="R245" s="2" t="inlineStr"/>
    </row>
    <row r="246" ht="15" customHeight="1">
      <c r="A246" t="inlineStr">
        <is>
          <t>A 10020-2024</t>
        </is>
      </c>
      <c r="B246" s="1" t="n">
        <v>45363.96944444445</v>
      </c>
      <c r="C246" s="1" t="n">
        <v>45994</v>
      </c>
      <c r="D246" t="inlineStr">
        <is>
          <t>SKÅNE LÄN</t>
        </is>
      </c>
      <c r="E246" t="inlineStr">
        <is>
          <t>HÄSSLEHOLM</t>
        </is>
      </c>
      <c r="G246" t="n">
        <v>5.3</v>
      </c>
      <c r="H246" t="n">
        <v>0</v>
      </c>
      <c r="I246" t="n">
        <v>0</v>
      </c>
      <c r="J246" t="n">
        <v>0</v>
      </c>
      <c r="K246" t="n">
        <v>0</v>
      </c>
      <c r="L246" t="n">
        <v>0</v>
      </c>
      <c r="M246" t="n">
        <v>0</v>
      </c>
      <c r="N246" t="n">
        <v>0</v>
      </c>
      <c r="O246" t="n">
        <v>0</v>
      </c>
      <c r="P246" t="n">
        <v>0</v>
      </c>
      <c r="Q246" t="n">
        <v>0</v>
      </c>
      <c r="R246" s="2" t="inlineStr"/>
    </row>
    <row r="247" ht="15" customHeight="1">
      <c r="A247" t="inlineStr">
        <is>
          <t>A 70087-2021</t>
        </is>
      </c>
      <c r="B247" s="1" t="n">
        <v>44533</v>
      </c>
      <c r="C247" s="1" t="n">
        <v>45994</v>
      </c>
      <c r="D247" t="inlineStr">
        <is>
          <t>SKÅNE LÄN</t>
        </is>
      </c>
      <c r="E247" t="inlineStr">
        <is>
          <t>HÄSSLEHOLM</t>
        </is>
      </c>
      <c r="G247" t="n">
        <v>5</v>
      </c>
      <c r="H247" t="n">
        <v>0</v>
      </c>
      <c r="I247" t="n">
        <v>0</v>
      </c>
      <c r="J247" t="n">
        <v>0</v>
      </c>
      <c r="K247" t="n">
        <v>0</v>
      </c>
      <c r="L247" t="n">
        <v>0</v>
      </c>
      <c r="M247" t="n">
        <v>0</v>
      </c>
      <c r="N247" t="n">
        <v>0</v>
      </c>
      <c r="O247" t="n">
        <v>0</v>
      </c>
      <c r="P247" t="n">
        <v>0</v>
      </c>
      <c r="Q247" t="n">
        <v>0</v>
      </c>
      <c r="R247" s="2" t="inlineStr"/>
    </row>
    <row r="248" ht="15" customHeight="1">
      <c r="A248" t="inlineStr">
        <is>
          <t>A 1553-2023</t>
        </is>
      </c>
      <c r="B248" s="1" t="n">
        <v>44937</v>
      </c>
      <c r="C248" s="1" t="n">
        <v>45994</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7604-2024</t>
        </is>
      </c>
      <c r="B249" s="1" t="n">
        <v>45348</v>
      </c>
      <c r="C249" s="1" t="n">
        <v>45994</v>
      </c>
      <c r="D249" t="inlineStr">
        <is>
          <t>SKÅNE LÄN</t>
        </is>
      </c>
      <c r="E249" t="inlineStr">
        <is>
          <t>HÄSSLEHOLM</t>
        </is>
      </c>
      <c r="G249" t="n">
        <v>11.1</v>
      </c>
      <c r="H249" t="n">
        <v>0</v>
      </c>
      <c r="I249" t="n">
        <v>0</v>
      </c>
      <c r="J249" t="n">
        <v>0</v>
      </c>
      <c r="K249" t="n">
        <v>0</v>
      </c>
      <c r="L249" t="n">
        <v>0</v>
      </c>
      <c r="M249" t="n">
        <v>0</v>
      </c>
      <c r="N249" t="n">
        <v>0</v>
      </c>
      <c r="O249" t="n">
        <v>0</v>
      </c>
      <c r="P249" t="n">
        <v>0</v>
      </c>
      <c r="Q249" t="n">
        <v>0</v>
      </c>
      <c r="R249" s="2" t="inlineStr"/>
    </row>
    <row r="250" ht="15" customHeight="1">
      <c r="A250" t="inlineStr">
        <is>
          <t>A 22690-2022</t>
        </is>
      </c>
      <c r="B250" s="1" t="n">
        <v>44714.5421875</v>
      </c>
      <c r="C250" s="1" t="n">
        <v>45994</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29853-2024</t>
        </is>
      </c>
      <c r="B251" s="1" t="n">
        <v>45485.65844907407</v>
      </c>
      <c r="C251" s="1" t="n">
        <v>45994</v>
      </c>
      <c r="D251" t="inlineStr">
        <is>
          <t>SKÅNE LÄN</t>
        </is>
      </c>
      <c r="E251" t="inlineStr">
        <is>
          <t>HÄSSLEHOLM</t>
        </is>
      </c>
      <c r="G251" t="n">
        <v>0.8</v>
      </c>
      <c r="H251" t="n">
        <v>0</v>
      </c>
      <c r="I251" t="n">
        <v>0</v>
      </c>
      <c r="J251" t="n">
        <v>0</v>
      </c>
      <c r="K251" t="n">
        <v>0</v>
      </c>
      <c r="L251" t="n">
        <v>0</v>
      </c>
      <c r="M251" t="n">
        <v>0</v>
      </c>
      <c r="N251" t="n">
        <v>0</v>
      </c>
      <c r="O251" t="n">
        <v>0</v>
      </c>
      <c r="P251" t="n">
        <v>0</v>
      </c>
      <c r="Q251" t="n">
        <v>0</v>
      </c>
      <c r="R251" s="2" t="inlineStr"/>
    </row>
    <row r="252" ht="15" customHeight="1">
      <c r="A252" t="inlineStr">
        <is>
          <t>A 29287-2023</t>
        </is>
      </c>
      <c r="B252" s="1" t="n">
        <v>45098</v>
      </c>
      <c r="C252" s="1" t="n">
        <v>45994</v>
      </c>
      <c r="D252" t="inlineStr">
        <is>
          <t>SKÅNE LÄN</t>
        </is>
      </c>
      <c r="E252" t="inlineStr">
        <is>
          <t>HÄSSLEHOLM</t>
        </is>
      </c>
      <c r="G252" t="n">
        <v>5.7</v>
      </c>
      <c r="H252" t="n">
        <v>0</v>
      </c>
      <c r="I252" t="n">
        <v>0</v>
      </c>
      <c r="J252" t="n">
        <v>0</v>
      </c>
      <c r="K252" t="n">
        <v>0</v>
      </c>
      <c r="L252" t="n">
        <v>0</v>
      </c>
      <c r="M252" t="n">
        <v>0</v>
      </c>
      <c r="N252" t="n">
        <v>0</v>
      </c>
      <c r="O252" t="n">
        <v>0</v>
      </c>
      <c r="P252" t="n">
        <v>0</v>
      </c>
      <c r="Q252" t="n">
        <v>0</v>
      </c>
      <c r="R252" s="2" t="inlineStr"/>
    </row>
    <row r="253" ht="15" customHeight="1">
      <c r="A253" t="inlineStr">
        <is>
          <t>A 53897-2023</t>
        </is>
      </c>
      <c r="B253" s="1" t="n">
        <v>45231.53934027778</v>
      </c>
      <c r="C253" s="1" t="n">
        <v>45994</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5992-2022</t>
        </is>
      </c>
      <c r="B254" s="1" t="n">
        <v>44599</v>
      </c>
      <c r="C254" s="1" t="n">
        <v>45994</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1170-2025</t>
        </is>
      </c>
      <c r="B255" s="1" t="n">
        <v>45667.29226851852</v>
      </c>
      <c r="C255" s="1" t="n">
        <v>45994</v>
      </c>
      <c r="D255" t="inlineStr">
        <is>
          <t>SKÅNE LÄN</t>
        </is>
      </c>
      <c r="E255" t="inlineStr">
        <is>
          <t>HÄSSLEHOLM</t>
        </is>
      </c>
      <c r="G255" t="n">
        <v>4.3</v>
      </c>
      <c r="H255" t="n">
        <v>0</v>
      </c>
      <c r="I255" t="n">
        <v>0</v>
      </c>
      <c r="J255" t="n">
        <v>0</v>
      </c>
      <c r="K255" t="n">
        <v>0</v>
      </c>
      <c r="L255" t="n">
        <v>0</v>
      </c>
      <c r="M255" t="n">
        <v>0</v>
      </c>
      <c r="N255" t="n">
        <v>0</v>
      </c>
      <c r="O255" t="n">
        <v>0</v>
      </c>
      <c r="P255" t="n">
        <v>0</v>
      </c>
      <c r="Q255" t="n">
        <v>0</v>
      </c>
      <c r="R255" s="2" t="inlineStr"/>
    </row>
    <row r="256" ht="15" customHeight="1">
      <c r="A256" t="inlineStr">
        <is>
          <t>A 21867-2023</t>
        </is>
      </c>
      <c r="B256" s="1" t="n">
        <v>45063</v>
      </c>
      <c r="C256" s="1" t="n">
        <v>45994</v>
      </c>
      <c r="D256" t="inlineStr">
        <is>
          <t>SKÅNE LÄN</t>
        </is>
      </c>
      <c r="E256" t="inlineStr">
        <is>
          <t>HÄSSLEHOLM</t>
        </is>
      </c>
      <c r="G256" t="n">
        <v>7.6</v>
      </c>
      <c r="H256" t="n">
        <v>0</v>
      </c>
      <c r="I256" t="n">
        <v>0</v>
      </c>
      <c r="J256" t="n">
        <v>0</v>
      </c>
      <c r="K256" t="n">
        <v>0</v>
      </c>
      <c r="L256" t="n">
        <v>0</v>
      </c>
      <c r="M256" t="n">
        <v>0</v>
      </c>
      <c r="N256" t="n">
        <v>0</v>
      </c>
      <c r="O256" t="n">
        <v>0</v>
      </c>
      <c r="P256" t="n">
        <v>0</v>
      </c>
      <c r="Q256" t="n">
        <v>0</v>
      </c>
      <c r="R256" s="2" t="inlineStr"/>
    </row>
    <row r="257" ht="15" customHeight="1">
      <c r="A257" t="inlineStr">
        <is>
          <t>A 25324-2024</t>
        </is>
      </c>
      <c r="B257" s="1" t="n">
        <v>45462.804375</v>
      </c>
      <c r="C257" s="1" t="n">
        <v>45994</v>
      </c>
      <c r="D257" t="inlineStr">
        <is>
          <t>SKÅNE LÄN</t>
        </is>
      </c>
      <c r="E257" t="inlineStr">
        <is>
          <t>HÄSSLEHOLM</t>
        </is>
      </c>
      <c r="G257" t="n">
        <v>0.2</v>
      </c>
      <c r="H257" t="n">
        <v>0</v>
      </c>
      <c r="I257" t="n">
        <v>0</v>
      </c>
      <c r="J257" t="n">
        <v>0</v>
      </c>
      <c r="K257" t="n">
        <v>0</v>
      </c>
      <c r="L257" t="n">
        <v>0</v>
      </c>
      <c r="M257" t="n">
        <v>0</v>
      </c>
      <c r="N257" t="n">
        <v>0</v>
      </c>
      <c r="O257" t="n">
        <v>0</v>
      </c>
      <c r="P257" t="n">
        <v>0</v>
      </c>
      <c r="Q257" t="n">
        <v>0</v>
      </c>
      <c r="R257" s="2" t="inlineStr"/>
    </row>
    <row r="258" ht="15" customHeight="1">
      <c r="A258" t="inlineStr">
        <is>
          <t>A 8803-2023</t>
        </is>
      </c>
      <c r="B258" s="1" t="n">
        <v>44978.61712962963</v>
      </c>
      <c r="C258" s="1" t="n">
        <v>45994</v>
      </c>
      <c r="D258" t="inlineStr">
        <is>
          <t>SKÅNE LÄN</t>
        </is>
      </c>
      <c r="E258" t="inlineStr">
        <is>
          <t>HÄSSLEHOLM</t>
        </is>
      </c>
      <c r="G258" t="n">
        <v>1.1</v>
      </c>
      <c r="H258" t="n">
        <v>0</v>
      </c>
      <c r="I258" t="n">
        <v>0</v>
      </c>
      <c r="J258" t="n">
        <v>0</v>
      </c>
      <c r="K258" t="n">
        <v>0</v>
      </c>
      <c r="L258" t="n">
        <v>0</v>
      </c>
      <c r="M258" t="n">
        <v>0</v>
      </c>
      <c r="N258" t="n">
        <v>0</v>
      </c>
      <c r="O258" t="n">
        <v>0</v>
      </c>
      <c r="P258" t="n">
        <v>0</v>
      </c>
      <c r="Q258" t="n">
        <v>0</v>
      </c>
      <c r="R258" s="2" t="inlineStr"/>
    </row>
    <row r="259" ht="15" customHeight="1">
      <c r="A259" t="inlineStr">
        <is>
          <t>A 22132-2024</t>
        </is>
      </c>
      <c r="B259" s="1" t="n">
        <v>45444.37234953704</v>
      </c>
      <c r="C259" s="1" t="n">
        <v>45994</v>
      </c>
      <c r="D259" t="inlineStr">
        <is>
          <t>SKÅNE LÄN</t>
        </is>
      </c>
      <c r="E259" t="inlineStr">
        <is>
          <t>HÄSSLEHOLM</t>
        </is>
      </c>
      <c r="G259" t="n">
        <v>3.1</v>
      </c>
      <c r="H259" t="n">
        <v>0</v>
      </c>
      <c r="I259" t="n">
        <v>0</v>
      </c>
      <c r="J259" t="n">
        <v>0</v>
      </c>
      <c r="K259" t="n">
        <v>0</v>
      </c>
      <c r="L259" t="n">
        <v>0</v>
      </c>
      <c r="M259" t="n">
        <v>0</v>
      </c>
      <c r="N259" t="n">
        <v>0</v>
      </c>
      <c r="O259" t="n">
        <v>0</v>
      </c>
      <c r="P259" t="n">
        <v>0</v>
      </c>
      <c r="Q259" t="n">
        <v>0</v>
      </c>
      <c r="R259" s="2" t="inlineStr"/>
    </row>
    <row r="260" ht="15" customHeight="1">
      <c r="A260" t="inlineStr">
        <is>
          <t>A 4809-2025</t>
        </is>
      </c>
      <c r="B260" s="1" t="n">
        <v>45688.60148148148</v>
      </c>
      <c r="C260" s="1" t="n">
        <v>45994</v>
      </c>
      <c r="D260" t="inlineStr">
        <is>
          <t>SKÅNE LÄN</t>
        </is>
      </c>
      <c r="E260" t="inlineStr">
        <is>
          <t>HÄSSLEHOLM</t>
        </is>
      </c>
      <c r="G260" t="n">
        <v>0.7</v>
      </c>
      <c r="H260" t="n">
        <v>0</v>
      </c>
      <c r="I260" t="n">
        <v>0</v>
      </c>
      <c r="J260" t="n">
        <v>0</v>
      </c>
      <c r="K260" t="n">
        <v>0</v>
      </c>
      <c r="L260" t="n">
        <v>0</v>
      </c>
      <c r="M260" t="n">
        <v>0</v>
      </c>
      <c r="N260" t="n">
        <v>0</v>
      </c>
      <c r="O260" t="n">
        <v>0</v>
      </c>
      <c r="P260" t="n">
        <v>0</v>
      </c>
      <c r="Q260" t="n">
        <v>0</v>
      </c>
      <c r="R260" s="2" t="inlineStr"/>
    </row>
    <row r="261" ht="15" customHeight="1">
      <c r="A261" t="inlineStr">
        <is>
          <t>A 12780-2024</t>
        </is>
      </c>
      <c r="B261" s="1" t="n">
        <v>45384.59726851852</v>
      </c>
      <c r="C261" s="1" t="n">
        <v>45994</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9375-2023</t>
        </is>
      </c>
      <c r="B262" s="1" t="n">
        <v>44981</v>
      </c>
      <c r="C262" s="1" t="n">
        <v>45994</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5284-2023</t>
        </is>
      </c>
      <c r="B263" s="1" t="n">
        <v>44959.50608796296</v>
      </c>
      <c r="C263" s="1" t="n">
        <v>45994</v>
      </c>
      <c r="D263" t="inlineStr">
        <is>
          <t>SKÅNE LÄN</t>
        </is>
      </c>
      <c r="E263" t="inlineStr">
        <is>
          <t>HÄSSLEHOLM</t>
        </is>
      </c>
      <c r="G263" t="n">
        <v>0.4</v>
      </c>
      <c r="H263" t="n">
        <v>0</v>
      </c>
      <c r="I263" t="n">
        <v>0</v>
      </c>
      <c r="J263" t="n">
        <v>0</v>
      </c>
      <c r="K263" t="n">
        <v>0</v>
      </c>
      <c r="L263" t="n">
        <v>0</v>
      </c>
      <c r="M263" t="n">
        <v>0</v>
      </c>
      <c r="N263" t="n">
        <v>0</v>
      </c>
      <c r="O263" t="n">
        <v>0</v>
      </c>
      <c r="P263" t="n">
        <v>0</v>
      </c>
      <c r="Q263" t="n">
        <v>0</v>
      </c>
      <c r="R263" s="2" t="inlineStr"/>
    </row>
    <row r="264" ht="15" customHeight="1">
      <c r="A264" t="inlineStr">
        <is>
          <t>A 5285-2023</t>
        </is>
      </c>
      <c r="B264" s="1" t="n">
        <v>44959.50783564815</v>
      </c>
      <c r="C264" s="1" t="n">
        <v>45994</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34888-2023</t>
        </is>
      </c>
      <c r="B265" s="1" t="n">
        <v>45142.388125</v>
      </c>
      <c r="C265" s="1" t="n">
        <v>45994</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54435-2024</t>
        </is>
      </c>
      <c r="B266" s="1" t="n">
        <v>45617.49494212963</v>
      </c>
      <c r="C266" s="1" t="n">
        <v>45994</v>
      </c>
      <c r="D266" t="inlineStr">
        <is>
          <t>SKÅNE LÄN</t>
        </is>
      </c>
      <c r="E266" t="inlineStr">
        <is>
          <t>HÄSSLEHOLM</t>
        </is>
      </c>
      <c r="G266" t="n">
        <v>2.3</v>
      </c>
      <c r="H266" t="n">
        <v>0</v>
      </c>
      <c r="I266" t="n">
        <v>0</v>
      </c>
      <c r="J266" t="n">
        <v>0</v>
      </c>
      <c r="K266" t="n">
        <v>0</v>
      </c>
      <c r="L266" t="n">
        <v>0</v>
      </c>
      <c r="M266" t="n">
        <v>0</v>
      </c>
      <c r="N266" t="n">
        <v>0</v>
      </c>
      <c r="O266" t="n">
        <v>0</v>
      </c>
      <c r="P266" t="n">
        <v>0</v>
      </c>
      <c r="Q266" t="n">
        <v>0</v>
      </c>
      <c r="R266" s="2" t="inlineStr"/>
    </row>
    <row r="267" ht="15" customHeight="1">
      <c r="A267" t="inlineStr">
        <is>
          <t>A 32210-2024</t>
        </is>
      </c>
      <c r="B267" s="1" t="n">
        <v>45511.67777777778</v>
      </c>
      <c r="C267" s="1" t="n">
        <v>45994</v>
      </c>
      <c r="D267" t="inlineStr">
        <is>
          <t>SKÅNE LÄN</t>
        </is>
      </c>
      <c r="E267" t="inlineStr">
        <is>
          <t>HÄSSLEHOLM</t>
        </is>
      </c>
      <c r="G267" t="n">
        <v>0.8</v>
      </c>
      <c r="H267" t="n">
        <v>0</v>
      </c>
      <c r="I267" t="n">
        <v>0</v>
      </c>
      <c r="J267" t="n">
        <v>0</v>
      </c>
      <c r="K267" t="n">
        <v>0</v>
      </c>
      <c r="L267" t="n">
        <v>0</v>
      </c>
      <c r="M267" t="n">
        <v>0</v>
      </c>
      <c r="N267" t="n">
        <v>0</v>
      </c>
      <c r="O267" t="n">
        <v>0</v>
      </c>
      <c r="P267" t="n">
        <v>0</v>
      </c>
      <c r="Q267" t="n">
        <v>0</v>
      </c>
      <c r="R267" s="2" t="inlineStr"/>
    </row>
    <row r="268" ht="15" customHeight="1">
      <c r="A268" t="inlineStr">
        <is>
          <t>A 67974-2020</t>
        </is>
      </c>
      <c r="B268" s="1" t="n">
        <v>44182</v>
      </c>
      <c r="C268" s="1" t="n">
        <v>45994</v>
      </c>
      <c r="D268" t="inlineStr">
        <is>
          <t>SKÅNE LÄN</t>
        </is>
      </c>
      <c r="E268" t="inlineStr">
        <is>
          <t>HÄSSLEHOLM</t>
        </is>
      </c>
      <c r="G268" t="n">
        <v>9</v>
      </c>
      <c r="H268" t="n">
        <v>0</v>
      </c>
      <c r="I268" t="n">
        <v>0</v>
      </c>
      <c r="J268" t="n">
        <v>0</v>
      </c>
      <c r="K268" t="n">
        <v>0</v>
      </c>
      <c r="L268" t="n">
        <v>0</v>
      </c>
      <c r="M268" t="n">
        <v>0</v>
      </c>
      <c r="N268" t="n">
        <v>0</v>
      </c>
      <c r="O268" t="n">
        <v>0</v>
      </c>
      <c r="P268" t="n">
        <v>0</v>
      </c>
      <c r="Q268" t="n">
        <v>0</v>
      </c>
      <c r="R268" s="2" t="inlineStr"/>
    </row>
    <row r="269" ht="15" customHeight="1">
      <c r="A269" t="inlineStr">
        <is>
          <t>A 58886-2024</t>
        </is>
      </c>
      <c r="B269" s="1" t="n">
        <v>45636.45380787037</v>
      </c>
      <c r="C269" s="1" t="n">
        <v>45994</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13087-2023</t>
        </is>
      </c>
      <c r="B270" s="1" t="n">
        <v>45001</v>
      </c>
      <c r="C270" s="1" t="n">
        <v>45994</v>
      </c>
      <c r="D270" t="inlineStr">
        <is>
          <t>SKÅNE LÄN</t>
        </is>
      </c>
      <c r="E270" t="inlineStr">
        <is>
          <t>HÄSSLEHOLM</t>
        </is>
      </c>
      <c r="G270" t="n">
        <v>3.8</v>
      </c>
      <c r="H270" t="n">
        <v>0</v>
      </c>
      <c r="I270" t="n">
        <v>0</v>
      </c>
      <c r="J270" t="n">
        <v>0</v>
      </c>
      <c r="K270" t="n">
        <v>0</v>
      </c>
      <c r="L270" t="n">
        <v>0</v>
      </c>
      <c r="M270" t="n">
        <v>0</v>
      </c>
      <c r="N270" t="n">
        <v>0</v>
      </c>
      <c r="O270" t="n">
        <v>0</v>
      </c>
      <c r="P270" t="n">
        <v>0</v>
      </c>
      <c r="Q270" t="n">
        <v>0</v>
      </c>
      <c r="R270" s="2" t="inlineStr"/>
    </row>
    <row r="271" ht="15" customHeight="1">
      <c r="A271" t="inlineStr">
        <is>
          <t>A 26857-2025</t>
        </is>
      </c>
      <c r="B271" s="1" t="n">
        <v>45810</v>
      </c>
      <c r="C271" s="1" t="n">
        <v>45994</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6583-2021</t>
        </is>
      </c>
      <c r="B272" s="1" t="n">
        <v>44236</v>
      </c>
      <c r="C272" s="1" t="n">
        <v>45994</v>
      </c>
      <c r="D272" t="inlineStr">
        <is>
          <t>SKÅNE LÄN</t>
        </is>
      </c>
      <c r="E272" t="inlineStr">
        <is>
          <t>HÄSSLEHOLM</t>
        </is>
      </c>
      <c r="G272" t="n">
        <v>1.6</v>
      </c>
      <c r="H272" t="n">
        <v>0</v>
      </c>
      <c r="I272" t="n">
        <v>0</v>
      </c>
      <c r="J272" t="n">
        <v>0</v>
      </c>
      <c r="K272" t="n">
        <v>0</v>
      </c>
      <c r="L272" t="n">
        <v>0</v>
      </c>
      <c r="M272" t="n">
        <v>0</v>
      </c>
      <c r="N272" t="n">
        <v>0</v>
      </c>
      <c r="O272" t="n">
        <v>0</v>
      </c>
      <c r="P272" t="n">
        <v>0</v>
      </c>
      <c r="Q272" t="n">
        <v>0</v>
      </c>
      <c r="R272" s="2" t="inlineStr"/>
    </row>
    <row r="273" ht="15" customHeight="1">
      <c r="A273" t="inlineStr">
        <is>
          <t>A 2743-2023</t>
        </is>
      </c>
      <c r="B273" s="1" t="n">
        <v>44944</v>
      </c>
      <c r="C273" s="1" t="n">
        <v>45994</v>
      </c>
      <c r="D273" t="inlineStr">
        <is>
          <t>SKÅNE LÄN</t>
        </is>
      </c>
      <c r="E273" t="inlineStr">
        <is>
          <t>HÄSSLEHOLM</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8749-2024</t>
        </is>
      </c>
      <c r="B274" s="1" t="n">
        <v>45356.50387731481</v>
      </c>
      <c r="C274" s="1" t="n">
        <v>45994</v>
      </c>
      <c r="D274" t="inlineStr">
        <is>
          <t>SKÅNE LÄN</t>
        </is>
      </c>
      <c r="E274" t="inlineStr">
        <is>
          <t>HÄSSLEHOLM</t>
        </is>
      </c>
      <c r="G274" t="n">
        <v>2.9</v>
      </c>
      <c r="H274" t="n">
        <v>0</v>
      </c>
      <c r="I274" t="n">
        <v>0</v>
      </c>
      <c r="J274" t="n">
        <v>0</v>
      </c>
      <c r="K274" t="n">
        <v>0</v>
      </c>
      <c r="L274" t="n">
        <v>0</v>
      </c>
      <c r="M274" t="n">
        <v>0</v>
      </c>
      <c r="N274" t="n">
        <v>0</v>
      </c>
      <c r="O274" t="n">
        <v>0</v>
      </c>
      <c r="P274" t="n">
        <v>0</v>
      </c>
      <c r="Q274" t="n">
        <v>0</v>
      </c>
      <c r="R274" s="2" t="inlineStr"/>
    </row>
    <row r="275" ht="15" customHeight="1">
      <c r="A275" t="inlineStr">
        <is>
          <t>A 8752-2024</t>
        </is>
      </c>
      <c r="B275" s="1" t="n">
        <v>45356</v>
      </c>
      <c r="C275" s="1" t="n">
        <v>45994</v>
      </c>
      <c r="D275" t="inlineStr">
        <is>
          <t>SKÅNE LÄN</t>
        </is>
      </c>
      <c r="E275" t="inlineStr">
        <is>
          <t>HÄSSLEHOLM</t>
        </is>
      </c>
      <c r="G275" t="n">
        <v>3.4</v>
      </c>
      <c r="H275" t="n">
        <v>0</v>
      </c>
      <c r="I275" t="n">
        <v>0</v>
      </c>
      <c r="J275" t="n">
        <v>0</v>
      </c>
      <c r="K275" t="n">
        <v>0</v>
      </c>
      <c r="L275" t="n">
        <v>0</v>
      </c>
      <c r="M275" t="n">
        <v>0</v>
      </c>
      <c r="N275" t="n">
        <v>0</v>
      </c>
      <c r="O275" t="n">
        <v>0</v>
      </c>
      <c r="P275" t="n">
        <v>0</v>
      </c>
      <c r="Q275" t="n">
        <v>0</v>
      </c>
      <c r="R275" s="2" t="inlineStr"/>
    </row>
    <row r="276" ht="15" customHeight="1">
      <c r="A276" t="inlineStr">
        <is>
          <t>A 8759-2024</t>
        </is>
      </c>
      <c r="B276" s="1" t="n">
        <v>45356.52271990741</v>
      </c>
      <c r="C276" s="1" t="n">
        <v>45994</v>
      </c>
      <c r="D276" t="inlineStr">
        <is>
          <t>SKÅNE LÄN</t>
        </is>
      </c>
      <c r="E276" t="inlineStr">
        <is>
          <t>HÄSSLEHOLM</t>
        </is>
      </c>
      <c r="G276" t="n">
        <v>5.7</v>
      </c>
      <c r="H276" t="n">
        <v>0</v>
      </c>
      <c r="I276" t="n">
        <v>0</v>
      </c>
      <c r="J276" t="n">
        <v>0</v>
      </c>
      <c r="K276" t="n">
        <v>0</v>
      </c>
      <c r="L276" t="n">
        <v>0</v>
      </c>
      <c r="M276" t="n">
        <v>0</v>
      </c>
      <c r="N276" t="n">
        <v>0</v>
      </c>
      <c r="O276" t="n">
        <v>0</v>
      </c>
      <c r="P276" t="n">
        <v>0</v>
      </c>
      <c r="Q276" t="n">
        <v>0</v>
      </c>
      <c r="R276" s="2" t="inlineStr"/>
    </row>
    <row r="277" ht="15" customHeight="1">
      <c r="A277" t="inlineStr">
        <is>
          <t>A 23830-2021</t>
        </is>
      </c>
      <c r="B277" s="1" t="n">
        <v>44335</v>
      </c>
      <c r="C277" s="1" t="n">
        <v>45994</v>
      </c>
      <c r="D277" t="inlineStr">
        <is>
          <t>SKÅNE LÄN</t>
        </is>
      </c>
      <c r="E277" t="inlineStr">
        <is>
          <t>HÄSSLEHOLM</t>
        </is>
      </c>
      <c r="G277" t="n">
        <v>18.7</v>
      </c>
      <c r="H277" t="n">
        <v>0</v>
      </c>
      <c r="I277" t="n">
        <v>0</v>
      </c>
      <c r="J277" t="n">
        <v>0</v>
      </c>
      <c r="K277" t="n">
        <v>0</v>
      </c>
      <c r="L277" t="n">
        <v>0</v>
      </c>
      <c r="M277" t="n">
        <v>0</v>
      </c>
      <c r="N277" t="n">
        <v>0</v>
      </c>
      <c r="O277" t="n">
        <v>0</v>
      </c>
      <c r="P277" t="n">
        <v>0</v>
      </c>
      <c r="Q277" t="n">
        <v>0</v>
      </c>
      <c r="R277" s="2" t="inlineStr"/>
    </row>
    <row r="278" ht="15" customHeight="1">
      <c r="A278" t="inlineStr">
        <is>
          <t>A 48624-2021</t>
        </is>
      </c>
      <c r="B278" s="1" t="n">
        <v>44452</v>
      </c>
      <c r="C278" s="1" t="n">
        <v>45994</v>
      </c>
      <c r="D278" t="inlineStr">
        <is>
          <t>SKÅNE LÄN</t>
        </is>
      </c>
      <c r="E278" t="inlineStr">
        <is>
          <t>HÄSSLEHOLM</t>
        </is>
      </c>
      <c r="G278" t="n">
        <v>2.2</v>
      </c>
      <c r="H278" t="n">
        <v>0</v>
      </c>
      <c r="I278" t="n">
        <v>0</v>
      </c>
      <c r="J278" t="n">
        <v>0</v>
      </c>
      <c r="K278" t="n">
        <v>0</v>
      </c>
      <c r="L278" t="n">
        <v>0</v>
      </c>
      <c r="M278" t="n">
        <v>0</v>
      </c>
      <c r="N278" t="n">
        <v>0</v>
      </c>
      <c r="O278" t="n">
        <v>0</v>
      </c>
      <c r="P278" t="n">
        <v>0</v>
      </c>
      <c r="Q278" t="n">
        <v>0</v>
      </c>
      <c r="R278" s="2" t="inlineStr"/>
    </row>
    <row r="279" ht="15" customHeight="1">
      <c r="A279" t="inlineStr">
        <is>
          <t>A 20666-2023</t>
        </is>
      </c>
      <c r="B279" s="1" t="n">
        <v>45058.35664351852</v>
      </c>
      <c r="C279" s="1" t="n">
        <v>45994</v>
      </c>
      <c r="D279" t="inlineStr">
        <is>
          <t>SKÅNE LÄN</t>
        </is>
      </c>
      <c r="E279" t="inlineStr">
        <is>
          <t>HÄSSLEHOLM</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59028-2023</t>
        </is>
      </c>
      <c r="B280" s="1" t="n">
        <v>45252.67900462963</v>
      </c>
      <c r="C280" s="1" t="n">
        <v>45994</v>
      </c>
      <c r="D280" t="inlineStr">
        <is>
          <t>SKÅNE LÄN</t>
        </is>
      </c>
      <c r="E280" t="inlineStr">
        <is>
          <t>HÄSSLEHOLM</t>
        </is>
      </c>
      <c r="G280" t="n">
        <v>2.5</v>
      </c>
      <c r="H280" t="n">
        <v>0</v>
      </c>
      <c r="I280" t="n">
        <v>0</v>
      </c>
      <c r="J280" t="n">
        <v>0</v>
      </c>
      <c r="K280" t="n">
        <v>0</v>
      </c>
      <c r="L280" t="n">
        <v>0</v>
      </c>
      <c r="M280" t="n">
        <v>0</v>
      </c>
      <c r="N280" t="n">
        <v>0</v>
      </c>
      <c r="O280" t="n">
        <v>0</v>
      </c>
      <c r="P280" t="n">
        <v>0</v>
      </c>
      <c r="Q280" t="n">
        <v>0</v>
      </c>
      <c r="R280" s="2" t="inlineStr"/>
    </row>
    <row r="281" ht="15" customHeight="1">
      <c r="A281" t="inlineStr">
        <is>
          <t>A 7729-2021</t>
        </is>
      </c>
      <c r="B281" s="1" t="n">
        <v>44242</v>
      </c>
      <c r="C281" s="1" t="n">
        <v>45994</v>
      </c>
      <c r="D281" t="inlineStr">
        <is>
          <t>SKÅNE LÄN</t>
        </is>
      </c>
      <c r="E281" t="inlineStr">
        <is>
          <t>HÄSSLEHOLM</t>
        </is>
      </c>
      <c r="G281" t="n">
        <v>0.8</v>
      </c>
      <c r="H281" t="n">
        <v>0</v>
      </c>
      <c r="I281" t="n">
        <v>0</v>
      </c>
      <c r="J281" t="n">
        <v>0</v>
      </c>
      <c r="K281" t="n">
        <v>0</v>
      </c>
      <c r="L281" t="n">
        <v>0</v>
      </c>
      <c r="M281" t="n">
        <v>0</v>
      </c>
      <c r="N281" t="n">
        <v>0</v>
      </c>
      <c r="O281" t="n">
        <v>0</v>
      </c>
      <c r="P281" t="n">
        <v>0</v>
      </c>
      <c r="Q281" t="n">
        <v>0</v>
      </c>
      <c r="R281" s="2" t="inlineStr"/>
    </row>
    <row r="282" ht="15" customHeight="1">
      <c r="A282" t="inlineStr">
        <is>
          <t>A 197-2021</t>
        </is>
      </c>
      <c r="B282" s="1" t="n">
        <v>44200</v>
      </c>
      <c r="C282" s="1" t="n">
        <v>45994</v>
      </c>
      <c r="D282" t="inlineStr">
        <is>
          <t>SKÅNE LÄN</t>
        </is>
      </c>
      <c r="E282" t="inlineStr">
        <is>
          <t>HÄSSLEHOLM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30006-2023</t>
        </is>
      </c>
      <c r="B283" s="1" t="n">
        <v>45109.79962962963</v>
      </c>
      <c r="C283" s="1" t="n">
        <v>45994</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49167-2022</t>
        </is>
      </c>
      <c r="B284" s="1" t="n">
        <v>44860</v>
      </c>
      <c r="C284" s="1" t="n">
        <v>45994</v>
      </c>
      <c r="D284" t="inlineStr">
        <is>
          <t>SKÅNE LÄN</t>
        </is>
      </c>
      <c r="E284" t="inlineStr">
        <is>
          <t>HÄSSLEHOLM</t>
        </is>
      </c>
      <c r="G284" t="n">
        <v>1.3</v>
      </c>
      <c r="H284" t="n">
        <v>0</v>
      </c>
      <c r="I284" t="n">
        <v>0</v>
      </c>
      <c r="J284" t="n">
        <v>0</v>
      </c>
      <c r="K284" t="n">
        <v>0</v>
      </c>
      <c r="L284" t="n">
        <v>0</v>
      </c>
      <c r="M284" t="n">
        <v>0</v>
      </c>
      <c r="N284" t="n">
        <v>0</v>
      </c>
      <c r="O284" t="n">
        <v>0</v>
      </c>
      <c r="P284" t="n">
        <v>0</v>
      </c>
      <c r="Q284" t="n">
        <v>0</v>
      </c>
      <c r="R284" s="2" t="inlineStr"/>
    </row>
    <row r="285" ht="15" customHeight="1">
      <c r="A285" t="inlineStr">
        <is>
          <t>A 8250-2023</t>
        </is>
      </c>
      <c r="B285" s="1" t="n">
        <v>44974</v>
      </c>
      <c r="C285" s="1" t="n">
        <v>45994</v>
      </c>
      <c r="D285" t="inlineStr">
        <is>
          <t>SKÅNE LÄN</t>
        </is>
      </c>
      <c r="E285" t="inlineStr">
        <is>
          <t>HÄSSLEHOLM</t>
        </is>
      </c>
      <c r="G285" t="n">
        <v>3</v>
      </c>
      <c r="H285" t="n">
        <v>0</v>
      </c>
      <c r="I285" t="n">
        <v>0</v>
      </c>
      <c r="J285" t="n">
        <v>0</v>
      </c>
      <c r="K285" t="n">
        <v>0</v>
      </c>
      <c r="L285" t="n">
        <v>0</v>
      </c>
      <c r="M285" t="n">
        <v>0</v>
      </c>
      <c r="N285" t="n">
        <v>0</v>
      </c>
      <c r="O285" t="n">
        <v>0</v>
      </c>
      <c r="P285" t="n">
        <v>0</v>
      </c>
      <c r="Q285" t="n">
        <v>0</v>
      </c>
      <c r="R285" s="2" t="inlineStr"/>
    </row>
    <row r="286" ht="15" customHeight="1">
      <c r="A286" t="inlineStr">
        <is>
          <t>A 59434-2023</t>
        </is>
      </c>
      <c r="B286" s="1" t="n">
        <v>45254.30440972222</v>
      </c>
      <c r="C286" s="1" t="n">
        <v>45994</v>
      </c>
      <c r="D286" t="inlineStr">
        <is>
          <t>SKÅNE LÄN</t>
        </is>
      </c>
      <c r="E286" t="inlineStr">
        <is>
          <t>HÄSSLEHOLM</t>
        </is>
      </c>
      <c r="G286" t="n">
        <v>3.6</v>
      </c>
      <c r="H286" t="n">
        <v>0</v>
      </c>
      <c r="I286" t="n">
        <v>0</v>
      </c>
      <c r="J286" t="n">
        <v>0</v>
      </c>
      <c r="K286" t="n">
        <v>0</v>
      </c>
      <c r="L286" t="n">
        <v>0</v>
      </c>
      <c r="M286" t="n">
        <v>0</v>
      </c>
      <c r="N286" t="n">
        <v>0</v>
      </c>
      <c r="O286" t="n">
        <v>0</v>
      </c>
      <c r="P286" t="n">
        <v>0</v>
      </c>
      <c r="Q286" t="n">
        <v>0</v>
      </c>
      <c r="R286" s="2" t="inlineStr"/>
    </row>
    <row r="287" ht="15" customHeight="1">
      <c r="A287" t="inlineStr">
        <is>
          <t>A 11616-2021</t>
        </is>
      </c>
      <c r="B287" s="1" t="n">
        <v>44264.63064814815</v>
      </c>
      <c r="C287" s="1" t="n">
        <v>45994</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57079-2022</t>
        </is>
      </c>
      <c r="B288" s="1" t="n">
        <v>44895</v>
      </c>
      <c r="C288" s="1" t="n">
        <v>45994</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2290-2024</t>
        </is>
      </c>
      <c r="B289" s="1" t="n">
        <v>45310</v>
      </c>
      <c r="C289" s="1" t="n">
        <v>45994</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15698-2023</t>
        </is>
      </c>
      <c r="B290" s="1" t="n">
        <v>45021</v>
      </c>
      <c r="C290" s="1" t="n">
        <v>45994</v>
      </c>
      <c r="D290" t="inlineStr">
        <is>
          <t>SKÅNE LÄN</t>
        </is>
      </c>
      <c r="E290" t="inlineStr">
        <is>
          <t>HÄSSLEHOLM</t>
        </is>
      </c>
      <c r="F290" t="inlineStr">
        <is>
          <t>Kommuner</t>
        </is>
      </c>
      <c r="G290" t="n">
        <v>5.5</v>
      </c>
      <c r="H290" t="n">
        <v>0</v>
      </c>
      <c r="I290" t="n">
        <v>0</v>
      </c>
      <c r="J290" t="n">
        <v>0</v>
      </c>
      <c r="K290" t="n">
        <v>0</v>
      </c>
      <c r="L290" t="n">
        <v>0</v>
      </c>
      <c r="M290" t="n">
        <v>0</v>
      </c>
      <c r="N290" t="n">
        <v>0</v>
      </c>
      <c r="O290" t="n">
        <v>0</v>
      </c>
      <c r="P290" t="n">
        <v>0</v>
      </c>
      <c r="Q290" t="n">
        <v>0</v>
      </c>
      <c r="R290" s="2" t="inlineStr"/>
    </row>
    <row r="291" ht="15" customHeight="1">
      <c r="A291" t="inlineStr">
        <is>
          <t>A 33067-2024</t>
        </is>
      </c>
      <c r="B291" s="1" t="n">
        <v>45517.6520949074</v>
      </c>
      <c r="C291" s="1" t="n">
        <v>45994</v>
      </c>
      <c r="D291" t="inlineStr">
        <is>
          <t>SKÅNE LÄN</t>
        </is>
      </c>
      <c r="E291" t="inlineStr">
        <is>
          <t>HÄSSLEHOLM</t>
        </is>
      </c>
      <c r="G291" t="n">
        <v>0.4</v>
      </c>
      <c r="H291" t="n">
        <v>0</v>
      </c>
      <c r="I291" t="n">
        <v>0</v>
      </c>
      <c r="J291" t="n">
        <v>0</v>
      </c>
      <c r="K291" t="n">
        <v>0</v>
      </c>
      <c r="L291" t="n">
        <v>0</v>
      </c>
      <c r="M291" t="n">
        <v>0</v>
      </c>
      <c r="N291" t="n">
        <v>0</v>
      </c>
      <c r="O291" t="n">
        <v>0</v>
      </c>
      <c r="P291" t="n">
        <v>0</v>
      </c>
      <c r="Q291" t="n">
        <v>0</v>
      </c>
      <c r="R291" s="2" t="inlineStr"/>
    </row>
    <row r="292" ht="15" customHeight="1">
      <c r="A292" t="inlineStr">
        <is>
          <t>A 57963-2023</t>
        </is>
      </c>
      <c r="B292" s="1" t="n">
        <v>45247.57732638889</v>
      </c>
      <c r="C292" s="1" t="n">
        <v>45994</v>
      </c>
      <c r="D292" t="inlineStr">
        <is>
          <t>SKÅNE LÄN</t>
        </is>
      </c>
      <c r="E292" t="inlineStr">
        <is>
          <t>HÄSSLEHOLM</t>
        </is>
      </c>
      <c r="G292" t="n">
        <v>4.6</v>
      </c>
      <c r="H292" t="n">
        <v>0</v>
      </c>
      <c r="I292" t="n">
        <v>0</v>
      </c>
      <c r="J292" t="n">
        <v>0</v>
      </c>
      <c r="K292" t="n">
        <v>0</v>
      </c>
      <c r="L292" t="n">
        <v>0</v>
      </c>
      <c r="M292" t="n">
        <v>0</v>
      </c>
      <c r="N292" t="n">
        <v>0</v>
      </c>
      <c r="O292" t="n">
        <v>0</v>
      </c>
      <c r="P292" t="n">
        <v>0</v>
      </c>
      <c r="Q292" t="n">
        <v>0</v>
      </c>
      <c r="R292" s="2" t="inlineStr"/>
    </row>
    <row r="293" ht="15" customHeight="1">
      <c r="A293" t="inlineStr">
        <is>
          <t>A 51893-2021</t>
        </is>
      </c>
      <c r="B293" s="1" t="n">
        <v>44462</v>
      </c>
      <c r="C293" s="1" t="n">
        <v>45994</v>
      </c>
      <c r="D293" t="inlineStr">
        <is>
          <t>SKÅNE LÄN</t>
        </is>
      </c>
      <c r="E293" t="inlineStr">
        <is>
          <t>HÄSSLEHOLM</t>
        </is>
      </c>
      <c r="G293" t="n">
        <v>1</v>
      </c>
      <c r="H293" t="n">
        <v>0</v>
      </c>
      <c r="I293" t="n">
        <v>0</v>
      </c>
      <c r="J293" t="n">
        <v>0</v>
      </c>
      <c r="K293" t="n">
        <v>0</v>
      </c>
      <c r="L293" t="n">
        <v>0</v>
      </c>
      <c r="M293" t="n">
        <v>0</v>
      </c>
      <c r="N293" t="n">
        <v>0</v>
      </c>
      <c r="O293" t="n">
        <v>0</v>
      </c>
      <c r="P293" t="n">
        <v>0</v>
      </c>
      <c r="Q293" t="n">
        <v>0</v>
      </c>
      <c r="R293" s="2" t="inlineStr"/>
    </row>
    <row r="294" ht="15" customHeight="1">
      <c r="A294" t="inlineStr">
        <is>
          <t>A 20566-2023</t>
        </is>
      </c>
      <c r="B294" s="1" t="n">
        <v>45057</v>
      </c>
      <c r="C294" s="1" t="n">
        <v>45994</v>
      </c>
      <c r="D294" t="inlineStr">
        <is>
          <t>SKÅNE LÄN</t>
        </is>
      </c>
      <c r="E294" t="inlineStr">
        <is>
          <t>HÄSSLEHOLM</t>
        </is>
      </c>
      <c r="G294" t="n">
        <v>5.2</v>
      </c>
      <c r="H294" t="n">
        <v>0</v>
      </c>
      <c r="I294" t="n">
        <v>0</v>
      </c>
      <c r="J294" t="n">
        <v>0</v>
      </c>
      <c r="K294" t="n">
        <v>0</v>
      </c>
      <c r="L294" t="n">
        <v>0</v>
      </c>
      <c r="M294" t="n">
        <v>0</v>
      </c>
      <c r="N294" t="n">
        <v>0</v>
      </c>
      <c r="O294" t="n">
        <v>0</v>
      </c>
      <c r="P294" t="n">
        <v>0</v>
      </c>
      <c r="Q294" t="n">
        <v>0</v>
      </c>
      <c r="R294" s="2" t="inlineStr"/>
    </row>
    <row r="295" ht="15" customHeight="1">
      <c r="A295" t="inlineStr">
        <is>
          <t>A 57033-2022</t>
        </is>
      </c>
      <c r="B295" s="1" t="n">
        <v>44895.31270833333</v>
      </c>
      <c r="C295" s="1" t="n">
        <v>45994</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35845-2022</t>
        </is>
      </c>
      <c r="B296" s="1" t="n">
        <v>44802</v>
      </c>
      <c r="C296" s="1" t="n">
        <v>45994</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55394-2022</t>
        </is>
      </c>
      <c r="B297" s="1" t="n">
        <v>44887.57112268519</v>
      </c>
      <c r="C297" s="1" t="n">
        <v>45994</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28236-2022</t>
        </is>
      </c>
      <c r="B298" s="1" t="n">
        <v>44746</v>
      </c>
      <c r="C298" s="1" t="n">
        <v>45994</v>
      </c>
      <c r="D298" t="inlineStr">
        <is>
          <t>SKÅNE LÄN</t>
        </is>
      </c>
      <c r="E298" t="inlineStr">
        <is>
          <t>HÄSSLEHOLM</t>
        </is>
      </c>
      <c r="G298" t="n">
        <v>3.5</v>
      </c>
      <c r="H298" t="n">
        <v>0</v>
      </c>
      <c r="I298" t="n">
        <v>0</v>
      </c>
      <c r="J298" t="n">
        <v>0</v>
      </c>
      <c r="K298" t="n">
        <v>0</v>
      </c>
      <c r="L298" t="n">
        <v>0</v>
      </c>
      <c r="M298" t="n">
        <v>0</v>
      </c>
      <c r="N298" t="n">
        <v>0</v>
      </c>
      <c r="O298" t="n">
        <v>0</v>
      </c>
      <c r="P298" t="n">
        <v>0</v>
      </c>
      <c r="Q298" t="n">
        <v>0</v>
      </c>
      <c r="R298" s="2" t="inlineStr"/>
    </row>
    <row r="299" ht="15" customHeight="1">
      <c r="A299" t="inlineStr">
        <is>
          <t>A 61625-2022</t>
        </is>
      </c>
      <c r="B299" s="1" t="n">
        <v>44916</v>
      </c>
      <c r="C299" s="1" t="n">
        <v>45994</v>
      </c>
      <c r="D299" t="inlineStr">
        <is>
          <t>SKÅNE LÄN</t>
        </is>
      </c>
      <c r="E299" t="inlineStr">
        <is>
          <t>HÄSSLEHOLM</t>
        </is>
      </c>
      <c r="G299" t="n">
        <v>2.4</v>
      </c>
      <c r="H299" t="n">
        <v>0</v>
      </c>
      <c r="I299" t="n">
        <v>0</v>
      </c>
      <c r="J299" t="n">
        <v>0</v>
      </c>
      <c r="K299" t="n">
        <v>0</v>
      </c>
      <c r="L299" t="n">
        <v>0</v>
      </c>
      <c r="M299" t="n">
        <v>0</v>
      </c>
      <c r="N299" t="n">
        <v>0</v>
      </c>
      <c r="O299" t="n">
        <v>0</v>
      </c>
      <c r="P299" t="n">
        <v>0</v>
      </c>
      <c r="Q299" t="n">
        <v>0</v>
      </c>
      <c r="R299" s="2" t="inlineStr"/>
    </row>
    <row r="300" ht="15" customHeight="1">
      <c r="A300" t="inlineStr">
        <is>
          <t>A 34886-2023</t>
        </is>
      </c>
      <c r="B300" s="1" t="n">
        <v>45142.38450231482</v>
      </c>
      <c r="C300" s="1" t="n">
        <v>45994</v>
      </c>
      <c r="D300" t="inlineStr">
        <is>
          <t>SKÅNE LÄN</t>
        </is>
      </c>
      <c r="E300" t="inlineStr">
        <is>
          <t>HÄSSLEHOLM</t>
        </is>
      </c>
      <c r="G300" t="n">
        <v>1.3</v>
      </c>
      <c r="H300" t="n">
        <v>0</v>
      </c>
      <c r="I300" t="n">
        <v>0</v>
      </c>
      <c r="J300" t="n">
        <v>0</v>
      </c>
      <c r="K300" t="n">
        <v>0</v>
      </c>
      <c r="L300" t="n">
        <v>0</v>
      </c>
      <c r="M300" t="n">
        <v>0</v>
      </c>
      <c r="N300" t="n">
        <v>0</v>
      </c>
      <c r="O300" t="n">
        <v>0</v>
      </c>
      <c r="P300" t="n">
        <v>0</v>
      </c>
      <c r="Q300" t="n">
        <v>0</v>
      </c>
      <c r="R300" s="2" t="inlineStr"/>
    </row>
    <row r="301" ht="15" customHeight="1">
      <c r="A301" t="inlineStr">
        <is>
          <t>A 38829-2024</t>
        </is>
      </c>
      <c r="B301" s="1" t="n">
        <v>45547.57247685185</v>
      </c>
      <c r="C301" s="1" t="n">
        <v>45994</v>
      </c>
      <c r="D301" t="inlineStr">
        <is>
          <t>SKÅNE LÄN</t>
        </is>
      </c>
      <c r="E301" t="inlineStr">
        <is>
          <t>HÄSSLEHOLM</t>
        </is>
      </c>
      <c r="G301" t="n">
        <v>1.8</v>
      </c>
      <c r="H301" t="n">
        <v>0</v>
      </c>
      <c r="I301" t="n">
        <v>0</v>
      </c>
      <c r="J301" t="n">
        <v>0</v>
      </c>
      <c r="K301" t="n">
        <v>0</v>
      </c>
      <c r="L301" t="n">
        <v>0</v>
      </c>
      <c r="M301" t="n">
        <v>0</v>
      </c>
      <c r="N301" t="n">
        <v>0</v>
      </c>
      <c r="O301" t="n">
        <v>0</v>
      </c>
      <c r="P301" t="n">
        <v>0</v>
      </c>
      <c r="Q301" t="n">
        <v>0</v>
      </c>
      <c r="R301" s="2" t="inlineStr"/>
    </row>
    <row r="302" ht="15" customHeight="1">
      <c r="A302" t="inlineStr">
        <is>
          <t>A 22140-2023</t>
        </is>
      </c>
      <c r="B302" s="1" t="n">
        <v>45065</v>
      </c>
      <c r="C302" s="1" t="n">
        <v>45994</v>
      </c>
      <c r="D302" t="inlineStr">
        <is>
          <t>SKÅNE LÄN</t>
        </is>
      </c>
      <c r="E302" t="inlineStr">
        <is>
          <t>HÄSSLEHOLM</t>
        </is>
      </c>
      <c r="G302" t="n">
        <v>6.7</v>
      </c>
      <c r="H302" t="n">
        <v>0</v>
      </c>
      <c r="I302" t="n">
        <v>0</v>
      </c>
      <c r="J302" t="n">
        <v>0</v>
      </c>
      <c r="K302" t="n">
        <v>0</v>
      </c>
      <c r="L302" t="n">
        <v>0</v>
      </c>
      <c r="M302" t="n">
        <v>0</v>
      </c>
      <c r="N302" t="n">
        <v>0</v>
      </c>
      <c r="O302" t="n">
        <v>0</v>
      </c>
      <c r="P302" t="n">
        <v>0</v>
      </c>
      <c r="Q302" t="n">
        <v>0</v>
      </c>
      <c r="R302" s="2" t="inlineStr"/>
    </row>
    <row r="303" ht="15" customHeight="1">
      <c r="A303" t="inlineStr">
        <is>
          <t>A 2596-2024</t>
        </is>
      </c>
      <c r="B303" s="1" t="n">
        <v>45313.69969907407</v>
      </c>
      <c r="C303" s="1" t="n">
        <v>45994</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7653-2024</t>
        </is>
      </c>
      <c r="B304" s="1" t="n">
        <v>45348.69043981482</v>
      </c>
      <c r="C304" s="1" t="n">
        <v>45994</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13890-2024</t>
        </is>
      </c>
      <c r="B305" s="1" t="n">
        <v>45391</v>
      </c>
      <c r="C305" s="1" t="n">
        <v>45994</v>
      </c>
      <c r="D305" t="inlineStr">
        <is>
          <t>SKÅNE LÄN</t>
        </is>
      </c>
      <c r="E305" t="inlineStr">
        <is>
          <t>HÄSSLEHOLM</t>
        </is>
      </c>
      <c r="F305" t="inlineStr">
        <is>
          <t>Kommuner</t>
        </is>
      </c>
      <c r="G305" t="n">
        <v>1.4</v>
      </c>
      <c r="H305" t="n">
        <v>0</v>
      </c>
      <c r="I305" t="n">
        <v>0</v>
      </c>
      <c r="J305" t="n">
        <v>0</v>
      </c>
      <c r="K305" t="n">
        <v>0</v>
      </c>
      <c r="L305" t="n">
        <v>0</v>
      </c>
      <c r="M305" t="n">
        <v>0</v>
      </c>
      <c r="N305" t="n">
        <v>0</v>
      </c>
      <c r="O305" t="n">
        <v>0</v>
      </c>
      <c r="P305" t="n">
        <v>0</v>
      </c>
      <c r="Q305" t="n">
        <v>0</v>
      </c>
      <c r="R305" s="2" t="inlineStr"/>
    </row>
    <row r="306" ht="15" customHeight="1">
      <c r="A306" t="inlineStr">
        <is>
          <t>A 6842-2023</t>
        </is>
      </c>
      <c r="B306" s="1" t="n">
        <v>44967</v>
      </c>
      <c r="C306" s="1" t="n">
        <v>45994</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55218-2023</t>
        </is>
      </c>
      <c r="B307" s="1" t="n">
        <v>45237</v>
      </c>
      <c r="C307" s="1" t="n">
        <v>45994</v>
      </c>
      <c r="D307" t="inlineStr">
        <is>
          <t>SKÅNE LÄN</t>
        </is>
      </c>
      <c r="E307" t="inlineStr">
        <is>
          <t>HÄSSLEHOLM</t>
        </is>
      </c>
      <c r="G307" t="n">
        <v>2</v>
      </c>
      <c r="H307" t="n">
        <v>0</v>
      </c>
      <c r="I307" t="n">
        <v>0</v>
      </c>
      <c r="J307" t="n">
        <v>0</v>
      </c>
      <c r="K307" t="n">
        <v>0</v>
      </c>
      <c r="L307" t="n">
        <v>0</v>
      </c>
      <c r="M307" t="n">
        <v>0</v>
      </c>
      <c r="N307" t="n">
        <v>0</v>
      </c>
      <c r="O307" t="n">
        <v>0</v>
      </c>
      <c r="P307" t="n">
        <v>0</v>
      </c>
      <c r="Q307" t="n">
        <v>0</v>
      </c>
      <c r="R307" s="2" t="inlineStr"/>
    </row>
    <row r="308" ht="15" customHeight="1">
      <c r="A308" t="inlineStr">
        <is>
          <t>A 48747-2022</t>
        </is>
      </c>
      <c r="B308" s="1" t="n">
        <v>44859</v>
      </c>
      <c r="C308" s="1" t="n">
        <v>45994</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24679-2023</t>
        </is>
      </c>
      <c r="B309" s="1" t="n">
        <v>45084</v>
      </c>
      <c r="C309" s="1" t="n">
        <v>45994</v>
      </c>
      <c r="D309" t="inlineStr">
        <is>
          <t>SKÅNE LÄN</t>
        </is>
      </c>
      <c r="E309" t="inlineStr">
        <is>
          <t>HÄSSLEHOLM</t>
        </is>
      </c>
      <c r="G309" t="n">
        <v>7.1</v>
      </c>
      <c r="H309" t="n">
        <v>0</v>
      </c>
      <c r="I309" t="n">
        <v>0</v>
      </c>
      <c r="J309" t="n">
        <v>0</v>
      </c>
      <c r="K309" t="n">
        <v>0</v>
      </c>
      <c r="L309" t="n">
        <v>0</v>
      </c>
      <c r="M309" t="n">
        <v>0</v>
      </c>
      <c r="N309" t="n">
        <v>0</v>
      </c>
      <c r="O309" t="n">
        <v>0</v>
      </c>
      <c r="P309" t="n">
        <v>0</v>
      </c>
      <c r="Q309" t="n">
        <v>0</v>
      </c>
      <c r="R309" s="2" t="inlineStr"/>
    </row>
    <row r="310" ht="15" customHeight="1">
      <c r="A310" t="inlineStr">
        <is>
          <t>A 46288-2023</t>
        </is>
      </c>
      <c r="B310" s="1" t="n">
        <v>45197.30221064815</v>
      </c>
      <c r="C310" s="1" t="n">
        <v>45994</v>
      </c>
      <c r="D310" t="inlineStr">
        <is>
          <t>SKÅNE LÄN</t>
        </is>
      </c>
      <c r="E310" t="inlineStr">
        <is>
          <t>HÄSSLEHOLM</t>
        </is>
      </c>
      <c r="G310" t="n">
        <v>3</v>
      </c>
      <c r="H310" t="n">
        <v>0</v>
      </c>
      <c r="I310" t="n">
        <v>0</v>
      </c>
      <c r="J310" t="n">
        <v>0</v>
      </c>
      <c r="K310" t="n">
        <v>0</v>
      </c>
      <c r="L310" t="n">
        <v>0</v>
      </c>
      <c r="M310" t="n">
        <v>0</v>
      </c>
      <c r="N310" t="n">
        <v>0</v>
      </c>
      <c r="O310" t="n">
        <v>0</v>
      </c>
      <c r="P310" t="n">
        <v>0</v>
      </c>
      <c r="Q310" t="n">
        <v>0</v>
      </c>
      <c r="R310" s="2" t="inlineStr"/>
    </row>
    <row r="311" ht="15" customHeight="1">
      <c r="A311" t="inlineStr">
        <is>
          <t>A 49106-2023</t>
        </is>
      </c>
      <c r="B311" s="1" t="n">
        <v>45210</v>
      </c>
      <c r="C311" s="1" t="n">
        <v>45994</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10409-2024</t>
        </is>
      </c>
      <c r="B312" s="1" t="n">
        <v>45365.6978125</v>
      </c>
      <c r="C312" s="1" t="n">
        <v>45994</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7153-2025</t>
        </is>
      </c>
      <c r="B313" s="1" t="n">
        <v>45702.38512731482</v>
      </c>
      <c r="C313" s="1" t="n">
        <v>45994</v>
      </c>
      <c r="D313" t="inlineStr">
        <is>
          <t>SKÅNE LÄN</t>
        </is>
      </c>
      <c r="E313" t="inlineStr">
        <is>
          <t>HÄSSLEHOLM</t>
        </is>
      </c>
      <c r="G313" t="n">
        <v>2.7</v>
      </c>
      <c r="H313" t="n">
        <v>0</v>
      </c>
      <c r="I313" t="n">
        <v>0</v>
      </c>
      <c r="J313" t="n">
        <v>0</v>
      </c>
      <c r="K313" t="n">
        <v>0</v>
      </c>
      <c r="L313" t="n">
        <v>0</v>
      </c>
      <c r="M313" t="n">
        <v>0</v>
      </c>
      <c r="N313" t="n">
        <v>0</v>
      </c>
      <c r="O313" t="n">
        <v>0</v>
      </c>
      <c r="P313" t="n">
        <v>0</v>
      </c>
      <c r="Q313" t="n">
        <v>0</v>
      </c>
      <c r="R313" s="2" t="inlineStr"/>
    </row>
    <row r="314" ht="15" customHeight="1">
      <c r="A314" t="inlineStr">
        <is>
          <t>A 50899-2024</t>
        </is>
      </c>
      <c r="B314" s="1" t="n">
        <v>45602.68584490741</v>
      </c>
      <c r="C314" s="1" t="n">
        <v>45994</v>
      </c>
      <c r="D314" t="inlineStr">
        <is>
          <t>SKÅNE LÄN</t>
        </is>
      </c>
      <c r="E314" t="inlineStr">
        <is>
          <t>HÄSSLEHOLM</t>
        </is>
      </c>
      <c r="G314" t="n">
        <v>1.7</v>
      </c>
      <c r="H314" t="n">
        <v>0</v>
      </c>
      <c r="I314" t="n">
        <v>0</v>
      </c>
      <c r="J314" t="n">
        <v>0</v>
      </c>
      <c r="K314" t="n">
        <v>0</v>
      </c>
      <c r="L314" t="n">
        <v>0</v>
      </c>
      <c r="M314" t="n">
        <v>0</v>
      </c>
      <c r="N314" t="n">
        <v>0</v>
      </c>
      <c r="O314" t="n">
        <v>0</v>
      </c>
      <c r="P314" t="n">
        <v>0</v>
      </c>
      <c r="Q314" t="n">
        <v>0</v>
      </c>
      <c r="R314" s="2" t="inlineStr"/>
    </row>
    <row r="315" ht="15" customHeight="1">
      <c r="A315" t="inlineStr">
        <is>
          <t>A 49219-2021</t>
        </is>
      </c>
      <c r="B315" s="1" t="n">
        <v>44454</v>
      </c>
      <c r="C315" s="1" t="n">
        <v>45994</v>
      </c>
      <c r="D315" t="inlineStr">
        <is>
          <t>SKÅNE LÄN</t>
        </is>
      </c>
      <c r="E315" t="inlineStr">
        <is>
          <t>HÄSSLEHOLM</t>
        </is>
      </c>
      <c r="G315" t="n">
        <v>7.8</v>
      </c>
      <c r="H315" t="n">
        <v>0</v>
      </c>
      <c r="I315" t="n">
        <v>0</v>
      </c>
      <c r="J315" t="n">
        <v>0</v>
      </c>
      <c r="K315" t="n">
        <v>0</v>
      </c>
      <c r="L315" t="n">
        <v>0</v>
      </c>
      <c r="M315" t="n">
        <v>0</v>
      </c>
      <c r="N315" t="n">
        <v>0</v>
      </c>
      <c r="O315" t="n">
        <v>0</v>
      </c>
      <c r="P315" t="n">
        <v>0</v>
      </c>
      <c r="Q315" t="n">
        <v>0</v>
      </c>
      <c r="R315" s="2" t="inlineStr"/>
    </row>
    <row r="316" ht="15" customHeight="1">
      <c r="A316" t="inlineStr">
        <is>
          <t>A 47248-2023</t>
        </is>
      </c>
      <c r="B316" s="1" t="n">
        <v>45202</v>
      </c>
      <c r="C316" s="1" t="n">
        <v>45994</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5890-2023</t>
        </is>
      </c>
      <c r="B317" s="1" t="n">
        <v>44963.64527777778</v>
      </c>
      <c r="C317" s="1" t="n">
        <v>45994</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20990-2023</t>
        </is>
      </c>
      <c r="B318" s="1" t="n">
        <v>45061.46186342592</v>
      </c>
      <c r="C318" s="1" t="n">
        <v>45994</v>
      </c>
      <c r="D318" t="inlineStr">
        <is>
          <t>SKÅNE LÄN</t>
        </is>
      </c>
      <c r="E318" t="inlineStr">
        <is>
          <t>HÄSSLEHOLM</t>
        </is>
      </c>
      <c r="G318" t="n">
        <v>2.8</v>
      </c>
      <c r="H318" t="n">
        <v>0</v>
      </c>
      <c r="I318" t="n">
        <v>0</v>
      </c>
      <c r="J318" t="n">
        <v>0</v>
      </c>
      <c r="K318" t="n">
        <v>0</v>
      </c>
      <c r="L318" t="n">
        <v>0</v>
      </c>
      <c r="M318" t="n">
        <v>0</v>
      </c>
      <c r="N318" t="n">
        <v>0</v>
      </c>
      <c r="O318" t="n">
        <v>0</v>
      </c>
      <c r="P318" t="n">
        <v>0</v>
      </c>
      <c r="Q318" t="n">
        <v>0</v>
      </c>
      <c r="R318" s="2" t="inlineStr"/>
    </row>
    <row r="319" ht="15" customHeight="1">
      <c r="A319" t="inlineStr">
        <is>
          <t>A 12936-2025</t>
        </is>
      </c>
      <c r="B319" s="1" t="n">
        <v>45734</v>
      </c>
      <c r="C319" s="1" t="n">
        <v>45994</v>
      </c>
      <c r="D319" t="inlineStr">
        <is>
          <t>SKÅNE LÄN</t>
        </is>
      </c>
      <c r="E319" t="inlineStr">
        <is>
          <t>HÄSSLEHOLM</t>
        </is>
      </c>
      <c r="G319" t="n">
        <v>1.7</v>
      </c>
      <c r="H319" t="n">
        <v>0</v>
      </c>
      <c r="I319" t="n">
        <v>0</v>
      </c>
      <c r="J319" t="n">
        <v>0</v>
      </c>
      <c r="K319" t="n">
        <v>0</v>
      </c>
      <c r="L319" t="n">
        <v>0</v>
      </c>
      <c r="M319" t="n">
        <v>0</v>
      </c>
      <c r="N319" t="n">
        <v>0</v>
      </c>
      <c r="O319" t="n">
        <v>0</v>
      </c>
      <c r="P319" t="n">
        <v>0</v>
      </c>
      <c r="Q319" t="n">
        <v>0</v>
      </c>
      <c r="R319" s="2" t="inlineStr"/>
    </row>
    <row r="320" ht="15" customHeight="1">
      <c r="A320" t="inlineStr">
        <is>
          <t>A 56062-2024</t>
        </is>
      </c>
      <c r="B320" s="1" t="n">
        <v>45624.37105324074</v>
      </c>
      <c r="C320" s="1" t="n">
        <v>45994</v>
      </c>
      <c r="D320" t="inlineStr">
        <is>
          <t>SKÅNE LÄN</t>
        </is>
      </c>
      <c r="E320" t="inlineStr">
        <is>
          <t>HÄSSLEHOLM</t>
        </is>
      </c>
      <c r="F320" t="inlineStr">
        <is>
          <t>Övriga Aktiebolag</t>
        </is>
      </c>
      <c r="G320" t="n">
        <v>0.6</v>
      </c>
      <c r="H320" t="n">
        <v>0</v>
      </c>
      <c r="I320" t="n">
        <v>0</v>
      </c>
      <c r="J320" t="n">
        <v>0</v>
      </c>
      <c r="K320" t="n">
        <v>0</v>
      </c>
      <c r="L320" t="n">
        <v>0</v>
      </c>
      <c r="M320" t="n">
        <v>0</v>
      </c>
      <c r="N320" t="n">
        <v>0</v>
      </c>
      <c r="O320" t="n">
        <v>0</v>
      </c>
      <c r="P320" t="n">
        <v>0</v>
      </c>
      <c r="Q320" t="n">
        <v>0</v>
      </c>
      <c r="R320" s="2" t="inlineStr"/>
    </row>
    <row r="321" ht="15" customHeight="1">
      <c r="A321" t="inlineStr">
        <is>
          <t>A 13198-2025</t>
        </is>
      </c>
      <c r="B321" s="1" t="n">
        <v>45735</v>
      </c>
      <c r="C321" s="1" t="n">
        <v>45994</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41209-2023</t>
        </is>
      </c>
      <c r="B322" s="1" t="n">
        <v>45174.43481481481</v>
      </c>
      <c r="C322" s="1" t="n">
        <v>45994</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50616-2023</t>
        </is>
      </c>
      <c r="B323" s="1" t="n">
        <v>45210</v>
      </c>
      <c r="C323" s="1" t="n">
        <v>45994</v>
      </c>
      <c r="D323" t="inlineStr">
        <is>
          <t>SKÅNE LÄN</t>
        </is>
      </c>
      <c r="E323" t="inlineStr">
        <is>
          <t>HÄSSLEHOLM</t>
        </is>
      </c>
      <c r="G323" t="n">
        <v>1.1</v>
      </c>
      <c r="H323" t="n">
        <v>0</v>
      </c>
      <c r="I323" t="n">
        <v>0</v>
      </c>
      <c r="J323" t="n">
        <v>0</v>
      </c>
      <c r="K323" t="n">
        <v>0</v>
      </c>
      <c r="L323" t="n">
        <v>0</v>
      </c>
      <c r="M323" t="n">
        <v>0</v>
      </c>
      <c r="N323" t="n">
        <v>0</v>
      </c>
      <c r="O323" t="n">
        <v>0</v>
      </c>
      <c r="P323" t="n">
        <v>0</v>
      </c>
      <c r="Q323" t="n">
        <v>0</v>
      </c>
      <c r="R323" s="2" t="inlineStr"/>
    </row>
    <row r="324" ht="15" customHeight="1">
      <c r="A324" t="inlineStr">
        <is>
          <t>A 45361-2023</t>
        </is>
      </c>
      <c r="B324" s="1" t="n">
        <v>45192.49068287037</v>
      </c>
      <c r="C324" s="1" t="n">
        <v>45994</v>
      </c>
      <c r="D324" t="inlineStr">
        <is>
          <t>SKÅNE LÄN</t>
        </is>
      </c>
      <c r="E324" t="inlineStr">
        <is>
          <t>HÄSSLEHOLM</t>
        </is>
      </c>
      <c r="G324" t="n">
        <v>1.9</v>
      </c>
      <c r="H324" t="n">
        <v>0</v>
      </c>
      <c r="I324" t="n">
        <v>0</v>
      </c>
      <c r="J324" t="n">
        <v>0</v>
      </c>
      <c r="K324" t="n">
        <v>0</v>
      </c>
      <c r="L324" t="n">
        <v>0</v>
      </c>
      <c r="M324" t="n">
        <v>0</v>
      </c>
      <c r="N324" t="n">
        <v>0</v>
      </c>
      <c r="O324" t="n">
        <v>0</v>
      </c>
      <c r="P324" t="n">
        <v>0</v>
      </c>
      <c r="Q324" t="n">
        <v>0</v>
      </c>
      <c r="R324" s="2" t="inlineStr"/>
    </row>
    <row r="325" ht="15" customHeight="1">
      <c r="A325" t="inlineStr">
        <is>
          <t>A 57275-2023</t>
        </is>
      </c>
      <c r="B325" s="1" t="n">
        <v>45245.58886574074</v>
      </c>
      <c r="C325" s="1" t="n">
        <v>45994</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54171-2022</t>
        </is>
      </c>
      <c r="B326" s="1" t="n">
        <v>44881</v>
      </c>
      <c r="C326" s="1" t="n">
        <v>45994</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57277-2023</t>
        </is>
      </c>
      <c r="B327" s="1" t="n">
        <v>45245.59104166667</v>
      </c>
      <c r="C327" s="1" t="n">
        <v>45994</v>
      </c>
      <c r="D327" t="inlineStr">
        <is>
          <t>SKÅNE LÄN</t>
        </is>
      </c>
      <c r="E327" t="inlineStr">
        <is>
          <t>HÄSSLEHOLM</t>
        </is>
      </c>
      <c r="G327" t="n">
        <v>0.5</v>
      </c>
      <c r="H327" t="n">
        <v>0</v>
      </c>
      <c r="I327" t="n">
        <v>0</v>
      </c>
      <c r="J327" t="n">
        <v>0</v>
      </c>
      <c r="K327" t="n">
        <v>0</v>
      </c>
      <c r="L327" t="n">
        <v>0</v>
      </c>
      <c r="M327" t="n">
        <v>0</v>
      </c>
      <c r="N327" t="n">
        <v>0</v>
      </c>
      <c r="O327" t="n">
        <v>0</v>
      </c>
      <c r="P327" t="n">
        <v>0</v>
      </c>
      <c r="Q327" t="n">
        <v>0</v>
      </c>
      <c r="R327" s="2" t="inlineStr"/>
    </row>
    <row r="328" ht="15" customHeight="1">
      <c r="A328" t="inlineStr">
        <is>
          <t>A 53302-2022</t>
        </is>
      </c>
      <c r="B328" s="1" t="n">
        <v>44877</v>
      </c>
      <c r="C328" s="1" t="n">
        <v>45994</v>
      </c>
      <c r="D328" t="inlineStr">
        <is>
          <t>SKÅNE LÄN</t>
        </is>
      </c>
      <c r="E328" t="inlineStr">
        <is>
          <t>HÄSSLEHOLM</t>
        </is>
      </c>
      <c r="G328" t="n">
        <v>0.1</v>
      </c>
      <c r="H328" t="n">
        <v>0</v>
      </c>
      <c r="I328" t="n">
        <v>0</v>
      </c>
      <c r="J328" t="n">
        <v>0</v>
      </c>
      <c r="K328" t="n">
        <v>0</v>
      </c>
      <c r="L328" t="n">
        <v>0</v>
      </c>
      <c r="M328" t="n">
        <v>0</v>
      </c>
      <c r="N328" t="n">
        <v>0</v>
      </c>
      <c r="O328" t="n">
        <v>0</v>
      </c>
      <c r="P328" t="n">
        <v>0</v>
      </c>
      <c r="Q328" t="n">
        <v>0</v>
      </c>
      <c r="R328" s="2" t="inlineStr"/>
    </row>
    <row r="329" ht="15" customHeight="1">
      <c r="A329" t="inlineStr">
        <is>
          <t>A 27991-2024</t>
        </is>
      </c>
      <c r="B329" s="1" t="n">
        <v>45476</v>
      </c>
      <c r="C329" s="1" t="n">
        <v>45994</v>
      </c>
      <c r="D329" t="inlineStr">
        <is>
          <t>SKÅNE LÄN</t>
        </is>
      </c>
      <c r="E329" t="inlineStr">
        <is>
          <t>HÄSSLEHOLM</t>
        </is>
      </c>
      <c r="G329" t="n">
        <v>5.8</v>
      </c>
      <c r="H329" t="n">
        <v>0</v>
      </c>
      <c r="I329" t="n">
        <v>0</v>
      </c>
      <c r="J329" t="n">
        <v>0</v>
      </c>
      <c r="K329" t="n">
        <v>0</v>
      </c>
      <c r="L329" t="n">
        <v>0</v>
      </c>
      <c r="M329" t="n">
        <v>0</v>
      </c>
      <c r="N329" t="n">
        <v>0</v>
      </c>
      <c r="O329" t="n">
        <v>0</v>
      </c>
      <c r="P329" t="n">
        <v>0</v>
      </c>
      <c r="Q329" t="n">
        <v>0</v>
      </c>
      <c r="R329" s="2" t="inlineStr"/>
    </row>
    <row r="330" ht="15" customHeight="1">
      <c r="A330" t="inlineStr">
        <is>
          <t>A 9747-2024</t>
        </is>
      </c>
      <c r="B330" s="1" t="n">
        <v>45362</v>
      </c>
      <c r="C330" s="1" t="n">
        <v>45994</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31946-2023</t>
        </is>
      </c>
      <c r="B331" s="1" t="n">
        <v>45119.35158564815</v>
      </c>
      <c r="C331" s="1" t="n">
        <v>45994</v>
      </c>
      <c r="D331" t="inlineStr">
        <is>
          <t>SKÅNE LÄN</t>
        </is>
      </c>
      <c r="E331" t="inlineStr">
        <is>
          <t>HÄSSLEHOLM</t>
        </is>
      </c>
      <c r="G331" t="n">
        <v>0.3</v>
      </c>
      <c r="H331" t="n">
        <v>0</v>
      </c>
      <c r="I331" t="n">
        <v>0</v>
      </c>
      <c r="J331" t="n">
        <v>0</v>
      </c>
      <c r="K331" t="n">
        <v>0</v>
      </c>
      <c r="L331" t="n">
        <v>0</v>
      </c>
      <c r="M331" t="n">
        <v>0</v>
      </c>
      <c r="N331" t="n">
        <v>0</v>
      </c>
      <c r="O331" t="n">
        <v>0</v>
      </c>
      <c r="P331" t="n">
        <v>0</v>
      </c>
      <c r="Q331" t="n">
        <v>0</v>
      </c>
      <c r="R331" s="2" t="inlineStr"/>
    </row>
    <row r="332" ht="15" customHeight="1">
      <c r="A332" t="inlineStr">
        <is>
          <t>A 49107-2023</t>
        </is>
      </c>
      <c r="B332" s="1" t="n">
        <v>45210.44337962963</v>
      </c>
      <c r="C332" s="1" t="n">
        <v>45994</v>
      </c>
      <c r="D332" t="inlineStr">
        <is>
          <t>SKÅNE LÄN</t>
        </is>
      </c>
      <c r="E332" t="inlineStr">
        <is>
          <t>HÄSSLEHOLM</t>
        </is>
      </c>
      <c r="G332" t="n">
        <v>0.3</v>
      </c>
      <c r="H332" t="n">
        <v>0</v>
      </c>
      <c r="I332" t="n">
        <v>0</v>
      </c>
      <c r="J332" t="n">
        <v>0</v>
      </c>
      <c r="K332" t="n">
        <v>0</v>
      </c>
      <c r="L332" t="n">
        <v>0</v>
      </c>
      <c r="M332" t="n">
        <v>0</v>
      </c>
      <c r="N332" t="n">
        <v>0</v>
      </c>
      <c r="O332" t="n">
        <v>0</v>
      </c>
      <c r="P332" t="n">
        <v>0</v>
      </c>
      <c r="Q332" t="n">
        <v>0</v>
      </c>
      <c r="R332" s="2" t="inlineStr"/>
    </row>
    <row r="333" ht="15" customHeight="1">
      <c r="A333" t="inlineStr">
        <is>
          <t>A 10594-2025</t>
        </is>
      </c>
      <c r="B333" s="1" t="n">
        <v>45721</v>
      </c>
      <c r="C333" s="1" t="n">
        <v>45994</v>
      </c>
      <c r="D333" t="inlineStr">
        <is>
          <t>SKÅNE LÄN</t>
        </is>
      </c>
      <c r="E333" t="inlineStr">
        <is>
          <t>HÄSSLEHOLM</t>
        </is>
      </c>
      <c r="G333" t="n">
        <v>5.3</v>
      </c>
      <c r="H333" t="n">
        <v>0</v>
      </c>
      <c r="I333" t="n">
        <v>0</v>
      </c>
      <c r="J333" t="n">
        <v>0</v>
      </c>
      <c r="K333" t="n">
        <v>0</v>
      </c>
      <c r="L333" t="n">
        <v>0</v>
      </c>
      <c r="M333" t="n">
        <v>0</v>
      </c>
      <c r="N333" t="n">
        <v>0</v>
      </c>
      <c r="O333" t="n">
        <v>0</v>
      </c>
      <c r="P333" t="n">
        <v>0</v>
      </c>
      <c r="Q333" t="n">
        <v>0</v>
      </c>
      <c r="R333" s="2" t="inlineStr"/>
    </row>
    <row r="334" ht="15" customHeight="1">
      <c r="A334" t="inlineStr">
        <is>
          <t>A 48771-2024</t>
        </is>
      </c>
      <c r="B334" s="1" t="n">
        <v>45593.61284722222</v>
      </c>
      <c r="C334" s="1" t="n">
        <v>45994</v>
      </c>
      <c r="D334" t="inlineStr">
        <is>
          <t>SKÅNE LÄN</t>
        </is>
      </c>
      <c r="E334" t="inlineStr">
        <is>
          <t>HÄSSLEHOLM</t>
        </is>
      </c>
      <c r="G334" t="n">
        <v>0.5</v>
      </c>
      <c r="H334" t="n">
        <v>0</v>
      </c>
      <c r="I334" t="n">
        <v>0</v>
      </c>
      <c r="J334" t="n">
        <v>0</v>
      </c>
      <c r="K334" t="n">
        <v>0</v>
      </c>
      <c r="L334" t="n">
        <v>0</v>
      </c>
      <c r="M334" t="n">
        <v>0</v>
      </c>
      <c r="N334" t="n">
        <v>0</v>
      </c>
      <c r="O334" t="n">
        <v>0</v>
      </c>
      <c r="P334" t="n">
        <v>0</v>
      </c>
      <c r="Q334" t="n">
        <v>0</v>
      </c>
      <c r="R334" s="2" t="inlineStr"/>
    </row>
    <row r="335" ht="15" customHeight="1">
      <c r="A335" t="inlineStr">
        <is>
          <t>A 48798-2023</t>
        </is>
      </c>
      <c r="B335" s="1" t="n">
        <v>45209.25318287037</v>
      </c>
      <c r="C335" s="1" t="n">
        <v>45994</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48844-2023</t>
        </is>
      </c>
      <c r="B336" s="1" t="n">
        <v>45209</v>
      </c>
      <c r="C336" s="1" t="n">
        <v>45994</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48877-2024</t>
        </is>
      </c>
      <c r="B337" s="1" t="n">
        <v>45594.31729166667</v>
      </c>
      <c r="C337" s="1" t="n">
        <v>45994</v>
      </c>
      <c r="D337" t="inlineStr">
        <is>
          <t>SKÅNE LÄN</t>
        </is>
      </c>
      <c r="E337" t="inlineStr">
        <is>
          <t>HÄSSLEHOLM</t>
        </is>
      </c>
      <c r="G337" t="n">
        <v>1.8</v>
      </c>
      <c r="H337" t="n">
        <v>0</v>
      </c>
      <c r="I337" t="n">
        <v>0</v>
      </c>
      <c r="J337" t="n">
        <v>0</v>
      </c>
      <c r="K337" t="n">
        <v>0</v>
      </c>
      <c r="L337" t="n">
        <v>0</v>
      </c>
      <c r="M337" t="n">
        <v>0</v>
      </c>
      <c r="N337" t="n">
        <v>0</v>
      </c>
      <c r="O337" t="n">
        <v>0</v>
      </c>
      <c r="P337" t="n">
        <v>0</v>
      </c>
      <c r="Q337" t="n">
        <v>0</v>
      </c>
      <c r="R337" s="2" t="inlineStr"/>
    </row>
    <row r="338" ht="15" customHeight="1">
      <c r="A338" t="inlineStr">
        <is>
          <t>A 12344-2023</t>
        </is>
      </c>
      <c r="B338" s="1" t="n">
        <v>44999</v>
      </c>
      <c r="C338" s="1" t="n">
        <v>45994</v>
      </c>
      <c r="D338" t="inlineStr">
        <is>
          <t>SKÅNE LÄN</t>
        </is>
      </c>
      <c r="E338" t="inlineStr">
        <is>
          <t>HÄSSLEHOLM</t>
        </is>
      </c>
      <c r="G338" t="n">
        <v>2.4</v>
      </c>
      <c r="H338" t="n">
        <v>0</v>
      </c>
      <c r="I338" t="n">
        <v>0</v>
      </c>
      <c r="J338" t="n">
        <v>0</v>
      </c>
      <c r="K338" t="n">
        <v>0</v>
      </c>
      <c r="L338" t="n">
        <v>0</v>
      </c>
      <c r="M338" t="n">
        <v>0</v>
      </c>
      <c r="N338" t="n">
        <v>0</v>
      </c>
      <c r="O338" t="n">
        <v>0</v>
      </c>
      <c r="P338" t="n">
        <v>0</v>
      </c>
      <c r="Q338" t="n">
        <v>0</v>
      </c>
      <c r="R338" s="2" t="inlineStr"/>
    </row>
    <row r="339" ht="15" customHeight="1">
      <c r="A339" t="inlineStr">
        <is>
          <t>A 45984-2021</t>
        </is>
      </c>
      <c r="B339" s="1" t="n">
        <v>44441</v>
      </c>
      <c r="C339" s="1" t="n">
        <v>45994</v>
      </c>
      <c r="D339" t="inlineStr">
        <is>
          <t>SKÅNE LÄN</t>
        </is>
      </c>
      <c r="E339" t="inlineStr">
        <is>
          <t>HÄSSLEHOLM</t>
        </is>
      </c>
      <c r="G339" t="n">
        <v>2.1</v>
      </c>
      <c r="H339" t="n">
        <v>0</v>
      </c>
      <c r="I339" t="n">
        <v>0</v>
      </c>
      <c r="J339" t="n">
        <v>0</v>
      </c>
      <c r="K339" t="n">
        <v>0</v>
      </c>
      <c r="L339" t="n">
        <v>0</v>
      </c>
      <c r="M339" t="n">
        <v>0</v>
      </c>
      <c r="N339" t="n">
        <v>0</v>
      </c>
      <c r="O339" t="n">
        <v>0</v>
      </c>
      <c r="P339" t="n">
        <v>0</v>
      </c>
      <c r="Q339" t="n">
        <v>0</v>
      </c>
      <c r="R339" s="2" t="inlineStr"/>
    </row>
    <row r="340" ht="15" customHeight="1">
      <c r="A340" t="inlineStr">
        <is>
          <t>A 8378-2023</t>
        </is>
      </c>
      <c r="B340" s="1" t="n">
        <v>44971</v>
      </c>
      <c r="C340" s="1" t="n">
        <v>45994</v>
      </c>
      <c r="D340" t="inlineStr">
        <is>
          <t>SKÅNE LÄN</t>
        </is>
      </c>
      <c r="E340" t="inlineStr">
        <is>
          <t>HÄSSLEHOLM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65235-2021</t>
        </is>
      </c>
      <c r="B341" s="1" t="n">
        <v>44515</v>
      </c>
      <c r="C341" s="1" t="n">
        <v>45994</v>
      </c>
      <c r="D341" t="inlineStr">
        <is>
          <t>SKÅNE LÄN</t>
        </is>
      </c>
      <c r="E341" t="inlineStr">
        <is>
          <t>HÄSSLEHOLM</t>
        </is>
      </c>
      <c r="G341" t="n">
        <v>2.5</v>
      </c>
      <c r="H341" t="n">
        <v>0</v>
      </c>
      <c r="I341" t="n">
        <v>0</v>
      </c>
      <c r="J341" t="n">
        <v>0</v>
      </c>
      <c r="K341" t="n">
        <v>0</v>
      </c>
      <c r="L341" t="n">
        <v>0</v>
      </c>
      <c r="M341" t="n">
        <v>0</v>
      </c>
      <c r="N341" t="n">
        <v>0</v>
      </c>
      <c r="O341" t="n">
        <v>0</v>
      </c>
      <c r="P341" t="n">
        <v>0</v>
      </c>
      <c r="Q341" t="n">
        <v>0</v>
      </c>
      <c r="R341" s="2" t="inlineStr"/>
    </row>
    <row r="342" ht="15" customHeight="1">
      <c r="A342" t="inlineStr">
        <is>
          <t>A 13549-2025</t>
        </is>
      </c>
      <c r="B342" s="1" t="n">
        <v>45736</v>
      </c>
      <c r="C342" s="1" t="n">
        <v>45994</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51245-2023</t>
        </is>
      </c>
      <c r="B343" s="1" t="n">
        <v>45212</v>
      </c>
      <c r="C343" s="1" t="n">
        <v>45994</v>
      </c>
      <c r="D343" t="inlineStr">
        <is>
          <t>SKÅNE LÄN</t>
        </is>
      </c>
      <c r="E343" t="inlineStr">
        <is>
          <t>HÄSSLEHOLM</t>
        </is>
      </c>
      <c r="G343" t="n">
        <v>2.1</v>
      </c>
      <c r="H343" t="n">
        <v>0</v>
      </c>
      <c r="I343" t="n">
        <v>0</v>
      </c>
      <c r="J343" t="n">
        <v>0</v>
      </c>
      <c r="K343" t="n">
        <v>0</v>
      </c>
      <c r="L343" t="n">
        <v>0</v>
      </c>
      <c r="M343" t="n">
        <v>0</v>
      </c>
      <c r="N343" t="n">
        <v>0</v>
      </c>
      <c r="O343" t="n">
        <v>0</v>
      </c>
      <c r="P343" t="n">
        <v>0</v>
      </c>
      <c r="Q343" t="n">
        <v>0</v>
      </c>
      <c r="R343" s="2" t="inlineStr"/>
    </row>
    <row r="344" ht="15" customHeight="1">
      <c r="A344" t="inlineStr">
        <is>
          <t>A 31934-2024</t>
        </is>
      </c>
      <c r="B344" s="1" t="n">
        <v>45510.41177083334</v>
      </c>
      <c r="C344" s="1" t="n">
        <v>45994</v>
      </c>
      <c r="D344" t="inlineStr">
        <is>
          <t>SKÅNE LÄN</t>
        </is>
      </c>
      <c r="E344" t="inlineStr">
        <is>
          <t>HÄSSLEHOLM</t>
        </is>
      </c>
      <c r="G344" t="n">
        <v>1.9</v>
      </c>
      <c r="H344" t="n">
        <v>0</v>
      </c>
      <c r="I344" t="n">
        <v>0</v>
      </c>
      <c r="J344" t="n">
        <v>0</v>
      </c>
      <c r="K344" t="n">
        <v>0</v>
      </c>
      <c r="L344" t="n">
        <v>0</v>
      </c>
      <c r="M344" t="n">
        <v>0</v>
      </c>
      <c r="N344" t="n">
        <v>0</v>
      </c>
      <c r="O344" t="n">
        <v>0</v>
      </c>
      <c r="P344" t="n">
        <v>0</v>
      </c>
      <c r="Q344" t="n">
        <v>0</v>
      </c>
      <c r="R344" s="2" t="inlineStr"/>
    </row>
    <row r="345" ht="15" customHeight="1">
      <c r="A345" t="inlineStr">
        <is>
          <t>A 8160-2024</t>
        </is>
      </c>
      <c r="B345" s="1" t="n">
        <v>45351</v>
      </c>
      <c r="C345" s="1" t="n">
        <v>45994</v>
      </c>
      <c r="D345" t="inlineStr">
        <is>
          <t>SKÅNE LÄN</t>
        </is>
      </c>
      <c r="E345" t="inlineStr">
        <is>
          <t>HÄSSLEHOLM</t>
        </is>
      </c>
      <c r="G345" t="n">
        <v>0.5</v>
      </c>
      <c r="H345" t="n">
        <v>0</v>
      </c>
      <c r="I345" t="n">
        <v>0</v>
      </c>
      <c r="J345" t="n">
        <v>0</v>
      </c>
      <c r="K345" t="n">
        <v>0</v>
      </c>
      <c r="L345" t="n">
        <v>0</v>
      </c>
      <c r="M345" t="n">
        <v>0</v>
      </c>
      <c r="N345" t="n">
        <v>0</v>
      </c>
      <c r="O345" t="n">
        <v>0</v>
      </c>
      <c r="P345" t="n">
        <v>0</v>
      </c>
      <c r="Q345" t="n">
        <v>0</v>
      </c>
      <c r="R345" s="2" t="inlineStr"/>
    </row>
    <row r="346" ht="15" customHeight="1">
      <c r="A346" t="inlineStr">
        <is>
          <t>A 35150-2023</t>
        </is>
      </c>
      <c r="B346" s="1" t="n">
        <v>45145</v>
      </c>
      <c r="C346" s="1" t="n">
        <v>45994</v>
      </c>
      <c r="D346" t="inlineStr">
        <is>
          <t>SKÅNE LÄN</t>
        </is>
      </c>
      <c r="E346" t="inlineStr">
        <is>
          <t>HÄSSLEHOLM</t>
        </is>
      </c>
      <c r="G346" t="n">
        <v>4.9</v>
      </c>
      <c r="H346" t="n">
        <v>0</v>
      </c>
      <c r="I346" t="n">
        <v>0</v>
      </c>
      <c r="J346" t="n">
        <v>0</v>
      </c>
      <c r="K346" t="n">
        <v>0</v>
      </c>
      <c r="L346" t="n">
        <v>0</v>
      </c>
      <c r="M346" t="n">
        <v>0</v>
      </c>
      <c r="N346" t="n">
        <v>0</v>
      </c>
      <c r="O346" t="n">
        <v>0</v>
      </c>
      <c r="P346" t="n">
        <v>0</v>
      </c>
      <c r="Q346" t="n">
        <v>0</v>
      </c>
      <c r="R346" s="2" t="inlineStr"/>
    </row>
    <row r="347" ht="15" customHeight="1">
      <c r="A347" t="inlineStr">
        <is>
          <t>A 59429-2023</t>
        </is>
      </c>
      <c r="B347" s="1" t="n">
        <v>45254.2875</v>
      </c>
      <c r="C347" s="1" t="n">
        <v>45994</v>
      </c>
      <c r="D347" t="inlineStr">
        <is>
          <t>SKÅNE LÄN</t>
        </is>
      </c>
      <c r="E347" t="inlineStr">
        <is>
          <t>HÄSSLEHOLM</t>
        </is>
      </c>
      <c r="G347" t="n">
        <v>0</v>
      </c>
      <c r="H347" t="n">
        <v>0</v>
      </c>
      <c r="I347" t="n">
        <v>0</v>
      </c>
      <c r="J347" t="n">
        <v>0</v>
      </c>
      <c r="K347" t="n">
        <v>0</v>
      </c>
      <c r="L347" t="n">
        <v>0</v>
      </c>
      <c r="M347" t="n">
        <v>0</v>
      </c>
      <c r="N347" t="n">
        <v>0</v>
      </c>
      <c r="O347" t="n">
        <v>0</v>
      </c>
      <c r="P347" t="n">
        <v>0</v>
      </c>
      <c r="Q347" t="n">
        <v>0</v>
      </c>
      <c r="R347" s="2" t="inlineStr"/>
    </row>
    <row r="348" ht="15" customHeight="1">
      <c r="A348" t="inlineStr">
        <is>
          <t>A 18041-2023</t>
        </is>
      </c>
      <c r="B348" s="1" t="n">
        <v>45040</v>
      </c>
      <c r="C348" s="1" t="n">
        <v>45994</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45398-2024</t>
        </is>
      </c>
      <c r="B349" s="1" t="n">
        <v>45576.56260416667</v>
      </c>
      <c r="C349" s="1" t="n">
        <v>45994</v>
      </c>
      <c r="D349" t="inlineStr">
        <is>
          <t>SKÅNE LÄN</t>
        </is>
      </c>
      <c r="E349" t="inlineStr">
        <is>
          <t>HÄSSLEHOLM</t>
        </is>
      </c>
      <c r="G349" t="n">
        <v>4.2</v>
      </c>
      <c r="H349" t="n">
        <v>0</v>
      </c>
      <c r="I349" t="n">
        <v>0</v>
      </c>
      <c r="J349" t="n">
        <v>0</v>
      </c>
      <c r="K349" t="n">
        <v>0</v>
      </c>
      <c r="L349" t="n">
        <v>0</v>
      </c>
      <c r="M349" t="n">
        <v>0</v>
      </c>
      <c r="N349" t="n">
        <v>0</v>
      </c>
      <c r="O349" t="n">
        <v>0</v>
      </c>
      <c r="P349" t="n">
        <v>0</v>
      </c>
      <c r="Q349" t="n">
        <v>0</v>
      </c>
      <c r="R349" s="2" t="inlineStr"/>
    </row>
    <row r="350" ht="15" customHeight="1">
      <c r="A350" t="inlineStr">
        <is>
          <t>A 60959-2022</t>
        </is>
      </c>
      <c r="B350" s="1" t="n">
        <v>44914.64777777778</v>
      </c>
      <c r="C350" s="1" t="n">
        <v>45994</v>
      </c>
      <c r="D350" t="inlineStr">
        <is>
          <t>SKÅNE LÄN</t>
        </is>
      </c>
      <c r="E350" t="inlineStr">
        <is>
          <t>HÄSSLEHOLM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49250-2022</t>
        </is>
      </c>
      <c r="B351" s="1" t="n">
        <v>44858</v>
      </c>
      <c r="C351" s="1" t="n">
        <v>45994</v>
      </c>
      <c r="D351" t="inlineStr">
        <is>
          <t>SKÅNE LÄN</t>
        </is>
      </c>
      <c r="E351" t="inlineStr">
        <is>
          <t>HÄSSLEHOLM</t>
        </is>
      </c>
      <c r="F351" t="inlineStr">
        <is>
          <t>Kyrkan</t>
        </is>
      </c>
      <c r="G351" t="n">
        <v>1.5</v>
      </c>
      <c r="H351" t="n">
        <v>0</v>
      </c>
      <c r="I351" t="n">
        <v>0</v>
      </c>
      <c r="J351" t="n">
        <v>0</v>
      </c>
      <c r="K351" t="n">
        <v>0</v>
      </c>
      <c r="L351" t="n">
        <v>0</v>
      </c>
      <c r="M351" t="n">
        <v>0</v>
      </c>
      <c r="N351" t="n">
        <v>0</v>
      </c>
      <c r="O351" t="n">
        <v>0</v>
      </c>
      <c r="P351" t="n">
        <v>0</v>
      </c>
      <c r="Q351" t="n">
        <v>0</v>
      </c>
      <c r="R351" s="2" t="inlineStr"/>
    </row>
    <row r="352" ht="15" customHeight="1">
      <c r="A352" t="inlineStr">
        <is>
          <t>A 4140-2023</t>
        </is>
      </c>
      <c r="B352" s="1" t="n">
        <v>44953</v>
      </c>
      <c r="C352" s="1" t="n">
        <v>45994</v>
      </c>
      <c r="D352" t="inlineStr">
        <is>
          <t>SKÅNE LÄN</t>
        </is>
      </c>
      <c r="E352" t="inlineStr">
        <is>
          <t>HÄSSLEHOLM</t>
        </is>
      </c>
      <c r="G352" t="n">
        <v>10.6</v>
      </c>
      <c r="H352" t="n">
        <v>0</v>
      </c>
      <c r="I352" t="n">
        <v>0</v>
      </c>
      <c r="J352" t="n">
        <v>0</v>
      </c>
      <c r="K352" t="n">
        <v>0</v>
      </c>
      <c r="L352" t="n">
        <v>0</v>
      </c>
      <c r="M352" t="n">
        <v>0</v>
      </c>
      <c r="N352" t="n">
        <v>0</v>
      </c>
      <c r="O352" t="n">
        <v>0</v>
      </c>
      <c r="P352" t="n">
        <v>0</v>
      </c>
      <c r="Q352" t="n">
        <v>0</v>
      </c>
      <c r="R352" s="2" t="inlineStr"/>
    </row>
    <row r="353" ht="15" customHeight="1">
      <c r="A353" t="inlineStr">
        <is>
          <t>A 42906-2022</t>
        </is>
      </c>
      <c r="B353" s="1" t="n">
        <v>44833</v>
      </c>
      <c r="C353" s="1" t="n">
        <v>45994</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50000-2023</t>
        </is>
      </c>
      <c r="B354" s="1" t="n">
        <v>45215.4434837963</v>
      </c>
      <c r="C354" s="1" t="n">
        <v>45994</v>
      </c>
      <c r="D354" t="inlineStr">
        <is>
          <t>SKÅNE LÄN</t>
        </is>
      </c>
      <c r="E354" t="inlineStr">
        <is>
          <t>HÄSSLEHOLM</t>
        </is>
      </c>
      <c r="G354" t="n">
        <v>1.6</v>
      </c>
      <c r="H354" t="n">
        <v>0</v>
      </c>
      <c r="I354" t="n">
        <v>0</v>
      </c>
      <c r="J354" t="n">
        <v>0</v>
      </c>
      <c r="K354" t="n">
        <v>0</v>
      </c>
      <c r="L354" t="n">
        <v>0</v>
      </c>
      <c r="M354" t="n">
        <v>0</v>
      </c>
      <c r="N354" t="n">
        <v>0</v>
      </c>
      <c r="O354" t="n">
        <v>0</v>
      </c>
      <c r="P354" t="n">
        <v>0</v>
      </c>
      <c r="Q354" t="n">
        <v>0</v>
      </c>
      <c r="R354" s="2" t="inlineStr"/>
    </row>
    <row r="355" ht="15" customHeight="1">
      <c r="A355" t="inlineStr">
        <is>
          <t>A 417-2022</t>
        </is>
      </c>
      <c r="B355" s="1" t="n">
        <v>44565.84615740741</v>
      </c>
      <c r="C355" s="1" t="n">
        <v>45994</v>
      </c>
      <c r="D355" t="inlineStr">
        <is>
          <t>SKÅNE LÄN</t>
        </is>
      </c>
      <c r="E355" t="inlineStr">
        <is>
          <t>HÄSSLEHOLM</t>
        </is>
      </c>
      <c r="G355" t="n">
        <v>0</v>
      </c>
      <c r="H355" t="n">
        <v>0</v>
      </c>
      <c r="I355" t="n">
        <v>0</v>
      </c>
      <c r="J355" t="n">
        <v>0</v>
      </c>
      <c r="K355" t="n">
        <v>0</v>
      </c>
      <c r="L355" t="n">
        <v>0</v>
      </c>
      <c r="M355" t="n">
        <v>0</v>
      </c>
      <c r="N355" t="n">
        <v>0</v>
      </c>
      <c r="O355" t="n">
        <v>0</v>
      </c>
      <c r="P355" t="n">
        <v>0</v>
      </c>
      <c r="Q355" t="n">
        <v>0</v>
      </c>
      <c r="R355" s="2" t="inlineStr"/>
    </row>
    <row r="356" ht="15" customHeight="1">
      <c r="A356" t="inlineStr">
        <is>
          <t>A 31931-2024</t>
        </is>
      </c>
      <c r="B356" s="1" t="n">
        <v>45510.40878472223</v>
      </c>
      <c r="C356" s="1" t="n">
        <v>45994</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51040-2024</t>
        </is>
      </c>
      <c r="B357" s="1" t="n">
        <v>45603.43222222223</v>
      </c>
      <c r="C357" s="1" t="n">
        <v>45994</v>
      </c>
      <c r="D357" t="inlineStr">
        <is>
          <t>SKÅNE LÄN</t>
        </is>
      </c>
      <c r="E357" t="inlineStr">
        <is>
          <t>HÄSSLEHOLM</t>
        </is>
      </c>
      <c r="G357" t="n">
        <v>2.7</v>
      </c>
      <c r="H357" t="n">
        <v>0</v>
      </c>
      <c r="I357" t="n">
        <v>0</v>
      </c>
      <c r="J357" t="n">
        <v>0</v>
      </c>
      <c r="K357" t="n">
        <v>0</v>
      </c>
      <c r="L357" t="n">
        <v>0</v>
      </c>
      <c r="M357" t="n">
        <v>0</v>
      </c>
      <c r="N357" t="n">
        <v>0</v>
      </c>
      <c r="O357" t="n">
        <v>0</v>
      </c>
      <c r="P357" t="n">
        <v>0</v>
      </c>
      <c r="Q357" t="n">
        <v>0</v>
      </c>
      <c r="R357" s="2" t="inlineStr"/>
    </row>
    <row r="358" ht="15" customHeight="1">
      <c r="A358" t="inlineStr">
        <is>
          <t>A 15133-2023</t>
        </is>
      </c>
      <c r="B358" s="1" t="n">
        <v>45016</v>
      </c>
      <c r="C358" s="1" t="n">
        <v>45994</v>
      </c>
      <c r="D358" t="inlineStr">
        <is>
          <t>SKÅNE LÄN</t>
        </is>
      </c>
      <c r="E358" t="inlineStr">
        <is>
          <t>HÄSSLEHOLM</t>
        </is>
      </c>
      <c r="G358" t="n">
        <v>7.8</v>
      </c>
      <c r="H358" t="n">
        <v>0</v>
      </c>
      <c r="I358" t="n">
        <v>0</v>
      </c>
      <c r="J358" t="n">
        <v>0</v>
      </c>
      <c r="K358" t="n">
        <v>0</v>
      </c>
      <c r="L358" t="n">
        <v>0</v>
      </c>
      <c r="M358" t="n">
        <v>0</v>
      </c>
      <c r="N358" t="n">
        <v>0</v>
      </c>
      <c r="O358" t="n">
        <v>0</v>
      </c>
      <c r="P358" t="n">
        <v>0</v>
      </c>
      <c r="Q358" t="n">
        <v>0</v>
      </c>
      <c r="R358" s="2" t="inlineStr"/>
    </row>
    <row r="359" ht="15" customHeight="1">
      <c r="A359" t="inlineStr">
        <is>
          <t>A 50249-2024</t>
        </is>
      </c>
      <c r="B359" s="1" t="n">
        <v>45600.56866898148</v>
      </c>
      <c r="C359" s="1" t="n">
        <v>45994</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34883-2023</t>
        </is>
      </c>
      <c r="B360" s="1" t="n">
        <v>45142.37902777778</v>
      </c>
      <c r="C360" s="1" t="n">
        <v>45994</v>
      </c>
      <c r="D360" t="inlineStr">
        <is>
          <t>SKÅNE LÄN</t>
        </is>
      </c>
      <c r="E360" t="inlineStr">
        <is>
          <t>HÄSSLEHOLM</t>
        </is>
      </c>
      <c r="G360" t="n">
        <v>2.5</v>
      </c>
      <c r="H360" t="n">
        <v>0</v>
      </c>
      <c r="I360" t="n">
        <v>0</v>
      </c>
      <c r="J360" t="n">
        <v>0</v>
      </c>
      <c r="K360" t="n">
        <v>0</v>
      </c>
      <c r="L360" t="n">
        <v>0</v>
      </c>
      <c r="M360" t="n">
        <v>0</v>
      </c>
      <c r="N360" t="n">
        <v>0</v>
      </c>
      <c r="O360" t="n">
        <v>0</v>
      </c>
      <c r="P360" t="n">
        <v>0</v>
      </c>
      <c r="Q360" t="n">
        <v>0</v>
      </c>
      <c r="R360" s="2" t="inlineStr"/>
    </row>
    <row r="361" ht="15" customHeight="1">
      <c r="A361" t="inlineStr">
        <is>
          <t>A 27197-2021</t>
        </is>
      </c>
      <c r="B361" s="1" t="n">
        <v>44350</v>
      </c>
      <c r="C361" s="1" t="n">
        <v>45994</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45222-2023</t>
        </is>
      </c>
      <c r="B362" s="1" t="n">
        <v>45191</v>
      </c>
      <c r="C362" s="1" t="n">
        <v>45994</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35890-2023</t>
        </is>
      </c>
      <c r="B363" s="1" t="n">
        <v>45148</v>
      </c>
      <c r="C363" s="1" t="n">
        <v>45994</v>
      </c>
      <c r="D363" t="inlineStr">
        <is>
          <t>SKÅNE LÄN</t>
        </is>
      </c>
      <c r="E363" t="inlineStr">
        <is>
          <t>HÄSSLEHOLM</t>
        </is>
      </c>
      <c r="G363" t="n">
        <v>2</v>
      </c>
      <c r="H363" t="n">
        <v>0</v>
      </c>
      <c r="I363" t="n">
        <v>0</v>
      </c>
      <c r="J363" t="n">
        <v>0</v>
      </c>
      <c r="K363" t="n">
        <v>0</v>
      </c>
      <c r="L363" t="n">
        <v>0</v>
      </c>
      <c r="M363" t="n">
        <v>0</v>
      </c>
      <c r="N363" t="n">
        <v>0</v>
      </c>
      <c r="O363" t="n">
        <v>0</v>
      </c>
      <c r="P363" t="n">
        <v>0</v>
      </c>
      <c r="Q363" t="n">
        <v>0</v>
      </c>
      <c r="R363" s="2" t="inlineStr"/>
    </row>
    <row r="364" ht="15" customHeight="1">
      <c r="A364" t="inlineStr">
        <is>
          <t>A 35895-2023</t>
        </is>
      </c>
      <c r="B364" s="1" t="n">
        <v>45148</v>
      </c>
      <c r="C364" s="1" t="n">
        <v>45994</v>
      </c>
      <c r="D364" t="inlineStr">
        <is>
          <t>SKÅNE LÄN</t>
        </is>
      </c>
      <c r="E364" t="inlineStr">
        <is>
          <t>HÄSSLEHOLM</t>
        </is>
      </c>
      <c r="G364" t="n">
        <v>0.4</v>
      </c>
      <c r="H364" t="n">
        <v>0</v>
      </c>
      <c r="I364" t="n">
        <v>0</v>
      </c>
      <c r="J364" t="n">
        <v>0</v>
      </c>
      <c r="K364" t="n">
        <v>0</v>
      </c>
      <c r="L364" t="n">
        <v>0</v>
      </c>
      <c r="M364" t="n">
        <v>0</v>
      </c>
      <c r="N364" t="n">
        <v>0</v>
      </c>
      <c r="O364" t="n">
        <v>0</v>
      </c>
      <c r="P364" t="n">
        <v>0</v>
      </c>
      <c r="Q364" t="n">
        <v>0</v>
      </c>
      <c r="R364" s="2" t="inlineStr"/>
    </row>
    <row r="365" ht="15" customHeight="1">
      <c r="A365" t="inlineStr">
        <is>
          <t>A 61569-2023</t>
        </is>
      </c>
      <c r="B365" s="1" t="n">
        <v>45265</v>
      </c>
      <c r="C365" s="1" t="n">
        <v>45994</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20187-2023</t>
        </is>
      </c>
      <c r="B366" s="1" t="n">
        <v>45055.57027777778</v>
      </c>
      <c r="C366" s="1" t="n">
        <v>45994</v>
      </c>
      <c r="D366" t="inlineStr">
        <is>
          <t>SKÅNE LÄN</t>
        </is>
      </c>
      <c r="E366" t="inlineStr">
        <is>
          <t>HÄSSLEHOLM</t>
        </is>
      </c>
      <c r="G366" t="n">
        <v>1.8</v>
      </c>
      <c r="H366" t="n">
        <v>0</v>
      </c>
      <c r="I366" t="n">
        <v>0</v>
      </c>
      <c r="J366" t="n">
        <v>0</v>
      </c>
      <c r="K366" t="n">
        <v>0</v>
      </c>
      <c r="L366" t="n">
        <v>0</v>
      </c>
      <c r="M366" t="n">
        <v>0</v>
      </c>
      <c r="N366" t="n">
        <v>0</v>
      </c>
      <c r="O366" t="n">
        <v>0</v>
      </c>
      <c r="P366" t="n">
        <v>0</v>
      </c>
      <c r="Q366" t="n">
        <v>0</v>
      </c>
      <c r="R366" s="2" t="inlineStr"/>
    </row>
    <row r="367" ht="15" customHeight="1">
      <c r="A367" t="inlineStr">
        <is>
          <t>A 52235-2021</t>
        </is>
      </c>
      <c r="B367" s="1" t="n">
        <v>44463.60085648148</v>
      </c>
      <c r="C367" s="1" t="n">
        <v>45994</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54326-2022</t>
        </is>
      </c>
      <c r="B368" s="1" t="n">
        <v>44882.42965277778</v>
      </c>
      <c r="C368" s="1" t="n">
        <v>45994</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54174-2022</t>
        </is>
      </c>
      <c r="B369" s="1" t="n">
        <v>44881</v>
      </c>
      <c r="C369" s="1" t="n">
        <v>45994</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61197-2024</t>
        </is>
      </c>
      <c r="B370" s="1" t="n">
        <v>45645.63184027778</v>
      </c>
      <c r="C370" s="1" t="n">
        <v>45994</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58618-2024</t>
        </is>
      </c>
      <c r="B371" s="1" t="n">
        <v>45635.56150462963</v>
      </c>
      <c r="C371" s="1" t="n">
        <v>45994</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38376-2022</t>
        </is>
      </c>
      <c r="B372" s="1" t="n">
        <v>44812</v>
      </c>
      <c r="C372" s="1" t="n">
        <v>45994</v>
      </c>
      <c r="D372" t="inlineStr">
        <is>
          <t>SKÅNE LÄN</t>
        </is>
      </c>
      <c r="E372" t="inlineStr">
        <is>
          <t>HÄSSLEHOLM</t>
        </is>
      </c>
      <c r="G372" t="n">
        <v>1.9</v>
      </c>
      <c r="H372" t="n">
        <v>0</v>
      </c>
      <c r="I372" t="n">
        <v>0</v>
      </c>
      <c r="J372" t="n">
        <v>0</v>
      </c>
      <c r="K372" t="n">
        <v>0</v>
      </c>
      <c r="L372" t="n">
        <v>0</v>
      </c>
      <c r="M372" t="n">
        <v>0</v>
      </c>
      <c r="N372" t="n">
        <v>0</v>
      </c>
      <c r="O372" t="n">
        <v>0</v>
      </c>
      <c r="P372" t="n">
        <v>0</v>
      </c>
      <c r="Q372" t="n">
        <v>0</v>
      </c>
      <c r="R372" s="2" t="inlineStr"/>
    </row>
    <row r="373" ht="15" customHeight="1">
      <c r="A373" t="inlineStr">
        <is>
          <t>A 54471-2023</t>
        </is>
      </c>
      <c r="B373" s="1" t="n">
        <v>45233.4640162037</v>
      </c>
      <c r="C373" s="1" t="n">
        <v>45994</v>
      </c>
      <c r="D373" t="inlineStr">
        <is>
          <t>SKÅNE LÄN</t>
        </is>
      </c>
      <c r="E373" t="inlineStr">
        <is>
          <t>HÄSSLEHOLM</t>
        </is>
      </c>
      <c r="G373" t="n">
        <v>1.4</v>
      </c>
      <c r="H373" t="n">
        <v>0</v>
      </c>
      <c r="I373" t="n">
        <v>0</v>
      </c>
      <c r="J373" t="n">
        <v>0</v>
      </c>
      <c r="K373" t="n">
        <v>0</v>
      </c>
      <c r="L373" t="n">
        <v>0</v>
      </c>
      <c r="M373" t="n">
        <v>0</v>
      </c>
      <c r="N373" t="n">
        <v>0</v>
      </c>
      <c r="O373" t="n">
        <v>0</v>
      </c>
      <c r="P373" t="n">
        <v>0</v>
      </c>
      <c r="Q373" t="n">
        <v>0</v>
      </c>
      <c r="R373" s="2" t="inlineStr"/>
    </row>
    <row r="374" ht="15" customHeight="1">
      <c r="A374" t="inlineStr">
        <is>
          <t>A 11266-2025</t>
        </is>
      </c>
      <c r="B374" s="1" t="n">
        <v>45726</v>
      </c>
      <c r="C374" s="1" t="n">
        <v>45994</v>
      </c>
      <c r="D374" t="inlineStr">
        <is>
          <t>SKÅNE LÄN</t>
        </is>
      </c>
      <c r="E374" t="inlineStr">
        <is>
          <t>HÄSSLEHOLM</t>
        </is>
      </c>
      <c r="G374" t="n">
        <v>0.3</v>
      </c>
      <c r="H374" t="n">
        <v>0</v>
      </c>
      <c r="I374" t="n">
        <v>0</v>
      </c>
      <c r="J374" t="n">
        <v>0</v>
      </c>
      <c r="K374" t="n">
        <v>0</v>
      </c>
      <c r="L374" t="n">
        <v>0</v>
      </c>
      <c r="M374" t="n">
        <v>0</v>
      </c>
      <c r="N374" t="n">
        <v>0</v>
      </c>
      <c r="O374" t="n">
        <v>0</v>
      </c>
      <c r="P374" t="n">
        <v>0</v>
      </c>
      <c r="Q374" t="n">
        <v>0</v>
      </c>
      <c r="R374" s="2" t="inlineStr"/>
    </row>
    <row r="375" ht="15" customHeight="1">
      <c r="A375" t="inlineStr">
        <is>
          <t>A 6165-2023</t>
        </is>
      </c>
      <c r="B375" s="1" t="n">
        <v>44964.67114583333</v>
      </c>
      <c r="C375" s="1" t="n">
        <v>45994</v>
      </c>
      <c r="D375" t="inlineStr">
        <is>
          <t>SKÅNE LÄN</t>
        </is>
      </c>
      <c r="E375" t="inlineStr">
        <is>
          <t>HÄSSLEHOLM</t>
        </is>
      </c>
      <c r="G375" t="n">
        <v>0.7</v>
      </c>
      <c r="H375" t="n">
        <v>0</v>
      </c>
      <c r="I375" t="n">
        <v>0</v>
      </c>
      <c r="J375" t="n">
        <v>0</v>
      </c>
      <c r="K375" t="n">
        <v>0</v>
      </c>
      <c r="L375" t="n">
        <v>0</v>
      </c>
      <c r="M375" t="n">
        <v>0</v>
      </c>
      <c r="N375" t="n">
        <v>0</v>
      </c>
      <c r="O375" t="n">
        <v>0</v>
      </c>
      <c r="P375" t="n">
        <v>0</v>
      </c>
      <c r="Q375" t="n">
        <v>0</v>
      </c>
      <c r="R375" s="2" t="inlineStr"/>
    </row>
    <row r="376" ht="15" customHeight="1">
      <c r="A376" t="inlineStr">
        <is>
          <t>A 54659-2023</t>
        </is>
      </c>
      <c r="B376" s="1" t="n">
        <v>45235</v>
      </c>
      <c r="C376" s="1" t="n">
        <v>45994</v>
      </c>
      <c r="D376" t="inlineStr">
        <is>
          <t>SKÅNE LÄN</t>
        </is>
      </c>
      <c r="E376" t="inlineStr">
        <is>
          <t>HÄSSLEHOLM</t>
        </is>
      </c>
      <c r="G376" t="n">
        <v>5</v>
      </c>
      <c r="H376" t="n">
        <v>0</v>
      </c>
      <c r="I376" t="n">
        <v>0</v>
      </c>
      <c r="J376" t="n">
        <v>0</v>
      </c>
      <c r="K376" t="n">
        <v>0</v>
      </c>
      <c r="L376" t="n">
        <v>0</v>
      </c>
      <c r="M376" t="n">
        <v>0</v>
      </c>
      <c r="N376" t="n">
        <v>0</v>
      </c>
      <c r="O376" t="n">
        <v>0</v>
      </c>
      <c r="P376" t="n">
        <v>0</v>
      </c>
      <c r="Q376" t="n">
        <v>0</v>
      </c>
      <c r="R376" s="2" t="inlineStr"/>
    </row>
    <row r="377" ht="15" customHeight="1">
      <c r="A377" t="inlineStr">
        <is>
          <t>A 15036-2024</t>
        </is>
      </c>
      <c r="B377" s="1" t="n">
        <v>45399.48100694444</v>
      </c>
      <c r="C377" s="1" t="n">
        <v>45994</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32794-2021</t>
        </is>
      </c>
      <c r="B378" s="1" t="n">
        <v>44375</v>
      </c>
      <c r="C378" s="1" t="n">
        <v>45994</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33938-2023</t>
        </is>
      </c>
      <c r="B379" s="1" t="n">
        <v>45124</v>
      </c>
      <c r="C379" s="1" t="n">
        <v>45994</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61533-2022</t>
        </is>
      </c>
      <c r="B380" s="1" t="n">
        <v>44910</v>
      </c>
      <c r="C380" s="1" t="n">
        <v>45994</v>
      </c>
      <c r="D380" t="inlineStr">
        <is>
          <t>SKÅNE LÄN</t>
        </is>
      </c>
      <c r="E380" t="inlineStr">
        <is>
          <t>HÄSSLEHOLM</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50607-2023</t>
        </is>
      </c>
      <c r="B381" s="1" t="n">
        <v>45210</v>
      </c>
      <c r="C381" s="1" t="n">
        <v>45994</v>
      </c>
      <c r="D381" t="inlineStr">
        <is>
          <t>SKÅNE LÄN</t>
        </is>
      </c>
      <c r="E381" t="inlineStr">
        <is>
          <t>HÄSSLEHOLM</t>
        </is>
      </c>
      <c r="G381" t="n">
        <v>1.8</v>
      </c>
      <c r="H381" t="n">
        <v>0</v>
      </c>
      <c r="I381" t="n">
        <v>0</v>
      </c>
      <c r="J381" t="n">
        <v>0</v>
      </c>
      <c r="K381" t="n">
        <v>0</v>
      </c>
      <c r="L381" t="n">
        <v>0</v>
      </c>
      <c r="M381" t="n">
        <v>0</v>
      </c>
      <c r="N381" t="n">
        <v>0</v>
      </c>
      <c r="O381" t="n">
        <v>0</v>
      </c>
      <c r="P381" t="n">
        <v>0</v>
      </c>
      <c r="Q381" t="n">
        <v>0</v>
      </c>
      <c r="R381" s="2" t="inlineStr"/>
    </row>
    <row r="382" ht="15" customHeight="1">
      <c r="A382" t="inlineStr">
        <is>
          <t>A 9709-2023</t>
        </is>
      </c>
      <c r="B382" s="1" t="n">
        <v>44984.48376157408</v>
      </c>
      <c r="C382" s="1" t="n">
        <v>45994</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38148-2022</t>
        </is>
      </c>
      <c r="B383" s="1" t="n">
        <v>44811</v>
      </c>
      <c r="C383" s="1" t="n">
        <v>45994</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31944-2023</t>
        </is>
      </c>
      <c r="B384" s="1" t="n">
        <v>45119.34895833334</v>
      </c>
      <c r="C384" s="1" t="n">
        <v>45994</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677-2024</t>
        </is>
      </c>
      <c r="B385" s="1" t="n">
        <v>45300</v>
      </c>
      <c r="C385" s="1" t="n">
        <v>45994</v>
      </c>
      <c r="D385" t="inlineStr">
        <is>
          <t>SKÅNE LÄN</t>
        </is>
      </c>
      <c r="E385" t="inlineStr">
        <is>
          <t>HÄSSLEHOLM</t>
        </is>
      </c>
      <c r="G385" t="n">
        <v>6.8</v>
      </c>
      <c r="H385" t="n">
        <v>0</v>
      </c>
      <c r="I385" t="n">
        <v>0</v>
      </c>
      <c r="J385" t="n">
        <v>0</v>
      </c>
      <c r="K385" t="n">
        <v>0</v>
      </c>
      <c r="L385" t="n">
        <v>0</v>
      </c>
      <c r="M385" t="n">
        <v>0</v>
      </c>
      <c r="N385" t="n">
        <v>0</v>
      </c>
      <c r="O385" t="n">
        <v>0</v>
      </c>
      <c r="P385" t="n">
        <v>0</v>
      </c>
      <c r="Q385" t="n">
        <v>0</v>
      </c>
      <c r="R385" s="2" t="inlineStr"/>
    </row>
    <row r="386" ht="15" customHeight="1">
      <c r="A386" t="inlineStr">
        <is>
          <t>A 1706-2025</t>
        </is>
      </c>
      <c r="B386" s="1" t="n">
        <v>45670</v>
      </c>
      <c r="C386" s="1" t="n">
        <v>45994</v>
      </c>
      <c r="D386" t="inlineStr">
        <is>
          <t>SKÅNE LÄN</t>
        </is>
      </c>
      <c r="E386" t="inlineStr">
        <is>
          <t>HÄSSLEHOLM</t>
        </is>
      </c>
      <c r="G386" t="n">
        <v>5</v>
      </c>
      <c r="H386" t="n">
        <v>0</v>
      </c>
      <c r="I386" t="n">
        <v>0</v>
      </c>
      <c r="J386" t="n">
        <v>0</v>
      </c>
      <c r="K386" t="n">
        <v>0</v>
      </c>
      <c r="L386" t="n">
        <v>0</v>
      </c>
      <c r="M386" t="n">
        <v>0</v>
      </c>
      <c r="N386" t="n">
        <v>0</v>
      </c>
      <c r="O386" t="n">
        <v>0</v>
      </c>
      <c r="P386" t="n">
        <v>0</v>
      </c>
      <c r="Q386" t="n">
        <v>0</v>
      </c>
      <c r="R386" s="2" t="inlineStr"/>
    </row>
    <row r="387" ht="15" customHeight="1">
      <c r="A387" t="inlineStr">
        <is>
          <t>A 12843-2023</t>
        </is>
      </c>
      <c r="B387" s="1" t="n">
        <v>45001.48423611111</v>
      </c>
      <c r="C387" s="1" t="n">
        <v>45994</v>
      </c>
      <c r="D387" t="inlineStr">
        <is>
          <t>SKÅNE LÄN</t>
        </is>
      </c>
      <c r="E387" t="inlineStr">
        <is>
          <t>HÄSSLEHOLM</t>
        </is>
      </c>
      <c r="G387" t="n">
        <v>3.9</v>
      </c>
      <c r="H387" t="n">
        <v>0</v>
      </c>
      <c r="I387" t="n">
        <v>0</v>
      </c>
      <c r="J387" t="n">
        <v>0</v>
      </c>
      <c r="K387" t="n">
        <v>0</v>
      </c>
      <c r="L387" t="n">
        <v>0</v>
      </c>
      <c r="M387" t="n">
        <v>0</v>
      </c>
      <c r="N387" t="n">
        <v>0</v>
      </c>
      <c r="O387" t="n">
        <v>0</v>
      </c>
      <c r="P387" t="n">
        <v>0</v>
      </c>
      <c r="Q387" t="n">
        <v>0</v>
      </c>
      <c r="R387" s="2" t="inlineStr"/>
    </row>
    <row r="388" ht="15" customHeight="1">
      <c r="A388" t="inlineStr">
        <is>
          <t>A 47647-2024</t>
        </is>
      </c>
      <c r="B388" s="1" t="n">
        <v>45588</v>
      </c>
      <c r="C388" s="1" t="n">
        <v>45994</v>
      </c>
      <c r="D388" t="inlineStr">
        <is>
          <t>SKÅNE LÄN</t>
        </is>
      </c>
      <c r="E388" t="inlineStr">
        <is>
          <t>HÄSSLEHOLM</t>
        </is>
      </c>
      <c r="G388" t="n">
        <v>6.5</v>
      </c>
      <c r="H388" t="n">
        <v>0</v>
      </c>
      <c r="I388" t="n">
        <v>0</v>
      </c>
      <c r="J388" t="n">
        <v>0</v>
      </c>
      <c r="K388" t="n">
        <v>0</v>
      </c>
      <c r="L388" t="n">
        <v>0</v>
      </c>
      <c r="M388" t="n">
        <v>0</v>
      </c>
      <c r="N388" t="n">
        <v>0</v>
      </c>
      <c r="O388" t="n">
        <v>0</v>
      </c>
      <c r="P388" t="n">
        <v>0</v>
      </c>
      <c r="Q388" t="n">
        <v>0</v>
      </c>
      <c r="R388" s="2" t="inlineStr"/>
    </row>
    <row r="389" ht="15" customHeight="1">
      <c r="A389" t="inlineStr">
        <is>
          <t>A 2479-2024</t>
        </is>
      </c>
      <c r="B389" s="1" t="n">
        <v>45313.40148148148</v>
      </c>
      <c r="C389" s="1" t="n">
        <v>45994</v>
      </c>
      <c r="D389" t="inlineStr">
        <is>
          <t>SKÅNE LÄN</t>
        </is>
      </c>
      <c r="E389" t="inlineStr">
        <is>
          <t>HÄSSLEHOLM</t>
        </is>
      </c>
      <c r="G389" t="n">
        <v>1.2</v>
      </c>
      <c r="H389" t="n">
        <v>0</v>
      </c>
      <c r="I389" t="n">
        <v>0</v>
      </c>
      <c r="J389" t="n">
        <v>0</v>
      </c>
      <c r="K389" t="n">
        <v>0</v>
      </c>
      <c r="L389" t="n">
        <v>0</v>
      </c>
      <c r="M389" t="n">
        <v>0</v>
      </c>
      <c r="N389" t="n">
        <v>0</v>
      </c>
      <c r="O389" t="n">
        <v>0</v>
      </c>
      <c r="P389" t="n">
        <v>0</v>
      </c>
      <c r="Q389" t="n">
        <v>0</v>
      </c>
      <c r="R389" s="2" t="inlineStr"/>
    </row>
    <row r="390" ht="15" customHeight="1">
      <c r="A390" t="inlineStr">
        <is>
          <t>A 55056-2021</t>
        </is>
      </c>
      <c r="B390" s="1" t="n">
        <v>44474.62072916667</v>
      </c>
      <c r="C390" s="1" t="n">
        <v>45994</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9615-2025</t>
        </is>
      </c>
      <c r="B391" s="1" t="n">
        <v>45715</v>
      </c>
      <c r="C391" s="1" t="n">
        <v>45994</v>
      </c>
      <c r="D391" t="inlineStr">
        <is>
          <t>SKÅNE LÄN</t>
        </is>
      </c>
      <c r="E391" t="inlineStr">
        <is>
          <t>HÄSSLEHOLM</t>
        </is>
      </c>
      <c r="G391" t="n">
        <v>1.8</v>
      </c>
      <c r="H391" t="n">
        <v>0</v>
      </c>
      <c r="I391" t="n">
        <v>0</v>
      </c>
      <c r="J391" t="n">
        <v>0</v>
      </c>
      <c r="K391" t="n">
        <v>0</v>
      </c>
      <c r="L391" t="n">
        <v>0</v>
      </c>
      <c r="M391" t="n">
        <v>0</v>
      </c>
      <c r="N391" t="n">
        <v>0</v>
      </c>
      <c r="O391" t="n">
        <v>0</v>
      </c>
      <c r="P391" t="n">
        <v>0</v>
      </c>
      <c r="Q391" t="n">
        <v>0</v>
      </c>
      <c r="R391" s="2" t="inlineStr"/>
    </row>
    <row r="392" ht="15" customHeight="1">
      <c r="A392" t="inlineStr">
        <is>
          <t>A 8524-2024</t>
        </is>
      </c>
      <c r="B392" s="1" t="n">
        <v>45355.48570601852</v>
      </c>
      <c r="C392" s="1" t="n">
        <v>45994</v>
      </c>
      <c r="D392" t="inlineStr">
        <is>
          <t>SKÅNE LÄN</t>
        </is>
      </c>
      <c r="E392" t="inlineStr">
        <is>
          <t>HÄSSLEHOLM</t>
        </is>
      </c>
      <c r="G392" t="n">
        <v>4</v>
      </c>
      <c r="H392" t="n">
        <v>0</v>
      </c>
      <c r="I392" t="n">
        <v>0</v>
      </c>
      <c r="J392" t="n">
        <v>0</v>
      </c>
      <c r="K392" t="n">
        <v>0</v>
      </c>
      <c r="L392" t="n">
        <v>0</v>
      </c>
      <c r="M392" t="n">
        <v>0</v>
      </c>
      <c r="N392" t="n">
        <v>0</v>
      </c>
      <c r="O392" t="n">
        <v>0</v>
      </c>
      <c r="P392" t="n">
        <v>0</v>
      </c>
      <c r="Q392" t="n">
        <v>0</v>
      </c>
      <c r="R392" s="2" t="inlineStr"/>
    </row>
    <row r="393" ht="15" customHeight="1">
      <c r="A393" t="inlineStr">
        <is>
          <t>A 26397-2023</t>
        </is>
      </c>
      <c r="B393" s="1" t="n">
        <v>45087</v>
      </c>
      <c r="C393" s="1" t="n">
        <v>45994</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1119-2024</t>
        </is>
      </c>
      <c r="B394" s="1" t="n">
        <v>45302</v>
      </c>
      <c r="C394" s="1" t="n">
        <v>45994</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13544-2025</t>
        </is>
      </c>
      <c r="B395" s="1" t="n">
        <v>45736</v>
      </c>
      <c r="C395" s="1" t="n">
        <v>45994</v>
      </c>
      <c r="D395" t="inlineStr">
        <is>
          <t>SKÅNE LÄN</t>
        </is>
      </c>
      <c r="E395" t="inlineStr">
        <is>
          <t>HÄSSLEHOLM</t>
        </is>
      </c>
      <c r="G395" t="n">
        <v>2.5</v>
      </c>
      <c r="H395" t="n">
        <v>0</v>
      </c>
      <c r="I395" t="n">
        <v>0</v>
      </c>
      <c r="J395" t="n">
        <v>0</v>
      </c>
      <c r="K395" t="n">
        <v>0</v>
      </c>
      <c r="L395" t="n">
        <v>0</v>
      </c>
      <c r="M395" t="n">
        <v>0</v>
      </c>
      <c r="N395" t="n">
        <v>0</v>
      </c>
      <c r="O395" t="n">
        <v>0</v>
      </c>
      <c r="P395" t="n">
        <v>0</v>
      </c>
      <c r="Q395" t="n">
        <v>0</v>
      </c>
      <c r="R395" s="2" t="inlineStr"/>
    </row>
    <row r="396" ht="15" customHeight="1">
      <c r="A396" t="inlineStr">
        <is>
          <t>A 58888-2024</t>
        </is>
      </c>
      <c r="B396" s="1" t="n">
        <v>45636.45962962963</v>
      </c>
      <c r="C396" s="1" t="n">
        <v>45994</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16334-2024</t>
        </is>
      </c>
      <c r="B397" s="1" t="n">
        <v>45407.54856481482</v>
      </c>
      <c r="C397" s="1" t="n">
        <v>45994</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3663-2024</t>
        </is>
      </c>
      <c r="B398" s="1" t="n">
        <v>45321.34775462963</v>
      </c>
      <c r="C398" s="1" t="n">
        <v>45994</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8755-2024</t>
        </is>
      </c>
      <c r="B399" s="1" t="n">
        <v>45356</v>
      </c>
      <c r="C399" s="1" t="n">
        <v>45994</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8760-2024</t>
        </is>
      </c>
      <c r="B400" s="1" t="n">
        <v>45356.53420138889</v>
      </c>
      <c r="C400" s="1" t="n">
        <v>45994</v>
      </c>
      <c r="D400" t="inlineStr">
        <is>
          <t>SKÅNE LÄN</t>
        </is>
      </c>
      <c r="E400" t="inlineStr">
        <is>
          <t>HÄSSLEHOLM</t>
        </is>
      </c>
      <c r="G400" t="n">
        <v>6.1</v>
      </c>
      <c r="H400" t="n">
        <v>0</v>
      </c>
      <c r="I400" t="n">
        <v>0</v>
      </c>
      <c r="J400" t="n">
        <v>0</v>
      </c>
      <c r="K400" t="n">
        <v>0</v>
      </c>
      <c r="L400" t="n">
        <v>0</v>
      </c>
      <c r="M400" t="n">
        <v>0</v>
      </c>
      <c r="N400" t="n">
        <v>0</v>
      </c>
      <c r="O400" t="n">
        <v>0</v>
      </c>
      <c r="P400" t="n">
        <v>0</v>
      </c>
      <c r="Q400" t="n">
        <v>0</v>
      </c>
      <c r="R400" s="2" t="inlineStr"/>
    </row>
    <row r="401" ht="15" customHeight="1">
      <c r="A401" t="inlineStr">
        <is>
          <t>A 23987-2024</t>
        </is>
      </c>
      <c r="B401" s="1" t="n">
        <v>45456</v>
      </c>
      <c r="C401" s="1" t="n">
        <v>45994</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4042-2023</t>
        </is>
      </c>
      <c r="B402" s="1" t="n">
        <v>44952.59950231481</v>
      </c>
      <c r="C402" s="1" t="n">
        <v>45994</v>
      </c>
      <c r="D402" t="inlineStr">
        <is>
          <t>SKÅNE LÄN</t>
        </is>
      </c>
      <c r="E402" t="inlineStr">
        <is>
          <t>HÄSSLEHOLM</t>
        </is>
      </c>
      <c r="G402" t="n">
        <v>2.7</v>
      </c>
      <c r="H402" t="n">
        <v>0</v>
      </c>
      <c r="I402" t="n">
        <v>0</v>
      </c>
      <c r="J402" t="n">
        <v>0</v>
      </c>
      <c r="K402" t="n">
        <v>0</v>
      </c>
      <c r="L402" t="n">
        <v>0</v>
      </c>
      <c r="M402" t="n">
        <v>0</v>
      </c>
      <c r="N402" t="n">
        <v>0</v>
      </c>
      <c r="O402" t="n">
        <v>0</v>
      </c>
      <c r="P402" t="n">
        <v>0</v>
      </c>
      <c r="Q402" t="n">
        <v>0</v>
      </c>
      <c r="R402" s="2" t="inlineStr"/>
    </row>
    <row r="403" ht="15" customHeight="1">
      <c r="A403" t="inlineStr">
        <is>
          <t>A 33257-2024</t>
        </is>
      </c>
      <c r="B403" s="1" t="n">
        <v>45518</v>
      </c>
      <c r="C403" s="1" t="n">
        <v>45994</v>
      </c>
      <c r="D403" t="inlineStr">
        <is>
          <t>SKÅNE LÄN</t>
        </is>
      </c>
      <c r="E403" t="inlineStr">
        <is>
          <t>HÄSSLEHOLM</t>
        </is>
      </c>
      <c r="G403" t="n">
        <v>0.4</v>
      </c>
      <c r="H403" t="n">
        <v>0</v>
      </c>
      <c r="I403" t="n">
        <v>0</v>
      </c>
      <c r="J403" t="n">
        <v>0</v>
      </c>
      <c r="K403" t="n">
        <v>0</v>
      </c>
      <c r="L403" t="n">
        <v>0</v>
      </c>
      <c r="M403" t="n">
        <v>0</v>
      </c>
      <c r="N403" t="n">
        <v>0</v>
      </c>
      <c r="O403" t="n">
        <v>0</v>
      </c>
      <c r="P403" t="n">
        <v>0</v>
      </c>
      <c r="Q403" t="n">
        <v>0</v>
      </c>
      <c r="R403" s="2" t="inlineStr"/>
    </row>
    <row r="404" ht="15" customHeight="1">
      <c r="A404" t="inlineStr">
        <is>
          <t>A 9393-2025</t>
        </is>
      </c>
      <c r="B404" s="1" t="n">
        <v>45715.36230324074</v>
      </c>
      <c r="C404" s="1" t="n">
        <v>45994</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31160-2024</t>
        </is>
      </c>
      <c r="B405" s="1" t="n">
        <v>45503</v>
      </c>
      <c r="C405" s="1" t="n">
        <v>45994</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5054-2022</t>
        </is>
      </c>
      <c r="B406" s="1" t="n">
        <v>44593.69065972222</v>
      </c>
      <c r="C406" s="1" t="n">
        <v>45994</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15897-2025</t>
        </is>
      </c>
      <c r="B407" s="1" t="n">
        <v>45749.41598379629</v>
      </c>
      <c r="C407" s="1" t="n">
        <v>45994</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54982-2024</t>
        </is>
      </c>
      <c r="B408" s="1" t="n">
        <v>45620.7580787037</v>
      </c>
      <c r="C408" s="1" t="n">
        <v>45994</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20872-2025</t>
        </is>
      </c>
      <c r="B409" s="1" t="n">
        <v>45777.34688657407</v>
      </c>
      <c r="C409" s="1" t="n">
        <v>45994</v>
      </c>
      <c r="D409" t="inlineStr">
        <is>
          <t>SKÅNE LÄN</t>
        </is>
      </c>
      <c r="E409" t="inlineStr">
        <is>
          <t>HÄSSLEHOLM</t>
        </is>
      </c>
      <c r="G409" t="n">
        <v>1.5</v>
      </c>
      <c r="H409" t="n">
        <v>0</v>
      </c>
      <c r="I409" t="n">
        <v>0</v>
      </c>
      <c r="J409" t="n">
        <v>0</v>
      </c>
      <c r="K409" t="n">
        <v>0</v>
      </c>
      <c r="L409" t="n">
        <v>0</v>
      </c>
      <c r="M409" t="n">
        <v>0</v>
      </c>
      <c r="N409" t="n">
        <v>0</v>
      </c>
      <c r="O409" t="n">
        <v>0</v>
      </c>
      <c r="P409" t="n">
        <v>0</v>
      </c>
      <c r="Q409" t="n">
        <v>0</v>
      </c>
      <c r="R409" s="2" t="inlineStr"/>
    </row>
    <row r="410" ht="15" customHeight="1">
      <c r="A410" t="inlineStr">
        <is>
          <t>A 61182-2024</t>
        </is>
      </c>
      <c r="B410" s="1" t="n">
        <v>45645</v>
      </c>
      <c r="C410" s="1" t="n">
        <v>45994</v>
      </c>
      <c r="D410" t="inlineStr">
        <is>
          <t>SKÅNE LÄN</t>
        </is>
      </c>
      <c r="E410" t="inlineStr">
        <is>
          <t>HÄSSLEHOLM</t>
        </is>
      </c>
      <c r="G410" t="n">
        <v>3.2</v>
      </c>
      <c r="H410" t="n">
        <v>0</v>
      </c>
      <c r="I410" t="n">
        <v>0</v>
      </c>
      <c r="J410" t="n">
        <v>0</v>
      </c>
      <c r="K410" t="n">
        <v>0</v>
      </c>
      <c r="L410" t="n">
        <v>0</v>
      </c>
      <c r="M410" t="n">
        <v>0</v>
      </c>
      <c r="N410" t="n">
        <v>0</v>
      </c>
      <c r="O410" t="n">
        <v>0</v>
      </c>
      <c r="P410" t="n">
        <v>0</v>
      </c>
      <c r="Q410" t="n">
        <v>0</v>
      </c>
      <c r="R410" s="2" t="inlineStr"/>
    </row>
    <row r="411" ht="15" customHeight="1">
      <c r="A411" t="inlineStr">
        <is>
          <t>A 31391-2023</t>
        </is>
      </c>
      <c r="B411" s="1" t="n">
        <v>45114.56143518518</v>
      </c>
      <c r="C411" s="1" t="n">
        <v>45994</v>
      </c>
      <c r="D411" t="inlineStr">
        <is>
          <t>SKÅNE LÄN</t>
        </is>
      </c>
      <c r="E411" t="inlineStr">
        <is>
          <t>HÄSSLEHOLM</t>
        </is>
      </c>
      <c r="G411" t="n">
        <v>3.1</v>
      </c>
      <c r="H411" t="n">
        <v>0</v>
      </c>
      <c r="I411" t="n">
        <v>0</v>
      </c>
      <c r="J411" t="n">
        <v>0</v>
      </c>
      <c r="K411" t="n">
        <v>0</v>
      </c>
      <c r="L411" t="n">
        <v>0</v>
      </c>
      <c r="M411" t="n">
        <v>0</v>
      </c>
      <c r="N411" t="n">
        <v>0</v>
      </c>
      <c r="O411" t="n">
        <v>0</v>
      </c>
      <c r="P411" t="n">
        <v>0</v>
      </c>
      <c r="Q411" t="n">
        <v>0</v>
      </c>
      <c r="R411" s="2" t="inlineStr"/>
    </row>
    <row r="412" ht="15" customHeight="1">
      <c r="A412" t="inlineStr">
        <is>
          <t>A 23723-2023</t>
        </is>
      </c>
      <c r="B412" s="1" t="n">
        <v>45077</v>
      </c>
      <c r="C412" s="1" t="n">
        <v>45994</v>
      </c>
      <c r="D412" t="inlineStr">
        <is>
          <t>SKÅNE LÄN</t>
        </is>
      </c>
      <c r="E412" t="inlineStr">
        <is>
          <t>HÄSSLEHOLM</t>
        </is>
      </c>
      <c r="G412" t="n">
        <v>3.9</v>
      </c>
      <c r="H412" t="n">
        <v>0</v>
      </c>
      <c r="I412" t="n">
        <v>0</v>
      </c>
      <c r="J412" t="n">
        <v>0</v>
      </c>
      <c r="K412" t="n">
        <v>0</v>
      </c>
      <c r="L412" t="n">
        <v>0</v>
      </c>
      <c r="M412" t="n">
        <v>0</v>
      </c>
      <c r="N412" t="n">
        <v>0</v>
      </c>
      <c r="O412" t="n">
        <v>0</v>
      </c>
      <c r="P412" t="n">
        <v>0</v>
      </c>
      <c r="Q412" t="n">
        <v>0</v>
      </c>
      <c r="R412" s="2" t="inlineStr"/>
    </row>
    <row r="413" ht="15" customHeight="1">
      <c r="A413" t="inlineStr">
        <is>
          <t>A 24865-2024</t>
        </is>
      </c>
      <c r="B413" s="1" t="n">
        <v>45461.48974537037</v>
      </c>
      <c r="C413" s="1" t="n">
        <v>45994</v>
      </c>
      <c r="D413" t="inlineStr">
        <is>
          <t>SKÅNE LÄN</t>
        </is>
      </c>
      <c r="E413" t="inlineStr">
        <is>
          <t>HÄSSLEHOLM</t>
        </is>
      </c>
      <c r="G413" t="n">
        <v>0.9</v>
      </c>
      <c r="H413" t="n">
        <v>0</v>
      </c>
      <c r="I413" t="n">
        <v>0</v>
      </c>
      <c r="J413" t="n">
        <v>0</v>
      </c>
      <c r="K413" t="n">
        <v>0</v>
      </c>
      <c r="L413" t="n">
        <v>0</v>
      </c>
      <c r="M413" t="n">
        <v>0</v>
      </c>
      <c r="N413" t="n">
        <v>0</v>
      </c>
      <c r="O413" t="n">
        <v>0</v>
      </c>
      <c r="P413" t="n">
        <v>0</v>
      </c>
      <c r="Q413" t="n">
        <v>0</v>
      </c>
      <c r="R413" s="2" t="inlineStr"/>
    </row>
    <row r="414" ht="15" customHeight="1">
      <c r="A414" t="inlineStr">
        <is>
          <t>A 58272-2024</t>
        </is>
      </c>
      <c r="B414" s="1" t="n">
        <v>45632.57025462963</v>
      </c>
      <c r="C414" s="1" t="n">
        <v>45994</v>
      </c>
      <c r="D414" t="inlineStr">
        <is>
          <t>SKÅNE LÄN</t>
        </is>
      </c>
      <c r="E414" t="inlineStr">
        <is>
          <t>HÄSSLEHOLM</t>
        </is>
      </c>
      <c r="G414" t="n">
        <v>2.3</v>
      </c>
      <c r="H414" t="n">
        <v>0</v>
      </c>
      <c r="I414" t="n">
        <v>0</v>
      </c>
      <c r="J414" t="n">
        <v>0</v>
      </c>
      <c r="K414" t="n">
        <v>0</v>
      </c>
      <c r="L414" t="n">
        <v>0</v>
      </c>
      <c r="M414" t="n">
        <v>0</v>
      </c>
      <c r="N414" t="n">
        <v>0</v>
      </c>
      <c r="O414" t="n">
        <v>0</v>
      </c>
      <c r="P414" t="n">
        <v>0</v>
      </c>
      <c r="Q414" t="n">
        <v>0</v>
      </c>
      <c r="R414" s="2" t="inlineStr"/>
    </row>
    <row r="415" ht="15" customHeight="1">
      <c r="A415" t="inlineStr">
        <is>
          <t>A 18580-2023</t>
        </is>
      </c>
      <c r="B415" s="1" t="n">
        <v>45043.37037037037</v>
      </c>
      <c r="C415" s="1" t="n">
        <v>45994</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14255-2024</t>
        </is>
      </c>
      <c r="B416" s="1" t="n">
        <v>45393</v>
      </c>
      <c r="C416" s="1" t="n">
        <v>45994</v>
      </c>
      <c r="D416" t="inlineStr">
        <is>
          <t>SKÅNE LÄN</t>
        </is>
      </c>
      <c r="E416" t="inlineStr">
        <is>
          <t>HÄSSLEHOLM</t>
        </is>
      </c>
      <c r="G416" t="n">
        <v>11.9</v>
      </c>
      <c r="H416" t="n">
        <v>0</v>
      </c>
      <c r="I416" t="n">
        <v>0</v>
      </c>
      <c r="J416" t="n">
        <v>0</v>
      </c>
      <c r="K416" t="n">
        <v>0</v>
      </c>
      <c r="L416" t="n">
        <v>0</v>
      </c>
      <c r="M416" t="n">
        <v>0</v>
      </c>
      <c r="N416" t="n">
        <v>0</v>
      </c>
      <c r="O416" t="n">
        <v>0</v>
      </c>
      <c r="P416" t="n">
        <v>0</v>
      </c>
      <c r="Q416" t="n">
        <v>0</v>
      </c>
      <c r="R416" s="2" t="inlineStr"/>
    </row>
    <row r="417" ht="15" customHeight="1">
      <c r="A417" t="inlineStr">
        <is>
          <t>A 31933-2024</t>
        </is>
      </c>
      <c r="B417" s="1" t="n">
        <v>45510.41123842593</v>
      </c>
      <c r="C417" s="1" t="n">
        <v>45994</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31581-2023</t>
        </is>
      </c>
      <c r="B418" s="1" t="n">
        <v>45117.45165509259</v>
      </c>
      <c r="C418" s="1" t="n">
        <v>45994</v>
      </c>
      <c r="D418" t="inlineStr">
        <is>
          <t>SKÅNE LÄN</t>
        </is>
      </c>
      <c r="E418" t="inlineStr">
        <is>
          <t>HÄSSLEHOLM</t>
        </is>
      </c>
      <c r="G418" t="n">
        <v>1.7</v>
      </c>
      <c r="H418" t="n">
        <v>0</v>
      </c>
      <c r="I418" t="n">
        <v>0</v>
      </c>
      <c r="J418" t="n">
        <v>0</v>
      </c>
      <c r="K418" t="n">
        <v>0</v>
      </c>
      <c r="L418" t="n">
        <v>0</v>
      </c>
      <c r="M418" t="n">
        <v>0</v>
      </c>
      <c r="N418" t="n">
        <v>0</v>
      </c>
      <c r="O418" t="n">
        <v>0</v>
      </c>
      <c r="P418" t="n">
        <v>0</v>
      </c>
      <c r="Q418" t="n">
        <v>0</v>
      </c>
      <c r="R418" s="2" t="inlineStr"/>
    </row>
    <row r="419" ht="15" customHeight="1">
      <c r="A419" t="inlineStr">
        <is>
          <t>A 9611-2025</t>
        </is>
      </c>
      <c r="B419" s="1" t="n">
        <v>45715</v>
      </c>
      <c r="C419" s="1" t="n">
        <v>45994</v>
      </c>
      <c r="D419" t="inlineStr">
        <is>
          <t>SKÅNE LÄN</t>
        </is>
      </c>
      <c r="E419" t="inlineStr">
        <is>
          <t>HÄSSLEHOLM</t>
        </is>
      </c>
      <c r="G419" t="n">
        <v>2.1</v>
      </c>
      <c r="H419" t="n">
        <v>0</v>
      </c>
      <c r="I419" t="n">
        <v>0</v>
      </c>
      <c r="J419" t="n">
        <v>0</v>
      </c>
      <c r="K419" t="n">
        <v>0</v>
      </c>
      <c r="L419" t="n">
        <v>0</v>
      </c>
      <c r="M419" t="n">
        <v>0</v>
      </c>
      <c r="N419" t="n">
        <v>0</v>
      </c>
      <c r="O419" t="n">
        <v>0</v>
      </c>
      <c r="P419" t="n">
        <v>0</v>
      </c>
      <c r="Q419" t="n">
        <v>0</v>
      </c>
      <c r="R419" s="2" t="inlineStr"/>
    </row>
    <row r="420" ht="15" customHeight="1">
      <c r="A420" t="inlineStr">
        <is>
          <t>A 24906-2022</t>
        </is>
      </c>
      <c r="B420" s="1" t="n">
        <v>44728</v>
      </c>
      <c r="C420" s="1" t="n">
        <v>45994</v>
      </c>
      <c r="D420" t="inlineStr">
        <is>
          <t>SKÅNE LÄN</t>
        </is>
      </c>
      <c r="E420" t="inlineStr">
        <is>
          <t>HÄSSLEHOLM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3890-2024</t>
        </is>
      </c>
      <c r="B421" s="1" t="n">
        <v>45322.45366898148</v>
      </c>
      <c r="C421" s="1" t="n">
        <v>45994</v>
      </c>
      <c r="D421" t="inlineStr">
        <is>
          <t>SKÅNE LÄN</t>
        </is>
      </c>
      <c r="E421" t="inlineStr">
        <is>
          <t>HÄSSLEHOLM</t>
        </is>
      </c>
      <c r="G421" t="n">
        <v>3</v>
      </c>
      <c r="H421" t="n">
        <v>0</v>
      </c>
      <c r="I421" t="n">
        <v>0</v>
      </c>
      <c r="J421" t="n">
        <v>0</v>
      </c>
      <c r="K421" t="n">
        <v>0</v>
      </c>
      <c r="L421" t="n">
        <v>0</v>
      </c>
      <c r="M421" t="n">
        <v>0</v>
      </c>
      <c r="N421" t="n">
        <v>0</v>
      </c>
      <c r="O421" t="n">
        <v>0</v>
      </c>
      <c r="P421" t="n">
        <v>0</v>
      </c>
      <c r="Q421" t="n">
        <v>0</v>
      </c>
      <c r="R421" s="2" t="inlineStr"/>
    </row>
    <row r="422" ht="15" customHeight="1">
      <c r="A422" t="inlineStr">
        <is>
          <t>A 15800-2025</t>
        </is>
      </c>
      <c r="B422" s="1" t="n">
        <v>45748.64831018518</v>
      </c>
      <c r="C422" s="1" t="n">
        <v>45994</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55303-2024</t>
        </is>
      </c>
      <c r="B423" s="1" t="n">
        <v>45621.6434837963</v>
      </c>
      <c r="C423" s="1" t="n">
        <v>45994</v>
      </c>
      <c r="D423" t="inlineStr">
        <is>
          <t>SKÅNE LÄN</t>
        </is>
      </c>
      <c r="E423" t="inlineStr">
        <is>
          <t>HÄSSLEHOLM</t>
        </is>
      </c>
      <c r="G423" t="n">
        <v>3.3</v>
      </c>
      <c r="H423" t="n">
        <v>0</v>
      </c>
      <c r="I423" t="n">
        <v>0</v>
      </c>
      <c r="J423" t="n">
        <v>0</v>
      </c>
      <c r="K423" t="n">
        <v>0</v>
      </c>
      <c r="L423" t="n">
        <v>0</v>
      </c>
      <c r="M423" t="n">
        <v>0</v>
      </c>
      <c r="N423" t="n">
        <v>0</v>
      </c>
      <c r="O423" t="n">
        <v>0</v>
      </c>
      <c r="P423" t="n">
        <v>0</v>
      </c>
      <c r="Q423" t="n">
        <v>0</v>
      </c>
      <c r="R423" s="2" t="inlineStr"/>
    </row>
    <row r="424" ht="15" customHeight="1">
      <c r="A424" t="inlineStr">
        <is>
          <t>A 12338-2024</t>
        </is>
      </c>
      <c r="B424" s="1" t="n">
        <v>45378.72869212963</v>
      </c>
      <c r="C424" s="1" t="n">
        <v>45994</v>
      </c>
      <c r="D424" t="inlineStr">
        <is>
          <t>SKÅNE LÄN</t>
        </is>
      </c>
      <c r="E424" t="inlineStr">
        <is>
          <t>HÄSSLEHOLM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40202-2022</t>
        </is>
      </c>
      <c r="B425" s="1" t="n">
        <v>44820.60614583334</v>
      </c>
      <c r="C425" s="1" t="n">
        <v>45994</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29994-2023</t>
        </is>
      </c>
      <c r="B426" s="1" t="n">
        <v>45109.60038194444</v>
      </c>
      <c r="C426" s="1" t="n">
        <v>45994</v>
      </c>
      <c r="D426" t="inlineStr">
        <is>
          <t>SKÅNE LÄN</t>
        </is>
      </c>
      <c r="E426" t="inlineStr">
        <is>
          <t>HÄSSLEHOLM</t>
        </is>
      </c>
      <c r="G426" t="n">
        <v>2.8</v>
      </c>
      <c r="H426" t="n">
        <v>0</v>
      </c>
      <c r="I426" t="n">
        <v>0</v>
      </c>
      <c r="J426" t="n">
        <v>0</v>
      </c>
      <c r="K426" t="n">
        <v>0</v>
      </c>
      <c r="L426" t="n">
        <v>0</v>
      </c>
      <c r="M426" t="n">
        <v>0</v>
      </c>
      <c r="N426" t="n">
        <v>0</v>
      </c>
      <c r="O426" t="n">
        <v>0</v>
      </c>
      <c r="P426" t="n">
        <v>0</v>
      </c>
      <c r="Q426" t="n">
        <v>0</v>
      </c>
      <c r="R426" s="2" t="inlineStr"/>
    </row>
    <row r="427" ht="15" customHeight="1">
      <c r="A427" t="inlineStr">
        <is>
          <t>A 13897-2024</t>
        </is>
      </c>
      <c r="B427" s="1" t="n">
        <v>45391</v>
      </c>
      <c r="C427" s="1" t="n">
        <v>45994</v>
      </c>
      <c r="D427" t="inlineStr">
        <is>
          <t>SKÅNE LÄN</t>
        </is>
      </c>
      <c r="E427" t="inlineStr">
        <is>
          <t>HÄSSLEHOLM</t>
        </is>
      </c>
      <c r="F427" t="inlineStr">
        <is>
          <t>Kommuner</t>
        </is>
      </c>
      <c r="G427" t="n">
        <v>4</v>
      </c>
      <c r="H427" t="n">
        <v>0</v>
      </c>
      <c r="I427" t="n">
        <v>0</v>
      </c>
      <c r="J427" t="n">
        <v>0</v>
      </c>
      <c r="K427" t="n">
        <v>0</v>
      </c>
      <c r="L427" t="n">
        <v>0</v>
      </c>
      <c r="M427" t="n">
        <v>0</v>
      </c>
      <c r="N427" t="n">
        <v>0</v>
      </c>
      <c r="O427" t="n">
        <v>0</v>
      </c>
      <c r="P427" t="n">
        <v>0</v>
      </c>
      <c r="Q427" t="n">
        <v>0</v>
      </c>
      <c r="R427" s="2" t="inlineStr"/>
    </row>
    <row r="428" ht="15" customHeight="1">
      <c r="A428" t="inlineStr">
        <is>
          <t>A 4382-2023</t>
        </is>
      </c>
      <c r="B428" s="1" t="n">
        <v>44955.61152777778</v>
      </c>
      <c r="C428" s="1" t="n">
        <v>45994</v>
      </c>
      <c r="D428" t="inlineStr">
        <is>
          <t>SKÅNE LÄN</t>
        </is>
      </c>
      <c r="E428" t="inlineStr">
        <is>
          <t>HÄSSLEHOLM</t>
        </is>
      </c>
      <c r="G428" t="n">
        <v>0.3</v>
      </c>
      <c r="H428" t="n">
        <v>0</v>
      </c>
      <c r="I428" t="n">
        <v>0</v>
      </c>
      <c r="J428" t="n">
        <v>0</v>
      </c>
      <c r="K428" t="n">
        <v>0</v>
      </c>
      <c r="L428" t="n">
        <v>0</v>
      </c>
      <c r="M428" t="n">
        <v>0</v>
      </c>
      <c r="N428" t="n">
        <v>0</v>
      </c>
      <c r="O428" t="n">
        <v>0</v>
      </c>
      <c r="P428" t="n">
        <v>0</v>
      </c>
      <c r="Q428" t="n">
        <v>0</v>
      </c>
      <c r="R428" s="2" t="inlineStr"/>
    </row>
    <row r="429" ht="15" customHeight="1">
      <c r="A429" t="inlineStr">
        <is>
          <t>A 15055-2023</t>
        </is>
      </c>
      <c r="B429" s="1" t="n">
        <v>45015</v>
      </c>
      <c r="C429" s="1" t="n">
        <v>45994</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56355-2023</t>
        </is>
      </c>
      <c r="B430" s="1" t="n">
        <v>45243.3702662037</v>
      </c>
      <c r="C430" s="1" t="n">
        <v>45994</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34187-2023</t>
        </is>
      </c>
      <c r="B431" s="1" t="n">
        <v>45138</v>
      </c>
      <c r="C431" s="1" t="n">
        <v>45994</v>
      </c>
      <c r="D431" t="inlineStr">
        <is>
          <t>SKÅNE LÄN</t>
        </is>
      </c>
      <c r="E431" t="inlineStr">
        <is>
          <t>HÄSSLEHOLM</t>
        </is>
      </c>
      <c r="G431" t="n">
        <v>0.4</v>
      </c>
      <c r="H431" t="n">
        <v>0</v>
      </c>
      <c r="I431" t="n">
        <v>0</v>
      </c>
      <c r="J431" t="n">
        <v>0</v>
      </c>
      <c r="K431" t="n">
        <v>0</v>
      </c>
      <c r="L431" t="n">
        <v>0</v>
      </c>
      <c r="M431" t="n">
        <v>0</v>
      </c>
      <c r="N431" t="n">
        <v>0</v>
      </c>
      <c r="O431" t="n">
        <v>0</v>
      </c>
      <c r="P431" t="n">
        <v>0</v>
      </c>
      <c r="Q431" t="n">
        <v>0</v>
      </c>
      <c r="R431" s="2" t="inlineStr"/>
    </row>
    <row r="432" ht="15" customHeight="1">
      <c r="A432" t="inlineStr">
        <is>
          <t>A 52608-2023</t>
        </is>
      </c>
      <c r="B432" s="1" t="n">
        <v>45219</v>
      </c>
      <c r="C432" s="1" t="n">
        <v>45994</v>
      </c>
      <c r="D432" t="inlineStr">
        <is>
          <t>SKÅNE LÄN</t>
        </is>
      </c>
      <c r="E432" t="inlineStr">
        <is>
          <t>HÄSSLEHOLM</t>
        </is>
      </c>
      <c r="F432" t="inlineStr">
        <is>
          <t>Övriga Aktiebolag</t>
        </is>
      </c>
      <c r="G432" t="n">
        <v>2.1</v>
      </c>
      <c r="H432" t="n">
        <v>0</v>
      </c>
      <c r="I432" t="n">
        <v>0</v>
      </c>
      <c r="J432" t="n">
        <v>0</v>
      </c>
      <c r="K432" t="n">
        <v>0</v>
      </c>
      <c r="L432" t="n">
        <v>0</v>
      </c>
      <c r="M432" t="n">
        <v>0</v>
      </c>
      <c r="N432" t="n">
        <v>0</v>
      </c>
      <c r="O432" t="n">
        <v>0</v>
      </c>
      <c r="P432" t="n">
        <v>0</v>
      </c>
      <c r="Q432" t="n">
        <v>0</v>
      </c>
      <c r="R432" s="2" t="inlineStr"/>
    </row>
    <row r="433" ht="15" customHeight="1">
      <c r="A433" t="inlineStr">
        <is>
          <t>A 59246-2024</t>
        </is>
      </c>
      <c r="B433" s="1" t="n">
        <v>45636</v>
      </c>
      <c r="C433" s="1" t="n">
        <v>45994</v>
      </c>
      <c r="D433" t="inlineStr">
        <is>
          <t>SKÅNE LÄN</t>
        </is>
      </c>
      <c r="E433" t="inlineStr">
        <is>
          <t>HÄSSLEHOLM</t>
        </is>
      </c>
      <c r="G433" t="n">
        <v>2.6</v>
      </c>
      <c r="H433" t="n">
        <v>0</v>
      </c>
      <c r="I433" t="n">
        <v>0</v>
      </c>
      <c r="J433" t="n">
        <v>0</v>
      </c>
      <c r="K433" t="n">
        <v>0</v>
      </c>
      <c r="L433" t="n">
        <v>0</v>
      </c>
      <c r="M433" t="n">
        <v>0</v>
      </c>
      <c r="N433" t="n">
        <v>0</v>
      </c>
      <c r="O433" t="n">
        <v>0</v>
      </c>
      <c r="P433" t="n">
        <v>0</v>
      </c>
      <c r="Q433" t="n">
        <v>0</v>
      </c>
      <c r="R433" s="2" t="inlineStr"/>
    </row>
    <row r="434" ht="15" customHeight="1">
      <c r="A434" t="inlineStr">
        <is>
          <t>A 20800-2023</t>
        </is>
      </c>
      <c r="B434" s="1" t="n">
        <v>45058.61640046296</v>
      </c>
      <c r="C434" s="1" t="n">
        <v>45994</v>
      </c>
      <c r="D434" t="inlineStr">
        <is>
          <t>SKÅNE LÄN</t>
        </is>
      </c>
      <c r="E434" t="inlineStr">
        <is>
          <t>HÄSSLEHOLM</t>
        </is>
      </c>
      <c r="G434" t="n">
        <v>0.4</v>
      </c>
      <c r="H434" t="n">
        <v>0</v>
      </c>
      <c r="I434" t="n">
        <v>0</v>
      </c>
      <c r="J434" t="n">
        <v>0</v>
      </c>
      <c r="K434" t="n">
        <v>0</v>
      </c>
      <c r="L434" t="n">
        <v>0</v>
      </c>
      <c r="M434" t="n">
        <v>0</v>
      </c>
      <c r="N434" t="n">
        <v>0</v>
      </c>
      <c r="O434" t="n">
        <v>0</v>
      </c>
      <c r="P434" t="n">
        <v>0</v>
      </c>
      <c r="Q434" t="n">
        <v>0</v>
      </c>
      <c r="R434" s="2" t="inlineStr"/>
    </row>
    <row r="435" ht="15" customHeight="1">
      <c r="A435" t="inlineStr">
        <is>
          <t>A 31255-2024</t>
        </is>
      </c>
      <c r="B435" s="1" t="n">
        <v>45503.69114583333</v>
      </c>
      <c r="C435" s="1" t="n">
        <v>45994</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11019-2025</t>
        </is>
      </c>
      <c r="B436" s="1" t="n">
        <v>45723</v>
      </c>
      <c r="C436" s="1" t="n">
        <v>45994</v>
      </c>
      <c r="D436" t="inlineStr">
        <is>
          <t>SKÅNE LÄN</t>
        </is>
      </c>
      <c r="E436" t="inlineStr">
        <is>
          <t>HÄSSLEHOLM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44697-2021</t>
        </is>
      </c>
      <c r="B437" s="1" t="n">
        <v>44438</v>
      </c>
      <c r="C437" s="1" t="n">
        <v>45994</v>
      </c>
      <c r="D437" t="inlineStr">
        <is>
          <t>SKÅNE LÄN</t>
        </is>
      </c>
      <c r="E437" t="inlineStr">
        <is>
          <t>HÄSSLEHOLM</t>
        </is>
      </c>
      <c r="G437" t="n">
        <v>4.8</v>
      </c>
      <c r="H437" t="n">
        <v>0</v>
      </c>
      <c r="I437" t="n">
        <v>0</v>
      </c>
      <c r="J437" t="n">
        <v>0</v>
      </c>
      <c r="K437" t="n">
        <v>0</v>
      </c>
      <c r="L437" t="n">
        <v>0</v>
      </c>
      <c r="M437" t="n">
        <v>0</v>
      </c>
      <c r="N437" t="n">
        <v>0</v>
      </c>
      <c r="O437" t="n">
        <v>0</v>
      </c>
      <c r="P437" t="n">
        <v>0</v>
      </c>
      <c r="Q437" t="n">
        <v>0</v>
      </c>
      <c r="R437" s="2" t="inlineStr"/>
    </row>
    <row r="438" ht="15" customHeight="1">
      <c r="A438" t="inlineStr">
        <is>
          <t>A 27954-2022</t>
        </is>
      </c>
      <c r="B438" s="1" t="n">
        <v>44743</v>
      </c>
      <c r="C438" s="1" t="n">
        <v>45994</v>
      </c>
      <c r="D438" t="inlineStr">
        <is>
          <t>SKÅNE LÄN</t>
        </is>
      </c>
      <c r="E438" t="inlineStr">
        <is>
          <t>HÄSSLEHOLM</t>
        </is>
      </c>
      <c r="G438" t="n">
        <v>9.4</v>
      </c>
      <c r="H438" t="n">
        <v>0</v>
      </c>
      <c r="I438" t="n">
        <v>0</v>
      </c>
      <c r="J438" t="n">
        <v>0</v>
      </c>
      <c r="K438" t="n">
        <v>0</v>
      </c>
      <c r="L438" t="n">
        <v>0</v>
      </c>
      <c r="M438" t="n">
        <v>0</v>
      </c>
      <c r="N438" t="n">
        <v>0</v>
      </c>
      <c r="O438" t="n">
        <v>0</v>
      </c>
      <c r="P438" t="n">
        <v>0</v>
      </c>
      <c r="Q438" t="n">
        <v>0</v>
      </c>
      <c r="R438" s="2" t="inlineStr"/>
    </row>
    <row r="439" ht="15" customHeight="1">
      <c r="A439" t="inlineStr">
        <is>
          <t>A 20493-2024</t>
        </is>
      </c>
      <c r="B439" s="1" t="n">
        <v>45435</v>
      </c>
      <c r="C439" s="1" t="n">
        <v>45994</v>
      </c>
      <c r="D439" t="inlineStr">
        <is>
          <t>SKÅNE LÄN</t>
        </is>
      </c>
      <c r="E439" t="inlineStr">
        <is>
          <t>HÄSSLEHOLM</t>
        </is>
      </c>
      <c r="G439" t="n">
        <v>1.2</v>
      </c>
      <c r="H439" t="n">
        <v>0</v>
      </c>
      <c r="I439" t="n">
        <v>0</v>
      </c>
      <c r="J439" t="n">
        <v>0</v>
      </c>
      <c r="K439" t="n">
        <v>0</v>
      </c>
      <c r="L439" t="n">
        <v>0</v>
      </c>
      <c r="M439" t="n">
        <v>0</v>
      </c>
      <c r="N439" t="n">
        <v>0</v>
      </c>
      <c r="O439" t="n">
        <v>0</v>
      </c>
      <c r="P439" t="n">
        <v>0</v>
      </c>
      <c r="Q439" t="n">
        <v>0</v>
      </c>
      <c r="R439" s="2" t="inlineStr"/>
    </row>
    <row r="440" ht="15" customHeight="1">
      <c r="A440" t="inlineStr">
        <is>
          <t>A 8433-2024</t>
        </is>
      </c>
      <c r="B440" s="1" t="n">
        <v>45353.48434027778</v>
      </c>
      <c r="C440" s="1" t="n">
        <v>45994</v>
      </c>
      <c r="D440" t="inlineStr">
        <is>
          <t>SKÅNE LÄN</t>
        </is>
      </c>
      <c r="E440" t="inlineStr">
        <is>
          <t>HÄSSLEHOLM</t>
        </is>
      </c>
      <c r="G440" t="n">
        <v>1.9</v>
      </c>
      <c r="H440" t="n">
        <v>0</v>
      </c>
      <c r="I440" t="n">
        <v>0</v>
      </c>
      <c r="J440" t="n">
        <v>0</v>
      </c>
      <c r="K440" t="n">
        <v>0</v>
      </c>
      <c r="L440" t="n">
        <v>0</v>
      </c>
      <c r="M440" t="n">
        <v>0</v>
      </c>
      <c r="N440" t="n">
        <v>0</v>
      </c>
      <c r="O440" t="n">
        <v>0</v>
      </c>
      <c r="P440" t="n">
        <v>0</v>
      </c>
      <c r="Q440" t="n">
        <v>0</v>
      </c>
      <c r="R440" s="2" t="inlineStr"/>
    </row>
    <row r="441" ht="15" customHeight="1">
      <c r="A441" t="inlineStr">
        <is>
          <t>A 48807-2021</t>
        </is>
      </c>
      <c r="B441" s="1" t="n">
        <v>44452</v>
      </c>
      <c r="C441" s="1" t="n">
        <v>45994</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28457-2024</t>
        </is>
      </c>
      <c r="B442" s="1" t="n">
        <v>45477.68884259259</v>
      </c>
      <c r="C442" s="1" t="n">
        <v>45994</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11681-2023</t>
        </is>
      </c>
      <c r="B443" s="1" t="n">
        <v>44992</v>
      </c>
      <c r="C443" s="1" t="n">
        <v>45994</v>
      </c>
      <c r="D443" t="inlineStr">
        <is>
          <t>SKÅNE LÄN</t>
        </is>
      </c>
      <c r="E443" t="inlineStr">
        <is>
          <t>HÄSSLEHOLM</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33927-2021</t>
        </is>
      </c>
      <c r="B444" s="1" t="n">
        <v>44378</v>
      </c>
      <c r="C444" s="1" t="n">
        <v>45994</v>
      </c>
      <c r="D444" t="inlineStr">
        <is>
          <t>SKÅNE LÄN</t>
        </is>
      </c>
      <c r="E444" t="inlineStr">
        <is>
          <t>HÄSSLEHOLM</t>
        </is>
      </c>
      <c r="G444" t="n">
        <v>16.7</v>
      </c>
      <c r="H444" t="n">
        <v>0</v>
      </c>
      <c r="I444" t="n">
        <v>0</v>
      </c>
      <c r="J444" t="n">
        <v>0</v>
      </c>
      <c r="K444" t="n">
        <v>0</v>
      </c>
      <c r="L444" t="n">
        <v>0</v>
      </c>
      <c r="M444" t="n">
        <v>0</v>
      </c>
      <c r="N444" t="n">
        <v>0</v>
      </c>
      <c r="O444" t="n">
        <v>0</v>
      </c>
      <c r="P444" t="n">
        <v>0</v>
      </c>
      <c r="Q444" t="n">
        <v>0</v>
      </c>
      <c r="R444" s="2" t="inlineStr"/>
    </row>
    <row r="445" ht="15" customHeight="1">
      <c r="A445" t="inlineStr">
        <is>
          <t>A 7305-2025</t>
        </is>
      </c>
      <c r="B445" s="1" t="n">
        <v>45702</v>
      </c>
      <c r="C445" s="1" t="n">
        <v>45994</v>
      </c>
      <c r="D445" t="inlineStr">
        <is>
          <t>SKÅNE LÄN</t>
        </is>
      </c>
      <c r="E445" t="inlineStr">
        <is>
          <t>HÄSSLEHOLM</t>
        </is>
      </c>
      <c r="F445" t="inlineStr">
        <is>
          <t>Övriga Aktiebolag</t>
        </is>
      </c>
      <c r="G445" t="n">
        <v>2.2</v>
      </c>
      <c r="H445" t="n">
        <v>0</v>
      </c>
      <c r="I445" t="n">
        <v>0</v>
      </c>
      <c r="J445" t="n">
        <v>0</v>
      </c>
      <c r="K445" t="n">
        <v>0</v>
      </c>
      <c r="L445" t="n">
        <v>0</v>
      </c>
      <c r="M445" t="n">
        <v>0</v>
      </c>
      <c r="N445" t="n">
        <v>0</v>
      </c>
      <c r="O445" t="n">
        <v>0</v>
      </c>
      <c r="P445" t="n">
        <v>0</v>
      </c>
      <c r="Q445" t="n">
        <v>0</v>
      </c>
      <c r="R445" s="2" t="inlineStr"/>
    </row>
    <row r="446" ht="15" customHeight="1">
      <c r="A446" t="inlineStr">
        <is>
          <t>A 41873-2023</t>
        </is>
      </c>
      <c r="B446" s="1" t="n">
        <v>45176</v>
      </c>
      <c r="C446" s="1" t="n">
        <v>45994</v>
      </c>
      <c r="D446" t="inlineStr">
        <is>
          <t>SKÅNE LÄN</t>
        </is>
      </c>
      <c r="E446" t="inlineStr">
        <is>
          <t>HÄSSLEHOLM</t>
        </is>
      </c>
      <c r="G446" t="n">
        <v>2.8</v>
      </c>
      <c r="H446" t="n">
        <v>0</v>
      </c>
      <c r="I446" t="n">
        <v>0</v>
      </c>
      <c r="J446" t="n">
        <v>0</v>
      </c>
      <c r="K446" t="n">
        <v>0</v>
      </c>
      <c r="L446" t="n">
        <v>0</v>
      </c>
      <c r="M446" t="n">
        <v>0</v>
      </c>
      <c r="N446" t="n">
        <v>0</v>
      </c>
      <c r="O446" t="n">
        <v>0</v>
      </c>
      <c r="P446" t="n">
        <v>0</v>
      </c>
      <c r="Q446" t="n">
        <v>0</v>
      </c>
      <c r="R446" s="2" t="inlineStr"/>
    </row>
    <row r="447" ht="15" customHeight="1">
      <c r="A447" t="inlineStr">
        <is>
          <t>A 41998-2021</t>
        </is>
      </c>
      <c r="B447" s="1" t="n">
        <v>44425</v>
      </c>
      <c r="C447" s="1" t="n">
        <v>45994</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35712-2024</t>
        </is>
      </c>
      <c r="B448" s="1" t="n">
        <v>45532</v>
      </c>
      <c r="C448" s="1" t="n">
        <v>45994</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61691-2021</t>
        </is>
      </c>
      <c r="B449" s="1" t="n">
        <v>44501</v>
      </c>
      <c r="C449" s="1" t="n">
        <v>45994</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5116-2023</t>
        </is>
      </c>
      <c r="B450" s="1" t="n">
        <v>44958.67546296296</v>
      </c>
      <c r="C450" s="1" t="n">
        <v>45994</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13309-2025</t>
        </is>
      </c>
      <c r="B451" s="1" t="n">
        <v>45735.58512731481</v>
      </c>
      <c r="C451" s="1" t="n">
        <v>45994</v>
      </c>
      <c r="D451" t="inlineStr">
        <is>
          <t>SKÅNE LÄN</t>
        </is>
      </c>
      <c r="E451" t="inlineStr">
        <is>
          <t>HÄSSLEHOLM</t>
        </is>
      </c>
      <c r="G451" t="n">
        <v>1.2</v>
      </c>
      <c r="H451" t="n">
        <v>0</v>
      </c>
      <c r="I451" t="n">
        <v>0</v>
      </c>
      <c r="J451" t="n">
        <v>0</v>
      </c>
      <c r="K451" t="n">
        <v>0</v>
      </c>
      <c r="L451" t="n">
        <v>0</v>
      </c>
      <c r="M451" t="n">
        <v>0</v>
      </c>
      <c r="N451" t="n">
        <v>0</v>
      </c>
      <c r="O451" t="n">
        <v>0</v>
      </c>
      <c r="P451" t="n">
        <v>0</v>
      </c>
      <c r="Q451" t="n">
        <v>0</v>
      </c>
      <c r="R451" s="2" t="inlineStr"/>
    </row>
    <row r="452" ht="15" customHeight="1">
      <c r="A452" t="inlineStr">
        <is>
          <t>A 51752-2023</t>
        </is>
      </c>
      <c r="B452" s="1" t="n">
        <v>45222</v>
      </c>
      <c r="C452" s="1" t="n">
        <v>45994</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42364-2023</t>
        </is>
      </c>
      <c r="B453" s="1" t="n">
        <v>45180.54754629629</v>
      </c>
      <c r="C453" s="1" t="n">
        <v>45994</v>
      </c>
      <c r="D453" t="inlineStr">
        <is>
          <t>SKÅNE LÄN</t>
        </is>
      </c>
      <c r="E453" t="inlineStr">
        <is>
          <t>HÄSSLEHOLM</t>
        </is>
      </c>
      <c r="G453" t="n">
        <v>1.1</v>
      </c>
      <c r="H453" t="n">
        <v>0</v>
      </c>
      <c r="I453" t="n">
        <v>0</v>
      </c>
      <c r="J453" t="n">
        <v>0</v>
      </c>
      <c r="K453" t="n">
        <v>0</v>
      </c>
      <c r="L453" t="n">
        <v>0</v>
      </c>
      <c r="M453" t="n">
        <v>0</v>
      </c>
      <c r="N453" t="n">
        <v>0</v>
      </c>
      <c r="O453" t="n">
        <v>0</v>
      </c>
      <c r="P453" t="n">
        <v>0</v>
      </c>
      <c r="Q453" t="n">
        <v>0</v>
      </c>
      <c r="R453" s="2" t="inlineStr"/>
    </row>
    <row r="454" ht="15" customHeight="1">
      <c r="A454" t="inlineStr">
        <is>
          <t>A 32834-2024</t>
        </is>
      </c>
      <c r="B454" s="1" t="n">
        <v>45516.6025</v>
      </c>
      <c r="C454" s="1" t="n">
        <v>45994</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54408-2024</t>
        </is>
      </c>
      <c r="B455" s="1" t="n">
        <v>45617.47263888889</v>
      </c>
      <c r="C455" s="1" t="n">
        <v>45994</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57647-2024</t>
        </is>
      </c>
      <c r="B456" s="1" t="n">
        <v>45630</v>
      </c>
      <c r="C456" s="1" t="n">
        <v>45994</v>
      </c>
      <c r="D456" t="inlineStr">
        <is>
          <t>SKÅNE LÄN</t>
        </is>
      </c>
      <c r="E456" t="inlineStr">
        <is>
          <t>HÄSSLEHOLM</t>
        </is>
      </c>
      <c r="G456" t="n">
        <v>2.9</v>
      </c>
      <c r="H456" t="n">
        <v>0</v>
      </c>
      <c r="I456" t="n">
        <v>0</v>
      </c>
      <c r="J456" t="n">
        <v>0</v>
      </c>
      <c r="K456" t="n">
        <v>0</v>
      </c>
      <c r="L456" t="n">
        <v>0</v>
      </c>
      <c r="M456" t="n">
        <v>0</v>
      </c>
      <c r="N456" t="n">
        <v>0</v>
      </c>
      <c r="O456" t="n">
        <v>0</v>
      </c>
      <c r="P456" t="n">
        <v>0</v>
      </c>
      <c r="Q456" t="n">
        <v>0</v>
      </c>
      <c r="R456" s="2" t="inlineStr"/>
    </row>
    <row r="457" ht="15" customHeight="1">
      <c r="A457" t="inlineStr">
        <is>
          <t>A 9397-2025</t>
        </is>
      </c>
      <c r="B457" s="1" t="n">
        <v>45715.37361111111</v>
      </c>
      <c r="C457" s="1" t="n">
        <v>45994</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59109-2023</t>
        </is>
      </c>
      <c r="B458" s="1" t="n">
        <v>45253.30819444444</v>
      </c>
      <c r="C458" s="1" t="n">
        <v>45994</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49384-2021</t>
        </is>
      </c>
      <c r="B459" s="1" t="n">
        <v>44454</v>
      </c>
      <c r="C459" s="1" t="n">
        <v>45994</v>
      </c>
      <c r="D459" t="inlineStr">
        <is>
          <t>SKÅNE LÄN</t>
        </is>
      </c>
      <c r="E459" t="inlineStr">
        <is>
          <t>HÄSSLEHOLM</t>
        </is>
      </c>
      <c r="G459" t="n">
        <v>2.6</v>
      </c>
      <c r="H459" t="n">
        <v>0</v>
      </c>
      <c r="I459" t="n">
        <v>0</v>
      </c>
      <c r="J459" t="n">
        <v>0</v>
      </c>
      <c r="K459" t="n">
        <v>0</v>
      </c>
      <c r="L459" t="n">
        <v>0</v>
      </c>
      <c r="M459" t="n">
        <v>0</v>
      </c>
      <c r="N459" t="n">
        <v>0</v>
      </c>
      <c r="O459" t="n">
        <v>0</v>
      </c>
      <c r="P459" t="n">
        <v>0</v>
      </c>
      <c r="Q459" t="n">
        <v>0</v>
      </c>
      <c r="R459" s="2" t="inlineStr"/>
    </row>
    <row r="460" ht="15" customHeight="1">
      <c r="A460" t="inlineStr">
        <is>
          <t>A 20564-2023</t>
        </is>
      </c>
      <c r="B460" s="1" t="n">
        <v>45057</v>
      </c>
      <c r="C460" s="1" t="n">
        <v>45994</v>
      </c>
      <c r="D460" t="inlineStr">
        <is>
          <t>SKÅNE LÄN</t>
        </is>
      </c>
      <c r="E460" t="inlineStr">
        <is>
          <t>HÄSSLEHOLM</t>
        </is>
      </c>
      <c r="G460" t="n">
        <v>2.6</v>
      </c>
      <c r="H460" t="n">
        <v>0</v>
      </c>
      <c r="I460" t="n">
        <v>0</v>
      </c>
      <c r="J460" t="n">
        <v>0</v>
      </c>
      <c r="K460" t="n">
        <v>0</v>
      </c>
      <c r="L460" t="n">
        <v>0</v>
      </c>
      <c r="M460" t="n">
        <v>0</v>
      </c>
      <c r="N460" t="n">
        <v>0</v>
      </c>
      <c r="O460" t="n">
        <v>0</v>
      </c>
      <c r="P460" t="n">
        <v>0</v>
      </c>
      <c r="Q460" t="n">
        <v>0</v>
      </c>
      <c r="R460" s="2" t="inlineStr"/>
    </row>
    <row r="461" ht="15" customHeight="1">
      <c r="A461" t="inlineStr">
        <is>
          <t>A 54462-2022</t>
        </is>
      </c>
      <c r="B461" s="1" t="n">
        <v>44882</v>
      </c>
      <c r="C461" s="1" t="n">
        <v>45994</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25611-2024</t>
        </is>
      </c>
      <c r="B462" s="1" t="n">
        <v>45463</v>
      </c>
      <c r="C462" s="1" t="n">
        <v>45994</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46641-2023</t>
        </is>
      </c>
      <c r="B463" s="1" t="n">
        <v>45198.44523148148</v>
      </c>
      <c r="C463" s="1" t="n">
        <v>45994</v>
      </c>
      <c r="D463" t="inlineStr">
        <is>
          <t>SKÅNE LÄN</t>
        </is>
      </c>
      <c r="E463" t="inlineStr">
        <is>
          <t>HÄSSLEHOLM</t>
        </is>
      </c>
      <c r="G463" t="n">
        <v>1.2</v>
      </c>
      <c r="H463" t="n">
        <v>0</v>
      </c>
      <c r="I463" t="n">
        <v>0</v>
      </c>
      <c r="J463" t="n">
        <v>0</v>
      </c>
      <c r="K463" t="n">
        <v>0</v>
      </c>
      <c r="L463" t="n">
        <v>0</v>
      </c>
      <c r="M463" t="n">
        <v>0</v>
      </c>
      <c r="N463" t="n">
        <v>0</v>
      </c>
      <c r="O463" t="n">
        <v>0</v>
      </c>
      <c r="P463" t="n">
        <v>0</v>
      </c>
      <c r="Q463" t="n">
        <v>0</v>
      </c>
      <c r="R463" s="2" t="inlineStr"/>
    </row>
    <row r="464" ht="15" customHeight="1">
      <c r="A464" t="inlineStr">
        <is>
          <t>A 8239-2025</t>
        </is>
      </c>
      <c r="B464" s="1" t="n">
        <v>45708.47984953703</v>
      </c>
      <c r="C464" s="1" t="n">
        <v>45994</v>
      </c>
      <c r="D464" t="inlineStr">
        <is>
          <t>SKÅNE LÄN</t>
        </is>
      </c>
      <c r="E464" t="inlineStr">
        <is>
          <t>HÄSSLEHOLM</t>
        </is>
      </c>
      <c r="G464" t="n">
        <v>2.7</v>
      </c>
      <c r="H464" t="n">
        <v>0</v>
      </c>
      <c r="I464" t="n">
        <v>0</v>
      </c>
      <c r="J464" t="n">
        <v>0</v>
      </c>
      <c r="K464" t="n">
        <v>0</v>
      </c>
      <c r="L464" t="n">
        <v>0</v>
      </c>
      <c r="M464" t="n">
        <v>0</v>
      </c>
      <c r="N464" t="n">
        <v>0</v>
      </c>
      <c r="O464" t="n">
        <v>0</v>
      </c>
      <c r="P464" t="n">
        <v>0</v>
      </c>
      <c r="Q464" t="n">
        <v>0</v>
      </c>
      <c r="R464" s="2" t="inlineStr"/>
    </row>
    <row r="465" ht="15" customHeight="1">
      <c r="A465" t="inlineStr">
        <is>
          <t>A 46645-2023</t>
        </is>
      </c>
      <c r="B465" s="1" t="n">
        <v>45198.44686342592</v>
      </c>
      <c r="C465" s="1" t="n">
        <v>45994</v>
      </c>
      <c r="D465" t="inlineStr">
        <is>
          <t>SKÅNE LÄN</t>
        </is>
      </c>
      <c r="E465" t="inlineStr">
        <is>
          <t>HÄSSLEHOLM</t>
        </is>
      </c>
      <c r="G465" t="n">
        <v>1.5</v>
      </c>
      <c r="H465" t="n">
        <v>0</v>
      </c>
      <c r="I465" t="n">
        <v>0</v>
      </c>
      <c r="J465" t="n">
        <v>0</v>
      </c>
      <c r="K465" t="n">
        <v>0</v>
      </c>
      <c r="L465" t="n">
        <v>0</v>
      </c>
      <c r="M465" t="n">
        <v>0</v>
      </c>
      <c r="N465" t="n">
        <v>0</v>
      </c>
      <c r="O465" t="n">
        <v>0</v>
      </c>
      <c r="P465" t="n">
        <v>0</v>
      </c>
      <c r="Q465" t="n">
        <v>0</v>
      </c>
      <c r="R465" s="2" t="inlineStr"/>
    </row>
    <row r="466" ht="15" customHeight="1">
      <c r="A466" t="inlineStr">
        <is>
          <t>A 5780-2024</t>
        </is>
      </c>
      <c r="B466" s="1" t="n">
        <v>45335.41983796296</v>
      </c>
      <c r="C466" s="1" t="n">
        <v>45994</v>
      </c>
      <c r="D466" t="inlineStr">
        <is>
          <t>SKÅNE LÄN</t>
        </is>
      </c>
      <c r="E466" t="inlineStr">
        <is>
          <t>HÄSSLEHOLM</t>
        </is>
      </c>
      <c r="G466" t="n">
        <v>2.5</v>
      </c>
      <c r="H466" t="n">
        <v>0</v>
      </c>
      <c r="I466" t="n">
        <v>0</v>
      </c>
      <c r="J466" t="n">
        <v>0</v>
      </c>
      <c r="K466" t="n">
        <v>0</v>
      </c>
      <c r="L466" t="n">
        <v>0</v>
      </c>
      <c r="M466" t="n">
        <v>0</v>
      </c>
      <c r="N466" t="n">
        <v>0</v>
      </c>
      <c r="O466" t="n">
        <v>0</v>
      </c>
      <c r="P466" t="n">
        <v>0</v>
      </c>
      <c r="Q466" t="n">
        <v>0</v>
      </c>
      <c r="R466" s="2" t="inlineStr"/>
    </row>
    <row r="467" ht="15" customHeight="1">
      <c r="A467" t="inlineStr">
        <is>
          <t>A 7094-2023</t>
        </is>
      </c>
      <c r="B467" s="1" t="n">
        <v>44970.36958333333</v>
      </c>
      <c r="C467" s="1" t="n">
        <v>45994</v>
      </c>
      <c r="D467" t="inlineStr">
        <is>
          <t>SKÅNE LÄN</t>
        </is>
      </c>
      <c r="E467" t="inlineStr">
        <is>
          <t>HÄSSLEHOLM</t>
        </is>
      </c>
      <c r="G467" t="n">
        <v>3.6</v>
      </c>
      <c r="H467" t="n">
        <v>0</v>
      </c>
      <c r="I467" t="n">
        <v>0</v>
      </c>
      <c r="J467" t="n">
        <v>0</v>
      </c>
      <c r="K467" t="n">
        <v>0</v>
      </c>
      <c r="L467" t="n">
        <v>0</v>
      </c>
      <c r="M467" t="n">
        <v>0</v>
      </c>
      <c r="N467" t="n">
        <v>0</v>
      </c>
      <c r="O467" t="n">
        <v>0</v>
      </c>
      <c r="P467" t="n">
        <v>0</v>
      </c>
      <c r="Q467" t="n">
        <v>0</v>
      </c>
      <c r="R467" s="2" t="inlineStr"/>
    </row>
    <row r="468" ht="15" customHeight="1">
      <c r="A468" t="inlineStr">
        <is>
          <t>A 32100-2024</t>
        </is>
      </c>
      <c r="B468" s="1" t="n">
        <v>45511.41451388889</v>
      </c>
      <c r="C468" s="1" t="n">
        <v>45994</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10220-2023</t>
        </is>
      </c>
      <c r="B469" s="1" t="n">
        <v>44986.60916666667</v>
      </c>
      <c r="C469" s="1" t="n">
        <v>45994</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31986-2023</t>
        </is>
      </c>
      <c r="B470" s="1" t="n">
        <v>45119</v>
      </c>
      <c r="C470" s="1" t="n">
        <v>45994</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62044-2022</t>
        </is>
      </c>
      <c r="B471" s="1" t="n">
        <v>44918.55976851852</v>
      </c>
      <c r="C471" s="1" t="n">
        <v>45994</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35810-2023</t>
        </is>
      </c>
      <c r="B472" s="1" t="n">
        <v>45148.44046296296</v>
      </c>
      <c r="C472" s="1" t="n">
        <v>45994</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11260-2021</t>
        </is>
      </c>
      <c r="B473" s="1" t="n">
        <v>44263</v>
      </c>
      <c r="C473" s="1" t="n">
        <v>45994</v>
      </c>
      <c r="D473" t="inlineStr">
        <is>
          <t>SKÅNE LÄN</t>
        </is>
      </c>
      <c r="E473" t="inlineStr">
        <is>
          <t>HÄSSLEHOLM</t>
        </is>
      </c>
      <c r="G473" t="n">
        <v>5.4</v>
      </c>
      <c r="H473" t="n">
        <v>0</v>
      </c>
      <c r="I473" t="n">
        <v>0</v>
      </c>
      <c r="J473" t="n">
        <v>0</v>
      </c>
      <c r="K473" t="n">
        <v>0</v>
      </c>
      <c r="L473" t="n">
        <v>0</v>
      </c>
      <c r="M473" t="n">
        <v>0</v>
      </c>
      <c r="N473" t="n">
        <v>0</v>
      </c>
      <c r="O473" t="n">
        <v>0</v>
      </c>
      <c r="P473" t="n">
        <v>0</v>
      </c>
      <c r="Q473" t="n">
        <v>0</v>
      </c>
      <c r="R473" s="2" t="inlineStr"/>
    </row>
    <row r="474" ht="15" customHeight="1">
      <c r="A474" t="inlineStr">
        <is>
          <t>A 6619-2024</t>
        </is>
      </c>
      <c r="B474" s="1" t="n">
        <v>45341.6021412037</v>
      </c>
      <c r="C474" s="1" t="n">
        <v>45994</v>
      </c>
      <c r="D474" t="inlineStr">
        <is>
          <t>SKÅNE LÄN</t>
        </is>
      </c>
      <c r="E474" t="inlineStr">
        <is>
          <t>HÄSSLEHOLM</t>
        </is>
      </c>
      <c r="G474" t="n">
        <v>1</v>
      </c>
      <c r="H474" t="n">
        <v>0</v>
      </c>
      <c r="I474" t="n">
        <v>0</v>
      </c>
      <c r="J474" t="n">
        <v>0</v>
      </c>
      <c r="K474" t="n">
        <v>0</v>
      </c>
      <c r="L474" t="n">
        <v>0</v>
      </c>
      <c r="M474" t="n">
        <v>0</v>
      </c>
      <c r="N474" t="n">
        <v>0</v>
      </c>
      <c r="O474" t="n">
        <v>0</v>
      </c>
      <c r="P474" t="n">
        <v>0</v>
      </c>
      <c r="Q474" t="n">
        <v>0</v>
      </c>
      <c r="R474" s="2" t="inlineStr"/>
    </row>
    <row r="475" ht="15" customHeight="1">
      <c r="A475" t="inlineStr">
        <is>
          <t>A 35833-2023</t>
        </is>
      </c>
      <c r="B475" s="1" t="n">
        <v>45148</v>
      </c>
      <c r="C475" s="1" t="n">
        <v>45994</v>
      </c>
      <c r="D475" t="inlineStr">
        <is>
          <t>SKÅNE LÄN</t>
        </is>
      </c>
      <c r="E475" t="inlineStr">
        <is>
          <t>HÄSSLEHOLM</t>
        </is>
      </c>
      <c r="F475" t="inlineStr">
        <is>
          <t>Kommuner</t>
        </is>
      </c>
      <c r="G475" t="n">
        <v>2</v>
      </c>
      <c r="H475" t="n">
        <v>0</v>
      </c>
      <c r="I475" t="n">
        <v>0</v>
      </c>
      <c r="J475" t="n">
        <v>0</v>
      </c>
      <c r="K475" t="n">
        <v>0</v>
      </c>
      <c r="L475" t="n">
        <v>0</v>
      </c>
      <c r="M475" t="n">
        <v>0</v>
      </c>
      <c r="N475" t="n">
        <v>0</v>
      </c>
      <c r="O475" t="n">
        <v>0</v>
      </c>
      <c r="P475" t="n">
        <v>0</v>
      </c>
      <c r="Q475" t="n">
        <v>0</v>
      </c>
      <c r="R475" s="2" t="inlineStr"/>
    </row>
    <row r="476" ht="15" customHeight="1">
      <c r="A476" t="inlineStr">
        <is>
          <t>A 59556-2023</t>
        </is>
      </c>
      <c r="B476" s="1" t="n">
        <v>45254.56313657408</v>
      </c>
      <c r="C476" s="1" t="n">
        <v>45994</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7481-2023</t>
        </is>
      </c>
      <c r="B477" s="1" t="n">
        <v>44971</v>
      </c>
      <c r="C477" s="1" t="n">
        <v>45994</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53077-2022</t>
        </is>
      </c>
      <c r="B478" s="1" t="n">
        <v>44873</v>
      </c>
      <c r="C478" s="1" t="n">
        <v>45994</v>
      </c>
      <c r="D478" t="inlineStr">
        <is>
          <t>SKÅNE LÄN</t>
        </is>
      </c>
      <c r="E478" t="inlineStr">
        <is>
          <t>HÄSSLEHOLM</t>
        </is>
      </c>
      <c r="G478" t="n">
        <v>3</v>
      </c>
      <c r="H478" t="n">
        <v>0</v>
      </c>
      <c r="I478" t="n">
        <v>0</v>
      </c>
      <c r="J478" t="n">
        <v>0</v>
      </c>
      <c r="K478" t="n">
        <v>0</v>
      </c>
      <c r="L478" t="n">
        <v>0</v>
      </c>
      <c r="M478" t="n">
        <v>0</v>
      </c>
      <c r="N478" t="n">
        <v>0</v>
      </c>
      <c r="O478" t="n">
        <v>0</v>
      </c>
      <c r="P478" t="n">
        <v>0</v>
      </c>
      <c r="Q478" t="n">
        <v>0</v>
      </c>
      <c r="R478" s="2" t="inlineStr"/>
    </row>
    <row r="479" ht="15" customHeight="1">
      <c r="A479" t="inlineStr">
        <is>
          <t>A 59728-2022</t>
        </is>
      </c>
      <c r="B479" s="1" t="n">
        <v>44900</v>
      </c>
      <c r="C479" s="1" t="n">
        <v>45994</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52341-2023</t>
        </is>
      </c>
      <c r="B480" s="1" t="n">
        <v>45224.67006944444</v>
      </c>
      <c r="C480" s="1" t="n">
        <v>45994</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23683-2023</t>
        </is>
      </c>
      <c r="B481" s="1" t="n">
        <v>45077</v>
      </c>
      <c r="C481" s="1" t="n">
        <v>45994</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21206-2025</t>
        </is>
      </c>
      <c r="B482" s="1" t="n">
        <v>45779.48318287037</v>
      </c>
      <c r="C482" s="1" t="n">
        <v>45994</v>
      </c>
      <c r="D482" t="inlineStr">
        <is>
          <t>SKÅNE LÄN</t>
        </is>
      </c>
      <c r="E482" t="inlineStr">
        <is>
          <t>HÄSSLEHOLM</t>
        </is>
      </c>
      <c r="G482" t="n">
        <v>2.2</v>
      </c>
      <c r="H482" t="n">
        <v>0</v>
      </c>
      <c r="I482" t="n">
        <v>0</v>
      </c>
      <c r="J482" t="n">
        <v>0</v>
      </c>
      <c r="K482" t="n">
        <v>0</v>
      </c>
      <c r="L482" t="n">
        <v>0</v>
      </c>
      <c r="M482" t="n">
        <v>0</v>
      </c>
      <c r="N482" t="n">
        <v>0</v>
      </c>
      <c r="O482" t="n">
        <v>0</v>
      </c>
      <c r="P482" t="n">
        <v>0</v>
      </c>
      <c r="Q482" t="n">
        <v>0</v>
      </c>
      <c r="R482" s="2" t="inlineStr"/>
    </row>
    <row r="483" ht="15" customHeight="1">
      <c r="A483" t="inlineStr">
        <is>
          <t>A 2663-2023</t>
        </is>
      </c>
      <c r="B483" s="1" t="n">
        <v>44942</v>
      </c>
      <c r="C483" s="1" t="n">
        <v>45994</v>
      </c>
      <c r="D483" t="inlineStr">
        <is>
          <t>SKÅNE LÄN</t>
        </is>
      </c>
      <c r="E483" t="inlineStr">
        <is>
          <t>HÄSSLEHOLM</t>
        </is>
      </c>
      <c r="F483" t="inlineStr">
        <is>
          <t>Kyrkan</t>
        </is>
      </c>
      <c r="G483" t="n">
        <v>0.8</v>
      </c>
      <c r="H483" t="n">
        <v>0</v>
      </c>
      <c r="I483" t="n">
        <v>0</v>
      </c>
      <c r="J483" t="n">
        <v>0</v>
      </c>
      <c r="K483" t="n">
        <v>0</v>
      </c>
      <c r="L483" t="n">
        <v>0</v>
      </c>
      <c r="M483" t="n">
        <v>0</v>
      </c>
      <c r="N483" t="n">
        <v>0</v>
      </c>
      <c r="O483" t="n">
        <v>0</v>
      </c>
      <c r="P483" t="n">
        <v>0</v>
      </c>
      <c r="Q483" t="n">
        <v>0</v>
      </c>
      <c r="R483" s="2" t="inlineStr"/>
    </row>
    <row r="484" ht="15" customHeight="1">
      <c r="A484" t="inlineStr">
        <is>
          <t>A 23172-2022</t>
        </is>
      </c>
      <c r="B484" s="1" t="n">
        <v>44719</v>
      </c>
      <c r="C484" s="1" t="n">
        <v>45994</v>
      </c>
      <c r="D484" t="inlineStr">
        <is>
          <t>SKÅNE LÄN</t>
        </is>
      </c>
      <c r="E484" t="inlineStr">
        <is>
          <t>HÄSSLEHOLM</t>
        </is>
      </c>
      <c r="F484" t="inlineStr">
        <is>
          <t>Övriga Aktiebolag</t>
        </is>
      </c>
      <c r="G484" t="n">
        <v>0.9</v>
      </c>
      <c r="H484" t="n">
        <v>0</v>
      </c>
      <c r="I484" t="n">
        <v>0</v>
      </c>
      <c r="J484" t="n">
        <v>0</v>
      </c>
      <c r="K484" t="n">
        <v>0</v>
      </c>
      <c r="L484" t="n">
        <v>0</v>
      </c>
      <c r="M484" t="n">
        <v>0</v>
      </c>
      <c r="N484" t="n">
        <v>0</v>
      </c>
      <c r="O484" t="n">
        <v>0</v>
      </c>
      <c r="P484" t="n">
        <v>0</v>
      </c>
      <c r="Q484" t="n">
        <v>0</v>
      </c>
      <c r="R484" s="2" t="inlineStr"/>
    </row>
    <row r="485" ht="15" customHeight="1">
      <c r="A485" t="inlineStr">
        <is>
          <t>A 23173-2022</t>
        </is>
      </c>
      <c r="B485" s="1" t="n">
        <v>44719.72155092593</v>
      </c>
      <c r="C485" s="1" t="n">
        <v>45994</v>
      </c>
      <c r="D485" t="inlineStr">
        <is>
          <t>SKÅNE LÄN</t>
        </is>
      </c>
      <c r="E485" t="inlineStr">
        <is>
          <t>HÄSSLEHOLM</t>
        </is>
      </c>
      <c r="F485" t="inlineStr">
        <is>
          <t>Övriga Aktiebolag</t>
        </is>
      </c>
      <c r="G485" t="n">
        <v>0.9</v>
      </c>
      <c r="H485" t="n">
        <v>0</v>
      </c>
      <c r="I485" t="n">
        <v>0</v>
      </c>
      <c r="J485" t="n">
        <v>0</v>
      </c>
      <c r="K485" t="n">
        <v>0</v>
      </c>
      <c r="L485" t="n">
        <v>0</v>
      </c>
      <c r="M485" t="n">
        <v>0</v>
      </c>
      <c r="N485" t="n">
        <v>0</v>
      </c>
      <c r="O485" t="n">
        <v>0</v>
      </c>
      <c r="P485" t="n">
        <v>0</v>
      </c>
      <c r="Q485" t="n">
        <v>0</v>
      </c>
      <c r="R485" s="2" t="inlineStr"/>
    </row>
    <row r="486" ht="15" customHeight="1">
      <c r="A486" t="inlineStr">
        <is>
          <t>A 19744-2023</t>
        </is>
      </c>
      <c r="B486" s="1" t="n">
        <v>45051</v>
      </c>
      <c r="C486" s="1" t="n">
        <v>45994</v>
      </c>
      <c r="D486" t="inlineStr">
        <is>
          <t>SKÅNE LÄN</t>
        </is>
      </c>
      <c r="E486" t="inlineStr">
        <is>
          <t>HÄSSLEHOLM</t>
        </is>
      </c>
      <c r="G486" t="n">
        <v>0.4</v>
      </c>
      <c r="H486" t="n">
        <v>0</v>
      </c>
      <c r="I486" t="n">
        <v>0</v>
      </c>
      <c r="J486" t="n">
        <v>0</v>
      </c>
      <c r="K486" t="n">
        <v>0</v>
      </c>
      <c r="L486" t="n">
        <v>0</v>
      </c>
      <c r="M486" t="n">
        <v>0</v>
      </c>
      <c r="N486" t="n">
        <v>0</v>
      </c>
      <c r="O486" t="n">
        <v>0</v>
      </c>
      <c r="P486" t="n">
        <v>0</v>
      </c>
      <c r="Q486" t="n">
        <v>0</v>
      </c>
      <c r="R486" s="2" t="inlineStr"/>
    </row>
    <row r="487" ht="15" customHeight="1">
      <c r="A487" t="inlineStr">
        <is>
          <t>A 14655-2025</t>
        </is>
      </c>
      <c r="B487" s="1" t="n">
        <v>45742.5072337963</v>
      </c>
      <c r="C487" s="1" t="n">
        <v>45994</v>
      </c>
      <c r="D487" t="inlineStr">
        <is>
          <t>SKÅNE LÄN</t>
        </is>
      </c>
      <c r="E487" t="inlineStr">
        <is>
          <t>HÄSSLEHOLM</t>
        </is>
      </c>
      <c r="G487" t="n">
        <v>4.5</v>
      </c>
      <c r="H487" t="n">
        <v>0</v>
      </c>
      <c r="I487" t="n">
        <v>0</v>
      </c>
      <c r="J487" t="n">
        <v>0</v>
      </c>
      <c r="K487" t="n">
        <v>0</v>
      </c>
      <c r="L487" t="n">
        <v>0</v>
      </c>
      <c r="M487" t="n">
        <v>0</v>
      </c>
      <c r="N487" t="n">
        <v>0</v>
      </c>
      <c r="O487" t="n">
        <v>0</v>
      </c>
      <c r="P487" t="n">
        <v>0</v>
      </c>
      <c r="Q487" t="n">
        <v>0</v>
      </c>
      <c r="R487" s="2" t="inlineStr"/>
    </row>
    <row r="488" ht="15" customHeight="1">
      <c r="A488" t="inlineStr">
        <is>
          <t>A 14926-2024</t>
        </is>
      </c>
      <c r="B488" s="1" t="n">
        <v>45398</v>
      </c>
      <c r="C488" s="1" t="n">
        <v>45994</v>
      </c>
      <c r="D488" t="inlineStr">
        <is>
          <t>SKÅNE LÄN</t>
        </is>
      </c>
      <c r="E488" t="inlineStr">
        <is>
          <t>HÄSSLEHOLM</t>
        </is>
      </c>
      <c r="G488" t="n">
        <v>3.4</v>
      </c>
      <c r="H488" t="n">
        <v>0</v>
      </c>
      <c r="I488" t="n">
        <v>0</v>
      </c>
      <c r="J488" t="n">
        <v>0</v>
      </c>
      <c r="K488" t="n">
        <v>0</v>
      </c>
      <c r="L488" t="n">
        <v>0</v>
      </c>
      <c r="M488" t="n">
        <v>0</v>
      </c>
      <c r="N488" t="n">
        <v>0</v>
      </c>
      <c r="O488" t="n">
        <v>0</v>
      </c>
      <c r="P488" t="n">
        <v>0</v>
      </c>
      <c r="Q488" t="n">
        <v>0</v>
      </c>
      <c r="R488" s="2" t="inlineStr"/>
    </row>
    <row r="489" ht="15" customHeight="1">
      <c r="A489" t="inlineStr">
        <is>
          <t>A 60843-2022</t>
        </is>
      </c>
      <c r="B489" s="1" t="n">
        <v>44914</v>
      </c>
      <c r="C489" s="1" t="n">
        <v>45994</v>
      </c>
      <c r="D489" t="inlineStr">
        <is>
          <t>SKÅNE LÄN</t>
        </is>
      </c>
      <c r="E489" t="inlineStr">
        <is>
          <t>HÄSSLEHOLM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61504-2022</t>
        </is>
      </c>
      <c r="B490" s="1" t="n">
        <v>44910</v>
      </c>
      <c r="C490" s="1" t="n">
        <v>45994</v>
      </c>
      <c r="D490" t="inlineStr">
        <is>
          <t>SKÅNE LÄN</t>
        </is>
      </c>
      <c r="E490" t="inlineStr">
        <is>
          <t>HÄSSLEHOLM</t>
        </is>
      </c>
      <c r="F490" t="inlineStr">
        <is>
          <t>Kyrkan</t>
        </is>
      </c>
      <c r="G490" t="n">
        <v>2.9</v>
      </c>
      <c r="H490" t="n">
        <v>0</v>
      </c>
      <c r="I490" t="n">
        <v>0</v>
      </c>
      <c r="J490" t="n">
        <v>0</v>
      </c>
      <c r="K490" t="n">
        <v>0</v>
      </c>
      <c r="L490" t="n">
        <v>0</v>
      </c>
      <c r="M490" t="n">
        <v>0</v>
      </c>
      <c r="N490" t="n">
        <v>0</v>
      </c>
      <c r="O490" t="n">
        <v>0</v>
      </c>
      <c r="P490" t="n">
        <v>0</v>
      </c>
      <c r="Q490" t="n">
        <v>0</v>
      </c>
      <c r="R490" s="2" t="inlineStr"/>
    </row>
    <row r="491" ht="15" customHeight="1">
      <c r="A491" t="inlineStr">
        <is>
          <t>A 17492-2025</t>
        </is>
      </c>
      <c r="B491" s="1" t="n">
        <v>45747</v>
      </c>
      <c r="C491" s="1" t="n">
        <v>45994</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27464-2022</t>
        </is>
      </c>
      <c r="B492" s="1" t="n">
        <v>44742.58704861111</v>
      </c>
      <c r="C492" s="1" t="n">
        <v>45994</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69109-2020</t>
        </is>
      </c>
      <c r="B493" s="1" t="n">
        <v>44188</v>
      </c>
      <c r="C493" s="1" t="n">
        <v>45994</v>
      </c>
      <c r="D493" t="inlineStr">
        <is>
          <t>SKÅNE LÄN</t>
        </is>
      </c>
      <c r="E493" t="inlineStr">
        <is>
          <t>HÄSSLEHOLM</t>
        </is>
      </c>
      <c r="G493" t="n">
        <v>1.5</v>
      </c>
      <c r="H493" t="n">
        <v>0</v>
      </c>
      <c r="I493" t="n">
        <v>0</v>
      </c>
      <c r="J493" t="n">
        <v>0</v>
      </c>
      <c r="K493" t="n">
        <v>0</v>
      </c>
      <c r="L493" t="n">
        <v>0</v>
      </c>
      <c r="M493" t="n">
        <v>0</v>
      </c>
      <c r="N493" t="n">
        <v>0</v>
      </c>
      <c r="O493" t="n">
        <v>0</v>
      </c>
      <c r="P493" t="n">
        <v>0</v>
      </c>
      <c r="Q493" t="n">
        <v>0</v>
      </c>
      <c r="R493" s="2" t="inlineStr"/>
    </row>
    <row r="494" ht="15" customHeight="1">
      <c r="A494" t="inlineStr">
        <is>
          <t>A 21091-2025</t>
        </is>
      </c>
      <c r="B494" s="1" t="n">
        <v>45777</v>
      </c>
      <c r="C494" s="1" t="n">
        <v>45994</v>
      </c>
      <c r="D494" t="inlineStr">
        <is>
          <t>SKÅNE LÄN</t>
        </is>
      </c>
      <c r="E494" t="inlineStr">
        <is>
          <t>HÄSSLEHOLM</t>
        </is>
      </c>
      <c r="G494" t="n">
        <v>3.4</v>
      </c>
      <c r="H494" t="n">
        <v>0</v>
      </c>
      <c r="I494" t="n">
        <v>0</v>
      </c>
      <c r="J494" t="n">
        <v>0</v>
      </c>
      <c r="K494" t="n">
        <v>0</v>
      </c>
      <c r="L494" t="n">
        <v>0</v>
      </c>
      <c r="M494" t="n">
        <v>0</v>
      </c>
      <c r="N494" t="n">
        <v>0</v>
      </c>
      <c r="O494" t="n">
        <v>0</v>
      </c>
      <c r="P494" t="n">
        <v>0</v>
      </c>
      <c r="Q494" t="n">
        <v>0</v>
      </c>
      <c r="R494" s="2" t="inlineStr"/>
    </row>
    <row r="495" ht="15" customHeight="1">
      <c r="A495" t="inlineStr">
        <is>
          <t>A 19739-2023</t>
        </is>
      </c>
      <c r="B495" s="1" t="n">
        <v>45051</v>
      </c>
      <c r="C495" s="1" t="n">
        <v>45994</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317-2025</t>
        </is>
      </c>
      <c r="B496" s="1" t="n">
        <v>45660</v>
      </c>
      <c r="C496" s="1" t="n">
        <v>45994</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21638-2025</t>
        </is>
      </c>
      <c r="B497" s="1" t="n">
        <v>45783.43087962963</v>
      </c>
      <c r="C497" s="1" t="n">
        <v>45994</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52968-2022</t>
        </is>
      </c>
      <c r="B498" s="1" t="n">
        <v>44875</v>
      </c>
      <c r="C498" s="1" t="n">
        <v>45994</v>
      </c>
      <c r="D498" t="inlineStr">
        <is>
          <t>SKÅNE LÄN</t>
        </is>
      </c>
      <c r="E498" t="inlineStr">
        <is>
          <t>HÄSSLEHOLM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6798-2025</t>
        </is>
      </c>
      <c r="B499" s="1" t="n">
        <v>45700.668125</v>
      </c>
      <c r="C499" s="1" t="n">
        <v>45994</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39111-2023</t>
        </is>
      </c>
      <c r="B500" s="1" t="n">
        <v>45164.87140046297</v>
      </c>
      <c r="C500" s="1" t="n">
        <v>45994</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60851-2024</t>
        </is>
      </c>
      <c r="B501" s="1" t="n">
        <v>45644.66182870371</v>
      </c>
      <c r="C501" s="1" t="n">
        <v>45994</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21625-2025</t>
        </is>
      </c>
      <c r="B502" s="1" t="n">
        <v>45783.41252314814</v>
      </c>
      <c r="C502" s="1" t="n">
        <v>45994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7818-2024</t>
        </is>
      </c>
      <c r="B503" s="1" t="n">
        <v>45349.68872685185</v>
      </c>
      <c r="C503" s="1" t="n">
        <v>45994</v>
      </c>
      <c r="D503" t="inlineStr">
        <is>
          <t>SKÅNE LÄN</t>
        </is>
      </c>
      <c r="E503" t="inlineStr">
        <is>
          <t>HÄSSLEHOLM</t>
        </is>
      </c>
      <c r="G503" t="n">
        <v>2.5</v>
      </c>
      <c r="H503" t="n">
        <v>0</v>
      </c>
      <c r="I503" t="n">
        <v>0</v>
      </c>
      <c r="J503" t="n">
        <v>0</v>
      </c>
      <c r="K503" t="n">
        <v>0</v>
      </c>
      <c r="L503" t="n">
        <v>0</v>
      </c>
      <c r="M503" t="n">
        <v>0</v>
      </c>
      <c r="N503" t="n">
        <v>0</v>
      </c>
      <c r="O503" t="n">
        <v>0</v>
      </c>
      <c r="P503" t="n">
        <v>0</v>
      </c>
      <c r="Q503" t="n">
        <v>0</v>
      </c>
      <c r="R503" s="2" t="inlineStr"/>
    </row>
    <row r="504" ht="15" customHeight="1">
      <c r="A504" t="inlineStr">
        <is>
          <t>A 10752-2025</t>
        </is>
      </c>
      <c r="B504" s="1" t="n">
        <v>45722</v>
      </c>
      <c r="C504" s="1" t="n">
        <v>45994</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13149-2024</t>
        </is>
      </c>
      <c r="B505" s="1" t="n">
        <v>45386</v>
      </c>
      <c r="C505" s="1" t="n">
        <v>45994</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59763-2022</t>
        </is>
      </c>
      <c r="B506" s="1" t="n">
        <v>44900</v>
      </c>
      <c r="C506" s="1" t="n">
        <v>45994</v>
      </c>
      <c r="D506" t="inlineStr">
        <is>
          <t>SKÅNE LÄN</t>
        </is>
      </c>
      <c r="E506" t="inlineStr">
        <is>
          <t>HÄSSLEHOLM</t>
        </is>
      </c>
      <c r="F506" t="inlineStr">
        <is>
          <t>Övriga Aktiebolag</t>
        </is>
      </c>
      <c r="G506" t="n">
        <v>1.2</v>
      </c>
      <c r="H506" t="n">
        <v>0</v>
      </c>
      <c r="I506" t="n">
        <v>0</v>
      </c>
      <c r="J506" t="n">
        <v>0</v>
      </c>
      <c r="K506" t="n">
        <v>0</v>
      </c>
      <c r="L506" t="n">
        <v>0</v>
      </c>
      <c r="M506" t="n">
        <v>0</v>
      </c>
      <c r="N506" t="n">
        <v>0</v>
      </c>
      <c r="O506" t="n">
        <v>0</v>
      </c>
      <c r="P506" t="n">
        <v>0</v>
      </c>
      <c r="Q506" t="n">
        <v>0</v>
      </c>
      <c r="R506" s="2" t="inlineStr"/>
    </row>
    <row r="507" ht="15" customHeight="1">
      <c r="A507" t="inlineStr">
        <is>
          <t>A 29845-2024</t>
        </is>
      </c>
      <c r="B507" s="1" t="n">
        <v>45485.6212037037</v>
      </c>
      <c r="C507" s="1" t="n">
        <v>45994</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3364-2023</t>
        </is>
      </c>
      <c r="B508" s="1" t="n">
        <v>44949</v>
      </c>
      <c r="C508" s="1" t="n">
        <v>45994</v>
      </c>
      <c r="D508" t="inlineStr">
        <is>
          <t>SKÅNE LÄN</t>
        </is>
      </c>
      <c r="E508" t="inlineStr">
        <is>
          <t>HÄSSLEHOLM</t>
        </is>
      </c>
      <c r="G508" t="n">
        <v>5.1</v>
      </c>
      <c r="H508" t="n">
        <v>0</v>
      </c>
      <c r="I508" t="n">
        <v>0</v>
      </c>
      <c r="J508" t="n">
        <v>0</v>
      </c>
      <c r="K508" t="n">
        <v>0</v>
      </c>
      <c r="L508" t="n">
        <v>0</v>
      </c>
      <c r="M508" t="n">
        <v>0</v>
      </c>
      <c r="N508" t="n">
        <v>0</v>
      </c>
      <c r="O508" t="n">
        <v>0</v>
      </c>
      <c r="P508" t="n">
        <v>0</v>
      </c>
      <c r="Q508" t="n">
        <v>0</v>
      </c>
      <c r="R508" s="2" t="inlineStr"/>
    </row>
    <row r="509" ht="15" customHeight="1">
      <c r="A509" t="inlineStr">
        <is>
          <t>A 1703-2025</t>
        </is>
      </c>
      <c r="B509" s="1" t="n">
        <v>45670.80732638889</v>
      </c>
      <c r="C509" s="1" t="n">
        <v>45994</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44466.64298611111</v>
      </c>
      <c r="C510" s="1" t="n">
        <v>45994</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53466-2024</t>
        </is>
      </c>
      <c r="B511" s="1" t="n">
        <v>45614.55304398148</v>
      </c>
      <c r="C511" s="1" t="n">
        <v>45994</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61533-2024</t>
        </is>
      </c>
      <c r="B512" s="1" t="n">
        <v>45646</v>
      </c>
      <c r="C512" s="1" t="n">
        <v>45994</v>
      </c>
      <c r="D512" t="inlineStr">
        <is>
          <t>SKÅNE LÄN</t>
        </is>
      </c>
      <c r="E512" t="inlineStr">
        <is>
          <t>HÄSSLEHOLM</t>
        </is>
      </c>
      <c r="G512" t="n">
        <v>4.5</v>
      </c>
      <c r="H512" t="n">
        <v>0</v>
      </c>
      <c r="I512" t="n">
        <v>0</v>
      </c>
      <c r="J512" t="n">
        <v>0</v>
      </c>
      <c r="K512" t="n">
        <v>0</v>
      </c>
      <c r="L512" t="n">
        <v>0</v>
      </c>
      <c r="M512" t="n">
        <v>0</v>
      </c>
      <c r="N512" t="n">
        <v>0</v>
      </c>
      <c r="O512" t="n">
        <v>0</v>
      </c>
      <c r="P512" t="n">
        <v>0</v>
      </c>
      <c r="Q512" t="n">
        <v>0</v>
      </c>
      <c r="R512" s="2" t="inlineStr"/>
    </row>
    <row r="513" ht="15" customHeight="1">
      <c r="A513" t="inlineStr">
        <is>
          <t>A 19735-2023</t>
        </is>
      </c>
      <c r="B513" s="1" t="n">
        <v>45051.52199074074</v>
      </c>
      <c r="C513" s="1" t="n">
        <v>45994</v>
      </c>
      <c r="D513" t="inlineStr">
        <is>
          <t>SKÅNE LÄN</t>
        </is>
      </c>
      <c r="E513" t="inlineStr">
        <is>
          <t>HÄSSLEHOLM</t>
        </is>
      </c>
      <c r="G513" t="n">
        <v>4</v>
      </c>
      <c r="H513" t="n">
        <v>0</v>
      </c>
      <c r="I513" t="n">
        <v>0</v>
      </c>
      <c r="J513" t="n">
        <v>0</v>
      </c>
      <c r="K513" t="n">
        <v>0</v>
      </c>
      <c r="L513" t="n">
        <v>0</v>
      </c>
      <c r="M513" t="n">
        <v>0</v>
      </c>
      <c r="N513" t="n">
        <v>0</v>
      </c>
      <c r="O513" t="n">
        <v>0</v>
      </c>
      <c r="P513" t="n">
        <v>0</v>
      </c>
      <c r="Q513" t="n">
        <v>0</v>
      </c>
      <c r="R513" s="2" t="inlineStr"/>
    </row>
    <row r="514" ht="15" customHeight="1">
      <c r="A514" t="inlineStr">
        <is>
          <t>A 2490-2024</t>
        </is>
      </c>
      <c r="B514" s="1" t="n">
        <v>45313.43649305555</v>
      </c>
      <c r="C514" s="1" t="n">
        <v>45994</v>
      </c>
      <c r="D514" t="inlineStr">
        <is>
          <t>SKÅNE LÄN</t>
        </is>
      </c>
      <c r="E514" t="inlineStr">
        <is>
          <t>HÄSSLEHOLM</t>
        </is>
      </c>
      <c r="G514" t="n">
        <v>4</v>
      </c>
      <c r="H514" t="n">
        <v>0</v>
      </c>
      <c r="I514" t="n">
        <v>0</v>
      </c>
      <c r="J514" t="n">
        <v>0</v>
      </c>
      <c r="K514" t="n">
        <v>0</v>
      </c>
      <c r="L514" t="n">
        <v>0</v>
      </c>
      <c r="M514" t="n">
        <v>0</v>
      </c>
      <c r="N514" t="n">
        <v>0</v>
      </c>
      <c r="O514" t="n">
        <v>0</v>
      </c>
      <c r="P514" t="n">
        <v>0</v>
      </c>
      <c r="Q514" t="n">
        <v>0</v>
      </c>
      <c r="R514" s="2" t="inlineStr"/>
    </row>
    <row r="515" ht="15" customHeight="1">
      <c r="A515" t="inlineStr">
        <is>
          <t>A 15562-2024</t>
        </is>
      </c>
      <c r="B515" s="1" t="n">
        <v>45401.64975694445</v>
      </c>
      <c r="C515" s="1" t="n">
        <v>45994</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61537-2024</t>
        </is>
      </c>
      <c r="B516" s="1" t="n">
        <v>45646</v>
      </c>
      <c r="C516" s="1" t="n">
        <v>45994</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50664-2023</t>
        </is>
      </c>
      <c r="B517" s="1" t="n">
        <v>45217</v>
      </c>
      <c r="C517" s="1" t="n">
        <v>45994</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34890-2023</t>
        </is>
      </c>
      <c r="B518" s="1" t="n">
        <v>45142.39475694444</v>
      </c>
      <c r="C518" s="1" t="n">
        <v>45994</v>
      </c>
      <c r="D518" t="inlineStr">
        <is>
          <t>SKÅNE LÄN</t>
        </is>
      </c>
      <c r="E518" t="inlineStr">
        <is>
          <t>HÄSSLEHOLM</t>
        </is>
      </c>
      <c r="G518" t="n">
        <v>4</v>
      </c>
      <c r="H518" t="n">
        <v>0</v>
      </c>
      <c r="I518" t="n">
        <v>0</v>
      </c>
      <c r="J518" t="n">
        <v>0</v>
      </c>
      <c r="K518" t="n">
        <v>0</v>
      </c>
      <c r="L518" t="n">
        <v>0</v>
      </c>
      <c r="M518" t="n">
        <v>0</v>
      </c>
      <c r="N518" t="n">
        <v>0</v>
      </c>
      <c r="O518" t="n">
        <v>0</v>
      </c>
      <c r="P518" t="n">
        <v>0</v>
      </c>
      <c r="Q518" t="n">
        <v>0</v>
      </c>
      <c r="R518" s="2" t="inlineStr"/>
    </row>
    <row r="519" ht="15" customHeight="1">
      <c r="A519" t="inlineStr">
        <is>
          <t>A 42428-2022</t>
        </is>
      </c>
      <c r="B519" s="1" t="n">
        <v>44831</v>
      </c>
      <c r="C519" s="1" t="n">
        <v>45994</v>
      </c>
      <c r="D519" t="inlineStr">
        <is>
          <t>SKÅNE LÄN</t>
        </is>
      </c>
      <c r="E519" t="inlineStr">
        <is>
          <t>HÄSSLEHOLM</t>
        </is>
      </c>
      <c r="G519" t="n">
        <v>2.8</v>
      </c>
      <c r="H519" t="n">
        <v>0</v>
      </c>
      <c r="I519" t="n">
        <v>0</v>
      </c>
      <c r="J519" t="n">
        <v>0</v>
      </c>
      <c r="K519" t="n">
        <v>0</v>
      </c>
      <c r="L519" t="n">
        <v>0</v>
      </c>
      <c r="M519" t="n">
        <v>0</v>
      </c>
      <c r="N519" t="n">
        <v>0</v>
      </c>
      <c r="O519" t="n">
        <v>0</v>
      </c>
      <c r="P519" t="n">
        <v>0</v>
      </c>
      <c r="Q519" t="n">
        <v>0</v>
      </c>
      <c r="R519" s="2" t="inlineStr"/>
    </row>
    <row r="520" ht="15" customHeight="1">
      <c r="A520" t="inlineStr">
        <is>
          <t>A 14008-2023</t>
        </is>
      </c>
      <c r="B520" s="1" t="n">
        <v>45008.56725694444</v>
      </c>
      <c r="C520" s="1" t="n">
        <v>45994</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62171-2022</t>
        </is>
      </c>
      <c r="B521" s="1" t="n">
        <v>44915</v>
      </c>
      <c r="C521" s="1" t="n">
        <v>45994</v>
      </c>
      <c r="D521" t="inlineStr">
        <is>
          <t>SKÅNE LÄN</t>
        </is>
      </c>
      <c r="E521" t="inlineStr">
        <is>
          <t>HÄSSLEHOLM</t>
        </is>
      </c>
      <c r="F521" t="inlineStr">
        <is>
          <t>Kyrkan</t>
        </is>
      </c>
      <c r="G521" t="n">
        <v>9</v>
      </c>
      <c r="H521" t="n">
        <v>0</v>
      </c>
      <c r="I521" t="n">
        <v>0</v>
      </c>
      <c r="J521" t="n">
        <v>0</v>
      </c>
      <c r="K521" t="n">
        <v>0</v>
      </c>
      <c r="L521" t="n">
        <v>0</v>
      </c>
      <c r="M521" t="n">
        <v>0</v>
      </c>
      <c r="N521" t="n">
        <v>0</v>
      </c>
      <c r="O521" t="n">
        <v>0</v>
      </c>
      <c r="P521" t="n">
        <v>0</v>
      </c>
      <c r="Q521" t="n">
        <v>0</v>
      </c>
      <c r="R521" s="2" t="inlineStr"/>
    </row>
    <row r="522" ht="15" customHeight="1">
      <c r="A522" t="inlineStr">
        <is>
          <t>A 315-2022</t>
        </is>
      </c>
      <c r="B522" s="1" t="n">
        <v>44565.55630787037</v>
      </c>
      <c r="C522" s="1" t="n">
        <v>45994</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56956-2024</t>
        </is>
      </c>
      <c r="B523" s="1" t="n">
        <v>45626</v>
      </c>
      <c r="C523" s="1" t="n">
        <v>45994</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42372-2024</t>
        </is>
      </c>
      <c r="B524" s="1" t="n">
        <v>45564.5127199074</v>
      </c>
      <c r="C524" s="1" t="n">
        <v>45994</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28071-2023</t>
        </is>
      </c>
      <c r="B525" s="1" t="n">
        <v>45099.37755787037</v>
      </c>
      <c r="C525" s="1" t="n">
        <v>45994</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9885-2021</t>
        </is>
      </c>
      <c r="B526" s="1" t="n">
        <v>44253</v>
      </c>
      <c r="C526" s="1" t="n">
        <v>45994</v>
      </c>
      <c r="D526" t="inlineStr">
        <is>
          <t>SKÅNE LÄN</t>
        </is>
      </c>
      <c r="E526" t="inlineStr">
        <is>
          <t>HÄSSLEHOLM</t>
        </is>
      </c>
      <c r="G526" t="n">
        <v>2.4</v>
      </c>
      <c r="H526" t="n">
        <v>0</v>
      </c>
      <c r="I526" t="n">
        <v>0</v>
      </c>
      <c r="J526" t="n">
        <v>0</v>
      </c>
      <c r="K526" t="n">
        <v>0</v>
      </c>
      <c r="L526" t="n">
        <v>0</v>
      </c>
      <c r="M526" t="n">
        <v>0</v>
      </c>
      <c r="N526" t="n">
        <v>0</v>
      </c>
      <c r="O526" t="n">
        <v>0</v>
      </c>
      <c r="P526" t="n">
        <v>0</v>
      </c>
      <c r="Q526" t="n">
        <v>0</v>
      </c>
      <c r="R526" s="2" t="inlineStr"/>
    </row>
    <row r="527" ht="15" customHeight="1">
      <c r="A527" t="inlineStr">
        <is>
          <t>A 6180-2021</t>
        </is>
      </c>
      <c r="B527" s="1" t="n">
        <v>44232</v>
      </c>
      <c r="C527" s="1" t="n">
        <v>45994</v>
      </c>
      <c r="D527" t="inlineStr">
        <is>
          <t>SKÅNE LÄN</t>
        </is>
      </c>
      <c r="E527" t="inlineStr">
        <is>
          <t>HÄSSLEHOLM</t>
        </is>
      </c>
      <c r="F527" t="inlineStr">
        <is>
          <t>Kyrkan</t>
        </is>
      </c>
      <c r="G527" t="n">
        <v>1.1</v>
      </c>
      <c r="H527" t="n">
        <v>0</v>
      </c>
      <c r="I527" t="n">
        <v>0</v>
      </c>
      <c r="J527" t="n">
        <v>0</v>
      </c>
      <c r="K527" t="n">
        <v>0</v>
      </c>
      <c r="L527" t="n">
        <v>0</v>
      </c>
      <c r="M527" t="n">
        <v>0</v>
      </c>
      <c r="N527" t="n">
        <v>0</v>
      </c>
      <c r="O527" t="n">
        <v>0</v>
      </c>
      <c r="P527" t="n">
        <v>0</v>
      </c>
      <c r="Q527" t="n">
        <v>0</v>
      </c>
      <c r="R527" s="2" t="inlineStr"/>
    </row>
    <row r="528" ht="15" customHeight="1">
      <c r="A528" t="inlineStr">
        <is>
          <t>A 18648-2021</t>
        </is>
      </c>
      <c r="B528" s="1" t="n">
        <v>44306.70583333333</v>
      </c>
      <c r="C528" s="1" t="n">
        <v>45994</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17138-2025</t>
        </is>
      </c>
      <c r="B529" s="1" t="n">
        <v>45755.80378472222</v>
      </c>
      <c r="C529" s="1" t="n">
        <v>45994</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23946-2023</t>
        </is>
      </c>
      <c r="B530" s="1" t="n">
        <v>45078.61601851852</v>
      </c>
      <c r="C530" s="1" t="n">
        <v>45994</v>
      </c>
      <c r="D530" t="inlineStr">
        <is>
          <t>SKÅNE LÄN</t>
        </is>
      </c>
      <c r="E530" t="inlineStr">
        <is>
          <t>HÄSSLEHOLM</t>
        </is>
      </c>
      <c r="G530" t="n">
        <v>0.2</v>
      </c>
      <c r="H530" t="n">
        <v>0</v>
      </c>
      <c r="I530" t="n">
        <v>0</v>
      </c>
      <c r="J530" t="n">
        <v>0</v>
      </c>
      <c r="K530" t="n">
        <v>0</v>
      </c>
      <c r="L530" t="n">
        <v>0</v>
      </c>
      <c r="M530" t="n">
        <v>0</v>
      </c>
      <c r="N530" t="n">
        <v>0</v>
      </c>
      <c r="O530" t="n">
        <v>0</v>
      </c>
      <c r="P530" t="n">
        <v>0</v>
      </c>
      <c r="Q530" t="n">
        <v>0</v>
      </c>
      <c r="R530" s="2" t="inlineStr"/>
    </row>
    <row r="531" ht="15" customHeight="1">
      <c r="A531" t="inlineStr">
        <is>
          <t>A 57695-2023</t>
        </is>
      </c>
      <c r="B531" s="1" t="n">
        <v>45246</v>
      </c>
      <c r="C531" s="1" t="n">
        <v>45994</v>
      </c>
      <c r="D531" t="inlineStr">
        <is>
          <t>SKÅNE LÄN</t>
        </is>
      </c>
      <c r="E531" t="inlineStr">
        <is>
          <t>HÄSSLEHOLM</t>
        </is>
      </c>
      <c r="G531" t="n">
        <v>1.4</v>
      </c>
      <c r="H531" t="n">
        <v>0</v>
      </c>
      <c r="I531" t="n">
        <v>0</v>
      </c>
      <c r="J531" t="n">
        <v>0</v>
      </c>
      <c r="K531" t="n">
        <v>0</v>
      </c>
      <c r="L531" t="n">
        <v>0</v>
      </c>
      <c r="M531" t="n">
        <v>0</v>
      </c>
      <c r="N531" t="n">
        <v>0</v>
      </c>
      <c r="O531" t="n">
        <v>0</v>
      </c>
      <c r="P531" t="n">
        <v>0</v>
      </c>
      <c r="Q531" t="n">
        <v>0</v>
      </c>
      <c r="R531" s="2" t="inlineStr"/>
    </row>
    <row r="532" ht="15" customHeight="1">
      <c r="A532" t="inlineStr">
        <is>
          <t>A 41459-2022</t>
        </is>
      </c>
      <c r="B532" s="1" t="n">
        <v>44826.93372685185</v>
      </c>
      <c r="C532" s="1" t="n">
        <v>45994</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22024-2025</t>
        </is>
      </c>
      <c r="B533" s="1" t="n">
        <v>45784.85322916666</v>
      </c>
      <c r="C533" s="1" t="n">
        <v>45994</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12162-2023</t>
        </is>
      </c>
      <c r="B534" s="1" t="n">
        <v>44998.49619212963</v>
      </c>
      <c r="C534" s="1" t="n">
        <v>45994</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35711-2024</t>
        </is>
      </c>
      <c r="B535" s="1" t="n">
        <v>45532</v>
      </c>
      <c r="C535" s="1" t="n">
        <v>45994</v>
      </c>
      <c r="D535" t="inlineStr">
        <is>
          <t>SKÅNE LÄN</t>
        </is>
      </c>
      <c r="E535" t="inlineStr">
        <is>
          <t>HÄSSLEHOLM</t>
        </is>
      </c>
      <c r="G535" t="n">
        <v>1.4</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45994</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13347-2025</t>
        </is>
      </c>
      <c r="B537" s="1" t="n">
        <v>45735.63175925926</v>
      </c>
      <c r="C537" s="1" t="n">
        <v>45994</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4916-2024</t>
        </is>
      </c>
      <c r="B538" s="1" t="n">
        <v>45329</v>
      </c>
      <c r="C538" s="1" t="n">
        <v>45994</v>
      </c>
      <c r="D538" t="inlineStr">
        <is>
          <t>SKÅNE LÄN</t>
        </is>
      </c>
      <c r="E538" t="inlineStr">
        <is>
          <t>HÄSSLEHOLM</t>
        </is>
      </c>
      <c r="G538" t="n">
        <v>1.3</v>
      </c>
      <c r="H538" t="n">
        <v>0</v>
      </c>
      <c r="I538" t="n">
        <v>0</v>
      </c>
      <c r="J538" t="n">
        <v>0</v>
      </c>
      <c r="K538" t="n">
        <v>0</v>
      </c>
      <c r="L538" t="n">
        <v>0</v>
      </c>
      <c r="M538" t="n">
        <v>0</v>
      </c>
      <c r="N538" t="n">
        <v>0</v>
      </c>
      <c r="O538" t="n">
        <v>0</v>
      </c>
      <c r="P538" t="n">
        <v>0</v>
      </c>
      <c r="Q538" t="n">
        <v>0</v>
      </c>
      <c r="R538" s="2" t="inlineStr"/>
    </row>
    <row r="539" ht="15" customHeight="1">
      <c r="A539" t="inlineStr">
        <is>
          <t>A 27175-2024</t>
        </is>
      </c>
      <c r="B539" s="1" t="n">
        <v>45471.57111111111</v>
      </c>
      <c r="C539" s="1" t="n">
        <v>45994</v>
      </c>
      <c r="D539" t="inlineStr">
        <is>
          <t>SKÅNE LÄN</t>
        </is>
      </c>
      <c r="E539" t="inlineStr">
        <is>
          <t>HÄSSLEHOLM</t>
        </is>
      </c>
      <c r="G539" t="n">
        <v>1</v>
      </c>
      <c r="H539" t="n">
        <v>0</v>
      </c>
      <c r="I539" t="n">
        <v>0</v>
      </c>
      <c r="J539" t="n">
        <v>0</v>
      </c>
      <c r="K539" t="n">
        <v>0</v>
      </c>
      <c r="L539" t="n">
        <v>0</v>
      </c>
      <c r="M539" t="n">
        <v>0</v>
      </c>
      <c r="N539" t="n">
        <v>0</v>
      </c>
      <c r="O539" t="n">
        <v>0</v>
      </c>
      <c r="P539" t="n">
        <v>0</v>
      </c>
      <c r="Q539" t="n">
        <v>0</v>
      </c>
      <c r="R539" s="2" t="inlineStr"/>
    </row>
    <row r="540" ht="15" customHeight="1">
      <c r="A540" t="inlineStr">
        <is>
          <t>A 20006-2025</t>
        </is>
      </c>
      <c r="B540" s="1" t="n">
        <v>45772.05032407407</v>
      </c>
      <c r="C540" s="1" t="n">
        <v>45994</v>
      </c>
      <c r="D540" t="inlineStr">
        <is>
          <t>SKÅNE LÄN</t>
        </is>
      </c>
      <c r="E540" t="inlineStr">
        <is>
          <t>HÄSSLEHOLM</t>
        </is>
      </c>
      <c r="G540" t="n">
        <v>3.9</v>
      </c>
      <c r="H540" t="n">
        <v>0</v>
      </c>
      <c r="I540" t="n">
        <v>0</v>
      </c>
      <c r="J540" t="n">
        <v>0</v>
      </c>
      <c r="K540" t="n">
        <v>0</v>
      </c>
      <c r="L540" t="n">
        <v>0</v>
      </c>
      <c r="M540" t="n">
        <v>0</v>
      </c>
      <c r="N540" t="n">
        <v>0</v>
      </c>
      <c r="O540" t="n">
        <v>0</v>
      </c>
      <c r="P540" t="n">
        <v>0</v>
      </c>
      <c r="Q540" t="n">
        <v>0</v>
      </c>
      <c r="R540" s="2" t="inlineStr"/>
    </row>
    <row r="541" ht="15" customHeight="1">
      <c r="A541" t="inlineStr">
        <is>
          <t>A 54658-2023</t>
        </is>
      </c>
      <c r="B541" s="1" t="n">
        <v>45235</v>
      </c>
      <c r="C541" s="1" t="n">
        <v>45994</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61680-2022</t>
        </is>
      </c>
      <c r="B542" s="1" t="n">
        <v>44917.36372685185</v>
      </c>
      <c r="C542" s="1" t="n">
        <v>45994</v>
      </c>
      <c r="D542" t="inlineStr">
        <is>
          <t>SKÅNE LÄN</t>
        </is>
      </c>
      <c r="E542" t="inlineStr">
        <is>
          <t>HÄSSLEHOLM</t>
        </is>
      </c>
      <c r="G542" t="n">
        <v>2.4</v>
      </c>
      <c r="H542" t="n">
        <v>0</v>
      </c>
      <c r="I542" t="n">
        <v>0</v>
      </c>
      <c r="J542" t="n">
        <v>0</v>
      </c>
      <c r="K542" t="n">
        <v>0</v>
      </c>
      <c r="L542" t="n">
        <v>0</v>
      </c>
      <c r="M542" t="n">
        <v>0</v>
      </c>
      <c r="N542" t="n">
        <v>0</v>
      </c>
      <c r="O542" t="n">
        <v>0</v>
      </c>
      <c r="P542" t="n">
        <v>0</v>
      </c>
      <c r="Q542" t="n">
        <v>0</v>
      </c>
      <c r="R542" s="2" t="inlineStr"/>
    </row>
    <row r="543" ht="15" customHeight="1">
      <c r="A543" t="inlineStr">
        <is>
          <t>A 29847-2024</t>
        </is>
      </c>
      <c r="B543" s="1" t="n">
        <v>45485.6278587963</v>
      </c>
      <c r="C543" s="1" t="n">
        <v>45994</v>
      </c>
      <c r="D543" t="inlineStr">
        <is>
          <t>SKÅNE LÄN</t>
        </is>
      </c>
      <c r="E543" t="inlineStr">
        <is>
          <t>HÄSSLEHOLM</t>
        </is>
      </c>
      <c r="G543" t="n">
        <v>1.2</v>
      </c>
      <c r="H543" t="n">
        <v>0</v>
      </c>
      <c r="I543" t="n">
        <v>0</v>
      </c>
      <c r="J543" t="n">
        <v>0</v>
      </c>
      <c r="K543" t="n">
        <v>0</v>
      </c>
      <c r="L543" t="n">
        <v>0</v>
      </c>
      <c r="M543" t="n">
        <v>0</v>
      </c>
      <c r="N543" t="n">
        <v>0</v>
      </c>
      <c r="O543" t="n">
        <v>0</v>
      </c>
      <c r="P543" t="n">
        <v>0</v>
      </c>
      <c r="Q543" t="n">
        <v>0</v>
      </c>
      <c r="R543" s="2" t="inlineStr"/>
    </row>
    <row r="544" ht="15" customHeight="1">
      <c r="A544" t="inlineStr">
        <is>
          <t>A 61489-2024</t>
        </is>
      </c>
      <c r="B544" s="1" t="n">
        <v>45646.54875</v>
      </c>
      <c r="C544" s="1" t="n">
        <v>45994</v>
      </c>
      <c r="D544" t="inlineStr">
        <is>
          <t>SKÅNE LÄN</t>
        </is>
      </c>
      <c r="E544" t="inlineStr">
        <is>
          <t>HÄSSLEHOLM</t>
        </is>
      </c>
      <c r="G544" t="n">
        <v>1.9</v>
      </c>
      <c r="H544" t="n">
        <v>0</v>
      </c>
      <c r="I544" t="n">
        <v>0</v>
      </c>
      <c r="J544" t="n">
        <v>0</v>
      </c>
      <c r="K544" t="n">
        <v>0</v>
      </c>
      <c r="L544" t="n">
        <v>0</v>
      </c>
      <c r="M544" t="n">
        <v>0</v>
      </c>
      <c r="N544" t="n">
        <v>0</v>
      </c>
      <c r="O544" t="n">
        <v>0</v>
      </c>
      <c r="P544" t="n">
        <v>0</v>
      </c>
      <c r="Q544" t="n">
        <v>0</v>
      </c>
      <c r="R544" s="2" t="inlineStr"/>
    </row>
    <row r="545" ht="15" customHeight="1">
      <c r="A545" t="inlineStr">
        <is>
          <t>A 53055-2021</t>
        </is>
      </c>
      <c r="B545" s="1" t="n">
        <v>44467</v>
      </c>
      <c r="C545" s="1" t="n">
        <v>45994</v>
      </c>
      <c r="D545" t="inlineStr">
        <is>
          <t>SKÅNE LÄN</t>
        </is>
      </c>
      <c r="E545" t="inlineStr">
        <is>
          <t>HÄSSLEHOLM</t>
        </is>
      </c>
      <c r="G545" t="n">
        <v>0.7</v>
      </c>
      <c r="H545" t="n">
        <v>0</v>
      </c>
      <c r="I545" t="n">
        <v>0</v>
      </c>
      <c r="J545" t="n">
        <v>0</v>
      </c>
      <c r="K545" t="n">
        <v>0</v>
      </c>
      <c r="L545" t="n">
        <v>0</v>
      </c>
      <c r="M545" t="n">
        <v>0</v>
      </c>
      <c r="N545" t="n">
        <v>0</v>
      </c>
      <c r="O545" t="n">
        <v>0</v>
      </c>
      <c r="P545" t="n">
        <v>0</v>
      </c>
      <c r="Q545" t="n">
        <v>0</v>
      </c>
      <c r="R545" s="2" t="inlineStr"/>
    </row>
    <row r="546" ht="15" customHeight="1">
      <c r="A546" t="inlineStr">
        <is>
          <t>A 23666-2023</t>
        </is>
      </c>
      <c r="B546" s="1" t="n">
        <v>45077</v>
      </c>
      <c r="C546" s="1" t="n">
        <v>45994</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3726-2024</t>
        </is>
      </c>
      <c r="B547" s="1" t="n">
        <v>45321</v>
      </c>
      <c r="C547" s="1" t="n">
        <v>45994</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17699-2024</t>
        </is>
      </c>
      <c r="B548" s="1" t="n">
        <v>45418.46094907408</v>
      </c>
      <c r="C548" s="1" t="n">
        <v>45994</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17702-2024</t>
        </is>
      </c>
      <c r="B549" s="1" t="n">
        <v>45418.46534722222</v>
      </c>
      <c r="C549" s="1" t="n">
        <v>45994</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53085-2022</t>
        </is>
      </c>
      <c r="B550" s="1" t="n">
        <v>44873</v>
      </c>
      <c r="C550" s="1" t="n">
        <v>45994</v>
      </c>
      <c r="D550" t="inlineStr">
        <is>
          <t>SKÅNE LÄN</t>
        </is>
      </c>
      <c r="E550" t="inlineStr">
        <is>
          <t>HÄSSLEHOLM</t>
        </is>
      </c>
      <c r="G550" t="n">
        <v>1.9</v>
      </c>
      <c r="H550" t="n">
        <v>0</v>
      </c>
      <c r="I550" t="n">
        <v>0</v>
      </c>
      <c r="J550" t="n">
        <v>0</v>
      </c>
      <c r="K550" t="n">
        <v>0</v>
      </c>
      <c r="L550" t="n">
        <v>0</v>
      </c>
      <c r="M550" t="n">
        <v>0</v>
      </c>
      <c r="N550" t="n">
        <v>0</v>
      </c>
      <c r="O550" t="n">
        <v>0</v>
      </c>
      <c r="P550" t="n">
        <v>0</v>
      </c>
      <c r="Q550" t="n">
        <v>0</v>
      </c>
      <c r="R550" s="2" t="inlineStr"/>
    </row>
    <row r="551" ht="15" customHeight="1">
      <c r="A551" t="inlineStr">
        <is>
          <t>A 6101-2022</t>
        </is>
      </c>
      <c r="B551" s="1" t="n">
        <v>44599.63016203704</v>
      </c>
      <c r="C551" s="1" t="n">
        <v>45994</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56735-2024</t>
        </is>
      </c>
      <c r="B552" s="1" t="n">
        <v>45628.36234953703</v>
      </c>
      <c r="C552" s="1" t="n">
        <v>45994</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28211-2022</t>
        </is>
      </c>
      <c r="B553" s="1" t="n">
        <v>44746</v>
      </c>
      <c r="C553" s="1" t="n">
        <v>45994</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16951-2025</t>
        </is>
      </c>
      <c r="B554" s="1" t="n">
        <v>45755</v>
      </c>
      <c r="C554" s="1" t="n">
        <v>45994</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29844-2024</t>
        </is>
      </c>
      <c r="B555" s="1" t="n">
        <v>45485</v>
      </c>
      <c r="C555" s="1" t="n">
        <v>45994</v>
      </c>
      <c r="D555" t="inlineStr">
        <is>
          <t>SKÅNE LÄN</t>
        </is>
      </c>
      <c r="E555" t="inlineStr">
        <is>
          <t>HÄSSLEHOLM</t>
        </is>
      </c>
      <c r="G555" t="n">
        <v>1.9</v>
      </c>
      <c r="H555" t="n">
        <v>0</v>
      </c>
      <c r="I555" t="n">
        <v>0</v>
      </c>
      <c r="J555" t="n">
        <v>0</v>
      </c>
      <c r="K555" t="n">
        <v>0</v>
      </c>
      <c r="L555" t="n">
        <v>0</v>
      </c>
      <c r="M555" t="n">
        <v>0</v>
      </c>
      <c r="N555" t="n">
        <v>0</v>
      </c>
      <c r="O555" t="n">
        <v>0</v>
      </c>
      <c r="P555" t="n">
        <v>0</v>
      </c>
      <c r="Q555" t="n">
        <v>0</v>
      </c>
      <c r="R555" s="2" t="inlineStr"/>
    </row>
    <row r="556" ht="15" customHeight="1">
      <c r="A556" t="inlineStr">
        <is>
          <t>A 32154-2024</t>
        </is>
      </c>
      <c r="B556" s="1" t="n">
        <v>45511</v>
      </c>
      <c r="C556" s="1" t="n">
        <v>45994</v>
      </c>
      <c r="D556" t="inlineStr">
        <is>
          <t>SKÅNE LÄN</t>
        </is>
      </c>
      <c r="E556" t="inlineStr">
        <is>
          <t>HÄSSLEHOLM</t>
        </is>
      </c>
      <c r="G556" t="n">
        <v>6.4</v>
      </c>
      <c r="H556" t="n">
        <v>0</v>
      </c>
      <c r="I556" t="n">
        <v>0</v>
      </c>
      <c r="J556" t="n">
        <v>0</v>
      </c>
      <c r="K556" t="n">
        <v>0</v>
      </c>
      <c r="L556" t="n">
        <v>0</v>
      </c>
      <c r="M556" t="n">
        <v>0</v>
      </c>
      <c r="N556" t="n">
        <v>0</v>
      </c>
      <c r="O556" t="n">
        <v>0</v>
      </c>
      <c r="P556" t="n">
        <v>0</v>
      </c>
      <c r="Q556" t="n">
        <v>0</v>
      </c>
      <c r="R556" s="2" t="inlineStr"/>
    </row>
    <row r="557" ht="15" customHeight="1">
      <c r="A557" t="inlineStr">
        <is>
          <t>A 22384-2024</t>
        </is>
      </c>
      <c r="B557" s="1" t="n">
        <v>45446.65592592592</v>
      </c>
      <c r="C557" s="1" t="n">
        <v>45994</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15990-2023</t>
        </is>
      </c>
      <c r="B558" s="1" t="n">
        <v>45023.39584490741</v>
      </c>
      <c r="C558" s="1" t="n">
        <v>45994</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16614-2025</t>
        </is>
      </c>
      <c r="B559" s="1" t="n">
        <v>45754.283125</v>
      </c>
      <c r="C559" s="1" t="n">
        <v>45994</v>
      </c>
      <c r="D559" t="inlineStr">
        <is>
          <t>SKÅNE LÄN</t>
        </is>
      </c>
      <c r="E559" t="inlineStr">
        <is>
          <t>HÄSSLEHOLM</t>
        </is>
      </c>
      <c r="G559" t="n">
        <v>1</v>
      </c>
      <c r="H559" t="n">
        <v>0</v>
      </c>
      <c r="I559" t="n">
        <v>0</v>
      </c>
      <c r="J559" t="n">
        <v>0</v>
      </c>
      <c r="K559" t="n">
        <v>0</v>
      </c>
      <c r="L559" t="n">
        <v>0</v>
      </c>
      <c r="M559" t="n">
        <v>0</v>
      </c>
      <c r="N559" t="n">
        <v>0</v>
      </c>
      <c r="O559" t="n">
        <v>0</v>
      </c>
      <c r="P559" t="n">
        <v>0</v>
      </c>
      <c r="Q559" t="n">
        <v>0</v>
      </c>
      <c r="R559" s="2" t="inlineStr"/>
    </row>
    <row r="560" ht="15" customHeight="1">
      <c r="A560" t="inlineStr">
        <is>
          <t>A 3888-2024</t>
        </is>
      </c>
      <c r="B560" s="1" t="n">
        <v>45322.45089120371</v>
      </c>
      <c r="C560" s="1" t="n">
        <v>45994</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3889-2024</t>
        </is>
      </c>
      <c r="B561" s="1" t="n">
        <v>45322.45234953704</v>
      </c>
      <c r="C561" s="1" t="n">
        <v>45994</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3294-2025</t>
        </is>
      </c>
      <c r="B562" s="1" t="n">
        <v>45679.64125</v>
      </c>
      <c r="C562" s="1" t="n">
        <v>45994</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9669-2025</t>
        </is>
      </c>
      <c r="B563" s="1" t="n">
        <v>45716.32921296296</v>
      </c>
      <c r="C563" s="1" t="n">
        <v>45994</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26207-2021</t>
        </is>
      </c>
      <c r="B564" s="1" t="n">
        <v>44347</v>
      </c>
      <c r="C564" s="1" t="n">
        <v>45994</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31995-2023</t>
        </is>
      </c>
      <c r="B565" s="1" t="n">
        <v>45107</v>
      </c>
      <c r="C565" s="1" t="n">
        <v>45994</v>
      </c>
      <c r="D565" t="inlineStr">
        <is>
          <t>SKÅNE LÄN</t>
        </is>
      </c>
      <c r="E565" t="inlineStr">
        <is>
          <t>HÄSSLEHOLM</t>
        </is>
      </c>
      <c r="G565" t="n">
        <v>7.3</v>
      </c>
      <c r="H565" t="n">
        <v>0</v>
      </c>
      <c r="I565" t="n">
        <v>0</v>
      </c>
      <c r="J565" t="n">
        <v>0</v>
      </c>
      <c r="K565" t="n">
        <v>0</v>
      </c>
      <c r="L565" t="n">
        <v>0</v>
      </c>
      <c r="M565" t="n">
        <v>0</v>
      </c>
      <c r="N565" t="n">
        <v>0</v>
      </c>
      <c r="O565" t="n">
        <v>0</v>
      </c>
      <c r="P565" t="n">
        <v>0</v>
      </c>
      <c r="Q565" t="n">
        <v>0</v>
      </c>
      <c r="R565" s="2" t="inlineStr"/>
    </row>
    <row r="566" ht="15" customHeight="1">
      <c r="A566" t="inlineStr">
        <is>
          <t>A 31998-2023</t>
        </is>
      </c>
      <c r="B566" s="1" t="n">
        <v>45119</v>
      </c>
      <c r="C566" s="1" t="n">
        <v>45994</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62199-2022</t>
        </is>
      </c>
      <c r="B567" s="1" t="n">
        <v>44915</v>
      </c>
      <c r="C567" s="1" t="n">
        <v>45994</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5478-2021</t>
        </is>
      </c>
      <c r="B568" s="1" t="n">
        <v>44230</v>
      </c>
      <c r="C568" s="1" t="n">
        <v>45994</v>
      </c>
      <c r="D568" t="inlineStr">
        <is>
          <t>SKÅNE LÄN</t>
        </is>
      </c>
      <c r="E568" t="inlineStr">
        <is>
          <t>HÄSSLEHOLM</t>
        </is>
      </c>
      <c r="G568" t="n">
        <v>0.1</v>
      </c>
      <c r="H568" t="n">
        <v>0</v>
      </c>
      <c r="I568" t="n">
        <v>0</v>
      </c>
      <c r="J568" t="n">
        <v>0</v>
      </c>
      <c r="K568" t="n">
        <v>0</v>
      </c>
      <c r="L568" t="n">
        <v>0</v>
      </c>
      <c r="M568" t="n">
        <v>0</v>
      </c>
      <c r="N568" t="n">
        <v>0</v>
      </c>
      <c r="O568" t="n">
        <v>0</v>
      </c>
      <c r="P568" t="n">
        <v>0</v>
      </c>
      <c r="Q568" t="n">
        <v>0</v>
      </c>
      <c r="R568" s="2" t="inlineStr"/>
    </row>
    <row r="569" ht="15" customHeight="1">
      <c r="A569" t="inlineStr">
        <is>
          <t>A 9098-2022</t>
        </is>
      </c>
      <c r="B569" s="1" t="n">
        <v>44615</v>
      </c>
      <c r="C569" s="1" t="n">
        <v>45994</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19151-2023</t>
        </is>
      </c>
      <c r="B570" s="1" t="n">
        <v>45044</v>
      </c>
      <c r="C570" s="1" t="n">
        <v>45994</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7150-2025</t>
        </is>
      </c>
      <c r="B571" s="1" t="n">
        <v>45702.38239583333</v>
      </c>
      <c r="C571" s="1" t="n">
        <v>45994</v>
      </c>
      <c r="D571" t="inlineStr">
        <is>
          <t>SKÅNE LÄN</t>
        </is>
      </c>
      <c r="E571" t="inlineStr">
        <is>
          <t>HÄSSLEHOLM</t>
        </is>
      </c>
      <c r="G571" t="n">
        <v>2.3</v>
      </c>
      <c r="H571" t="n">
        <v>0</v>
      </c>
      <c r="I571" t="n">
        <v>0</v>
      </c>
      <c r="J571" t="n">
        <v>0</v>
      </c>
      <c r="K571" t="n">
        <v>0</v>
      </c>
      <c r="L571" t="n">
        <v>0</v>
      </c>
      <c r="M571" t="n">
        <v>0</v>
      </c>
      <c r="N571" t="n">
        <v>0</v>
      </c>
      <c r="O571" t="n">
        <v>0</v>
      </c>
      <c r="P571" t="n">
        <v>0</v>
      </c>
      <c r="Q571" t="n">
        <v>0</v>
      </c>
      <c r="R571" s="2" t="inlineStr"/>
    </row>
    <row r="572" ht="15" customHeight="1">
      <c r="A572" t="inlineStr">
        <is>
          <t>A 20185-2023</t>
        </is>
      </c>
      <c r="B572" s="1" t="n">
        <v>45055.56795138889</v>
      </c>
      <c r="C572" s="1" t="n">
        <v>45994</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51571-2023</t>
        </is>
      </c>
      <c r="B573" s="1" t="n">
        <v>45222</v>
      </c>
      <c r="C573" s="1" t="n">
        <v>45994</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2688-2024</t>
        </is>
      </c>
      <c r="B574" s="1" t="n">
        <v>45314</v>
      </c>
      <c r="C574" s="1" t="n">
        <v>45994</v>
      </c>
      <c r="D574" t="inlineStr">
        <is>
          <t>SKÅNE LÄN</t>
        </is>
      </c>
      <c r="E574" t="inlineStr">
        <is>
          <t>HÄSSLEHOLM</t>
        </is>
      </c>
      <c r="F574" t="inlineStr">
        <is>
          <t>Övriga Aktiebolag</t>
        </is>
      </c>
      <c r="G574" t="n">
        <v>2.8</v>
      </c>
      <c r="H574" t="n">
        <v>0</v>
      </c>
      <c r="I574" t="n">
        <v>0</v>
      </c>
      <c r="J574" t="n">
        <v>0</v>
      </c>
      <c r="K574" t="n">
        <v>0</v>
      </c>
      <c r="L574" t="n">
        <v>0</v>
      </c>
      <c r="M574" t="n">
        <v>0</v>
      </c>
      <c r="N574" t="n">
        <v>0</v>
      </c>
      <c r="O574" t="n">
        <v>0</v>
      </c>
      <c r="P574" t="n">
        <v>0</v>
      </c>
      <c r="Q574" t="n">
        <v>0</v>
      </c>
      <c r="R574" s="2" t="inlineStr"/>
    </row>
    <row r="575" ht="15" customHeight="1">
      <c r="A575" t="inlineStr">
        <is>
          <t>A 29850-2024</t>
        </is>
      </c>
      <c r="B575" s="1" t="n">
        <v>45485.64620370371</v>
      </c>
      <c r="C575" s="1" t="n">
        <v>45994</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49181-2024</t>
        </is>
      </c>
      <c r="B576" s="1" t="n">
        <v>45595</v>
      </c>
      <c r="C576" s="1" t="n">
        <v>45994</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30007-2023</t>
        </is>
      </c>
      <c r="B577" s="1" t="n">
        <v>45109.80349537037</v>
      </c>
      <c r="C577" s="1" t="n">
        <v>45994</v>
      </c>
      <c r="D577" t="inlineStr">
        <is>
          <t>SKÅNE LÄN</t>
        </is>
      </c>
      <c r="E577" t="inlineStr">
        <is>
          <t>HÄSSLEHOLM</t>
        </is>
      </c>
      <c r="G577" t="n">
        <v>2.2</v>
      </c>
      <c r="H577" t="n">
        <v>0</v>
      </c>
      <c r="I577" t="n">
        <v>0</v>
      </c>
      <c r="J577" t="n">
        <v>0</v>
      </c>
      <c r="K577" t="n">
        <v>0</v>
      </c>
      <c r="L577" t="n">
        <v>0</v>
      </c>
      <c r="M577" t="n">
        <v>0</v>
      </c>
      <c r="N577" t="n">
        <v>0</v>
      </c>
      <c r="O577" t="n">
        <v>0</v>
      </c>
      <c r="P577" t="n">
        <v>0</v>
      </c>
      <c r="Q577" t="n">
        <v>0</v>
      </c>
      <c r="R577" s="2" t="inlineStr"/>
    </row>
    <row r="578" ht="15" customHeight="1">
      <c r="A578" t="inlineStr">
        <is>
          <t>A 61170-2022</t>
        </is>
      </c>
      <c r="B578" s="1" t="n">
        <v>44915.48543981482</v>
      </c>
      <c r="C578" s="1" t="n">
        <v>45994</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32794-2023</t>
        </is>
      </c>
      <c r="B579" s="1" t="n">
        <v>45124.40446759259</v>
      </c>
      <c r="C579" s="1" t="n">
        <v>45994</v>
      </c>
      <c r="D579" t="inlineStr">
        <is>
          <t>SKÅNE LÄN</t>
        </is>
      </c>
      <c r="E579" t="inlineStr">
        <is>
          <t>HÄSSLEHOLM</t>
        </is>
      </c>
      <c r="G579" t="n">
        <v>1.8</v>
      </c>
      <c r="H579" t="n">
        <v>0</v>
      </c>
      <c r="I579" t="n">
        <v>0</v>
      </c>
      <c r="J579" t="n">
        <v>0</v>
      </c>
      <c r="K579" t="n">
        <v>0</v>
      </c>
      <c r="L579" t="n">
        <v>0</v>
      </c>
      <c r="M579" t="n">
        <v>0</v>
      </c>
      <c r="N579" t="n">
        <v>0</v>
      </c>
      <c r="O579" t="n">
        <v>0</v>
      </c>
      <c r="P579" t="n">
        <v>0</v>
      </c>
      <c r="Q579" t="n">
        <v>0</v>
      </c>
      <c r="R579" s="2" t="inlineStr"/>
    </row>
    <row r="580" ht="15" customHeight="1">
      <c r="A580" t="inlineStr">
        <is>
          <t>A 61436-2024</t>
        </is>
      </c>
      <c r="B580" s="1" t="n">
        <v>45646.46329861111</v>
      </c>
      <c r="C580" s="1" t="n">
        <v>45994</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4187-2023</t>
        </is>
      </c>
      <c r="B581" s="1" t="n">
        <v>44953</v>
      </c>
      <c r="C581" s="1" t="n">
        <v>45994</v>
      </c>
      <c r="D581" t="inlineStr">
        <is>
          <t>SKÅNE LÄN</t>
        </is>
      </c>
      <c r="E581" t="inlineStr">
        <is>
          <t>HÄSSLEHOLM</t>
        </is>
      </c>
      <c r="G581" t="n">
        <v>3.2</v>
      </c>
      <c r="H581" t="n">
        <v>0</v>
      </c>
      <c r="I581" t="n">
        <v>0</v>
      </c>
      <c r="J581" t="n">
        <v>0</v>
      </c>
      <c r="K581" t="n">
        <v>0</v>
      </c>
      <c r="L581" t="n">
        <v>0</v>
      </c>
      <c r="M581" t="n">
        <v>0</v>
      </c>
      <c r="N581" t="n">
        <v>0</v>
      </c>
      <c r="O581" t="n">
        <v>0</v>
      </c>
      <c r="P581" t="n">
        <v>0</v>
      </c>
      <c r="Q581" t="n">
        <v>0</v>
      </c>
      <c r="R581" s="2" t="inlineStr"/>
    </row>
    <row r="582" ht="15" customHeight="1">
      <c r="A582" t="inlineStr">
        <is>
          <t>A 42231-2022</t>
        </is>
      </c>
      <c r="B582" s="1" t="n">
        <v>44830.77003472222</v>
      </c>
      <c r="C582" s="1" t="n">
        <v>45994</v>
      </c>
      <c r="D582" t="inlineStr">
        <is>
          <t>SKÅNE LÄN</t>
        </is>
      </c>
      <c r="E582" t="inlineStr">
        <is>
          <t>HÄSSLEHOLM</t>
        </is>
      </c>
      <c r="G582" t="n">
        <v>2.7</v>
      </c>
      <c r="H582" t="n">
        <v>0</v>
      </c>
      <c r="I582" t="n">
        <v>0</v>
      </c>
      <c r="J582" t="n">
        <v>0</v>
      </c>
      <c r="K582" t="n">
        <v>0</v>
      </c>
      <c r="L582" t="n">
        <v>0</v>
      </c>
      <c r="M582" t="n">
        <v>0</v>
      </c>
      <c r="N582" t="n">
        <v>0</v>
      </c>
      <c r="O582" t="n">
        <v>0</v>
      </c>
      <c r="P582" t="n">
        <v>0</v>
      </c>
      <c r="Q582" t="n">
        <v>0</v>
      </c>
      <c r="R582" s="2" t="inlineStr"/>
    </row>
    <row r="583" ht="15" customHeight="1">
      <c r="A583" t="inlineStr">
        <is>
          <t>A 37300-2023</t>
        </is>
      </c>
      <c r="B583" s="1" t="n">
        <v>45156</v>
      </c>
      <c r="C583" s="1" t="n">
        <v>45994</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35644-2023</t>
        </is>
      </c>
      <c r="B584" s="1" t="n">
        <v>45147</v>
      </c>
      <c r="C584" s="1" t="n">
        <v>45994</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59390-2021</t>
        </is>
      </c>
      <c r="B585" s="1" t="n">
        <v>44490</v>
      </c>
      <c r="C585" s="1" t="n">
        <v>45994</v>
      </c>
      <c r="D585" t="inlineStr">
        <is>
          <t>SKÅNE LÄN</t>
        </is>
      </c>
      <c r="E585" t="inlineStr">
        <is>
          <t>HÄSSLEHOLM</t>
        </is>
      </c>
      <c r="G585" t="n">
        <v>7.1</v>
      </c>
      <c r="H585" t="n">
        <v>0</v>
      </c>
      <c r="I585" t="n">
        <v>0</v>
      </c>
      <c r="J585" t="n">
        <v>0</v>
      </c>
      <c r="K585" t="n">
        <v>0</v>
      </c>
      <c r="L585" t="n">
        <v>0</v>
      </c>
      <c r="M585" t="n">
        <v>0</v>
      </c>
      <c r="N585" t="n">
        <v>0</v>
      </c>
      <c r="O585" t="n">
        <v>0</v>
      </c>
      <c r="P585" t="n">
        <v>0</v>
      </c>
      <c r="Q585" t="n">
        <v>0</v>
      </c>
      <c r="R585" s="2" t="inlineStr"/>
    </row>
    <row r="586" ht="15" customHeight="1">
      <c r="A586" t="inlineStr">
        <is>
          <t>A 43629-2023</t>
        </is>
      </c>
      <c r="B586" s="1" t="n">
        <v>45184</v>
      </c>
      <c r="C586" s="1" t="n">
        <v>45994</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3123-2023</t>
        </is>
      </c>
      <c r="B587" s="1" t="n">
        <v>44946.4925</v>
      </c>
      <c r="C587" s="1" t="n">
        <v>45994</v>
      </c>
      <c r="D587" t="inlineStr">
        <is>
          <t>SKÅNE LÄN</t>
        </is>
      </c>
      <c r="E587" t="inlineStr">
        <is>
          <t>HÄSSLEHOLM</t>
        </is>
      </c>
      <c r="G587" t="n">
        <v>3.5</v>
      </c>
      <c r="H587" t="n">
        <v>0</v>
      </c>
      <c r="I587" t="n">
        <v>0</v>
      </c>
      <c r="J587" t="n">
        <v>0</v>
      </c>
      <c r="K587" t="n">
        <v>0</v>
      </c>
      <c r="L587" t="n">
        <v>0</v>
      </c>
      <c r="M587" t="n">
        <v>0</v>
      </c>
      <c r="N587" t="n">
        <v>0</v>
      </c>
      <c r="O587" t="n">
        <v>0</v>
      </c>
      <c r="P587" t="n">
        <v>0</v>
      </c>
      <c r="Q587" t="n">
        <v>0</v>
      </c>
      <c r="R587" s="2" t="inlineStr"/>
    </row>
    <row r="588" ht="15" customHeight="1">
      <c r="A588" t="inlineStr">
        <is>
          <t>A 3126-2023</t>
        </is>
      </c>
      <c r="B588" s="1" t="n">
        <v>44946.49570601852</v>
      </c>
      <c r="C588" s="1" t="n">
        <v>45994</v>
      </c>
      <c r="D588" t="inlineStr">
        <is>
          <t>SKÅNE LÄN</t>
        </is>
      </c>
      <c r="E588" t="inlineStr">
        <is>
          <t>HÄSSLEHOLM</t>
        </is>
      </c>
      <c r="G588" t="n">
        <v>2.2</v>
      </c>
      <c r="H588" t="n">
        <v>0</v>
      </c>
      <c r="I588" t="n">
        <v>0</v>
      </c>
      <c r="J588" t="n">
        <v>0</v>
      </c>
      <c r="K588" t="n">
        <v>0</v>
      </c>
      <c r="L588" t="n">
        <v>0</v>
      </c>
      <c r="M588" t="n">
        <v>0</v>
      </c>
      <c r="N588" t="n">
        <v>0</v>
      </c>
      <c r="O588" t="n">
        <v>0</v>
      </c>
      <c r="P588" t="n">
        <v>0</v>
      </c>
      <c r="Q588" t="n">
        <v>0</v>
      </c>
      <c r="R588" s="2" t="inlineStr"/>
    </row>
    <row r="589" ht="15" customHeight="1">
      <c r="A589" t="inlineStr">
        <is>
          <t>A 13990-2022</t>
        </is>
      </c>
      <c r="B589" s="1" t="n">
        <v>44650</v>
      </c>
      <c r="C589" s="1" t="n">
        <v>45994</v>
      </c>
      <c r="D589" t="inlineStr">
        <is>
          <t>SKÅNE LÄN</t>
        </is>
      </c>
      <c r="E589" t="inlineStr">
        <is>
          <t>HÄSSLEHOLM</t>
        </is>
      </c>
      <c r="G589" t="n">
        <v>3.6</v>
      </c>
      <c r="H589" t="n">
        <v>0</v>
      </c>
      <c r="I589" t="n">
        <v>0</v>
      </c>
      <c r="J589" t="n">
        <v>0</v>
      </c>
      <c r="K589" t="n">
        <v>0</v>
      </c>
      <c r="L589" t="n">
        <v>0</v>
      </c>
      <c r="M589" t="n">
        <v>0</v>
      </c>
      <c r="N589" t="n">
        <v>0</v>
      </c>
      <c r="O589" t="n">
        <v>0</v>
      </c>
      <c r="P589" t="n">
        <v>0</v>
      </c>
      <c r="Q589" t="n">
        <v>0</v>
      </c>
      <c r="R589" s="2" t="inlineStr"/>
    </row>
    <row r="590" ht="15" customHeight="1">
      <c r="A590" t="inlineStr">
        <is>
          <t>A 37318-2024</t>
        </is>
      </c>
      <c r="B590" s="1" t="n">
        <v>45540</v>
      </c>
      <c r="C590" s="1" t="n">
        <v>45994</v>
      </c>
      <c r="D590" t="inlineStr">
        <is>
          <t>SKÅNE LÄN</t>
        </is>
      </c>
      <c r="E590" t="inlineStr">
        <is>
          <t>HÄSSLEHOLM</t>
        </is>
      </c>
      <c r="G590" t="n">
        <v>3.9</v>
      </c>
      <c r="H590" t="n">
        <v>0</v>
      </c>
      <c r="I590" t="n">
        <v>0</v>
      </c>
      <c r="J590" t="n">
        <v>0</v>
      </c>
      <c r="K590" t="n">
        <v>0</v>
      </c>
      <c r="L590" t="n">
        <v>0</v>
      </c>
      <c r="M590" t="n">
        <v>0</v>
      </c>
      <c r="N590" t="n">
        <v>0</v>
      </c>
      <c r="O590" t="n">
        <v>0</v>
      </c>
      <c r="P590" t="n">
        <v>0</v>
      </c>
      <c r="Q590" t="n">
        <v>0</v>
      </c>
      <c r="R590" s="2" t="inlineStr"/>
    </row>
    <row r="591" ht="15" customHeight="1">
      <c r="A591" t="inlineStr">
        <is>
          <t>A 37324-2024</t>
        </is>
      </c>
      <c r="B591" s="1" t="n">
        <v>45540.50104166667</v>
      </c>
      <c r="C591" s="1" t="n">
        <v>45994</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57656-2022</t>
        </is>
      </c>
      <c r="B592" s="1" t="n">
        <v>44897.4325925926</v>
      </c>
      <c r="C592" s="1" t="n">
        <v>45994</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32881-2024</t>
        </is>
      </c>
      <c r="B593" s="1" t="n">
        <v>45516</v>
      </c>
      <c r="C593" s="1" t="n">
        <v>45994</v>
      </c>
      <c r="D593" t="inlineStr">
        <is>
          <t>SKÅNE LÄN</t>
        </is>
      </c>
      <c r="E593" t="inlineStr">
        <is>
          <t>HÄSSLEHOLM</t>
        </is>
      </c>
      <c r="G593" t="n">
        <v>6.3</v>
      </c>
      <c r="H593" t="n">
        <v>0</v>
      </c>
      <c r="I593" t="n">
        <v>0</v>
      </c>
      <c r="J593" t="n">
        <v>0</v>
      </c>
      <c r="K593" t="n">
        <v>0</v>
      </c>
      <c r="L593" t="n">
        <v>0</v>
      </c>
      <c r="M593" t="n">
        <v>0</v>
      </c>
      <c r="N593" t="n">
        <v>0</v>
      </c>
      <c r="O593" t="n">
        <v>0</v>
      </c>
      <c r="P593" t="n">
        <v>0</v>
      </c>
      <c r="Q593" t="n">
        <v>0</v>
      </c>
      <c r="R593" s="2" t="inlineStr"/>
    </row>
    <row r="594" ht="15" customHeight="1">
      <c r="A594" t="inlineStr">
        <is>
          <t>A 55662-2022</t>
        </is>
      </c>
      <c r="B594" s="1" t="n">
        <v>44883</v>
      </c>
      <c r="C594" s="1" t="n">
        <v>45994</v>
      </c>
      <c r="D594" t="inlineStr">
        <is>
          <t>SKÅNE LÄN</t>
        </is>
      </c>
      <c r="E594" t="inlineStr">
        <is>
          <t>HÄSSLEHOLM</t>
        </is>
      </c>
      <c r="F594" t="inlineStr">
        <is>
          <t>Övriga Aktiebolag</t>
        </is>
      </c>
      <c r="G594" t="n">
        <v>2.6</v>
      </c>
      <c r="H594" t="n">
        <v>0</v>
      </c>
      <c r="I594" t="n">
        <v>0</v>
      </c>
      <c r="J594" t="n">
        <v>0</v>
      </c>
      <c r="K594" t="n">
        <v>0</v>
      </c>
      <c r="L594" t="n">
        <v>0</v>
      </c>
      <c r="M594" t="n">
        <v>0</v>
      </c>
      <c r="N594" t="n">
        <v>0</v>
      </c>
      <c r="O594" t="n">
        <v>0</v>
      </c>
      <c r="P594" t="n">
        <v>0</v>
      </c>
      <c r="Q594" t="n">
        <v>0</v>
      </c>
      <c r="R594" s="2" t="inlineStr"/>
    </row>
    <row r="595" ht="15" customHeight="1">
      <c r="A595" t="inlineStr">
        <is>
          <t>A 23860-2024</t>
        </is>
      </c>
      <c r="B595" s="1" t="n">
        <v>45455</v>
      </c>
      <c r="C595" s="1" t="n">
        <v>45994</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23864-2024</t>
        </is>
      </c>
      <c r="B596" s="1" t="n">
        <v>45455</v>
      </c>
      <c r="C596" s="1" t="n">
        <v>45994</v>
      </c>
      <c r="D596" t="inlineStr">
        <is>
          <t>SKÅNE LÄN</t>
        </is>
      </c>
      <c r="E596" t="inlineStr">
        <is>
          <t>HÄSSLEHOLM</t>
        </is>
      </c>
      <c r="G596" t="n">
        <v>6.2</v>
      </c>
      <c r="H596" t="n">
        <v>0</v>
      </c>
      <c r="I596" t="n">
        <v>0</v>
      </c>
      <c r="J596" t="n">
        <v>0</v>
      </c>
      <c r="K596" t="n">
        <v>0</v>
      </c>
      <c r="L596" t="n">
        <v>0</v>
      </c>
      <c r="M596" t="n">
        <v>0</v>
      </c>
      <c r="N596" t="n">
        <v>0</v>
      </c>
      <c r="O596" t="n">
        <v>0</v>
      </c>
      <c r="P596" t="n">
        <v>0</v>
      </c>
      <c r="Q596" t="n">
        <v>0</v>
      </c>
      <c r="R596" s="2" t="inlineStr"/>
    </row>
    <row r="597" ht="15" customHeight="1">
      <c r="A597" t="inlineStr">
        <is>
          <t>A 7192-2025</t>
        </is>
      </c>
      <c r="B597" s="1" t="n">
        <v>45702.44746527778</v>
      </c>
      <c r="C597" s="1" t="n">
        <v>45994</v>
      </c>
      <c r="D597" t="inlineStr">
        <is>
          <t>SKÅNE LÄN</t>
        </is>
      </c>
      <c r="E597" t="inlineStr">
        <is>
          <t>HÄSSLEHOLM</t>
        </is>
      </c>
      <c r="G597" t="n">
        <v>1.2</v>
      </c>
      <c r="H597" t="n">
        <v>0</v>
      </c>
      <c r="I597" t="n">
        <v>0</v>
      </c>
      <c r="J597" t="n">
        <v>0</v>
      </c>
      <c r="K597" t="n">
        <v>0</v>
      </c>
      <c r="L597" t="n">
        <v>0</v>
      </c>
      <c r="M597" t="n">
        <v>0</v>
      </c>
      <c r="N597" t="n">
        <v>0</v>
      </c>
      <c r="O597" t="n">
        <v>0</v>
      </c>
      <c r="P597" t="n">
        <v>0</v>
      </c>
      <c r="Q597" t="n">
        <v>0</v>
      </c>
      <c r="R597" s="2" t="inlineStr"/>
    </row>
    <row r="598" ht="15" customHeight="1">
      <c r="A598" t="inlineStr">
        <is>
          <t>A 3886-2024</t>
        </is>
      </c>
      <c r="B598" s="1" t="n">
        <v>45322.44539351852</v>
      </c>
      <c r="C598" s="1" t="n">
        <v>45994</v>
      </c>
      <c r="D598" t="inlineStr">
        <is>
          <t>SKÅNE LÄN</t>
        </is>
      </c>
      <c r="E598" t="inlineStr">
        <is>
          <t>HÄSSLEHOLM</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50564-2023</t>
        </is>
      </c>
      <c r="B599" s="1" t="n">
        <v>45217.37957175926</v>
      </c>
      <c r="C599" s="1" t="n">
        <v>45994</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9924-2025</t>
        </is>
      </c>
      <c r="B600" s="1" t="n">
        <v>45717.72505787037</v>
      </c>
      <c r="C600" s="1" t="n">
        <v>45994</v>
      </c>
      <c r="D600" t="inlineStr">
        <is>
          <t>SKÅNE LÄN</t>
        </is>
      </c>
      <c r="E600" t="inlineStr">
        <is>
          <t>HÄSSLEHOLM</t>
        </is>
      </c>
      <c r="G600" t="n">
        <v>1.5</v>
      </c>
      <c r="H600" t="n">
        <v>0</v>
      </c>
      <c r="I600" t="n">
        <v>0</v>
      </c>
      <c r="J600" t="n">
        <v>0</v>
      </c>
      <c r="K600" t="n">
        <v>0</v>
      </c>
      <c r="L600" t="n">
        <v>0</v>
      </c>
      <c r="M600" t="n">
        <v>0</v>
      </c>
      <c r="N600" t="n">
        <v>0</v>
      </c>
      <c r="O600" t="n">
        <v>0</v>
      </c>
      <c r="P600" t="n">
        <v>0</v>
      </c>
      <c r="Q600" t="n">
        <v>0</v>
      </c>
      <c r="R600" s="2" t="inlineStr"/>
    </row>
    <row r="601" ht="15" customHeight="1">
      <c r="A601" t="inlineStr">
        <is>
          <t>A 22587-2025</t>
        </is>
      </c>
      <c r="B601" s="1" t="n">
        <v>45789.39974537037</v>
      </c>
      <c r="C601" s="1" t="n">
        <v>45994</v>
      </c>
      <c r="D601" t="inlineStr">
        <is>
          <t>SKÅNE LÄN</t>
        </is>
      </c>
      <c r="E601" t="inlineStr">
        <is>
          <t>HÄSSLEHOLM</t>
        </is>
      </c>
      <c r="G601" t="n">
        <v>5.7</v>
      </c>
      <c r="H601" t="n">
        <v>0</v>
      </c>
      <c r="I601" t="n">
        <v>0</v>
      </c>
      <c r="J601" t="n">
        <v>0</v>
      </c>
      <c r="K601" t="n">
        <v>0</v>
      </c>
      <c r="L601" t="n">
        <v>0</v>
      </c>
      <c r="M601" t="n">
        <v>0</v>
      </c>
      <c r="N601" t="n">
        <v>0</v>
      </c>
      <c r="O601" t="n">
        <v>0</v>
      </c>
      <c r="P601" t="n">
        <v>0</v>
      </c>
      <c r="Q601" t="n">
        <v>0</v>
      </c>
      <c r="R601" s="2" t="inlineStr"/>
    </row>
    <row r="602" ht="15" customHeight="1">
      <c r="A602" t="inlineStr">
        <is>
          <t>A 43061-2024</t>
        </is>
      </c>
      <c r="B602" s="1" t="n">
        <v>45567</v>
      </c>
      <c r="C602" s="1" t="n">
        <v>45994</v>
      </c>
      <c r="D602" t="inlineStr">
        <is>
          <t>SKÅNE LÄN</t>
        </is>
      </c>
      <c r="E602" t="inlineStr">
        <is>
          <t>HÄSSLEHOLM</t>
        </is>
      </c>
      <c r="G602" t="n">
        <v>4.5</v>
      </c>
      <c r="H602" t="n">
        <v>0</v>
      </c>
      <c r="I602" t="n">
        <v>0</v>
      </c>
      <c r="J602" t="n">
        <v>0</v>
      </c>
      <c r="K602" t="n">
        <v>0</v>
      </c>
      <c r="L602" t="n">
        <v>0</v>
      </c>
      <c r="M602" t="n">
        <v>0</v>
      </c>
      <c r="N602" t="n">
        <v>0</v>
      </c>
      <c r="O602" t="n">
        <v>0</v>
      </c>
      <c r="P602" t="n">
        <v>0</v>
      </c>
      <c r="Q602" t="n">
        <v>0</v>
      </c>
      <c r="R602" s="2" t="inlineStr"/>
    </row>
    <row r="603" ht="15" customHeight="1">
      <c r="A603" t="inlineStr">
        <is>
          <t>A 3452-2023</t>
        </is>
      </c>
      <c r="B603" s="1" t="n">
        <v>44949</v>
      </c>
      <c r="C603" s="1" t="n">
        <v>45994</v>
      </c>
      <c r="D603" t="inlineStr">
        <is>
          <t>SKÅNE LÄN</t>
        </is>
      </c>
      <c r="E603" t="inlineStr">
        <is>
          <t>HÄSSLEHOLM</t>
        </is>
      </c>
      <c r="G603" t="n">
        <v>1.3</v>
      </c>
      <c r="H603" t="n">
        <v>0</v>
      </c>
      <c r="I603" t="n">
        <v>0</v>
      </c>
      <c r="J603" t="n">
        <v>0</v>
      </c>
      <c r="K603" t="n">
        <v>0</v>
      </c>
      <c r="L603" t="n">
        <v>0</v>
      </c>
      <c r="M603" t="n">
        <v>0</v>
      </c>
      <c r="N603" t="n">
        <v>0</v>
      </c>
      <c r="O603" t="n">
        <v>0</v>
      </c>
      <c r="P603" t="n">
        <v>0</v>
      </c>
      <c r="Q603" t="n">
        <v>0</v>
      </c>
      <c r="R603" s="2" t="inlineStr"/>
    </row>
    <row r="604" ht="15" customHeight="1">
      <c r="A604" t="inlineStr">
        <is>
          <t>A 60920-2024</t>
        </is>
      </c>
      <c r="B604" s="1" t="n">
        <v>45645.34442129629</v>
      </c>
      <c r="C604" s="1" t="n">
        <v>45994</v>
      </c>
      <c r="D604" t="inlineStr">
        <is>
          <t>SKÅNE LÄN</t>
        </is>
      </c>
      <c r="E604" t="inlineStr">
        <is>
          <t>HÄSSLEHOLM</t>
        </is>
      </c>
      <c r="G604" t="n">
        <v>2.6</v>
      </c>
      <c r="H604" t="n">
        <v>0</v>
      </c>
      <c r="I604" t="n">
        <v>0</v>
      </c>
      <c r="J604" t="n">
        <v>0</v>
      </c>
      <c r="K604" t="n">
        <v>0</v>
      </c>
      <c r="L604" t="n">
        <v>0</v>
      </c>
      <c r="M604" t="n">
        <v>0</v>
      </c>
      <c r="N604" t="n">
        <v>0</v>
      </c>
      <c r="O604" t="n">
        <v>0</v>
      </c>
      <c r="P604" t="n">
        <v>0</v>
      </c>
      <c r="Q604" t="n">
        <v>0</v>
      </c>
      <c r="R604" s="2" t="inlineStr"/>
    </row>
    <row r="605" ht="15" customHeight="1">
      <c r="A605" t="inlineStr">
        <is>
          <t>A 50525-2024</t>
        </is>
      </c>
      <c r="B605" s="1" t="n">
        <v>45601</v>
      </c>
      <c r="C605" s="1" t="n">
        <v>45994</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260-2024</t>
        </is>
      </c>
      <c r="B606" s="1" t="n">
        <v>45294</v>
      </c>
      <c r="C606" s="1" t="n">
        <v>45994</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40536-2024</t>
        </is>
      </c>
      <c r="B607" s="1" t="n">
        <v>45555.61314814815</v>
      </c>
      <c r="C607" s="1" t="n">
        <v>45994</v>
      </c>
      <c r="D607" t="inlineStr">
        <is>
          <t>SKÅNE LÄN</t>
        </is>
      </c>
      <c r="E607" t="inlineStr">
        <is>
          <t>HÄSSLEHOLM</t>
        </is>
      </c>
      <c r="G607" t="n">
        <v>1</v>
      </c>
      <c r="H607" t="n">
        <v>0</v>
      </c>
      <c r="I607" t="n">
        <v>0</v>
      </c>
      <c r="J607" t="n">
        <v>0</v>
      </c>
      <c r="K607" t="n">
        <v>0</v>
      </c>
      <c r="L607" t="n">
        <v>0</v>
      </c>
      <c r="M607" t="n">
        <v>0</v>
      </c>
      <c r="N607" t="n">
        <v>0</v>
      </c>
      <c r="O607" t="n">
        <v>0</v>
      </c>
      <c r="P607" t="n">
        <v>0</v>
      </c>
      <c r="Q607" t="n">
        <v>0</v>
      </c>
      <c r="R607" s="2" t="inlineStr"/>
    </row>
    <row r="608" ht="15" customHeight="1">
      <c r="A608" t="inlineStr">
        <is>
          <t>A 5016-2024</t>
        </is>
      </c>
      <c r="B608" s="1" t="n">
        <v>45329</v>
      </c>
      <c r="C608" s="1" t="n">
        <v>45994</v>
      </c>
      <c r="D608" t="inlineStr">
        <is>
          <t>SKÅNE LÄN</t>
        </is>
      </c>
      <c r="E608" t="inlineStr">
        <is>
          <t>HÄSSLEHOLM</t>
        </is>
      </c>
      <c r="G608" t="n">
        <v>3.2</v>
      </c>
      <c r="H608" t="n">
        <v>0</v>
      </c>
      <c r="I608" t="n">
        <v>0</v>
      </c>
      <c r="J608" t="n">
        <v>0</v>
      </c>
      <c r="K608" t="n">
        <v>0</v>
      </c>
      <c r="L608" t="n">
        <v>0</v>
      </c>
      <c r="M608" t="n">
        <v>0</v>
      </c>
      <c r="N608" t="n">
        <v>0</v>
      </c>
      <c r="O608" t="n">
        <v>0</v>
      </c>
      <c r="P608" t="n">
        <v>0</v>
      </c>
      <c r="Q608" t="n">
        <v>0</v>
      </c>
      <c r="R608" s="2" t="inlineStr"/>
    </row>
    <row r="609" ht="15" customHeight="1">
      <c r="A609" t="inlineStr">
        <is>
          <t>A 11603-2025</t>
        </is>
      </c>
      <c r="B609" s="1" t="n">
        <v>45727</v>
      </c>
      <c r="C609" s="1" t="n">
        <v>45994</v>
      </c>
      <c r="D609" t="inlineStr">
        <is>
          <t>SKÅNE LÄN</t>
        </is>
      </c>
      <c r="E609" t="inlineStr">
        <is>
          <t>HÄSSLEHOLM</t>
        </is>
      </c>
      <c r="G609" t="n">
        <v>5.6</v>
      </c>
      <c r="H609" t="n">
        <v>0</v>
      </c>
      <c r="I609" t="n">
        <v>0</v>
      </c>
      <c r="J609" t="n">
        <v>0</v>
      </c>
      <c r="K609" t="n">
        <v>0</v>
      </c>
      <c r="L609" t="n">
        <v>0</v>
      </c>
      <c r="M609" t="n">
        <v>0</v>
      </c>
      <c r="N609" t="n">
        <v>0</v>
      </c>
      <c r="O609" t="n">
        <v>0</v>
      </c>
      <c r="P609" t="n">
        <v>0</v>
      </c>
      <c r="Q609" t="n">
        <v>0</v>
      </c>
      <c r="R609" s="2" t="inlineStr"/>
    </row>
    <row r="610" ht="15" customHeight="1">
      <c r="A610" t="inlineStr">
        <is>
          <t>A 11798-2022</t>
        </is>
      </c>
      <c r="B610" s="1" t="n">
        <v>44634.64900462963</v>
      </c>
      <c r="C610" s="1" t="n">
        <v>45994</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54171-2021</t>
        </is>
      </c>
      <c r="B611" s="1" t="n">
        <v>44470</v>
      </c>
      <c r="C611" s="1" t="n">
        <v>45994</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56881-2021</t>
        </is>
      </c>
      <c r="B612" s="1" t="n">
        <v>44481</v>
      </c>
      <c r="C612" s="1" t="n">
        <v>45994</v>
      </c>
      <c r="D612" t="inlineStr">
        <is>
          <t>SKÅNE LÄN</t>
        </is>
      </c>
      <c r="E612" t="inlineStr">
        <is>
          <t>HÄSSLEHOLM</t>
        </is>
      </c>
      <c r="G612" t="n">
        <v>0.4</v>
      </c>
      <c r="H612" t="n">
        <v>0</v>
      </c>
      <c r="I612" t="n">
        <v>0</v>
      </c>
      <c r="J612" t="n">
        <v>0</v>
      </c>
      <c r="K612" t="n">
        <v>0</v>
      </c>
      <c r="L612" t="n">
        <v>0</v>
      </c>
      <c r="M612" t="n">
        <v>0</v>
      </c>
      <c r="N612" t="n">
        <v>0</v>
      </c>
      <c r="O612" t="n">
        <v>0</v>
      </c>
      <c r="P612" t="n">
        <v>0</v>
      </c>
      <c r="Q612" t="n">
        <v>0</v>
      </c>
      <c r="R612" s="2" t="inlineStr"/>
    </row>
    <row r="613" ht="15" customHeight="1">
      <c r="A613" t="inlineStr">
        <is>
          <t>A 24640-2023</t>
        </is>
      </c>
      <c r="B613" s="1" t="n">
        <v>45084.43181712963</v>
      </c>
      <c r="C613" s="1" t="n">
        <v>45994</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13673-2023</t>
        </is>
      </c>
      <c r="B614" s="1" t="n">
        <v>45006.87957175926</v>
      </c>
      <c r="C614" s="1" t="n">
        <v>45994</v>
      </c>
      <c r="D614" t="inlineStr">
        <is>
          <t>SKÅNE LÄN</t>
        </is>
      </c>
      <c r="E614" t="inlineStr">
        <is>
          <t>HÄSSLEHOLM</t>
        </is>
      </c>
      <c r="G614" t="n">
        <v>3.2</v>
      </c>
      <c r="H614" t="n">
        <v>0</v>
      </c>
      <c r="I614" t="n">
        <v>0</v>
      </c>
      <c r="J614" t="n">
        <v>0</v>
      </c>
      <c r="K614" t="n">
        <v>0</v>
      </c>
      <c r="L614" t="n">
        <v>0</v>
      </c>
      <c r="M614" t="n">
        <v>0</v>
      </c>
      <c r="N614" t="n">
        <v>0</v>
      </c>
      <c r="O614" t="n">
        <v>0</v>
      </c>
      <c r="P614" t="n">
        <v>0</v>
      </c>
      <c r="Q614" t="n">
        <v>0</v>
      </c>
      <c r="R614" s="2" t="inlineStr"/>
    </row>
    <row r="615" ht="15" customHeight="1">
      <c r="A615" t="inlineStr">
        <is>
          <t>A 51618-2024</t>
        </is>
      </c>
      <c r="B615" s="1" t="n">
        <v>45604.82615740741</v>
      </c>
      <c r="C615" s="1" t="n">
        <v>45994</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25206-2023</t>
        </is>
      </c>
      <c r="B616" s="1" t="n">
        <v>45086.59318287037</v>
      </c>
      <c r="C616" s="1" t="n">
        <v>45994</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25221-2023</t>
        </is>
      </c>
      <c r="B617" s="1" t="n">
        <v>45086.60842592592</v>
      </c>
      <c r="C617" s="1" t="n">
        <v>45994</v>
      </c>
      <c r="D617" t="inlineStr">
        <is>
          <t>SKÅNE LÄN</t>
        </is>
      </c>
      <c r="E617" t="inlineStr">
        <is>
          <t>HÄSSLEHOLM</t>
        </is>
      </c>
      <c r="G617" t="n">
        <v>2.5</v>
      </c>
      <c r="H617" t="n">
        <v>0</v>
      </c>
      <c r="I617" t="n">
        <v>0</v>
      </c>
      <c r="J617" t="n">
        <v>0</v>
      </c>
      <c r="K617" t="n">
        <v>0</v>
      </c>
      <c r="L617" t="n">
        <v>0</v>
      </c>
      <c r="M617" t="n">
        <v>0</v>
      </c>
      <c r="N617" t="n">
        <v>0</v>
      </c>
      <c r="O617" t="n">
        <v>0</v>
      </c>
      <c r="P617" t="n">
        <v>0</v>
      </c>
      <c r="Q617" t="n">
        <v>0</v>
      </c>
      <c r="R617" s="2" t="inlineStr"/>
    </row>
    <row r="618" ht="15" customHeight="1">
      <c r="A618" t="inlineStr">
        <is>
          <t>A 57272-2023</t>
        </is>
      </c>
      <c r="B618" s="1" t="n">
        <v>45245</v>
      </c>
      <c r="C618" s="1" t="n">
        <v>45994</v>
      </c>
      <c r="D618" t="inlineStr">
        <is>
          <t>SKÅNE LÄN</t>
        </is>
      </c>
      <c r="E618" t="inlineStr">
        <is>
          <t>HÄSSLEHOLM</t>
        </is>
      </c>
      <c r="G618" t="n">
        <v>2.3</v>
      </c>
      <c r="H618" t="n">
        <v>0</v>
      </c>
      <c r="I618" t="n">
        <v>0</v>
      </c>
      <c r="J618" t="n">
        <v>0</v>
      </c>
      <c r="K618" t="n">
        <v>0</v>
      </c>
      <c r="L618" t="n">
        <v>0</v>
      </c>
      <c r="M618" t="n">
        <v>0</v>
      </c>
      <c r="N618" t="n">
        <v>0</v>
      </c>
      <c r="O618" t="n">
        <v>0</v>
      </c>
      <c r="P618" t="n">
        <v>0</v>
      </c>
      <c r="Q618" t="n">
        <v>0</v>
      </c>
      <c r="R618" s="2" t="inlineStr"/>
    </row>
    <row r="619" ht="15" customHeight="1">
      <c r="A619" t="inlineStr">
        <is>
          <t>A 38306-2022</t>
        </is>
      </c>
      <c r="B619" s="1" t="n">
        <v>44812.57515046297</v>
      </c>
      <c r="C619" s="1" t="n">
        <v>45994</v>
      </c>
      <c r="D619" t="inlineStr">
        <is>
          <t>SKÅNE LÄN</t>
        </is>
      </c>
      <c r="E619" t="inlineStr">
        <is>
          <t>HÄSSLEHOLM</t>
        </is>
      </c>
      <c r="G619" t="n">
        <v>2.2</v>
      </c>
      <c r="H619" t="n">
        <v>0</v>
      </c>
      <c r="I619" t="n">
        <v>0</v>
      </c>
      <c r="J619" t="n">
        <v>0</v>
      </c>
      <c r="K619" t="n">
        <v>0</v>
      </c>
      <c r="L619" t="n">
        <v>0</v>
      </c>
      <c r="M619" t="n">
        <v>0</v>
      </c>
      <c r="N619" t="n">
        <v>0</v>
      </c>
      <c r="O619" t="n">
        <v>0</v>
      </c>
      <c r="P619" t="n">
        <v>0</v>
      </c>
      <c r="Q619" t="n">
        <v>0</v>
      </c>
      <c r="R619" s="2" t="inlineStr"/>
    </row>
    <row r="620" ht="15" customHeight="1">
      <c r="A620" t="inlineStr">
        <is>
          <t>A 13856-2025</t>
        </is>
      </c>
      <c r="B620" s="1" t="n">
        <v>45737.57289351852</v>
      </c>
      <c r="C620" s="1" t="n">
        <v>45994</v>
      </c>
      <c r="D620" t="inlineStr">
        <is>
          <t>SKÅNE LÄN</t>
        </is>
      </c>
      <c r="E620" t="inlineStr">
        <is>
          <t>HÄSSLEHOLM</t>
        </is>
      </c>
      <c r="G620" t="n">
        <v>0.6</v>
      </c>
      <c r="H620" t="n">
        <v>0</v>
      </c>
      <c r="I620" t="n">
        <v>0</v>
      </c>
      <c r="J620" t="n">
        <v>0</v>
      </c>
      <c r="K620" t="n">
        <v>0</v>
      </c>
      <c r="L620" t="n">
        <v>0</v>
      </c>
      <c r="M620" t="n">
        <v>0</v>
      </c>
      <c r="N620" t="n">
        <v>0</v>
      </c>
      <c r="O620" t="n">
        <v>0</v>
      </c>
      <c r="P620" t="n">
        <v>0</v>
      </c>
      <c r="Q620" t="n">
        <v>0</v>
      </c>
      <c r="R620" s="2" t="inlineStr"/>
    </row>
    <row r="621" ht="15" customHeight="1">
      <c r="A621" t="inlineStr">
        <is>
          <t>A 38712-2024</t>
        </is>
      </c>
      <c r="B621" s="1" t="n">
        <v>45547</v>
      </c>
      <c r="C621" s="1" t="n">
        <v>45994</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13310-2025</t>
        </is>
      </c>
      <c r="B622" s="1" t="n">
        <v>45735.58814814815</v>
      </c>
      <c r="C622" s="1" t="n">
        <v>45994</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3746-2024</t>
        </is>
      </c>
      <c r="B623" s="1" t="n">
        <v>45321.50745370371</v>
      </c>
      <c r="C623" s="1" t="n">
        <v>45994</v>
      </c>
      <c r="D623" t="inlineStr">
        <is>
          <t>SKÅNE LÄN</t>
        </is>
      </c>
      <c r="E623" t="inlineStr">
        <is>
          <t>HÄSSLEHOLM</t>
        </is>
      </c>
      <c r="G623" t="n">
        <v>3.4</v>
      </c>
      <c r="H623" t="n">
        <v>0</v>
      </c>
      <c r="I623" t="n">
        <v>0</v>
      </c>
      <c r="J623" t="n">
        <v>0</v>
      </c>
      <c r="K623" t="n">
        <v>0</v>
      </c>
      <c r="L623" t="n">
        <v>0</v>
      </c>
      <c r="M623" t="n">
        <v>0</v>
      </c>
      <c r="N623" t="n">
        <v>0</v>
      </c>
      <c r="O623" t="n">
        <v>0</v>
      </c>
      <c r="P623" t="n">
        <v>0</v>
      </c>
      <c r="Q623" t="n">
        <v>0</v>
      </c>
      <c r="R623" s="2" t="inlineStr"/>
    </row>
    <row r="624" ht="15" customHeight="1">
      <c r="A624" t="inlineStr">
        <is>
          <t>A 57649-2022</t>
        </is>
      </c>
      <c r="B624" s="1" t="n">
        <v>44897.42755787037</v>
      </c>
      <c r="C624" s="1" t="n">
        <v>45994</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57665-2022</t>
        </is>
      </c>
      <c r="B625" s="1" t="n">
        <v>44897.4494212963</v>
      </c>
      <c r="C625" s="1" t="n">
        <v>45994</v>
      </c>
      <c r="D625" t="inlineStr">
        <is>
          <t>SKÅNE LÄN</t>
        </is>
      </c>
      <c r="E625" t="inlineStr">
        <is>
          <t>HÄSSLEHOLM</t>
        </is>
      </c>
      <c r="G625" t="n">
        <v>0.6</v>
      </c>
      <c r="H625" t="n">
        <v>0</v>
      </c>
      <c r="I625" t="n">
        <v>0</v>
      </c>
      <c r="J625" t="n">
        <v>0</v>
      </c>
      <c r="K625" t="n">
        <v>0</v>
      </c>
      <c r="L625" t="n">
        <v>0</v>
      </c>
      <c r="M625" t="n">
        <v>0</v>
      </c>
      <c r="N625" t="n">
        <v>0</v>
      </c>
      <c r="O625" t="n">
        <v>0</v>
      </c>
      <c r="P625" t="n">
        <v>0</v>
      </c>
      <c r="Q625" t="n">
        <v>0</v>
      </c>
      <c r="R625" s="2" t="inlineStr"/>
    </row>
    <row r="626" ht="15" customHeight="1">
      <c r="A626" t="inlineStr">
        <is>
          <t>A 57676-2022</t>
        </is>
      </c>
      <c r="B626" s="1" t="n">
        <v>44897</v>
      </c>
      <c r="C626" s="1" t="n">
        <v>45994</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14145-2023</t>
        </is>
      </c>
      <c r="B627" s="1" t="n">
        <v>45009</v>
      </c>
      <c r="C627" s="1" t="n">
        <v>45994</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8244-2023</t>
        </is>
      </c>
      <c r="B628" s="1" t="n">
        <v>44974</v>
      </c>
      <c r="C628" s="1" t="n">
        <v>45994</v>
      </c>
      <c r="D628" t="inlineStr">
        <is>
          <t>SKÅNE LÄN</t>
        </is>
      </c>
      <c r="E628" t="inlineStr">
        <is>
          <t>HÄSSLEHOLM</t>
        </is>
      </c>
      <c r="G628" t="n">
        <v>1.2</v>
      </c>
      <c r="H628" t="n">
        <v>0</v>
      </c>
      <c r="I628" t="n">
        <v>0</v>
      </c>
      <c r="J628" t="n">
        <v>0</v>
      </c>
      <c r="K628" t="n">
        <v>0</v>
      </c>
      <c r="L628" t="n">
        <v>0</v>
      </c>
      <c r="M628" t="n">
        <v>0</v>
      </c>
      <c r="N628" t="n">
        <v>0</v>
      </c>
      <c r="O628" t="n">
        <v>0</v>
      </c>
      <c r="P628" t="n">
        <v>0</v>
      </c>
      <c r="Q628" t="n">
        <v>0</v>
      </c>
      <c r="R628" s="2" t="inlineStr"/>
    </row>
    <row r="629" ht="15" customHeight="1">
      <c r="A629" t="inlineStr">
        <is>
          <t>A 8246-2023</t>
        </is>
      </c>
      <c r="B629" s="1" t="n">
        <v>44974</v>
      </c>
      <c r="C629" s="1" t="n">
        <v>45994</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56386-2023</t>
        </is>
      </c>
      <c r="B630" s="1" t="n">
        <v>45243</v>
      </c>
      <c r="C630" s="1" t="n">
        <v>45994</v>
      </c>
      <c r="D630" t="inlineStr">
        <is>
          <t>SKÅNE LÄN</t>
        </is>
      </c>
      <c r="E630" t="inlineStr">
        <is>
          <t>HÄSSLEHOLM</t>
        </is>
      </c>
      <c r="G630" t="n">
        <v>2</v>
      </c>
      <c r="H630" t="n">
        <v>0</v>
      </c>
      <c r="I630" t="n">
        <v>0</v>
      </c>
      <c r="J630" t="n">
        <v>0</v>
      </c>
      <c r="K630" t="n">
        <v>0</v>
      </c>
      <c r="L630" t="n">
        <v>0</v>
      </c>
      <c r="M630" t="n">
        <v>0</v>
      </c>
      <c r="N630" t="n">
        <v>0</v>
      </c>
      <c r="O630" t="n">
        <v>0</v>
      </c>
      <c r="P630" t="n">
        <v>0</v>
      </c>
      <c r="Q630" t="n">
        <v>0</v>
      </c>
      <c r="R630" s="2" t="inlineStr"/>
    </row>
    <row r="631" ht="15" customHeight="1">
      <c r="A631" t="inlineStr">
        <is>
          <t>A 8249-2023</t>
        </is>
      </c>
      <c r="B631" s="1" t="n">
        <v>44974</v>
      </c>
      <c r="C631" s="1" t="n">
        <v>45994</v>
      </c>
      <c r="D631" t="inlineStr">
        <is>
          <t>SKÅNE LÄN</t>
        </is>
      </c>
      <c r="E631" t="inlineStr">
        <is>
          <t>HÄSSLEHOLM</t>
        </is>
      </c>
      <c r="G631" t="n">
        <v>5.8</v>
      </c>
      <c r="H631" t="n">
        <v>0</v>
      </c>
      <c r="I631" t="n">
        <v>0</v>
      </c>
      <c r="J631" t="n">
        <v>0</v>
      </c>
      <c r="K631" t="n">
        <v>0</v>
      </c>
      <c r="L631" t="n">
        <v>0</v>
      </c>
      <c r="M631" t="n">
        <v>0</v>
      </c>
      <c r="N631" t="n">
        <v>0</v>
      </c>
      <c r="O631" t="n">
        <v>0</v>
      </c>
      <c r="P631" t="n">
        <v>0</v>
      </c>
      <c r="Q631" t="n">
        <v>0</v>
      </c>
      <c r="R631" s="2" t="inlineStr"/>
    </row>
    <row r="632" ht="15" customHeight="1">
      <c r="A632" t="inlineStr">
        <is>
          <t>A 12584-2025</t>
        </is>
      </c>
      <c r="B632" s="1" t="n">
        <v>45732</v>
      </c>
      <c r="C632" s="1" t="n">
        <v>45994</v>
      </c>
      <c r="D632" t="inlineStr">
        <is>
          <t>SKÅNE LÄN</t>
        </is>
      </c>
      <c r="E632" t="inlineStr">
        <is>
          <t>HÄSSLEHOLM</t>
        </is>
      </c>
      <c r="G632" t="n">
        <v>0.6</v>
      </c>
      <c r="H632" t="n">
        <v>0</v>
      </c>
      <c r="I632" t="n">
        <v>0</v>
      </c>
      <c r="J632" t="n">
        <v>0</v>
      </c>
      <c r="K632" t="n">
        <v>0</v>
      </c>
      <c r="L632" t="n">
        <v>0</v>
      </c>
      <c r="M632" t="n">
        <v>0</v>
      </c>
      <c r="N632" t="n">
        <v>0</v>
      </c>
      <c r="O632" t="n">
        <v>0</v>
      </c>
      <c r="P632" t="n">
        <v>0</v>
      </c>
      <c r="Q632" t="n">
        <v>0</v>
      </c>
      <c r="R632" s="2" t="inlineStr"/>
    </row>
    <row r="633" ht="15" customHeight="1">
      <c r="A633" t="inlineStr">
        <is>
          <t>A 25606-2024</t>
        </is>
      </c>
      <c r="B633" s="1" t="n">
        <v>45463.63179398148</v>
      </c>
      <c r="C633" s="1" t="n">
        <v>45994</v>
      </c>
      <c r="D633" t="inlineStr">
        <is>
          <t>SKÅNE LÄN</t>
        </is>
      </c>
      <c r="E633" t="inlineStr">
        <is>
          <t>HÄSSLEHOLM</t>
        </is>
      </c>
      <c r="G633" t="n">
        <v>1.5</v>
      </c>
      <c r="H633" t="n">
        <v>0</v>
      </c>
      <c r="I633" t="n">
        <v>0</v>
      </c>
      <c r="J633" t="n">
        <v>0</v>
      </c>
      <c r="K633" t="n">
        <v>0</v>
      </c>
      <c r="L633" t="n">
        <v>0</v>
      </c>
      <c r="M633" t="n">
        <v>0</v>
      </c>
      <c r="N633" t="n">
        <v>0</v>
      </c>
      <c r="O633" t="n">
        <v>0</v>
      </c>
      <c r="P633" t="n">
        <v>0</v>
      </c>
      <c r="Q633" t="n">
        <v>0</v>
      </c>
      <c r="R633" s="2" t="inlineStr"/>
    </row>
    <row r="634" ht="15" customHeight="1">
      <c r="A634" t="inlineStr">
        <is>
          <t>A 48889-2024</t>
        </is>
      </c>
      <c r="B634" s="1" t="n">
        <v>45594.33754629629</v>
      </c>
      <c r="C634" s="1" t="n">
        <v>45994</v>
      </c>
      <c r="D634" t="inlineStr">
        <is>
          <t>SKÅNE LÄN</t>
        </is>
      </c>
      <c r="E634" t="inlineStr">
        <is>
          <t>HÄSSLEHOLM</t>
        </is>
      </c>
      <c r="G634" t="n">
        <v>1.5</v>
      </c>
      <c r="H634" t="n">
        <v>0</v>
      </c>
      <c r="I634" t="n">
        <v>0</v>
      </c>
      <c r="J634" t="n">
        <v>0</v>
      </c>
      <c r="K634" t="n">
        <v>0</v>
      </c>
      <c r="L634" t="n">
        <v>0</v>
      </c>
      <c r="M634" t="n">
        <v>0</v>
      </c>
      <c r="N634" t="n">
        <v>0</v>
      </c>
      <c r="O634" t="n">
        <v>0</v>
      </c>
      <c r="P634" t="n">
        <v>0</v>
      </c>
      <c r="Q634" t="n">
        <v>0</v>
      </c>
      <c r="R634" s="2" t="inlineStr"/>
    </row>
    <row r="635" ht="15" customHeight="1">
      <c r="A635" t="inlineStr">
        <is>
          <t>A 8263-2025</t>
        </is>
      </c>
      <c r="B635" s="1" t="n">
        <v>45708.50398148148</v>
      </c>
      <c r="C635" s="1" t="n">
        <v>45994</v>
      </c>
      <c r="D635" t="inlineStr">
        <is>
          <t>SKÅNE LÄN</t>
        </is>
      </c>
      <c r="E635" t="inlineStr">
        <is>
          <t>HÄSSLEHOLM</t>
        </is>
      </c>
      <c r="G635" t="n">
        <v>2.9</v>
      </c>
      <c r="H635" t="n">
        <v>0</v>
      </c>
      <c r="I635" t="n">
        <v>0</v>
      </c>
      <c r="J635" t="n">
        <v>0</v>
      </c>
      <c r="K635" t="n">
        <v>0</v>
      </c>
      <c r="L635" t="n">
        <v>0</v>
      </c>
      <c r="M635" t="n">
        <v>0</v>
      </c>
      <c r="N635" t="n">
        <v>0</v>
      </c>
      <c r="O635" t="n">
        <v>0</v>
      </c>
      <c r="P635" t="n">
        <v>0</v>
      </c>
      <c r="Q635" t="n">
        <v>0</v>
      </c>
      <c r="R635" s="2" t="inlineStr"/>
    </row>
    <row r="636" ht="15" customHeight="1">
      <c r="A636" t="inlineStr">
        <is>
          <t>A 29274-2023</t>
        </is>
      </c>
      <c r="B636" s="1" t="n">
        <v>45105</v>
      </c>
      <c r="C636" s="1" t="n">
        <v>45994</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61932-2023</t>
        </is>
      </c>
      <c r="B637" s="1" t="n">
        <v>45266.53761574074</v>
      </c>
      <c r="C637" s="1" t="n">
        <v>45994</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27606-2024</t>
        </is>
      </c>
      <c r="B638" s="1" t="n">
        <v>45474</v>
      </c>
      <c r="C638" s="1" t="n">
        <v>45994</v>
      </c>
      <c r="D638" t="inlineStr">
        <is>
          <t>SKÅNE LÄN</t>
        </is>
      </c>
      <c r="E638" t="inlineStr">
        <is>
          <t>HÄSSLEHOLM</t>
        </is>
      </c>
      <c r="G638" t="n">
        <v>3.6</v>
      </c>
      <c r="H638" t="n">
        <v>0</v>
      </c>
      <c r="I638" t="n">
        <v>0</v>
      </c>
      <c r="J638" t="n">
        <v>0</v>
      </c>
      <c r="K638" t="n">
        <v>0</v>
      </c>
      <c r="L638" t="n">
        <v>0</v>
      </c>
      <c r="M638" t="n">
        <v>0</v>
      </c>
      <c r="N638" t="n">
        <v>0</v>
      </c>
      <c r="O638" t="n">
        <v>0</v>
      </c>
      <c r="P638" t="n">
        <v>0</v>
      </c>
      <c r="Q638" t="n">
        <v>0</v>
      </c>
      <c r="R638" s="2" t="inlineStr"/>
    </row>
    <row r="639" ht="15" customHeight="1">
      <c r="A639" t="inlineStr">
        <is>
          <t>A 29275-2023</t>
        </is>
      </c>
      <c r="B639" s="1" t="n">
        <v>45105</v>
      </c>
      <c r="C639" s="1" t="n">
        <v>45994</v>
      </c>
      <c r="D639" t="inlineStr">
        <is>
          <t>SKÅNE LÄN</t>
        </is>
      </c>
      <c r="E639" t="inlineStr">
        <is>
          <t>HÄSSLEHOLM</t>
        </is>
      </c>
      <c r="G639" t="n">
        <v>2.1</v>
      </c>
      <c r="H639" t="n">
        <v>0</v>
      </c>
      <c r="I639" t="n">
        <v>0</v>
      </c>
      <c r="J639" t="n">
        <v>0</v>
      </c>
      <c r="K639" t="n">
        <v>0</v>
      </c>
      <c r="L639" t="n">
        <v>0</v>
      </c>
      <c r="M639" t="n">
        <v>0</v>
      </c>
      <c r="N639" t="n">
        <v>0</v>
      </c>
      <c r="O639" t="n">
        <v>0</v>
      </c>
      <c r="P639" t="n">
        <v>0</v>
      </c>
      <c r="Q639" t="n">
        <v>0</v>
      </c>
      <c r="R639" s="2" t="inlineStr"/>
    </row>
    <row r="640" ht="15" customHeight="1">
      <c r="A640" t="inlineStr">
        <is>
          <t>A 47840-2023</t>
        </is>
      </c>
      <c r="B640" s="1" t="n">
        <v>45204</v>
      </c>
      <c r="C640" s="1" t="n">
        <v>45994</v>
      </c>
      <c r="D640" t="inlineStr">
        <is>
          <t>SKÅNE LÄN</t>
        </is>
      </c>
      <c r="E640" t="inlineStr">
        <is>
          <t>HÄSSLEHOLM</t>
        </is>
      </c>
      <c r="G640" t="n">
        <v>2.4</v>
      </c>
      <c r="H640" t="n">
        <v>0</v>
      </c>
      <c r="I640" t="n">
        <v>0</v>
      </c>
      <c r="J640" t="n">
        <v>0</v>
      </c>
      <c r="K640" t="n">
        <v>0</v>
      </c>
      <c r="L640" t="n">
        <v>0</v>
      </c>
      <c r="M640" t="n">
        <v>0</v>
      </c>
      <c r="N640" t="n">
        <v>0</v>
      </c>
      <c r="O640" t="n">
        <v>0</v>
      </c>
      <c r="P640" t="n">
        <v>0</v>
      </c>
      <c r="Q640" t="n">
        <v>0</v>
      </c>
      <c r="R640" s="2" t="inlineStr"/>
    </row>
    <row r="641" ht="15" customHeight="1">
      <c r="A641" t="inlineStr">
        <is>
          <t>A 13018-2024</t>
        </is>
      </c>
      <c r="B641" s="1" t="n">
        <v>45385.58274305556</v>
      </c>
      <c r="C641" s="1" t="n">
        <v>45994</v>
      </c>
      <c r="D641" t="inlineStr">
        <is>
          <t>SKÅNE LÄN</t>
        </is>
      </c>
      <c r="E641" t="inlineStr">
        <is>
          <t>HÄSSLEHOLM</t>
        </is>
      </c>
      <c r="G641" t="n">
        <v>4.8</v>
      </c>
      <c r="H641" t="n">
        <v>0</v>
      </c>
      <c r="I641" t="n">
        <v>0</v>
      </c>
      <c r="J641" t="n">
        <v>0</v>
      </c>
      <c r="K641" t="n">
        <v>0</v>
      </c>
      <c r="L641" t="n">
        <v>0</v>
      </c>
      <c r="M641" t="n">
        <v>0</v>
      </c>
      <c r="N641" t="n">
        <v>0</v>
      </c>
      <c r="O641" t="n">
        <v>0</v>
      </c>
      <c r="P641" t="n">
        <v>0</v>
      </c>
      <c r="Q641" t="n">
        <v>0</v>
      </c>
      <c r="R641" s="2" t="inlineStr"/>
    </row>
    <row r="642" ht="15" customHeight="1">
      <c r="A642" t="inlineStr">
        <is>
          <t>A 69500-2020</t>
        </is>
      </c>
      <c r="B642" s="1" t="n">
        <v>44194</v>
      </c>
      <c r="C642" s="1" t="n">
        <v>45994</v>
      </c>
      <c r="D642" t="inlineStr">
        <is>
          <t>SKÅNE LÄN</t>
        </is>
      </c>
      <c r="E642" t="inlineStr">
        <is>
          <t>HÄSSLEHOLM</t>
        </is>
      </c>
      <c r="G642" t="n">
        <v>1.5</v>
      </c>
      <c r="H642" t="n">
        <v>0</v>
      </c>
      <c r="I642" t="n">
        <v>0</v>
      </c>
      <c r="J642" t="n">
        <v>0</v>
      </c>
      <c r="K642" t="n">
        <v>0</v>
      </c>
      <c r="L642" t="n">
        <v>0</v>
      </c>
      <c r="M642" t="n">
        <v>0</v>
      </c>
      <c r="N642" t="n">
        <v>0</v>
      </c>
      <c r="O642" t="n">
        <v>0</v>
      </c>
      <c r="P642" t="n">
        <v>0</v>
      </c>
      <c r="Q642" t="n">
        <v>0</v>
      </c>
      <c r="R642" s="2" t="inlineStr"/>
    </row>
    <row r="643" ht="15" customHeight="1">
      <c r="A643" t="inlineStr">
        <is>
          <t>A 62277-2023</t>
        </is>
      </c>
      <c r="B643" s="1" t="n">
        <v>45266</v>
      </c>
      <c r="C643" s="1" t="n">
        <v>45994</v>
      </c>
      <c r="D643" t="inlineStr">
        <is>
          <t>SKÅNE LÄN</t>
        </is>
      </c>
      <c r="E643" t="inlineStr">
        <is>
          <t>HÄSSLEHOLM</t>
        </is>
      </c>
      <c r="G643" t="n">
        <v>1.2</v>
      </c>
      <c r="H643" t="n">
        <v>0</v>
      </c>
      <c r="I643" t="n">
        <v>0</v>
      </c>
      <c r="J643" t="n">
        <v>0</v>
      </c>
      <c r="K643" t="n">
        <v>0</v>
      </c>
      <c r="L643" t="n">
        <v>0</v>
      </c>
      <c r="M643" t="n">
        <v>0</v>
      </c>
      <c r="N643" t="n">
        <v>0</v>
      </c>
      <c r="O643" t="n">
        <v>0</v>
      </c>
      <c r="P643" t="n">
        <v>0</v>
      </c>
      <c r="Q643" t="n">
        <v>0</v>
      </c>
      <c r="R643" s="2" t="inlineStr"/>
    </row>
    <row r="644" ht="15" customHeight="1">
      <c r="A644" t="inlineStr">
        <is>
          <t>A 14939-2023</t>
        </is>
      </c>
      <c r="B644" s="1" t="n">
        <v>45014</v>
      </c>
      <c r="C644" s="1" t="n">
        <v>45994</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13345-2025</t>
        </is>
      </c>
      <c r="B645" s="1" t="n">
        <v>45735.63017361111</v>
      </c>
      <c r="C645" s="1" t="n">
        <v>45994</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34369-2023</t>
        </is>
      </c>
      <c r="B646" s="1" t="n">
        <v>45139.47817129629</v>
      </c>
      <c r="C646" s="1" t="n">
        <v>45994</v>
      </c>
      <c r="D646" t="inlineStr">
        <is>
          <t>SKÅNE LÄN</t>
        </is>
      </c>
      <c r="E646" t="inlineStr">
        <is>
          <t>HÄSSLEHOLM</t>
        </is>
      </c>
      <c r="G646" t="n">
        <v>2</v>
      </c>
      <c r="H646" t="n">
        <v>0</v>
      </c>
      <c r="I646" t="n">
        <v>0</v>
      </c>
      <c r="J646" t="n">
        <v>0</v>
      </c>
      <c r="K646" t="n">
        <v>0</v>
      </c>
      <c r="L646" t="n">
        <v>0</v>
      </c>
      <c r="M646" t="n">
        <v>0</v>
      </c>
      <c r="N646" t="n">
        <v>0</v>
      </c>
      <c r="O646" t="n">
        <v>0</v>
      </c>
      <c r="P646" t="n">
        <v>0</v>
      </c>
      <c r="Q646" t="n">
        <v>0</v>
      </c>
      <c r="R646" s="2" t="inlineStr"/>
    </row>
    <row r="647" ht="15" customHeight="1">
      <c r="A647" t="inlineStr">
        <is>
          <t>A 4945-2022</t>
        </is>
      </c>
      <c r="B647" s="1" t="n">
        <v>44593</v>
      </c>
      <c r="C647" s="1" t="n">
        <v>45994</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22595-2024</t>
        </is>
      </c>
      <c r="B648" s="1" t="n">
        <v>45447.61053240741</v>
      </c>
      <c r="C648" s="1" t="n">
        <v>45994</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34834-2023</t>
        </is>
      </c>
      <c r="B649" s="1" t="n">
        <v>45141.7199537037</v>
      </c>
      <c r="C649" s="1" t="n">
        <v>45994</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50244-2024</t>
        </is>
      </c>
      <c r="B650" s="1" t="n">
        <v>45600.56502314815</v>
      </c>
      <c r="C650" s="1" t="n">
        <v>45994</v>
      </c>
      <c r="D650" t="inlineStr">
        <is>
          <t>SKÅNE LÄN</t>
        </is>
      </c>
      <c r="E650" t="inlineStr">
        <is>
          <t>HÄSSLEHOLM</t>
        </is>
      </c>
      <c r="G650" t="n">
        <v>1.9</v>
      </c>
      <c r="H650" t="n">
        <v>0</v>
      </c>
      <c r="I650" t="n">
        <v>0</v>
      </c>
      <c r="J650" t="n">
        <v>0</v>
      </c>
      <c r="K650" t="n">
        <v>0</v>
      </c>
      <c r="L650" t="n">
        <v>0</v>
      </c>
      <c r="M650" t="n">
        <v>0</v>
      </c>
      <c r="N650" t="n">
        <v>0</v>
      </c>
      <c r="O650" t="n">
        <v>0</v>
      </c>
      <c r="P650" t="n">
        <v>0</v>
      </c>
      <c r="Q650" t="n">
        <v>0</v>
      </c>
      <c r="R650" s="2" t="inlineStr"/>
    </row>
    <row r="651" ht="15" customHeight="1">
      <c r="A651" t="inlineStr">
        <is>
          <t>A 7221-2025</t>
        </is>
      </c>
      <c r="B651" s="1" t="n">
        <v>45701</v>
      </c>
      <c r="C651" s="1" t="n">
        <v>45994</v>
      </c>
      <c r="D651" t="inlineStr">
        <is>
          <t>SKÅNE LÄN</t>
        </is>
      </c>
      <c r="E651" t="inlineStr">
        <is>
          <t>HÄSSLEHOLM</t>
        </is>
      </c>
      <c r="G651" t="n">
        <v>1.8</v>
      </c>
      <c r="H651" t="n">
        <v>0</v>
      </c>
      <c r="I651" t="n">
        <v>0</v>
      </c>
      <c r="J651" t="n">
        <v>0</v>
      </c>
      <c r="K651" t="n">
        <v>0</v>
      </c>
      <c r="L651" t="n">
        <v>0</v>
      </c>
      <c r="M651" t="n">
        <v>0</v>
      </c>
      <c r="N651" t="n">
        <v>0</v>
      </c>
      <c r="O651" t="n">
        <v>0</v>
      </c>
      <c r="P651" t="n">
        <v>0</v>
      </c>
      <c r="Q651" t="n">
        <v>0</v>
      </c>
      <c r="R651" s="2" t="inlineStr"/>
    </row>
    <row r="652" ht="15" customHeight="1">
      <c r="A652" t="inlineStr">
        <is>
          <t>A 5532-2025</t>
        </is>
      </c>
      <c r="B652" s="1" t="n">
        <v>45693</v>
      </c>
      <c r="C652" s="1" t="n">
        <v>45994</v>
      </c>
      <c r="D652" t="inlineStr">
        <is>
          <t>SKÅNE LÄN</t>
        </is>
      </c>
      <c r="E652" t="inlineStr">
        <is>
          <t>HÄSSLEHOLM</t>
        </is>
      </c>
      <c r="G652" t="n">
        <v>2.4</v>
      </c>
      <c r="H652" t="n">
        <v>0</v>
      </c>
      <c r="I652" t="n">
        <v>0</v>
      </c>
      <c r="J652" t="n">
        <v>0</v>
      </c>
      <c r="K652" t="n">
        <v>0</v>
      </c>
      <c r="L652" t="n">
        <v>0</v>
      </c>
      <c r="M652" t="n">
        <v>0</v>
      </c>
      <c r="N652" t="n">
        <v>0</v>
      </c>
      <c r="O652" t="n">
        <v>0</v>
      </c>
      <c r="P652" t="n">
        <v>0</v>
      </c>
      <c r="Q652" t="n">
        <v>0</v>
      </c>
      <c r="R652" s="2" t="inlineStr"/>
    </row>
    <row r="653" ht="15" customHeight="1">
      <c r="A653" t="inlineStr">
        <is>
          <t>A 48627-2023</t>
        </is>
      </c>
      <c r="B653" s="1" t="n">
        <v>45208.57371527778</v>
      </c>
      <c r="C653" s="1" t="n">
        <v>45994</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60704-2023</t>
        </is>
      </c>
      <c r="B654" s="1" t="n">
        <v>45260.51340277777</v>
      </c>
      <c r="C654" s="1" t="n">
        <v>45994</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11607-2025</t>
        </is>
      </c>
      <c r="B655" s="1" t="n">
        <v>45727</v>
      </c>
      <c r="C655" s="1" t="n">
        <v>45994</v>
      </c>
      <c r="D655" t="inlineStr">
        <is>
          <t>SKÅNE LÄN</t>
        </is>
      </c>
      <c r="E655" t="inlineStr">
        <is>
          <t>HÄSSLEHOLM</t>
        </is>
      </c>
      <c r="G655" t="n">
        <v>4.1</v>
      </c>
      <c r="H655" t="n">
        <v>0</v>
      </c>
      <c r="I655" t="n">
        <v>0</v>
      </c>
      <c r="J655" t="n">
        <v>0</v>
      </c>
      <c r="K655" t="n">
        <v>0</v>
      </c>
      <c r="L655" t="n">
        <v>0</v>
      </c>
      <c r="M655" t="n">
        <v>0</v>
      </c>
      <c r="N655" t="n">
        <v>0</v>
      </c>
      <c r="O655" t="n">
        <v>0</v>
      </c>
      <c r="P655" t="n">
        <v>0</v>
      </c>
      <c r="Q655" t="n">
        <v>0</v>
      </c>
      <c r="R655" s="2" t="inlineStr"/>
    </row>
    <row r="656" ht="15" customHeight="1">
      <c r="A656" t="inlineStr">
        <is>
          <t>A 720-2025</t>
        </is>
      </c>
      <c r="B656" s="1" t="n">
        <v>45665.3744212963</v>
      </c>
      <c r="C656" s="1" t="n">
        <v>45994</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12558-2023</t>
        </is>
      </c>
      <c r="B657" s="1" t="n">
        <v>45000.36103009259</v>
      </c>
      <c r="C657" s="1" t="n">
        <v>45994</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10230-2025</t>
        </is>
      </c>
      <c r="B658" s="1" t="n">
        <v>45720</v>
      </c>
      <c r="C658" s="1" t="n">
        <v>45994</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33266-2024</t>
        </is>
      </c>
      <c r="B659" s="1" t="n">
        <v>45518</v>
      </c>
      <c r="C659" s="1" t="n">
        <v>45994</v>
      </c>
      <c r="D659" t="inlineStr">
        <is>
          <t>SKÅNE LÄN</t>
        </is>
      </c>
      <c r="E659" t="inlineStr">
        <is>
          <t>HÄSSLEHOLM</t>
        </is>
      </c>
      <c r="G659" t="n">
        <v>3.2</v>
      </c>
      <c r="H659" t="n">
        <v>0</v>
      </c>
      <c r="I659" t="n">
        <v>0</v>
      </c>
      <c r="J659" t="n">
        <v>0</v>
      </c>
      <c r="K659" t="n">
        <v>0</v>
      </c>
      <c r="L659" t="n">
        <v>0</v>
      </c>
      <c r="M659" t="n">
        <v>0</v>
      </c>
      <c r="N659" t="n">
        <v>0</v>
      </c>
      <c r="O659" t="n">
        <v>0</v>
      </c>
      <c r="P659" t="n">
        <v>0</v>
      </c>
      <c r="Q659" t="n">
        <v>0</v>
      </c>
      <c r="R659" s="2" t="inlineStr"/>
    </row>
    <row r="660" ht="15" customHeight="1">
      <c r="A660" t="inlineStr">
        <is>
          <t>A 20279-2025</t>
        </is>
      </c>
      <c r="B660" s="1" t="n">
        <v>45774.38643518519</v>
      </c>
      <c r="C660" s="1" t="n">
        <v>45994</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12182-2025</t>
        </is>
      </c>
      <c r="B661" s="1" t="n">
        <v>45729</v>
      </c>
      <c r="C661" s="1" t="n">
        <v>45994</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59431-2023</t>
        </is>
      </c>
      <c r="B662" s="1" t="n">
        <v>45254.29207175926</v>
      </c>
      <c r="C662" s="1" t="n">
        <v>45994</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59433-2023</t>
        </is>
      </c>
      <c r="B663" s="1" t="n">
        <v>45254.29768518519</v>
      </c>
      <c r="C663" s="1" t="n">
        <v>45994</v>
      </c>
      <c r="D663" t="inlineStr">
        <is>
          <t>SKÅNE LÄN</t>
        </is>
      </c>
      <c r="E663" t="inlineStr">
        <is>
          <t>HÄSSLEHOLM</t>
        </is>
      </c>
      <c r="G663" t="n">
        <v>3.1</v>
      </c>
      <c r="H663" t="n">
        <v>0</v>
      </c>
      <c r="I663" t="n">
        <v>0</v>
      </c>
      <c r="J663" t="n">
        <v>0</v>
      </c>
      <c r="K663" t="n">
        <v>0</v>
      </c>
      <c r="L663" t="n">
        <v>0</v>
      </c>
      <c r="M663" t="n">
        <v>0</v>
      </c>
      <c r="N663" t="n">
        <v>0</v>
      </c>
      <c r="O663" t="n">
        <v>0</v>
      </c>
      <c r="P663" t="n">
        <v>0</v>
      </c>
      <c r="Q663" t="n">
        <v>0</v>
      </c>
      <c r="R663" s="2" t="inlineStr"/>
    </row>
    <row r="664" ht="15" customHeight="1">
      <c r="A664" t="inlineStr">
        <is>
          <t>A 4119-2024</t>
        </is>
      </c>
      <c r="B664" s="1" t="n">
        <v>45323.67920138889</v>
      </c>
      <c r="C664" s="1" t="n">
        <v>45994</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6835-2023</t>
        </is>
      </c>
      <c r="B665" s="1" t="n">
        <v>44967</v>
      </c>
      <c r="C665" s="1" t="n">
        <v>45994</v>
      </c>
      <c r="D665" t="inlineStr">
        <is>
          <t>SKÅNE LÄN</t>
        </is>
      </c>
      <c r="E665" t="inlineStr">
        <is>
          <t>HÄSSLEHOLM</t>
        </is>
      </c>
      <c r="G665" t="n">
        <v>4.8</v>
      </c>
      <c r="H665" t="n">
        <v>0</v>
      </c>
      <c r="I665" t="n">
        <v>0</v>
      </c>
      <c r="J665" t="n">
        <v>0</v>
      </c>
      <c r="K665" t="n">
        <v>0</v>
      </c>
      <c r="L665" t="n">
        <v>0</v>
      </c>
      <c r="M665" t="n">
        <v>0</v>
      </c>
      <c r="N665" t="n">
        <v>0</v>
      </c>
      <c r="O665" t="n">
        <v>0</v>
      </c>
      <c r="P665" t="n">
        <v>0</v>
      </c>
      <c r="Q665" t="n">
        <v>0</v>
      </c>
      <c r="R665" s="2" t="inlineStr"/>
    </row>
    <row r="666" ht="15" customHeight="1">
      <c r="A666" t="inlineStr">
        <is>
          <t>A 47757-2024</t>
        </is>
      </c>
      <c r="B666" s="1" t="n">
        <v>45588.55075231481</v>
      </c>
      <c r="C666" s="1" t="n">
        <v>45994</v>
      </c>
      <c r="D666" t="inlineStr">
        <is>
          <t>SKÅNE LÄN</t>
        </is>
      </c>
      <c r="E666" t="inlineStr">
        <is>
          <t>HÄSSLEHOLM</t>
        </is>
      </c>
      <c r="G666" t="n">
        <v>5.5</v>
      </c>
      <c r="H666" t="n">
        <v>0</v>
      </c>
      <c r="I666" t="n">
        <v>0</v>
      </c>
      <c r="J666" t="n">
        <v>0</v>
      </c>
      <c r="K666" t="n">
        <v>0</v>
      </c>
      <c r="L666" t="n">
        <v>0</v>
      </c>
      <c r="M666" t="n">
        <v>0</v>
      </c>
      <c r="N666" t="n">
        <v>0</v>
      </c>
      <c r="O666" t="n">
        <v>0</v>
      </c>
      <c r="P666" t="n">
        <v>0</v>
      </c>
      <c r="Q666" t="n">
        <v>0</v>
      </c>
      <c r="R666" s="2" t="inlineStr"/>
    </row>
    <row r="667" ht="15" customHeight="1">
      <c r="A667" t="inlineStr">
        <is>
          <t>A 16550-2025</t>
        </is>
      </c>
      <c r="B667" s="1" t="n">
        <v>45751.69412037037</v>
      </c>
      <c r="C667" s="1" t="n">
        <v>45994</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55416-2021</t>
        </is>
      </c>
      <c r="B668" s="1" t="n">
        <v>44475</v>
      </c>
      <c r="C668" s="1" t="n">
        <v>45994</v>
      </c>
      <c r="D668" t="inlineStr">
        <is>
          <t>SKÅNE LÄN</t>
        </is>
      </c>
      <c r="E668" t="inlineStr">
        <is>
          <t>HÄSSLEHOLM</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48797-2023</t>
        </is>
      </c>
      <c r="B669" s="1" t="n">
        <v>45209.24986111111</v>
      </c>
      <c r="C669" s="1" t="n">
        <v>45994</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26536-2022</t>
        </is>
      </c>
      <c r="B670" s="1" t="n">
        <v>44739.45496527778</v>
      </c>
      <c r="C670" s="1" t="n">
        <v>45994</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60848-2022</t>
        </is>
      </c>
      <c r="B671" s="1" t="n">
        <v>44914</v>
      </c>
      <c r="C671" s="1" t="n">
        <v>45994</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4579-2025</t>
        </is>
      </c>
      <c r="B672" s="1" t="n">
        <v>45687.5009375</v>
      </c>
      <c r="C672" s="1" t="n">
        <v>45994</v>
      </c>
      <c r="D672" t="inlineStr">
        <is>
          <t>SKÅNE LÄN</t>
        </is>
      </c>
      <c r="E672" t="inlineStr">
        <is>
          <t>HÄSSLEHOLM</t>
        </is>
      </c>
      <c r="G672" t="n">
        <v>2.8</v>
      </c>
      <c r="H672" t="n">
        <v>0</v>
      </c>
      <c r="I672" t="n">
        <v>0</v>
      </c>
      <c r="J672" t="n">
        <v>0</v>
      </c>
      <c r="K672" t="n">
        <v>0</v>
      </c>
      <c r="L672" t="n">
        <v>0</v>
      </c>
      <c r="M672" t="n">
        <v>0</v>
      </c>
      <c r="N672" t="n">
        <v>0</v>
      </c>
      <c r="O672" t="n">
        <v>0</v>
      </c>
      <c r="P672" t="n">
        <v>0</v>
      </c>
      <c r="Q672" t="n">
        <v>0</v>
      </c>
      <c r="R672" s="2" t="inlineStr"/>
    </row>
    <row r="673" ht="15" customHeight="1">
      <c r="A673" t="inlineStr">
        <is>
          <t>A 21141-2024</t>
        </is>
      </c>
      <c r="B673" s="1" t="n">
        <v>45440.39012731481</v>
      </c>
      <c r="C673" s="1" t="n">
        <v>45994</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49379-2021</t>
        </is>
      </c>
      <c r="B674" s="1" t="n">
        <v>44454</v>
      </c>
      <c r="C674" s="1" t="n">
        <v>45994</v>
      </c>
      <c r="D674" t="inlineStr">
        <is>
          <t>SKÅNE LÄN</t>
        </is>
      </c>
      <c r="E674" t="inlineStr">
        <is>
          <t>HÄSSLEHOLM</t>
        </is>
      </c>
      <c r="G674" t="n">
        <v>1.4</v>
      </c>
      <c r="H674" t="n">
        <v>0</v>
      </c>
      <c r="I674" t="n">
        <v>0</v>
      </c>
      <c r="J674" t="n">
        <v>0</v>
      </c>
      <c r="K674" t="n">
        <v>0</v>
      </c>
      <c r="L674" t="n">
        <v>0</v>
      </c>
      <c r="M674" t="n">
        <v>0</v>
      </c>
      <c r="N674" t="n">
        <v>0</v>
      </c>
      <c r="O674" t="n">
        <v>0</v>
      </c>
      <c r="P674" t="n">
        <v>0</v>
      </c>
      <c r="Q674" t="n">
        <v>0</v>
      </c>
      <c r="R674" s="2" t="inlineStr"/>
    </row>
    <row r="675" ht="15" customHeight="1">
      <c r="A675" t="inlineStr">
        <is>
          <t>A 36240-2023</t>
        </is>
      </c>
      <c r="B675" s="1" t="n">
        <v>45150.89295138889</v>
      </c>
      <c r="C675" s="1" t="n">
        <v>45994</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25057-2024</t>
        </is>
      </c>
      <c r="B676" s="1" t="n">
        <v>45462</v>
      </c>
      <c r="C676" s="1" t="n">
        <v>45994</v>
      </c>
      <c r="D676" t="inlineStr">
        <is>
          <t>SKÅNE LÄN</t>
        </is>
      </c>
      <c r="E676" t="inlineStr">
        <is>
          <t>HÄSSLEHOLM</t>
        </is>
      </c>
      <c r="G676" t="n">
        <v>4.3</v>
      </c>
      <c r="H676" t="n">
        <v>0</v>
      </c>
      <c r="I676" t="n">
        <v>0</v>
      </c>
      <c r="J676" t="n">
        <v>0</v>
      </c>
      <c r="K676" t="n">
        <v>0</v>
      </c>
      <c r="L676" t="n">
        <v>0</v>
      </c>
      <c r="M676" t="n">
        <v>0</v>
      </c>
      <c r="N676" t="n">
        <v>0</v>
      </c>
      <c r="O676" t="n">
        <v>0</v>
      </c>
      <c r="P676" t="n">
        <v>0</v>
      </c>
      <c r="Q676" t="n">
        <v>0</v>
      </c>
      <c r="R676" s="2" t="inlineStr"/>
    </row>
    <row r="677" ht="15" customHeight="1">
      <c r="A677" t="inlineStr">
        <is>
          <t>A 22592-2025</t>
        </is>
      </c>
      <c r="B677" s="1" t="n">
        <v>45789.40502314815</v>
      </c>
      <c r="C677" s="1" t="n">
        <v>45994</v>
      </c>
      <c r="D677" t="inlineStr">
        <is>
          <t>SKÅNE LÄN</t>
        </is>
      </c>
      <c r="E677" t="inlineStr">
        <is>
          <t>HÄSSLEHOLM</t>
        </is>
      </c>
      <c r="G677" t="n">
        <v>7.1</v>
      </c>
      <c r="H677" t="n">
        <v>0</v>
      </c>
      <c r="I677" t="n">
        <v>0</v>
      </c>
      <c r="J677" t="n">
        <v>0</v>
      </c>
      <c r="K677" t="n">
        <v>0</v>
      </c>
      <c r="L677" t="n">
        <v>0</v>
      </c>
      <c r="M677" t="n">
        <v>0</v>
      </c>
      <c r="N677" t="n">
        <v>0</v>
      </c>
      <c r="O677" t="n">
        <v>0</v>
      </c>
      <c r="P677" t="n">
        <v>0</v>
      </c>
      <c r="Q677" t="n">
        <v>0</v>
      </c>
      <c r="R677" s="2" t="inlineStr"/>
    </row>
    <row r="678" ht="15" customHeight="1">
      <c r="A678" t="inlineStr">
        <is>
          <t>A 13851-2025</t>
        </is>
      </c>
      <c r="B678" s="1" t="n">
        <v>45737.56777777777</v>
      </c>
      <c r="C678" s="1" t="n">
        <v>45994</v>
      </c>
      <c r="D678" t="inlineStr">
        <is>
          <t>SKÅNE LÄN</t>
        </is>
      </c>
      <c r="E678" t="inlineStr">
        <is>
          <t>HÄSSLEHOLM</t>
        </is>
      </c>
      <c r="G678" t="n">
        <v>3</v>
      </c>
      <c r="H678" t="n">
        <v>0</v>
      </c>
      <c r="I678" t="n">
        <v>0</v>
      </c>
      <c r="J678" t="n">
        <v>0</v>
      </c>
      <c r="K678" t="n">
        <v>0</v>
      </c>
      <c r="L678" t="n">
        <v>0</v>
      </c>
      <c r="M678" t="n">
        <v>0</v>
      </c>
      <c r="N678" t="n">
        <v>0</v>
      </c>
      <c r="O678" t="n">
        <v>0</v>
      </c>
      <c r="P678" t="n">
        <v>0</v>
      </c>
      <c r="Q678" t="n">
        <v>0</v>
      </c>
      <c r="R678" s="2" t="inlineStr"/>
    </row>
    <row r="679" ht="15" customHeight="1">
      <c r="A679" t="inlineStr">
        <is>
          <t>A 6164-2023</t>
        </is>
      </c>
      <c r="B679" s="1" t="n">
        <v>44964.66871527778</v>
      </c>
      <c r="C679" s="1" t="n">
        <v>45994</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12469-2023</t>
        </is>
      </c>
      <c r="B680" s="1" t="n">
        <v>44999.62109953703</v>
      </c>
      <c r="C680" s="1" t="n">
        <v>45994</v>
      </c>
      <c r="D680" t="inlineStr">
        <is>
          <t>SKÅNE LÄN</t>
        </is>
      </c>
      <c r="E680" t="inlineStr">
        <is>
          <t>HÄSSLEHOLM</t>
        </is>
      </c>
      <c r="G680" t="n">
        <v>2.6</v>
      </c>
      <c r="H680" t="n">
        <v>0</v>
      </c>
      <c r="I680" t="n">
        <v>0</v>
      </c>
      <c r="J680" t="n">
        <v>0</v>
      </c>
      <c r="K680" t="n">
        <v>0</v>
      </c>
      <c r="L680" t="n">
        <v>0</v>
      </c>
      <c r="M680" t="n">
        <v>0</v>
      </c>
      <c r="N680" t="n">
        <v>0</v>
      </c>
      <c r="O680" t="n">
        <v>0</v>
      </c>
      <c r="P680" t="n">
        <v>0</v>
      </c>
      <c r="Q680" t="n">
        <v>0</v>
      </c>
      <c r="R680" s="2" t="inlineStr"/>
    </row>
    <row r="681" ht="15" customHeight="1">
      <c r="A681" t="inlineStr">
        <is>
          <t>A 7494-2023</t>
        </is>
      </c>
      <c r="B681" s="1" t="n">
        <v>44971.70835648148</v>
      </c>
      <c r="C681" s="1" t="n">
        <v>45994</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10115-2024</t>
        </is>
      </c>
      <c r="B682" s="1" t="n">
        <v>45364.55339120371</v>
      </c>
      <c r="C682" s="1" t="n">
        <v>45994</v>
      </c>
      <c r="D682" t="inlineStr">
        <is>
          <t>SKÅNE LÄN</t>
        </is>
      </c>
      <c r="E682" t="inlineStr">
        <is>
          <t>HÄSSLEHOLM</t>
        </is>
      </c>
      <c r="G682" t="n">
        <v>7</v>
      </c>
      <c r="H682" t="n">
        <v>0</v>
      </c>
      <c r="I682" t="n">
        <v>0</v>
      </c>
      <c r="J682" t="n">
        <v>0</v>
      </c>
      <c r="K682" t="n">
        <v>0</v>
      </c>
      <c r="L682" t="n">
        <v>0</v>
      </c>
      <c r="M682" t="n">
        <v>0</v>
      </c>
      <c r="N682" t="n">
        <v>0</v>
      </c>
      <c r="O682" t="n">
        <v>0</v>
      </c>
      <c r="P682" t="n">
        <v>0</v>
      </c>
      <c r="Q682" t="n">
        <v>0</v>
      </c>
      <c r="R682" s="2" t="inlineStr"/>
    </row>
    <row r="683" ht="15" customHeight="1">
      <c r="A683" t="inlineStr">
        <is>
          <t>A 5476-2021</t>
        </is>
      </c>
      <c r="B683" s="1" t="n">
        <v>44230</v>
      </c>
      <c r="C683" s="1" t="n">
        <v>45994</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45392-2024</t>
        </is>
      </c>
      <c r="B684" s="1" t="n">
        <v>45576.55008101852</v>
      </c>
      <c r="C684" s="1" t="n">
        <v>45994</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6122-2021</t>
        </is>
      </c>
      <c r="B685" s="1" t="n">
        <v>44232.55091435185</v>
      </c>
      <c r="C685" s="1" t="n">
        <v>45994</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16454-2023</t>
        </is>
      </c>
      <c r="B686" s="1" t="n">
        <v>45029.48425925926</v>
      </c>
      <c r="C686" s="1" t="n">
        <v>45994</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45400-2022</t>
        </is>
      </c>
      <c r="B687" s="1" t="n">
        <v>44844.713125</v>
      </c>
      <c r="C687" s="1" t="n">
        <v>45994</v>
      </c>
      <c r="D687" t="inlineStr">
        <is>
          <t>SKÅNE LÄN</t>
        </is>
      </c>
      <c r="E687" t="inlineStr">
        <is>
          <t>HÄSSLEHOLM</t>
        </is>
      </c>
      <c r="G687" t="n">
        <v>1.6</v>
      </c>
      <c r="H687" t="n">
        <v>0</v>
      </c>
      <c r="I687" t="n">
        <v>0</v>
      </c>
      <c r="J687" t="n">
        <v>0</v>
      </c>
      <c r="K687" t="n">
        <v>0</v>
      </c>
      <c r="L687" t="n">
        <v>0</v>
      </c>
      <c r="M687" t="n">
        <v>0</v>
      </c>
      <c r="N687" t="n">
        <v>0</v>
      </c>
      <c r="O687" t="n">
        <v>0</v>
      </c>
      <c r="P687" t="n">
        <v>0</v>
      </c>
      <c r="Q687" t="n">
        <v>0</v>
      </c>
      <c r="R687" s="2" t="inlineStr"/>
    </row>
    <row r="688" ht="15" customHeight="1">
      <c r="A688" t="inlineStr">
        <is>
          <t>A 17335-2024</t>
        </is>
      </c>
      <c r="B688" s="1" t="n">
        <v>45414.5687962963</v>
      </c>
      <c r="C688" s="1" t="n">
        <v>45994</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24246-2023</t>
        </is>
      </c>
      <c r="B689" s="1" t="n">
        <v>45079</v>
      </c>
      <c r="C689" s="1" t="n">
        <v>45994</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21328-2023</t>
        </is>
      </c>
      <c r="B690" s="1" t="n">
        <v>45062</v>
      </c>
      <c r="C690" s="1" t="n">
        <v>45994</v>
      </c>
      <c r="D690" t="inlineStr">
        <is>
          <t>SKÅNE LÄN</t>
        </is>
      </c>
      <c r="E690" t="inlineStr">
        <is>
          <t>HÄSSLEHOLM</t>
        </is>
      </c>
      <c r="G690" t="n">
        <v>2.1</v>
      </c>
      <c r="H690" t="n">
        <v>0</v>
      </c>
      <c r="I690" t="n">
        <v>0</v>
      </c>
      <c r="J690" t="n">
        <v>0</v>
      </c>
      <c r="K690" t="n">
        <v>0</v>
      </c>
      <c r="L690" t="n">
        <v>0</v>
      </c>
      <c r="M690" t="n">
        <v>0</v>
      </c>
      <c r="N690" t="n">
        <v>0</v>
      </c>
      <c r="O690" t="n">
        <v>0</v>
      </c>
      <c r="P690" t="n">
        <v>0</v>
      </c>
      <c r="Q690" t="n">
        <v>0</v>
      </c>
      <c r="R690" s="2" t="inlineStr"/>
    </row>
    <row r="691" ht="15" customHeight="1">
      <c r="A691" t="inlineStr">
        <is>
          <t>A 24249-2023</t>
        </is>
      </c>
      <c r="B691" s="1" t="n">
        <v>45079.62466435185</v>
      </c>
      <c r="C691" s="1" t="n">
        <v>45994</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3925-2021</t>
        </is>
      </c>
      <c r="B692" s="1" t="n">
        <v>44222</v>
      </c>
      <c r="C692" s="1" t="n">
        <v>45994</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31989-2024</t>
        </is>
      </c>
      <c r="B693" s="1" t="n">
        <v>45510.58085648148</v>
      </c>
      <c r="C693" s="1" t="n">
        <v>45994</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1120-2024</t>
        </is>
      </c>
      <c r="B694" s="1" t="n">
        <v>45302.4452662037</v>
      </c>
      <c r="C694" s="1" t="n">
        <v>45994</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12570-2023</t>
        </is>
      </c>
      <c r="B695" s="1" t="n">
        <v>44999</v>
      </c>
      <c r="C695" s="1" t="n">
        <v>45994</v>
      </c>
      <c r="D695" t="inlineStr">
        <is>
          <t>SKÅNE LÄN</t>
        </is>
      </c>
      <c r="E695" t="inlineStr">
        <is>
          <t>HÄSSLEHOLM</t>
        </is>
      </c>
      <c r="G695" t="n">
        <v>3.4</v>
      </c>
      <c r="H695" t="n">
        <v>0</v>
      </c>
      <c r="I695" t="n">
        <v>0</v>
      </c>
      <c r="J695" t="n">
        <v>0</v>
      </c>
      <c r="K695" t="n">
        <v>0</v>
      </c>
      <c r="L695" t="n">
        <v>0</v>
      </c>
      <c r="M695" t="n">
        <v>0</v>
      </c>
      <c r="N695" t="n">
        <v>0</v>
      </c>
      <c r="O695" t="n">
        <v>0</v>
      </c>
      <c r="P695" t="n">
        <v>0</v>
      </c>
      <c r="Q695" t="n">
        <v>0</v>
      </c>
      <c r="R695" s="2" t="inlineStr"/>
    </row>
    <row r="696" ht="15" customHeight="1">
      <c r="A696" t="inlineStr">
        <is>
          <t>A 60973-2024</t>
        </is>
      </c>
      <c r="B696" s="1" t="n">
        <v>45644</v>
      </c>
      <c r="C696" s="1" t="n">
        <v>45994</v>
      </c>
      <c r="D696" t="inlineStr">
        <is>
          <t>SKÅNE LÄN</t>
        </is>
      </c>
      <c r="E696" t="inlineStr">
        <is>
          <t>HÄSSLEHOLM</t>
        </is>
      </c>
      <c r="G696" t="n">
        <v>3.6</v>
      </c>
      <c r="H696" t="n">
        <v>0</v>
      </c>
      <c r="I696" t="n">
        <v>0</v>
      </c>
      <c r="J696" t="n">
        <v>0</v>
      </c>
      <c r="K696" t="n">
        <v>0</v>
      </c>
      <c r="L696" t="n">
        <v>0</v>
      </c>
      <c r="M696" t="n">
        <v>0</v>
      </c>
      <c r="N696" t="n">
        <v>0</v>
      </c>
      <c r="O696" t="n">
        <v>0</v>
      </c>
      <c r="P696" t="n">
        <v>0</v>
      </c>
      <c r="Q696" t="n">
        <v>0</v>
      </c>
      <c r="R696" s="2" t="inlineStr"/>
    </row>
    <row r="697" ht="15" customHeight="1">
      <c r="A697" t="inlineStr">
        <is>
          <t>A 23007-2025</t>
        </is>
      </c>
      <c r="B697" s="1" t="n">
        <v>45790</v>
      </c>
      <c r="C697" s="1" t="n">
        <v>45994</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20435-2021</t>
        </is>
      </c>
      <c r="B698" s="1" t="n">
        <v>44315.5793287037</v>
      </c>
      <c r="C698" s="1" t="n">
        <v>45994</v>
      </c>
      <c r="D698" t="inlineStr">
        <is>
          <t>SKÅNE LÄN</t>
        </is>
      </c>
      <c r="E698" t="inlineStr">
        <is>
          <t>HÄSSLEHOLM</t>
        </is>
      </c>
      <c r="G698" t="n">
        <v>4.8</v>
      </c>
      <c r="H698" t="n">
        <v>0</v>
      </c>
      <c r="I698" t="n">
        <v>0</v>
      </c>
      <c r="J698" t="n">
        <v>0</v>
      </c>
      <c r="K698" t="n">
        <v>0</v>
      </c>
      <c r="L698" t="n">
        <v>0</v>
      </c>
      <c r="M698" t="n">
        <v>0</v>
      </c>
      <c r="N698" t="n">
        <v>0</v>
      </c>
      <c r="O698" t="n">
        <v>0</v>
      </c>
      <c r="P698" t="n">
        <v>0</v>
      </c>
      <c r="Q698" t="n">
        <v>0</v>
      </c>
      <c r="R698" s="2" t="inlineStr"/>
    </row>
    <row r="699" ht="15" customHeight="1">
      <c r="A699" t="inlineStr">
        <is>
          <t>A 25219-2023</t>
        </is>
      </c>
      <c r="B699" s="1" t="n">
        <v>45086.60541666667</v>
      </c>
      <c r="C699" s="1" t="n">
        <v>45994</v>
      </c>
      <c r="D699" t="inlineStr">
        <is>
          <t>SKÅNE LÄN</t>
        </is>
      </c>
      <c r="E699" t="inlineStr">
        <is>
          <t>HÄSSLEHOLM</t>
        </is>
      </c>
      <c r="G699" t="n">
        <v>6.9</v>
      </c>
      <c r="H699" t="n">
        <v>0</v>
      </c>
      <c r="I699" t="n">
        <v>0</v>
      </c>
      <c r="J699" t="n">
        <v>0</v>
      </c>
      <c r="K699" t="n">
        <v>0</v>
      </c>
      <c r="L699" t="n">
        <v>0</v>
      </c>
      <c r="M699" t="n">
        <v>0</v>
      </c>
      <c r="N699" t="n">
        <v>0</v>
      </c>
      <c r="O699" t="n">
        <v>0</v>
      </c>
      <c r="P699" t="n">
        <v>0</v>
      </c>
      <c r="Q699" t="n">
        <v>0</v>
      </c>
      <c r="R699" s="2" t="inlineStr"/>
    </row>
    <row r="700" ht="15" customHeight="1">
      <c r="A700" t="inlineStr">
        <is>
          <t>A 13961-2023</t>
        </is>
      </c>
      <c r="B700" s="1" t="n">
        <v>45008</v>
      </c>
      <c r="C700" s="1" t="n">
        <v>45994</v>
      </c>
      <c r="D700" t="inlineStr">
        <is>
          <t>SKÅNE LÄN</t>
        </is>
      </c>
      <c r="E700" t="inlineStr">
        <is>
          <t>HÄSSLEHOLM</t>
        </is>
      </c>
      <c r="G700" t="n">
        <v>3.8</v>
      </c>
      <c r="H700" t="n">
        <v>0</v>
      </c>
      <c r="I700" t="n">
        <v>0</v>
      </c>
      <c r="J700" t="n">
        <v>0</v>
      </c>
      <c r="K700" t="n">
        <v>0</v>
      </c>
      <c r="L700" t="n">
        <v>0</v>
      </c>
      <c r="M700" t="n">
        <v>0</v>
      </c>
      <c r="N700" t="n">
        <v>0</v>
      </c>
      <c r="O700" t="n">
        <v>0</v>
      </c>
      <c r="P700" t="n">
        <v>0</v>
      </c>
      <c r="Q700" t="n">
        <v>0</v>
      </c>
      <c r="R700" s="2" t="inlineStr"/>
    </row>
    <row r="701" ht="15" customHeight="1">
      <c r="A701" t="inlineStr">
        <is>
          <t>A 17171-2025</t>
        </is>
      </c>
      <c r="B701" s="1" t="n">
        <v>45755</v>
      </c>
      <c r="C701" s="1" t="n">
        <v>45994</v>
      </c>
      <c r="D701" t="inlineStr">
        <is>
          <t>SKÅNE LÄN</t>
        </is>
      </c>
      <c r="E701" t="inlineStr">
        <is>
          <t>HÄSSLEHOLM</t>
        </is>
      </c>
      <c r="G701" t="n">
        <v>1.5</v>
      </c>
      <c r="H701" t="n">
        <v>0</v>
      </c>
      <c r="I701" t="n">
        <v>0</v>
      </c>
      <c r="J701" t="n">
        <v>0</v>
      </c>
      <c r="K701" t="n">
        <v>0</v>
      </c>
      <c r="L701" t="n">
        <v>0</v>
      </c>
      <c r="M701" t="n">
        <v>0</v>
      </c>
      <c r="N701" t="n">
        <v>0</v>
      </c>
      <c r="O701" t="n">
        <v>0</v>
      </c>
      <c r="P701" t="n">
        <v>0</v>
      </c>
      <c r="Q701" t="n">
        <v>0</v>
      </c>
      <c r="R701" s="2" t="inlineStr"/>
    </row>
    <row r="702" ht="15" customHeight="1">
      <c r="A702" t="inlineStr">
        <is>
          <t>A 7581-2023</t>
        </is>
      </c>
      <c r="B702" s="1" t="n">
        <v>44972.39556712963</v>
      </c>
      <c r="C702" s="1" t="n">
        <v>45994</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48191-2021</t>
        </is>
      </c>
      <c r="B703" s="1" t="n">
        <v>44449</v>
      </c>
      <c r="C703" s="1" t="n">
        <v>45994</v>
      </c>
      <c r="D703" t="inlineStr">
        <is>
          <t>SKÅNE LÄN</t>
        </is>
      </c>
      <c r="E703" t="inlineStr">
        <is>
          <t>HÄSSLEHOLM</t>
        </is>
      </c>
      <c r="G703" t="n">
        <v>6</v>
      </c>
      <c r="H703" t="n">
        <v>0</v>
      </c>
      <c r="I703" t="n">
        <v>0</v>
      </c>
      <c r="J703" t="n">
        <v>0</v>
      </c>
      <c r="K703" t="n">
        <v>0</v>
      </c>
      <c r="L703" t="n">
        <v>0</v>
      </c>
      <c r="M703" t="n">
        <v>0</v>
      </c>
      <c r="N703" t="n">
        <v>0</v>
      </c>
      <c r="O703" t="n">
        <v>0</v>
      </c>
      <c r="P703" t="n">
        <v>0</v>
      </c>
      <c r="Q703" t="n">
        <v>0</v>
      </c>
      <c r="R703" s="2" t="inlineStr"/>
    </row>
    <row r="704" ht="15" customHeight="1">
      <c r="A704" t="inlineStr">
        <is>
          <t>A 16930-2024</t>
        </is>
      </c>
      <c r="B704" s="1" t="n">
        <v>45411</v>
      </c>
      <c r="C704" s="1" t="n">
        <v>45994</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27825-2024</t>
        </is>
      </c>
      <c r="B705" s="1" t="n">
        <v>45475</v>
      </c>
      <c r="C705" s="1" t="n">
        <v>45994</v>
      </c>
      <c r="D705" t="inlineStr">
        <is>
          <t>SKÅNE LÄN</t>
        </is>
      </c>
      <c r="E705" t="inlineStr">
        <is>
          <t>HÄSSLEHOLM</t>
        </is>
      </c>
      <c r="F705" t="inlineStr">
        <is>
          <t>Kommuner</t>
        </is>
      </c>
      <c r="G705" t="n">
        <v>1.1</v>
      </c>
      <c r="H705" t="n">
        <v>0</v>
      </c>
      <c r="I705" t="n">
        <v>0</v>
      </c>
      <c r="J705" t="n">
        <v>0</v>
      </c>
      <c r="K705" t="n">
        <v>0</v>
      </c>
      <c r="L705" t="n">
        <v>0</v>
      </c>
      <c r="M705" t="n">
        <v>0</v>
      </c>
      <c r="N705" t="n">
        <v>0</v>
      </c>
      <c r="O705" t="n">
        <v>0</v>
      </c>
      <c r="P705" t="n">
        <v>0</v>
      </c>
      <c r="Q705" t="n">
        <v>0</v>
      </c>
      <c r="R705" s="2" t="inlineStr"/>
    </row>
    <row r="706" ht="15" customHeight="1">
      <c r="A706" t="inlineStr">
        <is>
          <t>A 27478-2023</t>
        </is>
      </c>
      <c r="B706" s="1" t="n">
        <v>45092</v>
      </c>
      <c r="C706" s="1" t="n">
        <v>45994</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37898-2021</t>
        </is>
      </c>
      <c r="B707" s="1" t="n">
        <v>44403</v>
      </c>
      <c r="C707" s="1" t="n">
        <v>45994</v>
      </c>
      <c r="D707" t="inlineStr">
        <is>
          <t>SKÅNE LÄN</t>
        </is>
      </c>
      <c r="E707" t="inlineStr">
        <is>
          <t>HÄSSLEHOLM</t>
        </is>
      </c>
      <c r="F707" t="inlineStr">
        <is>
          <t>Kommuner</t>
        </is>
      </c>
      <c r="G707" t="n">
        <v>8.4</v>
      </c>
      <c r="H707" t="n">
        <v>0</v>
      </c>
      <c r="I707" t="n">
        <v>0</v>
      </c>
      <c r="J707" t="n">
        <v>0</v>
      </c>
      <c r="K707" t="n">
        <v>0</v>
      </c>
      <c r="L707" t="n">
        <v>0</v>
      </c>
      <c r="M707" t="n">
        <v>0</v>
      </c>
      <c r="N707" t="n">
        <v>0</v>
      </c>
      <c r="O707" t="n">
        <v>0</v>
      </c>
      <c r="P707" t="n">
        <v>0</v>
      </c>
      <c r="Q707" t="n">
        <v>0</v>
      </c>
      <c r="R707" s="2" t="inlineStr"/>
    </row>
    <row r="708" ht="15" customHeight="1">
      <c r="A708" t="inlineStr">
        <is>
          <t>A 5282-2023</t>
        </is>
      </c>
      <c r="B708" s="1" t="n">
        <v>44959.50471064815</v>
      </c>
      <c r="C708" s="1" t="n">
        <v>45994</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7306-2025</t>
        </is>
      </c>
      <c r="B709" s="1" t="n">
        <v>45702</v>
      </c>
      <c r="C709" s="1" t="n">
        <v>45994</v>
      </c>
      <c r="D709" t="inlineStr">
        <is>
          <t>SKÅNE LÄN</t>
        </is>
      </c>
      <c r="E709" t="inlineStr">
        <is>
          <t>HÄSSLEHOLM</t>
        </is>
      </c>
      <c r="F709" t="inlineStr">
        <is>
          <t>Övriga Aktiebolag</t>
        </is>
      </c>
      <c r="G709" t="n">
        <v>3.3</v>
      </c>
      <c r="H709" t="n">
        <v>0</v>
      </c>
      <c r="I709" t="n">
        <v>0</v>
      </c>
      <c r="J709" t="n">
        <v>0</v>
      </c>
      <c r="K709" t="n">
        <v>0</v>
      </c>
      <c r="L709" t="n">
        <v>0</v>
      </c>
      <c r="M709" t="n">
        <v>0</v>
      </c>
      <c r="N709" t="n">
        <v>0</v>
      </c>
      <c r="O709" t="n">
        <v>0</v>
      </c>
      <c r="P709" t="n">
        <v>0</v>
      </c>
      <c r="Q709" t="n">
        <v>0</v>
      </c>
      <c r="R709" s="2" t="inlineStr"/>
    </row>
    <row r="710" ht="15" customHeight="1">
      <c r="A710" t="inlineStr">
        <is>
          <t>A 7308-2025</t>
        </is>
      </c>
      <c r="B710" s="1" t="n">
        <v>45702</v>
      </c>
      <c r="C710" s="1" t="n">
        <v>45994</v>
      </c>
      <c r="D710" t="inlineStr">
        <is>
          <t>SKÅNE LÄN</t>
        </is>
      </c>
      <c r="E710" t="inlineStr">
        <is>
          <t>HÄSSLEHOLM</t>
        </is>
      </c>
      <c r="F710" t="inlineStr">
        <is>
          <t>Övriga Aktiebolag</t>
        </is>
      </c>
      <c r="G710" t="n">
        <v>4.8</v>
      </c>
      <c r="H710" t="n">
        <v>0</v>
      </c>
      <c r="I710" t="n">
        <v>0</v>
      </c>
      <c r="J710" t="n">
        <v>0</v>
      </c>
      <c r="K710" t="n">
        <v>0</v>
      </c>
      <c r="L710" t="n">
        <v>0</v>
      </c>
      <c r="M710" t="n">
        <v>0</v>
      </c>
      <c r="N710" t="n">
        <v>0</v>
      </c>
      <c r="O710" t="n">
        <v>0</v>
      </c>
      <c r="P710" t="n">
        <v>0</v>
      </c>
      <c r="Q710" t="n">
        <v>0</v>
      </c>
      <c r="R710" s="2" t="inlineStr"/>
    </row>
    <row r="711" ht="15" customHeight="1">
      <c r="A711" t="inlineStr">
        <is>
          <t>A 26641-2023</t>
        </is>
      </c>
      <c r="B711" s="1" t="n">
        <v>45092.89619212963</v>
      </c>
      <c r="C711" s="1" t="n">
        <v>45994</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58250-2024</t>
        </is>
      </c>
      <c r="B712" s="1" t="n">
        <v>45632.55643518519</v>
      </c>
      <c r="C712" s="1" t="n">
        <v>45994</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6327-2021</t>
        </is>
      </c>
      <c r="B713" s="1" t="n">
        <v>44235</v>
      </c>
      <c r="C713" s="1" t="n">
        <v>45994</v>
      </c>
      <c r="D713" t="inlineStr">
        <is>
          <t>SKÅNE LÄN</t>
        </is>
      </c>
      <c r="E713" t="inlineStr">
        <is>
          <t>HÄSSLEHOLM</t>
        </is>
      </c>
      <c r="G713" t="n">
        <v>1.6</v>
      </c>
      <c r="H713" t="n">
        <v>0</v>
      </c>
      <c r="I713" t="n">
        <v>0</v>
      </c>
      <c r="J713" t="n">
        <v>0</v>
      </c>
      <c r="K713" t="n">
        <v>0</v>
      </c>
      <c r="L713" t="n">
        <v>0</v>
      </c>
      <c r="M713" t="n">
        <v>0</v>
      </c>
      <c r="N713" t="n">
        <v>0</v>
      </c>
      <c r="O713" t="n">
        <v>0</v>
      </c>
      <c r="P713" t="n">
        <v>0</v>
      </c>
      <c r="Q713" t="n">
        <v>0</v>
      </c>
      <c r="R713" s="2" t="inlineStr"/>
    </row>
    <row r="714" ht="15" customHeight="1">
      <c r="A714" t="inlineStr">
        <is>
          <t>A 52548-2023</t>
        </is>
      </c>
      <c r="B714" s="1" t="n">
        <v>45218</v>
      </c>
      <c r="C714" s="1" t="n">
        <v>45994</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54671-2022</t>
        </is>
      </c>
      <c r="B715" s="1" t="n">
        <v>44883</v>
      </c>
      <c r="C715" s="1" t="n">
        <v>45994</v>
      </c>
      <c r="D715" t="inlineStr">
        <is>
          <t>SKÅNE LÄN</t>
        </is>
      </c>
      <c r="E715" t="inlineStr">
        <is>
          <t>HÄSSLEHOLM</t>
        </is>
      </c>
      <c r="G715" t="n">
        <v>1.4</v>
      </c>
      <c r="H715" t="n">
        <v>0</v>
      </c>
      <c r="I715" t="n">
        <v>0</v>
      </c>
      <c r="J715" t="n">
        <v>0</v>
      </c>
      <c r="K715" t="n">
        <v>0</v>
      </c>
      <c r="L715" t="n">
        <v>0</v>
      </c>
      <c r="M715" t="n">
        <v>0</v>
      </c>
      <c r="N715" t="n">
        <v>0</v>
      </c>
      <c r="O715" t="n">
        <v>0</v>
      </c>
      <c r="P715" t="n">
        <v>0</v>
      </c>
      <c r="Q715" t="n">
        <v>0</v>
      </c>
      <c r="R715" s="2" t="inlineStr"/>
    </row>
    <row r="716" ht="15" customHeight="1">
      <c r="A716" t="inlineStr">
        <is>
          <t>A 31254-2024</t>
        </is>
      </c>
      <c r="B716" s="1" t="n">
        <v>45503</v>
      </c>
      <c r="C716" s="1" t="n">
        <v>45994</v>
      </c>
      <c r="D716" t="inlineStr">
        <is>
          <t>SKÅNE LÄN</t>
        </is>
      </c>
      <c r="E716" t="inlineStr">
        <is>
          <t>HÄSSLEHOLM</t>
        </is>
      </c>
      <c r="G716" t="n">
        <v>2.2</v>
      </c>
      <c r="H716" t="n">
        <v>0</v>
      </c>
      <c r="I716" t="n">
        <v>0</v>
      </c>
      <c r="J716" t="n">
        <v>0</v>
      </c>
      <c r="K716" t="n">
        <v>0</v>
      </c>
      <c r="L716" t="n">
        <v>0</v>
      </c>
      <c r="M716" t="n">
        <v>0</v>
      </c>
      <c r="N716" t="n">
        <v>0</v>
      </c>
      <c r="O716" t="n">
        <v>0</v>
      </c>
      <c r="P716" t="n">
        <v>0</v>
      </c>
      <c r="Q716" t="n">
        <v>0</v>
      </c>
      <c r="R716" s="2" t="inlineStr"/>
    </row>
    <row r="717" ht="15" customHeight="1">
      <c r="A717" t="inlineStr">
        <is>
          <t>A 12503-2022</t>
        </is>
      </c>
      <c r="B717" s="1" t="n">
        <v>44638</v>
      </c>
      <c r="C717" s="1" t="n">
        <v>45994</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37486-2024</t>
        </is>
      </c>
      <c r="B718" s="1" t="n">
        <v>45541</v>
      </c>
      <c r="C718" s="1" t="n">
        <v>45994</v>
      </c>
      <c r="D718" t="inlineStr">
        <is>
          <t>SKÅNE LÄN</t>
        </is>
      </c>
      <c r="E718" t="inlineStr">
        <is>
          <t>HÄSSLEHOLM</t>
        </is>
      </c>
      <c r="G718" t="n">
        <v>8.5</v>
      </c>
      <c r="H718" t="n">
        <v>0</v>
      </c>
      <c r="I718" t="n">
        <v>0</v>
      </c>
      <c r="J718" t="n">
        <v>0</v>
      </c>
      <c r="K718" t="n">
        <v>0</v>
      </c>
      <c r="L718" t="n">
        <v>0</v>
      </c>
      <c r="M718" t="n">
        <v>0</v>
      </c>
      <c r="N718" t="n">
        <v>0</v>
      </c>
      <c r="O718" t="n">
        <v>0</v>
      </c>
      <c r="P718" t="n">
        <v>0</v>
      </c>
      <c r="Q718" t="n">
        <v>0</v>
      </c>
      <c r="R718" s="2" t="inlineStr"/>
    </row>
    <row r="719" ht="15" customHeight="1">
      <c r="A719" t="inlineStr">
        <is>
          <t>A 11753-2025</t>
        </is>
      </c>
      <c r="B719" s="1" t="n">
        <v>45727</v>
      </c>
      <c r="C719" s="1" t="n">
        <v>45994</v>
      </c>
      <c r="D719" t="inlineStr">
        <is>
          <t>SKÅNE LÄN</t>
        </is>
      </c>
      <c r="E719" t="inlineStr">
        <is>
          <t>HÄSSLEHOLM</t>
        </is>
      </c>
      <c r="G719" t="n">
        <v>2.7</v>
      </c>
      <c r="H719" t="n">
        <v>0</v>
      </c>
      <c r="I719" t="n">
        <v>0</v>
      </c>
      <c r="J719" t="n">
        <v>0</v>
      </c>
      <c r="K719" t="n">
        <v>0</v>
      </c>
      <c r="L719" t="n">
        <v>0</v>
      </c>
      <c r="M719" t="n">
        <v>0</v>
      </c>
      <c r="N719" t="n">
        <v>0</v>
      </c>
      <c r="O719" t="n">
        <v>0</v>
      </c>
      <c r="P719" t="n">
        <v>0</v>
      </c>
      <c r="Q719" t="n">
        <v>0</v>
      </c>
      <c r="R719" s="2" t="inlineStr"/>
    </row>
    <row r="720" ht="15" customHeight="1">
      <c r="A720" t="inlineStr">
        <is>
          <t>A 40739-2024</t>
        </is>
      </c>
      <c r="B720" s="1" t="n">
        <v>45558</v>
      </c>
      <c r="C720" s="1" t="n">
        <v>45994</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16397-2022</t>
        </is>
      </c>
      <c r="B721" s="1" t="n">
        <v>44671</v>
      </c>
      <c r="C721" s="1" t="n">
        <v>45994</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16398-2022</t>
        </is>
      </c>
      <c r="B722" s="1" t="n">
        <v>44671</v>
      </c>
      <c r="C722" s="1" t="n">
        <v>45994</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44838-2023</t>
        </is>
      </c>
      <c r="B723" s="1" t="n">
        <v>45190</v>
      </c>
      <c r="C723" s="1" t="n">
        <v>45994</v>
      </c>
      <c r="D723" t="inlineStr">
        <is>
          <t>SKÅNE LÄN</t>
        </is>
      </c>
      <c r="E723" t="inlineStr">
        <is>
          <t>HÄSSLEHOLM</t>
        </is>
      </c>
      <c r="F723" t="inlineStr">
        <is>
          <t>Kommuner</t>
        </is>
      </c>
      <c r="G723" t="n">
        <v>2</v>
      </c>
      <c r="H723" t="n">
        <v>0</v>
      </c>
      <c r="I723" t="n">
        <v>0</v>
      </c>
      <c r="J723" t="n">
        <v>0</v>
      </c>
      <c r="K723" t="n">
        <v>0</v>
      </c>
      <c r="L723" t="n">
        <v>0</v>
      </c>
      <c r="M723" t="n">
        <v>0</v>
      </c>
      <c r="N723" t="n">
        <v>0</v>
      </c>
      <c r="O723" t="n">
        <v>0</v>
      </c>
      <c r="P723" t="n">
        <v>0</v>
      </c>
      <c r="Q723" t="n">
        <v>0</v>
      </c>
      <c r="R723" s="2" t="inlineStr"/>
    </row>
    <row r="724" ht="15" customHeight="1">
      <c r="A724" t="inlineStr">
        <is>
          <t>A 13932-2023</t>
        </is>
      </c>
      <c r="B724" s="1" t="n">
        <v>45008.43935185186</v>
      </c>
      <c r="C724" s="1" t="n">
        <v>45994</v>
      </c>
      <c r="D724" t="inlineStr">
        <is>
          <t>SKÅNE LÄN</t>
        </is>
      </c>
      <c r="E724" t="inlineStr">
        <is>
          <t>HÄSSLEHOLM</t>
        </is>
      </c>
      <c r="G724" t="n">
        <v>3.3</v>
      </c>
      <c r="H724" t="n">
        <v>0</v>
      </c>
      <c r="I724" t="n">
        <v>0</v>
      </c>
      <c r="J724" t="n">
        <v>0</v>
      </c>
      <c r="K724" t="n">
        <v>0</v>
      </c>
      <c r="L724" t="n">
        <v>0</v>
      </c>
      <c r="M724" t="n">
        <v>0</v>
      </c>
      <c r="N724" t="n">
        <v>0</v>
      </c>
      <c r="O724" t="n">
        <v>0</v>
      </c>
      <c r="P724" t="n">
        <v>0</v>
      </c>
      <c r="Q724" t="n">
        <v>0</v>
      </c>
      <c r="R724" s="2" t="inlineStr"/>
    </row>
    <row r="725" ht="15" customHeight="1">
      <c r="A725" t="inlineStr">
        <is>
          <t>A 4512-2024</t>
        </is>
      </c>
      <c r="B725" s="1" t="n">
        <v>45327.6312962963</v>
      </c>
      <c r="C725" s="1" t="n">
        <v>45994</v>
      </c>
      <c r="D725" t="inlineStr">
        <is>
          <t>SKÅNE LÄN</t>
        </is>
      </c>
      <c r="E725" t="inlineStr">
        <is>
          <t>HÄSSLEHOLM</t>
        </is>
      </c>
      <c r="G725" t="n">
        <v>2</v>
      </c>
      <c r="H725" t="n">
        <v>0</v>
      </c>
      <c r="I725" t="n">
        <v>0</v>
      </c>
      <c r="J725" t="n">
        <v>0</v>
      </c>
      <c r="K725" t="n">
        <v>0</v>
      </c>
      <c r="L725" t="n">
        <v>0</v>
      </c>
      <c r="M725" t="n">
        <v>0</v>
      </c>
      <c r="N725" t="n">
        <v>0</v>
      </c>
      <c r="O725" t="n">
        <v>0</v>
      </c>
      <c r="P725" t="n">
        <v>0</v>
      </c>
      <c r="Q725" t="n">
        <v>0</v>
      </c>
      <c r="R725" s="2" t="inlineStr"/>
    </row>
    <row r="726" ht="15" customHeight="1">
      <c r="A726" t="inlineStr">
        <is>
          <t>A 15512-2025</t>
        </is>
      </c>
      <c r="B726" s="1" t="n">
        <v>45747</v>
      </c>
      <c r="C726" s="1" t="n">
        <v>45994</v>
      </c>
      <c r="D726" t="inlineStr">
        <is>
          <t>SKÅNE LÄN</t>
        </is>
      </c>
      <c r="E726" t="inlineStr">
        <is>
          <t>HÄSSLEHOLM</t>
        </is>
      </c>
      <c r="G726" t="n">
        <v>3.5</v>
      </c>
      <c r="H726" t="n">
        <v>0</v>
      </c>
      <c r="I726" t="n">
        <v>0</v>
      </c>
      <c r="J726" t="n">
        <v>0</v>
      </c>
      <c r="K726" t="n">
        <v>0</v>
      </c>
      <c r="L726" t="n">
        <v>0</v>
      </c>
      <c r="M726" t="n">
        <v>0</v>
      </c>
      <c r="N726" t="n">
        <v>0</v>
      </c>
      <c r="O726" t="n">
        <v>0</v>
      </c>
      <c r="P726" t="n">
        <v>0</v>
      </c>
      <c r="Q726" t="n">
        <v>0</v>
      </c>
      <c r="R726" s="2" t="inlineStr"/>
    </row>
    <row r="727" ht="15" customHeight="1">
      <c r="A727" t="inlineStr">
        <is>
          <t>A 9485-2023</t>
        </is>
      </c>
      <c r="B727" s="1" t="n">
        <v>44981.60901620371</v>
      </c>
      <c r="C727" s="1" t="n">
        <v>45994</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35889-2023</t>
        </is>
      </c>
      <c r="B728" s="1" t="n">
        <v>45148</v>
      </c>
      <c r="C728" s="1" t="n">
        <v>45994</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35894-2023</t>
        </is>
      </c>
      <c r="B729" s="1" t="n">
        <v>45148</v>
      </c>
      <c r="C729" s="1" t="n">
        <v>45994</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54777-2022</t>
        </is>
      </c>
      <c r="B730" s="1" t="n">
        <v>44883</v>
      </c>
      <c r="C730" s="1" t="n">
        <v>45994</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45299-2024</t>
        </is>
      </c>
      <c r="B731" s="1" t="n">
        <v>45576.40599537037</v>
      </c>
      <c r="C731" s="1" t="n">
        <v>45994</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13954-2023</t>
        </is>
      </c>
      <c r="B732" s="1" t="n">
        <v>45008</v>
      </c>
      <c r="C732" s="1" t="n">
        <v>45994</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61929-2023</t>
        </is>
      </c>
      <c r="B733" s="1" t="n">
        <v>45266</v>
      </c>
      <c r="C733" s="1" t="n">
        <v>45994</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13555-2025</t>
        </is>
      </c>
      <c r="B734" s="1" t="n">
        <v>45736</v>
      </c>
      <c r="C734" s="1" t="n">
        <v>45994</v>
      </c>
      <c r="D734" t="inlineStr">
        <is>
          <t>SKÅNE LÄN</t>
        </is>
      </c>
      <c r="E734" t="inlineStr">
        <is>
          <t>HÄSSLEHOLM</t>
        </is>
      </c>
      <c r="G734" t="n">
        <v>1.1</v>
      </c>
      <c r="H734" t="n">
        <v>0</v>
      </c>
      <c r="I734" t="n">
        <v>0</v>
      </c>
      <c r="J734" t="n">
        <v>0</v>
      </c>
      <c r="K734" t="n">
        <v>0</v>
      </c>
      <c r="L734" t="n">
        <v>0</v>
      </c>
      <c r="M734" t="n">
        <v>0</v>
      </c>
      <c r="N734" t="n">
        <v>0</v>
      </c>
      <c r="O734" t="n">
        <v>0</v>
      </c>
      <c r="P734" t="n">
        <v>0</v>
      </c>
      <c r="Q734" t="n">
        <v>0</v>
      </c>
      <c r="R734" s="2" t="inlineStr"/>
    </row>
    <row r="735" ht="15" customHeight="1">
      <c r="A735" t="inlineStr">
        <is>
          <t>A 25176-2024</t>
        </is>
      </c>
      <c r="B735" s="1" t="n">
        <v>45462.54582175926</v>
      </c>
      <c r="C735" s="1" t="n">
        <v>45994</v>
      </c>
      <c r="D735" t="inlineStr">
        <is>
          <t>SKÅNE LÄN</t>
        </is>
      </c>
      <c r="E735" t="inlineStr">
        <is>
          <t>HÄSSLEHOLM</t>
        </is>
      </c>
      <c r="G735" t="n">
        <v>3.8</v>
      </c>
      <c r="H735" t="n">
        <v>0</v>
      </c>
      <c r="I735" t="n">
        <v>0</v>
      </c>
      <c r="J735" t="n">
        <v>0</v>
      </c>
      <c r="K735" t="n">
        <v>0</v>
      </c>
      <c r="L735" t="n">
        <v>0</v>
      </c>
      <c r="M735" t="n">
        <v>0</v>
      </c>
      <c r="N735" t="n">
        <v>0</v>
      </c>
      <c r="O735" t="n">
        <v>0</v>
      </c>
      <c r="P735" t="n">
        <v>0</v>
      </c>
      <c r="Q735" t="n">
        <v>0</v>
      </c>
      <c r="R735" s="2" t="inlineStr"/>
    </row>
    <row r="736" ht="15" customHeight="1">
      <c r="A736" t="inlineStr">
        <is>
          <t>A 39044-2024</t>
        </is>
      </c>
      <c r="B736" s="1" t="n">
        <v>45548.47707175926</v>
      </c>
      <c r="C736" s="1" t="n">
        <v>45994</v>
      </c>
      <c r="D736" t="inlineStr">
        <is>
          <t>SKÅNE LÄN</t>
        </is>
      </c>
      <c r="E736" t="inlineStr">
        <is>
          <t>HÄSSLEHOLM</t>
        </is>
      </c>
      <c r="G736" t="n">
        <v>2.8</v>
      </c>
      <c r="H736" t="n">
        <v>0</v>
      </c>
      <c r="I736" t="n">
        <v>0</v>
      </c>
      <c r="J736" t="n">
        <v>0</v>
      </c>
      <c r="K736" t="n">
        <v>0</v>
      </c>
      <c r="L736" t="n">
        <v>0</v>
      </c>
      <c r="M736" t="n">
        <v>0</v>
      </c>
      <c r="N736" t="n">
        <v>0</v>
      </c>
      <c r="O736" t="n">
        <v>0</v>
      </c>
      <c r="P736" t="n">
        <v>0</v>
      </c>
      <c r="Q736" t="n">
        <v>0</v>
      </c>
      <c r="R736" s="2" t="inlineStr"/>
    </row>
    <row r="737" ht="15" customHeight="1">
      <c r="A737" t="inlineStr">
        <is>
          <t>A 7771-2021</t>
        </is>
      </c>
      <c r="B737" s="1" t="n">
        <v>44242</v>
      </c>
      <c r="C737" s="1" t="n">
        <v>45994</v>
      </c>
      <c r="D737" t="inlineStr">
        <is>
          <t>SKÅNE LÄN</t>
        </is>
      </c>
      <c r="E737" t="inlineStr">
        <is>
          <t>HÄSSLEHOLM</t>
        </is>
      </c>
      <c r="G737" t="n">
        <v>4.2</v>
      </c>
      <c r="H737" t="n">
        <v>0</v>
      </c>
      <c r="I737" t="n">
        <v>0</v>
      </c>
      <c r="J737" t="n">
        <v>0</v>
      </c>
      <c r="K737" t="n">
        <v>0</v>
      </c>
      <c r="L737" t="n">
        <v>0</v>
      </c>
      <c r="M737" t="n">
        <v>0</v>
      </c>
      <c r="N737" t="n">
        <v>0</v>
      </c>
      <c r="O737" t="n">
        <v>0</v>
      </c>
      <c r="P737" t="n">
        <v>0</v>
      </c>
      <c r="Q737" t="n">
        <v>0</v>
      </c>
      <c r="R737" s="2" t="inlineStr"/>
    </row>
    <row r="738" ht="15" customHeight="1">
      <c r="A738" t="inlineStr">
        <is>
          <t>A 44741-2023</t>
        </is>
      </c>
      <c r="B738" s="1" t="n">
        <v>45190.38804398148</v>
      </c>
      <c r="C738" s="1" t="n">
        <v>45994</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7476-2025</t>
        </is>
      </c>
      <c r="B739" s="1" t="n">
        <v>45702</v>
      </c>
      <c r="C739" s="1" t="n">
        <v>45994</v>
      </c>
      <c r="D739" t="inlineStr">
        <is>
          <t>SKÅNE LÄN</t>
        </is>
      </c>
      <c r="E739" t="inlineStr">
        <is>
          <t>HÄSSLEHOLM</t>
        </is>
      </c>
      <c r="F739" t="inlineStr">
        <is>
          <t>Övriga Aktiebolag</t>
        </is>
      </c>
      <c r="G739" t="n">
        <v>2.1</v>
      </c>
      <c r="H739" t="n">
        <v>0</v>
      </c>
      <c r="I739" t="n">
        <v>0</v>
      </c>
      <c r="J739" t="n">
        <v>0</v>
      </c>
      <c r="K739" t="n">
        <v>0</v>
      </c>
      <c r="L739" t="n">
        <v>0</v>
      </c>
      <c r="M739" t="n">
        <v>0</v>
      </c>
      <c r="N739" t="n">
        <v>0</v>
      </c>
      <c r="O739" t="n">
        <v>0</v>
      </c>
      <c r="P739" t="n">
        <v>0</v>
      </c>
      <c r="Q739" t="n">
        <v>0</v>
      </c>
      <c r="R739" s="2" t="inlineStr"/>
    </row>
    <row r="740" ht="15" customHeight="1">
      <c r="A740" t="inlineStr">
        <is>
          <t>A 7513-2025</t>
        </is>
      </c>
      <c r="B740" s="1" t="n">
        <v>45702</v>
      </c>
      <c r="C740" s="1" t="n">
        <v>45994</v>
      </c>
      <c r="D740" t="inlineStr">
        <is>
          <t>SKÅNE LÄN</t>
        </is>
      </c>
      <c r="E740" t="inlineStr">
        <is>
          <t>HÄSSLEHOLM</t>
        </is>
      </c>
      <c r="F740" t="inlineStr">
        <is>
          <t>Övriga Aktiebolag</t>
        </is>
      </c>
      <c r="G740" t="n">
        <v>2.4</v>
      </c>
      <c r="H740" t="n">
        <v>0</v>
      </c>
      <c r="I740" t="n">
        <v>0</v>
      </c>
      <c r="J740" t="n">
        <v>0</v>
      </c>
      <c r="K740" t="n">
        <v>0</v>
      </c>
      <c r="L740" t="n">
        <v>0</v>
      </c>
      <c r="M740" t="n">
        <v>0</v>
      </c>
      <c r="N740" t="n">
        <v>0</v>
      </c>
      <c r="O740" t="n">
        <v>0</v>
      </c>
      <c r="P740" t="n">
        <v>0</v>
      </c>
      <c r="Q740" t="n">
        <v>0</v>
      </c>
      <c r="R740" s="2" t="inlineStr"/>
    </row>
    <row r="741" ht="15" customHeight="1">
      <c r="A741" t="inlineStr">
        <is>
          <t>A 31161-2024</t>
        </is>
      </c>
      <c r="B741" s="1" t="n">
        <v>45503</v>
      </c>
      <c r="C741" s="1" t="n">
        <v>45994</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22157-2024</t>
        </is>
      </c>
      <c r="B742" s="1" t="n">
        <v>45445.85290509259</v>
      </c>
      <c r="C742" s="1" t="n">
        <v>45994</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13316-2023</t>
        </is>
      </c>
      <c r="B743" s="1" t="n">
        <v>45005.39013888889</v>
      </c>
      <c r="C743" s="1" t="n">
        <v>45994</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13358-2023</t>
        </is>
      </c>
      <c r="B744" s="1" t="n">
        <v>45005</v>
      </c>
      <c r="C744" s="1" t="n">
        <v>45994</v>
      </c>
      <c r="D744" t="inlineStr">
        <is>
          <t>SKÅNE LÄN</t>
        </is>
      </c>
      <c r="E744" t="inlineStr">
        <is>
          <t>HÄSSLEHOLM</t>
        </is>
      </c>
      <c r="F744" t="inlineStr">
        <is>
          <t>Övriga Aktiebolag</t>
        </is>
      </c>
      <c r="G744" t="n">
        <v>0.5</v>
      </c>
      <c r="H744" t="n">
        <v>0</v>
      </c>
      <c r="I744" t="n">
        <v>0</v>
      </c>
      <c r="J744" t="n">
        <v>0</v>
      </c>
      <c r="K744" t="n">
        <v>0</v>
      </c>
      <c r="L744" t="n">
        <v>0</v>
      </c>
      <c r="M744" t="n">
        <v>0</v>
      </c>
      <c r="N744" t="n">
        <v>0</v>
      </c>
      <c r="O744" t="n">
        <v>0</v>
      </c>
      <c r="P744" t="n">
        <v>0</v>
      </c>
      <c r="Q744" t="n">
        <v>0</v>
      </c>
      <c r="R744" s="2" t="inlineStr"/>
    </row>
    <row r="745" ht="15" customHeight="1">
      <c r="A745" t="inlineStr">
        <is>
          <t>A 3245-2022</t>
        </is>
      </c>
      <c r="B745" s="1" t="n">
        <v>44583.39136574074</v>
      </c>
      <c r="C745" s="1" t="n">
        <v>45994</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19020-2024</t>
        </is>
      </c>
      <c r="B746" s="1" t="n">
        <v>45427.66167824074</v>
      </c>
      <c r="C746" s="1" t="n">
        <v>45994</v>
      </c>
      <c r="D746" t="inlineStr">
        <is>
          <t>SKÅNE LÄN</t>
        </is>
      </c>
      <c r="E746" t="inlineStr">
        <is>
          <t>HÄSSLEHOLM</t>
        </is>
      </c>
      <c r="G746" t="n">
        <v>2.3</v>
      </c>
      <c r="H746" t="n">
        <v>0</v>
      </c>
      <c r="I746" t="n">
        <v>0</v>
      </c>
      <c r="J746" t="n">
        <v>0</v>
      </c>
      <c r="K746" t="n">
        <v>0</v>
      </c>
      <c r="L746" t="n">
        <v>0</v>
      </c>
      <c r="M746" t="n">
        <v>0</v>
      </c>
      <c r="N746" t="n">
        <v>0</v>
      </c>
      <c r="O746" t="n">
        <v>0</v>
      </c>
      <c r="P746" t="n">
        <v>0</v>
      </c>
      <c r="Q746" t="n">
        <v>0</v>
      </c>
      <c r="R746" s="2" t="inlineStr"/>
    </row>
    <row r="747" ht="15" customHeight="1">
      <c r="A747" t="inlineStr">
        <is>
          <t>A 40734-2024</t>
        </is>
      </c>
      <c r="B747" s="1" t="n">
        <v>45558</v>
      </c>
      <c r="C747" s="1" t="n">
        <v>45994</v>
      </c>
      <c r="D747" t="inlineStr">
        <is>
          <t>SKÅNE LÄN</t>
        </is>
      </c>
      <c r="E747" t="inlineStr">
        <is>
          <t>HÄSSLEHOLM</t>
        </is>
      </c>
      <c r="G747" t="n">
        <v>1.4</v>
      </c>
      <c r="H747" t="n">
        <v>0</v>
      </c>
      <c r="I747" t="n">
        <v>0</v>
      </c>
      <c r="J747" t="n">
        <v>0</v>
      </c>
      <c r="K747" t="n">
        <v>0</v>
      </c>
      <c r="L747" t="n">
        <v>0</v>
      </c>
      <c r="M747" t="n">
        <v>0</v>
      </c>
      <c r="N747" t="n">
        <v>0</v>
      </c>
      <c r="O747" t="n">
        <v>0</v>
      </c>
      <c r="P747" t="n">
        <v>0</v>
      </c>
      <c r="Q747" t="n">
        <v>0</v>
      </c>
      <c r="R747" s="2" t="inlineStr"/>
    </row>
    <row r="748" ht="15" customHeight="1">
      <c r="A748" t="inlineStr">
        <is>
          <t>A 40738-2024</t>
        </is>
      </c>
      <c r="B748" s="1" t="n">
        <v>45558</v>
      </c>
      <c r="C748" s="1" t="n">
        <v>45994</v>
      </c>
      <c r="D748" t="inlineStr">
        <is>
          <t>SKÅNE LÄN</t>
        </is>
      </c>
      <c r="E748" t="inlineStr">
        <is>
          <t>HÄSSLEHOLM</t>
        </is>
      </c>
      <c r="G748" t="n">
        <v>2.6</v>
      </c>
      <c r="H748" t="n">
        <v>0</v>
      </c>
      <c r="I748" t="n">
        <v>0</v>
      </c>
      <c r="J748" t="n">
        <v>0</v>
      </c>
      <c r="K748" t="n">
        <v>0</v>
      </c>
      <c r="L748" t="n">
        <v>0</v>
      </c>
      <c r="M748" t="n">
        <v>0</v>
      </c>
      <c r="N748" t="n">
        <v>0</v>
      </c>
      <c r="O748" t="n">
        <v>0</v>
      </c>
      <c r="P748" t="n">
        <v>0</v>
      </c>
      <c r="Q748" t="n">
        <v>0</v>
      </c>
      <c r="R748" s="2" t="inlineStr"/>
    </row>
    <row r="749" ht="15" customHeight="1">
      <c r="A749" t="inlineStr">
        <is>
          <t>A 13007-2024</t>
        </is>
      </c>
      <c r="B749" s="1" t="n">
        <v>45385.57092592592</v>
      </c>
      <c r="C749" s="1" t="n">
        <v>45994</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44940-2023</t>
        </is>
      </c>
      <c r="B750" s="1" t="n">
        <v>45190.68653935185</v>
      </c>
      <c r="C750" s="1" t="n">
        <v>45994</v>
      </c>
      <c r="D750" t="inlineStr">
        <is>
          <t>SKÅNE LÄN</t>
        </is>
      </c>
      <c r="E750" t="inlineStr">
        <is>
          <t>HÄSSLEHOLM</t>
        </is>
      </c>
      <c r="G750" t="n">
        <v>1.5</v>
      </c>
      <c r="H750" t="n">
        <v>0</v>
      </c>
      <c r="I750" t="n">
        <v>0</v>
      </c>
      <c r="J750" t="n">
        <v>0</v>
      </c>
      <c r="K750" t="n">
        <v>0</v>
      </c>
      <c r="L750" t="n">
        <v>0</v>
      </c>
      <c r="M750" t="n">
        <v>0</v>
      </c>
      <c r="N750" t="n">
        <v>0</v>
      </c>
      <c r="O750" t="n">
        <v>0</v>
      </c>
      <c r="P750" t="n">
        <v>0</v>
      </c>
      <c r="Q750" t="n">
        <v>0</v>
      </c>
      <c r="R750" s="2" t="inlineStr"/>
    </row>
    <row r="751" ht="15" customHeight="1">
      <c r="A751" t="inlineStr">
        <is>
          <t>A 25533-2024</t>
        </is>
      </c>
      <c r="B751" s="1" t="n">
        <v>45463</v>
      </c>
      <c r="C751" s="1" t="n">
        <v>45994</v>
      </c>
      <c r="D751" t="inlineStr">
        <is>
          <t>SKÅNE LÄN</t>
        </is>
      </c>
      <c r="E751" t="inlineStr">
        <is>
          <t>HÄSSLEHOLM</t>
        </is>
      </c>
      <c r="G751" t="n">
        <v>1.8</v>
      </c>
      <c r="H751" t="n">
        <v>0</v>
      </c>
      <c r="I751" t="n">
        <v>0</v>
      </c>
      <c r="J751" t="n">
        <v>0</v>
      </c>
      <c r="K751" t="n">
        <v>0</v>
      </c>
      <c r="L751" t="n">
        <v>0</v>
      </c>
      <c r="M751" t="n">
        <v>0</v>
      </c>
      <c r="N751" t="n">
        <v>0</v>
      </c>
      <c r="O751" t="n">
        <v>0</v>
      </c>
      <c r="P751" t="n">
        <v>0</v>
      </c>
      <c r="Q751" t="n">
        <v>0</v>
      </c>
      <c r="R751" s="2" t="inlineStr"/>
    </row>
    <row r="752" ht="15" customHeight="1">
      <c r="A752" t="inlineStr">
        <is>
          <t>A 49199-2024</t>
        </is>
      </c>
      <c r="B752" s="1" t="n">
        <v>45595</v>
      </c>
      <c r="C752" s="1" t="n">
        <v>45994</v>
      </c>
      <c r="D752" t="inlineStr">
        <is>
          <t>SKÅNE LÄN</t>
        </is>
      </c>
      <c r="E752" t="inlineStr">
        <is>
          <t>HÄSSLEHOLM</t>
        </is>
      </c>
      <c r="G752" t="n">
        <v>5.2</v>
      </c>
      <c r="H752" t="n">
        <v>0</v>
      </c>
      <c r="I752" t="n">
        <v>0</v>
      </c>
      <c r="J752" t="n">
        <v>0</v>
      </c>
      <c r="K752" t="n">
        <v>0</v>
      </c>
      <c r="L752" t="n">
        <v>0</v>
      </c>
      <c r="M752" t="n">
        <v>0</v>
      </c>
      <c r="N752" t="n">
        <v>0</v>
      </c>
      <c r="O752" t="n">
        <v>0</v>
      </c>
      <c r="P752" t="n">
        <v>0</v>
      </c>
      <c r="Q752" t="n">
        <v>0</v>
      </c>
      <c r="R752" s="2" t="inlineStr"/>
    </row>
    <row r="753" ht="15" customHeight="1">
      <c r="A753" t="inlineStr">
        <is>
          <t>A 61498-2022</t>
        </is>
      </c>
      <c r="B753" s="1" t="n">
        <v>44910</v>
      </c>
      <c r="C753" s="1" t="n">
        <v>45994</v>
      </c>
      <c r="D753" t="inlineStr">
        <is>
          <t>SKÅNE LÄN</t>
        </is>
      </c>
      <c r="E753" t="inlineStr">
        <is>
          <t>HÄSSLEHOLM</t>
        </is>
      </c>
      <c r="F753" t="inlineStr">
        <is>
          <t>Kyrkan</t>
        </is>
      </c>
      <c r="G753" t="n">
        <v>3.2</v>
      </c>
      <c r="H753" t="n">
        <v>0</v>
      </c>
      <c r="I753" t="n">
        <v>0</v>
      </c>
      <c r="J753" t="n">
        <v>0</v>
      </c>
      <c r="K753" t="n">
        <v>0</v>
      </c>
      <c r="L753" t="n">
        <v>0</v>
      </c>
      <c r="M753" t="n">
        <v>0</v>
      </c>
      <c r="N753" t="n">
        <v>0</v>
      </c>
      <c r="O753" t="n">
        <v>0</v>
      </c>
      <c r="P753" t="n">
        <v>0</v>
      </c>
      <c r="Q753" t="n">
        <v>0</v>
      </c>
      <c r="R753" s="2" t="inlineStr"/>
    </row>
    <row r="754" ht="15" customHeight="1">
      <c r="A754" t="inlineStr">
        <is>
          <t>A 38228-2021</t>
        </is>
      </c>
      <c r="B754" s="1" t="n">
        <v>44405</v>
      </c>
      <c r="C754" s="1" t="n">
        <v>45994</v>
      </c>
      <c r="D754" t="inlineStr">
        <is>
          <t>SKÅNE LÄN</t>
        </is>
      </c>
      <c r="E754" t="inlineStr">
        <is>
          <t>HÄSSLEHOLM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22696-2023</t>
        </is>
      </c>
      <c r="B755" s="1" t="n">
        <v>45071.69464120371</v>
      </c>
      <c r="C755" s="1" t="n">
        <v>45994</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6638-2021</t>
        </is>
      </c>
      <c r="B756" s="1" t="n">
        <v>44235</v>
      </c>
      <c r="C756" s="1" t="n">
        <v>45994</v>
      </c>
      <c r="D756" t="inlineStr">
        <is>
          <t>SKÅNE LÄN</t>
        </is>
      </c>
      <c r="E756" t="inlineStr">
        <is>
          <t>HÄSSLEHOLM</t>
        </is>
      </c>
      <c r="G756" t="n">
        <v>112.4</v>
      </c>
      <c r="H756" t="n">
        <v>0</v>
      </c>
      <c r="I756" t="n">
        <v>0</v>
      </c>
      <c r="J756" t="n">
        <v>0</v>
      </c>
      <c r="K756" t="n">
        <v>0</v>
      </c>
      <c r="L756" t="n">
        <v>0</v>
      </c>
      <c r="M756" t="n">
        <v>0</v>
      </c>
      <c r="N756" t="n">
        <v>0</v>
      </c>
      <c r="O756" t="n">
        <v>0</v>
      </c>
      <c r="P756" t="n">
        <v>0</v>
      </c>
      <c r="Q756" t="n">
        <v>0</v>
      </c>
      <c r="R756" s="2" t="inlineStr"/>
    </row>
    <row r="757" ht="15" customHeight="1">
      <c r="A757" t="inlineStr">
        <is>
          <t>A 52337-2023</t>
        </is>
      </c>
      <c r="B757" s="1" t="n">
        <v>45224.66359953704</v>
      </c>
      <c r="C757" s="1" t="n">
        <v>45994</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40152-2024</t>
        </is>
      </c>
      <c r="B758" s="1" t="n">
        <v>45554</v>
      </c>
      <c r="C758" s="1" t="n">
        <v>45994</v>
      </c>
      <c r="D758" t="inlineStr">
        <is>
          <t>SKÅNE LÄN</t>
        </is>
      </c>
      <c r="E758" t="inlineStr">
        <is>
          <t>HÄSSLEHOLM</t>
        </is>
      </c>
      <c r="G758" t="n">
        <v>1.1</v>
      </c>
      <c r="H758" t="n">
        <v>0</v>
      </c>
      <c r="I758" t="n">
        <v>0</v>
      </c>
      <c r="J758" t="n">
        <v>0</v>
      </c>
      <c r="K758" t="n">
        <v>0</v>
      </c>
      <c r="L758" t="n">
        <v>0</v>
      </c>
      <c r="M758" t="n">
        <v>0</v>
      </c>
      <c r="N758" t="n">
        <v>0</v>
      </c>
      <c r="O758" t="n">
        <v>0</v>
      </c>
      <c r="P758" t="n">
        <v>0</v>
      </c>
      <c r="Q758" t="n">
        <v>0</v>
      </c>
      <c r="R758" s="2" t="inlineStr"/>
    </row>
    <row r="759" ht="15" customHeight="1">
      <c r="A759" t="inlineStr">
        <is>
          <t>A 74030-2021</t>
        </is>
      </c>
      <c r="B759" s="1" t="n">
        <v>44553</v>
      </c>
      <c r="C759" s="1" t="n">
        <v>45994</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15072-2024</t>
        </is>
      </c>
      <c r="B760" s="1" t="n">
        <v>45399.5996875</v>
      </c>
      <c r="C760" s="1" t="n">
        <v>45994</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23955-2023</t>
        </is>
      </c>
      <c r="B761" s="1" t="n">
        <v>45078.62217592593</v>
      </c>
      <c r="C761" s="1" t="n">
        <v>45994</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10897-2023</t>
        </is>
      </c>
      <c r="B762" s="1" t="n">
        <v>44985</v>
      </c>
      <c r="C762" s="1" t="n">
        <v>45994</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2712-2024</t>
        </is>
      </c>
      <c r="B763" s="1" t="n">
        <v>45314</v>
      </c>
      <c r="C763" s="1" t="n">
        <v>45994</v>
      </c>
      <c r="D763" t="inlineStr">
        <is>
          <t>SKÅNE LÄN</t>
        </is>
      </c>
      <c r="E763" t="inlineStr">
        <is>
          <t>HÄSSLEHOLM</t>
        </is>
      </c>
      <c r="G763" t="n">
        <v>11.3</v>
      </c>
      <c r="H763" t="n">
        <v>0</v>
      </c>
      <c r="I763" t="n">
        <v>0</v>
      </c>
      <c r="J763" t="n">
        <v>0</v>
      </c>
      <c r="K763" t="n">
        <v>0</v>
      </c>
      <c r="L763" t="n">
        <v>0</v>
      </c>
      <c r="M763" t="n">
        <v>0</v>
      </c>
      <c r="N763" t="n">
        <v>0</v>
      </c>
      <c r="O763" t="n">
        <v>0</v>
      </c>
      <c r="P763" t="n">
        <v>0</v>
      </c>
      <c r="Q763" t="n">
        <v>0</v>
      </c>
      <c r="R763" s="2" t="inlineStr"/>
    </row>
    <row r="764" ht="15" customHeight="1">
      <c r="A764" t="inlineStr">
        <is>
          <t>A 11262-2025</t>
        </is>
      </c>
      <c r="B764" s="1" t="n">
        <v>45726</v>
      </c>
      <c r="C764" s="1" t="n">
        <v>45994</v>
      </c>
      <c r="D764" t="inlineStr">
        <is>
          <t>SKÅNE LÄN</t>
        </is>
      </c>
      <c r="E764" t="inlineStr">
        <is>
          <t>HÄSSLEHOLM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50571-2023</t>
        </is>
      </c>
      <c r="B765" s="1" t="n">
        <v>45217.38359953704</v>
      </c>
      <c r="C765" s="1" t="n">
        <v>45994</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3248-2022</t>
        </is>
      </c>
      <c r="B766" s="1" t="n">
        <v>44583</v>
      </c>
      <c r="C766" s="1" t="n">
        <v>45994</v>
      </c>
      <c r="D766" t="inlineStr">
        <is>
          <t>SKÅNE LÄN</t>
        </is>
      </c>
      <c r="E766" t="inlineStr">
        <is>
          <t>HÄSSLEHOLM</t>
        </is>
      </c>
      <c r="G766" t="n">
        <v>3</v>
      </c>
      <c r="H766" t="n">
        <v>0</v>
      </c>
      <c r="I766" t="n">
        <v>0</v>
      </c>
      <c r="J766" t="n">
        <v>0</v>
      </c>
      <c r="K766" t="n">
        <v>0</v>
      </c>
      <c r="L766" t="n">
        <v>0</v>
      </c>
      <c r="M766" t="n">
        <v>0</v>
      </c>
      <c r="N766" t="n">
        <v>0</v>
      </c>
      <c r="O766" t="n">
        <v>0</v>
      </c>
      <c r="P766" t="n">
        <v>0</v>
      </c>
      <c r="Q766" t="n">
        <v>0</v>
      </c>
      <c r="R766" s="2" t="inlineStr"/>
    </row>
    <row r="767" ht="15" customHeight="1">
      <c r="A767" t="inlineStr">
        <is>
          <t>A 18908-2023</t>
        </is>
      </c>
      <c r="B767" s="1" t="n">
        <v>45044</v>
      </c>
      <c r="C767" s="1" t="n">
        <v>45994</v>
      </c>
      <c r="D767" t="inlineStr">
        <is>
          <t>SKÅNE LÄN</t>
        </is>
      </c>
      <c r="E767" t="inlineStr">
        <is>
          <t>HÄSSLEHOLM</t>
        </is>
      </c>
      <c r="G767" t="n">
        <v>0.9</v>
      </c>
      <c r="H767" t="n">
        <v>0</v>
      </c>
      <c r="I767" t="n">
        <v>0</v>
      </c>
      <c r="J767" t="n">
        <v>0</v>
      </c>
      <c r="K767" t="n">
        <v>0</v>
      </c>
      <c r="L767" t="n">
        <v>0</v>
      </c>
      <c r="M767" t="n">
        <v>0</v>
      </c>
      <c r="N767" t="n">
        <v>0</v>
      </c>
      <c r="O767" t="n">
        <v>0</v>
      </c>
      <c r="P767" t="n">
        <v>0</v>
      </c>
      <c r="Q767" t="n">
        <v>0</v>
      </c>
      <c r="R767" s="2" t="inlineStr"/>
    </row>
    <row r="768" ht="15" customHeight="1">
      <c r="A768" t="inlineStr">
        <is>
          <t>A 10028-2024</t>
        </is>
      </c>
      <c r="B768" s="1" t="n">
        <v>45363.97292824074</v>
      </c>
      <c r="C768" s="1" t="n">
        <v>45994</v>
      </c>
      <c r="D768" t="inlineStr">
        <is>
          <t>SKÅNE LÄN</t>
        </is>
      </c>
      <c r="E768" t="inlineStr">
        <is>
          <t>HÄSSLEHOLM</t>
        </is>
      </c>
      <c r="G768" t="n">
        <v>1.8</v>
      </c>
      <c r="H768" t="n">
        <v>0</v>
      </c>
      <c r="I768" t="n">
        <v>0</v>
      </c>
      <c r="J768" t="n">
        <v>0</v>
      </c>
      <c r="K768" t="n">
        <v>0</v>
      </c>
      <c r="L768" t="n">
        <v>0</v>
      </c>
      <c r="M768" t="n">
        <v>0</v>
      </c>
      <c r="N768" t="n">
        <v>0</v>
      </c>
      <c r="O768" t="n">
        <v>0</v>
      </c>
      <c r="P768" t="n">
        <v>0</v>
      </c>
      <c r="Q768" t="n">
        <v>0</v>
      </c>
      <c r="R768" s="2" t="inlineStr"/>
    </row>
    <row r="769" ht="15" customHeight="1">
      <c r="A769" t="inlineStr">
        <is>
          <t>A 13084-2025</t>
        </is>
      </c>
      <c r="B769" s="1" t="n">
        <v>45734</v>
      </c>
      <c r="C769" s="1" t="n">
        <v>45994</v>
      </c>
      <c r="D769" t="inlineStr">
        <is>
          <t>SKÅNE LÄN</t>
        </is>
      </c>
      <c r="E769" t="inlineStr">
        <is>
          <t>HÄSSLEHOLM</t>
        </is>
      </c>
      <c r="G769" t="n">
        <v>2.3</v>
      </c>
      <c r="H769" t="n">
        <v>0</v>
      </c>
      <c r="I769" t="n">
        <v>0</v>
      </c>
      <c r="J769" t="n">
        <v>0</v>
      </c>
      <c r="K769" t="n">
        <v>0</v>
      </c>
      <c r="L769" t="n">
        <v>0</v>
      </c>
      <c r="M769" t="n">
        <v>0</v>
      </c>
      <c r="N769" t="n">
        <v>0</v>
      </c>
      <c r="O769" t="n">
        <v>0</v>
      </c>
      <c r="P769" t="n">
        <v>0</v>
      </c>
      <c r="Q769" t="n">
        <v>0</v>
      </c>
      <c r="R769" s="2" t="inlineStr"/>
    </row>
    <row r="770" ht="15" customHeight="1">
      <c r="A770" t="inlineStr">
        <is>
          <t>A 25538-2024</t>
        </is>
      </c>
      <c r="B770" s="1" t="n">
        <v>45463</v>
      </c>
      <c r="C770" s="1" t="n">
        <v>45994</v>
      </c>
      <c r="D770" t="inlineStr">
        <is>
          <t>SKÅNE LÄN</t>
        </is>
      </c>
      <c r="E770" t="inlineStr">
        <is>
          <t>HÄSSLEHOLM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5395-2024</t>
        </is>
      </c>
      <c r="B771" s="1" t="n">
        <v>45331</v>
      </c>
      <c r="C771" s="1" t="n">
        <v>45994</v>
      </c>
      <c r="D771" t="inlineStr">
        <is>
          <t>SKÅNE LÄN</t>
        </is>
      </c>
      <c r="E771" t="inlineStr">
        <is>
          <t>HÄSSLEHOLM</t>
        </is>
      </c>
      <c r="G771" t="n">
        <v>2.6</v>
      </c>
      <c r="H771" t="n">
        <v>0</v>
      </c>
      <c r="I771" t="n">
        <v>0</v>
      </c>
      <c r="J771" t="n">
        <v>0</v>
      </c>
      <c r="K771" t="n">
        <v>0</v>
      </c>
      <c r="L771" t="n">
        <v>0</v>
      </c>
      <c r="M771" t="n">
        <v>0</v>
      </c>
      <c r="N771" t="n">
        <v>0</v>
      </c>
      <c r="O771" t="n">
        <v>0</v>
      </c>
      <c r="P771" t="n">
        <v>0</v>
      </c>
      <c r="Q771" t="n">
        <v>0</v>
      </c>
      <c r="R771" s="2" t="inlineStr"/>
    </row>
    <row r="772" ht="15" customHeight="1">
      <c r="A772" t="inlineStr">
        <is>
          <t>A 16285-2025</t>
        </is>
      </c>
      <c r="B772" s="1" t="n">
        <v>45751.30045138889</v>
      </c>
      <c r="C772" s="1" t="n">
        <v>45994</v>
      </c>
      <c r="D772" t="inlineStr">
        <is>
          <t>SKÅNE LÄN</t>
        </is>
      </c>
      <c r="E772" t="inlineStr">
        <is>
          <t>HÄSSLEHOLM</t>
        </is>
      </c>
      <c r="G772" t="n">
        <v>2</v>
      </c>
      <c r="H772" t="n">
        <v>0</v>
      </c>
      <c r="I772" t="n">
        <v>0</v>
      </c>
      <c r="J772" t="n">
        <v>0</v>
      </c>
      <c r="K772" t="n">
        <v>0</v>
      </c>
      <c r="L772" t="n">
        <v>0</v>
      </c>
      <c r="M772" t="n">
        <v>0</v>
      </c>
      <c r="N772" t="n">
        <v>0</v>
      </c>
      <c r="O772" t="n">
        <v>0</v>
      </c>
      <c r="P772" t="n">
        <v>0</v>
      </c>
      <c r="Q772" t="n">
        <v>0</v>
      </c>
      <c r="R772" s="2" t="inlineStr"/>
    </row>
    <row r="773" ht="15" customHeight="1">
      <c r="A773" t="inlineStr">
        <is>
          <t>A 56986-2024</t>
        </is>
      </c>
      <c r="B773" s="1" t="n">
        <v>45626</v>
      </c>
      <c r="C773" s="1" t="n">
        <v>45994</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2621-2025</t>
        </is>
      </c>
      <c r="B774" s="1" t="n">
        <v>45675.60765046296</v>
      </c>
      <c r="C774" s="1" t="n">
        <v>45994</v>
      </c>
      <c r="D774" t="inlineStr">
        <is>
          <t>SKÅNE LÄN</t>
        </is>
      </c>
      <c r="E774" t="inlineStr">
        <is>
          <t>HÄSSLEHOLM</t>
        </is>
      </c>
      <c r="F774" t="inlineStr">
        <is>
          <t>Kommuner</t>
        </is>
      </c>
      <c r="G774" t="n">
        <v>3</v>
      </c>
      <c r="H774" t="n">
        <v>0</v>
      </c>
      <c r="I774" t="n">
        <v>0</v>
      </c>
      <c r="J774" t="n">
        <v>0</v>
      </c>
      <c r="K774" t="n">
        <v>0</v>
      </c>
      <c r="L774" t="n">
        <v>0</v>
      </c>
      <c r="M774" t="n">
        <v>0</v>
      </c>
      <c r="N774" t="n">
        <v>0</v>
      </c>
      <c r="O774" t="n">
        <v>0</v>
      </c>
      <c r="P774" t="n">
        <v>0</v>
      </c>
      <c r="Q774" t="n">
        <v>0</v>
      </c>
      <c r="R774" s="2" t="inlineStr"/>
    </row>
    <row r="775" ht="15" customHeight="1">
      <c r="A775" t="inlineStr">
        <is>
          <t>A 8737-2025</t>
        </is>
      </c>
      <c r="B775" s="1" t="n">
        <v>45712.54578703704</v>
      </c>
      <c r="C775" s="1" t="n">
        <v>45994</v>
      </c>
      <c r="D775" t="inlineStr">
        <is>
          <t>SKÅNE LÄN</t>
        </is>
      </c>
      <c r="E775" t="inlineStr">
        <is>
          <t>HÄSSLEHOLM</t>
        </is>
      </c>
      <c r="G775" t="n">
        <v>2.7</v>
      </c>
      <c r="H775" t="n">
        <v>0</v>
      </c>
      <c r="I775" t="n">
        <v>0</v>
      </c>
      <c r="J775" t="n">
        <v>0</v>
      </c>
      <c r="K775" t="n">
        <v>0</v>
      </c>
      <c r="L775" t="n">
        <v>0</v>
      </c>
      <c r="M775" t="n">
        <v>0</v>
      </c>
      <c r="N775" t="n">
        <v>0</v>
      </c>
      <c r="O775" t="n">
        <v>0</v>
      </c>
      <c r="P775" t="n">
        <v>0</v>
      </c>
      <c r="Q775" t="n">
        <v>0</v>
      </c>
      <c r="R775" s="2" t="inlineStr"/>
    </row>
    <row r="776" ht="15" customHeight="1">
      <c r="A776" t="inlineStr">
        <is>
          <t>A 46222-2022</t>
        </is>
      </c>
      <c r="B776" s="1" t="n">
        <v>44847.58725694445</v>
      </c>
      <c r="C776" s="1" t="n">
        <v>45994</v>
      </c>
      <c r="D776" t="inlineStr">
        <is>
          <t>SKÅNE LÄN</t>
        </is>
      </c>
      <c r="E776" t="inlineStr">
        <is>
          <t>HÄSSLEHOLM</t>
        </is>
      </c>
      <c r="G776" t="n">
        <v>6.3</v>
      </c>
      <c r="H776" t="n">
        <v>0</v>
      </c>
      <c r="I776" t="n">
        <v>0</v>
      </c>
      <c r="J776" t="n">
        <v>0</v>
      </c>
      <c r="K776" t="n">
        <v>0</v>
      </c>
      <c r="L776" t="n">
        <v>0</v>
      </c>
      <c r="M776" t="n">
        <v>0</v>
      </c>
      <c r="N776" t="n">
        <v>0</v>
      </c>
      <c r="O776" t="n">
        <v>0</v>
      </c>
      <c r="P776" t="n">
        <v>0</v>
      </c>
      <c r="Q776" t="n">
        <v>0</v>
      </c>
      <c r="R776" s="2" t="inlineStr"/>
    </row>
    <row r="777" ht="15" customHeight="1">
      <c r="A777" t="inlineStr">
        <is>
          <t>A 2567-2024</t>
        </is>
      </c>
      <c r="B777" s="1" t="n">
        <v>45313.62460648148</v>
      </c>
      <c r="C777" s="1" t="n">
        <v>45994</v>
      </c>
      <c r="D777" t="inlineStr">
        <is>
          <t>SKÅNE LÄN</t>
        </is>
      </c>
      <c r="E777" t="inlineStr">
        <is>
          <t>HÄSSLEHOLM</t>
        </is>
      </c>
      <c r="G777" t="n">
        <v>1.1</v>
      </c>
      <c r="H777" t="n">
        <v>0</v>
      </c>
      <c r="I777" t="n">
        <v>0</v>
      </c>
      <c r="J777" t="n">
        <v>0</v>
      </c>
      <c r="K777" t="n">
        <v>0</v>
      </c>
      <c r="L777" t="n">
        <v>0</v>
      </c>
      <c r="M777" t="n">
        <v>0</v>
      </c>
      <c r="N777" t="n">
        <v>0</v>
      </c>
      <c r="O777" t="n">
        <v>0</v>
      </c>
      <c r="P777" t="n">
        <v>0</v>
      </c>
      <c r="Q777" t="n">
        <v>0</v>
      </c>
      <c r="R777" s="2" t="inlineStr"/>
    </row>
    <row r="778" ht="15" customHeight="1">
      <c r="A778" t="inlineStr">
        <is>
          <t>A 36733-2023</t>
        </is>
      </c>
      <c r="B778" s="1" t="n">
        <v>45153.69989583334</v>
      </c>
      <c r="C778" s="1" t="n">
        <v>45994</v>
      </c>
      <c r="D778" t="inlineStr">
        <is>
          <t>SKÅNE LÄN</t>
        </is>
      </c>
      <c r="E778" t="inlineStr">
        <is>
          <t>HÄSSLEHOLM</t>
        </is>
      </c>
      <c r="G778" t="n">
        <v>4.8</v>
      </c>
      <c r="H778" t="n">
        <v>0</v>
      </c>
      <c r="I778" t="n">
        <v>0</v>
      </c>
      <c r="J778" t="n">
        <v>0</v>
      </c>
      <c r="K778" t="n">
        <v>0</v>
      </c>
      <c r="L778" t="n">
        <v>0</v>
      </c>
      <c r="M778" t="n">
        <v>0</v>
      </c>
      <c r="N778" t="n">
        <v>0</v>
      </c>
      <c r="O778" t="n">
        <v>0</v>
      </c>
      <c r="P778" t="n">
        <v>0</v>
      </c>
      <c r="Q778" t="n">
        <v>0</v>
      </c>
      <c r="R778" s="2" t="inlineStr"/>
    </row>
    <row r="779" ht="15" customHeight="1">
      <c r="A779" t="inlineStr">
        <is>
          <t>A 37764-2022</t>
        </is>
      </c>
      <c r="B779" s="1" t="n">
        <v>44810</v>
      </c>
      <c r="C779" s="1" t="n">
        <v>45994</v>
      </c>
      <c r="D779" t="inlineStr">
        <is>
          <t>SKÅNE LÄN</t>
        </is>
      </c>
      <c r="E779" t="inlineStr">
        <is>
          <t>HÄSSLEHOLM</t>
        </is>
      </c>
      <c r="F779" t="inlineStr">
        <is>
          <t>Kyrkan</t>
        </is>
      </c>
      <c r="G779" t="n">
        <v>9.4</v>
      </c>
      <c r="H779" t="n">
        <v>0</v>
      </c>
      <c r="I779" t="n">
        <v>0</v>
      </c>
      <c r="J779" t="n">
        <v>0</v>
      </c>
      <c r="K779" t="n">
        <v>0</v>
      </c>
      <c r="L779" t="n">
        <v>0</v>
      </c>
      <c r="M779" t="n">
        <v>0</v>
      </c>
      <c r="N779" t="n">
        <v>0</v>
      </c>
      <c r="O779" t="n">
        <v>0</v>
      </c>
      <c r="P779" t="n">
        <v>0</v>
      </c>
      <c r="Q779" t="n">
        <v>0</v>
      </c>
      <c r="R779" s="2" t="inlineStr"/>
    </row>
    <row r="780" ht="15" customHeight="1">
      <c r="A780" t="inlineStr">
        <is>
          <t>A 28632-2024</t>
        </is>
      </c>
      <c r="B780" s="1" t="n">
        <v>45478</v>
      </c>
      <c r="C780" s="1" t="n">
        <v>45994</v>
      </c>
      <c r="D780" t="inlineStr">
        <is>
          <t>SKÅNE LÄN</t>
        </is>
      </c>
      <c r="E780" t="inlineStr">
        <is>
          <t>HÄSSLEHOLM</t>
        </is>
      </c>
      <c r="G780" t="n">
        <v>4</v>
      </c>
      <c r="H780" t="n">
        <v>0</v>
      </c>
      <c r="I780" t="n">
        <v>0</v>
      </c>
      <c r="J780" t="n">
        <v>0</v>
      </c>
      <c r="K780" t="n">
        <v>0</v>
      </c>
      <c r="L780" t="n">
        <v>0</v>
      </c>
      <c r="M780" t="n">
        <v>0</v>
      </c>
      <c r="N780" t="n">
        <v>0</v>
      </c>
      <c r="O780" t="n">
        <v>0</v>
      </c>
      <c r="P780" t="n">
        <v>0</v>
      </c>
      <c r="Q780" t="n">
        <v>0</v>
      </c>
      <c r="R780" s="2" t="inlineStr"/>
    </row>
    <row r="781" ht="15" customHeight="1">
      <c r="A781" t="inlineStr">
        <is>
          <t>A 46000-2021</t>
        </is>
      </c>
      <c r="B781" s="1" t="n">
        <v>44441</v>
      </c>
      <c r="C781" s="1" t="n">
        <v>45994</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60509-2023</t>
        </is>
      </c>
      <c r="B782" s="1" t="n">
        <v>45259</v>
      </c>
      <c r="C782" s="1" t="n">
        <v>45994</v>
      </c>
      <c r="D782" t="inlineStr">
        <is>
          <t>SKÅNE LÄN</t>
        </is>
      </c>
      <c r="E782" t="inlineStr">
        <is>
          <t>HÄSSLEHOLM</t>
        </is>
      </c>
      <c r="F782" t="inlineStr">
        <is>
          <t>Övriga Aktiebolag</t>
        </is>
      </c>
      <c r="G782" t="n">
        <v>0.5</v>
      </c>
      <c r="H782" t="n">
        <v>0</v>
      </c>
      <c r="I782" t="n">
        <v>0</v>
      </c>
      <c r="J782" t="n">
        <v>0</v>
      </c>
      <c r="K782" t="n">
        <v>0</v>
      </c>
      <c r="L782" t="n">
        <v>0</v>
      </c>
      <c r="M782" t="n">
        <v>0</v>
      </c>
      <c r="N782" t="n">
        <v>0</v>
      </c>
      <c r="O782" t="n">
        <v>0</v>
      </c>
      <c r="P782" t="n">
        <v>0</v>
      </c>
      <c r="Q782" t="n">
        <v>0</v>
      </c>
      <c r="R782" s="2" t="inlineStr"/>
    </row>
    <row r="783" ht="15" customHeight="1">
      <c r="A783" t="inlineStr">
        <is>
          <t>A 11708-2025</t>
        </is>
      </c>
      <c r="B783" s="1" t="n">
        <v>45727.58626157408</v>
      </c>
      <c r="C783" s="1" t="n">
        <v>45994</v>
      </c>
      <c r="D783" t="inlineStr">
        <is>
          <t>SKÅNE LÄN</t>
        </is>
      </c>
      <c r="E783" t="inlineStr">
        <is>
          <t>HÄSSLEHOLM</t>
        </is>
      </c>
      <c r="G783" t="n">
        <v>1.3</v>
      </c>
      <c r="H783" t="n">
        <v>0</v>
      </c>
      <c r="I783" t="n">
        <v>0</v>
      </c>
      <c r="J783" t="n">
        <v>0</v>
      </c>
      <c r="K783" t="n">
        <v>0</v>
      </c>
      <c r="L783" t="n">
        <v>0</v>
      </c>
      <c r="M783" t="n">
        <v>0</v>
      </c>
      <c r="N783" t="n">
        <v>0</v>
      </c>
      <c r="O783" t="n">
        <v>0</v>
      </c>
      <c r="P783" t="n">
        <v>0</v>
      </c>
      <c r="Q783" t="n">
        <v>0</v>
      </c>
      <c r="R783" s="2" t="inlineStr"/>
    </row>
    <row r="784" ht="15" customHeight="1">
      <c r="A784" t="inlineStr">
        <is>
          <t>A 51018-2023</t>
        </is>
      </c>
      <c r="B784" s="1" t="n">
        <v>45218</v>
      </c>
      <c r="C784" s="1" t="n">
        <v>45994</v>
      </c>
      <c r="D784" t="inlineStr">
        <is>
          <t>SKÅNE LÄN</t>
        </is>
      </c>
      <c r="E784" t="inlineStr">
        <is>
          <t>HÄSSLEHOLM</t>
        </is>
      </c>
      <c r="G784" t="n">
        <v>3.1</v>
      </c>
      <c r="H784" t="n">
        <v>0</v>
      </c>
      <c r="I784" t="n">
        <v>0</v>
      </c>
      <c r="J784" t="n">
        <v>0</v>
      </c>
      <c r="K784" t="n">
        <v>0</v>
      </c>
      <c r="L784" t="n">
        <v>0</v>
      </c>
      <c r="M784" t="n">
        <v>0</v>
      </c>
      <c r="N784" t="n">
        <v>0</v>
      </c>
      <c r="O784" t="n">
        <v>0</v>
      </c>
      <c r="P784" t="n">
        <v>0</v>
      </c>
      <c r="Q784" t="n">
        <v>0</v>
      </c>
      <c r="R784" s="2" t="inlineStr"/>
    </row>
    <row r="785" ht="15" customHeight="1">
      <c r="A785" t="inlineStr">
        <is>
          <t>A 23005-2025</t>
        </is>
      </c>
      <c r="B785" s="1" t="n">
        <v>45790</v>
      </c>
      <c r="C785" s="1" t="n">
        <v>45994</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21028-2021</t>
        </is>
      </c>
      <c r="B786" s="1" t="n">
        <v>44319</v>
      </c>
      <c r="C786" s="1" t="n">
        <v>45994</v>
      </c>
      <c r="D786" t="inlineStr">
        <is>
          <t>SKÅNE LÄN</t>
        </is>
      </c>
      <c r="E786" t="inlineStr">
        <is>
          <t>HÄSSLEHOLM</t>
        </is>
      </c>
      <c r="G786" t="n">
        <v>3.1</v>
      </c>
      <c r="H786" t="n">
        <v>0</v>
      </c>
      <c r="I786" t="n">
        <v>0</v>
      </c>
      <c r="J786" t="n">
        <v>0</v>
      </c>
      <c r="K786" t="n">
        <v>0</v>
      </c>
      <c r="L786" t="n">
        <v>0</v>
      </c>
      <c r="M786" t="n">
        <v>0</v>
      </c>
      <c r="N786" t="n">
        <v>0</v>
      </c>
      <c r="O786" t="n">
        <v>0</v>
      </c>
      <c r="P786" t="n">
        <v>0</v>
      </c>
      <c r="Q786" t="n">
        <v>0</v>
      </c>
      <c r="R786" s="2" t="inlineStr"/>
    </row>
    <row r="787" ht="15" customHeight="1">
      <c r="A787" t="inlineStr">
        <is>
          <t>A 60797-2024</t>
        </is>
      </c>
      <c r="B787" s="1" t="n">
        <v>45644</v>
      </c>
      <c r="C787" s="1" t="n">
        <v>45994</v>
      </c>
      <c r="D787" t="inlineStr">
        <is>
          <t>SKÅNE LÄN</t>
        </is>
      </c>
      <c r="E787" t="inlineStr">
        <is>
          <t>HÄSSLEHOLM</t>
        </is>
      </c>
      <c r="G787" t="n">
        <v>3.4</v>
      </c>
      <c r="H787" t="n">
        <v>0</v>
      </c>
      <c r="I787" t="n">
        <v>0</v>
      </c>
      <c r="J787" t="n">
        <v>0</v>
      </c>
      <c r="K787" t="n">
        <v>0</v>
      </c>
      <c r="L787" t="n">
        <v>0</v>
      </c>
      <c r="M787" t="n">
        <v>0</v>
      </c>
      <c r="N787" t="n">
        <v>0</v>
      </c>
      <c r="O787" t="n">
        <v>0</v>
      </c>
      <c r="P787" t="n">
        <v>0</v>
      </c>
      <c r="Q787" t="n">
        <v>0</v>
      </c>
      <c r="R787" s="2" t="inlineStr"/>
    </row>
    <row r="788" ht="15" customHeight="1">
      <c r="A788" t="inlineStr">
        <is>
          <t>A 69357-2021</t>
        </is>
      </c>
      <c r="B788" s="1" t="n">
        <v>44531</v>
      </c>
      <c r="C788" s="1" t="n">
        <v>45994</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1562-2023</t>
        </is>
      </c>
      <c r="B789" s="1" t="n">
        <v>44937.60450231482</v>
      </c>
      <c r="C789" s="1" t="n">
        <v>45994</v>
      </c>
      <c r="D789" t="inlineStr">
        <is>
          <t>SKÅNE LÄN</t>
        </is>
      </c>
      <c r="E789" t="inlineStr">
        <is>
          <t>HÄSSLEHOLM</t>
        </is>
      </c>
      <c r="G789" t="n">
        <v>2.7</v>
      </c>
      <c r="H789" t="n">
        <v>0</v>
      </c>
      <c r="I789" t="n">
        <v>0</v>
      </c>
      <c r="J789" t="n">
        <v>0</v>
      </c>
      <c r="K789" t="n">
        <v>0</v>
      </c>
      <c r="L789" t="n">
        <v>0</v>
      </c>
      <c r="M789" t="n">
        <v>0</v>
      </c>
      <c r="N789" t="n">
        <v>0</v>
      </c>
      <c r="O789" t="n">
        <v>0</v>
      </c>
      <c r="P789" t="n">
        <v>0</v>
      </c>
      <c r="Q789" t="n">
        <v>0</v>
      </c>
      <c r="R789" s="2" t="inlineStr"/>
    </row>
    <row r="790" ht="15" customHeight="1">
      <c r="A790" t="inlineStr">
        <is>
          <t>A 45220-2023</t>
        </is>
      </c>
      <c r="B790" s="1" t="n">
        <v>45191</v>
      </c>
      <c r="C790" s="1" t="n">
        <v>45994</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32967-2023</t>
        </is>
      </c>
      <c r="B791" s="1" t="n">
        <v>45125</v>
      </c>
      <c r="C791" s="1" t="n">
        <v>45994</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32968-2023</t>
        </is>
      </c>
      <c r="B792" s="1" t="n">
        <v>45125</v>
      </c>
      <c r="C792" s="1" t="n">
        <v>45994</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10277-2023</t>
        </is>
      </c>
      <c r="B793" s="1" t="n">
        <v>44986</v>
      </c>
      <c r="C793" s="1" t="n">
        <v>45994</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10290-2023</t>
        </is>
      </c>
      <c r="B794" s="1" t="n">
        <v>44986</v>
      </c>
      <c r="C794" s="1" t="n">
        <v>45994</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3855-2023</t>
        </is>
      </c>
      <c r="B795" s="1" t="n">
        <v>44951.69708333333</v>
      </c>
      <c r="C795" s="1" t="n">
        <v>45994</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33481-2024</t>
        </is>
      </c>
      <c r="B796" s="1" t="n">
        <v>45519</v>
      </c>
      <c r="C796" s="1" t="n">
        <v>45994</v>
      </c>
      <c r="D796" t="inlineStr">
        <is>
          <t>SKÅNE LÄN</t>
        </is>
      </c>
      <c r="E796" t="inlineStr">
        <is>
          <t>HÄSSLEHOLM</t>
        </is>
      </c>
      <c r="G796" t="n">
        <v>3</v>
      </c>
      <c r="H796" t="n">
        <v>0</v>
      </c>
      <c r="I796" t="n">
        <v>0</v>
      </c>
      <c r="J796" t="n">
        <v>0</v>
      </c>
      <c r="K796" t="n">
        <v>0</v>
      </c>
      <c r="L796" t="n">
        <v>0</v>
      </c>
      <c r="M796" t="n">
        <v>0</v>
      </c>
      <c r="N796" t="n">
        <v>0</v>
      </c>
      <c r="O796" t="n">
        <v>0</v>
      </c>
      <c r="P796" t="n">
        <v>0</v>
      </c>
      <c r="Q796" t="n">
        <v>0</v>
      </c>
      <c r="R796" s="2" t="inlineStr"/>
    </row>
    <row r="797" ht="15" customHeight="1">
      <c r="A797" t="inlineStr">
        <is>
          <t>A 4009-2024</t>
        </is>
      </c>
      <c r="B797" s="1" t="n">
        <v>45323</v>
      </c>
      <c r="C797" s="1" t="n">
        <v>45994</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10928-2024</t>
        </is>
      </c>
      <c r="B798" s="1" t="n">
        <v>45370</v>
      </c>
      <c r="C798" s="1" t="n">
        <v>45994</v>
      </c>
      <c r="D798" t="inlineStr">
        <is>
          <t>SKÅNE LÄN</t>
        </is>
      </c>
      <c r="E798" t="inlineStr">
        <is>
          <t>HÄSSLEHOLM</t>
        </is>
      </c>
      <c r="F798" t="inlineStr">
        <is>
          <t>Övriga Aktiebolag</t>
        </is>
      </c>
      <c r="G798" t="n">
        <v>0.5</v>
      </c>
      <c r="H798" t="n">
        <v>0</v>
      </c>
      <c r="I798" t="n">
        <v>0</v>
      </c>
      <c r="J798" t="n">
        <v>0</v>
      </c>
      <c r="K798" t="n">
        <v>0</v>
      </c>
      <c r="L798" t="n">
        <v>0</v>
      </c>
      <c r="M798" t="n">
        <v>0</v>
      </c>
      <c r="N798" t="n">
        <v>0</v>
      </c>
      <c r="O798" t="n">
        <v>0</v>
      </c>
      <c r="P798" t="n">
        <v>0</v>
      </c>
      <c r="Q798" t="n">
        <v>0</v>
      </c>
      <c r="R798" s="2" t="inlineStr"/>
    </row>
    <row r="799" ht="15" customHeight="1">
      <c r="A799" t="inlineStr">
        <is>
          <t>A 10944-2024</t>
        </is>
      </c>
      <c r="B799" s="1" t="n">
        <v>45370</v>
      </c>
      <c r="C799" s="1" t="n">
        <v>45994</v>
      </c>
      <c r="D799" t="inlineStr">
        <is>
          <t>SKÅNE LÄN</t>
        </is>
      </c>
      <c r="E799" t="inlineStr">
        <is>
          <t>HÄSSLEHOLM</t>
        </is>
      </c>
      <c r="F799" t="inlineStr">
        <is>
          <t>Övriga Aktiebolag</t>
        </is>
      </c>
      <c r="G799" t="n">
        <v>2.6</v>
      </c>
      <c r="H799" t="n">
        <v>0</v>
      </c>
      <c r="I799" t="n">
        <v>0</v>
      </c>
      <c r="J799" t="n">
        <v>0</v>
      </c>
      <c r="K799" t="n">
        <v>0</v>
      </c>
      <c r="L799" t="n">
        <v>0</v>
      </c>
      <c r="M799" t="n">
        <v>0</v>
      </c>
      <c r="N799" t="n">
        <v>0</v>
      </c>
      <c r="O799" t="n">
        <v>0</v>
      </c>
      <c r="P799" t="n">
        <v>0</v>
      </c>
      <c r="Q799" t="n">
        <v>0</v>
      </c>
      <c r="R799" s="2" t="inlineStr"/>
    </row>
    <row r="800" ht="15" customHeight="1">
      <c r="A800" t="inlineStr">
        <is>
          <t>A 56069-2024</t>
        </is>
      </c>
      <c r="B800" s="1" t="n">
        <v>45624.38006944444</v>
      </c>
      <c r="C800" s="1" t="n">
        <v>45994</v>
      </c>
      <c r="D800" t="inlineStr">
        <is>
          <t>SKÅNE LÄN</t>
        </is>
      </c>
      <c r="E800" t="inlineStr">
        <is>
          <t>HÄSSLEHOLM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2813-2021</t>
        </is>
      </c>
      <c r="B801" s="1" t="n">
        <v>44215</v>
      </c>
      <c r="C801" s="1" t="n">
        <v>45994</v>
      </c>
      <c r="D801" t="inlineStr">
        <is>
          <t>SKÅNE LÄN</t>
        </is>
      </c>
      <c r="E801" t="inlineStr">
        <is>
          <t>HÄSSLEHOLM</t>
        </is>
      </c>
      <c r="G801" t="n">
        <v>7.1</v>
      </c>
      <c r="H801" t="n">
        <v>0</v>
      </c>
      <c r="I801" t="n">
        <v>0</v>
      </c>
      <c r="J801" t="n">
        <v>0</v>
      </c>
      <c r="K801" t="n">
        <v>0</v>
      </c>
      <c r="L801" t="n">
        <v>0</v>
      </c>
      <c r="M801" t="n">
        <v>0</v>
      </c>
      <c r="N801" t="n">
        <v>0</v>
      </c>
      <c r="O801" t="n">
        <v>0</v>
      </c>
      <c r="P801" t="n">
        <v>0</v>
      </c>
      <c r="Q801" t="n">
        <v>0</v>
      </c>
      <c r="R801" s="2" t="inlineStr"/>
    </row>
    <row r="802" ht="15" customHeight="1">
      <c r="A802" t="inlineStr">
        <is>
          <t>A 1289-2024</t>
        </is>
      </c>
      <c r="B802" s="1" t="n">
        <v>45303.32234953704</v>
      </c>
      <c r="C802" s="1" t="n">
        <v>45994</v>
      </c>
      <c r="D802" t="inlineStr">
        <is>
          <t>SKÅNE LÄN</t>
        </is>
      </c>
      <c r="E802" t="inlineStr">
        <is>
          <t>HÄSSLEHOLM</t>
        </is>
      </c>
      <c r="G802" t="n">
        <v>4.6</v>
      </c>
      <c r="H802" t="n">
        <v>0</v>
      </c>
      <c r="I802" t="n">
        <v>0</v>
      </c>
      <c r="J802" t="n">
        <v>0</v>
      </c>
      <c r="K802" t="n">
        <v>0</v>
      </c>
      <c r="L802" t="n">
        <v>0</v>
      </c>
      <c r="M802" t="n">
        <v>0</v>
      </c>
      <c r="N802" t="n">
        <v>0</v>
      </c>
      <c r="O802" t="n">
        <v>0</v>
      </c>
      <c r="P802" t="n">
        <v>0</v>
      </c>
      <c r="Q802" t="n">
        <v>0</v>
      </c>
      <c r="R802" s="2" t="inlineStr"/>
    </row>
    <row r="803" ht="15" customHeight="1">
      <c r="A803" t="inlineStr">
        <is>
          <t>A 6087-2025</t>
        </is>
      </c>
      <c r="B803" s="1" t="n">
        <v>45697.69782407407</v>
      </c>
      <c r="C803" s="1" t="n">
        <v>45994</v>
      </c>
      <c r="D803" t="inlineStr">
        <is>
          <t>SKÅNE LÄN</t>
        </is>
      </c>
      <c r="E803" t="inlineStr">
        <is>
          <t>HÄSSLEHOLM</t>
        </is>
      </c>
      <c r="G803" t="n">
        <v>1.4</v>
      </c>
      <c r="H803" t="n">
        <v>0</v>
      </c>
      <c r="I803" t="n">
        <v>0</v>
      </c>
      <c r="J803" t="n">
        <v>0</v>
      </c>
      <c r="K803" t="n">
        <v>0</v>
      </c>
      <c r="L803" t="n">
        <v>0</v>
      </c>
      <c r="M803" t="n">
        <v>0</v>
      </c>
      <c r="N803" t="n">
        <v>0</v>
      </c>
      <c r="O803" t="n">
        <v>0</v>
      </c>
      <c r="P803" t="n">
        <v>0</v>
      </c>
      <c r="Q803" t="n">
        <v>0</v>
      </c>
      <c r="R803" s="2" t="inlineStr"/>
    </row>
    <row r="804" ht="15" customHeight="1">
      <c r="A804" t="inlineStr">
        <is>
          <t>A 33466-2024</t>
        </is>
      </c>
      <c r="B804" s="1" t="n">
        <v>45519</v>
      </c>
      <c r="C804" s="1" t="n">
        <v>45994</v>
      </c>
      <c r="D804" t="inlineStr">
        <is>
          <t>SKÅNE LÄN</t>
        </is>
      </c>
      <c r="E804" t="inlineStr">
        <is>
          <t>HÄSSLEHOLM</t>
        </is>
      </c>
      <c r="G804" t="n">
        <v>0.4</v>
      </c>
      <c r="H804" t="n">
        <v>0</v>
      </c>
      <c r="I804" t="n">
        <v>0</v>
      </c>
      <c r="J804" t="n">
        <v>0</v>
      </c>
      <c r="K804" t="n">
        <v>0</v>
      </c>
      <c r="L804" t="n">
        <v>0</v>
      </c>
      <c r="M804" t="n">
        <v>0</v>
      </c>
      <c r="N804" t="n">
        <v>0</v>
      </c>
      <c r="O804" t="n">
        <v>0</v>
      </c>
      <c r="P804" t="n">
        <v>0</v>
      </c>
      <c r="Q804" t="n">
        <v>0</v>
      </c>
      <c r="R804" s="2" t="inlineStr"/>
    </row>
    <row r="805" ht="15" customHeight="1">
      <c r="A805" t="inlineStr">
        <is>
          <t>A 6612-2024</t>
        </is>
      </c>
      <c r="B805" s="1" t="n">
        <v>45341.58859953703</v>
      </c>
      <c r="C805" s="1" t="n">
        <v>45994</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54176-2022</t>
        </is>
      </c>
      <c r="B806" s="1" t="n">
        <v>44881</v>
      </c>
      <c r="C806" s="1" t="n">
        <v>45994</v>
      </c>
      <c r="D806" t="inlineStr">
        <is>
          <t>SKÅNE LÄN</t>
        </is>
      </c>
      <c r="E806" t="inlineStr">
        <is>
          <t>HÄSSLEHOLM</t>
        </is>
      </c>
      <c r="G806" t="n">
        <v>1.1</v>
      </c>
      <c r="H806" t="n">
        <v>0</v>
      </c>
      <c r="I806" t="n">
        <v>0</v>
      </c>
      <c r="J806" t="n">
        <v>0</v>
      </c>
      <c r="K806" t="n">
        <v>0</v>
      </c>
      <c r="L806" t="n">
        <v>0</v>
      </c>
      <c r="M806" t="n">
        <v>0</v>
      </c>
      <c r="N806" t="n">
        <v>0</v>
      </c>
      <c r="O806" t="n">
        <v>0</v>
      </c>
      <c r="P806" t="n">
        <v>0</v>
      </c>
      <c r="Q806" t="n">
        <v>0</v>
      </c>
      <c r="R806" s="2" t="inlineStr"/>
    </row>
    <row r="807" ht="15" customHeight="1">
      <c r="A807" t="inlineStr">
        <is>
          <t>A 7152-2025</t>
        </is>
      </c>
      <c r="B807" s="1" t="n">
        <v>45702.3837037037</v>
      </c>
      <c r="C807" s="1" t="n">
        <v>45994</v>
      </c>
      <c r="D807" t="inlineStr">
        <is>
          <t>SKÅNE LÄN</t>
        </is>
      </c>
      <c r="E807" t="inlineStr">
        <is>
          <t>HÄSSLEHOLM</t>
        </is>
      </c>
      <c r="G807" t="n">
        <v>1.3</v>
      </c>
      <c r="H807" t="n">
        <v>0</v>
      </c>
      <c r="I807" t="n">
        <v>0</v>
      </c>
      <c r="J807" t="n">
        <v>0</v>
      </c>
      <c r="K807" t="n">
        <v>0</v>
      </c>
      <c r="L807" t="n">
        <v>0</v>
      </c>
      <c r="M807" t="n">
        <v>0</v>
      </c>
      <c r="N807" t="n">
        <v>0</v>
      </c>
      <c r="O807" t="n">
        <v>0</v>
      </c>
      <c r="P807" t="n">
        <v>0</v>
      </c>
      <c r="Q807" t="n">
        <v>0</v>
      </c>
      <c r="R807" s="2" t="inlineStr"/>
    </row>
    <row r="808" ht="15" customHeight="1">
      <c r="A808" t="inlineStr">
        <is>
          <t>A 7160-2025</t>
        </is>
      </c>
      <c r="B808" s="1" t="n">
        <v>45702.3875462963</v>
      </c>
      <c r="C808" s="1" t="n">
        <v>45994</v>
      </c>
      <c r="D808" t="inlineStr">
        <is>
          <t>SKÅNE LÄN</t>
        </is>
      </c>
      <c r="E808" t="inlineStr">
        <is>
          <t>HÄSSLEHOLM</t>
        </is>
      </c>
      <c r="G808" t="n">
        <v>2.5</v>
      </c>
      <c r="H808" t="n">
        <v>0</v>
      </c>
      <c r="I808" t="n">
        <v>0</v>
      </c>
      <c r="J808" t="n">
        <v>0</v>
      </c>
      <c r="K808" t="n">
        <v>0</v>
      </c>
      <c r="L808" t="n">
        <v>0</v>
      </c>
      <c r="M808" t="n">
        <v>0</v>
      </c>
      <c r="N808" t="n">
        <v>0</v>
      </c>
      <c r="O808" t="n">
        <v>0</v>
      </c>
      <c r="P808" t="n">
        <v>0</v>
      </c>
      <c r="Q808" t="n">
        <v>0</v>
      </c>
      <c r="R808" s="2" t="inlineStr"/>
    </row>
    <row r="809" ht="15" customHeight="1">
      <c r="A809" t="inlineStr">
        <is>
          <t>A 27291-2023</t>
        </is>
      </c>
      <c r="B809" s="1" t="n">
        <v>45096</v>
      </c>
      <c r="C809" s="1" t="n">
        <v>45994</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26879-2024</t>
        </is>
      </c>
      <c r="B810" s="1" t="n">
        <v>45470</v>
      </c>
      <c r="C810" s="1" t="n">
        <v>45994</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54473-2023</t>
        </is>
      </c>
      <c r="B811" s="1" t="n">
        <v>45233</v>
      </c>
      <c r="C811" s="1" t="n">
        <v>45994</v>
      </c>
      <c r="D811" t="inlineStr">
        <is>
          <t>SKÅNE LÄN</t>
        </is>
      </c>
      <c r="E811" t="inlineStr">
        <is>
          <t>HÄSSLEHOLM</t>
        </is>
      </c>
      <c r="G811" t="n">
        <v>24.5</v>
      </c>
      <c r="H811" t="n">
        <v>0</v>
      </c>
      <c r="I811" t="n">
        <v>0</v>
      </c>
      <c r="J811" t="n">
        <v>0</v>
      </c>
      <c r="K811" t="n">
        <v>0</v>
      </c>
      <c r="L811" t="n">
        <v>0</v>
      </c>
      <c r="M811" t="n">
        <v>0</v>
      </c>
      <c r="N811" t="n">
        <v>0</v>
      </c>
      <c r="O811" t="n">
        <v>0</v>
      </c>
      <c r="P811" t="n">
        <v>0</v>
      </c>
      <c r="Q811" t="n">
        <v>0</v>
      </c>
      <c r="R811" s="2" t="inlineStr"/>
    </row>
    <row r="812" ht="15" customHeight="1">
      <c r="A812" t="inlineStr">
        <is>
          <t>A 11240-2023</t>
        </is>
      </c>
      <c r="B812" s="1" t="n">
        <v>44992</v>
      </c>
      <c r="C812" s="1" t="n">
        <v>45994</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16108-2025</t>
        </is>
      </c>
      <c r="B813" s="1" t="n">
        <v>45750.34667824074</v>
      </c>
      <c r="C813" s="1" t="n">
        <v>45994</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48326-2023</t>
        </is>
      </c>
      <c r="B814" s="1" t="n">
        <v>45205</v>
      </c>
      <c r="C814" s="1" t="n">
        <v>45994</v>
      </c>
      <c r="D814" t="inlineStr">
        <is>
          <t>SKÅNE LÄN</t>
        </is>
      </c>
      <c r="E814" t="inlineStr">
        <is>
          <t>HÄSSLEHOLM</t>
        </is>
      </c>
      <c r="G814" t="n">
        <v>12.7</v>
      </c>
      <c r="H814" t="n">
        <v>0</v>
      </c>
      <c r="I814" t="n">
        <v>0</v>
      </c>
      <c r="J814" t="n">
        <v>0</v>
      </c>
      <c r="K814" t="n">
        <v>0</v>
      </c>
      <c r="L814" t="n">
        <v>0</v>
      </c>
      <c r="M814" t="n">
        <v>0</v>
      </c>
      <c r="N814" t="n">
        <v>0</v>
      </c>
      <c r="O814" t="n">
        <v>0</v>
      </c>
      <c r="P814" t="n">
        <v>0</v>
      </c>
      <c r="Q814" t="n">
        <v>0</v>
      </c>
      <c r="R814" s="2" t="inlineStr"/>
    </row>
    <row r="815" ht="15" customHeight="1">
      <c r="A815" t="inlineStr">
        <is>
          <t>A 54518-2022</t>
        </is>
      </c>
      <c r="B815" s="1" t="n">
        <v>44882</v>
      </c>
      <c r="C815" s="1" t="n">
        <v>45994</v>
      </c>
      <c r="D815" t="inlineStr">
        <is>
          <t>SKÅNE LÄN</t>
        </is>
      </c>
      <c r="E815" t="inlineStr">
        <is>
          <t>HÄSSLEHOLM</t>
        </is>
      </c>
      <c r="F815" t="inlineStr">
        <is>
          <t>Övriga Aktiebolag</t>
        </is>
      </c>
      <c r="G815" t="n">
        <v>6.8</v>
      </c>
      <c r="H815" t="n">
        <v>0</v>
      </c>
      <c r="I815" t="n">
        <v>0</v>
      </c>
      <c r="J815" t="n">
        <v>0</v>
      </c>
      <c r="K815" t="n">
        <v>0</v>
      </c>
      <c r="L815" t="n">
        <v>0</v>
      </c>
      <c r="M815" t="n">
        <v>0</v>
      </c>
      <c r="N815" t="n">
        <v>0</v>
      </c>
      <c r="O815" t="n">
        <v>0</v>
      </c>
      <c r="P815" t="n">
        <v>0</v>
      </c>
      <c r="Q815" t="n">
        <v>0</v>
      </c>
      <c r="R815" s="2" t="inlineStr"/>
    </row>
    <row r="816" ht="15" customHeight="1">
      <c r="A816" t="inlineStr">
        <is>
          <t>A 57491-2024</t>
        </is>
      </c>
      <c r="B816" s="1" t="n">
        <v>45629</v>
      </c>
      <c r="C816" s="1" t="n">
        <v>45994</v>
      </c>
      <c r="D816" t="inlineStr">
        <is>
          <t>SKÅNE LÄN</t>
        </is>
      </c>
      <c r="E816" t="inlineStr">
        <is>
          <t>HÄSSLEHOLM</t>
        </is>
      </c>
      <c r="G816" t="n">
        <v>3.2</v>
      </c>
      <c r="H816" t="n">
        <v>0</v>
      </c>
      <c r="I816" t="n">
        <v>0</v>
      </c>
      <c r="J816" t="n">
        <v>0</v>
      </c>
      <c r="K816" t="n">
        <v>0</v>
      </c>
      <c r="L816" t="n">
        <v>0</v>
      </c>
      <c r="M816" t="n">
        <v>0</v>
      </c>
      <c r="N816" t="n">
        <v>0</v>
      </c>
      <c r="O816" t="n">
        <v>0</v>
      </c>
      <c r="P816" t="n">
        <v>0</v>
      </c>
      <c r="Q816" t="n">
        <v>0</v>
      </c>
      <c r="R816" s="2" t="inlineStr"/>
    </row>
    <row r="817" ht="15" customHeight="1">
      <c r="A817" t="inlineStr">
        <is>
          <t>A 52912-2022</t>
        </is>
      </c>
      <c r="B817" s="1" t="n">
        <v>44872</v>
      </c>
      <c r="C817" s="1" t="n">
        <v>45994</v>
      </c>
      <c r="D817" t="inlineStr">
        <is>
          <t>SKÅNE LÄN</t>
        </is>
      </c>
      <c r="E817" t="inlineStr">
        <is>
          <t>HÄSSLEHOLM</t>
        </is>
      </c>
      <c r="G817" t="n">
        <v>4.7</v>
      </c>
      <c r="H817" t="n">
        <v>0</v>
      </c>
      <c r="I817" t="n">
        <v>0</v>
      </c>
      <c r="J817" t="n">
        <v>0</v>
      </c>
      <c r="K817" t="n">
        <v>0</v>
      </c>
      <c r="L817" t="n">
        <v>0</v>
      </c>
      <c r="M817" t="n">
        <v>0</v>
      </c>
      <c r="N817" t="n">
        <v>0</v>
      </c>
      <c r="O817" t="n">
        <v>0</v>
      </c>
      <c r="P817" t="n">
        <v>0</v>
      </c>
      <c r="Q817" t="n">
        <v>0</v>
      </c>
      <c r="R817" s="2" t="inlineStr"/>
    </row>
    <row r="818" ht="15" customHeight="1">
      <c r="A818" t="inlineStr">
        <is>
          <t>A 441-2022</t>
        </is>
      </c>
      <c r="B818" s="1" t="n">
        <v>44565.97125</v>
      </c>
      <c r="C818" s="1" t="n">
        <v>45994</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7681-2025</t>
        </is>
      </c>
      <c r="B819" s="1" t="n">
        <v>45706.36758101852</v>
      </c>
      <c r="C819" s="1" t="n">
        <v>45994</v>
      </c>
      <c r="D819" t="inlineStr">
        <is>
          <t>SKÅNE LÄN</t>
        </is>
      </c>
      <c r="E819" t="inlineStr">
        <is>
          <t>HÄSSLEHOLM</t>
        </is>
      </c>
      <c r="G819" t="n">
        <v>1.9</v>
      </c>
      <c r="H819" t="n">
        <v>0</v>
      </c>
      <c r="I819" t="n">
        <v>0</v>
      </c>
      <c r="J819" t="n">
        <v>0</v>
      </c>
      <c r="K819" t="n">
        <v>0</v>
      </c>
      <c r="L819" t="n">
        <v>0</v>
      </c>
      <c r="M819" t="n">
        <v>0</v>
      </c>
      <c r="N819" t="n">
        <v>0</v>
      </c>
      <c r="O819" t="n">
        <v>0</v>
      </c>
      <c r="P819" t="n">
        <v>0</v>
      </c>
      <c r="Q819" t="n">
        <v>0</v>
      </c>
      <c r="R819" s="2" t="inlineStr"/>
    </row>
    <row r="820" ht="15" customHeight="1">
      <c r="A820" t="inlineStr">
        <is>
          <t>A 16950-2025</t>
        </is>
      </c>
      <c r="B820" s="1" t="n">
        <v>45755</v>
      </c>
      <c r="C820" s="1" t="n">
        <v>45994</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27502-2023</t>
        </is>
      </c>
      <c r="B821" s="1" t="n">
        <v>45092</v>
      </c>
      <c r="C821" s="1" t="n">
        <v>45994</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5887-2025</t>
        </is>
      </c>
      <c r="B822" s="1" t="n">
        <v>45695.37925925926</v>
      </c>
      <c r="C822" s="1" t="n">
        <v>45994</v>
      </c>
      <c r="D822" t="inlineStr">
        <is>
          <t>SKÅNE LÄN</t>
        </is>
      </c>
      <c r="E822" t="inlineStr">
        <is>
          <t>HÄSSLEHOLM</t>
        </is>
      </c>
      <c r="G822" t="n">
        <v>4.8</v>
      </c>
      <c r="H822" t="n">
        <v>0</v>
      </c>
      <c r="I822" t="n">
        <v>0</v>
      </c>
      <c r="J822" t="n">
        <v>0</v>
      </c>
      <c r="K822" t="n">
        <v>0</v>
      </c>
      <c r="L822" t="n">
        <v>0</v>
      </c>
      <c r="M822" t="n">
        <v>0</v>
      </c>
      <c r="N822" t="n">
        <v>0</v>
      </c>
      <c r="O822" t="n">
        <v>0</v>
      </c>
      <c r="P822" t="n">
        <v>0</v>
      </c>
      <c r="Q822" t="n">
        <v>0</v>
      </c>
      <c r="R822" s="2" t="inlineStr"/>
    </row>
    <row r="823" ht="15" customHeight="1">
      <c r="A823" t="inlineStr">
        <is>
          <t>A 24032-2025</t>
        </is>
      </c>
      <c r="B823" s="1" t="n">
        <v>45796.478125</v>
      </c>
      <c r="C823" s="1" t="n">
        <v>45994</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6596-2021</t>
        </is>
      </c>
      <c r="B824" s="1" t="n">
        <v>44236</v>
      </c>
      <c r="C824" s="1" t="n">
        <v>45994</v>
      </c>
      <c r="D824" t="inlineStr">
        <is>
          <t>SKÅNE LÄN</t>
        </is>
      </c>
      <c r="E824" t="inlineStr">
        <is>
          <t>HÄSSLEHOLM</t>
        </is>
      </c>
      <c r="G824" t="n">
        <v>2</v>
      </c>
      <c r="H824" t="n">
        <v>0</v>
      </c>
      <c r="I824" t="n">
        <v>0</v>
      </c>
      <c r="J824" t="n">
        <v>0</v>
      </c>
      <c r="K824" t="n">
        <v>0</v>
      </c>
      <c r="L824" t="n">
        <v>0</v>
      </c>
      <c r="M824" t="n">
        <v>0</v>
      </c>
      <c r="N824" t="n">
        <v>0</v>
      </c>
      <c r="O824" t="n">
        <v>0</v>
      </c>
      <c r="P824" t="n">
        <v>0</v>
      </c>
      <c r="Q824" t="n">
        <v>0</v>
      </c>
      <c r="R824" s="2" t="inlineStr"/>
    </row>
    <row r="825" ht="15" customHeight="1">
      <c r="A825" t="inlineStr">
        <is>
          <t>A 1616-2025</t>
        </is>
      </c>
      <c r="B825" s="1" t="n">
        <v>45670</v>
      </c>
      <c r="C825" s="1" t="n">
        <v>45994</v>
      </c>
      <c r="D825" t="inlineStr">
        <is>
          <t>SKÅNE LÄN</t>
        </is>
      </c>
      <c r="E825" t="inlineStr">
        <is>
          <t>HÄSSLEHOLM</t>
        </is>
      </c>
      <c r="G825" t="n">
        <v>3.6</v>
      </c>
      <c r="H825" t="n">
        <v>0</v>
      </c>
      <c r="I825" t="n">
        <v>0</v>
      </c>
      <c r="J825" t="n">
        <v>0</v>
      </c>
      <c r="K825" t="n">
        <v>0</v>
      </c>
      <c r="L825" t="n">
        <v>0</v>
      </c>
      <c r="M825" t="n">
        <v>0</v>
      </c>
      <c r="N825" t="n">
        <v>0</v>
      </c>
      <c r="O825" t="n">
        <v>0</v>
      </c>
      <c r="P825" t="n">
        <v>0</v>
      </c>
      <c r="Q825" t="n">
        <v>0</v>
      </c>
      <c r="R825" s="2" t="inlineStr"/>
    </row>
    <row r="826" ht="15" customHeight="1">
      <c r="A826" t="inlineStr">
        <is>
          <t>A 34342-2021</t>
        </is>
      </c>
      <c r="B826" s="1" t="n">
        <v>44379</v>
      </c>
      <c r="C826" s="1" t="n">
        <v>45994</v>
      </c>
      <c r="D826" t="inlineStr">
        <is>
          <t>SKÅNE LÄN</t>
        </is>
      </c>
      <c r="E826" t="inlineStr">
        <is>
          <t>HÄSSLEHOLM</t>
        </is>
      </c>
      <c r="G826" t="n">
        <v>7</v>
      </c>
      <c r="H826" t="n">
        <v>0</v>
      </c>
      <c r="I826" t="n">
        <v>0</v>
      </c>
      <c r="J826" t="n">
        <v>0</v>
      </c>
      <c r="K826" t="n">
        <v>0</v>
      </c>
      <c r="L826" t="n">
        <v>0</v>
      </c>
      <c r="M826" t="n">
        <v>0</v>
      </c>
      <c r="N826" t="n">
        <v>0</v>
      </c>
      <c r="O826" t="n">
        <v>0</v>
      </c>
      <c r="P826" t="n">
        <v>0</v>
      </c>
      <c r="Q826" t="n">
        <v>0</v>
      </c>
      <c r="R826" s="2" t="inlineStr"/>
    </row>
    <row r="827" ht="15" customHeight="1">
      <c r="A827" t="inlineStr">
        <is>
          <t>A 6836-2023</t>
        </is>
      </c>
      <c r="B827" s="1" t="n">
        <v>44967</v>
      </c>
      <c r="C827" s="1" t="n">
        <v>45994</v>
      </c>
      <c r="D827" t="inlineStr">
        <is>
          <t>SKÅNE LÄN</t>
        </is>
      </c>
      <c r="E827" t="inlineStr">
        <is>
          <t>HÄSSLEHOLM</t>
        </is>
      </c>
      <c r="G827" t="n">
        <v>3.5</v>
      </c>
      <c r="H827" t="n">
        <v>0</v>
      </c>
      <c r="I827" t="n">
        <v>0</v>
      </c>
      <c r="J827" t="n">
        <v>0</v>
      </c>
      <c r="K827" t="n">
        <v>0</v>
      </c>
      <c r="L827" t="n">
        <v>0</v>
      </c>
      <c r="M827" t="n">
        <v>0</v>
      </c>
      <c r="N827" t="n">
        <v>0</v>
      </c>
      <c r="O827" t="n">
        <v>0</v>
      </c>
      <c r="P827" t="n">
        <v>0</v>
      </c>
      <c r="Q827" t="n">
        <v>0</v>
      </c>
      <c r="R827" s="2" t="inlineStr"/>
    </row>
    <row r="828" ht="15" customHeight="1">
      <c r="A828" t="inlineStr">
        <is>
          <t>A 6845-2023</t>
        </is>
      </c>
      <c r="B828" s="1" t="n">
        <v>44967</v>
      </c>
      <c r="C828" s="1" t="n">
        <v>45994</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1557-2023</t>
        </is>
      </c>
      <c r="B829" s="1" t="n">
        <v>44937</v>
      </c>
      <c r="C829" s="1" t="n">
        <v>45994</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14157-2021</t>
        </is>
      </c>
      <c r="B830" s="1" t="n">
        <v>44278.43246527778</v>
      </c>
      <c r="C830" s="1" t="n">
        <v>45994</v>
      </c>
      <c r="D830" t="inlineStr">
        <is>
          <t>SKÅNE LÄN</t>
        </is>
      </c>
      <c r="E830" t="inlineStr">
        <is>
          <t>HÄSSLEHOLM</t>
        </is>
      </c>
      <c r="G830" t="n">
        <v>10.5</v>
      </c>
      <c r="H830" t="n">
        <v>0</v>
      </c>
      <c r="I830" t="n">
        <v>0</v>
      </c>
      <c r="J830" t="n">
        <v>0</v>
      </c>
      <c r="K830" t="n">
        <v>0</v>
      </c>
      <c r="L830" t="n">
        <v>0</v>
      </c>
      <c r="M830" t="n">
        <v>0</v>
      </c>
      <c r="N830" t="n">
        <v>0</v>
      </c>
      <c r="O830" t="n">
        <v>0</v>
      </c>
      <c r="P830" t="n">
        <v>0</v>
      </c>
      <c r="Q830" t="n">
        <v>0</v>
      </c>
      <c r="R830" s="2" t="inlineStr"/>
    </row>
    <row r="831" ht="15" customHeight="1">
      <c r="A831" t="inlineStr">
        <is>
          <t>A 53887-2023</t>
        </is>
      </c>
      <c r="B831" s="1" t="n">
        <v>45231.52675925926</v>
      </c>
      <c r="C831" s="1" t="n">
        <v>45994</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9239-2025</t>
        </is>
      </c>
      <c r="B832" s="1" t="n">
        <v>45714</v>
      </c>
      <c r="C832" s="1" t="n">
        <v>45994</v>
      </c>
      <c r="D832" t="inlineStr">
        <is>
          <t>SKÅNE LÄN</t>
        </is>
      </c>
      <c r="E832" t="inlineStr">
        <is>
          <t>HÄSSLEHOLM</t>
        </is>
      </c>
      <c r="G832" t="n">
        <v>1.8</v>
      </c>
      <c r="H832" t="n">
        <v>0</v>
      </c>
      <c r="I832" t="n">
        <v>0</v>
      </c>
      <c r="J832" t="n">
        <v>0</v>
      </c>
      <c r="K832" t="n">
        <v>0</v>
      </c>
      <c r="L832" t="n">
        <v>0</v>
      </c>
      <c r="M832" t="n">
        <v>0</v>
      </c>
      <c r="N832" t="n">
        <v>0</v>
      </c>
      <c r="O832" t="n">
        <v>0</v>
      </c>
      <c r="P832" t="n">
        <v>0</v>
      </c>
      <c r="Q832" t="n">
        <v>0</v>
      </c>
      <c r="R832" s="2" t="inlineStr"/>
    </row>
    <row r="833" ht="15" customHeight="1">
      <c r="A833" t="inlineStr">
        <is>
          <t>A 54874-2022</t>
        </is>
      </c>
      <c r="B833" s="1" t="n">
        <v>44881</v>
      </c>
      <c r="C833" s="1" t="n">
        <v>45994</v>
      </c>
      <c r="D833" t="inlineStr">
        <is>
          <t>SKÅNE LÄN</t>
        </is>
      </c>
      <c r="E833" t="inlineStr">
        <is>
          <t>HÄSSLEHOLM</t>
        </is>
      </c>
      <c r="G833" t="n">
        <v>8.1</v>
      </c>
      <c r="H833" t="n">
        <v>0</v>
      </c>
      <c r="I833" t="n">
        <v>0</v>
      </c>
      <c r="J833" t="n">
        <v>0</v>
      </c>
      <c r="K833" t="n">
        <v>0</v>
      </c>
      <c r="L833" t="n">
        <v>0</v>
      </c>
      <c r="M833" t="n">
        <v>0</v>
      </c>
      <c r="N833" t="n">
        <v>0</v>
      </c>
      <c r="O833" t="n">
        <v>0</v>
      </c>
      <c r="P833" t="n">
        <v>0</v>
      </c>
      <c r="Q833" t="n">
        <v>0</v>
      </c>
      <c r="R833" s="2" t="inlineStr"/>
    </row>
    <row r="834" ht="15" customHeight="1">
      <c r="A834" t="inlineStr">
        <is>
          <t>A 17152-2025</t>
        </is>
      </c>
      <c r="B834" s="1" t="n">
        <v>45756.33318287037</v>
      </c>
      <c r="C834" s="1" t="n">
        <v>45994</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34301-2024</t>
        </is>
      </c>
      <c r="B835" s="1" t="n">
        <v>45524</v>
      </c>
      <c r="C835" s="1" t="n">
        <v>45994</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27242-2022</t>
        </is>
      </c>
      <c r="B836" s="1" t="n">
        <v>44741</v>
      </c>
      <c r="C836" s="1" t="n">
        <v>45994</v>
      </c>
      <c r="D836" t="inlineStr">
        <is>
          <t>SKÅNE LÄN</t>
        </is>
      </c>
      <c r="E836" t="inlineStr">
        <is>
          <t>HÄSSLEHOLM</t>
        </is>
      </c>
      <c r="G836" t="n">
        <v>1.9</v>
      </c>
      <c r="H836" t="n">
        <v>0</v>
      </c>
      <c r="I836" t="n">
        <v>0</v>
      </c>
      <c r="J836" t="n">
        <v>0</v>
      </c>
      <c r="K836" t="n">
        <v>0</v>
      </c>
      <c r="L836" t="n">
        <v>0</v>
      </c>
      <c r="M836" t="n">
        <v>0</v>
      </c>
      <c r="N836" t="n">
        <v>0</v>
      </c>
      <c r="O836" t="n">
        <v>0</v>
      </c>
      <c r="P836" t="n">
        <v>0</v>
      </c>
      <c r="Q836" t="n">
        <v>0</v>
      </c>
      <c r="R836" s="2" t="inlineStr"/>
    </row>
    <row r="837" ht="15" customHeight="1">
      <c r="A837" t="inlineStr">
        <is>
          <t>A 26403-2024</t>
        </is>
      </c>
      <c r="B837" s="1" t="n">
        <v>45469.44505787037</v>
      </c>
      <c r="C837" s="1" t="n">
        <v>45994</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26403-2024</t>
        </is>
      </c>
      <c r="B838" s="1" t="n">
        <v>45469.44505787037</v>
      </c>
      <c r="C838" s="1" t="n">
        <v>45994</v>
      </c>
      <c r="D838" t="inlineStr">
        <is>
          <t>SKÅNE LÄN</t>
        </is>
      </c>
      <c r="E838" t="inlineStr">
        <is>
          <t>HÄSSLEHOLM</t>
        </is>
      </c>
      <c r="G838" t="n">
        <v>2.6</v>
      </c>
      <c r="H838" t="n">
        <v>0</v>
      </c>
      <c r="I838" t="n">
        <v>0</v>
      </c>
      <c r="J838" t="n">
        <v>0</v>
      </c>
      <c r="K838" t="n">
        <v>0</v>
      </c>
      <c r="L838" t="n">
        <v>0</v>
      </c>
      <c r="M838" t="n">
        <v>0</v>
      </c>
      <c r="N838" t="n">
        <v>0</v>
      </c>
      <c r="O838" t="n">
        <v>0</v>
      </c>
      <c r="P838" t="n">
        <v>0</v>
      </c>
      <c r="Q838" t="n">
        <v>0</v>
      </c>
      <c r="R838" s="2" t="inlineStr"/>
    </row>
    <row r="839" ht="15" customHeight="1">
      <c r="A839" t="inlineStr">
        <is>
          <t>A 9556-2025</t>
        </is>
      </c>
      <c r="B839" s="1" t="n">
        <v>45714</v>
      </c>
      <c r="C839" s="1" t="n">
        <v>45994</v>
      </c>
      <c r="D839" t="inlineStr">
        <is>
          <t>SKÅNE LÄN</t>
        </is>
      </c>
      <c r="E839" t="inlineStr">
        <is>
          <t>HÄSSLEHOLM</t>
        </is>
      </c>
      <c r="G839" t="n">
        <v>1.8</v>
      </c>
      <c r="H839" t="n">
        <v>0</v>
      </c>
      <c r="I839" t="n">
        <v>0</v>
      </c>
      <c r="J839" t="n">
        <v>0</v>
      </c>
      <c r="K839" t="n">
        <v>0</v>
      </c>
      <c r="L839" t="n">
        <v>0</v>
      </c>
      <c r="M839" t="n">
        <v>0</v>
      </c>
      <c r="N839" t="n">
        <v>0</v>
      </c>
      <c r="O839" t="n">
        <v>0</v>
      </c>
      <c r="P839" t="n">
        <v>0</v>
      </c>
      <c r="Q839" t="n">
        <v>0</v>
      </c>
      <c r="R839" s="2" t="inlineStr"/>
    </row>
    <row r="840" ht="15" customHeight="1">
      <c r="A840" t="inlineStr">
        <is>
          <t>A 60789-2024</t>
        </is>
      </c>
      <c r="B840" s="1" t="n">
        <v>45644</v>
      </c>
      <c r="C840" s="1" t="n">
        <v>45994</v>
      </c>
      <c r="D840" t="inlineStr">
        <is>
          <t>SKÅNE LÄN</t>
        </is>
      </c>
      <c r="E840" t="inlineStr">
        <is>
          <t>HÄSSLEHOLM</t>
        </is>
      </c>
      <c r="G840" t="n">
        <v>3</v>
      </c>
      <c r="H840" t="n">
        <v>0</v>
      </c>
      <c r="I840" t="n">
        <v>0</v>
      </c>
      <c r="J840" t="n">
        <v>0</v>
      </c>
      <c r="K840" t="n">
        <v>0</v>
      </c>
      <c r="L840" t="n">
        <v>0</v>
      </c>
      <c r="M840" t="n">
        <v>0</v>
      </c>
      <c r="N840" t="n">
        <v>0</v>
      </c>
      <c r="O840" t="n">
        <v>0</v>
      </c>
      <c r="P840" t="n">
        <v>0</v>
      </c>
      <c r="Q840" t="n">
        <v>0</v>
      </c>
      <c r="R840" s="2" t="inlineStr"/>
    </row>
    <row r="841" ht="15" customHeight="1">
      <c r="A841" t="inlineStr">
        <is>
          <t>A 21329-2023</t>
        </is>
      </c>
      <c r="B841" s="1" t="n">
        <v>45062</v>
      </c>
      <c r="C841" s="1" t="n">
        <v>45994</v>
      </c>
      <c r="D841" t="inlineStr">
        <is>
          <t>SKÅNE LÄN</t>
        </is>
      </c>
      <c r="E841" t="inlineStr">
        <is>
          <t>HÄSSLEHOLM</t>
        </is>
      </c>
      <c r="G841" t="n">
        <v>1.1</v>
      </c>
      <c r="H841" t="n">
        <v>0</v>
      </c>
      <c r="I841" t="n">
        <v>0</v>
      </c>
      <c r="J841" t="n">
        <v>0</v>
      </c>
      <c r="K841" t="n">
        <v>0</v>
      </c>
      <c r="L841" t="n">
        <v>0</v>
      </c>
      <c r="M841" t="n">
        <v>0</v>
      </c>
      <c r="N841" t="n">
        <v>0</v>
      </c>
      <c r="O841" t="n">
        <v>0</v>
      </c>
      <c r="P841" t="n">
        <v>0</v>
      </c>
      <c r="Q841" t="n">
        <v>0</v>
      </c>
      <c r="R841" s="2" t="inlineStr"/>
    </row>
    <row r="842" ht="15" customHeight="1">
      <c r="A842" t="inlineStr">
        <is>
          <t>A 61158-2022</t>
        </is>
      </c>
      <c r="B842" s="1" t="n">
        <v>44915.47112268519</v>
      </c>
      <c r="C842" s="1" t="n">
        <v>45994</v>
      </c>
      <c r="D842" t="inlineStr">
        <is>
          <t>SKÅNE LÄN</t>
        </is>
      </c>
      <c r="E842" t="inlineStr">
        <is>
          <t>HÄSSLEHOLM</t>
        </is>
      </c>
      <c r="G842" t="n">
        <v>8.4</v>
      </c>
      <c r="H842" t="n">
        <v>0</v>
      </c>
      <c r="I842" t="n">
        <v>0</v>
      </c>
      <c r="J842" t="n">
        <v>0</v>
      </c>
      <c r="K842" t="n">
        <v>0</v>
      </c>
      <c r="L842" t="n">
        <v>0</v>
      </c>
      <c r="M842" t="n">
        <v>0</v>
      </c>
      <c r="N842" t="n">
        <v>0</v>
      </c>
      <c r="O842" t="n">
        <v>0</v>
      </c>
      <c r="P842" t="n">
        <v>0</v>
      </c>
      <c r="Q842" t="n">
        <v>0</v>
      </c>
      <c r="R842" s="2" t="inlineStr"/>
    </row>
    <row r="843" ht="15" customHeight="1">
      <c r="A843" t="inlineStr">
        <is>
          <t>A 61186-2022</t>
        </is>
      </c>
      <c r="B843" s="1" t="n">
        <v>44915.50745370371</v>
      </c>
      <c r="C843" s="1" t="n">
        <v>45994</v>
      </c>
      <c r="D843" t="inlineStr">
        <is>
          <t>SKÅNE LÄN</t>
        </is>
      </c>
      <c r="E843" t="inlineStr">
        <is>
          <t>HÄSSLEHOLM</t>
        </is>
      </c>
      <c r="G843" t="n">
        <v>2.9</v>
      </c>
      <c r="H843" t="n">
        <v>0</v>
      </c>
      <c r="I843" t="n">
        <v>0</v>
      </c>
      <c r="J843" t="n">
        <v>0</v>
      </c>
      <c r="K843" t="n">
        <v>0</v>
      </c>
      <c r="L843" t="n">
        <v>0</v>
      </c>
      <c r="M843" t="n">
        <v>0</v>
      </c>
      <c r="N843" t="n">
        <v>0</v>
      </c>
      <c r="O843" t="n">
        <v>0</v>
      </c>
      <c r="P843" t="n">
        <v>0</v>
      </c>
      <c r="Q843" t="n">
        <v>0</v>
      </c>
      <c r="R843" s="2" t="inlineStr"/>
    </row>
    <row r="844" ht="15" customHeight="1">
      <c r="A844" t="inlineStr">
        <is>
          <t>A 62055-2023</t>
        </is>
      </c>
      <c r="B844" s="1" t="n">
        <v>45266.70287037037</v>
      </c>
      <c r="C844" s="1" t="n">
        <v>45994</v>
      </c>
      <c r="D844" t="inlineStr">
        <is>
          <t>SKÅNE LÄN</t>
        </is>
      </c>
      <c r="E844" t="inlineStr">
        <is>
          <t>HÄSSLEHOLM</t>
        </is>
      </c>
      <c r="G844" t="n">
        <v>5.2</v>
      </c>
      <c r="H844" t="n">
        <v>0</v>
      </c>
      <c r="I844" t="n">
        <v>0</v>
      </c>
      <c r="J844" t="n">
        <v>0</v>
      </c>
      <c r="K844" t="n">
        <v>0</v>
      </c>
      <c r="L844" t="n">
        <v>0</v>
      </c>
      <c r="M844" t="n">
        <v>0</v>
      </c>
      <c r="N844" t="n">
        <v>0</v>
      </c>
      <c r="O844" t="n">
        <v>0</v>
      </c>
      <c r="P844" t="n">
        <v>0</v>
      </c>
      <c r="Q844" t="n">
        <v>0</v>
      </c>
      <c r="R844" s="2" t="inlineStr"/>
    </row>
    <row r="845" ht="15" customHeight="1">
      <c r="A845" t="inlineStr">
        <is>
          <t>A 16860-2025</t>
        </is>
      </c>
      <c r="B845" s="1" t="n">
        <v>45751</v>
      </c>
      <c r="C845" s="1" t="n">
        <v>45994</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1543-2024</t>
        </is>
      </c>
      <c r="B846" s="1" t="n">
        <v>45306</v>
      </c>
      <c r="C846" s="1" t="n">
        <v>45994</v>
      </c>
      <c r="D846" t="inlineStr">
        <is>
          <t>SKÅNE LÄN</t>
        </is>
      </c>
      <c r="E846" t="inlineStr">
        <is>
          <t>HÄSSLEHOLM</t>
        </is>
      </c>
      <c r="G846" t="n">
        <v>2.6</v>
      </c>
      <c r="H846" t="n">
        <v>0</v>
      </c>
      <c r="I846" t="n">
        <v>0</v>
      </c>
      <c r="J846" t="n">
        <v>0</v>
      </c>
      <c r="K846" t="n">
        <v>0</v>
      </c>
      <c r="L846" t="n">
        <v>0</v>
      </c>
      <c r="M846" t="n">
        <v>0</v>
      </c>
      <c r="N846" t="n">
        <v>0</v>
      </c>
      <c r="O846" t="n">
        <v>0</v>
      </c>
      <c r="P846" t="n">
        <v>0</v>
      </c>
      <c r="Q846" t="n">
        <v>0</v>
      </c>
      <c r="R846" s="2" t="inlineStr"/>
    </row>
    <row r="847" ht="15" customHeight="1">
      <c r="A847" t="inlineStr">
        <is>
          <t>A 18800-2023</t>
        </is>
      </c>
      <c r="B847" s="1" t="n">
        <v>45044</v>
      </c>
      <c r="C847" s="1" t="n">
        <v>45994</v>
      </c>
      <c r="D847" t="inlineStr">
        <is>
          <t>SKÅNE LÄN</t>
        </is>
      </c>
      <c r="E847" t="inlineStr">
        <is>
          <t>HÄSSLEHOLM</t>
        </is>
      </c>
      <c r="G847" t="n">
        <v>1.1</v>
      </c>
      <c r="H847" t="n">
        <v>0</v>
      </c>
      <c r="I847" t="n">
        <v>0</v>
      </c>
      <c r="J847" t="n">
        <v>0</v>
      </c>
      <c r="K847" t="n">
        <v>0</v>
      </c>
      <c r="L847" t="n">
        <v>0</v>
      </c>
      <c r="M847" t="n">
        <v>0</v>
      </c>
      <c r="N847" t="n">
        <v>0</v>
      </c>
      <c r="O847" t="n">
        <v>0</v>
      </c>
      <c r="P847" t="n">
        <v>0</v>
      </c>
      <c r="Q847" t="n">
        <v>0</v>
      </c>
      <c r="R847" s="2" t="inlineStr"/>
    </row>
    <row r="848" ht="15" customHeight="1">
      <c r="A848" t="inlineStr">
        <is>
          <t>A 33465-2024</t>
        </is>
      </c>
      <c r="B848" s="1" t="n">
        <v>45519.59619212963</v>
      </c>
      <c r="C848" s="1" t="n">
        <v>45994</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26642-2023</t>
        </is>
      </c>
      <c r="B849" s="1" t="n">
        <v>45092.8975</v>
      </c>
      <c r="C849" s="1" t="n">
        <v>45994</v>
      </c>
      <c r="D849" t="inlineStr">
        <is>
          <t>SKÅNE LÄN</t>
        </is>
      </c>
      <c r="E849" t="inlineStr">
        <is>
          <t>HÄSSLEHOLM</t>
        </is>
      </c>
      <c r="G849" t="n">
        <v>0.5</v>
      </c>
      <c r="H849" t="n">
        <v>0</v>
      </c>
      <c r="I849" t="n">
        <v>0</v>
      </c>
      <c r="J849" t="n">
        <v>0</v>
      </c>
      <c r="K849" t="n">
        <v>0</v>
      </c>
      <c r="L849" t="n">
        <v>0</v>
      </c>
      <c r="M849" t="n">
        <v>0</v>
      </c>
      <c r="N849" t="n">
        <v>0</v>
      </c>
      <c r="O849" t="n">
        <v>0</v>
      </c>
      <c r="P849" t="n">
        <v>0</v>
      </c>
      <c r="Q849" t="n">
        <v>0</v>
      </c>
      <c r="R849" s="2" t="inlineStr"/>
    </row>
    <row r="850" ht="15" customHeight="1">
      <c r="A850" t="inlineStr">
        <is>
          <t>A 5252-2025</t>
        </is>
      </c>
      <c r="B850" s="1" t="n">
        <v>45692.3449537037</v>
      </c>
      <c r="C850" s="1" t="n">
        <v>45994</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66321-2021</t>
        </is>
      </c>
      <c r="B851" s="1" t="n">
        <v>44518</v>
      </c>
      <c r="C851" s="1" t="n">
        <v>45994</v>
      </c>
      <c r="D851" t="inlineStr">
        <is>
          <t>SKÅNE LÄN</t>
        </is>
      </c>
      <c r="E851" t="inlineStr">
        <is>
          <t>HÄSSLEHOLM</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16668-2025</t>
        </is>
      </c>
      <c r="B852" s="1" t="n">
        <v>45754.43009259259</v>
      </c>
      <c r="C852" s="1" t="n">
        <v>45994</v>
      </c>
      <c r="D852" t="inlineStr">
        <is>
          <t>SKÅNE LÄN</t>
        </is>
      </c>
      <c r="E852" t="inlineStr">
        <is>
          <t>HÄSSLEHOLM</t>
        </is>
      </c>
      <c r="G852" t="n">
        <v>4</v>
      </c>
      <c r="H852" t="n">
        <v>0</v>
      </c>
      <c r="I852" t="n">
        <v>0</v>
      </c>
      <c r="J852" t="n">
        <v>0</v>
      </c>
      <c r="K852" t="n">
        <v>0</v>
      </c>
      <c r="L852" t="n">
        <v>0</v>
      </c>
      <c r="M852" t="n">
        <v>0</v>
      </c>
      <c r="N852" t="n">
        <v>0</v>
      </c>
      <c r="O852" t="n">
        <v>0</v>
      </c>
      <c r="P852" t="n">
        <v>0</v>
      </c>
      <c r="Q852" t="n">
        <v>0</v>
      </c>
      <c r="R852" s="2" t="inlineStr"/>
    </row>
    <row r="853" ht="15" customHeight="1">
      <c r="A853" t="inlineStr">
        <is>
          <t>A 5242-2025</t>
        </is>
      </c>
      <c r="B853" s="1" t="n">
        <v>45692.32883101852</v>
      </c>
      <c r="C853" s="1" t="n">
        <v>45994</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23857-2024</t>
        </is>
      </c>
      <c r="B854" s="1" t="n">
        <v>45455</v>
      </c>
      <c r="C854" s="1" t="n">
        <v>45994</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31268-2024</t>
        </is>
      </c>
      <c r="B855" s="1" t="n">
        <v>45504</v>
      </c>
      <c r="C855" s="1" t="n">
        <v>45994</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6791-2021</t>
        </is>
      </c>
      <c r="B856" s="1" t="n">
        <v>44236</v>
      </c>
      <c r="C856" s="1" t="n">
        <v>45994</v>
      </c>
      <c r="D856" t="inlineStr">
        <is>
          <t>SKÅNE LÄN</t>
        </is>
      </c>
      <c r="E856" t="inlineStr">
        <is>
          <t>HÄSSLEHOLM</t>
        </is>
      </c>
      <c r="G856" t="n">
        <v>1.7</v>
      </c>
      <c r="H856" t="n">
        <v>0</v>
      </c>
      <c r="I856" t="n">
        <v>0</v>
      </c>
      <c r="J856" t="n">
        <v>0</v>
      </c>
      <c r="K856" t="n">
        <v>0</v>
      </c>
      <c r="L856" t="n">
        <v>0</v>
      </c>
      <c r="M856" t="n">
        <v>0</v>
      </c>
      <c r="N856" t="n">
        <v>0</v>
      </c>
      <c r="O856" t="n">
        <v>0</v>
      </c>
      <c r="P856" t="n">
        <v>0</v>
      </c>
      <c r="Q856" t="n">
        <v>0</v>
      </c>
      <c r="R856" s="2" t="inlineStr"/>
    </row>
    <row r="857" ht="15" customHeight="1">
      <c r="A857" t="inlineStr">
        <is>
          <t>A 25077-2024</t>
        </is>
      </c>
      <c r="B857" s="1" t="n">
        <v>45462</v>
      </c>
      <c r="C857" s="1" t="n">
        <v>45994</v>
      </c>
      <c r="D857" t="inlineStr">
        <is>
          <t>SKÅNE LÄN</t>
        </is>
      </c>
      <c r="E857" t="inlineStr">
        <is>
          <t>HÄSSLEHOLM</t>
        </is>
      </c>
      <c r="G857" t="n">
        <v>1.6</v>
      </c>
      <c r="H857" t="n">
        <v>0</v>
      </c>
      <c r="I857" t="n">
        <v>0</v>
      </c>
      <c r="J857" t="n">
        <v>0</v>
      </c>
      <c r="K857" t="n">
        <v>0</v>
      </c>
      <c r="L857" t="n">
        <v>0</v>
      </c>
      <c r="M857" t="n">
        <v>0</v>
      </c>
      <c r="N857" t="n">
        <v>0</v>
      </c>
      <c r="O857" t="n">
        <v>0</v>
      </c>
      <c r="P857" t="n">
        <v>0</v>
      </c>
      <c r="Q857" t="n">
        <v>0</v>
      </c>
      <c r="R857" s="2" t="inlineStr"/>
    </row>
    <row r="858" ht="15" customHeight="1">
      <c r="A858" t="inlineStr">
        <is>
          <t>A 1445-2021</t>
        </is>
      </c>
      <c r="B858" s="1" t="n">
        <v>44208</v>
      </c>
      <c r="C858" s="1" t="n">
        <v>45994</v>
      </c>
      <c r="D858" t="inlineStr">
        <is>
          <t>SKÅNE LÄN</t>
        </is>
      </c>
      <c r="E858" t="inlineStr">
        <is>
          <t>HÄSSLEHOLM</t>
        </is>
      </c>
      <c r="G858" t="n">
        <v>4.6</v>
      </c>
      <c r="H858" t="n">
        <v>0</v>
      </c>
      <c r="I858" t="n">
        <v>0</v>
      </c>
      <c r="J858" t="n">
        <v>0</v>
      </c>
      <c r="K858" t="n">
        <v>0</v>
      </c>
      <c r="L858" t="n">
        <v>0</v>
      </c>
      <c r="M858" t="n">
        <v>0</v>
      </c>
      <c r="N858" t="n">
        <v>0</v>
      </c>
      <c r="O858" t="n">
        <v>0</v>
      </c>
      <c r="P858" t="n">
        <v>0</v>
      </c>
      <c r="Q858" t="n">
        <v>0</v>
      </c>
      <c r="R858" s="2" t="inlineStr"/>
    </row>
    <row r="859" ht="15" customHeight="1">
      <c r="A859" t="inlineStr">
        <is>
          <t>A 51287-2022</t>
        </is>
      </c>
      <c r="B859" s="1" t="n">
        <v>44868.83146990741</v>
      </c>
      <c r="C859" s="1" t="n">
        <v>45994</v>
      </c>
      <c r="D859" t="inlineStr">
        <is>
          <t>SKÅNE LÄN</t>
        </is>
      </c>
      <c r="E859" t="inlineStr">
        <is>
          <t>HÄSSLEHOLM</t>
        </is>
      </c>
      <c r="G859" t="n">
        <v>2.2</v>
      </c>
      <c r="H859" t="n">
        <v>0</v>
      </c>
      <c r="I859" t="n">
        <v>0</v>
      </c>
      <c r="J859" t="n">
        <v>0</v>
      </c>
      <c r="K859" t="n">
        <v>0</v>
      </c>
      <c r="L859" t="n">
        <v>0</v>
      </c>
      <c r="M859" t="n">
        <v>0</v>
      </c>
      <c r="N859" t="n">
        <v>0</v>
      </c>
      <c r="O859" t="n">
        <v>0</v>
      </c>
      <c r="P859" t="n">
        <v>0</v>
      </c>
      <c r="Q859" t="n">
        <v>0</v>
      </c>
      <c r="R859" s="2" t="inlineStr"/>
    </row>
    <row r="860" ht="15" customHeight="1">
      <c r="A860" t="inlineStr">
        <is>
          <t>A 22535-2024</t>
        </is>
      </c>
      <c r="B860" s="1" t="n">
        <v>45447</v>
      </c>
      <c r="C860" s="1" t="n">
        <v>45994</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1560-2023</t>
        </is>
      </c>
      <c r="B861" s="1" t="n">
        <v>44937</v>
      </c>
      <c r="C861" s="1" t="n">
        <v>45994</v>
      </c>
      <c r="D861" t="inlineStr">
        <is>
          <t>SKÅNE LÄN</t>
        </is>
      </c>
      <c r="E861" t="inlineStr">
        <is>
          <t>HÄSSLEHOLM</t>
        </is>
      </c>
      <c r="G861" t="n">
        <v>6.8</v>
      </c>
      <c r="H861" t="n">
        <v>0</v>
      </c>
      <c r="I861" t="n">
        <v>0</v>
      </c>
      <c r="J861" t="n">
        <v>0</v>
      </c>
      <c r="K861" t="n">
        <v>0</v>
      </c>
      <c r="L861" t="n">
        <v>0</v>
      </c>
      <c r="M861" t="n">
        <v>0</v>
      </c>
      <c r="N861" t="n">
        <v>0</v>
      </c>
      <c r="O861" t="n">
        <v>0</v>
      </c>
      <c r="P861" t="n">
        <v>0</v>
      </c>
      <c r="Q861" t="n">
        <v>0</v>
      </c>
      <c r="R861" s="2" t="inlineStr"/>
    </row>
    <row r="862" ht="15" customHeight="1">
      <c r="A862" t="inlineStr">
        <is>
          <t>A 15060-2023</t>
        </is>
      </c>
      <c r="B862" s="1" t="n">
        <v>45015.69832175926</v>
      </c>
      <c r="C862" s="1" t="n">
        <v>45994</v>
      </c>
      <c r="D862" t="inlineStr">
        <is>
          <t>SKÅNE LÄN</t>
        </is>
      </c>
      <c r="E862" t="inlineStr">
        <is>
          <t>HÄSSLEHOLM</t>
        </is>
      </c>
      <c r="G862" t="n">
        <v>1.7</v>
      </c>
      <c r="H862" t="n">
        <v>0</v>
      </c>
      <c r="I862" t="n">
        <v>0</v>
      </c>
      <c r="J862" t="n">
        <v>0</v>
      </c>
      <c r="K862" t="n">
        <v>0</v>
      </c>
      <c r="L862" t="n">
        <v>0</v>
      </c>
      <c r="M862" t="n">
        <v>0</v>
      </c>
      <c r="N862" t="n">
        <v>0</v>
      </c>
      <c r="O862" t="n">
        <v>0</v>
      </c>
      <c r="P862" t="n">
        <v>0</v>
      </c>
      <c r="Q862" t="n">
        <v>0</v>
      </c>
      <c r="R862" s="2" t="inlineStr"/>
    </row>
    <row r="863" ht="15" customHeight="1">
      <c r="A863" t="inlineStr">
        <is>
          <t>A 4787-2023</t>
        </is>
      </c>
      <c r="B863" s="1" t="n">
        <v>44957.60079861111</v>
      </c>
      <c r="C863" s="1" t="n">
        <v>45994</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4788-2023</t>
        </is>
      </c>
      <c r="B864" s="1" t="n">
        <v>44957.60130787037</v>
      </c>
      <c r="C864" s="1" t="n">
        <v>45994</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28599-2024</t>
        </is>
      </c>
      <c r="B865" s="1" t="n">
        <v>45478.4247800926</v>
      </c>
      <c r="C865" s="1" t="n">
        <v>45994</v>
      </c>
      <c r="D865" t="inlineStr">
        <is>
          <t>SKÅNE LÄN</t>
        </is>
      </c>
      <c r="E865" t="inlineStr">
        <is>
          <t>HÄSSLEHOLM</t>
        </is>
      </c>
      <c r="G865" t="n">
        <v>8.6</v>
      </c>
      <c r="H865" t="n">
        <v>0</v>
      </c>
      <c r="I865" t="n">
        <v>0</v>
      </c>
      <c r="J865" t="n">
        <v>0</v>
      </c>
      <c r="K865" t="n">
        <v>0</v>
      </c>
      <c r="L865" t="n">
        <v>0</v>
      </c>
      <c r="M865" t="n">
        <v>0</v>
      </c>
      <c r="N865" t="n">
        <v>0</v>
      </c>
      <c r="O865" t="n">
        <v>0</v>
      </c>
      <c r="P865" t="n">
        <v>0</v>
      </c>
      <c r="Q865" t="n">
        <v>0</v>
      </c>
      <c r="R865" s="2" t="inlineStr"/>
    </row>
    <row r="866" ht="15" customHeight="1">
      <c r="A866" t="inlineStr">
        <is>
          <t>A 34348-2022</t>
        </is>
      </c>
      <c r="B866" s="1" t="n">
        <v>44792</v>
      </c>
      <c r="C866" s="1" t="n">
        <v>45994</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47394-2025</t>
        </is>
      </c>
      <c r="B867" s="1" t="n">
        <v>45930</v>
      </c>
      <c r="C867" s="1" t="n">
        <v>45994</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45399-2022</t>
        </is>
      </c>
      <c r="B868" s="1" t="n">
        <v>44844.70513888889</v>
      </c>
      <c r="C868" s="1" t="n">
        <v>45994</v>
      </c>
      <c r="D868" t="inlineStr">
        <is>
          <t>SKÅNE LÄN</t>
        </is>
      </c>
      <c r="E868" t="inlineStr">
        <is>
          <t>HÄSSLEHOLM</t>
        </is>
      </c>
      <c r="G868" t="n">
        <v>0</v>
      </c>
      <c r="H868" t="n">
        <v>0</v>
      </c>
      <c r="I868" t="n">
        <v>0</v>
      </c>
      <c r="J868" t="n">
        <v>0</v>
      </c>
      <c r="K868" t="n">
        <v>0</v>
      </c>
      <c r="L868" t="n">
        <v>0</v>
      </c>
      <c r="M868" t="n">
        <v>0</v>
      </c>
      <c r="N868" t="n">
        <v>0</v>
      </c>
      <c r="O868" t="n">
        <v>0</v>
      </c>
      <c r="P868" t="n">
        <v>0</v>
      </c>
      <c r="Q868" t="n">
        <v>0</v>
      </c>
      <c r="R868" s="2" t="inlineStr"/>
    </row>
    <row r="869" ht="15" customHeight="1">
      <c r="A869" t="inlineStr">
        <is>
          <t>A 35640-2023</t>
        </is>
      </c>
      <c r="B869" s="1" t="n">
        <v>45147</v>
      </c>
      <c r="C869" s="1" t="n">
        <v>45994</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24034-2025</t>
        </is>
      </c>
      <c r="B870" s="1" t="n">
        <v>45796.48251157408</v>
      </c>
      <c r="C870" s="1" t="n">
        <v>45994</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20494-2024</t>
        </is>
      </c>
      <c r="B871" s="1" t="n">
        <v>45435</v>
      </c>
      <c r="C871" s="1" t="n">
        <v>45994</v>
      </c>
      <c r="D871" t="inlineStr">
        <is>
          <t>SKÅNE LÄN</t>
        </is>
      </c>
      <c r="E871" t="inlineStr">
        <is>
          <t>HÄSSLEHOLM</t>
        </is>
      </c>
      <c r="G871" t="n">
        <v>1.4</v>
      </c>
      <c r="H871" t="n">
        <v>0</v>
      </c>
      <c r="I871" t="n">
        <v>0</v>
      </c>
      <c r="J871" t="n">
        <v>0</v>
      </c>
      <c r="K871" t="n">
        <v>0</v>
      </c>
      <c r="L871" t="n">
        <v>0</v>
      </c>
      <c r="M871" t="n">
        <v>0</v>
      </c>
      <c r="N871" t="n">
        <v>0</v>
      </c>
      <c r="O871" t="n">
        <v>0</v>
      </c>
      <c r="P871" t="n">
        <v>0</v>
      </c>
      <c r="Q871" t="n">
        <v>0</v>
      </c>
      <c r="R871" s="2" t="inlineStr"/>
    </row>
    <row r="872" ht="15" customHeight="1">
      <c r="A872" t="inlineStr">
        <is>
          <t>A 55454-2021</t>
        </is>
      </c>
      <c r="B872" s="1" t="n">
        <v>44475</v>
      </c>
      <c r="C872" s="1" t="n">
        <v>45994</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31572-2022</t>
        </is>
      </c>
      <c r="B873" s="1" t="n">
        <v>44775</v>
      </c>
      <c r="C873" s="1" t="n">
        <v>45994</v>
      </c>
      <c r="D873" t="inlineStr">
        <is>
          <t>SKÅNE LÄN</t>
        </is>
      </c>
      <c r="E873" t="inlineStr">
        <is>
          <t>HÄSSLEHOLM</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2681-2024</t>
        </is>
      </c>
      <c r="B874" s="1" t="n">
        <v>45314</v>
      </c>
      <c r="C874" s="1" t="n">
        <v>45994</v>
      </c>
      <c r="D874" t="inlineStr">
        <is>
          <t>SKÅNE LÄN</t>
        </is>
      </c>
      <c r="E874" t="inlineStr">
        <is>
          <t>HÄSSLEHOLM</t>
        </is>
      </c>
      <c r="F874" t="inlineStr">
        <is>
          <t>Övriga Aktiebolag</t>
        </is>
      </c>
      <c r="G874" t="n">
        <v>1.4</v>
      </c>
      <c r="H874" t="n">
        <v>0</v>
      </c>
      <c r="I874" t="n">
        <v>0</v>
      </c>
      <c r="J874" t="n">
        <v>0</v>
      </c>
      <c r="K874" t="n">
        <v>0</v>
      </c>
      <c r="L874" t="n">
        <v>0</v>
      </c>
      <c r="M874" t="n">
        <v>0</v>
      </c>
      <c r="N874" t="n">
        <v>0</v>
      </c>
      <c r="O874" t="n">
        <v>0</v>
      </c>
      <c r="P874" t="n">
        <v>0</v>
      </c>
      <c r="Q874" t="n">
        <v>0</v>
      </c>
      <c r="R874" s="2" t="inlineStr"/>
    </row>
    <row r="875" ht="15" customHeight="1">
      <c r="A875" t="inlineStr">
        <is>
          <t>A 4356-2024</t>
        </is>
      </c>
      <c r="B875" s="1" t="n">
        <v>45325.36195601852</v>
      </c>
      <c r="C875" s="1" t="n">
        <v>45994</v>
      </c>
      <c r="D875" t="inlineStr">
        <is>
          <t>SKÅNE LÄN</t>
        </is>
      </c>
      <c r="E875" t="inlineStr">
        <is>
          <t>HÄSSLEHOLM</t>
        </is>
      </c>
      <c r="G875" t="n">
        <v>3.2</v>
      </c>
      <c r="H875" t="n">
        <v>0</v>
      </c>
      <c r="I875" t="n">
        <v>0</v>
      </c>
      <c r="J875" t="n">
        <v>0</v>
      </c>
      <c r="K875" t="n">
        <v>0</v>
      </c>
      <c r="L875" t="n">
        <v>0</v>
      </c>
      <c r="M875" t="n">
        <v>0</v>
      </c>
      <c r="N875" t="n">
        <v>0</v>
      </c>
      <c r="O875" t="n">
        <v>0</v>
      </c>
      <c r="P875" t="n">
        <v>0</v>
      </c>
      <c r="Q875" t="n">
        <v>0</v>
      </c>
      <c r="R875" s="2" t="inlineStr"/>
    </row>
    <row r="876" ht="15" customHeight="1">
      <c r="A876" t="inlineStr">
        <is>
          <t>A 27177-2024</t>
        </is>
      </c>
      <c r="B876" s="1" t="n">
        <v>45471.57201388889</v>
      </c>
      <c r="C876" s="1" t="n">
        <v>45994</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47432-2025</t>
        </is>
      </c>
      <c r="B877" s="1" t="n">
        <v>45930</v>
      </c>
      <c r="C877" s="1" t="n">
        <v>45994</v>
      </c>
      <c r="D877" t="inlineStr">
        <is>
          <t>SKÅNE LÄN</t>
        </is>
      </c>
      <c r="E877" t="inlineStr">
        <is>
          <t>HÄSSLEHOLM</t>
        </is>
      </c>
      <c r="G877" t="n">
        <v>3.1</v>
      </c>
      <c r="H877" t="n">
        <v>0</v>
      </c>
      <c r="I877" t="n">
        <v>0</v>
      </c>
      <c r="J877" t="n">
        <v>0</v>
      </c>
      <c r="K877" t="n">
        <v>0</v>
      </c>
      <c r="L877" t="n">
        <v>0</v>
      </c>
      <c r="M877" t="n">
        <v>0</v>
      </c>
      <c r="N877" t="n">
        <v>0</v>
      </c>
      <c r="O877" t="n">
        <v>0</v>
      </c>
      <c r="P877" t="n">
        <v>0</v>
      </c>
      <c r="Q877" t="n">
        <v>0</v>
      </c>
      <c r="R877" s="2" t="inlineStr"/>
    </row>
    <row r="878" ht="15" customHeight="1">
      <c r="A878" t="inlineStr">
        <is>
          <t>A 49219-2024</t>
        </is>
      </c>
      <c r="B878" s="1" t="n">
        <v>45595.40923611111</v>
      </c>
      <c r="C878" s="1" t="n">
        <v>45994</v>
      </c>
      <c r="D878" t="inlineStr">
        <is>
          <t>SKÅNE LÄN</t>
        </is>
      </c>
      <c r="E878" t="inlineStr">
        <is>
          <t>HÄSSLEHOLM</t>
        </is>
      </c>
      <c r="G878" t="n">
        <v>1.8</v>
      </c>
      <c r="H878" t="n">
        <v>0</v>
      </c>
      <c r="I878" t="n">
        <v>0</v>
      </c>
      <c r="J878" t="n">
        <v>0</v>
      </c>
      <c r="K878" t="n">
        <v>0</v>
      </c>
      <c r="L878" t="n">
        <v>0</v>
      </c>
      <c r="M878" t="n">
        <v>0</v>
      </c>
      <c r="N878" t="n">
        <v>0</v>
      </c>
      <c r="O878" t="n">
        <v>0</v>
      </c>
      <c r="P878" t="n">
        <v>0</v>
      </c>
      <c r="Q878" t="n">
        <v>0</v>
      </c>
      <c r="R878" s="2" t="inlineStr"/>
    </row>
    <row r="879" ht="15" customHeight="1">
      <c r="A879" t="inlineStr">
        <is>
          <t>A 47352-2025</t>
        </is>
      </c>
      <c r="B879" s="1" t="n">
        <v>45930</v>
      </c>
      <c r="C879" s="1" t="n">
        <v>45994</v>
      </c>
      <c r="D879" t="inlineStr">
        <is>
          <t>SKÅNE LÄN</t>
        </is>
      </c>
      <c r="E879" t="inlineStr">
        <is>
          <t>HÄSSLEHOLM</t>
        </is>
      </c>
      <c r="G879" t="n">
        <v>16.6</v>
      </c>
      <c r="H879" t="n">
        <v>0</v>
      </c>
      <c r="I879" t="n">
        <v>0</v>
      </c>
      <c r="J879" t="n">
        <v>0</v>
      </c>
      <c r="K879" t="n">
        <v>0</v>
      </c>
      <c r="L879" t="n">
        <v>0</v>
      </c>
      <c r="M879" t="n">
        <v>0</v>
      </c>
      <c r="N879" t="n">
        <v>0</v>
      </c>
      <c r="O879" t="n">
        <v>0</v>
      </c>
      <c r="P879" t="n">
        <v>0</v>
      </c>
      <c r="Q879" t="n">
        <v>0</v>
      </c>
      <c r="R879" s="2" t="inlineStr"/>
    </row>
    <row r="880" ht="15" customHeight="1">
      <c r="A880" t="inlineStr">
        <is>
          <t>A 13646-2024</t>
        </is>
      </c>
      <c r="B880" s="1" t="n">
        <v>45387</v>
      </c>
      <c r="C880" s="1" t="n">
        <v>45994</v>
      </c>
      <c r="D880" t="inlineStr">
        <is>
          <t>SKÅNE LÄN</t>
        </is>
      </c>
      <c r="E880" t="inlineStr">
        <is>
          <t>HÄSSLEHOLM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39366-2025</t>
        </is>
      </c>
      <c r="B881" s="1" t="n">
        <v>45889</v>
      </c>
      <c r="C881" s="1" t="n">
        <v>45994</v>
      </c>
      <c r="D881" t="inlineStr">
        <is>
          <t>SKÅNE LÄN</t>
        </is>
      </c>
      <c r="E881" t="inlineStr">
        <is>
          <t>HÄSSLEHOLM</t>
        </is>
      </c>
      <c r="G881" t="n">
        <v>1</v>
      </c>
      <c r="H881" t="n">
        <v>0</v>
      </c>
      <c r="I881" t="n">
        <v>0</v>
      </c>
      <c r="J881" t="n">
        <v>0</v>
      </c>
      <c r="K881" t="n">
        <v>0</v>
      </c>
      <c r="L881" t="n">
        <v>0</v>
      </c>
      <c r="M881" t="n">
        <v>0</v>
      </c>
      <c r="N881" t="n">
        <v>0</v>
      </c>
      <c r="O881" t="n">
        <v>0</v>
      </c>
      <c r="P881" t="n">
        <v>0</v>
      </c>
      <c r="Q881" t="n">
        <v>0</v>
      </c>
      <c r="R881" s="2" t="inlineStr"/>
    </row>
    <row r="882" ht="15" customHeight="1">
      <c r="A882" t="inlineStr">
        <is>
          <t>A 4750-2024</t>
        </is>
      </c>
      <c r="B882" s="1" t="n">
        <v>45328</v>
      </c>
      <c r="C882" s="1" t="n">
        <v>45994</v>
      </c>
      <c r="D882" t="inlineStr">
        <is>
          <t>SKÅNE LÄN</t>
        </is>
      </c>
      <c r="E882" t="inlineStr">
        <is>
          <t>HÄSSLEHOLM</t>
        </is>
      </c>
      <c r="G882" t="n">
        <v>0.3</v>
      </c>
      <c r="H882" t="n">
        <v>0</v>
      </c>
      <c r="I882" t="n">
        <v>0</v>
      </c>
      <c r="J882" t="n">
        <v>0</v>
      </c>
      <c r="K882" t="n">
        <v>0</v>
      </c>
      <c r="L882" t="n">
        <v>0</v>
      </c>
      <c r="M882" t="n">
        <v>0</v>
      </c>
      <c r="N882" t="n">
        <v>0</v>
      </c>
      <c r="O882" t="n">
        <v>0</v>
      </c>
      <c r="P882" t="n">
        <v>0</v>
      </c>
      <c r="Q882" t="n">
        <v>0</v>
      </c>
      <c r="R882" s="2" t="inlineStr"/>
    </row>
    <row r="883" ht="15" customHeight="1">
      <c r="A883" t="inlineStr">
        <is>
          <t>A 16121-2025</t>
        </is>
      </c>
      <c r="B883" s="1" t="n">
        <v>45750.40384259259</v>
      </c>
      <c r="C883" s="1" t="n">
        <v>45994</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11446-2025</t>
        </is>
      </c>
      <c r="B884" s="1" t="n">
        <v>45726</v>
      </c>
      <c r="C884" s="1" t="n">
        <v>45994</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3480-2024</t>
        </is>
      </c>
      <c r="B885" s="1" t="n">
        <v>45320.43998842593</v>
      </c>
      <c r="C885" s="1" t="n">
        <v>45994</v>
      </c>
      <c r="D885" t="inlineStr">
        <is>
          <t>SKÅNE LÄN</t>
        </is>
      </c>
      <c r="E885" t="inlineStr">
        <is>
          <t>HÄSSLEHOLM</t>
        </is>
      </c>
      <c r="G885" t="n">
        <v>0.4</v>
      </c>
      <c r="H885" t="n">
        <v>0</v>
      </c>
      <c r="I885" t="n">
        <v>0</v>
      </c>
      <c r="J885" t="n">
        <v>0</v>
      </c>
      <c r="K885" t="n">
        <v>0</v>
      </c>
      <c r="L885" t="n">
        <v>0</v>
      </c>
      <c r="M885" t="n">
        <v>0</v>
      </c>
      <c r="N885" t="n">
        <v>0</v>
      </c>
      <c r="O885" t="n">
        <v>0</v>
      </c>
      <c r="P885" t="n">
        <v>0</v>
      </c>
      <c r="Q885" t="n">
        <v>0</v>
      </c>
      <c r="R885" s="2" t="inlineStr"/>
    </row>
    <row r="886" ht="15" customHeight="1">
      <c r="A886" t="inlineStr">
        <is>
          <t>A 5980-2024</t>
        </is>
      </c>
      <c r="B886" s="1" t="n">
        <v>45335</v>
      </c>
      <c r="C886" s="1" t="n">
        <v>45994</v>
      </c>
      <c r="D886" t="inlineStr">
        <is>
          <t>SKÅNE LÄN</t>
        </is>
      </c>
      <c r="E886" t="inlineStr">
        <is>
          <t>HÄSSLEHOLM</t>
        </is>
      </c>
      <c r="G886" t="n">
        <v>1.2</v>
      </c>
      <c r="H886" t="n">
        <v>0</v>
      </c>
      <c r="I886" t="n">
        <v>0</v>
      </c>
      <c r="J886" t="n">
        <v>0</v>
      </c>
      <c r="K886" t="n">
        <v>0</v>
      </c>
      <c r="L886" t="n">
        <v>0</v>
      </c>
      <c r="M886" t="n">
        <v>0</v>
      </c>
      <c r="N886" t="n">
        <v>0</v>
      </c>
      <c r="O886" t="n">
        <v>0</v>
      </c>
      <c r="P886" t="n">
        <v>0</v>
      </c>
      <c r="Q886" t="n">
        <v>0</v>
      </c>
      <c r="R886" s="2" t="inlineStr"/>
    </row>
    <row r="887" ht="15" customHeight="1">
      <c r="A887" t="inlineStr">
        <is>
          <t>A 10802-2024</t>
        </is>
      </c>
      <c r="B887" s="1" t="n">
        <v>45369</v>
      </c>
      <c r="C887" s="1" t="n">
        <v>45994</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58891-2022</t>
        </is>
      </c>
      <c r="B888" s="1" t="n">
        <v>44896</v>
      </c>
      <c r="C888" s="1" t="n">
        <v>45994</v>
      </c>
      <c r="D888" t="inlineStr">
        <is>
          <t>SKÅNE LÄN</t>
        </is>
      </c>
      <c r="E888" t="inlineStr">
        <is>
          <t>HÄSSLEHOLM</t>
        </is>
      </c>
      <c r="F888" t="inlineStr">
        <is>
          <t>Kyrkan</t>
        </is>
      </c>
      <c r="G888" t="n">
        <v>1.6</v>
      </c>
      <c r="H888" t="n">
        <v>0</v>
      </c>
      <c r="I888" t="n">
        <v>0</v>
      </c>
      <c r="J888" t="n">
        <v>0</v>
      </c>
      <c r="K888" t="n">
        <v>0</v>
      </c>
      <c r="L888" t="n">
        <v>0</v>
      </c>
      <c r="M888" t="n">
        <v>0</v>
      </c>
      <c r="N888" t="n">
        <v>0</v>
      </c>
      <c r="O888" t="n">
        <v>0</v>
      </c>
      <c r="P888" t="n">
        <v>0</v>
      </c>
      <c r="Q888" t="n">
        <v>0</v>
      </c>
      <c r="R888" s="2" t="inlineStr"/>
    </row>
    <row r="889" ht="15" customHeight="1">
      <c r="A889" t="inlineStr">
        <is>
          <t>A 45653-2024</t>
        </is>
      </c>
      <c r="B889" s="1" t="n">
        <v>45579.48872685185</v>
      </c>
      <c r="C889" s="1" t="n">
        <v>45994</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47450-2025</t>
        </is>
      </c>
      <c r="B890" s="1" t="n">
        <v>45930</v>
      </c>
      <c r="C890" s="1" t="n">
        <v>45994</v>
      </c>
      <c r="D890" t="inlineStr">
        <is>
          <t>SKÅNE LÄN</t>
        </is>
      </c>
      <c r="E890" t="inlineStr">
        <is>
          <t>HÄSSLEHOLM</t>
        </is>
      </c>
      <c r="G890" t="n">
        <v>3.2</v>
      </c>
      <c r="H890" t="n">
        <v>0</v>
      </c>
      <c r="I890" t="n">
        <v>0</v>
      </c>
      <c r="J890" t="n">
        <v>0</v>
      </c>
      <c r="K890" t="n">
        <v>0</v>
      </c>
      <c r="L890" t="n">
        <v>0</v>
      </c>
      <c r="M890" t="n">
        <v>0</v>
      </c>
      <c r="N890" t="n">
        <v>0</v>
      </c>
      <c r="O890" t="n">
        <v>0</v>
      </c>
      <c r="P890" t="n">
        <v>0</v>
      </c>
      <c r="Q890" t="n">
        <v>0</v>
      </c>
      <c r="R890" s="2" t="inlineStr"/>
    </row>
    <row r="891" ht="15" customHeight="1">
      <c r="A891" t="inlineStr">
        <is>
          <t>A 47422-2025</t>
        </is>
      </c>
      <c r="B891" s="1" t="n">
        <v>45930</v>
      </c>
      <c r="C891" s="1" t="n">
        <v>45994</v>
      </c>
      <c r="D891" t="inlineStr">
        <is>
          <t>SKÅNE LÄN</t>
        </is>
      </c>
      <c r="E891" t="inlineStr">
        <is>
          <t>HÄSSLEHOLM</t>
        </is>
      </c>
      <c r="G891" t="n">
        <v>3.5</v>
      </c>
      <c r="H891" t="n">
        <v>0</v>
      </c>
      <c r="I891" t="n">
        <v>0</v>
      </c>
      <c r="J891" t="n">
        <v>0</v>
      </c>
      <c r="K891" t="n">
        <v>0</v>
      </c>
      <c r="L891" t="n">
        <v>0</v>
      </c>
      <c r="M891" t="n">
        <v>0</v>
      </c>
      <c r="N891" t="n">
        <v>0</v>
      </c>
      <c r="O891" t="n">
        <v>0</v>
      </c>
      <c r="P891" t="n">
        <v>0</v>
      </c>
      <c r="Q891" t="n">
        <v>0</v>
      </c>
      <c r="R891" s="2" t="inlineStr"/>
    </row>
    <row r="892" ht="15" customHeight="1">
      <c r="A892" t="inlineStr">
        <is>
          <t>A 4734-2025</t>
        </is>
      </c>
      <c r="B892" s="1" t="n">
        <v>45688.44030092593</v>
      </c>
      <c r="C892" s="1" t="n">
        <v>45994</v>
      </c>
      <c r="D892" t="inlineStr">
        <is>
          <t>SKÅNE LÄN</t>
        </is>
      </c>
      <c r="E892" t="inlineStr">
        <is>
          <t>HÄSSLEHOLM</t>
        </is>
      </c>
      <c r="G892" t="n">
        <v>19.6</v>
      </c>
      <c r="H892" t="n">
        <v>0</v>
      </c>
      <c r="I892" t="n">
        <v>0</v>
      </c>
      <c r="J892" t="n">
        <v>0</v>
      </c>
      <c r="K892" t="n">
        <v>0</v>
      </c>
      <c r="L892" t="n">
        <v>0</v>
      </c>
      <c r="M892" t="n">
        <v>0</v>
      </c>
      <c r="N892" t="n">
        <v>0</v>
      </c>
      <c r="O892" t="n">
        <v>0</v>
      </c>
      <c r="P892" t="n">
        <v>0</v>
      </c>
      <c r="Q892" t="n">
        <v>0</v>
      </c>
      <c r="R892" s="2" t="inlineStr"/>
    </row>
    <row r="893" ht="15" customHeight="1">
      <c r="A893" t="inlineStr">
        <is>
          <t>A 36568-2024</t>
        </is>
      </c>
      <c r="B893" s="1" t="n">
        <v>45537</v>
      </c>
      <c r="C893" s="1" t="n">
        <v>45994</v>
      </c>
      <c r="D893" t="inlineStr">
        <is>
          <t>SKÅNE LÄN</t>
        </is>
      </c>
      <c r="E893" t="inlineStr">
        <is>
          <t>HÄSSLEHOLM</t>
        </is>
      </c>
      <c r="G893" t="n">
        <v>4.3</v>
      </c>
      <c r="H893" t="n">
        <v>0</v>
      </c>
      <c r="I893" t="n">
        <v>0</v>
      </c>
      <c r="J893" t="n">
        <v>0</v>
      </c>
      <c r="K893" t="n">
        <v>0</v>
      </c>
      <c r="L893" t="n">
        <v>0</v>
      </c>
      <c r="M893" t="n">
        <v>0</v>
      </c>
      <c r="N893" t="n">
        <v>0</v>
      </c>
      <c r="O893" t="n">
        <v>0</v>
      </c>
      <c r="P893" t="n">
        <v>0</v>
      </c>
      <c r="Q893" t="n">
        <v>0</v>
      </c>
      <c r="R893" s="2" t="inlineStr"/>
    </row>
    <row r="894" ht="15" customHeight="1">
      <c r="A894" t="inlineStr">
        <is>
          <t>A 24250-2025</t>
        </is>
      </c>
      <c r="B894" s="1" t="n">
        <v>45797.40260416667</v>
      </c>
      <c r="C894" s="1" t="n">
        <v>45994</v>
      </c>
      <c r="D894" t="inlineStr">
        <is>
          <t>SKÅNE LÄN</t>
        </is>
      </c>
      <c r="E894" t="inlineStr">
        <is>
          <t>HÄSSLEHOLM</t>
        </is>
      </c>
      <c r="G894" t="n">
        <v>2.3</v>
      </c>
      <c r="H894" t="n">
        <v>0</v>
      </c>
      <c r="I894" t="n">
        <v>0</v>
      </c>
      <c r="J894" t="n">
        <v>0</v>
      </c>
      <c r="K894" t="n">
        <v>0</v>
      </c>
      <c r="L894" t="n">
        <v>0</v>
      </c>
      <c r="M894" t="n">
        <v>0</v>
      </c>
      <c r="N894" t="n">
        <v>0</v>
      </c>
      <c r="O894" t="n">
        <v>0</v>
      </c>
      <c r="P894" t="n">
        <v>0</v>
      </c>
      <c r="Q894" t="n">
        <v>0</v>
      </c>
      <c r="R894" s="2" t="inlineStr"/>
    </row>
    <row r="895" ht="15" customHeight="1">
      <c r="A895" t="inlineStr">
        <is>
          <t>A 9323-2025</t>
        </is>
      </c>
      <c r="B895" s="1" t="n">
        <v>45714.73532407408</v>
      </c>
      <c r="C895" s="1" t="n">
        <v>45994</v>
      </c>
      <c r="D895" t="inlineStr">
        <is>
          <t>SKÅNE LÄN</t>
        </is>
      </c>
      <c r="E895" t="inlineStr">
        <is>
          <t>HÄSSLEHOLM</t>
        </is>
      </c>
      <c r="G895" t="n">
        <v>5.2</v>
      </c>
      <c r="H895" t="n">
        <v>0</v>
      </c>
      <c r="I895" t="n">
        <v>0</v>
      </c>
      <c r="J895" t="n">
        <v>0</v>
      </c>
      <c r="K895" t="n">
        <v>0</v>
      </c>
      <c r="L895" t="n">
        <v>0</v>
      </c>
      <c r="M895" t="n">
        <v>0</v>
      </c>
      <c r="N895" t="n">
        <v>0</v>
      </c>
      <c r="O895" t="n">
        <v>0</v>
      </c>
      <c r="P895" t="n">
        <v>0</v>
      </c>
      <c r="Q895" t="n">
        <v>0</v>
      </c>
      <c r="R895" s="2" t="inlineStr"/>
    </row>
    <row r="896" ht="15" customHeight="1">
      <c r="A896" t="inlineStr">
        <is>
          <t>A 19593-2023</t>
        </is>
      </c>
      <c r="B896" s="1" t="n">
        <v>45050.75895833333</v>
      </c>
      <c r="C896" s="1" t="n">
        <v>45994</v>
      </c>
      <c r="D896" t="inlineStr">
        <is>
          <t>SKÅNE LÄN</t>
        </is>
      </c>
      <c r="E896" t="inlineStr">
        <is>
          <t>HÄSSLEHOLM</t>
        </is>
      </c>
      <c r="G896" t="n">
        <v>11</v>
      </c>
      <c r="H896" t="n">
        <v>0</v>
      </c>
      <c r="I896" t="n">
        <v>0</v>
      </c>
      <c r="J896" t="n">
        <v>0</v>
      </c>
      <c r="K896" t="n">
        <v>0</v>
      </c>
      <c r="L896" t="n">
        <v>0</v>
      </c>
      <c r="M896" t="n">
        <v>0</v>
      </c>
      <c r="N896" t="n">
        <v>0</v>
      </c>
      <c r="O896" t="n">
        <v>0</v>
      </c>
      <c r="P896" t="n">
        <v>0</v>
      </c>
      <c r="Q896" t="n">
        <v>0</v>
      </c>
      <c r="R896" s="2" t="inlineStr"/>
    </row>
    <row r="897" ht="15" customHeight="1">
      <c r="A897" t="inlineStr">
        <is>
          <t>A 24776-2025</t>
        </is>
      </c>
      <c r="B897" s="1" t="n">
        <v>45799.40640046296</v>
      </c>
      <c r="C897" s="1" t="n">
        <v>45994</v>
      </c>
      <c r="D897" t="inlineStr">
        <is>
          <t>SKÅNE LÄN</t>
        </is>
      </c>
      <c r="E897" t="inlineStr">
        <is>
          <t>HÄSSLEHOLM</t>
        </is>
      </c>
      <c r="G897" t="n">
        <v>5.4</v>
      </c>
      <c r="H897" t="n">
        <v>0</v>
      </c>
      <c r="I897" t="n">
        <v>0</v>
      </c>
      <c r="J897" t="n">
        <v>0</v>
      </c>
      <c r="K897" t="n">
        <v>0</v>
      </c>
      <c r="L897" t="n">
        <v>0</v>
      </c>
      <c r="M897" t="n">
        <v>0</v>
      </c>
      <c r="N897" t="n">
        <v>0</v>
      </c>
      <c r="O897" t="n">
        <v>0</v>
      </c>
      <c r="P897" t="n">
        <v>0</v>
      </c>
      <c r="Q897" t="n">
        <v>0</v>
      </c>
      <c r="R897" s="2" t="inlineStr"/>
    </row>
    <row r="898" ht="15" customHeight="1">
      <c r="A898" t="inlineStr">
        <is>
          <t>A 39453-2025</t>
        </is>
      </c>
      <c r="B898" s="1" t="n">
        <v>45889</v>
      </c>
      <c r="C898" s="1" t="n">
        <v>45994</v>
      </c>
      <c r="D898" t="inlineStr">
        <is>
          <t>SKÅNE LÄN</t>
        </is>
      </c>
      <c r="E898" t="inlineStr">
        <is>
          <t>HÄSSLEHOLM</t>
        </is>
      </c>
      <c r="G898" t="n">
        <v>2.5</v>
      </c>
      <c r="H898" t="n">
        <v>0</v>
      </c>
      <c r="I898" t="n">
        <v>0</v>
      </c>
      <c r="J898" t="n">
        <v>0</v>
      </c>
      <c r="K898" t="n">
        <v>0</v>
      </c>
      <c r="L898" t="n">
        <v>0</v>
      </c>
      <c r="M898" t="n">
        <v>0</v>
      </c>
      <c r="N898" t="n">
        <v>0</v>
      </c>
      <c r="O898" t="n">
        <v>0</v>
      </c>
      <c r="P898" t="n">
        <v>0</v>
      </c>
      <c r="Q898" t="n">
        <v>0</v>
      </c>
      <c r="R898" s="2" t="inlineStr"/>
    </row>
    <row r="899" ht="15" customHeight="1">
      <c r="A899" t="inlineStr">
        <is>
          <t>A 9322-2025</t>
        </is>
      </c>
      <c r="B899" s="1" t="n">
        <v>45714.72241898148</v>
      </c>
      <c r="C899" s="1" t="n">
        <v>45994</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39934-2025</t>
        </is>
      </c>
      <c r="B900" s="1" t="n">
        <v>45891.71465277778</v>
      </c>
      <c r="C900" s="1" t="n">
        <v>45994</v>
      </c>
      <c r="D900" t="inlineStr">
        <is>
          <t>SKÅNE LÄN</t>
        </is>
      </c>
      <c r="E900" t="inlineStr">
        <is>
          <t>HÄSSLEHOLM</t>
        </is>
      </c>
      <c r="G900" t="n">
        <v>0.7</v>
      </c>
      <c r="H900" t="n">
        <v>0</v>
      </c>
      <c r="I900" t="n">
        <v>0</v>
      </c>
      <c r="J900" t="n">
        <v>0</v>
      </c>
      <c r="K900" t="n">
        <v>0</v>
      </c>
      <c r="L900" t="n">
        <v>0</v>
      </c>
      <c r="M900" t="n">
        <v>0</v>
      </c>
      <c r="N900" t="n">
        <v>0</v>
      </c>
      <c r="O900" t="n">
        <v>0</v>
      </c>
      <c r="P900" t="n">
        <v>0</v>
      </c>
      <c r="Q900" t="n">
        <v>0</v>
      </c>
      <c r="R900" s="2" t="inlineStr"/>
    </row>
    <row r="901" ht="15" customHeight="1">
      <c r="A901" t="inlineStr">
        <is>
          <t>A 16017-2023</t>
        </is>
      </c>
      <c r="B901" s="1" t="n">
        <v>45026</v>
      </c>
      <c r="C901" s="1" t="n">
        <v>45994</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39457-2025</t>
        </is>
      </c>
      <c r="B902" s="1" t="n">
        <v>45889.76887731482</v>
      </c>
      <c r="C902" s="1" t="n">
        <v>45994</v>
      </c>
      <c r="D902" t="inlineStr">
        <is>
          <t>SKÅNE LÄN</t>
        </is>
      </c>
      <c r="E902" t="inlineStr">
        <is>
          <t>HÄSSLEHOLM</t>
        </is>
      </c>
      <c r="G902" t="n">
        <v>6.6</v>
      </c>
      <c r="H902" t="n">
        <v>0</v>
      </c>
      <c r="I902" t="n">
        <v>0</v>
      </c>
      <c r="J902" t="n">
        <v>0</v>
      </c>
      <c r="K902" t="n">
        <v>0</v>
      </c>
      <c r="L902" t="n">
        <v>0</v>
      </c>
      <c r="M902" t="n">
        <v>0</v>
      </c>
      <c r="N902" t="n">
        <v>0</v>
      </c>
      <c r="O902" t="n">
        <v>0</v>
      </c>
      <c r="P902" t="n">
        <v>0</v>
      </c>
      <c r="Q902" t="n">
        <v>0</v>
      </c>
      <c r="R902" s="2" t="inlineStr"/>
    </row>
    <row r="903" ht="15" customHeight="1">
      <c r="A903" t="inlineStr">
        <is>
          <t>A 260-2024</t>
        </is>
      </c>
      <c r="B903" s="1" t="n">
        <v>45294</v>
      </c>
      <c r="C903" s="1" t="n">
        <v>45994</v>
      </c>
      <c r="D903" t="inlineStr">
        <is>
          <t>SKÅNE LÄN</t>
        </is>
      </c>
      <c r="E903" t="inlineStr">
        <is>
          <t>HÄSSLEHOLM</t>
        </is>
      </c>
      <c r="G903" t="n">
        <v>1</v>
      </c>
      <c r="H903" t="n">
        <v>0</v>
      </c>
      <c r="I903" t="n">
        <v>0</v>
      </c>
      <c r="J903" t="n">
        <v>0</v>
      </c>
      <c r="K903" t="n">
        <v>0</v>
      </c>
      <c r="L903" t="n">
        <v>0</v>
      </c>
      <c r="M903" t="n">
        <v>0</v>
      </c>
      <c r="N903" t="n">
        <v>0</v>
      </c>
      <c r="O903" t="n">
        <v>0</v>
      </c>
      <c r="P903" t="n">
        <v>0</v>
      </c>
      <c r="Q903" t="n">
        <v>0</v>
      </c>
      <c r="R903" s="2" t="inlineStr"/>
    </row>
    <row r="904" ht="15" customHeight="1">
      <c r="A904" t="inlineStr">
        <is>
          <t>A 39937-2025</t>
        </is>
      </c>
      <c r="B904" s="1" t="n">
        <v>45891.73162037037</v>
      </c>
      <c r="C904" s="1" t="n">
        <v>45994</v>
      </c>
      <c r="D904" t="inlineStr">
        <is>
          <t>SKÅNE LÄN</t>
        </is>
      </c>
      <c r="E904" t="inlineStr">
        <is>
          <t>HÄSSLEHOLM</t>
        </is>
      </c>
      <c r="G904" t="n">
        <v>4.5</v>
      </c>
      <c r="H904" t="n">
        <v>0</v>
      </c>
      <c r="I904" t="n">
        <v>0</v>
      </c>
      <c r="J904" t="n">
        <v>0</v>
      </c>
      <c r="K904" t="n">
        <v>0</v>
      </c>
      <c r="L904" t="n">
        <v>0</v>
      </c>
      <c r="M904" t="n">
        <v>0</v>
      </c>
      <c r="N904" t="n">
        <v>0</v>
      </c>
      <c r="O904" t="n">
        <v>0</v>
      </c>
      <c r="P904" t="n">
        <v>0</v>
      </c>
      <c r="Q904" t="n">
        <v>0</v>
      </c>
      <c r="R904" s="2" t="inlineStr"/>
    </row>
    <row r="905" ht="15" customHeight="1">
      <c r="A905" t="inlineStr">
        <is>
          <t>A 524-2024</t>
        </is>
      </c>
      <c r="B905" s="1" t="n">
        <v>45299</v>
      </c>
      <c r="C905" s="1" t="n">
        <v>45994</v>
      </c>
      <c r="D905" t="inlineStr">
        <is>
          <t>SKÅNE LÄN</t>
        </is>
      </c>
      <c r="E905" t="inlineStr">
        <is>
          <t>HÄSSLEHOLM</t>
        </is>
      </c>
      <c r="G905" t="n">
        <v>29.4</v>
      </c>
      <c r="H905" t="n">
        <v>0</v>
      </c>
      <c r="I905" t="n">
        <v>0</v>
      </c>
      <c r="J905" t="n">
        <v>0</v>
      </c>
      <c r="K905" t="n">
        <v>0</v>
      </c>
      <c r="L905" t="n">
        <v>0</v>
      </c>
      <c r="M905" t="n">
        <v>0</v>
      </c>
      <c r="N905" t="n">
        <v>0</v>
      </c>
      <c r="O905" t="n">
        <v>0</v>
      </c>
      <c r="P905" t="n">
        <v>0</v>
      </c>
      <c r="Q905" t="n">
        <v>0</v>
      </c>
      <c r="R905" s="2" t="inlineStr"/>
    </row>
    <row r="906" ht="15" customHeight="1">
      <c r="A906" t="inlineStr">
        <is>
          <t>A 24029-2025</t>
        </is>
      </c>
      <c r="B906" s="1" t="n">
        <v>45796.47552083333</v>
      </c>
      <c r="C906" s="1" t="n">
        <v>45994</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40780-2022</t>
        </is>
      </c>
      <c r="B907" s="1" t="n">
        <v>44820</v>
      </c>
      <c r="C907" s="1" t="n">
        <v>45994</v>
      </c>
      <c r="D907" t="inlineStr">
        <is>
          <t>SKÅNE LÄN</t>
        </is>
      </c>
      <c r="E907" t="inlineStr">
        <is>
          <t>HÄSSLEHOLM</t>
        </is>
      </c>
      <c r="G907" t="n">
        <v>7.4</v>
      </c>
      <c r="H907" t="n">
        <v>0</v>
      </c>
      <c r="I907" t="n">
        <v>0</v>
      </c>
      <c r="J907" t="n">
        <v>0</v>
      </c>
      <c r="K907" t="n">
        <v>0</v>
      </c>
      <c r="L907" t="n">
        <v>0</v>
      </c>
      <c r="M907" t="n">
        <v>0</v>
      </c>
      <c r="N907" t="n">
        <v>0</v>
      </c>
      <c r="O907" t="n">
        <v>0</v>
      </c>
      <c r="P907" t="n">
        <v>0</v>
      </c>
      <c r="Q907" t="n">
        <v>0</v>
      </c>
      <c r="R907" s="2" t="inlineStr"/>
    </row>
    <row r="908" ht="15" customHeight="1">
      <c r="A908" t="inlineStr">
        <is>
          <t>A 9394-2025</t>
        </is>
      </c>
      <c r="B908" s="1" t="n">
        <v>45715.36387731481</v>
      </c>
      <c r="C908" s="1" t="n">
        <v>45994</v>
      </c>
      <c r="D908" t="inlineStr">
        <is>
          <t>SKÅNE LÄN</t>
        </is>
      </c>
      <c r="E908" t="inlineStr">
        <is>
          <t>HÄSSLEHOLM</t>
        </is>
      </c>
      <c r="G908" t="n">
        <v>0.7</v>
      </c>
      <c r="H908" t="n">
        <v>0</v>
      </c>
      <c r="I908" t="n">
        <v>0</v>
      </c>
      <c r="J908" t="n">
        <v>0</v>
      </c>
      <c r="K908" t="n">
        <v>0</v>
      </c>
      <c r="L908" t="n">
        <v>0</v>
      </c>
      <c r="M908" t="n">
        <v>0</v>
      </c>
      <c r="N908" t="n">
        <v>0</v>
      </c>
      <c r="O908" t="n">
        <v>0</v>
      </c>
      <c r="P908" t="n">
        <v>0</v>
      </c>
      <c r="Q908" t="n">
        <v>0</v>
      </c>
      <c r="R908" s="2" t="inlineStr"/>
    </row>
    <row r="909" ht="15" customHeight="1">
      <c r="A909" t="inlineStr">
        <is>
          <t>A 39223-2024</t>
        </is>
      </c>
      <c r="B909" s="1" t="n">
        <v>45550</v>
      </c>
      <c r="C909" s="1" t="n">
        <v>45994</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27297-2023</t>
        </is>
      </c>
      <c r="B910" s="1" t="n">
        <v>45096</v>
      </c>
      <c r="C910" s="1" t="n">
        <v>45994</v>
      </c>
      <c r="D910" t="inlineStr">
        <is>
          <t>SKÅNE LÄN</t>
        </is>
      </c>
      <c r="E910" t="inlineStr">
        <is>
          <t>HÄSSLEHOLM</t>
        </is>
      </c>
      <c r="G910" t="n">
        <v>1.3</v>
      </c>
      <c r="H910" t="n">
        <v>0</v>
      </c>
      <c r="I910" t="n">
        <v>0</v>
      </c>
      <c r="J910" t="n">
        <v>0</v>
      </c>
      <c r="K910" t="n">
        <v>0</v>
      </c>
      <c r="L910" t="n">
        <v>0</v>
      </c>
      <c r="M910" t="n">
        <v>0</v>
      </c>
      <c r="N910" t="n">
        <v>0</v>
      </c>
      <c r="O910" t="n">
        <v>0</v>
      </c>
      <c r="P910" t="n">
        <v>0</v>
      </c>
      <c r="Q910" t="n">
        <v>0</v>
      </c>
      <c r="R910" s="2" t="inlineStr"/>
    </row>
    <row r="911" ht="15" customHeight="1">
      <c r="A911" t="inlineStr">
        <is>
          <t>A 5316-2023</t>
        </is>
      </c>
      <c r="B911" s="1" t="n">
        <v>44959</v>
      </c>
      <c r="C911" s="1" t="n">
        <v>45994</v>
      </c>
      <c r="D911" t="inlineStr">
        <is>
          <t>SKÅNE LÄN</t>
        </is>
      </c>
      <c r="E911" t="inlineStr">
        <is>
          <t>HÄSSLEHOLM</t>
        </is>
      </c>
      <c r="G911" t="n">
        <v>2.1</v>
      </c>
      <c r="H911" t="n">
        <v>0</v>
      </c>
      <c r="I911" t="n">
        <v>0</v>
      </c>
      <c r="J911" t="n">
        <v>0</v>
      </c>
      <c r="K911" t="n">
        <v>0</v>
      </c>
      <c r="L911" t="n">
        <v>0</v>
      </c>
      <c r="M911" t="n">
        <v>0</v>
      </c>
      <c r="N911" t="n">
        <v>0</v>
      </c>
      <c r="O911" t="n">
        <v>0</v>
      </c>
      <c r="P911" t="n">
        <v>0</v>
      </c>
      <c r="Q911" t="n">
        <v>0</v>
      </c>
      <c r="R911" s="2" t="inlineStr"/>
    </row>
    <row r="912" ht="15" customHeight="1">
      <c r="A912" t="inlineStr">
        <is>
          <t>A 9555-2025</t>
        </is>
      </c>
      <c r="B912" s="1" t="n">
        <v>45714</v>
      </c>
      <c r="C912" s="1" t="n">
        <v>45994</v>
      </c>
      <c r="D912" t="inlineStr">
        <is>
          <t>SKÅNE LÄN</t>
        </is>
      </c>
      <c r="E912" t="inlineStr">
        <is>
          <t>HÄSSLEHOLM</t>
        </is>
      </c>
      <c r="G912" t="n">
        <v>5.4</v>
      </c>
      <c r="H912" t="n">
        <v>0</v>
      </c>
      <c r="I912" t="n">
        <v>0</v>
      </c>
      <c r="J912" t="n">
        <v>0</v>
      </c>
      <c r="K912" t="n">
        <v>0</v>
      </c>
      <c r="L912" t="n">
        <v>0</v>
      </c>
      <c r="M912" t="n">
        <v>0</v>
      </c>
      <c r="N912" t="n">
        <v>0</v>
      </c>
      <c r="O912" t="n">
        <v>0</v>
      </c>
      <c r="P912" t="n">
        <v>0</v>
      </c>
      <c r="Q912" t="n">
        <v>0</v>
      </c>
      <c r="R912" s="2" t="inlineStr"/>
    </row>
    <row r="913" ht="15" customHeight="1">
      <c r="A913" t="inlineStr">
        <is>
          <t>A 27304-2023</t>
        </is>
      </c>
      <c r="B913" s="1" t="n">
        <v>45096.65199074074</v>
      </c>
      <c r="C913" s="1" t="n">
        <v>45994</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22693-2022</t>
        </is>
      </c>
      <c r="B914" s="1" t="n">
        <v>44714.54729166667</v>
      </c>
      <c r="C914" s="1" t="n">
        <v>45994</v>
      </c>
      <c r="D914" t="inlineStr">
        <is>
          <t>SKÅNE LÄN</t>
        </is>
      </c>
      <c r="E914" t="inlineStr">
        <is>
          <t>HÄSSLEHOLM</t>
        </is>
      </c>
      <c r="G914" t="n">
        <v>2.8</v>
      </c>
      <c r="H914" t="n">
        <v>0</v>
      </c>
      <c r="I914" t="n">
        <v>0</v>
      </c>
      <c r="J914" t="n">
        <v>0</v>
      </c>
      <c r="K914" t="n">
        <v>0</v>
      </c>
      <c r="L914" t="n">
        <v>0</v>
      </c>
      <c r="M914" t="n">
        <v>0</v>
      </c>
      <c r="N914" t="n">
        <v>0</v>
      </c>
      <c r="O914" t="n">
        <v>0</v>
      </c>
      <c r="P914" t="n">
        <v>0</v>
      </c>
      <c r="Q914" t="n">
        <v>0</v>
      </c>
      <c r="R914" s="2" t="inlineStr"/>
    </row>
    <row r="915" ht="15" customHeight="1">
      <c r="A915" t="inlineStr">
        <is>
          <t>A 24039-2025</t>
        </is>
      </c>
      <c r="B915" s="1" t="n">
        <v>45796.48675925926</v>
      </c>
      <c r="C915" s="1" t="n">
        <v>45994</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40241-2025</t>
        </is>
      </c>
      <c r="B916" s="1" t="n">
        <v>45894.87251157407</v>
      </c>
      <c r="C916" s="1" t="n">
        <v>45994</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24047-2025</t>
        </is>
      </c>
      <c r="B917" s="1" t="n">
        <v>45796.49528935185</v>
      </c>
      <c r="C917" s="1" t="n">
        <v>45994</v>
      </c>
      <c r="D917" t="inlineStr">
        <is>
          <t>SKÅNE LÄN</t>
        </is>
      </c>
      <c r="E917" t="inlineStr">
        <is>
          <t>HÄSSLEHOLM</t>
        </is>
      </c>
      <c r="G917" t="n">
        <v>1.1</v>
      </c>
      <c r="H917" t="n">
        <v>0</v>
      </c>
      <c r="I917" t="n">
        <v>0</v>
      </c>
      <c r="J917" t="n">
        <v>0</v>
      </c>
      <c r="K917" t="n">
        <v>0</v>
      </c>
      <c r="L917" t="n">
        <v>0</v>
      </c>
      <c r="M917" t="n">
        <v>0</v>
      </c>
      <c r="N917" t="n">
        <v>0</v>
      </c>
      <c r="O917" t="n">
        <v>0</v>
      </c>
      <c r="P917" t="n">
        <v>0</v>
      </c>
      <c r="Q917" t="n">
        <v>0</v>
      </c>
      <c r="R917" s="2" t="inlineStr"/>
    </row>
    <row r="918" ht="15" customHeight="1">
      <c r="A918" t="inlineStr">
        <is>
          <t>A 15104-2023</t>
        </is>
      </c>
      <c r="B918" s="1" t="n">
        <v>45016.40576388889</v>
      </c>
      <c r="C918" s="1" t="n">
        <v>45994</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24675-2025</t>
        </is>
      </c>
      <c r="B919" s="1" t="n">
        <v>45798.653125</v>
      </c>
      <c r="C919" s="1" t="n">
        <v>45994</v>
      </c>
      <c r="D919" t="inlineStr">
        <is>
          <t>SKÅNE LÄN</t>
        </is>
      </c>
      <c r="E919" t="inlineStr">
        <is>
          <t>HÄSSLEHOLM</t>
        </is>
      </c>
      <c r="G919" t="n">
        <v>1.8</v>
      </c>
      <c r="H919" t="n">
        <v>0</v>
      </c>
      <c r="I919" t="n">
        <v>0</v>
      </c>
      <c r="J919" t="n">
        <v>0</v>
      </c>
      <c r="K919" t="n">
        <v>0</v>
      </c>
      <c r="L919" t="n">
        <v>0</v>
      </c>
      <c r="M919" t="n">
        <v>0</v>
      </c>
      <c r="N919" t="n">
        <v>0</v>
      </c>
      <c r="O919" t="n">
        <v>0</v>
      </c>
      <c r="P919" t="n">
        <v>0</v>
      </c>
      <c r="Q919" t="n">
        <v>0</v>
      </c>
      <c r="R919" s="2" t="inlineStr"/>
    </row>
    <row r="920" ht="15" customHeight="1">
      <c r="A920" t="inlineStr">
        <is>
          <t>A 64884-2023</t>
        </is>
      </c>
      <c r="B920" s="1" t="n">
        <v>45282.57809027778</v>
      </c>
      <c r="C920" s="1" t="n">
        <v>45994</v>
      </c>
      <c r="D920" t="inlineStr">
        <is>
          <t>SKÅNE LÄN</t>
        </is>
      </c>
      <c r="E920" t="inlineStr">
        <is>
          <t>HÄSSLEHOLM</t>
        </is>
      </c>
      <c r="G920" t="n">
        <v>4.6</v>
      </c>
      <c r="H920" t="n">
        <v>0</v>
      </c>
      <c r="I920" t="n">
        <v>0</v>
      </c>
      <c r="J920" t="n">
        <v>0</v>
      </c>
      <c r="K920" t="n">
        <v>0</v>
      </c>
      <c r="L920" t="n">
        <v>0</v>
      </c>
      <c r="M920" t="n">
        <v>0</v>
      </c>
      <c r="N920" t="n">
        <v>0</v>
      </c>
      <c r="O920" t="n">
        <v>0</v>
      </c>
      <c r="P920" t="n">
        <v>0</v>
      </c>
      <c r="Q920" t="n">
        <v>0</v>
      </c>
      <c r="R920" s="2" t="inlineStr"/>
    </row>
    <row r="921" ht="15" customHeight="1">
      <c r="A921" t="inlineStr">
        <is>
          <t>A 48112-2024</t>
        </is>
      </c>
      <c r="B921" s="1" t="n">
        <v>45589.6295949074</v>
      </c>
      <c r="C921" s="1" t="n">
        <v>45994</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6310-2025</t>
        </is>
      </c>
      <c r="B922" s="1" t="n">
        <v>45698</v>
      </c>
      <c r="C922" s="1" t="n">
        <v>45994</v>
      </c>
      <c r="D922" t="inlineStr">
        <is>
          <t>SKÅNE LÄN</t>
        </is>
      </c>
      <c r="E922" t="inlineStr">
        <is>
          <t>HÄSSLEHOLM</t>
        </is>
      </c>
      <c r="G922" t="n">
        <v>2.7</v>
      </c>
      <c r="H922" t="n">
        <v>0</v>
      </c>
      <c r="I922" t="n">
        <v>0</v>
      </c>
      <c r="J922" t="n">
        <v>0</v>
      </c>
      <c r="K922" t="n">
        <v>0</v>
      </c>
      <c r="L922" t="n">
        <v>0</v>
      </c>
      <c r="M922" t="n">
        <v>0</v>
      </c>
      <c r="N922" t="n">
        <v>0</v>
      </c>
      <c r="O922" t="n">
        <v>0</v>
      </c>
      <c r="P922" t="n">
        <v>0</v>
      </c>
      <c r="Q922" t="n">
        <v>0</v>
      </c>
      <c r="R922" s="2" t="inlineStr"/>
    </row>
    <row r="923" ht="15" customHeight="1">
      <c r="A923" t="inlineStr">
        <is>
          <t>A 12507-2022</t>
        </is>
      </c>
      <c r="B923" s="1" t="n">
        <v>44638</v>
      </c>
      <c r="C923" s="1" t="n">
        <v>45994</v>
      </c>
      <c r="D923" t="inlineStr">
        <is>
          <t>SKÅNE LÄN</t>
        </is>
      </c>
      <c r="E923" t="inlineStr">
        <is>
          <t>HÄSSLEHOLM</t>
        </is>
      </c>
      <c r="G923" t="n">
        <v>2.7</v>
      </c>
      <c r="H923" t="n">
        <v>0</v>
      </c>
      <c r="I923" t="n">
        <v>0</v>
      </c>
      <c r="J923" t="n">
        <v>0</v>
      </c>
      <c r="K923" t="n">
        <v>0</v>
      </c>
      <c r="L923" t="n">
        <v>0</v>
      </c>
      <c r="M923" t="n">
        <v>0</v>
      </c>
      <c r="N923" t="n">
        <v>0</v>
      </c>
      <c r="O923" t="n">
        <v>0</v>
      </c>
      <c r="P923" t="n">
        <v>0</v>
      </c>
      <c r="Q923" t="n">
        <v>0</v>
      </c>
      <c r="R923" s="2" t="inlineStr"/>
    </row>
    <row r="924" ht="15" customHeight="1">
      <c r="A924" t="inlineStr">
        <is>
          <t>A 16474-2025</t>
        </is>
      </c>
      <c r="B924" s="1" t="n">
        <v>45751.56834490741</v>
      </c>
      <c r="C924" s="1" t="n">
        <v>45994</v>
      </c>
      <c r="D924" t="inlineStr">
        <is>
          <t>SKÅNE LÄN</t>
        </is>
      </c>
      <c r="E924" t="inlineStr">
        <is>
          <t>HÄSSLEHOLM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2597-2024</t>
        </is>
      </c>
      <c r="B925" s="1" t="n">
        <v>45313</v>
      </c>
      <c r="C925" s="1" t="n">
        <v>45994</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48097-2024</t>
        </is>
      </c>
      <c r="B926" s="1" t="n">
        <v>45589.61413194444</v>
      </c>
      <c r="C926" s="1" t="n">
        <v>45994</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42735-2024</t>
        </is>
      </c>
      <c r="B927" s="1" t="n">
        <v>45566.47274305556</v>
      </c>
      <c r="C927" s="1" t="n">
        <v>45994</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60846-2022</t>
        </is>
      </c>
      <c r="B928" s="1" t="n">
        <v>44914</v>
      </c>
      <c r="C928" s="1" t="n">
        <v>45994</v>
      </c>
      <c r="D928" t="inlineStr">
        <is>
          <t>SKÅNE LÄN</t>
        </is>
      </c>
      <c r="E928" t="inlineStr">
        <is>
          <t>HÄSSLEHOLM</t>
        </is>
      </c>
      <c r="G928" t="n">
        <v>2.1</v>
      </c>
      <c r="H928" t="n">
        <v>0</v>
      </c>
      <c r="I928" t="n">
        <v>0</v>
      </c>
      <c r="J928" t="n">
        <v>0</v>
      </c>
      <c r="K928" t="n">
        <v>0</v>
      </c>
      <c r="L928" t="n">
        <v>0</v>
      </c>
      <c r="M928" t="n">
        <v>0</v>
      </c>
      <c r="N928" t="n">
        <v>0</v>
      </c>
      <c r="O928" t="n">
        <v>0</v>
      </c>
      <c r="P928" t="n">
        <v>0</v>
      </c>
      <c r="Q928" t="n">
        <v>0</v>
      </c>
      <c r="R928" s="2" t="inlineStr"/>
    </row>
    <row r="929" ht="15" customHeight="1">
      <c r="A929" t="inlineStr">
        <is>
          <t>A 42776-2021</t>
        </is>
      </c>
      <c r="B929" s="1" t="n">
        <v>44428</v>
      </c>
      <c r="C929" s="1" t="n">
        <v>45994</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3531-2023</t>
        </is>
      </c>
      <c r="B930" s="1" t="n">
        <v>44950</v>
      </c>
      <c r="C930" s="1" t="n">
        <v>45994</v>
      </c>
      <c r="D930" t="inlineStr">
        <is>
          <t>SKÅNE LÄN</t>
        </is>
      </c>
      <c r="E930" t="inlineStr">
        <is>
          <t>HÄSSLEHOLM</t>
        </is>
      </c>
      <c r="G930" t="n">
        <v>10.1</v>
      </c>
      <c r="H930" t="n">
        <v>0</v>
      </c>
      <c r="I930" t="n">
        <v>0</v>
      </c>
      <c r="J930" t="n">
        <v>0</v>
      </c>
      <c r="K930" t="n">
        <v>0</v>
      </c>
      <c r="L930" t="n">
        <v>0</v>
      </c>
      <c r="M930" t="n">
        <v>0</v>
      </c>
      <c r="N930" t="n">
        <v>0</v>
      </c>
      <c r="O930" t="n">
        <v>0</v>
      </c>
      <c r="P930" t="n">
        <v>0</v>
      </c>
      <c r="Q930" t="n">
        <v>0</v>
      </c>
      <c r="R930" s="2" t="inlineStr"/>
    </row>
    <row r="931" ht="15" customHeight="1">
      <c r="A931" t="inlineStr">
        <is>
          <t>A 15417-2022</t>
        </is>
      </c>
      <c r="B931" s="1" t="n">
        <v>44659</v>
      </c>
      <c r="C931" s="1" t="n">
        <v>45994</v>
      </c>
      <c r="D931" t="inlineStr">
        <is>
          <t>SKÅNE LÄN</t>
        </is>
      </c>
      <c r="E931" t="inlineStr">
        <is>
          <t>HÄSSLEHOLM</t>
        </is>
      </c>
      <c r="F931" t="inlineStr">
        <is>
          <t>Kyrkan</t>
        </is>
      </c>
      <c r="G931" t="n">
        <v>2.9</v>
      </c>
      <c r="H931" t="n">
        <v>0</v>
      </c>
      <c r="I931" t="n">
        <v>0</v>
      </c>
      <c r="J931" t="n">
        <v>0</v>
      </c>
      <c r="K931" t="n">
        <v>0</v>
      </c>
      <c r="L931" t="n">
        <v>0</v>
      </c>
      <c r="M931" t="n">
        <v>0</v>
      </c>
      <c r="N931" t="n">
        <v>0</v>
      </c>
      <c r="O931" t="n">
        <v>0</v>
      </c>
      <c r="P931" t="n">
        <v>0</v>
      </c>
      <c r="Q931" t="n">
        <v>0</v>
      </c>
      <c r="R931" s="2" t="inlineStr"/>
    </row>
    <row r="932" ht="15" customHeight="1">
      <c r="A932" t="inlineStr">
        <is>
          <t>A 44262-2021</t>
        </is>
      </c>
      <c r="B932" s="1" t="n">
        <v>44434</v>
      </c>
      <c r="C932" s="1" t="n">
        <v>45994</v>
      </c>
      <c r="D932" t="inlineStr">
        <is>
          <t>SKÅNE LÄN</t>
        </is>
      </c>
      <c r="E932" t="inlineStr">
        <is>
          <t>HÄSSLEHOLM</t>
        </is>
      </c>
      <c r="G932" t="n">
        <v>4.7</v>
      </c>
      <c r="H932" t="n">
        <v>0</v>
      </c>
      <c r="I932" t="n">
        <v>0</v>
      </c>
      <c r="J932" t="n">
        <v>0</v>
      </c>
      <c r="K932" t="n">
        <v>0</v>
      </c>
      <c r="L932" t="n">
        <v>0</v>
      </c>
      <c r="M932" t="n">
        <v>0</v>
      </c>
      <c r="N932" t="n">
        <v>0</v>
      </c>
      <c r="O932" t="n">
        <v>0</v>
      </c>
      <c r="P932" t="n">
        <v>0</v>
      </c>
      <c r="Q932" t="n">
        <v>0</v>
      </c>
      <c r="R932" s="2" t="inlineStr"/>
    </row>
    <row r="933" ht="15" customHeight="1">
      <c r="A933" t="inlineStr">
        <is>
          <t>A 50659-2023</t>
        </is>
      </c>
      <c r="B933" s="1" t="n">
        <v>45217</v>
      </c>
      <c r="C933" s="1" t="n">
        <v>45994</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55522-2024</t>
        </is>
      </c>
      <c r="B934" s="1" t="n">
        <v>45622</v>
      </c>
      <c r="C934" s="1" t="n">
        <v>45994</v>
      </c>
      <c r="D934" t="inlineStr">
        <is>
          <t>SKÅNE LÄN</t>
        </is>
      </c>
      <c r="E934" t="inlineStr">
        <is>
          <t>HÄSSLEHOLM</t>
        </is>
      </c>
      <c r="G934" t="n">
        <v>5.6</v>
      </c>
      <c r="H934" t="n">
        <v>0</v>
      </c>
      <c r="I934" t="n">
        <v>0</v>
      </c>
      <c r="J934" t="n">
        <v>0</v>
      </c>
      <c r="K934" t="n">
        <v>0</v>
      </c>
      <c r="L934" t="n">
        <v>0</v>
      </c>
      <c r="M934" t="n">
        <v>0</v>
      </c>
      <c r="N934" t="n">
        <v>0</v>
      </c>
      <c r="O934" t="n">
        <v>0</v>
      </c>
      <c r="P934" t="n">
        <v>0</v>
      </c>
      <c r="Q934" t="n">
        <v>0</v>
      </c>
      <c r="R934" s="2" t="inlineStr"/>
    </row>
    <row r="935" ht="15" customHeight="1">
      <c r="A935" t="inlineStr">
        <is>
          <t>A 1344-2021</t>
        </is>
      </c>
      <c r="B935" s="1" t="n">
        <v>44208</v>
      </c>
      <c r="C935" s="1" t="n">
        <v>45994</v>
      </c>
      <c r="D935" t="inlineStr">
        <is>
          <t>SKÅNE LÄN</t>
        </is>
      </c>
      <c r="E935" t="inlineStr">
        <is>
          <t>HÄSSLEHOLM</t>
        </is>
      </c>
      <c r="G935" t="n">
        <v>1.3</v>
      </c>
      <c r="H935" t="n">
        <v>0</v>
      </c>
      <c r="I935" t="n">
        <v>0</v>
      </c>
      <c r="J935" t="n">
        <v>0</v>
      </c>
      <c r="K935" t="n">
        <v>0</v>
      </c>
      <c r="L935" t="n">
        <v>0</v>
      </c>
      <c r="M935" t="n">
        <v>0</v>
      </c>
      <c r="N935" t="n">
        <v>0</v>
      </c>
      <c r="O935" t="n">
        <v>0</v>
      </c>
      <c r="P935" t="n">
        <v>0</v>
      </c>
      <c r="Q935" t="n">
        <v>0</v>
      </c>
      <c r="R935" s="2" t="inlineStr"/>
    </row>
    <row r="936" ht="15" customHeight="1">
      <c r="A936" t="inlineStr">
        <is>
          <t>A 13808-2021</t>
        </is>
      </c>
      <c r="B936" s="1" t="n">
        <v>44276</v>
      </c>
      <c r="C936" s="1" t="n">
        <v>45994</v>
      </c>
      <c r="D936" t="inlineStr">
        <is>
          <t>SKÅNE LÄN</t>
        </is>
      </c>
      <c r="E936" t="inlineStr">
        <is>
          <t>HÄSSLEHOLM</t>
        </is>
      </c>
      <c r="G936" t="n">
        <v>10.3</v>
      </c>
      <c r="H936" t="n">
        <v>0</v>
      </c>
      <c r="I936" t="n">
        <v>0</v>
      </c>
      <c r="J936" t="n">
        <v>0</v>
      </c>
      <c r="K936" t="n">
        <v>0</v>
      </c>
      <c r="L936" t="n">
        <v>0</v>
      </c>
      <c r="M936" t="n">
        <v>0</v>
      </c>
      <c r="N936" t="n">
        <v>0</v>
      </c>
      <c r="O936" t="n">
        <v>0</v>
      </c>
      <c r="P936" t="n">
        <v>0</v>
      </c>
      <c r="Q936" t="n">
        <v>0</v>
      </c>
      <c r="R936" s="2" t="inlineStr"/>
    </row>
    <row r="937" ht="15" customHeight="1">
      <c r="A937" t="inlineStr">
        <is>
          <t>A 67801-2021</t>
        </is>
      </c>
      <c r="B937" s="1" t="n">
        <v>44525</v>
      </c>
      <c r="C937" s="1" t="n">
        <v>45994</v>
      </c>
      <c r="D937" t="inlineStr">
        <is>
          <t>SKÅNE LÄN</t>
        </is>
      </c>
      <c r="E937" t="inlineStr">
        <is>
          <t>HÄSSLEHOLM</t>
        </is>
      </c>
      <c r="G937" t="n">
        <v>2.2</v>
      </c>
      <c r="H937" t="n">
        <v>0</v>
      </c>
      <c r="I937" t="n">
        <v>0</v>
      </c>
      <c r="J937" t="n">
        <v>0</v>
      </c>
      <c r="K937" t="n">
        <v>0</v>
      </c>
      <c r="L937" t="n">
        <v>0</v>
      </c>
      <c r="M937" t="n">
        <v>0</v>
      </c>
      <c r="N937" t="n">
        <v>0</v>
      </c>
      <c r="O937" t="n">
        <v>0</v>
      </c>
      <c r="P937" t="n">
        <v>0</v>
      </c>
      <c r="Q937" t="n">
        <v>0</v>
      </c>
      <c r="R937" s="2" t="inlineStr"/>
    </row>
    <row r="938" ht="15" customHeight="1">
      <c r="A938" t="inlineStr">
        <is>
          <t>A 32826-2024</t>
        </is>
      </c>
      <c r="B938" s="1" t="n">
        <v>45516.59056712963</v>
      </c>
      <c r="C938" s="1" t="n">
        <v>45994</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2144-2023</t>
        </is>
      </c>
      <c r="B939" s="1" t="n">
        <v>44940.79054398148</v>
      </c>
      <c r="C939" s="1" t="n">
        <v>45994</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37141-2021</t>
        </is>
      </c>
      <c r="B940" s="1" t="n">
        <v>44396</v>
      </c>
      <c r="C940" s="1" t="n">
        <v>45994</v>
      </c>
      <c r="D940" t="inlineStr">
        <is>
          <t>SKÅNE LÄN</t>
        </is>
      </c>
      <c r="E940" t="inlineStr">
        <is>
          <t>HÄSSLEHOLM</t>
        </is>
      </c>
      <c r="G940" t="n">
        <v>12.8</v>
      </c>
      <c r="H940" t="n">
        <v>0</v>
      </c>
      <c r="I940" t="n">
        <v>0</v>
      </c>
      <c r="J940" t="n">
        <v>0</v>
      </c>
      <c r="K940" t="n">
        <v>0</v>
      </c>
      <c r="L940" t="n">
        <v>0</v>
      </c>
      <c r="M940" t="n">
        <v>0</v>
      </c>
      <c r="N940" t="n">
        <v>0</v>
      </c>
      <c r="O940" t="n">
        <v>0</v>
      </c>
      <c r="P940" t="n">
        <v>0</v>
      </c>
      <c r="Q940" t="n">
        <v>0</v>
      </c>
      <c r="R940" s="2" t="inlineStr"/>
    </row>
    <row r="941" ht="15" customHeight="1">
      <c r="A941" t="inlineStr">
        <is>
          <t>A 7202-2022</t>
        </is>
      </c>
      <c r="B941" s="1" t="n">
        <v>44606</v>
      </c>
      <c r="C941" s="1" t="n">
        <v>45994</v>
      </c>
      <c r="D941" t="inlineStr">
        <is>
          <t>SKÅNE LÄN</t>
        </is>
      </c>
      <c r="E941" t="inlineStr">
        <is>
          <t>HÄSSLEHOLM</t>
        </is>
      </c>
      <c r="G941" t="n">
        <v>4.7</v>
      </c>
      <c r="H941" t="n">
        <v>0</v>
      </c>
      <c r="I941" t="n">
        <v>0</v>
      </c>
      <c r="J941" t="n">
        <v>0</v>
      </c>
      <c r="K941" t="n">
        <v>0</v>
      </c>
      <c r="L941" t="n">
        <v>0</v>
      </c>
      <c r="M941" t="n">
        <v>0</v>
      </c>
      <c r="N941" t="n">
        <v>0</v>
      </c>
      <c r="O941" t="n">
        <v>0</v>
      </c>
      <c r="P941" t="n">
        <v>0</v>
      </c>
      <c r="Q941" t="n">
        <v>0</v>
      </c>
      <c r="R941" s="2" t="inlineStr"/>
    </row>
    <row r="942" ht="15" customHeight="1">
      <c r="A942" t="inlineStr">
        <is>
          <t>A 14700-2023</t>
        </is>
      </c>
      <c r="B942" s="1" t="n">
        <v>45014.38376157408</v>
      </c>
      <c r="C942" s="1" t="n">
        <v>45994</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41400-2025</t>
        </is>
      </c>
      <c r="B943" s="1" t="n">
        <v>45901</v>
      </c>
      <c r="C943" s="1" t="n">
        <v>45994</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41401-2025</t>
        </is>
      </c>
      <c r="B944" s="1" t="n">
        <v>45901</v>
      </c>
      <c r="C944" s="1" t="n">
        <v>45994</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39915-2023</t>
        </is>
      </c>
      <c r="B945" s="1" t="n">
        <v>45168.4684375</v>
      </c>
      <c r="C945" s="1" t="n">
        <v>45994</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21494-2023</t>
        </is>
      </c>
      <c r="B946" s="1" t="n">
        <v>45063</v>
      </c>
      <c r="C946" s="1" t="n">
        <v>45994</v>
      </c>
      <c r="D946" t="inlineStr">
        <is>
          <t>SKÅNE LÄN</t>
        </is>
      </c>
      <c r="E946" t="inlineStr">
        <is>
          <t>HÄSSLEHOLM</t>
        </is>
      </c>
      <c r="G946" t="n">
        <v>3.7</v>
      </c>
      <c r="H946" t="n">
        <v>0</v>
      </c>
      <c r="I946" t="n">
        <v>0</v>
      </c>
      <c r="J946" t="n">
        <v>0</v>
      </c>
      <c r="K946" t="n">
        <v>0</v>
      </c>
      <c r="L946" t="n">
        <v>0</v>
      </c>
      <c r="M946" t="n">
        <v>0</v>
      </c>
      <c r="N946" t="n">
        <v>0</v>
      </c>
      <c r="O946" t="n">
        <v>0</v>
      </c>
      <c r="P946" t="n">
        <v>0</v>
      </c>
      <c r="Q946" t="n">
        <v>0</v>
      </c>
      <c r="R946" s="2" t="inlineStr"/>
    </row>
    <row r="947" ht="15" customHeight="1">
      <c r="A947" t="inlineStr">
        <is>
          <t>A 21495-2023</t>
        </is>
      </c>
      <c r="B947" s="1" t="n">
        <v>45063</v>
      </c>
      <c r="C947" s="1" t="n">
        <v>45994</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45054.68476851852</v>
      </c>
      <c r="C948" s="1" t="n">
        <v>45994</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62167-2022</t>
        </is>
      </c>
      <c r="B949" s="1" t="n">
        <v>44915</v>
      </c>
      <c r="C949" s="1" t="n">
        <v>45994</v>
      </c>
      <c r="D949" t="inlineStr">
        <is>
          <t>SKÅNE LÄN</t>
        </is>
      </c>
      <c r="E949" t="inlineStr">
        <is>
          <t>HÄSSLEHOLM</t>
        </is>
      </c>
      <c r="F949" t="inlineStr">
        <is>
          <t>Kyrkan</t>
        </is>
      </c>
      <c r="G949" t="n">
        <v>3.1</v>
      </c>
      <c r="H949" t="n">
        <v>0</v>
      </c>
      <c r="I949" t="n">
        <v>0</v>
      </c>
      <c r="J949" t="n">
        <v>0</v>
      </c>
      <c r="K949" t="n">
        <v>0</v>
      </c>
      <c r="L949" t="n">
        <v>0</v>
      </c>
      <c r="M949" t="n">
        <v>0</v>
      </c>
      <c r="N949" t="n">
        <v>0</v>
      </c>
      <c r="O949" t="n">
        <v>0</v>
      </c>
      <c r="P949" t="n">
        <v>0</v>
      </c>
      <c r="Q949" t="n">
        <v>0</v>
      </c>
      <c r="R949" s="2" t="inlineStr"/>
    </row>
    <row r="950" ht="15" customHeight="1">
      <c r="A950" t="inlineStr">
        <is>
          <t>A 62234-2022</t>
        </is>
      </c>
      <c r="B950" s="1" t="n">
        <v>44922</v>
      </c>
      <c r="C950" s="1" t="n">
        <v>45994</v>
      </c>
      <c r="D950" t="inlineStr">
        <is>
          <t>SKÅNE LÄN</t>
        </is>
      </c>
      <c r="E950" t="inlineStr">
        <is>
          <t>HÄSSLEHOLM</t>
        </is>
      </c>
      <c r="G950" t="n">
        <v>1.3</v>
      </c>
      <c r="H950" t="n">
        <v>0</v>
      </c>
      <c r="I950" t="n">
        <v>0</v>
      </c>
      <c r="J950" t="n">
        <v>0</v>
      </c>
      <c r="K950" t="n">
        <v>0</v>
      </c>
      <c r="L950" t="n">
        <v>0</v>
      </c>
      <c r="M950" t="n">
        <v>0</v>
      </c>
      <c r="N950" t="n">
        <v>0</v>
      </c>
      <c r="O950" t="n">
        <v>0</v>
      </c>
      <c r="P950" t="n">
        <v>0</v>
      </c>
      <c r="Q950" t="n">
        <v>0</v>
      </c>
      <c r="R950" s="2" t="inlineStr"/>
    </row>
    <row r="951" ht="15" customHeight="1">
      <c r="A951" t="inlineStr">
        <is>
          <t>A 34299-2024</t>
        </is>
      </c>
      <c r="B951" s="1" t="n">
        <v>45524</v>
      </c>
      <c r="C951" s="1" t="n">
        <v>45994</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8619-2023</t>
        </is>
      </c>
      <c r="B952" s="1" t="n">
        <v>44977.81979166667</v>
      </c>
      <c r="C952" s="1" t="n">
        <v>45994</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9543-2025</t>
        </is>
      </c>
      <c r="B953" s="1" t="n">
        <v>45715</v>
      </c>
      <c r="C953" s="1" t="n">
        <v>45994</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53067-2022</t>
        </is>
      </c>
      <c r="B954" s="1" t="n">
        <v>44873</v>
      </c>
      <c r="C954" s="1" t="n">
        <v>45994</v>
      </c>
      <c r="D954" t="inlineStr">
        <is>
          <t>SKÅNE LÄN</t>
        </is>
      </c>
      <c r="E954" t="inlineStr">
        <is>
          <t>HÄSSLEHOLM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3349-2023</t>
        </is>
      </c>
      <c r="B955" s="1" t="n">
        <v>44949</v>
      </c>
      <c r="C955" s="1" t="n">
        <v>45994</v>
      </c>
      <c r="D955" t="inlineStr">
        <is>
          <t>SKÅNE LÄN</t>
        </is>
      </c>
      <c r="E955" t="inlineStr">
        <is>
          <t>HÄSSLEHOLM</t>
        </is>
      </c>
      <c r="G955" t="n">
        <v>2.3</v>
      </c>
      <c r="H955" t="n">
        <v>0</v>
      </c>
      <c r="I955" t="n">
        <v>0</v>
      </c>
      <c r="J955" t="n">
        <v>0</v>
      </c>
      <c r="K955" t="n">
        <v>0</v>
      </c>
      <c r="L955" t="n">
        <v>0</v>
      </c>
      <c r="M955" t="n">
        <v>0</v>
      </c>
      <c r="N955" t="n">
        <v>0</v>
      </c>
      <c r="O955" t="n">
        <v>0</v>
      </c>
      <c r="P955" t="n">
        <v>0</v>
      </c>
      <c r="Q955" t="n">
        <v>0</v>
      </c>
      <c r="R955" s="2" t="inlineStr"/>
    </row>
    <row r="956" ht="15" customHeight="1">
      <c r="A956" t="inlineStr">
        <is>
          <t>A 32512-2024</t>
        </is>
      </c>
      <c r="B956" s="1" t="n">
        <v>45513.45613425926</v>
      </c>
      <c r="C956" s="1" t="n">
        <v>45994</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9697-2023</t>
        </is>
      </c>
      <c r="B957" s="1" t="n">
        <v>44984</v>
      </c>
      <c r="C957" s="1" t="n">
        <v>45994</v>
      </c>
      <c r="D957" t="inlineStr">
        <is>
          <t>SKÅNE LÄN</t>
        </is>
      </c>
      <c r="E957" t="inlineStr">
        <is>
          <t>HÄSSLEHOLM</t>
        </is>
      </c>
      <c r="G957" t="n">
        <v>0.3</v>
      </c>
      <c r="H957" t="n">
        <v>0</v>
      </c>
      <c r="I957" t="n">
        <v>0</v>
      </c>
      <c r="J957" t="n">
        <v>0</v>
      </c>
      <c r="K957" t="n">
        <v>0</v>
      </c>
      <c r="L957" t="n">
        <v>0</v>
      </c>
      <c r="M957" t="n">
        <v>0</v>
      </c>
      <c r="N957" t="n">
        <v>0</v>
      </c>
      <c r="O957" t="n">
        <v>0</v>
      </c>
      <c r="P957" t="n">
        <v>0</v>
      </c>
      <c r="Q957" t="n">
        <v>0</v>
      </c>
      <c r="R957" s="2" t="inlineStr"/>
    </row>
    <row r="958" ht="15" customHeight="1">
      <c r="A958" t="inlineStr">
        <is>
          <t>A 42232-2022</t>
        </is>
      </c>
      <c r="B958" s="1" t="n">
        <v>44830.77591435185</v>
      </c>
      <c r="C958" s="1" t="n">
        <v>45994</v>
      </c>
      <c r="D958" t="inlineStr">
        <is>
          <t>SKÅNE LÄN</t>
        </is>
      </c>
      <c r="E958" t="inlineStr">
        <is>
          <t>HÄSSLEHOLM</t>
        </is>
      </c>
      <c r="G958" t="n">
        <v>1.3</v>
      </c>
      <c r="H958" t="n">
        <v>0</v>
      </c>
      <c r="I958" t="n">
        <v>0</v>
      </c>
      <c r="J958" t="n">
        <v>0</v>
      </c>
      <c r="K958" t="n">
        <v>0</v>
      </c>
      <c r="L958" t="n">
        <v>0</v>
      </c>
      <c r="M958" t="n">
        <v>0</v>
      </c>
      <c r="N958" t="n">
        <v>0</v>
      </c>
      <c r="O958" t="n">
        <v>0</v>
      </c>
      <c r="P958" t="n">
        <v>0</v>
      </c>
      <c r="Q958" t="n">
        <v>0</v>
      </c>
      <c r="R958" s="2" t="inlineStr"/>
    </row>
    <row r="959" ht="15" customHeight="1">
      <c r="A959" t="inlineStr">
        <is>
          <t>A 46185-2022</t>
        </is>
      </c>
      <c r="B959" s="1" t="n">
        <v>44847</v>
      </c>
      <c r="C959" s="1" t="n">
        <v>45994</v>
      </c>
      <c r="D959" t="inlineStr">
        <is>
          <t>SKÅNE LÄN</t>
        </is>
      </c>
      <c r="E959" t="inlineStr">
        <is>
          <t>HÄSSLEHOLM</t>
        </is>
      </c>
      <c r="G959" t="n">
        <v>16.8</v>
      </c>
      <c r="H959" t="n">
        <v>0</v>
      </c>
      <c r="I959" t="n">
        <v>0</v>
      </c>
      <c r="J959" t="n">
        <v>0</v>
      </c>
      <c r="K959" t="n">
        <v>0</v>
      </c>
      <c r="L959" t="n">
        <v>0</v>
      </c>
      <c r="M959" t="n">
        <v>0</v>
      </c>
      <c r="N959" t="n">
        <v>0</v>
      </c>
      <c r="O959" t="n">
        <v>0</v>
      </c>
      <c r="P959" t="n">
        <v>0</v>
      </c>
      <c r="Q959" t="n">
        <v>0</v>
      </c>
      <c r="R959" s="2" t="inlineStr"/>
    </row>
    <row r="960" ht="15" customHeight="1">
      <c r="A960" t="inlineStr">
        <is>
          <t>A 37038-2022</t>
        </is>
      </c>
      <c r="B960" s="1" t="n">
        <v>44806.44232638889</v>
      </c>
      <c r="C960" s="1" t="n">
        <v>45994</v>
      </c>
      <c r="D960" t="inlineStr">
        <is>
          <t>SKÅNE LÄN</t>
        </is>
      </c>
      <c r="E960" t="inlineStr">
        <is>
          <t>HÄSSLEHOLM</t>
        </is>
      </c>
      <c r="G960" t="n">
        <v>0.7</v>
      </c>
      <c r="H960" t="n">
        <v>0</v>
      </c>
      <c r="I960" t="n">
        <v>0</v>
      </c>
      <c r="J960" t="n">
        <v>0</v>
      </c>
      <c r="K960" t="n">
        <v>0</v>
      </c>
      <c r="L960" t="n">
        <v>0</v>
      </c>
      <c r="M960" t="n">
        <v>0</v>
      </c>
      <c r="N960" t="n">
        <v>0</v>
      </c>
      <c r="O960" t="n">
        <v>0</v>
      </c>
      <c r="P960" t="n">
        <v>0</v>
      </c>
      <c r="Q960" t="n">
        <v>0</v>
      </c>
      <c r="R960" s="2" t="inlineStr"/>
    </row>
    <row r="961" ht="15" customHeight="1">
      <c r="A961" t="inlineStr">
        <is>
          <t>A 5894-2023</t>
        </is>
      </c>
      <c r="B961" s="1" t="n">
        <v>44963.65148148148</v>
      </c>
      <c r="C961" s="1" t="n">
        <v>45994</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18623-2023</t>
        </is>
      </c>
      <c r="B962" s="1" t="n">
        <v>45043</v>
      </c>
      <c r="C962" s="1" t="n">
        <v>45994</v>
      </c>
      <c r="D962" t="inlineStr">
        <is>
          <t>SKÅNE LÄN</t>
        </is>
      </c>
      <c r="E962" t="inlineStr">
        <is>
          <t>HÄSSLEHOLM</t>
        </is>
      </c>
      <c r="G962" t="n">
        <v>3.2</v>
      </c>
      <c r="H962" t="n">
        <v>0</v>
      </c>
      <c r="I962" t="n">
        <v>0</v>
      </c>
      <c r="J962" t="n">
        <v>0</v>
      </c>
      <c r="K962" t="n">
        <v>0</v>
      </c>
      <c r="L962" t="n">
        <v>0</v>
      </c>
      <c r="M962" t="n">
        <v>0</v>
      </c>
      <c r="N962" t="n">
        <v>0</v>
      </c>
      <c r="O962" t="n">
        <v>0</v>
      </c>
      <c r="P962" t="n">
        <v>0</v>
      </c>
      <c r="Q962" t="n">
        <v>0</v>
      </c>
      <c r="R962" s="2" t="inlineStr"/>
    </row>
    <row r="963" ht="15" customHeight="1">
      <c r="A963" t="inlineStr">
        <is>
          <t>A 33873-2021</t>
        </is>
      </c>
      <c r="B963" s="1" t="n">
        <v>44378</v>
      </c>
      <c r="C963" s="1" t="n">
        <v>45994</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9502-2023</t>
        </is>
      </c>
      <c r="B964" s="1" t="n">
        <v>44981.63278935185</v>
      </c>
      <c r="C964" s="1" t="n">
        <v>45994</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42520-2025</t>
        </is>
      </c>
      <c r="B965" s="1" t="n">
        <v>45905.54846064815</v>
      </c>
      <c r="C965" s="1" t="n">
        <v>45994</v>
      </c>
      <c r="D965" t="inlineStr">
        <is>
          <t>SKÅNE LÄN</t>
        </is>
      </c>
      <c r="E965" t="inlineStr">
        <is>
          <t>HÄSSLEHOLM</t>
        </is>
      </c>
      <c r="G965" t="n">
        <v>2.5</v>
      </c>
      <c r="H965" t="n">
        <v>0</v>
      </c>
      <c r="I965" t="n">
        <v>0</v>
      </c>
      <c r="J965" t="n">
        <v>0</v>
      </c>
      <c r="K965" t="n">
        <v>0</v>
      </c>
      <c r="L965" t="n">
        <v>0</v>
      </c>
      <c r="M965" t="n">
        <v>0</v>
      </c>
      <c r="N965" t="n">
        <v>0</v>
      </c>
      <c r="O965" t="n">
        <v>0</v>
      </c>
      <c r="P965" t="n">
        <v>0</v>
      </c>
      <c r="Q965" t="n">
        <v>0</v>
      </c>
      <c r="R965" s="2" t="inlineStr"/>
    </row>
    <row r="966" ht="15" customHeight="1">
      <c r="A966" t="inlineStr">
        <is>
          <t>A 15053-2023</t>
        </is>
      </c>
      <c r="B966" s="1" t="n">
        <v>45015</v>
      </c>
      <c r="C966" s="1" t="n">
        <v>45994</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48046-2023</t>
        </is>
      </c>
      <c r="B967" s="1" t="n">
        <v>45204.85201388889</v>
      </c>
      <c r="C967" s="1" t="n">
        <v>45994</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24985-2025</t>
        </is>
      </c>
      <c r="B968" s="1" t="n">
        <v>45799.60256944445</v>
      </c>
      <c r="C968" s="1" t="n">
        <v>45994</v>
      </c>
      <c r="D968" t="inlineStr">
        <is>
          <t>SKÅNE LÄN</t>
        </is>
      </c>
      <c r="E968" t="inlineStr">
        <is>
          <t>HÄSSLEHOLM</t>
        </is>
      </c>
      <c r="G968" t="n">
        <v>2.3</v>
      </c>
      <c r="H968" t="n">
        <v>0</v>
      </c>
      <c r="I968" t="n">
        <v>0</v>
      </c>
      <c r="J968" t="n">
        <v>0</v>
      </c>
      <c r="K968" t="n">
        <v>0</v>
      </c>
      <c r="L968" t="n">
        <v>0</v>
      </c>
      <c r="M968" t="n">
        <v>0</v>
      </c>
      <c r="N968" t="n">
        <v>0</v>
      </c>
      <c r="O968" t="n">
        <v>0</v>
      </c>
      <c r="P968" t="n">
        <v>0</v>
      </c>
      <c r="Q968" t="n">
        <v>0</v>
      </c>
      <c r="R968" s="2" t="inlineStr"/>
    </row>
    <row r="969" ht="15" customHeight="1">
      <c r="A969" t="inlineStr">
        <is>
          <t>A 57749-2023</t>
        </is>
      </c>
      <c r="B969" s="1" t="n">
        <v>45246</v>
      </c>
      <c r="C969" s="1" t="n">
        <v>45994</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9302-2025</t>
        </is>
      </c>
      <c r="B970" s="1" t="n">
        <v>45714.67233796296</v>
      </c>
      <c r="C970" s="1" t="n">
        <v>45994</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10562-2025</t>
        </is>
      </c>
      <c r="B971" s="1" t="n">
        <v>45721.52913194444</v>
      </c>
      <c r="C971" s="1" t="n">
        <v>45994</v>
      </c>
      <c r="D971" t="inlineStr">
        <is>
          <t>SKÅNE LÄN</t>
        </is>
      </c>
      <c r="E971" t="inlineStr">
        <is>
          <t>HÄSSLEHOLM</t>
        </is>
      </c>
      <c r="G971" t="n">
        <v>1.4</v>
      </c>
      <c r="H971" t="n">
        <v>0</v>
      </c>
      <c r="I971" t="n">
        <v>0</v>
      </c>
      <c r="J971" t="n">
        <v>0</v>
      </c>
      <c r="K971" t="n">
        <v>0</v>
      </c>
      <c r="L971" t="n">
        <v>0</v>
      </c>
      <c r="M971" t="n">
        <v>0</v>
      </c>
      <c r="N971" t="n">
        <v>0</v>
      </c>
      <c r="O971" t="n">
        <v>0</v>
      </c>
      <c r="P971" t="n">
        <v>0</v>
      </c>
      <c r="Q971" t="n">
        <v>0</v>
      </c>
      <c r="R971" s="2" t="inlineStr"/>
    </row>
    <row r="972" ht="15" customHeight="1">
      <c r="A972" t="inlineStr">
        <is>
          <t>A 47907-2021</t>
        </is>
      </c>
      <c r="B972" s="1" t="n">
        <v>44448</v>
      </c>
      <c r="C972" s="1" t="n">
        <v>45994</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1538-2024</t>
        </is>
      </c>
      <c r="B973" s="1" t="n">
        <v>45306</v>
      </c>
      <c r="C973" s="1" t="n">
        <v>45994</v>
      </c>
      <c r="D973" t="inlineStr">
        <is>
          <t>SKÅNE LÄN</t>
        </is>
      </c>
      <c r="E973" t="inlineStr">
        <is>
          <t>HÄSSLEHOLM</t>
        </is>
      </c>
      <c r="G973" t="n">
        <v>4.8</v>
      </c>
      <c r="H973" t="n">
        <v>0</v>
      </c>
      <c r="I973" t="n">
        <v>0</v>
      </c>
      <c r="J973" t="n">
        <v>0</v>
      </c>
      <c r="K973" t="n">
        <v>0</v>
      </c>
      <c r="L973" t="n">
        <v>0</v>
      </c>
      <c r="M973" t="n">
        <v>0</v>
      </c>
      <c r="N973" t="n">
        <v>0</v>
      </c>
      <c r="O973" t="n">
        <v>0</v>
      </c>
      <c r="P973" t="n">
        <v>0</v>
      </c>
      <c r="Q973" t="n">
        <v>0</v>
      </c>
      <c r="R973" s="2" t="inlineStr"/>
    </row>
    <row r="974" ht="15" customHeight="1">
      <c r="A974" t="inlineStr">
        <is>
          <t>A 1197-2024</t>
        </is>
      </c>
      <c r="B974" s="1" t="n">
        <v>45302</v>
      </c>
      <c r="C974" s="1" t="n">
        <v>45994</v>
      </c>
      <c r="D974" t="inlineStr">
        <is>
          <t>SKÅNE LÄN</t>
        </is>
      </c>
      <c r="E974" t="inlineStr">
        <is>
          <t>HÄSSLEHOLM</t>
        </is>
      </c>
      <c r="G974" t="n">
        <v>1.7</v>
      </c>
      <c r="H974" t="n">
        <v>0</v>
      </c>
      <c r="I974" t="n">
        <v>0</v>
      </c>
      <c r="J974" t="n">
        <v>0</v>
      </c>
      <c r="K974" t="n">
        <v>0</v>
      </c>
      <c r="L974" t="n">
        <v>0</v>
      </c>
      <c r="M974" t="n">
        <v>0</v>
      </c>
      <c r="N974" t="n">
        <v>0</v>
      </c>
      <c r="O974" t="n">
        <v>0</v>
      </c>
      <c r="P974" t="n">
        <v>0</v>
      </c>
      <c r="Q974" t="n">
        <v>0</v>
      </c>
      <c r="R974" s="2" t="inlineStr"/>
    </row>
    <row r="975" ht="15" customHeight="1">
      <c r="A975" t="inlineStr">
        <is>
          <t>A 13712-2025</t>
        </is>
      </c>
      <c r="B975" s="1" t="n">
        <v>45737</v>
      </c>
      <c r="C975" s="1" t="n">
        <v>45994</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3135-2023</t>
        </is>
      </c>
      <c r="B976" s="1" t="n">
        <v>44946.51672453704</v>
      </c>
      <c r="C976" s="1" t="n">
        <v>45994</v>
      </c>
      <c r="D976" t="inlineStr">
        <is>
          <t>SKÅNE LÄN</t>
        </is>
      </c>
      <c r="E976" t="inlineStr">
        <is>
          <t>HÄSSLEHOLM</t>
        </is>
      </c>
      <c r="G976" t="n">
        <v>7.2</v>
      </c>
      <c r="H976" t="n">
        <v>0</v>
      </c>
      <c r="I976" t="n">
        <v>0</v>
      </c>
      <c r="J976" t="n">
        <v>0</v>
      </c>
      <c r="K976" t="n">
        <v>0</v>
      </c>
      <c r="L976" t="n">
        <v>0</v>
      </c>
      <c r="M976" t="n">
        <v>0</v>
      </c>
      <c r="N976" t="n">
        <v>0</v>
      </c>
      <c r="O976" t="n">
        <v>0</v>
      </c>
      <c r="P976" t="n">
        <v>0</v>
      </c>
      <c r="Q976" t="n">
        <v>0</v>
      </c>
      <c r="R976" s="2" t="inlineStr"/>
    </row>
    <row r="977" ht="15" customHeight="1">
      <c r="A977" t="inlineStr">
        <is>
          <t>A 49950-2023</t>
        </is>
      </c>
      <c r="B977" s="1" t="n">
        <v>45215</v>
      </c>
      <c r="C977" s="1" t="n">
        <v>45994</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41694-2024</t>
        </is>
      </c>
      <c r="B978" s="1" t="n">
        <v>45560.68341435185</v>
      </c>
      <c r="C978" s="1" t="n">
        <v>45994</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34342-2021</t>
        </is>
      </c>
      <c r="B979" s="1" t="n">
        <v>44379</v>
      </c>
      <c r="C979" s="1" t="n">
        <v>45994</v>
      </c>
      <c r="D979" t="inlineStr">
        <is>
          <t>SKÅNE LÄN</t>
        </is>
      </c>
      <c r="E979" t="inlineStr">
        <is>
          <t>HÄSSLEHOLM</t>
        </is>
      </c>
      <c r="G979" t="n">
        <v>7</v>
      </c>
      <c r="H979" t="n">
        <v>0</v>
      </c>
      <c r="I979" t="n">
        <v>0</v>
      </c>
      <c r="J979" t="n">
        <v>0</v>
      </c>
      <c r="K979" t="n">
        <v>0</v>
      </c>
      <c r="L979" t="n">
        <v>0</v>
      </c>
      <c r="M979" t="n">
        <v>0</v>
      </c>
      <c r="N979" t="n">
        <v>0</v>
      </c>
      <c r="O979" t="n">
        <v>0</v>
      </c>
      <c r="P979" t="n">
        <v>0</v>
      </c>
      <c r="Q979" t="n">
        <v>0</v>
      </c>
      <c r="R979" s="2" t="inlineStr"/>
    </row>
    <row r="980" ht="15" customHeight="1">
      <c r="A980" t="inlineStr">
        <is>
          <t>A 36795-2023</t>
        </is>
      </c>
      <c r="B980" s="1" t="n">
        <v>45154.38245370371</v>
      </c>
      <c r="C980" s="1" t="n">
        <v>45994</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3507-2024</t>
        </is>
      </c>
      <c r="B981" s="1" t="n">
        <v>45320.4906712963</v>
      </c>
      <c r="C981" s="1" t="n">
        <v>45994</v>
      </c>
      <c r="D981" t="inlineStr">
        <is>
          <t>SKÅNE LÄN</t>
        </is>
      </c>
      <c r="E981" t="inlineStr">
        <is>
          <t>HÄSSLEHOLM</t>
        </is>
      </c>
      <c r="G981" t="n">
        <v>6.4</v>
      </c>
      <c r="H981" t="n">
        <v>0</v>
      </c>
      <c r="I981" t="n">
        <v>0</v>
      </c>
      <c r="J981" t="n">
        <v>0</v>
      </c>
      <c r="K981" t="n">
        <v>0</v>
      </c>
      <c r="L981" t="n">
        <v>0</v>
      </c>
      <c r="M981" t="n">
        <v>0</v>
      </c>
      <c r="N981" t="n">
        <v>0</v>
      </c>
      <c r="O981" t="n">
        <v>0</v>
      </c>
      <c r="P981" t="n">
        <v>0</v>
      </c>
      <c r="Q981" t="n">
        <v>0</v>
      </c>
      <c r="R981" s="2" t="inlineStr"/>
    </row>
    <row r="982" ht="15" customHeight="1">
      <c r="A982" t="inlineStr">
        <is>
          <t>A 46942-2024</t>
        </is>
      </c>
      <c r="B982" s="1" t="n">
        <v>45585.6684375</v>
      </c>
      <c r="C982" s="1" t="n">
        <v>45994</v>
      </c>
      <c r="D982" t="inlineStr">
        <is>
          <t>SKÅNE LÄN</t>
        </is>
      </c>
      <c r="E982" t="inlineStr">
        <is>
          <t>HÄSSLEHOLM</t>
        </is>
      </c>
      <c r="G982" t="n">
        <v>1.8</v>
      </c>
      <c r="H982" t="n">
        <v>0</v>
      </c>
      <c r="I982" t="n">
        <v>0</v>
      </c>
      <c r="J982" t="n">
        <v>0</v>
      </c>
      <c r="K982" t="n">
        <v>0</v>
      </c>
      <c r="L982" t="n">
        <v>0</v>
      </c>
      <c r="M982" t="n">
        <v>0</v>
      </c>
      <c r="N982" t="n">
        <v>0</v>
      </c>
      <c r="O982" t="n">
        <v>0</v>
      </c>
      <c r="P982" t="n">
        <v>0</v>
      </c>
      <c r="Q982" t="n">
        <v>0</v>
      </c>
      <c r="R982" s="2" t="inlineStr"/>
    </row>
    <row r="983" ht="15" customHeight="1">
      <c r="A983" t="inlineStr">
        <is>
          <t>A 49111-2023</t>
        </is>
      </c>
      <c r="B983" s="1" t="n">
        <v>45210.44464120371</v>
      </c>
      <c r="C983" s="1" t="n">
        <v>45994</v>
      </c>
      <c r="D983" t="inlineStr">
        <is>
          <t>SKÅNE LÄN</t>
        </is>
      </c>
      <c r="E983" t="inlineStr">
        <is>
          <t>HÄSSLEHOLM</t>
        </is>
      </c>
      <c r="G983" t="n">
        <v>0.2</v>
      </c>
      <c r="H983" t="n">
        <v>0</v>
      </c>
      <c r="I983" t="n">
        <v>0</v>
      </c>
      <c r="J983" t="n">
        <v>0</v>
      </c>
      <c r="K983" t="n">
        <v>0</v>
      </c>
      <c r="L983" t="n">
        <v>0</v>
      </c>
      <c r="M983" t="n">
        <v>0</v>
      </c>
      <c r="N983" t="n">
        <v>0</v>
      </c>
      <c r="O983" t="n">
        <v>0</v>
      </c>
      <c r="P983" t="n">
        <v>0</v>
      </c>
      <c r="Q983" t="n">
        <v>0</v>
      </c>
      <c r="R983" s="2" t="inlineStr"/>
    </row>
    <row r="984" ht="15" customHeight="1">
      <c r="A984" t="inlineStr">
        <is>
          <t>A 61178-2022</t>
        </is>
      </c>
      <c r="B984" s="1" t="n">
        <v>44915</v>
      </c>
      <c r="C984" s="1" t="n">
        <v>45994</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61185-2022</t>
        </is>
      </c>
      <c r="B985" s="1" t="n">
        <v>44915</v>
      </c>
      <c r="C985" s="1" t="n">
        <v>45994</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58915-2023</t>
        </is>
      </c>
      <c r="B986" s="1" t="n">
        <v>45250</v>
      </c>
      <c r="C986" s="1" t="n">
        <v>45994</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15508-2023</t>
        </is>
      </c>
      <c r="B987" s="1" t="n">
        <v>45020.50045138889</v>
      </c>
      <c r="C987" s="1" t="n">
        <v>45994</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43696-2024</t>
        </is>
      </c>
      <c r="B988" s="1" t="n">
        <v>45569.58855324074</v>
      </c>
      <c r="C988" s="1" t="n">
        <v>45994</v>
      </c>
      <c r="D988" t="inlineStr">
        <is>
          <t>SKÅNE LÄN</t>
        </is>
      </c>
      <c r="E988" t="inlineStr">
        <is>
          <t>HÄSSLEHOLM</t>
        </is>
      </c>
      <c r="G988" t="n">
        <v>2.9</v>
      </c>
      <c r="H988" t="n">
        <v>0</v>
      </c>
      <c r="I988" t="n">
        <v>0</v>
      </c>
      <c r="J988" t="n">
        <v>0</v>
      </c>
      <c r="K988" t="n">
        <v>0</v>
      </c>
      <c r="L988" t="n">
        <v>0</v>
      </c>
      <c r="M988" t="n">
        <v>0</v>
      </c>
      <c r="N988" t="n">
        <v>0</v>
      </c>
      <c r="O988" t="n">
        <v>0</v>
      </c>
      <c r="P988" t="n">
        <v>0</v>
      </c>
      <c r="Q988" t="n">
        <v>0</v>
      </c>
      <c r="R988" s="2" t="inlineStr"/>
    </row>
    <row r="989" ht="15" customHeight="1">
      <c r="A989" t="inlineStr">
        <is>
          <t>A 36706-2022</t>
        </is>
      </c>
      <c r="B989" s="1" t="n">
        <v>44805.32891203704</v>
      </c>
      <c r="C989" s="1" t="n">
        <v>45994</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22594-2024</t>
        </is>
      </c>
      <c r="B990" s="1" t="n">
        <v>45447.60892361111</v>
      </c>
      <c r="C990" s="1" t="n">
        <v>45994</v>
      </c>
      <c r="D990" t="inlineStr">
        <is>
          <t>SKÅNE LÄN</t>
        </is>
      </c>
      <c r="E990" t="inlineStr">
        <is>
          <t>HÄSSLEHOLM</t>
        </is>
      </c>
      <c r="G990" t="n">
        <v>1.1</v>
      </c>
      <c r="H990" t="n">
        <v>0</v>
      </c>
      <c r="I990" t="n">
        <v>0</v>
      </c>
      <c r="J990" t="n">
        <v>0</v>
      </c>
      <c r="K990" t="n">
        <v>0</v>
      </c>
      <c r="L990" t="n">
        <v>0</v>
      </c>
      <c r="M990" t="n">
        <v>0</v>
      </c>
      <c r="N990" t="n">
        <v>0</v>
      </c>
      <c r="O990" t="n">
        <v>0</v>
      </c>
      <c r="P990" t="n">
        <v>0</v>
      </c>
      <c r="Q990" t="n">
        <v>0</v>
      </c>
      <c r="R990" s="2" t="inlineStr"/>
    </row>
    <row r="991" ht="15" customHeight="1">
      <c r="A991" t="inlineStr">
        <is>
          <t>A 24658-2025</t>
        </is>
      </c>
      <c r="B991" s="1" t="n">
        <v>45798.64134259259</v>
      </c>
      <c r="C991" s="1" t="n">
        <v>45994</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45086.60010416667</v>
      </c>
      <c r="C992" s="1" t="n">
        <v>45994</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18063-2023</t>
        </is>
      </c>
      <c r="B993" s="1" t="n">
        <v>45040.62850694444</v>
      </c>
      <c r="C993" s="1" t="n">
        <v>45994</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61934-2023</t>
        </is>
      </c>
      <c r="B994" s="1" t="n">
        <v>45266.54125</v>
      </c>
      <c r="C994" s="1" t="n">
        <v>45994</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25372-2025</t>
        </is>
      </c>
      <c r="B995" s="1" t="n">
        <v>45799</v>
      </c>
      <c r="C995" s="1" t="n">
        <v>45994</v>
      </c>
      <c r="D995" t="inlineStr">
        <is>
          <t>SKÅNE LÄN</t>
        </is>
      </c>
      <c r="E995" t="inlineStr">
        <is>
          <t>HÄSSLEHOLM</t>
        </is>
      </c>
      <c r="G995" t="n">
        <v>3.1</v>
      </c>
      <c r="H995" t="n">
        <v>0</v>
      </c>
      <c r="I995" t="n">
        <v>0</v>
      </c>
      <c r="J995" t="n">
        <v>0</v>
      </c>
      <c r="K995" t="n">
        <v>0</v>
      </c>
      <c r="L995" t="n">
        <v>0</v>
      </c>
      <c r="M995" t="n">
        <v>0</v>
      </c>
      <c r="N995" t="n">
        <v>0</v>
      </c>
      <c r="O995" t="n">
        <v>0</v>
      </c>
      <c r="P995" t="n">
        <v>0</v>
      </c>
      <c r="Q995" t="n">
        <v>0</v>
      </c>
      <c r="R995" s="2" t="inlineStr"/>
    </row>
    <row r="996" ht="15" customHeight="1">
      <c r="A996" t="inlineStr">
        <is>
          <t>A 9399-2025</t>
        </is>
      </c>
      <c r="B996" s="1" t="n">
        <v>45715.37861111111</v>
      </c>
      <c r="C996" s="1" t="n">
        <v>45994</v>
      </c>
      <c r="D996" t="inlineStr">
        <is>
          <t>SKÅNE LÄN</t>
        </is>
      </c>
      <c r="E996" t="inlineStr">
        <is>
          <t>HÄSSLEHOLM</t>
        </is>
      </c>
      <c r="G996" t="n">
        <v>5.2</v>
      </c>
      <c r="H996" t="n">
        <v>0</v>
      </c>
      <c r="I996" t="n">
        <v>0</v>
      </c>
      <c r="J996" t="n">
        <v>0</v>
      </c>
      <c r="K996" t="n">
        <v>0</v>
      </c>
      <c r="L996" t="n">
        <v>0</v>
      </c>
      <c r="M996" t="n">
        <v>0</v>
      </c>
      <c r="N996" t="n">
        <v>0</v>
      </c>
      <c r="O996" t="n">
        <v>0</v>
      </c>
      <c r="P996" t="n">
        <v>0</v>
      </c>
      <c r="Q996" t="n">
        <v>0</v>
      </c>
      <c r="R996" s="2" t="inlineStr"/>
    </row>
    <row r="997" ht="15" customHeight="1">
      <c r="A997" t="inlineStr">
        <is>
          <t>A 11715-2023</t>
        </is>
      </c>
      <c r="B997" s="1" t="n">
        <v>44992</v>
      </c>
      <c r="C997" s="1" t="n">
        <v>45994</v>
      </c>
      <c r="D997" t="inlineStr">
        <is>
          <t>SKÅNE LÄN</t>
        </is>
      </c>
      <c r="E997" t="inlineStr">
        <is>
          <t>HÄSSLEHOLM</t>
        </is>
      </c>
      <c r="F997" t="inlineStr">
        <is>
          <t>Övriga Aktiebolag</t>
        </is>
      </c>
      <c r="G997" t="n">
        <v>2</v>
      </c>
      <c r="H997" t="n">
        <v>0</v>
      </c>
      <c r="I997" t="n">
        <v>0</v>
      </c>
      <c r="J997" t="n">
        <v>0</v>
      </c>
      <c r="K997" t="n">
        <v>0</v>
      </c>
      <c r="L997" t="n">
        <v>0</v>
      </c>
      <c r="M997" t="n">
        <v>0</v>
      </c>
      <c r="N997" t="n">
        <v>0</v>
      </c>
      <c r="O997" t="n">
        <v>0</v>
      </c>
      <c r="P997" t="n">
        <v>0</v>
      </c>
      <c r="Q997" t="n">
        <v>0</v>
      </c>
      <c r="R997" s="2" t="inlineStr"/>
    </row>
    <row r="998" ht="15" customHeight="1">
      <c r="A998" t="inlineStr">
        <is>
          <t>A 38888-2023</t>
        </is>
      </c>
      <c r="B998" s="1" t="n">
        <v>45161</v>
      </c>
      <c r="C998" s="1" t="n">
        <v>45994</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59030-2024</t>
        </is>
      </c>
      <c r="B999" s="1" t="n">
        <v>45636.68916666666</v>
      </c>
      <c r="C999" s="1" t="n">
        <v>45994</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48663-2024</t>
        </is>
      </c>
      <c r="B1000" s="1" t="n">
        <v>45593.48892361111</v>
      </c>
      <c r="C1000" s="1" t="n">
        <v>45994</v>
      </c>
      <c r="D1000" t="inlineStr">
        <is>
          <t>SKÅNE LÄN</t>
        </is>
      </c>
      <c r="E1000" t="inlineStr">
        <is>
          <t>HÄSSLEHOLM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43516-2025</t>
        </is>
      </c>
      <c r="B1001" s="1" t="n">
        <v>45911</v>
      </c>
      <c r="C1001" s="1" t="n">
        <v>45994</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259-2024</t>
        </is>
      </c>
      <c r="B1002" s="1" t="n">
        <v>45294</v>
      </c>
      <c r="C1002" s="1" t="n">
        <v>45994</v>
      </c>
      <c r="D1002" t="inlineStr">
        <is>
          <t>SKÅNE LÄN</t>
        </is>
      </c>
      <c r="E1002" t="inlineStr">
        <is>
          <t>HÄSSLEHOLM</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29659-2024</t>
        </is>
      </c>
      <c r="B1003" s="1" t="n">
        <v>45484.92587962963</v>
      </c>
      <c r="C1003" s="1" t="n">
        <v>45994</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27837-2024</t>
        </is>
      </c>
      <c r="B1004" s="1" t="n">
        <v>45475</v>
      </c>
      <c r="C1004" s="1" t="n">
        <v>45994</v>
      </c>
      <c r="D1004" t="inlineStr">
        <is>
          <t>SKÅNE LÄN</t>
        </is>
      </c>
      <c r="E1004" t="inlineStr">
        <is>
          <t>HÄSSLEHOLM</t>
        </is>
      </c>
      <c r="F1004" t="inlineStr">
        <is>
          <t>Kommuner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1679-2022</t>
        </is>
      </c>
      <c r="B1005" s="1" t="n">
        <v>44573</v>
      </c>
      <c r="C1005" s="1" t="n">
        <v>45994</v>
      </c>
      <c r="D1005" t="inlineStr">
        <is>
          <t>SKÅNE LÄN</t>
        </is>
      </c>
      <c r="E1005" t="inlineStr">
        <is>
          <t>HÄSSLEHOLM</t>
        </is>
      </c>
      <c r="F1005" t="inlineStr">
        <is>
          <t>Kyrkan</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43332-2025</t>
        </is>
      </c>
      <c r="B1006" s="1" t="n">
        <v>45910.70217592592</v>
      </c>
      <c r="C1006" s="1" t="n">
        <v>45994</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51565-2023</t>
        </is>
      </c>
      <c r="B1007" s="1" t="n">
        <v>45222</v>
      </c>
      <c r="C1007" s="1" t="n">
        <v>45994</v>
      </c>
      <c r="D1007" t="inlineStr">
        <is>
          <t>SKÅNE LÄN</t>
        </is>
      </c>
      <c r="E1007" t="inlineStr">
        <is>
          <t>HÄSSLEHOLM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25615-2025</t>
        </is>
      </c>
      <c r="B1008" s="1" t="n">
        <v>45803</v>
      </c>
      <c r="C1008" s="1" t="n">
        <v>45994</v>
      </c>
      <c r="D1008" t="inlineStr">
        <is>
          <t>SKÅNE LÄN</t>
        </is>
      </c>
      <c r="E1008" t="inlineStr">
        <is>
          <t>HÄSSLEHOLM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11412-2025</t>
        </is>
      </c>
      <c r="B1009" s="1" t="n">
        <v>45726</v>
      </c>
      <c r="C1009" s="1" t="n">
        <v>45994</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25430-2025</t>
        </is>
      </c>
      <c r="B1010" s="1" t="n">
        <v>45800.78212962963</v>
      </c>
      <c r="C1010" s="1" t="n">
        <v>45994</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52126-2025</t>
        </is>
      </c>
      <c r="B1011" s="1" t="n">
        <v>45952.72109953704</v>
      </c>
      <c r="C1011" s="1" t="n">
        <v>45994</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11466-2025</t>
        </is>
      </c>
      <c r="B1012" s="1" t="n">
        <v>45726</v>
      </c>
      <c r="C1012" s="1" t="n">
        <v>45994</v>
      </c>
      <c r="D1012" t="inlineStr">
        <is>
          <t>SKÅNE LÄN</t>
        </is>
      </c>
      <c r="E1012" t="inlineStr">
        <is>
          <t>HÄSSLEHOLM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43333-2025</t>
        </is>
      </c>
      <c r="B1013" s="1" t="n">
        <v>45910</v>
      </c>
      <c r="C1013" s="1" t="n">
        <v>45994</v>
      </c>
      <c r="D1013" t="inlineStr">
        <is>
          <t>SKÅNE LÄN</t>
        </is>
      </c>
      <c r="E1013" t="inlineStr">
        <is>
          <t>HÄSSLEHOLM</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25431-2025</t>
        </is>
      </c>
      <c r="B1014" s="1" t="n">
        <v>45800.78340277778</v>
      </c>
      <c r="C1014" s="1" t="n">
        <v>45994</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25432-2025</t>
        </is>
      </c>
      <c r="B1015" s="1" t="n">
        <v>45800.7847800926</v>
      </c>
      <c r="C1015" s="1" t="n">
        <v>45994</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11470-2025</t>
        </is>
      </c>
      <c r="B1016" s="1" t="n">
        <v>45726</v>
      </c>
      <c r="C1016" s="1" t="n">
        <v>45994</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43869-2025</t>
        </is>
      </c>
      <c r="B1017" s="1" t="n">
        <v>45912.66452546296</v>
      </c>
      <c r="C1017" s="1" t="n">
        <v>45994</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43741-2025</t>
        </is>
      </c>
      <c r="B1018" s="1" t="n">
        <v>45912.45541666666</v>
      </c>
      <c r="C1018" s="1" t="n">
        <v>45994</v>
      </c>
      <c r="D1018" t="inlineStr">
        <is>
          <t>SKÅNE LÄN</t>
        </is>
      </c>
      <c r="E1018" t="inlineStr">
        <is>
          <t>HÄSSLEHOLM</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26232-2025</t>
        </is>
      </c>
      <c r="B1019" s="1" t="n">
        <v>45805.56642361111</v>
      </c>
      <c r="C1019" s="1" t="n">
        <v>45994</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26244-2025</t>
        </is>
      </c>
      <c r="B1020" s="1" t="n">
        <v>45805.57364583333</v>
      </c>
      <c r="C1020" s="1" t="n">
        <v>45994</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43738-2025</t>
        </is>
      </c>
      <c r="B1021" s="1" t="n">
        <v>45912.45037037037</v>
      </c>
      <c r="C1021" s="1" t="n">
        <v>45994</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53020-2025</t>
        </is>
      </c>
      <c r="B1022" s="1" t="n">
        <v>45957.90707175926</v>
      </c>
      <c r="C1022" s="1" t="n">
        <v>45994</v>
      </c>
      <c r="D1022" t="inlineStr">
        <is>
          <t>SKÅNE LÄN</t>
        </is>
      </c>
      <c r="E1022" t="inlineStr">
        <is>
          <t>HÄSSLEHOLM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44624-2025</t>
        </is>
      </c>
      <c r="B1023" s="1" t="n">
        <v>45917.47152777778</v>
      </c>
      <c r="C1023" s="1" t="n">
        <v>45994</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38358-2024</t>
        </is>
      </c>
      <c r="B1024" s="1" t="n">
        <v>45545.79068287037</v>
      </c>
      <c r="C1024" s="1" t="n">
        <v>45994</v>
      </c>
      <c r="D1024" t="inlineStr">
        <is>
          <t>SKÅNE LÄN</t>
        </is>
      </c>
      <c r="E1024" t="inlineStr">
        <is>
          <t>HÄSSLEHOLM</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44611-2025</t>
        </is>
      </c>
      <c r="B1025" s="1" t="n">
        <v>45917.45109953704</v>
      </c>
      <c r="C1025" s="1" t="n">
        <v>45994</v>
      </c>
      <c r="D1025" t="inlineStr">
        <is>
          <t>SKÅNE LÄN</t>
        </is>
      </c>
      <c r="E1025" t="inlineStr">
        <is>
          <t>HÄSSLEHOLM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44330-2025</t>
        </is>
      </c>
      <c r="B1026" s="1" t="n">
        <v>45916.42120370371</v>
      </c>
      <c r="C1026" s="1" t="n">
        <v>45994</v>
      </c>
      <c r="D1026" t="inlineStr">
        <is>
          <t>SKÅNE LÄN</t>
        </is>
      </c>
      <c r="E1026" t="inlineStr">
        <is>
          <t>HÄSSLEHOLM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44523-2025</t>
        </is>
      </c>
      <c r="B1027" s="1" t="n">
        <v>45916</v>
      </c>
      <c r="C1027" s="1" t="n">
        <v>45994</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27393-2025</t>
        </is>
      </c>
      <c r="B1028" s="1" t="n">
        <v>45812.68295138889</v>
      </c>
      <c r="C1028" s="1" t="n">
        <v>45994</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53018-2025</t>
        </is>
      </c>
      <c r="B1029" s="1" t="n">
        <v>45957.90064814815</v>
      </c>
      <c r="C1029" s="1" t="n">
        <v>45994</v>
      </c>
      <c r="D1029" t="inlineStr">
        <is>
          <t>SKÅNE LÄN</t>
        </is>
      </c>
      <c r="E1029" t="inlineStr">
        <is>
          <t>HÄSSLEHOLM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16368-2025</t>
        </is>
      </c>
      <c r="B1030" s="1" t="n">
        <v>45751</v>
      </c>
      <c r="C1030" s="1" t="n">
        <v>45994</v>
      </c>
      <c r="D1030" t="inlineStr">
        <is>
          <t>SKÅNE LÄN</t>
        </is>
      </c>
      <c r="E1030" t="inlineStr">
        <is>
          <t>HÄSSLEHOLM</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27349-2025</t>
        </is>
      </c>
      <c r="B1031" s="1" t="n">
        <v>45812</v>
      </c>
      <c r="C1031" s="1" t="n">
        <v>45994</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44515-2025</t>
        </is>
      </c>
      <c r="B1032" s="1" t="n">
        <v>45916.7062037037</v>
      </c>
      <c r="C1032" s="1" t="n">
        <v>45994</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28240-2025</t>
        </is>
      </c>
      <c r="B1033" s="1" t="n">
        <v>45817</v>
      </c>
      <c r="C1033" s="1" t="n">
        <v>45994</v>
      </c>
      <c r="D1033" t="inlineStr">
        <is>
          <t>SKÅNE LÄN</t>
        </is>
      </c>
      <c r="E1033" t="inlineStr">
        <is>
          <t>HÄSSLEHOLM</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27940-2025</t>
        </is>
      </c>
      <c r="B1034" s="1" t="n">
        <v>45817.50439814815</v>
      </c>
      <c r="C1034" s="1" t="n">
        <v>45994</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27934-2025</t>
        </is>
      </c>
      <c r="B1035" s="1" t="n">
        <v>45817.49761574074</v>
      </c>
      <c r="C1035" s="1" t="n">
        <v>45994</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28251-2025</t>
        </is>
      </c>
      <c r="B1036" s="1" t="n">
        <v>45817</v>
      </c>
      <c r="C1036" s="1" t="n">
        <v>45994</v>
      </c>
      <c r="D1036" t="inlineStr">
        <is>
          <t>SKÅNE LÄN</t>
        </is>
      </c>
      <c r="E1036" t="inlineStr">
        <is>
          <t>HÄSSLEHOLM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28122-2025</t>
        </is>
      </c>
      <c r="B1037" s="1" t="n">
        <v>45817</v>
      </c>
      <c r="C1037" s="1" t="n">
        <v>45994</v>
      </c>
      <c r="D1037" t="inlineStr">
        <is>
          <t>SKÅNE LÄN</t>
        </is>
      </c>
      <c r="E1037" t="inlineStr">
        <is>
          <t>HÄSSLEHOLM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44616-2025</t>
        </is>
      </c>
      <c r="B1038" s="1" t="n">
        <v>45917.45572916666</v>
      </c>
      <c r="C1038" s="1" t="n">
        <v>45994</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27887-2025</t>
        </is>
      </c>
      <c r="B1039" s="1" t="n">
        <v>45817.45994212963</v>
      </c>
      <c r="C1039" s="1" t="n">
        <v>45994</v>
      </c>
      <c r="D1039" t="inlineStr">
        <is>
          <t>SKÅNE LÄN</t>
        </is>
      </c>
      <c r="E1039" t="inlineStr">
        <is>
          <t>HÄSSLEHOLM</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28095-2025</t>
        </is>
      </c>
      <c r="B1040" s="1" t="n">
        <v>45817</v>
      </c>
      <c r="C1040" s="1" t="n">
        <v>45994</v>
      </c>
      <c r="D1040" t="inlineStr">
        <is>
          <t>SKÅNE LÄN</t>
        </is>
      </c>
      <c r="E1040" t="inlineStr">
        <is>
          <t>HÄSSLEHOLM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49827-2022</t>
        </is>
      </c>
      <c r="B1041" s="1" t="n">
        <v>44859</v>
      </c>
      <c r="C1041" s="1" t="n">
        <v>45994</v>
      </c>
      <c r="D1041" t="inlineStr">
        <is>
          <t>SKÅNE LÄN</t>
        </is>
      </c>
      <c r="E1041" t="inlineStr">
        <is>
          <t>HÄSSLEHOLM</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44614-2025</t>
        </is>
      </c>
      <c r="B1042" s="1" t="n">
        <v>45917.45422453704</v>
      </c>
      <c r="C1042" s="1" t="n">
        <v>45994</v>
      </c>
      <c r="D1042" t="inlineStr">
        <is>
          <t>SKÅNE LÄN</t>
        </is>
      </c>
      <c r="E1042" t="inlineStr">
        <is>
          <t>HÄSSLEHOLM</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29170-2025</t>
        </is>
      </c>
      <c r="B1043" s="1" t="n">
        <v>45821.69766203704</v>
      </c>
      <c r="C1043" s="1" t="n">
        <v>45994</v>
      </c>
      <c r="D1043" t="inlineStr">
        <is>
          <t>SKÅNE LÄN</t>
        </is>
      </c>
      <c r="E1043" t="inlineStr">
        <is>
          <t>HÄSSLEHOLM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53424-2025</t>
        </is>
      </c>
      <c r="B1044" s="1" t="n">
        <v>45959</v>
      </c>
      <c r="C1044" s="1" t="n">
        <v>45994</v>
      </c>
      <c r="D1044" t="inlineStr">
        <is>
          <t>SKÅNE LÄN</t>
        </is>
      </c>
      <c r="E1044" t="inlineStr">
        <is>
          <t>HÄSSLEHOLM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45176-2025</t>
        </is>
      </c>
      <c r="B1045" s="1" t="n">
        <v>45919.52307870371</v>
      </c>
      <c r="C1045" s="1" t="n">
        <v>45994</v>
      </c>
      <c r="D1045" t="inlineStr">
        <is>
          <t>SKÅNE LÄN</t>
        </is>
      </c>
      <c r="E1045" t="inlineStr">
        <is>
          <t>HÄSSLEHOLM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45221-2025</t>
        </is>
      </c>
      <c r="B1046" s="1" t="n">
        <v>45919.57760416667</v>
      </c>
      <c r="C1046" s="1" t="n">
        <v>45994</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45273-2025</t>
        </is>
      </c>
      <c r="B1047" s="1" t="n">
        <v>45919.70486111111</v>
      </c>
      <c r="C1047" s="1" t="n">
        <v>45994</v>
      </c>
      <c r="D1047" t="inlineStr">
        <is>
          <t>SKÅNE LÄN</t>
        </is>
      </c>
      <c r="E1047" t="inlineStr">
        <is>
          <t>HÄSSLEHOLM</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45084-2025</t>
        </is>
      </c>
      <c r="B1048" s="1" t="n">
        <v>45918</v>
      </c>
      <c r="C1048" s="1" t="n">
        <v>45994</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29171-2025</t>
        </is>
      </c>
      <c r="B1049" s="1" t="n">
        <v>45821.69863425926</v>
      </c>
      <c r="C1049" s="1" t="n">
        <v>45994</v>
      </c>
      <c r="D1049" t="inlineStr">
        <is>
          <t>SKÅNE LÄN</t>
        </is>
      </c>
      <c r="E1049" t="inlineStr">
        <is>
          <t>HÄSSLEHOLM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29168-2025</t>
        </is>
      </c>
      <c r="B1050" s="1" t="n">
        <v>45821.69547453704</v>
      </c>
      <c r="C1050" s="1" t="n">
        <v>45994</v>
      </c>
      <c r="D1050" t="inlineStr">
        <is>
          <t>SKÅNE LÄN</t>
        </is>
      </c>
      <c r="E1050" t="inlineStr">
        <is>
          <t>HÄSSLEHOLM</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30010-2025</t>
        </is>
      </c>
      <c r="B1051" s="1" t="n">
        <v>45826</v>
      </c>
      <c r="C1051" s="1" t="n">
        <v>45994</v>
      </c>
      <c r="D1051" t="inlineStr">
        <is>
          <t>SKÅNE LÄN</t>
        </is>
      </c>
      <c r="E1051" t="inlineStr">
        <is>
          <t>HÄSSLEHOLM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45496-2025</t>
        </is>
      </c>
      <c r="B1052" s="1" t="n">
        <v>45922</v>
      </c>
      <c r="C1052" s="1" t="n">
        <v>45994</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45495-2025</t>
        </is>
      </c>
      <c r="B1053" s="1" t="n">
        <v>45922.56369212963</v>
      </c>
      <c r="C1053" s="1" t="n">
        <v>45994</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45314-2025</t>
        </is>
      </c>
      <c r="B1054" s="1" t="n">
        <v>45921.81738425926</v>
      </c>
      <c r="C1054" s="1" t="n">
        <v>45994</v>
      </c>
      <c r="D1054" t="inlineStr">
        <is>
          <t>SKÅNE LÄN</t>
        </is>
      </c>
      <c r="E1054" t="inlineStr">
        <is>
          <t>HÄSSLEHOLM</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45763-2025</t>
        </is>
      </c>
      <c r="B1055" s="1" t="n">
        <v>45923.51778935185</v>
      </c>
      <c r="C1055" s="1" t="n">
        <v>45994</v>
      </c>
      <c r="D1055" t="inlineStr">
        <is>
          <t>SKÅNE LÄN</t>
        </is>
      </c>
      <c r="E1055" t="inlineStr">
        <is>
          <t>HÄSSLEHOLM</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45764-2025</t>
        </is>
      </c>
      <c r="B1056" s="1" t="n">
        <v>45923.52037037037</v>
      </c>
      <c r="C1056" s="1" t="n">
        <v>45994</v>
      </c>
      <c r="D1056" t="inlineStr">
        <is>
          <t>SKÅNE LÄN</t>
        </is>
      </c>
      <c r="E1056" t="inlineStr">
        <is>
          <t>HÄSSLEHOLM</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45443-2025</t>
        </is>
      </c>
      <c r="B1057" s="1" t="n">
        <v>45920</v>
      </c>
      <c r="C1057" s="1" t="n">
        <v>45994</v>
      </c>
      <c r="D1057" t="inlineStr">
        <is>
          <t>SKÅNE LÄN</t>
        </is>
      </c>
      <c r="E1057" t="inlineStr">
        <is>
          <t>HÄSSLEHOLM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45458-2025</t>
        </is>
      </c>
      <c r="B1058" s="1" t="n">
        <v>45920</v>
      </c>
      <c r="C1058" s="1" t="n">
        <v>45994</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45465-2025</t>
        </is>
      </c>
      <c r="B1059" s="1" t="n">
        <v>45920</v>
      </c>
      <c r="C1059" s="1" t="n">
        <v>45994</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45414-2025</t>
        </is>
      </c>
      <c r="B1060" s="1" t="n">
        <v>45920</v>
      </c>
      <c r="C1060" s="1" t="n">
        <v>45994</v>
      </c>
      <c r="D1060" t="inlineStr">
        <is>
          <t>SKÅNE LÄN</t>
        </is>
      </c>
      <c r="E1060" t="inlineStr">
        <is>
          <t>HÄSSLEHOLM</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45683-2025</t>
        </is>
      </c>
      <c r="B1061" s="1" t="n">
        <v>45923.37590277778</v>
      </c>
      <c r="C1061" s="1" t="n">
        <v>45994</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45516-2025</t>
        </is>
      </c>
      <c r="B1062" s="1" t="n">
        <v>45922</v>
      </c>
      <c r="C1062" s="1" t="n">
        <v>45994</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45514-2025</t>
        </is>
      </c>
      <c r="B1063" s="1" t="n">
        <v>45922</v>
      </c>
      <c r="C1063" s="1" t="n">
        <v>45994</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11121-2023</t>
        </is>
      </c>
      <c r="B1064" s="1" t="n">
        <v>44986</v>
      </c>
      <c r="C1064" s="1" t="n">
        <v>45994</v>
      </c>
      <c r="D1064" t="inlineStr">
        <is>
          <t>SKÅNE LÄN</t>
        </is>
      </c>
      <c r="E1064" t="inlineStr">
        <is>
          <t>HÄSSLEHOLM</t>
        </is>
      </c>
      <c r="F1064" t="inlineStr">
        <is>
          <t>Kommuner</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31159-2025</t>
        </is>
      </c>
      <c r="B1065" s="1" t="n">
        <v>45832.65322916667</v>
      </c>
      <c r="C1065" s="1" t="n">
        <v>45994</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11116-2023</t>
        </is>
      </c>
      <c r="B1066" s="1" t="n">
        <v>44986</v>
      </c>
      <c r="C1066" s="1" t="n">
        <v>45994</v>
      </c>
      <c r="D1066" t="inlineStr">
        <is>
          <t>SKÅNE LÄN</t>
        </is>
      </c>
      <c r="E1066" t="inlineStr">
        <is>
          <t>HÄSSLEHOLM</t>
        </is>
      </c>
      <c r="F1066" t="inlineStr">
        <is>
          <t>Kommuner</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45762-2025</t>
        </is>
      </c>
      <c r="B1067" s="1" t="n">
        <v>45923.51548611111</v>
      </c>
      <c r="C1067" s="1" t="n">
        <v>45994</v>
      </c>
      <c r="D1067" t="inlineStr">
        <is>
          <t>SKÅNE LÄN</t>
        </is>
      </c>
      <c r="E1067" t="inlineStr">
        <is>
          <t>HÄSSLEHOLM</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54763-2025</t>
        </is>
      </c>
      <c r="B1068" s="1" t="n">
        <v>45966.60167824074</v>
      </c>
      <c r="C1068" s="1" t="n">
        <v>45994</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9668-2025</t>
        </is>
      </c>
      <c r="B1069" s="1" t="n">
        <v>45716</v>
      </c>
      <c r="C1069" s="1" t="n">
        <v>45994</v>
      </c>
      <c r="D1069" t="inlineStr">
        <is>
          <t>SKÅNE LÄN</t>
        </is>
      </c>
      <c r="E1069" t="inlineStr">
        <is>
          <t>HÄSSLEHOLM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9678-2025</t>
        </is>
      </c>
      <c r="B1070" s="1" t="n">
        <v>45716</v>
      </c>
      <c r="C1070" s="1" t="n">
        <v>45994</v>
      </c>
      <c r="D1070" t="inlineStr">
        <is>
          <t>SKÅNE LÄN</t>
        </is>
      </c>
      <c r="E1070" t="inlineStr">
        <is>
          <t>HÄSSLEHOLM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54668-2025</t>
        </is>
      </c>
      <c r="B1071" s="1" t="n">
        <v>45966.40803240741</v>
      </c>
      <c r="C1071" s="1" t="n">
        <v>45994</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54664-2025</t>
        </is>
      </c>
      <c r="B1072" s="1" t="n">
        <v>45966.40738425926</v>
      </c>
      <c r="C1072" s="1" t="n">
        <v>45994</v>
      </c>
      <c r="D1072" t="inlineStr">
        <is>
          <t>SKÅNE LÄN</t>
        </is>
      </c>
      <c r="E1072" t="inlineStr">
        <is>
          <t>HÄSSLEHOLM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54771-2025</t>
        </is>
      </c>
      <c r="B1073" s="1" t="n">
        <v>45966.60829861111</v>
      </c>
      <c r="C1073" s="1" t="n">
        <v>45994</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55268-2025</t>
        </is>
      </c>
      <c r="B1074" s="1" t="n">
        <v>45968.6715625</v>
      </c>
      <c r="C1074" s="1" t="n">
        <v>45994</v>
      </c>
      <c r="D1074" t="inlineStr">
        <is>
          <t>SKÅNE LÄN</t>
        </is>
      </c>
      <c r="E1074" t="inlineStr">
        <is>
          <t>HÄSSLEHOLM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29649-2025</t>
        </is>
      </c>
      <c r="B1075" s="1" t="n">
        <v>45825.47446759259</v>
      </c>
      <c r="C1075" s="1" t="n">
        <v>45994</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55549-2025</t>
        </is>
      </c>
      <c r="B1076" s="1" t="n">
        <v>45971.63805555556</v>
      </c>
      <c r="C1076" s="1" t="n">
        <v>45994</v>
      </c>
      <c r="D1076" t="inlineStr">
        <is>
          <t>SKÅNE LÄN</t>
        </is>
      </c>
      <c r="E1076" t="inlineStr">
        <is>
          <t>HÄSSLEHOLM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46786-2025</t>
        </is>
      </c>
      <c r="B1077" s="1" t="n">
        <v>45926.64484953704</v>
      </c>
      <c r="C1077" s="1" t="n">
        <v>45994</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47126-2025</t>
        </is>
      </c>
      <c r="B1078" s="1" t="n">
        <v>45929.685625</v>
      </c>
      <c r="C1078" s="1" t="n">
        <v>45994</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47127-2025</t>
        </is>
      </c>
      <c r="B1079" s="1" t="n">
        <v>45929.6893287037</v>
      </c>
      <c r="C1079" s="1" t="n">
        <v>45994</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32585-2025</t>
        </is>
      </c>
      <c r="B1080" s="1" t="n">
        <v>45838.60021990741</v>
      </c>
      <c r="C1080" s="1" t="n">
        <v>45994</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32592-2025</t>
        </is>
      </c>
      <c r="B1081" s="1" t="n">
        <v>45838.61020833333</v>
      </c>
      <c r="C1081" s="1" t="n">
        <v>45994</v>
      </c>
      <c r="D1081" t="inlineStr">
        <is>
          <t>SKÅNE LÄN</t>
        </is>
      </c>
      <c r="E1081" t="inlineStr">
        <is>
          <t>HÄSSLEHOLM</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33562-2025</t>
        </is>
      </c>
      <c r="B1082" s="1" t="n">
        <v>45841.57803240741</v>
      </c>
      <c r="C1082" s="1" t="n">
        <v>45994</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46761-2025</t>
        </is>
      </c>
      <c r="B1083" s="1" t="n">
        <v>45926.62289351852</v>
      </c>
      <c r="C1083" s="1" t="n">
        <v>45994</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46855-2025</t>
        </is>
      </c>
      <c r="B1084" s="1" t="n">
        <v>45928.88497685185</v>
      </c>
      <c r="C1084" s="1" t="n">
        <v>45994</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47161-2025</t>
        </is>
      </c>
      <c r="B1085" s="1" t="n">
        <v>45929</v>
      </c>
      <c r="C1085" s="1" t="n">
        <v>45994</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46605-2025</t>
        </is>
      </c>
      <c r="B1086" s="1" t="n">
        <v>45926.41214120371</v>
      </c>
      <c r="C1086" s="1" t="n">
        <v>45994</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33875-2025</t>
        </is>
      </c>
      <c r="B1087" s="1" t="n">
        <v>45842.55300925926</v>
      </c>
      <c r="C1087" s="1" t="n">
        <v>45994</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33877-2025</t>
        </is>
      </c>
      <c r="B1088" s="1" t="n">
        <v>45842.55564814815</v>
      </c>
      <c r="C1088" s="1" t="n">
        <v>45994</v>
      </c>
      <c r="D1088" t="inlineStr">
        <is>
          <t>SKÅNE LÄN</t>
        </is>
      </c>
      <c r="E1088" t="inlineStr">
        <is>
          <t>HÄSSLEHOLM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33879-2025</t>
        </is>
      </c>
      <c r="B1089" s="1" t="n">
        <v>45842.55766203703</v>
      </c>
      <c r="C1089" s="1" t="n">
        <v>45994</v>
      </c>
      <c r="D1089" t="inlineStr">
        <is>
          <t>SKÅNE LÄN</t>
        </is>
      </c>
      <c r="E1089" t="inlineStr">
        <is>
          <t>HÄSSLEHOLM</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33948-2025</t>
        </is>
      </c>
      <c r="B1090" s="1" t="n">
        <v>45842.65945601852</v>
      </c>
      <c r="C1090" s="1" t="n">
        <v>45994</v>
      </c>
      <c r="D1090" t="inlineStr">
        <is>
          <t>SKÅNE LÄN</t>
        </is>
      </c>
      <c r="E1090" t="inlineStr">
        <is>
          <t>HÄSSLEHOLM</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22678-2025</t>
        </is>
      </c>
      <c r="B1091" s="1" t="n">
        <v>45789.49725694444</v>
      </c>
      <c r="C1091" s="1" t="n">
        <v>45994</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32958-2023</t>
        </is>
      </c>
      <c r="B1092" s="1" t="n">
        <v>45125.52142361111</v>
      </c>
      <c r="C1092" s="1" t="n">
        <v>45994</v>
      </c>
      <c r="D1092" t="inlineStr">
        <is>
          <t>SKÅNE LÄN</t>
        </is>
      </c>
      <c r="E1092" t="inlineStr">
        <is>
          <t>HÄSSLEHOLM</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34174-2025</t>
        </is>
      </c>
      <c r="B1093" s="1" t="n">
        <v>45844</v>
      </c>
      <c r="C1093" s="1" t="n">
        <v>45994</v>
      </c>
      <c r="D1093" t="inlineStr">
        <is>
          <t>SKÅNE LÄN</t>
        </is>
      </c>
      <c r="E1093" t="inlineStr">
        <is>
          <t>HÄSSLEHOLM</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34177-2025</t>
        </is>
      </c>
      <c r="B1094" s="1" t="n">
        <v>45844</v>
      </c>
      <c r="C1094" s="1" t="n">
        <v>45994</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33950-2025</t>
        </is>
      </c>
      <c r="B1095" s="1" t="n">
        <v>45842</v>
      </c>
      <c r="C1095" s="1" t="n">
        <v>45994</v>
      </c>
      <c r="D1095" t="inlineStr">
        <is>
          <t>SKÅNE LÄN</t>
        </is>
      </c>
      <c r="E1095" t="inlineStr">
        <is>
          <t>HÄSSLEHOLM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25726-2025</t>
        </is>
      </c>
      <c r="B1096" s="1" t="n">
        <v>45803</v>
      </c>
      <c r="C1096" s="1" t="n">
        <v>45994</v>
      </c>
      <c r="D1096" t="inlineStr">
        <is>
          <t>SKÅNE LÄN</t>
        </is>
      </c>
      <c r="E1096" t="inlineStr">
        <is>
          <t>HÄSSLEHOLM</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47259-2025</t>
        </is>
      </c>
      <c r="B1097" s="1" t="n">
        <v>45930</v>
      </c>
      <c r="C1097" s="1" t="n">
        <v>45994</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34869-2025</t>
        </is>
      </c>
      <c r="B1098" s="1" t="n">
        <v>45849</v>
      </c>
      <c r="C1098" s="1" t="n">
        <v>45994</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46813-2024</t>
        </is>
      </c>
      <c r="B1099" s="1" t="n">
        <v>45583</v>
      </c>
      <c r="C1099" s="1" t="n">
        <v>45994</v>
      </c>
      <c r="D1099" t="inlineStr">
        <is>
          <t>SKÅNE LÄN</t>
        </is>
      </c>
      <c r="E1099" t="inlineStr">
        <is>
          <t>HÄSSLEHOLM</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47473-2025</t>
        </is>
      </c>
      <c r="B1100" s="1" t="n">
        <v>45930.67763888889</v>
      </c>
      <c r="C1100" s="1" t="n">
        <v>45994</v>
      </c>
      <c r="D1100" t="inlineStr">
        <is>
          <t>SKÅNE LÄN</t>
        </is>
      </c>
      <c r="E1100" t="inlineStr">
        <is>
          <t>HÄSSLEHOLM</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47466-2025</t>
        </is>
      </c>
      <c r="B1101" s="1" t="n">
        <v>45930.66677083333</v>
      </c>
      <c r="C1101" s="1" t="n">
        <v>45994</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55455-2025</t>
        </is>
      </c>
      <c r="B1102" s="1" t="n">
        <v>45971</v>
      </c>
      <c r="C1102" s="1" t="n">
        <v>45994</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55458-2025</t>
        </is>
      </c>
      <c r="B1103" s="1" t="n">
        <v>45971</v>
      </c>
      <c r="C1103" s="1" t="n">
        <v>45994</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20970-2025</t>
        </is>
      </c>
      <c r="B1104" s="1" t="n">
        <v>45777.45417824074</v>
      </c>
      <c r="C1104" s="1" t="n">
        <v>45994</v>
      </c>
      <c r="D1104" t="inlineStr">
        <is>
          <t>SKÅNE LÄN</t>
        </is>
      </c>
      <c r="E1104" t="inlineStr">
        <is>
          <t>HÄSSLEHOLM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35259-2025</t>
        </is>
      </c>
      <c r="B1105" s="1" t="n">
        <v>45853.76912037037</v>
      </c>
      <c r="C1105" s="1" t="n">
        <v>45994</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48184-2025</t>
        </is>
      </c>
      <c r="B1106" s="1" t="n">
        <v>45933.46131944445</v>
      </c>
      <c r="C1106" s="1" t="n">
        <v>45994</v>
      </c>
      <c r="D1106" t="inlineStr">
        <is>
          <t>SKÅNE LÄN</t>
        </is>
      </c>
      <c r="E1106" t="inlineStr">
        <is>
          <t>HÄSSLEHOLM</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48185-2025</t>
        </is>
      </c>
      <c r="B1107" s="1" t="n">
        <v>45933.46434027778</v>
      </c>
      <c r="C1107" s="1" t="n">
        <v>45994</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17413-2025</t>
        </is>
      </c>
      <c r="B1108" s="1" t="n">
        <v>45757.37480324074</v>
      </c>
      <c r="C1108" s="1" t="n">
        <v>45994</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41680-2024</t>
        </is>
      </c>
      <c r="B1109" s="1" t="n">
        <v>45560</v>
      </c>
      <c r="C1109" s="1" t="n">
        <v>45994</v>
      </c>
      <c r="D1109" t="inlineStr">
        <is>
          <t>SKÅNE LÄN</t>
        </is>
      </c>
      <c r="E1109" t="inlineStr">
        <is>
          <t>HÄSSLEHOLM</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56065-2025</t>
        </is>
      </c>
      <c r="B1110" s="1" t="n">
        <v>45973</v>
      </c>
      <c r="C1110" s="1" t="n">
        <v>45994</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56667-2025</t>
        </is>
      </c>
      <c r="B1111" s="1" t="n">
        <v>45975.68508101852</v>
      </c>
      <c r="C1111" s="1" t="n">
        <v>45994</v>
      </c>
      <c r="D1111" t="inlineStr">
        <is>
          <t>SKÅNE LÄN</t>
        </is>
      </c>
      <c r="E1111" t="inlineStr">
        <is>
          <t>HÄSSLEHOLM</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36259-2025</t>
        </is>
      </c>
      <c r="B1112" s="1" t="n">
        <v>45867.59799768519</v>
      </c>
      <c r="C1112" s="1" t="n">
        <v>45994</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36130-2025</t>
        </is>
      </c>
      <c r="B1113" s="1" t="n">
        <v>45866.62273148148</v>
      </c>
      <c r="C1113" s="1" t="n">
        <v>45994</v>
      </c>
      <c r="D1113" t="inlineStr">
        <is>
          <t>SKÅNE LÄN</t>
        </is>
      </c>
      <c r="E1113" t="inlineStr">
        <is>
          <t>HÄSSLEHOLM</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19666-2025</t>
        </is>
      </c>
      <c r="B1114" s="1" t="n">
        <v>45770.69326388889</v>
      </c>
      <c r="C1114" s="1" t="n">
        <v>45994</v>
      </c>
      <c r="D1114" t="inlineStr">
        <is>
          <t>SKÅNE LÄN</t>
        </is>
      </c>
      <c r="E1114" t="inlineStr">
        <is>
          <t>HÄSSLEHOLM</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36359-2025</t>
        </is>
      </c>
      <c r="B1115" s="1" t="n">
        <v>45867</v>
      </c>
      <c r="C1115" s="1" t="n">
        <v>45994</v>
      </c>
      <c r="D1115" t="inlineStr">
        <is>
          <t>SKÅNE LÄN</t>
        </is>
      </c>
      <c r="E1115" t="inlineStr">
        <is>
          <t>HÄSSLEHOLM</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36361-2025</t>
        </is>
      </c>
      <c r="B1116" s="1" t="n">
        <v>45867</v>
      </c>
      <c r="C1116" s="1" t="n">
        <v>45994</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36085-2025</t>
        </is>
      </c>
      <c r="B1117" s="1" t="n">
        <v>45866.46190972222</v>
      </c>
      <c r="C1117" s="1" t="n">
        <v>45994</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36358-2025</t>
        </is>
      </c>
      <c r="B1118" s="1" t="n">
        <v>45867</v>
      </c>
      <c r="C1118" s="1" t="n">
        <v>45994</v>
      </c>
      <c r="D1118" t="inlineStr">
        <is>
          <t>SKÅNE LÄN</t>
        </is>
      </c>
      <c r="E1118" t="inlineStr">
        <is>
          <t>HÄSSLEHOLM</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56767-2025</t>
        </is>
      </c>
      <c r="B1119" s="1" t="n">
        <v>45978.38178240741</v>
      </c>
      <c r="C1119" s="1" t="n">
        <v>45994</v>
      </c>
      <c r="D1119" t="inlineStr">
        <is>
          <t>SKÅNE LÄN</t>
        </is>
      </c>
      <c r="E1119" t="inlineStr">
        <is>
          <t>HÄSSLEHOLM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56794-2025</t>
        </is>
      </c>
      <c r="B1120" s="1" t="n">
        <v>45978.43039351852</v>
      </c>
      <c r="C1120" s="1" t="n">
        <v>45994</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56797-2025</t>
        </is>
      </c>
      <c r="B1121" s="1" t="n">
        <v>45978.43273148148</v>
      </c>
      <c r="C1121" s="1" t="n">
        <v>45994</v>
      </c>
      <c r="D1121" t="inlineStr">
        <is>
          <t>SKÅNE LÄN</t>
        </is>
      </c>
      <c r="E1121" t="inlineStr">
        <is>
          <t>HÄSSLEHOLM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56798-2025</t>
        </is>
      </c>
      <c r="B1122" s="1" t="n">
        <v>45978.43378472222</v>
      </c>
      <c r="C1122" s="1" t="n">
        <v>45994</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48722-2025</t>
        </is>
      </c>
      <c r="B1123" s="1" t="n">
        <v>45935</v>
      </c>
      <c r="C1123" s="1" t="n">
        <v>45994</v>
      </c>
      <c r="D1123" t="inlineStr">
        <is>
          <t>SKÅNE LÄN</t>
        </is>
      </c>
      <c r="E1123" t="inlineStr">
        <is>
          <t>HÄSSLEHOLM</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56769-2025</t>
        </is>
      </c>
      <c r="B1124" s="1" t="n">
        <v>45978.38429398148</v>
      </c>
      <c r="C1124" s="1" t="n">
        <v>45994</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8209-2025</t>
        </is>
      </c>
      <c r="B1125" s="1" t="n">
        <v>45708.44244212963</v>
      </c>
      <c r="C1125" s="1" t="n">
        <v>45994</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49135-2025</t>
        </is>
      </c>
      <c r="B1126" s="1" t="n">
        <v>45938.00990740741</v>
      </c>
      <c r="C1126" s="1" t="n">
        <v>45994</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49136-2025</t>
        </is>
      </c>
      <c r="B1127" s="1" t="n">
        <v>45938.01277777777</v>
      </c>
      <c r="C1127" s="1" t="n">
        <v>45994</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49137-2025</t>
        </is>
      </c>
      <c r="B1128" s="1" t="n">
        <v>45938.05672453704</v>
      </c>
      <c r="C1128" s="1" t="n">
        <v>45994</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36938-2025</t>
        </is>
      </c>
      <c r="B1129" s="1" t="n">
        <v>45874.58476851852</v>
      </c>
      <c r="C1129" s="1" t="n">
        <v>45994</v>
      </c>
      <c r="D1129" t="inlineStr">
        <is>
          <t>SKÅNE LÄN</t>
        </is>
      </c>
      <c r="E1129" t="inlineStr">
        <is>
          <t>HÄSSLEHOLM</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54798-2025</t>
        </is>
      </c>
      <c r="B1130" s="1" t="n">
        <v>45966</v>
      </c>
      <c r="C1130" s="1" t="n">
        <v>45994</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54807-2025</t>
        </is>
      </c>
      <c r="B1131" s="1" t="n">
        <v>45966</v>
      </c>
      <c r="C1131" s="1" t="n">
        <v>45994</v>
      </c>
      <c r="D1131" t="inlineStr">
        <is>
          <t>SKÅNE LÄN</t>
        </is>
      </c>
      <c r="E1131" t="inlineStr">
        <is>
          <t>HÄSSLEHOLM</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57817-2025</t>
        </is>
      </c>
      <c r="B1132" s="1" t="n">
        <v>45981.59475694445</v>
      </c>
      <c r="C1132" s="1" t="n">
        <v>45994</v>
      </c>
      <c r="D1132" t="inlineStr">
        <is>
          <t>SKÅNE LÄN</t>
        </is>
      </c>
      <c r="E1132" t="inlineStr">
        <is>
          <t>HÄSSLEHOLM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37286-2025</t>
        </is>
      </c>
      <c r="B1133" s="1" t="n">
        <v>45876.50116898148</v>
      </c>
      <c r="C1133" s="1" t="n">
        <v>45994</v>
      </c>
      <c r="D1133" t="inlineStr">
        <is>
          <t>SKÅNE LÄN</t>
        </is>
      </c>
      <c r="E1133" t="inlineStr">
        <is>
          <t>HÄSSLEHOLM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37271-2025</t>
        </is>
      </c>
      <c r="B1134" s="1" t="n">
        <v>45876.47828703704</v>
      </c>
      <c r="C1134" s="1" t="n">
        <v>45994</v>
      </c>
      <c r="D1134" t="inlineStr">
        <is>
          <t>SKÅNE LÄN</t>
        </is>
      </c>
      <c r="E1134" t="inlineStr">
        <is>
          <t>HÄSSLEHOLM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32981-2025</t>
        </is>
      </c>
      <c r="B1135" s="1" t="n">
        <v>45839.86820601852</v>
      </c>
      <c r="C1135" s="1" t="n">
        <v>45994</v>
      </c>
      <c r="D1135" t="inlineStr">
        <is>
          <t>SKÅNE LÄN</t>
        </is>
      </c>
      <c r="E1135" t="inlineStr">
        <is>
          <t>HÄSSLEHOLM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16862-2025</t>
        </is>
      </c>
      <c r="B1136" s="1" t="n">
        <v>45751</v>
      </c>
      <c r="C1136" s="1" t="n">
        <v>45994</v>
      </c>
      <c r="D1136" t="inlineStr">
        <is>
          <t>SKÅNE LÄN</t>
        </is>
      </c>
      <c r="E1136" t="inlineStr">
        <is>
          <t>HÄSSLEHOLM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18109-2025</t>
        </is>
      </c>
      <c r="B1137" s="1" t="n">
        <v>45761</v>
      </c>
      <c r="C1137" s="1" t="n">
        <v>45994</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49845-2025</t>
        </is>
      </c>
      <c r="B1138" s="1" t="n">
        <v>45940.48015046296</v>
      </c>
      <c r="C1138" s="1" t="n">
        <v>45994</v>
      </c>
      <c r="D1138" t="inlineStr">
        <is>
          <t>SKÅNE LÄN</t>
        </is>
      </c>
      <c r="E1138" t="inlineStr">
        <is>
          <t>HÄSSLEHOLM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58241-2025</t>
        </is>
      </c>
      <c r="B1139" s="1" t="n">
        <v>45985.38797453704</v>
      </c>
      <c r="C1139" s="1" t="n">
        <v>45994</v>
      </c>
      <c r="D1139" t="inlineStr">
        <is>
          <t>SKÅNE LÄN</t>
        </is>
      </c>
      <c r="E1139" t="inlineStr">
        <is>
          <t>HÄSSLEHOLM</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30092-2025</t>
        </is>
      </c>
      <c r="B1140" s="1" t="n">
        <v>45826</v>
      </c>
      <c r="C1140" s="1" t="n">
        <v>45994</v>
      </c>
      <c r="D1140" t="inlineStr">
        <is>
          <t>SKÅNE LÄN</t>
        </is>
      </c>
      <c r="E1140" t="inlineStr">
        <is>
          <t>HÄSSLEHOLM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1886-2025</t>
        </is>
      </c>
      <c r="B1141" s="1" t="n">
        <v>45671</v>
      </c>
      <c r="C1141" s="1" t="n">
        <v>45994</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15536-2025</t>
        </is>
      </c>
      <c r="B1142" s="1" t="n">
        <v>45747</v>
      </c>
      <c r="C1142" s="1" t="n">
        <v>45994</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24904-2025</t>
        </is>
      </c>
      <c r="B1143" s="1" t="n">
        <v>45799</v>
      </c>
      <c r="C1143" s="1" t="n">
        <v>45994</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58689-2025</t>
        </is>
      </c>
      <c r="B1144" s="1" t="n">
        <v>45986</v>
      </c>
      <c r="C1144" s="1" t="n">
        <v>45994</v>
      </c>
      <c r="D1144" t="inlineStr">
        <is>
          <t>SKÅNE LÄN</t>
        </is>
      </c>
      <c r="E1144" t="inlineStr">
        <is>
          <t>HÄSSLEHOLM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58632-2025</t>
        </is>
      </c>
      <c r="B1145" s="1" t="n">
        <v>45986</v>
      </c>
      <c r="C1145" s="1" t="n">
        <v>45994</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49824-2024</t>
        </is>
      </c>
      <c r="B1146" s="1" t="n">
        <v>45597</v>
      </c>
      <c r="C1146" s="1" t="n">
        <v>45994</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54426-2025</t>
        </is>
      </c>
      <c r="B1147" s="1" t="n">
        <v>45965</v>
      </c>
      <c r="C1147" s="1" t="n">
        <v>45994</v>
      </c>
      <c r="D1147" t="inlineStr">
        <is>
          <t>SKÅNE LÄN</t>
        </is>
      </c>
      <c r="E1147" t="inlineStr">
        <is>
          <t>HÄSSLEHOLM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50676-2025</t>
        </is>
      </c>
      <c r="B1148" s="1" t="n">
        <v>45945</v>
      </c>
      <c r="C1148" s="1" t="n">
        <v>45994</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50678-2025</t>
        </is>
      </c>
      <c r="B1149" s="1" t="n">
        <v>45945</v>
      </c>
      <c r="C1149" s="1" t="n">
        <v>45994</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50677-2025</t>
        </is>
      </c>
      <c r="B1150" s="1" t="n">
        <v>45945</v>
      </c>
      <c r="C1150" s="1" t="n">
        <v>45994</v>
      </c>
      <c r="D1150" t="inlineStr">
        <is>
          <t>SKÅNE LÄN</t>
        </is>
      </c>
      <c r="E1150" t="inlineStr">
        <is>
          <t>HÄSSLEHOLM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30109-2025</t>
        </is>
      </c>
      <c r="B1151" s="1" t="n">
        <v>45826</v>
      </c>
      <c r="C1151" s="1" t="n">
        <v>45994</v>
      </c>
      <c r="D1151" t="inlineStr">
        <is>
          <t>SKÅNE LÄN</t>
        </is>
      </c>
      <c r="E1151" t="inlineStr">
        <is>
          <t>HÄSSLEHOLM</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50834-2025</t>
        </is>
      </c>
      <c r="B1152" s="1" t="n">
        <v>45946.55746527778</v>
      </c>
      <c r="C1152" s="1" t="n">
        <v>45994</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50872-2025</t>
        </is>
      </c>
      <c r="B1153" s="1" t="n">
        <v>45946</v>
      </c>
      <c r="C1153" s="1" t="n">
        <v>45994</v>
      </c>
      <c r="D1153" t="inlineStr">
        <is>
          <t>SKÅNE LÄN</t>
        </is>
      </c>
      <c r="E1153" t="inlineStr">
        <is>
          <t>HÄSSLEHOLM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51024-2025</t>
        </is>
      </c>
      <c r="B1154" s="1" t="n">
        <v>45947.395</v>
      </c>
      <c r="C1154" s="1" t="n">
        <v>45994</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55569-2025</t>
        </is>
      </c>
      <c r="B1155" s="1" t="n">
        <v>45971</v>
      </c>
      <c r="C1155" s="1" t="n">
        <v>45994</v>
      </c>
      <c r="D1155" t="inlineStr">
        <is>
          <t>SKÅNE LÄN</t>
        </is>
      </c>
      <c r="E1155" t="inlineStr">
        <is>
          <t>HÄSSLEHOLM</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50839-2025</t>
        </is>
      </c>
      <c r="B1156" s="1" t="n">
        <v>45946</v>
      </c>
      <c r="C1156" s="1" t="n">
        <v>45994</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50829-2025</t>
        </is>
      </c>
      <c r="B1157" s="1" t="n">
        <v>45946.55309027778</v>
      </c>
      <c r="C1157" s="1" t="n">
        <v>45994</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58933-2025</t>
        </is>
      </c>
      <c r="B1158" s="1" t="n">
        <v>45987.56107638889</v>
      </c>
      <c r="C1158" s="1" t="n">
        <v>45994</v>
      </c>
      <c r="D1158" t="inlineStr">
        <is>
          <t>SKÅNE LÄN</t>
        </is>
      </c>
      <c r="E1158" t="inlineStr">
        <is>
          <t>HÄSSLEHOLM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51097-2025</t>
        </is>
      </c>
      <c r="B1159" s="1" t="n">
        <v>45947.48018518519</v>
      </c>
      <c r="C1159" s="1" t="n">
        <v>45994</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59722-2025</t>
        </is>
      </c>
      <c r="B1160" s="1" t="n">
        <v>45992.5474537037</v>
      </c>
      <c r="C1160" s="1" t="n">
        <v>45994</v>
      </c>
      <c r="D1160" t="inlineStr">
        <is>
          <t>SKÅNE LÄN</t>
        </is>
      </c>
      <c r="E1160" t="inlineStr">
        <is>
          <t>HÄSSLEHOLM</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51597-2025</t>
        </is>
      </c>
      <c r="B1161" s="1" t="n">
        <v>45951.37163194444</v>
      </c>
      <c r="C1161" s="1" t="n">
        <v>45994</v>
      </c>
      <c r="D1161" t="inlineStr">
        <is>
          <t>SKÅNE LÄN</t>
        </is>
      </c>
      <c r="E1161" t="inlineStr">
        <is>
          <t>HÄSSLEHOLM</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51795-2025</t>
        </is>
      </c>
      <c r="B1162" s="1" t="n">
        <v>45951</v>
      </c>
      <c r="C1162" s="1" t="n">
        <v>45994</v>
      </c>
      <c r="D1162" t="inlineStr">
        <is>
          <t>SKÅNE LÄN</t>
        </is>
      </c>
      <c r="E1162" t="inlineStr">
        <is>
          <t>HÄSSLEHOLM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51796-2025</t>
        </is>
      </c>
      <c r="B1163" s="1" t="n">
        <v>45951.74546296296</v>
      </c>
      <c r="C1163" s="1" t="n">
        <v>45994</v>
      </c>
      <c r="D1163" t="inlineStr">
        <is>
          <t>SKÅNE LÄN</t>
        </is>
      </c>
      <c r="E1163" t="inlineStr">
        <is>
          <t>HÄSSLEHOLM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53056-2025</t>
        </is>
      </c>
      <c r="B1164" s="1" t="n">
        <v>45958.36518518518</v>
      </c>
      <c r="C1164" s="1" t="n">
        <v>45994</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c r="A1165" t="inlineStr">
        <is>
          <t>A 51640-2025</t>
        </is>
      </c>
      <c r="B1165" s="1" t="n">
        <v>45951.44361111111</v>
      </c>
      <c r="C1165" s="1" t="n">
        <v>45994</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2025-12-03T10:24:38Z</dcterms:created>
  <dcterms:modified xmlns:dcterms="http://purl.org/dc/terms/" xmlns:xsi="http://www.w3.org/2001/XMLSchema-instance" xsi:type="dcterms:W3CDTF">2025-12-03T10:24:39Z</dcterms:modified>
</cp:coreProperties>
</file>