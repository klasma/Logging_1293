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45669</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45669</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45669</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45669</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45669</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45669</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45669</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45669</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45669</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45669</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45669</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45669</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41120-2019</t>
        </is>
      </c>
      <c r="B17" s="1" t="n">
        <v>43698</v>
      </c>
      <c r="C17" s="1" t="n">
        <v>45669</v>
      </c>
      <c r="D17" t="inlineStr">
        <is>
          <t>SKÅNE LÄN</t>
        </is>
      </c>
      <c r="E17" t="inlineStr">
        <is>
          <t>HÄSSLEHOLM</t>
        </is>
      </c>
      <c r="G17" t="n">
        <v>7.9</v>
      </c>
      <c r="H17" t="n">
        <v>0</v>
      </c>
      <c r="I17" t="n">
        <v>0</v>
      </c>
      <c r="J17" t="n">
        <v>0</v>
      </c>
      <c r="K17" t="n">
        <v>1</v>
      </c>
      <c r="L17" t="n">
        <v>0</v>
      </c>
      <c r="M17" t="n">
        <v>0</v>
      </c>
      <c r="N17" t="n">
        <v>0</v>
      </c>
      <c r="O17" t="n">
        <v>1</v>
      </c>
      <c r="P17" t="n">
        <v>1</v>
      </c>
      <c r="Q17" t="n">
        <v>1</v>
      </c>
      <c r="R17" s="2" t="inlineStr">
        <is>
          <t>Småvänderot</t>
        </is>
      </c>
      <c r="S17">
        <f>HYPERLINK("https://klasma.github.io/Logging_1293/artfynd/A 41120-2019 artfynd.xlsx", "A 41120-2019")</f>
        <v/>
      </c>
      <c r="T17">
        <f>HYPERLINK("https://klasma.github.io/Logging_1293/kartor/A 41120-2019 karta.png", "A 41120-2019")</f>
        <v/>
      </c>
      <c r="V17">
        <f>HYPERLINK("https://klasma.github.io/Logging_1293/klagomål/A 41120-2019 FSC-klagomål.docx", "A 41120-2019")</f>
        <v/>
      </c>
      <c r="W17">
        <f>HYPERLINK("https://klasma.github.io/Logging_1293/klagomålsmail/A 41120-2019 FSC-klagomål mail.docx", "A 41120-2019")</f>
        <v/>
      </c>
      <c r="X17">
        <f>HYPERLINK("https://klasma.github.io/Logging_1293/tillsyn/A 41120-2019 tillsynsbegäran.docx", "A 41120-2019")</f>
        <v/>
      </c>
      <c r="Y17">
        <f>HYPERLINK("https://klasma.github.io/Logging_1293/tillsynsmail/A 41120-2019 tillsynsbegäran mail.docx", "A 41120-2019")</f>
        <v/>
      </c>
    </row>
    <row r="18" ht="15" customHeight="1">
      <c r="A18" t="inlineStr">
        <is>
          <t>A 47468-2019</t>
        </is>
      </c>
      <c r="B18" s="1" t="n">
        <v>43724</v>
      </c>
      <c r="C18" s="1" t="n">
        <v>45669</v>
      </c>
      <c r="D18" t="inlineStr">
        <is>
          <t>SKÅNE LÄN</t>
        </is>
      </c>
      <c r="E18" t="inlineStr">
        <is>
          <t>HÄSSLEHOLM</t>
        </is>
      </c>
      <c r="G18" t="n">
        <v>3.3</v>
      </c>
      <c r="H18" t="n">
        <v>1</v>
      </c>
      <c r="I18" t="n">
        <v>0</v>
      </c>
      <c r="J18" t="n">
        <v>0</v>
      </c>
      <c r="K18" t="n">
        <v>0</v>
      </c>
      <c r="L18" t="n">
        <v>0</v>
      </c>
      <c r="M18" t="n">
        <v>0</v>
      </c>
      <c r="N18" t="n">
        <v>0</v>
      </c>
      <c r="O18" t="n">
        <v>0</v>
      </c>
      <c r="P18" t="n">
        <v>0</v>
      </c>
      <c r="Q18" t="n">
        <v>1</v>
      </c>
      <c r="R18" s="2" t="inlineStr">
        <is>
          <t>Gullviva</t>
        </is>
      </c>
      <c r="S18">
        <f>HYPERLINK("https://klasma.github.io/Logging_1293/artfynd/A 47468-2019 artfynd.xlsx", "A 47468-2019")</f>
        <v/>
      </c>
      <c r="T18">
        <f>HYPERLINK("https://klasma.github.io/Logging_1293/kartor/A 47468-2019 karta.png", "A 47468-2019")</f>
        <v/>
      </c>
      <c r="V18">
        <f>HYPERLINK("https://klasma.github.io/Logging_1293/klagomål/A 47468-2019 FSC-klagomål.docx", "A 47468-2019")</f>
        <v/>
      </c>
      <c r="W18">
        <f>HYPERLINK("https://klasma.github.io/Logging_1293/klagomålsmail/A 47468-2019 FSC-klagomål mail.docx", "A 47468-2019")</f>
        <v/>
      </c>
      <c r="X18">
        <f>HYPERLINK("https://klasma.github.io/Logging_1293/tillsyn/A 47468-2019 tillsynsbegäran.docx", "A 47468-2019")</f>
        <v/>
      </c>
      <c r="Y18">
        <f>HYPERLINK("https://klasma.github.io/Logging_1293/tillsynsmail/A 47468-2019 tillsynsbegäran mail.docx", "A 47468-2019")</f>
        <v/>
      </c>
    </row>
    <row r="19" ht="15" customHeight="1">
      <c r="A19" t="inlineStr">
        <is>
          <t>A 47678-2019</t>
        </is>
      </c>
      <c r="B19" s="1" t="n">
        <v>43724</v>
      </c>
      <c r="C19" s="1" t="n">
        <v>45669</v>
      </c>
      <c r="D19" t="inlineStr">
        <is>
          <t>SKÅNE LÄN</t>
        </is>
      </c>
      <c r="E19" t="inlineStr">
        <is>
          <t>HÄSSLEHOLM</t>
        </is>
      </c>
      <c r="G19" t="n">
        <v>3.7</v>
      </c>
      <c r="H19" t="n">
        <v>0</v>
      </c>
      <c r="I19" t="n">
        <v>0</v>
      </c>
      <c r="J19" t="n">
        <v>1</v>
      </c>
      <c r="K19" t="n">
        <v>0</v>
      </c>
      <c r="L19" t="n">
        <v>0</v>
      </c>
      <c r="M19" t="n">
        <v>0</v>
      </c>
      <c r="N19" t="n">
        <v>0</v>
      </c>
      <c r="O19" t="n">
        <v>1</v>
      </c>
      <c r="P19" t="n">
        <v>0</v>
      </c>
      <c r="Q19" t="n">
        <v>1</v>
      </c>
      <c r="R19" s="2" t="inlineStr">
        <is>
          <t>Nålbjörnbär</t>
        </is>
      </c>
      <c r="S19">
        <f>HYPERLINK("https://klasma.github.io/Logging_1293/artfynd/A 47678-2019 artfynd.xlsx", "A 47678-2019")</f>
        <v/>
      </c>
      <c r="T19">
        <f>HYPERLINK("https://klasma.github.io/Logging_1293/kartor/A 47678-2019 karta.png", "A 47678-2019")</f>
        <v/>
      </c>
      <c r="V19">
        <f>HYPERLINK("https://klasma.github.io/Logging_1293/klagomål/A 47678-2019 FSC-klagomål.docx", "A 47678-2019")</f>
        <v/>
      </c>
      <c r="W19">
        <f>HYPERLINK("https://klasma.github.io/Logging_1293/klagomålsmail/A 47678-2019 FSC-klagomål mail.docx", "A 47678-2019")</f>
        <v/>
      </c>
      <c r="X19">
        <f>HYPERLINK("https://klasma.github.io/Logging_1293/tillsyn/A 47678-2019 tillsynsbegäran.docx", "A 47678-2019")</f>
        <v/>
      </c>
      <c r="Y19">
        <f>HYPERLINK("https://klasma.github.io/Logging_1293/tillsynsmail/A 47678-2019 tillsynsbegäran mail.docx", "A 47678-2019")</f>
        <v/>
      </c>
    </row>
    <row r="20" ht="15" customHeight="1">
      <c r="A20" t="inlineStr">
        <is>
          <t>A 55656-2019</t>
        </is>
      </c>
      <c r="B20" s="1" t="n">
        <v>43760</v>
      </c>
      <c r="C20" s="1" t="n">
        <v>45669</v>
      </c>
      <c r="D20" t="inlineStr">
        <is>
          <t>SKÅNE LÄN</t>
        </is>
      </c>
      <c r="E20" t="inlineStr">
        <is>
          <t>HÄSSLEHOLM</t>
        </is>
      </c>
      <c r="G20" t="n">
        <v>1.8</v>
      </c>
      <c r="H20" t="n">
        <v>1</v>
      </c>
      <c r="I20" t="n">
        <v>0</v>
      </c>
      <c r="J20" t="n">
        <v>0</v>
      </c>
      <c r="K20" t="n">
        <v>1</v>
      </c>
      <c r="L20" t="n">
        <v>0</v>
      </c>
      <c r="M20" t="n">
        <v>0</v>
      </c>
      <c r="N20" t="n">
        <v>0</v>
      </c>
      <c r="O20" t="n">
        <v>1</v>
      </c>
      <c r="P20" t="n">
        <v>1</v>
      </c>
      <c r="Q20" t="n">
        <v>1</v>
      </c>
      <c r="R20" s="2" t="inlineStr">
        <is>
          <t>Hedblomster</t>
        </is>
      </c>
      <c r="S20">
        <f>HYPERLINK("https://klasma.github.io/Logging_1293/artfynd/A 55656-2019 artfynd.xlsx", "A 55656-2019")</f>
        <v/>
      </c>
      <c r="T20">
        <f>HYPERLINK("https://klasma.github.io/Logging_1293/kartor/A 55656-2019 karta.png", "A 55656-2019")</f>
        <v/>
      </c>
      <c r="V20">
        <f>HYPERLINK("https://klasma.github.io/Logging_1293/klagomål/A 55656-2019 FSC-klagomål.docx", "A 55656-2019")</f>
        <v/>
      </c>
      <c r="W20">
        <f>HYPERLINK("https://klasma.github.io/Logging_1293/klagomålsmail/A 55656-2019 FSC-klagomål mail.docx", "A 55656-2019")</f>
        <v/>
      </c>
      <c r="X20">
        <f>HYPERLINK("https://klasma.github.io/Logging_1293/tillsyn/A 55656-2019 tillsynsbegäran.docx", "A 55656-2019")</f>
        <v/>
      </c>
      <c r="Y20">
        <f>HYPERLINK("https://klasma.github.io/Logging_1293/tillsynsmail/A 55656-2019 tillsynsbegäran mail.docx", "A 55656-2019")</f>
        <v/>
      </c>
    </row>
    <row r="21" ht="15" customHeight="1">
      <c r="A21" t="inlineStr">
        <is>
          <t>A 57275-2019</t>
        </is>
      </c>
      <c r="B21" s="1" t="n">
        <v>43760</v>
      </c>
      <c r="C21" s="1" t="n">
        <v>45669</v>
      </c>
      <c r="D21" t="inlineStr">
        <is>
          <t>SKÅNE LÄN</t>
        </is>
      </c>
      <c r="E21" t="inlineStr">
        <is>
          <t>HÄSSLEHOLM</t>
        </is>
      </c>
      <c r="G21" t="n">
        <v>0.6</v>
      </c>
      <c r="H21" t="n">
        <v>0</v>
      </c>
      <c r="I21" t="n">
        <v>0</v>
      </c>
      <c r="J21" t="n">
        <v>0</v>
      </c>
      <c r="K21" t="n">
        <v>1</v>
      </c>
      <c r="L21" t="n">
        <v>0</v>
      </c>
      <c r="M21" t="n">
        <v>0</v>
      </c>
      <c r="N21" t="n">
        <v>0</v>
      </c>
      <c r="O21" t="n">
        <v>1</v>
      </c>
      <c r="P21" t="n">
        <v>1</v>
      </c>
      <c r="Q21" t="n">
        <v>1</v>
      </c>
      <c r="R21" s="2" t="inlineStr">
        <is>
          <t>Småvänderot</t>
        </is>
      </c>
      <c r="S21">
        <f>HYPERLINK("https://klasma.github.io/Logging_1293/artfynd/A 57275-2019 artfynd.xlsx", "A 57275-2019")</f>
        <v/>
      </c>
      <c r="T21">
        <f>HYPERLINK("https://klasma.github.io/Logging_1293/kartor/A 57275-2019 karta.png", "A 57275-2019")</f>
        <v/>
      </c>
      <c r="V21">
        <f>HYPERLINK("https://klasma.github.io/Logging_1293/klagomål/A 57275-2019 FSC-klagomål.docx", "A 57275-2019")</f>
        <v/>
      </c>
      <c r="W21">
        <f>HYPERLINK("https://klasma.github.io/Logging_1293/klagomålsmail/A 57275-2019 FSC-klagomål mail.docx", "A 57275-2019")</f>
        <v/>
      </c>
      <c r="X21">
        <f>HYPERLINK("https://klasma.github.io/Logging_1293/tillsyn/A 57275-2019 tillsynsbegäran.docx", "A 57275-2019")</f>
        <v/>
      </c>
      <c r="Y21">
        <f>HYPERLINK("https://klasma.github.io/Logging_1293/tillsynsmail/A 57275-2019 tillsynsbegäran mail.docx", "A 57275-2019")</f>
        <v/>
      </c>
    </row>
    <row r="22" ht="15" customHeight="1">
      <c r="A22" t="inlineStr">
        <is>
          <t>A 2738-2020</t>
        </is>
      </c>
      <c r="B22" s="1" t="n">
        <v>43843</v>
      </c>
      <c r="C22" s="1" t="n">
        <v>45669</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2738-2020 artfynd.xlsx", "A 2738-2020")</f>
        <v/>
      </c>
      <c r="T22">
        <f>HYPERLINK("https://klasma.github.io/Logging_1293/kartor/A 2738-2020 karta.png", "A 2738-2020")</f>
        <v/>
      </c>
      <c r="V22">
        <f>HYPERLINK("https://klasma.github.io/Logging_1293/klagomål/A 2738-2020 FSC-klagomål.docx", "A 2738-2020")</f>
        <v/>
      </c>
      <c r="W22">
        <f>HYPERLINK("https://klasma.github.io/Logging_1293/klagomålsmail/A 2738-2020 FSC-klagomål mail.docx", "A 2738-2020")</f>
        <v/>
      </c>
      <c r="X22">
        <f>HYPERLINK("https://klasma.github.io/Logging_1293/tillsyn/A 2738-2020 tillsynsbegäran.docx", "A 2738-2020")</f>
        <v/>
      </c>
      <c r="Y22">
        <f>HYPERLINK("https://klasma.github.io/Logging_1293/tillsynsmail/A 2738-2020 tillsynsbegäran mail.docx", "A 2738-2020")</f>
        <v/>
      </c>
    </row>
    <row r="23" ht="15" customHeight="1">
      <c r="A23" t="inlineStr">
        <is>
          <t>A 15862-2020</t>
        </is>
      </c>
      <c r="B23" s="1" t="n">
        <v>43910</v>
      </c>
      <c r="C23" s="1" t="n">
        <v>45669</v>
      </c>
      <c r="D23" t="inlineStr">
        <is>
          <t>SKÅNE LÄN</t>
        </is>
      </c>
      <c r="E23" t="inlineStr">
        <is>
          <t>HÄSSLEHOLM</t>
        </is>
      </c>
      <c r="G23" t="n">
        <v>10.3</v>
      </c>
      <c r="H23" t="n">
        <v>0</v>
      </c>
      <c r="I23" t="n">
        <v>0</v>
      </c>
      <c r="J23" t="n">
        <v>1</v>
      </c>
      <c r="K23" t="n">
        <v>0</v>
      </c>
      <c r="L23" t="n">
        <v>0</v>
      </c>
      <c r="M23" t="n">
        <v>0</v>
      </c>
      <c r="N23" t="n">
        <v>0</v>
      </c>
      <c r="O23" t="n">
        <v>1</v>
      </c>
      <c r="P23" t="n">
        <v>0</v>
      </c>
      <c r="Q23" t="n">
        <v>1</v>
      </c>
      <c r="R23" s="2" t="inlineStr">
        <is>
          <t>Sydlig sotticka</t>
        </is>
      </c>
      <c r="S23">
        <f>HYPERLINK("https://klasma.github.io/Logging_1293/artfynd/A 15862-2020 artfynd.xlsx", "A 15862-2020")</f>
        <v/>
      </c>
      <c r="T23">
        <f>HYPERLINK("https://klasma.github.io/Logging_1293/kartor/A 15862-2020 karta.png", "A 15862-2020")</f>
        <v/>
      </c>
      <c r="V23">
        <f>HYPERLINK("https://klasma.github.io/Logging_1293/klagomål/A 15862-2020 FSC-klagomål.docx", "A 15862-2020")</f>
        <v/>
      </c>
      <c r="W23">
        <f>HYPERLINK("https://klasma.github.io/Logging_1293/klagomålsmail/A 15862-2020 FSC-klagomål mail.docx", "A 15862-2020")</f>
        <v/>
      </c>
      <c r="X23">
        <f>HYPERLINK("https://klasma.github.io/Logging_1293/tillsyn/A 15862-2020 tillsynsbegäran.docx", "A 15862-2020")</f>
        <v/>
      </c>
      <c r="Y23">
        <f>HYPERLINK("https://klasma.github.io/Logging_1293/tillsynsmail/A 15862-2020 tillsynsbegäran mail.docx", "A 15862-2020")</f>
        <v/>
      </c>
    </row>
    <row r="24" ht="15" customHeight="1">
      <c r="A24" t="inlineStr">
        <is>
          <t>A 62434-2020</t>
        </is>
      </c>
      <c r="B24" s="1" t="n">
        <v>44159</v>
      </c>
      <c r="C24" s="1" t="n">
        <v>45669</v>
      </c>
      <c r="D24" t="inlineStr">
        <is>
          <t>SKÅNE LÄN</t>
        </is>
      </c>
      <c r="E24" t="inlineStr">
        <is>
          <t>HÄSSLEHOLM</t>
        </is>
      </c>
      <c r="G24" t="n">
        <v>2</v>
      </c>
      <c r="H24" t="n">
        <v>0</v>
      </c>
      <c r="I24" t="n">
        <v>0</v>
      </c>
      <c r="J24" t="n">
        <v>1</v>
      </c>
      <c r="K24" t="n">
        <v>0</v>
      </c>
      <c r="L24" t="n">
        <v>0</v>
      </c>
      <c r="M24" t="n">
        <v>0</v>
      </c>
      <c r="N24" t="n">
        <v>0</v>
      </c>
      <c r="O24" t="n">
        <v>1</v>
      </c>
      <c r="P24" t="n">
        <v>0</v>
      </c>
      <c r="Q24" t="n">
        <v>1</v>
      </c>
      <c r="R24" s="2" t="inlineStr">
        <is>
          <t>Borsttåg</t>
        </is>
      </c>
      <c r="S24">
        <f>HYPERLINK("https://klasma.github.io/Logging_1293/artfynd/A 62434-2020 artfynd.xlsx", "A 62434-2020")</f>
        <v/>
      </c>
      <c r="T24">
        <f>HYPERLINK("https://klasma.github.io/Logging_1293/kartor/A 62434-2020 karta.png", "A 62434-2020")</f>
        <v/>
      </c>
      <c r="V24">
        <f>HYPERLINK("https://klasma.github.io/Logging_1293/klagomål/A 62434-2020 FSC-klagomål.docx", "A 62434-2020")</f>
        <v/>
      </c>
      <c r="W24">
        <f>HYPERLINK("https://klasma.github.io/Logging_1293/klagomålsmail/A 62434-2020 FSC-klagomål mail.docx", "A 62434-2020")</f>
        <v/>
      </c>
      <c r="X24">
        <f>HYPERLINK("https://klasma.github.io/Logging_1293/tillsyn/A 62434-2020 tillsynsbegäran.docx", "A 62434-2020")</f>
        <v/>
      </c>
      <c r="Y24">
        <f>HYPERLINK("https://klasma.github.io/Logging_1293/tillsynsmail/A 62434-2020 tillsynsbegäran mail.docx", "A 62434-2020")</f>
        <v/>
      </c>
    </row>
    <row r="25" ht="15" customHeight="1">
      <c r="A25" t="inlineStr">
        <is>
          <t>A 44705-2021</t>
        </is>
      </c>
      <c r="B25" s="1" t="n">
        <v>44438</v>
      </c>
      <c r="C25" s="1" t="n">
        <v>45669</v>
      </c>
      <c r="D25" t="inlineStr">
        <is>
          <t>SKÅNE LÄN</t>
        </is>
      </c>
      <c r="E25" t="inlineStr">
        <is>
          <t>HÄSSLEHOLM</t>
        </is>
      </c>
      <c r="G25" t="n">
        <v>1.7</v>
      </c>
      <c r="H25" t="n">
        <v>0</v>
      </c>
      <c r="I25" t="n">
        <v>1</v>
      </c>
      <c r="J25" t="n">
        <v>0</v>
      </c>
      <c r="K25" t="n">
        <v>0</v>
      </c>
      <c r="L25" t="n">
        <v>0</v>
      </c>
      <c r="M25" t="n">
        <v>0</v>
      </c>
      <c r="N25" t="n">
        <v>0</v>
      </c>
      <c r="O25" t="n">
        <v>0</v>
      </c>
      <c r="P25" t="n">
        <v>0</v>
      </c>
      <c r="Q25" t="n">
        <v>1</v>
      </c>
      <c r="R25" s="2" t="inlineStr">
        <is>
          <t>Blåmossa</t>
        </is>
      </c>
      <c r="S25">
        <f>HYPERLINK("https://klasma.github.io/Logging_1293/artfynd/A 44705-2021 artfynd.xlsx", "A 44705-2021")</f>
        <v/>
      </c>
      <c r="T25">
        <f>HYPERLINK("https://klasma.github.io/Logging_1293/kartor/A 44705-2021 karta.png", "A 44705-2021")</f>
        <v/>
      </c>
      <c r="V25">
        <f>HYPERLINK("https://klasma.github.io/Logging_1293/klagomål/A 44705-2021 FSC-klagomål.docx", "A 44705-2021")</f>
        <v/>
      </c>
      <c r="W25">
        <f>HYPERLINK("https://klasma.github.io/Logging_1293/klagomålsmail/A 44705-2021 FSC-klagomål mail.docx", "A 44705-2021")</f>
        <v/>
      </c>
      <c r="X25">
        <f>HYPERLINK("https://klasma.github.io/Logging_1293/tillsyn/A 44705-2021 tillsynsbegäran.docx", "A 44705-2021")</f>
        <v/>
      </c>
      <c r="Y25">
        <f>HYPERLINK("https://klasma.github.io/Logging_1293/tillsynsmail/A 44705-2021 tillsynsbegäran mail.docx", "A 44705-2021")</f>
        <v/>
      </c>
    </row>
    <row r="26" ht="15" customHeight="1">
      <c r="A26" t="inlineStr">
        <is>
          <t>A 6350-2022</t>
        </is>
      </c>
      <c r="B26" s="1" t="n">
        <v>44600</v>
      </c>
      <c r="C26" s="1" t="n">
        <v>45669</v>
      </c>
      <c r="D26" t="inlineStr">
        <is>
          <t>SKÅNE LÄN</t>
        </is>
      </c>
      <c r="E26" t="inlineStr">
        <is>
          <t>HÄSSLEHOLM</t>
        </is>
      </c>
      <c r="G26" t="n">
        <v>6.1</v>
      </c>
      <c r="H26" t="n">
        <v>1</v>
      </c>
      <c r="I26" t="n">
        <v>1</v>
      </c>
      <c r="J26" t="n">
        <v>0</v>
      </c>
      <c r="K26" t="n">
        <v>0</v>
      </c>
      <c r="L26" t="n">
        <v>0</v>
      </c>
      <c r="M26" t="n">
        <v>0</v>
      </c>
      <c r="N26" t="n">
        <v>0</v>
      </c>
      <c r="O26" t="n">
        <v>0</v>
      </c>
      <c r="P26" t="n">
        <v>0</v>
      </c>
      <c r="Q26" t="n">
        <v>1</v>
      </c>
      <c r="R26" s="2" t="inlineStr">
        <is>
          <t>Skogsknipprot</t>
        </is>
      </c>
      <c r="S26">
        <f>HYPERLINK("https://klasma.github.io/Logging_1293/artfynd/A 6350-2022 artfynd.xlsx", "A 6350-2022")</f>
        <v/>
      </c>
      <c r="T26">
        <f>HYPERLINK("https://klasma.github.io/Logging_1293/kartor/A 6350-2022 karta.png", "A 6350-2022")</f>
        <v/>
      </c>
      <c r="V26">
        <f>HYPERLINK("https://klasma.github.io/Logging_1293/klagomål/A 6350-2022 FSC-klagomål.docx", "A 6350-2022")</f>
        <v/>
      </c>
      <c r="W26">
        <f>HYPERLINK("https://klasma.github.io/Logging_1293/klagomålsmail/A 6350-2022 FSC-klagomål mail.docx", "A 6350-2022")</f>
        <v/>
      </c>
      <c r="X26">
        <f>HYPERLINK("https://klasma.github.io/Logging_1293/tillsyn/A 6350-2022 tillsynsbegäran.docx", "A 6350-2022")</f>
        <v/>
      </c>
      <c r="Y26">
        <f>HYPERLINK("https://klasma.github.io/Logging_1293/tillsynsmail/A 6350-2022 tillsynsbegäran mail.docx", "A 6350-2022")</f>
        <v/>
      </c>
    </row>
    <row r="27" ht="15" customHeight="1">
      <c r="A27" t="inlineStr">
        <is>
          <t>A 13705-2022</t>
        </is>
      </c>
      <c r="B27" s="1" t="n">
        <v>44648</v>
      </c>
      <c r="C27" s="1" t="n">
        <v>45669</v>
      </c>
      <c r="D27" t="inlineStr">
        <is>
          <t>SKÅNE LÄN</t>
        </is>
      </c>
      <c r="E27" t="inlineStr">
        <is>
          <t>HÄSSLEHOLM</t>
        </is>
      </c>
      <c r="G27" t="n">
        <v>1.5</v>
      </c>
      <c r="H27" t="n">
        <v>1</v>
      </c>
      <c r="I27" t="n">
        <v>0</v>
      </c>
      <c r="J27" t="n">
        <v>0</v>
      </c>
      <c r="K27" t="n">
        <v>0</v>
      </c>
      <c r="L27" t="n">
        <v>0</v>
      </c>
      <c r="M27" t="n">
        <v>0</v>
      </c>
      <c r="N27" t="n">
        <v>0</v>
      </c>
      <c r="O27" t="n">
        <v>0</v>
      </c>
      <c r="P27" t="n">
        <v>0</v>
      </c>
      <c r="Q27" t="n">
        <v>1</v>
      </c>
      <c r="R27" s="2" t="inlineStr">
        <is>
          <t>Grönvit nattviol</t>
        </is>
      </c>
      <c r="S27">
        <f>HYPERLINK("https://klasma.github.io/Logging_1293/artfynd/A 13705-2022 artfynd.xlsx", "A 13705-2022")</f>
        <v/>
      </c>
      <c r="T27">
        <f>HYPERLINK("https://klasma.github.io/Logging_1293/kartor/A 13705-2022 karta.png", "A 13705-2022")</f>
        <v/>
      </c>
      <c r="V27">
        <f>HYPERLINK("https://klasma.github.io/Logging_1293/klagomål/A 13705-2022 FSC-klagomål.docx", "A 13705-2022")</f>
        <v/>
      </c>
      <c r="W27">
        <f>HYPERLINK("https://klasma.github.io/Logging_1293/klagomålsmail/A 13705-2022 FSC-klagomål mail.docx", "A 13705-2022")</f>
        <v/>
      </c>
      <c r="X27">
        <f>HYPERLINK("https://klasma.github.io/Logging_1293/tillsyn/A 13705-2022 tillsynsbegäran.docx", "A 13705-2022")</f>
        <v/>
      </c>
      <c r="Y27">
        <f>HYPERLINK("https://klasma.github.io/Logging_1293/tillsynsmail/A 13705-2022 tillsynsbegäran mail.docx", "A 13705-2022")</f>
        <v/>
      </c>
    </row>
    <row r="28" ht="15" customHeight="1">
      <c r="A28" t="inlineStr">
        <is>
          <t>A 27958-2022</t>
        </is>
      </c>
      <c r="B28" s="1" t="n">
        <v>44744</v>
      </c>
      <c r="C28" s="1" t="n">
        <v>45669</v>
      </c>
      <c r="D28" t="inlineStr">
        <is>
          <t>SKÅNE LÄN</t>
        </is>
      </c>
      <c r="E28" t="inlineStr">
        <is>
          <t>HÄSSLEHOLM</t>
        </is>
      </c>
      <c r="G28" t="n">
        <v>3.9</v>
      </c>
      <c r="H28" t="n">
        <v>0</v>
      </c>
      <c r="I28" t="n">
        <v>1</v>
      </c>
      <c r="J28" t="n">
        <v>0</v>
      </c>
      <c r="K28" t="n">
        <v>0</v>
      </c>
      <c r="L28" t="n">
        <v>0</v>
      </c>
      <c r="M28" t="n">
        <v>0</v>
      </c>
      <c r="N28" t="n">
        <v>0</v>
      </c>
      <c r="O28" t="n">
        <v>0</v>
      </c>
      <c r="P28" t="n">
        <v>0</v>
      </c>
      <c r="Q28" t="n">
        <v>1</v>
      </c>
      <c r="R28" s="2" t="inlineStr">
        <is>
          <t>Myskmadra</t>
        </is>
      </c>
      <c r="S28">
        <f>HYPERLINK("https://klasma.github.io/Logging_1293/artfynd/A 27958-2022 artfynd.xlsx", "A 27958-2022")</f>
        <v/>
      </c>
      <c r="T28">
        <f>HYPERLINK("https://klasma.github.io/Logging_1293/kartor/A 27958-2022 karta.png", "A 27958-2022")</f>
        <v/>
      </c>
      <c r="V28">
        <f>HYPERLINK("https://klasma.github.io/Logging_1293/klagomål/A 27958-2022 FSC-klagomål.docx", "A 27958-2022")</f>
        <v/>
      </c>
      <c r="W28">
        <f>HYPERLINK("https://klasma.github.io/Logging_1293/klagomålsmail/A 27958-2022 FSC-klagomål mail.docx", "A 27958-2022")</f>
        <v/>
      </c>
      <c r="X28">
        <f>HYPERLINK("https://klasma.github.io/Logging_1293/tillsyn/A 27958-2022 tillsynsbegäran.docx", "A 27958-2022")</f>
        <v/>
      </c>
      <c r="Y28">
        <f>HYPERLINK("https://klasma.github.io/Logging_1293/tillsynsmail/A 27958-2022 tillsynsbegäran mail.docx", "A 27958-2022")</f>
        <v/>
      </c>
    </row>
    <row r="29" ht="15" customHeight="1">
      <c r="A29" t="inlineStr">
        <is>
          <t>A 39733-2022</t>
        </is>
      </c>
      <c r="B29" s="1" t="n">
        <v>44819</v>
      </c>
      <c r="C29" s="1" t="n">
        <v>45669</v>
      </c>
      <c r="D29" t="inlineStr">
        <is>
          <t>SKÅNE LÄN</t>
        </is>
      </c>
      <c r="E29" t="inlineStr">
        <is>
          <t>HÄSSLEHOLM</t>
        </is>
      </c>
      <c r="G29" t="n">
        <v>1.9</v>
      </c>
      <c r="H29" t="n">
        <v>1</v>
      </c>
      <c r="I29" t="n">
        <v>0</v>
      </c>
      <c r="J29" t="n">
        <v>1</v>
      </c>
      <c r="K29" t="n">
        <v>0</v>
      </c>
      <c r="L29" t="n">
        <v>0</v>
      </c>
      <c r="M29" t="n">
        <v>0</v>
      </c>
      <c r="N29" t="n">
        <v>0</v>
      </c>
      <c r="O29" t="n">
        <v>1</v>
      </c>
      <c r="P29" t="n">
        <v>0</v>
      </c>
      <c r="Q29" t="n">
        <v>1</v>
      </c>
      <c r="R29" s="2" t="inlineStr">
        <is>
          <t>Spillkråka</t>
        </is>
      </c>
      <c r="S29">
        <f>HYPERLINK("https://klasma.github.io/Logging_1293/artfynd/A 39733-2022 artfynd.xlsx", "A 39733-2022")</f>
        <v/>
      </c>
      <c r="T29">
        <f>HYPERLINK("https://klasma.github.io/Logging_1293/kartor/A 39733-2022 karta.png", "A 39733-2022")</f>
        <v/>
      </c>
      <c r="V29">
        <f>HYPERLINK("https://klasma.github.io/Logging_1293/klagomål/A 39733-2022 FSC-klagomål.docx", "A 39733-2022")</f>
        <v/>
      </c>
      <c r="W29">
        <f>HYPERLINK("https://klasma.github.io/Logging_1293/klagomålsmail/A 39733-2022 FSC-klagomål mail.docx", "A 39733-2022")</f>
        <v/>
      </c>
      <c r="X29">
        <f>HYPERLINK("https://klasma.github.io/Logging_1293/tillsyn/A 39733-2022 tillsynsbegäran.docx", "A 39733-2022")</f>
        <v/>
      </c>
      <c r="Y29">
        <f>HYPERLINK("https://klasma.github.io/Logging_1293/tillsynsmail/A 39733-2022 tillsynsbegäran mail.docx", "A 39733-2022")</f>
        <v/>
      </c>
      <c r="Z29">
        <f>HYPERLINK("https://klasma.github.io/Logging_1293/fåglar/A 39733-2022 prioriterade fågelarter.docx", "A 39733-2022")</f>
        <v/>
      </c>
    </row>
    <row r="30" ht="15" customHeight="1">
      <c r="A30" t="inlineStr">
        <is>
          <t>A 49572-2022</t>
        </is>
      </c>
      <c r="B30" s="1" t="n">
        <v>44862</v>
      </c>
      <c r="C30" s="1" t="n">
        <v>45669</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45669</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29272-2023</t>
        </is>
      </c>
      <c r="B32" s="1" t="n">
        <v>45105</v>
      </c>
      <c r="C32" s="1" t="n">
        <v>45669</v>
      </c>
      <c r="D32" t="inlineStr">
        <is>
          <t>SKÅNE LÄN</t>
        </is>
      </c>
      <c r="E32" t="inlineStr">
        <is>
          <t>HÄSSLEHOLM</t>
        </is>
      </c>
      <c r="G32" t="n">
        <v>2.2</v>
      </c>
      <c r="H32" t="n">
        <v>0</v>
      </c>
      <c r="I32" t="n">
        <v>1</v>
      </c>
      <c r="J32" t="n">
        <v>0</v>
      </c>
      <c r="K32" t="n">
        <v>0</v>
      </c>
      <c r="L32" t="n">
        <v>0</v>
      </c>
      <c r="M32" t="n">
        <v>0</v>
      </c>
      <c r="N32" t="n">
        <v>0</v>
      </c>
      <c r="O32" t="n">
        <v>0</v>
      </c>
      <c r="P32" t="n">
        <v>0</v>
      </c>
      <c r="Q32" t="n">
        <v>1</v>
      </c>
      <c r="R32" s="2" t="inlineStr">
        <is>
          <t>Sotlav</t>
        </is>
      </c>
      <c r="S32">
        <f>HYPERLINK("https://klasma.github.io/Logging_1293/artfynd/A 29272-2023 artfynd.xlsx", "A 29272-2023")</f>
        <v/>
      </c>
      <c r="T32">
        <f>HYPERLINK("https://klasma.github.io/Logging_1293/kartor/A 29272-2023 karta.png", "A 29272-2023")</f>
        <v/>
      </c>
      <c r="V32">
        <f>HYPERLINK("https://klasma.github.io/Logging_1293/klagomål/A 29272-2023 FSC-klagomål.docx", "A 29272-2023")</f>
        <v/>
      </c>
      <c r="W32">
        <f>HYPERLINK("https://klasma.github.io/Logging_1293/klagomålsmail/A 29272-2023 FSC-klagomål mail.docx", "A 29272-2023")</f>
        <v/>
      </c>
      <c r="X32">
        <f>HYPERLINK("https://klasma.github.io/Logging_1293/tillsyn/A 29272-2023 tillsynsbegäran.docx", "A 29272-2023")</f>
        <v/>
      </c>
      <c r="Y32">
        <f>HYPERLINK("https://klasma.github.io/Logging_1293/tillsynsmail/A 29272-2023 tillsynsbegäran mail.docx", "A 29272-2023")</f>
        <v/>
      </c>
    </row>
    <row r="33" ht="15" customHeight="1">
      <c r="A33" t="inlineStr">
        <is>
          <t>A 46602-2023</t>
        </is>
      </c>
      <c r="B33" s="1" t="n">
        <v>45194</v>
      </c>
      <c r="C33" s="1" t="n">
        <v>45669</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6634-2024</t>
        </is>
      </c>
      <c r="B34" s="1" t="n">
        <v>45341</v>
      </c>
      <c r="C34" s="1" t="n">
        <v>45669</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7862-2024</t>
        </is>
      </c>
      <c r="B35" s="1" t="n">
        <v>45348</v>
      </c>
      <c r="C35" s="1" t="n">
        <v>45669</v>
      </c>
      <c r="D35" t="inlineStr">
        <is>
          <t>SKÅNE LÄN</t>
        </is>
      </c>
      <c r="E35" t="inlineStr">
        <is>
          <t>HÄSSLEHOLM</t>
        </is>
      </c>
      <c r="G35" t="n">
        <v>5</v>
      </c>
      <c r="H35" t="n">
        <v>0</v>
      </c>
      <c r="I35" t="n">
        <v>1</v>
      </c>
      <c r="J35" t="n">
        <v>0</v>
      </c>
      <c r="K35" t="n">
        <v>0</v>
      </c>
      <c r="L35" t="n">
        <v>0</v>
      </c>
      <c r="M35" t="n">
        <v>0</v>
      </c>
      <c r="N35" t="n">
        <v>0</v>
      </c>
      <c r="O35" t="n">
        <v>0</v>
      </c>
      <c r="P35" t="n">
        <v>0</v>
      </c>
      <c r="Q35" t="n">
        <v>1</v>
      </c>
      <c r="R35" s="2" t="inlineStr">
        <is>
          <t>Stor revmossa</t>
        </is>
      </c>
      <c r="S35">
        <f>HYPERLINK("https://klasma.github.io/Logging_1293/artfynd/A 7862-2024 artfynd.xlsx", "A 7862-2024")</f>
        <v/>
      </c>
      <c r="T35">
        <f>HYPERLINK("https://klasma.github.io/Logging_1293/kartor/A 7862-2024 karta.png", "A 7862-2024")</f>
        <v/>
      </c>
      <c r="V35">
        <f>HYPERLINK("https://klasma.github.io/Logging_1293/klagomål/A 7862-2024 FSC-klagomål.docx", "A 7862-2024")</f>
        <v/>
      </c>
      <c r="W35">
        <f>HYPERLINK("https://klasma.github.io/Logging_1293/klagomålsmail/A 7862-2024 FSC-klagomål mail.docx", "A 7862-2024")</f>
        <v/>
      </c>
      <c r="X35">
        <f>HYPERLINK("https://klasma.github.io/Logging_1293/tillsyn/A 7862-2024 tillsynsbegäran.docx", "A 7862-2024")</f>
        <v/>
      </c>
      <c r="Y35">
        <f>HYPERLINK("https://klasma.github.io/Logging_1293/tillsynsmail/A 7862-2024 tillsynsbegäran mail.docx", "A 7862-2024")</f>
        <v/>
      </c>
    </row>
    <row r="36" ht="15" customHeight="1">
      <c r="A36" t="inlineStr">
        <is>
          <t>A 11226-2024</t>
        </is>
      </c>
      <c r="B36" s="1" t="n">
        <v>45371</v>
      </c>
      <c r="C36" s="1" t="n">
        <v>45669</v>
      </c>
      <c r="D36" t="inlineStr">
        <is>
          <t>SKÅNE LÄN</t>
        </is>
      </c>
      <c r="E36" t="inlineStr">
        <is>
          <t>HÄSSLEHOLM</t>
        </is>
      </c>
      <c r="G36" t="n">
        <v>1.5</v>
      </c>
      <c r="H36" t="n">
        <v>0</v>
      </c>
      <c r="I36" t="n">
        <v>0</v>
      </c>
      <c r="J36" t="n">
        <v>0</v>
      </c>
      <c r="K36" t="n">
        <v>1</v>
      </c>
      <c r="L36" t="n">
        <v>0</v>
      </c>
      <c r="M36" t="n">
        <v>0</v>
      </c>
      <c r="N36" t="n">
        <v>0</v>
      </c>
      <c r="O36" t="n">
        <v>1</v>
      </c>
      <c r="P36" t="n">
        <v>1</v>
      </c>
      <c r="Q36" t="n">
        <v>1</v>
      </c>
      <c r="R36" s="2" t="inlineStr">
        <is>
          <t>Småvänderot</t>
        </is>
      </c>
      <c r="S36">
        <f>HYPERLINK("https://klasma.github.io/Logging_1293/artfynd/A 11226-2024 artfynd.xlsx", "A 11226-2024")</f>
        <v/>
      </c>
      <c r="T36">
        <f>HYPERLINK("https://klasma.github.io/Logging_1293/kartor/A 11226-2024 karta.png", "A 11226-2024")</f>
        <v/>
      </c>
      <c r="V36">
        <f>HYPERLINK("https://klasma.github.io/Logging_1293/klagomål/A 11226-2024 FSC-klagomål.docx", "A 11226-2024")</f>
        <v/>
      </c>
      <c r="W36">
        <f>HYPERLINK("https://klasma.github.io/Logging_1293/klagomålsmail/A 11226-2024 FSC-klagomål mail.docx", "A 11226-2024")</f>
        <v/>
      </c>
      <c r="X36">
        <f>HYPERLINK("https://klasma.github.io/Logging_1293/tillsyn/A 11226-2024 tillsynsbegäran.docx", "A 11226-2024")</f>
        <v/>
      </c>
      <c r="Y36">
        <f>HYPERLINK("https://klasma.github.io/Logging_1293/tillsynsmail/A 11226-2024 tillsynsbegäran mail.docx", "A 11226-2024")</f>
        <v/>
      </c>
    </row>
    <row r="37" ht="15" customHeight="1">
      <c r="A37" t="inlineStr">
        <is>
          <t>A 20679-2024</t>
        </is>
      </c>
      <c r="B37" s="1" t="n">
        <v>45436</v>
      </c>
      <c r="C37" s="1" t="n">
        <v>45669</v>
      </c>
      <c r="D37" t="inlineStr">
        <is>
          <t>SKÅNE LÄN</t>
        </is>
      </c>
      <c r="E37" t="inlineStr">
        <is>
          <t>HÄSSLEHOLM</t>
        </is>
      </c>
      <c r="G37" t="n">
        <v>1.1</v>
      </c>
      <c r="H37" t="n">
        <v>0</v>
      </c>
      <c r="I37" t="n">
        <v>1</v>
      </c>
      <c r="J37" t="n">
        <v>0</v>
      </c>
      <c r="K37" t="n">
        <v>0</v>
      </c>
      <c r="L37" t="n">
        <v>0</v>
      </c>
      <c r="M37" t="n">
        <v>0</v>
      </c>
      <c r="N37" t="n">
        <v>0</v>
      </c>
      <c r="O37" t="n">
        <v>0</v>
      </c>
      <c r="P37" t="n">
        <v>0</v>
      </c>
      <c r="Q37" t="n">
        <v>1</v>
      </c>
      <c r="R37" s="2" t="inlineStr">
        <is>
          <t>Blodticka</t>
        </is>
      </c>
      <c r="S37">
        <f>HYPERLINK("https://klasma.github.io/Logging_1293/artfynd/A 20679-2024 artfynd.xlsx", "A 20679-2024")</f>
        <v/>
      </c>
      <c r="T37">
        <f>HYPERLINK("https://klasma.github.io/Logging_1293/kartor/A 20679-2024 karta.png", "A 20679-2024")</f>
        <v/>
      </c>
      <c r="V37">
        <f>HYPERLINK("https://klasma.github.io/Logging_1293/klagomål/A 20679-2024 FSC-klagomål.docx", "A 20679-2024")</f>
        <v/>
      </c>
      <c r="W37">
        <f>HYPERLINK("https://klasma.github.io/Logging_1293/klagomålsmail/A 20679-2024 FSC-klagomål mail.docx", "A 20679-2024")</f>
        <v/>
      </c>
      <c r="X37">
        <f>HYPERLINK("https://klasma.github.io/Logging_1293/tillsyn/A 20679-2024 tillsynsbegäran.docx", "A 20679-2024")</f>
        <v/>
      </c>
      <c r="Y37">
        <f>HYPERLINK("https://klasma.github.io/Logging_1293/tillsynsmail/A 20679-2024 tillsynsbegäran mail.docx", "A 20679-2024")</f>
        <v/>
      </c>
    </row>
    <row r="38" ht="15" customHeight="1">
      <c r="A38" t="inlineStr">
        <is>
          <t>A 32211-2024</t>
        </is>
      </c>
      <c r="B38" s="1" t="n">
        <v>45511</v>
      </c>
      <c r="C38" s="1" t="n">
        <v>45669</v>
      </c>
      <c r="D38" t="inlineStr">
        <is>
          <t>SKÅNE LÄN</t>
        </is>
      </c>
      <c r="E38" t="inlineStr">
        <is>
          <t>HÄSSLEHOLM</t>
        </is>
      </c>
      <c r="G38" t="n">
        <v>5.1</v>
      </c>
      <c r="H38" t="n">
        <v>1</v>
      </c>
      <c r="I38" t="n">
        <v>0</v>
      </c>
      <c r="J38" t="n">
        <v>0</v>
      </c>
      <c r="K38" t="n">
        <v>0</v>
      </c>
      <c r="L38" t="n">
        <v>0</v>
      </c>
      <c r="M38" t="n">
        <v>0</v>
      </c>
      <c r="N38" t="n">
        <v>0</v>
      </c>
      <c r="O38" t="n">
        <v>0</v>
      </c>
      <c r="P38" t="n">
        <v>0</v>
      </c>
      <c r="Q38" t="n">
        <v>1</v>
      </c>
      <c r="R38" s="2" t="inlineStr">
        <is>
          <t>Lopplummer</t>
        </is>
      </c>
      <c r="S38">
        <f>HYPERLINK("https://klasma.github.io/Logging_1293/artfynd/A 32211-2024 artfynd.xlsx", "A 32211-2024")</f>
        <v/>
      </c>
      <c r="T38">
        <f>HYPERLINK("https://klasma.github.io/Logging_1293/kartor/A 32211-2024 karta.png", "A 32211-2024")</f>
        <v/>
      </c>
      <c r="V38">
        <f>HYPERLINK("https://klasma.github.io/Logging_1293/klagomål/A 32211-2024 FSC-klagomål.docx", "A 32211-2024")</f>
        <v/>
      </c>
      <c r="W38">
        <f>HYPERLINK("https://klasma.github.io/Logging_1293/klagomålsmail/A 32211-2024 FSC-klagomål mail.docx", "A 32211-2024")</f>
        <v/>
      </c>
      <c r="X38">
        <f>HYPERLINK("https://klasma.github.io/Logging_1293/tillsyn/A 32211-2024 tillsynsbegäran.docx", "A 32211-2024")</f>
        <v/>
      </c>
      <c r="Y38">
        <f>HYPERLINK("https://klasma.github.io/Logging_1293/tillsynsmail/A 32211-2024 tillsynsbegäran mail.docx", "A 32211-2024")</f>
        <v/>
      </c>
    </row>
    <row r="39" ht="15" customHeight="1">
      <c r="A39" t="inlineStr">
        <is>
          <t>A 54523-2024</t>
        </is>
      </c>
      <c r="B39" s="1" t="n">
        <v>45617</v>
      </c>
      <c r="C39" s="1" t="n">
        <v>45669</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45669</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45669</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18039-2019</t>
        </is>
      </c>
      <c r="B42" s="1" t="n">
        <v>43557</v>
      </c>
      <c r="C42" s="1" t="n">
        <v>45669</v>
      </c>
      <c r="D42" t="inlineStr">
        <is>
          <t>SKÅNE LÄN</t>
        </is>
      </c>
      <c r="E42" t="inlineStr">
        <is>
          <t>HÄSSLEHOLM</t>
        </is>
      </c>
      <c r="F42" t="inlineStr">
        <is>
          <t>Kommuner</t>
        </is>
      </c>
      <c r="G42" t="n">
        <v>4.5</v>
      </c>
      <c r="H42" t="n">
        <v>0</v>
      </c>
      <c r="I42" t="n">
        <v>0</v>
      </c>
      <c r="J42" t="n">
        <v>0</v>
      </c>
      <c r="K42" t="n">
        <v>0</v>
      </c>
      <c r="L42" t="n">
        <v>0</v>
      </c>
      <c r="M42" t="n">
        <v>0</v>
      </c>
      <c r="N42" t="n">
        <v>0</v>
      </c>
      <c r="O42" t="n">
        <v>0</v>
      </c>
      <c r="P42" t="n">
        <v>0</v>
      </c>
      <c r="Q42" t="n">
        <v>0</v>
      </c>
      <c r="R42" s="2" t="inlineStr"/>
    </row>
    <row r="43" ht="15" customHeight="1">
      <c r="A43" t="inlineStr">
        <is>
          <t>A 18984-2019</t>
        </is>
      </c>
      <c r="B43" s="1" t="n">
        <v>43563</v>
      </c>
      <c r="C43" s="1" t="n">
        <v>45669</v>
      </c>
      <c r="D43" t="inlineStr">
        <is>
          <t>SKÅNE LÄN</t>
        </is>
      </c>
      <c r="E43" t="inlineStr">
        <is>
          <t>HÄSSLEHOLM</t>
        </is>
      </c>
      <c r="F43" t="inlineStr">
        <is>
          <t>Kommuner</t>
        </is>
      </c>
      <c r="G43" t="n">
        <v>1</v>
      </c>
      <c r="H43" t="n">
        <v>0</v>
      </c>
      <c r="I43" t="n">
        <v>0</v>
      </c>
      <c r="J43" t="n">
        <v>0</v>
      </c>
      <c r="K43" t="n">
        <v>0</v>
      </c>
      <c r="L43" t="n">
        <v>0</v>
      </c>
      <c r="M43" t="n">
        <v>0</v>
      </c>
      <c r="N43" t="n">
        <v>0</v>
      </c>
      <c r="O43" t="n">
        <v>0</v>
      </c>
      <c r="P43" t="n">
        <v>0</v>
      </c>
      <c r="Q43" t="n">
        <v>0</v>
      </c>
      <c r="R43" s="2" t="inlineStr"/>
    </row>
    <row r="44" ht="15" customHeight="1">
      <c r="A44" t="inlineStr">
        <is>
          <t>A 18982-2019</t>
        </is>
      </c>
      <c r="B44" s="1" t="n">
        <v>43563</v>
      </c>
      <c r="C44" s="1" t="n">
        <v>45669</v>
      </c>
      <c r="D44" t="inlineStr">
        <is>
          <t>SKÅNE LÄN</t>
        </is>
      </c>
      <c r="E44" t="inlineStr">
        <is>
          <t>HÄSSLEHOLM</t>
        </is>
      </c>
      <c r="F44" t="inlineStr">
        <is>
          <t>Kommuner</t>
        </is>
      </c>
      <c r="G44" t="n">
        <v>1.8</v>
      </c>
      <c r="H44" t="n">
        <v>0</v>
      </c>
      <c r="I44" t="n">
        <v>0</v>
      </c>
      <c r="J44" t="n">
        <v>0</v>
      </c>
      <c r="K44" t="n">
        <v>0</v>
      </c>
      <c r="L44" t="n">
        <v>0</v>
      </c>
      <c r="M44" t="n">
        <v>0</v>
      </c>
      <c r="N44" t="n">
        <v>0</v>
      </c>
      <c r="O44" t="n">
        <v>0</v>
      </c>
      <c r="P44" t="n">
        <v>0</v>
      </c>
      <c r="Q44" t="n">
        <v>0</v>
      </c>
      <c r="R44" s="2" t="inlineStr"/>
    </row>
    <row r="45" ht="15" customHeight="1">
      <c r="A45" t="inlineStr">
        <is>
          <t>A 18911-2019</t>
        </is>
      </c>
      <c r="B45" s="1" t="n">
        <v>43563</v>
      </c>
      <c r="C45" s="1" t="n">
        <v>45669</v>
      </c>
      <c r="D45" t="inlineStr">
        <is>
          <t>SKÅNE LÄN</t>
        </is>
      </c>
      <c r="E45" t="inlineStr">
        <is>
          <t>HÄSSLEHOLM</t>
        </is>
      </c>
      <c r="G45" t="n">
        <v>2.1</v>
      </c>
      <c r="H45" t="n">
        <v>0</v>
      </c>
      <c r="I45" t="n">
        <v>0</v>
      </c>
      <c r="J45" t="n">
        <v>0</v>
      </c>
      <c r="K45" t="n">
        <v>0</v>
      </c>
      <c r="L45" t="n">
        <v>0</v>
      </c>
      <c r="M45" t="n">
        <v>0</v>
      </c>
      <c r="N45" t="n">
        <v>0</v>
      </c>
      <c r="O45" t="n">
        <v>0</v>
      </c>
      <c r="P45" t="n">
        <v>0</v>
      </c>
      <c r="Q45" t="n">
        <v>0</v>
      </c>
      <c r="R45" s="2" t="inlineStr"/>
    </row>
    <row r="46" ht="15" customHeight="1">
      <c r="A46" t="inlineStr">
        <is>
          <t>A 19473-2019</t>
        </is>
      </c>
      <c r="B46" s="1" t="n">
        <v>43565</v>
      </c>
      <c r="C46" s="1" t="n">
        <v>45669</v>
      </c>
      <c r="D46" t="inlineStr">
        <is>
          <t>SKÅNE LÄN</t>
        </is>
      </c>
      <c r="E46" t="inlineStr">
        <is>
          <t>HÄSSLEHOLM</t>
        </is>
      </c>
      <c r="G46" t="n">
        <v>1.5</v>
      </c>
      <c r="H46" t="n">
        <v>0</v>
      </c>
      <c r="I46" t="n">
        <v>0</v>
      </c>
      <c r="J46" t="n">
        <v>0</v>
      </c>
      <c r="K46" t="n">
        <v>0</v>
      </c>
      <c r="L46" t="n">
        <v>0</v>
      </c>
      <c r="M46" t="n">
        <v>0</v>
      </c>
      <c r="N46" t="n">
        <v>0</v>
      </c>
      <c r="O46" t="n">
        <v>0</v>
      </c>
      <c r="P46" t="n">
        <v>0</v>
      </c>
      <c r="Q46" t="n">
        <v>0</v>
      </c>
      <c r="R46" s="2" t="inlineStr"/>
    </row>
    <row r="47" ht="15" customHeight="1">
      <c r="A47" t="inlineStr">
        <is>
          <t>A 20765-2019</t>
        </is>
      </c>
      <c r="B47" s="1" t="n">
        <v>43573</v>
      </c>
      <c r="C47" s="1" t="n">
        <v>45669</v>
      </c>
      <c r="D47" t="inlineStr">
        <is>
          <t>SKÅNE LÄN</t>
        </is>
      </c>
      <c r="E47" t="inlineStr">
        <is>
          <t>HÄSSLEHOLM</t>
        </is>
      </c>
      <c r="G47" t="n">
        <v>0.7</v>
      </c>
      <c r="H47" t="n">
        <v>0</v>
      </c>
      <c r="I47" t="n">
        <v>0</v>
      </c>
      <c r="J47" t="n">
        <v>0</v>
      </c>
      <c r="K47" t="n">
        <v>0</v>
      </c>
      <c r="L47" t="n">
        <v>0</v>
      </c>
      <c r="M47" t="n">
        <v>0</v>
      </c>
      <c r="N47" t="n">
        <v>0</v>
      </c>
      <c r="O47" t="n">
        <v>0</v>
      </c>
      <c r="P47" t="n">
        <v>0</v>
      </c>
      <c r="Q47" t="n">
        <v>0</v>
      </c>
      <c r="R47" s="2" t="inlineStr"/>
    </row>
    <row r="48" ht="15" customHeight="1">
      <c r="A48" t="inlineStr">
        <is>
          <t>A 21534-2019</t>
        </is>
      </c>
      <c r="B48" s="1" t="n">
        <v>43580</v>
      </c>
      <c r="C48" s="1" t="n">
        <v>45669</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21535-2019</t>
        </is>
      </c>
      <c r="B49" s="1" t="n">
        <v>43580</v>
      </c>
      <c r="C49" s="1" t="n">
        <v>45669</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21976-2019</t>
        </is>
      </c>
      <c r="B50" s="1" t="n">
        <v>43584</v>
      </c>
      <c r="C50" s="1" t="n">
        <v>45669</v>
      </c>
      <c r="D50" t="inlineStr">
        <is>
          <t>SKÅNE LÄN</t>
        </is>
      </c>
      <c r="E50" t="inlineStr">
        <is>
          <t>HÄSSLEHOLM</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23006-2019</t>
        </is>
      </c>
      <c r="B51" s="1" t="n">
        <v>43591</v>
      </c>
      <c r="C51" s="1" t="n">
        <v>45669</v>
      </c>
      <c r="D51" t="inlineStr">
        <is>
          <t>SKÅNE LÄN</t>
        </is>
      </c>
      <c r="E51" t="inlineStr">
        <is>
          <t>HÄSSLEHOLM</t>
        </is>
      </c>
      <c r="G51" t="n">
        <v>1.6</v>
      </c>
      <c r="H51" t="n">
        <v>0</v>
      </c>
      <c r="I51" t="n">
        <v>0</v>
      </c>
      <c r="J51" t="n">
        <v>0</v>
      </c>
      <c r="K51" t="n">
        <v>0</v>
      </c>
      <c r="L51" t="n">
        <v>0</v>
      </c>
      <c r="M51" t="n">
        <v>0</v>
      </c>
      <c r="N51" t="n">
        <v>0</v>
      </c>
      <c r="O51" t="n">
        <v>0</v>
      </c>
      <c r="P51" t="n">
        <v>0</v>
      </c>
      <c r="Q51" t="n">
        <v>0</v>
      </c>
      <c r="R51" s="2" t="inlineStr"/>
    </row>
    <row r="52" ht="15" customHeight="1">
      <c r="A52" t="inlineStr">
        <is>
          <t>A 23505-2019</t>
        </is>
      </c>
      <c r="B52" s="1" t="n">
        <v>43593</v>
      </c>
      <c r="C52" s="1" t="n">
        <v>45669</v>
      </c>
      <c r="D52" t="inlineStr">
        <is>
          <t>SKÅNE LÄN</t>
        </is>
      </c>
      <c r="E52" t="inlineStr">
        <is>
          <t>HÄSSLEHOLM</t>
        </is>
      </c>
      <c r="F52" t="inlineStr">
        <is>
          <t>Kyrkan</t>
        </is>
      </c>
      <c r="G52" t="n">
        <v>1.2</v>
      </c>
      <c r="H52" t="n">
        <v>0</v>
      </c>
      <c r="I52" t="n">
        <v>0</v>
      </c>
      <c r="J52" t="n">
        <v>0</v>
      </c>
      <c r="K52" t="n">
        <v>0</v>
      </c>
      <c r="L52" t="n">
        <v>0</v>
      </c>
      <c r="M52" t="n">
        <v>0</v>
      </c>
      <c r="N52" t="n">
        <v>0</v>
      </c>
      <c r="O52" t="n">
        <v>0</v>
      </c>
      <c r="P52" t="n">
        <v>0</v>
      </c>
      <c r="Q52" t="n">
        <v>0</v>
      </c>
      <c r="R52" s="2" t="inlineStr"/>
    </row>
    <row r="53" ht="15" customHeight="1">
      <c r="A53" t="inlineStr">
        <is>
          <t>A 24187-2019</t>
        </is>
      </c>
      <c r="B53" s="1" t="n">
        <v>43599</v>
      </c>
      <c r="C53" s="1" t="n">
        <v>45669</v>
      </c>
      <c r="D53" t="inlineStr">
        <is>
          <t>SKÅNE LÄN</t>
        </is>
      </c>
      <c r="E53" t="inlineStr">
        <is>
          <t>HÄSSLEHOLM</t>
        </is>
      </c>
      <c r="G53" t="n">
        <v>2.3</v>
      </c>
      <c r="H53" t="n">
        <v>0</v>
      </c>
      <c r="I53" t="n">
        <v>0</v>
      </c>
      <c r="J53" t="n">
        <v>0</v>
      </c>
      <c r="K53" t="n">
        <v>0</v>
      </c>
      <c r="L53" t="n">
        <v>0</v>
      </c>
      <c r="M53" t="n">
        <v>0</v>
      </c>
      <c r="N53" t="n">
        <v>0</v>
      </c>
      <c r="O53" t="n">
        <v>0</v>
      </c>
      <c r="P53" t="n">
        <v>0</v>
      </c>
      <c r="Q53" t="n">
        <v>0</v>
      </c>
      <c r="R53" s="2" t="inlineStr"/>
    </row>
    <row r="54" ht="15" customHeight="1">
      <c r="A54" t="inlineStr">
        <is>
          <t>A 24686-2019</t>
        </is>
      </c>
      <c r="B54" s="1" t="n">
        <v>43601</v>
      </c>
      <c r="C54" s="1" t="n">
        <v>45669</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25286-2019</t>
        </is>
      </c>
      <c r="B55" s="1" t="n">
        <v>43605</v>
      </c>
      <c r="C55" s="1" t="n">
        <v>45669</v>
      </c>
      <c r="D55" t="inlineStr">
        <is>
          <t>SKÅNE LÄN</t>
        </is>
      </c>
      <c r="E55" t="inlineStr">
        <is>
          <t>HÄSSLEHOLM</t>
        </is>
      </c>
      <c r="G55" t="n">
        <v>1.3</v>
      </c>
      <c r="H55" t="n">
        <v>0</v>
      </c>
      <c r="I55" t="n">
        <v>0</v>
      </c>
      <c r="J55" t="n">
        <v>0</v>
      </c>
      <c r="K55" t="n">
        <v>0</v>
      </c>
      <c r="L55" t="n">
        <v>0</v>
      </c>
      <c r="M55" t="n">
        <v>0</v>
      </c>
      <c r="N55" t="n">
        <v>0</v>
      </c>
      <c r="O55" t="n">
        <v>0</v>
      </c>
      <c r="P55" t="n">
        <v>0</v>
      </c>
      <c r="Q55" t="n">
        <v>0</v>
      </c>
      <c r="R55" s="2" t="inlineStr"/>
    </row>
    <row r="56" ht="15" customHeight="1">
      <c r="A56" t="inlineStr">
        <is>
          <t>A 25285-2019</t>
        </is>
      </c>
      <c r="B56" s="1" t="n">
        <v>43605</v>
      </c>
      <c r="C56" s="1" t="n">
        <v>45669</v>
      </c>
      <c r="D56" t="inlineStr">
        <is>
          <t>SKÅNE LÄN</t>
        </is>
      </c>
      <c r="E56" t="inlineStr">
        <is>
          <t>HÄSSLEHOLM</t>
        </is>
      </c>
      <c r="G56" t="n">
        <v>25.8</v>
      </c>
      <c r="H56" t="n">
        <v>0</v>
      </c>
      <c r="I56" t="n">
        <v>0</v>
      </c>
      <c r="J56" t="n">
        <v>0</v>
      </c>
      <c r="K56" t="n">
        <v>0</v>
      </c>
      <c r="L56" t="n">
        <v>0</v>
      </c>
      <c r="M56" t="n">
        <v>0</v>
      </c>
      <c r="N56" t="n">
        <v>0</v>
      </c>
      <c r="O56" t="n">
        <v>0</v>
      </c>
      <c r="P56" t="n">
        <v>0</v>
      </c>
      <c r="Q56" t="n">
        <v>0</v>
      </c>
      <c r="R56" s="2" t="inlineStr"/>
    </row>
    <row r="57" ht="15" customHeight="1">
      <c r="A57" t="inlineStr">
        <is>
          <t>A 25690-2019</t>
        </is>
      </c>
      <c r="B57" s="1" t="n">
        <v>43607</v>
      </c>
      <c r="C57" s="1" t="n">
        <v>45669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26036-2019</t>
        </is>
      </c>
      <c r="B58" s="1" t="n">
        <v>43609</v>
      </c>
      <c r="C58" s="1" t="n">
        <v>45669</v>
      </c>
      <c r="D58" t="inlineStr">
        <is>
          <t>SKÅNE LÄN</t>
        </is>
      </c>
      <c r="E58" t="inlineStr">
        <is>
          <t>HÄSSLEHOLM</t>
        </is>
      </c>
      <c r="G58" t="n">
        <v>3.6</v>
      </c>
      <c r="H58" t="n">
        <v>0</v>
      </c>
      <c r="I58" t="n">
        <v>0</v>
      </c>
      <c r="J58" t="n">
        <v>0</v>
      </c>
      <c r="K58" t="n">
        <v>0</v>
      </c>
      <c r="L58" t="n">
        <v>0</v>
      </c>
      <c r="M58" t="n">
        <v>0</v>
      </c>
      <c r="N58" t="n">
        <v>0</v>
      </c>
      <c r="O58" t="n">
        <v>0</v>
      </c>
      <c r="P58" t="n">
        <v>0</v>
      </c>
      <c r="Q58" t="n">
        <v>0</v>
      </c>
      <c r="R58" s="2" t="inlineStr"/>
    </row>
    <row r="59" ht="15" customHeight="1">
      <c r="A59" t="inlineStr">
        <is>
          <t>A 26037-2019</t>
        </is>
      </c>
      <c r="B59" s="1" t="n">
        <v>43609</v>
      </c>
      <c r="C59" s="1" t="n">
        <v>45669</v>
      </c>
      <c r="D59" t="inlineStr">
        <is>
          <t>SKÅNE LÄN</t>
        </is>
      </c>
      <c r="E59" t="inlineStr">
        <is>
          <t>HÄSSLEHOLM</t>
        </is>
      </c>
      <c r="G59" t="n">
        <v>4.4</v>
      </c>
      <c r="H59" t="n">
        <v>0</v>
      </c>
      <c r="I59" t="n">
        <v>0</v>
      </c>
      <c r="J59" t="n">
        <v>0</v>
      </c>
      <c r="K59" t="n">
        <v>0</v>
      </c>
      <c r="L59" t="n">
        <v>0</v>
      </c>
      <c r="M59" t="n">
        <v>0</v>
      </c>
      <c r="N59" t="n">
        <v>0</v>
      </c>
      <c r="O59" t="n">
        <v>0</v>
      </c>
      <c r="P59" t="n">
        <v>0</v>
      </c>
      <c r="Q59" t="n">
        <v>0</v>
      </c>
      <c r="R59" s="2" t="inlineStr"/>
    </row>
    <row r="60" ht="15" customHeight="1">
      <c r="A60" t="inlineStr">
        <is>
          <t>A 26268-2019</t>
        </is>
      </c>
      <c r="B60" s="1" t="n">
        <v>43611</v>
      </c>
      <c r="C60" s="1" t="n">
        <v>45669</v>
      </c>
      <c r="D60" t="inlineStr">
        <is>
          <t>SKÅNE LÄN</t>
        </is>
      </c>
      <c r="E60" t="inlineStr">
        <is>
          <t>HÄSSLEHOLM</t>
        </is>
      </c>
      <c r="G60" t="n">
        <v>0.8</v>
      </c>
      <c r="H60" t="n">
        <v>0</v>
      </c>
      <c r="I60" t="n">
        <v>0</v>
      </c>
      <c r="J60" t="n">
        <v>0</v>
      </c>
      <c r="K60" t="n">
        <v>0</v>
      </c>
      <c r="L60" t="n">
        <v>0</v>
      </c>
      <c r="M60" t="n">
        <v>0</v>
      </c>
      <c r="N60" t="n">
        <v>0</v>
      </c>
      <c r="O60" t="n">
        <v>0</v>
      </c>
      <c r="P60" t="n">
        <v>0</v>
      </c>
      <c r="Q60" t="n">
        <v>0</v>
      </c>
      <c r="R60" s="2" t="inlineStr"/>
    </row>
    <row r="61" ht="15" customHeight="1">
      <c r="A61" t="inlineStr">
        <is>
          <t>A 26325-2019</t>
        </is>
      </c>
      <c r="B61" s="1" t="n">
        <v>43612</v>
      </c>
      <c r="C61" s="1" t="n">
        <v>45669</v>
      </c>
      <c r="D61" t="inlineStr">
        <is>
          <t>SKÅNE LÄN</t>
        </is>
      </c>
      <c r="E61" t="inlineStr">
        <is>
          <t>HÄSSLEHOLM</t>
        </is>
      </c>
      <c r="G61" t="n">
        <v>1.3</v>
      </c>
      <c r="H61" t="n">
        <v>0</v>
      </c>
      <c r="I61" t="n">
        <v>0</v>
      </c>
      <c r="J61" t="n">
        <v>0</v>
      </c>
      <c r="K61" t="n">
        <v>0</v>
      </c>
      <c r="L61" t="n">
        <v>0</v>
      </c>
      <c r="M61" t="n">
        <v>0</v>
      </c>
      <c r="N61" t="n">
        <v>0</v>
      </c>
      <c r="O61" t="n">
        <v>0</v>
      </c>
      <c r="P61" t="n">
        <v>0</v>
      </c>
      <c r="Q61" t="n">
        <v>0</v>
      </c>
      <c r="R61" s="2" t="inlineStr"/>
    </row>
    <row r="62" ht="15" customHeight="1">
      <c r="A62" t="inlineStr">
        <is>
          <t>A 26701-2019</t>
        </is>
      </c>
      <c r="B62" s="1" t="n">
        <v>43613</v>
      </c>
      <c r="C62" s="1" t="n">
        <v>45669</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26938-2019</t>
        </is>
      </c>
      <c r="B63" s="1" t="n">
        <v>43613</v>
      </c>
      <c r="C63" s="1" t="n">
        <v>45669</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26940-2019</t>
        </is>
      </c>
      <c r="B64" s="1" t="n">
        <v>43613</v>
      </c>
      <c r="C64" s="1" t="n">
        <v>45669</v>
      </c>
      <c r="D64" t="inlineStr">
        <is>
          <t>SKÅNE LÄN</t>
        </is>
      </c>
      <c r="E64" t="inlineStr">
        <is>
          <t>HÄSSLEHOLM</t>
        </is>
      </c>
      <c r="G64" t="n">
        <v>0.6</v>
      </c>
      <c r="H64" t="n">
        <v>0</v>
      </c>
      <c r="I64" t="n">
        <v>0</v>
      </c>
      <c r="J64" t="n">
        <v>0</v>
      </c>
      <c r="K64" t="n">
        <v>0</v>
      </c>
      <c r="L64" t="n">
        <v>0</v>
      </c>
      <c r="M64" t="n">
        <v>0</v>
      </c>
      <c r="N64" t="n">
        <v>0</v>
      </c>
      <c r="O64" t="n">
        <v>0</v>
      </c>
      <c r="P64" t="n">
        <v>0</v>
      </c>
      <c r="Q64" t="n">
        <v>0</v>
      </c>
      <c r="R64" s="2" t="inlineStr"/>
    </row>
    <row r="65" ht="15" customHeight="1">
      <c r="A65" t="inlineStr">
        <is>
          <t>A 26939-2019</t>
        </is>
      </c>
      <c r="B65" s="1" t="n">
        <v>43613</v>
      </c>
      <c r="C65" s="1" t="n">
        <v>45669</v>
      </c>
      <c r="D65" t="inlineStr">
        <is>
          <t>SKÅNE LÄN</t>
        </is>
      </c>
      <c r="E65" t="inlineStr">
        <is>
          <t>HÄSSLEHOLM</t>
        </is>
      </c>
      <c r="G65" t="n">
        <v>1.7</v>
      </c>
      <c r="H65" t="n">
        <v>0</v>
      </c>
      <c r="I65" t="n">
        <v>0</v>
      </c>
      <c r="J65" t="n">
        <v>0</v>
      </c>
      <c r="K65" t="n">
        <v>0</v>
      </c>
      <c r="L65" t="n">
        <v>0</v>
      </c>
      <c r="M65" t="n">
        <v>0</v>
      </c>
      <c r="N65" t="n">
        <v>0</v>
      </c>
      <c r="O65" t="n">
        <v>0</v>
      </c>
      <c r="P65" t="n">
        <v>0</v>
      </c>
      <c r="Q65" t="n">
        <v>0</v>
      </c>
      <c r="R65" s="2" t="inlineStr"/>
    </row>
    <row r="66" ht="15" customHeight="1">
      <c r="A66" t="inlineStr">
        <is>
          <t>A 28620-2019</t>
        </is>
      </c>
      <c r="B66" s="1" t="n">
        <v>43613</v>
      </c>
      <c r="C66" s="1" t="n">
        <v>45669</v>
      </c>
      <c r="D66" t="inlineStr">
        <is>
          <t>SKÅNE LÄN</t>
        </is>
      </c>
      <c r="E66" t="inlineStr">
        <is>
          <t>HÄSSLEHOLM</t>
        </is>
      </c>
      <c r="G66" t="n">
        <v>2.8</v>
      </c>
      <c r="H66" t="n">
        <v>0</v>
      </c>
      <c r="I66" t="n">
        <v>0</v>
      </c>
      <c r="J66" t="n">
        <v>0</v>
      </c>
      <c r="K66" t="n">
        <v>0</v>
      </c>
      <c r="L66" t="n">
        <v>0</v>
      </c>
      <c r="M66" t="n">
        <v>0</v>
      </c>
      <c r="N66" t="n">
        <v>0</v>
      </c>
      <c r="O66" t="n">
        <v>0</v>
      </c>
      <c r="P66" t="n">
        <v>0</v>
      </c>
      <c r="Q66" t="n">
        <v>0</v>
      </c>
      <c r="R66" s="2" t="inlineStr"/>
    </row>
    <row r="67" ht="15" customHeight="1">
      <c r="A67" t="inlineStr">
        <is>
          <t>A 27624-2019</t>
        </is>
      </c>
      <c r="B67" s="1" t="n">
        <v>43619</v>
      </c>
      <c r="C67" s="1" t="n">
        <v>45669</v>
      </c>
      <c r="D67" t="inlineStr">
        <is>
          <t>SKÅNE LÄN</t>
        </is>
      </c>
      <c r="E67" t="inlineStr">
        <is>
          <t>HÄSSLEHOLM</t>
        </is>
      </c>
      <c r="F67" t="inlineStr">
        <is>
          <t>Kyrkan</t>
        </is>
      </c>
      <c r="G67" t="n">
        <v>5.3</v>
      </c>
      <c r="H67" t="n">
        <v>0</v>
      </c>
      <c r="I67" t="n">
        <v>0</v>
      </c>
      <c r="J67" t="n">
        <v>0</v>
      </c>
      <c r="K67" t="n">
        <v>0</v>
      </c>
      <c r="L67" t="n">
        <v>0</v>
      </c>
      <c r="M67" t="n">
        <v>0</v>
      </c>
      <c r="N67" t="n">
        <v>0</v>
      </c>
      <c r="O67" t="n">
        <v>0</v>
      </c>
      <c r="P67" t="n">
        <v>0</v>
      </c>
      <c r="Q67" t="n">
        <v>0</v>
      </c>
      <c r="R67" s="2" t="inlineStr"/>
    </row>
    <row r="68" ht="15" customHeight="1">
      <c r="A68" t="inlineStr">
        <is>
          <t>A 27824-2019</t>
        </is>
      </c>
      <c r="B68" s="1" t="n">
        <v>43620</v>
      </c>
      <c r="C68" s="1" t="n">
        <v>45669</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28105-2019</t>
        </is>
      </c>
      <c r="B69" s="1" t="n">
        <v>43621</v>
      </c>
      <c r="C69" s="1" t="n">
        <v>45669</v>
      </c>
      <c r="D69" t="inlineStr">
        <is>
          <t>SKÅNE LÄN</t>
        </is>
      </c>
      <c r="E69" t="inlineStr">
        <is>
          <t>HÄSSLEHOLM</t>
        </is>
      </c>
      <c r="G69" t="n">
        <v>3.3</v>
      </c>
      <c r="H69" t="n">
        <v>0</v>
      </c>
      <c r="I69" t="n">
        <v>0</v>
      </c>
      <c r="J69" t="n">
        <v>0</v>
      </c>
      <c r="K69" t="n">
        <v>0</v>
      </c>
      <c r="L69" t="n">
        <v>0</v>
      </c>
      <c r="M69" t="n">
        <v>0</v>
      </c>
      <c r="N69" t="n">
        <v>0</v>
      </c>
      <c r="O69" t="n">
        <v>0</v>
      </c>
      <c r="P69" t="n">
        <v>0</v>
      </c>
      <c r="Q69" t="n">
        <v>0</v>
      </c>
      <c r="R69" s="2" t="inlineStr"/>
    </row>
    <row r="70" ht="15" customHeight="1">
      <c r="A70" t="inlineStr">
        <is>
          <t>A 28111-2019</t>
        </is>
      </c>
      <c r="B70" s="1" t="n">
        <v>43621</v>
      </c>
      <c r="C70" s="1" t="n">
        <v>45669</v>
      </c>
      <c r="D70" t="inlineStr">
        <is>
          <t>SKÅNE LÄN</t>
        </is>
      </c>
      <c r="E70" t="inlineStr">
        <is>
          <t>HÄSSLEHOLM</t>
        </is>
      </c>
      <c r="G70" t="n">
        <v>1.7</v>
      </c>
      <c r="H70" t="n">
        <v>0</v>
      </c>
      <c r="I70" t="n">
        <v>0</v>
      </c>
      <c r="J70" t="n">
        <v>0</v>
      </c>
      <c r="K70" t="n">
        <v>0</v>
      </c>
      <c r="L70" t="n">
        <v>0</v>
      </c>
      <c r="M70" t="n">
        <v>0</v>
      </c>
      <c r="N70" t="n">
        <v>0</v>
      </c>
      <c r="O70" t="n">
        <v>0</v>
      </c>
      <c r="P70" t="n">
        <v>0</v>
      </c>
      <c r="Q70" t="n">
        <v>0</v>
      </c>
      <c r="R70" s="2" t="inlineStr"/>
    </row>
    <row r="71" ht="15" customHeight="1">
      <c r="A71" t="inlineStr">
        <is>
          <t>A 28410-2019</t>
        </is>
      </c>
      <c r="B71" s="1" t="n">
        <v>43626</v>
      </c>
      <c r="C71" s="1" t="n">
        <v>45669</v>
      </c>
      <c r="D71" t="inlineStr">
        <is>
          <t>SKÅNE LÄN</t>
        </is>
      </c>
      <c r="E71" t="inlineStr">
        <is>
          <t>HÄSSLEHOLM</t>
        </is>
      </c>
      <c r="G71" t="n">
        <v>2.5</v>
      </c>
      <c r="H71" t="n">
        <v>0</v>
      </c>
      <c r="I71" t="n">
        <v>0</v>
      </c>
      <c r="J71" t="n">
        <v>0</v>
      </c>
      <c r="K71" t="n">
        <v>0</v>
      </c>
      <c r="L71" t="n">
        <v>0</v>
      </c>
      <c r="M71" t="n">
        <v>0</v>
      </c>
      <c r="N71" t="n">
        <v>0</v>
      </c>
      <c r="O71" t="n">
        <v>0</v>
      </c>
      <c r="P71" t="n">
        <v>0</v>
      </c>
      <c r="Q71" t="n">
        <v>0</v>
      </c>
      <c r="R71" s="2" t="inlineStr"/>
    </row>
    <row r="72" ht="15" customHeight="1">
      <c r="A72" t="inlineStr">
        <is>
          <t>A 28413-2019</t>
        </is>
      </c>
      <c r="B72" s="1" t="n">
        <v>43626</v>
      </c>
      <c r="C72" s="1" t="n">
        <v>45669</v>
      </c>
      <c r="D72" t="inlineStr">
        <is>
          <t>SKÅNE LÄN</t>
        </is>
      </c>
      <c r="E72" t="inlineStr">
        <is>
          <t>HÄSSLEHOLM</t>
        </is>
      </c>
      <c r="G72" t="n">
        <v>2.4</v>
      </c>
      <c r="H72" t="n">
        <v>0</v>
      </c>
      <c r="I72" t="n">
        <v>0</v>
      </c>
      <c r="J72" t="n">
        <v>0</v>
      </c>
      <c r="K72" t="n">
        <v>0</v>
      </c>
      <c r="L72" t="n">
        <v>0</v>
      </c>
      <c r="M72" t="n">
        <v>0</v>
      </c>
      <c r="N72" t="n">
        <v>0</v>
      </c>
      <c r="O72" t="n">
        <v>0</v>
      </c>
      <c r="P72" t="n">
        <v>0</v>
      </c>
      <c r="Q72" t="n">
        <v>0</v>
      </c>
      <c r="R72" s="2" t="inlineStr"/>
    </row>
    <row r="73" ht="15" customHeight="1">
      <c r="A73" t="inlineStr">
        <is>
          <t>A 29042-2019</t>
        </is>
      </c>
      <c r="B73" s="1" t="n">
        <v>43628</v>
      </c>
      <c r="C73" s="1" t="n">
        <v>45669</v>
      </c>
      <c r="D73" t="inlineStr">
        <is>
          <t>SKÅNE LÄN</t>
        </is>
      </c>
      <c r="E73" t="inlineStr">
        <is>
          <t>HÄSSLEHOLM</t>
        </is>
      </c>
      <c r="G73" t="n">
        <v>2.6</v>
      </c>
      <c r="H73" t="n">
        <v>0</v>
      </c>
      <c r="I73" t="n">
        <v>0</v>
      </c>
      <c r="J73" t="n">
        <v>0</v>
      </c>
      <c r="K73" t="n">
        <v>0</v>
      </c>
      <c r="L73" t="n">
        <v>0</v>
      </c>
      <c r="M73" t="n">
        <v>0</v>
      </c>
      <c r="N73" t="n">
        <v>0</v>
      </c>
      <c r="O73" t="n">
        <v>0</v>
      </c>
      <c r="P73" t="n">
        <v>0</v>
      </c>
      <c r="Q73" t="n">
        <v>0</v>
      </c>
      <c r="R73" s="2" t="inlineStr"/>
    </row>
    <row r="74" ht="15" customHeight="1">
      <c r="A74" t="inlineStr">
        <is>
          <t>A 29766-2019</t>
        </is>
      </c>
      <c r="B74" s="1" t="n">
        <v>43632</v>
      </c>
      <c r="C74" s="1" t="n">
        <v>45669</v>
      </c>
      <c r="D74" t="inlineStr">
        <is>
          <t>SKÅNE LÄN</t>
        </is>
      </c>
      <c r="E74" t="inlineStr">
        <is>
          <t>HÄSSLEHOLM</t>
        </is>
      </c>
      <c r="G74" t="n">
        <v>4.9</v>
      </c>
      <c r="H74" t="n">
        <v>0</v>
      </c>
      <c r="I74" t="n">
        <v>0</v>
      </c>
      <c r="J74" t="n">
        <v>0</v>
      </c>
      <c r="K74" t="n">
        <v>0</v>
      </c>
      <c r="L74" t="n">
        <v>0</v>
      </c>
      <c r="M74" t="n">
        <v>0</v>
      </c>
      <c r="N74" t="n">
        <v>0</v>
      </c>
      <c r="O74" t="n">
        <v>0</v>
      </c>
      <c r="P74" t="n">
        <v>0</v>
      </c>
      <c r="Q74" t="n">
        <v>0</v>
      </c>
      <c r="R74" s="2" t="inlineStr"/>
    </row>
    <row r="75" ht="15" customHeight="1">
      <c r="A75" t="inlineStr">
        <is>
          <t>A 30059-2019</t>
        </is>
      </c>
      <c r="B75" s="1" t="n">
        <v>43633</v>
      </c>
      <c r="C75" s="1" t="n">
        <v>45669</v>
      </c>
      <c r="D75" t="inlineStr">
        <is>
          <t>SKÅNE LÄN</t>
        </is>
      </c>
      <c r="E75" t="inlineStr">
        <is>
          <t>HÄSSLEHOLM</t>
        </is>
      </c>
      <c r="G75" t="n">
        <v>3.5</v>
      </c>
      <c r="H75" t="n">
        <v>0</v>
      </c>
      <c r="I75" t="n">
        <v>0</v>
      </c>
      <c r="J75" t="n">
        <v>0</v>
      </c>
      <c r="K75" t="n">
        <v>0</v>
      </c>
      <c r="L75" t="n">
        <v>0</v>
      </c>
      <c r="M75" t="n">
        <v>0</v>
      </c>
      <c r="N75" t="n">
        <v>0</v>
      </c>
      <c r="O75" t="n">
        <v>0</v>
      </c>
      <c r="P75" t="n">
        <v>0</v>
      </c>
      <c r="Q75" t="n">
        <v>0</v>
      </c>
      <c r="R75" s="2" t="inlineStr"/>
    </row>
    <row r="76" ht="15" customHeight="1">
      <c r="A76" t="inlineStr">
        <is>
          <t>A 31760-2019</t>
        </is>
      </c>
      <c r="B76" s="1" t="n">
        <v>43642</v>
      </c>
      <c r="C76" s="1" t="n">
        <v>45669</v>
      </c>
      <c r="D76" t="inlineStr">
        <is>
          <t>SKÅNE LÄN</t>
        </is>
      </c>
      <c r="E76" t="inlineStr">
        <is>
          <t>HÄSSLEHOLM</t>
        </is>
      </c>
      <c r="G76" t="n">
        <v>3.3</v>
      </c>
      <c r="H76" t="n">
        <v>0</v>
      </c>
      <c r="I76" t="n">
        <v>0</v>
      </c>
      <c r="J76" t="n">
        <v>0</v>
      </c>
      <c r="K76" t="n">
        <v>0</v>
      </c>
      <c r="L76" t="n">
        <v>0</v>
      </c>
      <c r="M76" t="n">
        <v>0</v>
      </c>
      <c r="N76" t="n">
        <v>0</v>
      </c>
      <c r="O76" t="n">
        <v>0</v>
      </c>
      <c r="P76" t="n">
        <v>0</v>
      </c>
      <c r="Q76" t="n">
        <v>0</v>
      </c>
      <c r="R76" s="2" t="inlineStr"/>
    </row>
    <row r="77" ht="15" customHeight="1">
      <c r="A77" t="inlineStr">
        <is>
          <t>A 31936-2019</t>
        </is>
      </c>
      <c r="B77" s="1" t="n">
        <v>43642</v>
      </c>
      <c r="C77" s="1" t="n">
        <v>45669</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32714-2019</t>
        </is>
      </c>
      <c r="B78" s="1" t="n">
        <v>43647</v>
      </c>
      <c r="C78" s="1" t="n">
        <v>45669</v>
      </c>
      <c r="D78" t="inlineStr">
        <is>
          <t>SKÅNE LÄN</t>
        </is>
      </c>
      <c r="E78" t="inlineStr">
        <is>
          <t>HÄSSLEHOLM</t>
        </is>
      </c>
      <c r="G78" t="n">
        <v>8.4</v>
      </c>
      <c r="H78" t="n">
        <v>0</v>
      </c>
      <c r="I78" t="n">
        <v>0</v>
      </c>
      <c r="J78" t="n">
        <v>0</v>
      </c>
      <c r="K78" t="n">
        <v>0</v>
      </c>
      <c r="L78" t="n">
        <v>0</v>
      </c>
      <c r="M78" t="n">
        <v>0</v>
      </c>
      <c r="N78" t="n">
        <v>0</v>
      </c>
      <c r="O78" t="n">
        <v>0</v>
      </c>
      <c r="P78" t="n">
        <v>0</v>
      </c>
      <c r="Q78" t="n">
        <v>0</v>
      </c>
      <c r="R78" s="2" t="inlineStr"/>
    </row>
    <row r="79" ht="15" customHeight="1">
      <c r="A79" t="inlineStr">
        <is>
          <t>A 34714-2019</t>
        </is>
      </c>
      <c r="B79" s="1" t="n">
        <v>43648</v>
      </c>
      <c r="C79" s="1" t="n">
        <v>45669</v>
      </c>
      <c r="D79" t="inlineStr">
        <is>
          <t>SKÅNE LÄN</t>
        </is>
      </c>
      <c r="E79" t="inlineStr">
        <is>
          <t>HÄSSLEHOLM</t>
        </is>
      </c>
      <c r="F79" t="inlineStr">
        <is>
          <t>Övriga Aktiebolag</t>
        </is>
      </c>
      <c r="G79" t="n">
        <v>1.5</v>
      </c>
      <c r="H79" t="n">
        <v>0</v>
      </c>
      <c r="I79" t="n">
        <v>0</v>
      </c>
      <c r="J79" t="n">
        <v>0</v>
      </c>
      <c r="K79" t="n">
        <v>0</v>
      </c>
      <c r="L79" t="n">
        <v>0</v>
      </c>
      <c r="M79" t="n">
        <v>0</v>
      </c>
      <c r="N79" t="n">
        <v>0</v>
      </c>
      <c r="O79" t="n">
        <v>0</v>
      </c>
      <c r="P79" t="n">
        <v>0</v>
      </c>
      <c r="Q79" t="n">
        <v>0</v>
      </c>
      <c r="R79" s="2" t="inlineStr"/>
    </row>
    <row r="80" ht="15" customHeight="1">
      <c r="A80" t="inlineStr">
        <is>
          <t>A 34711-2019</t>
        </is>
      </c>
      <c r="B80" s="1" t="n">
        <v>43648</v>
      </c>
      <c r="C80" s="1" t="n">
        <v>45669</v>
      </c>
      <c r="D80" t="inlineStr">
        <is>
          <t>SKÅNE LÄN</t>
        </is>
      </c>
      <c r="E80" t="inlineStr">
        <is>
          <t>HÄSSLEHOLM</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32999-2019</t>
        </is>
      </c>
      <c r="B81" s="1" t="n">
        <v>43649</v>
      </c>
      <c r="C81" s="1" t="n">
        <v>45669</v>
      </c>
      <c r="D81" t="inlineStr">
        <is>
          <t>SKÅNE LÄN</t>
        </is>
      </c>
      <c r="E81" t="inlineStr">
        <is>
          <t>HÄSSLEHOLM</t>
        </is>
      </c>
      <c r="G81" t="n">
        <v>0.7</v>
      </c>
      <c r="H81" t="n">
        <v>0</v>
      </c>
      <c r="I81" t="n">
        <v>0</v>
      </c>
      <c r="J81" t="n">
        <v>0</v>
      </c>
      <c r="K81" t="n">
        <v>0</v>
      </c>
      <c r="L81" t="n">
        <v>0</v>
      </c>
      <c r="M81" t="n">
        <v>0</v>
      </c>
      <c r="N81" t="n">
        <v>0</v>
      </c>
      <c r="O81" t="n">
        <v>0</v>
      </c>
      <c r="P81" t="n">
        <v>0</v>
      </c>
      <c r="Q81" t="n">
        <v>0</v>
      </c>
      <c r="R81" s="2" t="inlineStr"/>
    </row>
    <row r="82" ht="15" customHeight="1">
      <c r="A82" t="inlineStr">
        <is>
          <t>A 32998-2019</t>
        </is>
      </c>
      <c r="B82" s="1" t="n">
        <v>43649</v>
      </c>
      <c r="C82" s="1" t="n">
        <v>45669</v>
      </c>
      <c r="D82" t="inlineStr">
        <is>
          <t>SKÅNE LÄN</t>
        </is>
      </c>
      <c r="E82" t="inlineStr">
        <is>
          <t>HÄSSLEHOLM</t>
        </is>
      </c>
      <c r="G82" t="n">
        <v>3.7</v>
      </c>
      <c r="H82" t="n">
        <v>0</v>
      </c>
      <c r="I82" t="n">
        <v>0</v>
      </c>
      <c r="J82" t="n">
        <v>0</v>
      </c>
      <c r="K82" t="n">
        <v>0</v>
      </c>
      <c r="L82" t="n">
        <v>0</v>
      </c>
      <c r="M82" t="n">
        <v>0</v>
      </c>
      <c r="N82" t="n">
        <v>0</v>
      </c>
      <c r="O82" t="n">
        <v>0</v>
      </c>
      <c r="P82" t="n">
        <v>0</v>
      </c>
      <c r="Q82" t="n">
        <v>0</v>
      </c>
      <c r="R82" s="2" t="inlineStr"/>
    </row>
    <row r="83" ht="15" customHeight="1">
      <c r="A83" t="inlineStr">
        <is>
          <t>A 33258-2019</t>
        </is>
      </c>
      <c r="B83" s="1" t="n">
        <v>43650</v>
      </c>
      <c r="C83" s="1" t="n">
        <v>45669</v>
      </c>
      <c r="D83" t="inlineStr">
        <is>
          <t>SKÅNE LÄN</t>
        </is>
      </c>
      <c r="E83" t="inlineStr">
        <is>
          <t>HÄSSLEHOLM</t>
        </is>
      </c>
      <c r="G83" t="n">
        <v>2</v>
      </c>
      <c r="H83" t="n">
        <v>0</v>
      </c>
      <c r="I83" t="n">
        <v>0</v>
      </c>
      <c r="J83" t="n">
        <v>0</v>
      </c>
      <c r="K83" t="n">
        <v>0</v>
      </c>
      <c r="L83" t="n">
        <v>0</v>
      </c>
      <c r="M83" t="n">
        <v>0</v>
      </c>
      <c r="N83" t="n">
        <v>0</v>
      </c>
      <c r="O83" t="n">
        <v>0</v>
      </c>
      <c r="P83" t="n">
        <v>0</v>
      </c>
      <c r="Q83" t="n">
        <v>0</v>
      </c>
      <c r="R83" s="2" t="inlineStr"/>
    </row>
    <row r="84" ht="15" customHeight="1">
      <c r="A84" t="inlineStr">
        <is>
          <t>A 33344-2019</t>
        </is>
      </c>
      <c r="B84" s="1" t="n">
        <v>43650</v>
      </c>
      <c r="C84" s="1" t="n">
        <v>45669</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33693-2019</t>
        </is>
      </c>
      <c r="B85" s="1" t="n">
        <v>43651</v>
      </c>
      <c r="C85" s="1" t="n">
        <v>45669</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33522-2019</t>
        </is>
      </c>
      <c r="B86" s="1" t="n">
        <v>43651</v>
      </c>
      <c r="C86" s="1" t="n">
        <v>45669</v>
      </c>
      <c r="D86" t="inlineStr">
        <is>
          <t>SKÅNE LÄN</t>
        </is>
      </c>
      <c r="E86" t="inlineStr">
        <is>
          <t>HÄSSLEHOLM</t>
        </is>
      </c>
      <c r="G86" t="n">
        <v>0.7</v>
      </c>
      <c r="H86" t="n">
        <v>0</v>
      </c>
      <c r="I86" t="n">
        <v>0</v>
      </c>
      <c r="J86" t="n">
        <v>0</v>
      </c>
      <c r="K86" t="n">
        <v>0</v>
      </c>
      <c r="L86" t="n">
        <v>0</v>
      </c>
      <c r="M86" t="n">
        <v>0</v>
      </c>
      <c r="N86" t="n">
        <v>0</v>
      </c>
      <c r="O86" t="n">
        <v>0</v>
      </c>
      <c r="P86" t="n">
        <v>0</v>
      </c>
      <c r="Q86" t="n">
        <v>0</v>
      </c>
      <c r="R86" s="2" t="inlineStr"/>
    </row>
    <row r="87" ht="15" customHeight="1">
      <c r="A87" t="inlineStr">
        <is>
          <t>A 33691-2019</t>
        </is>
      </c>
      <c r="B87" s="1" t="n">
        <v>43651</v>
      </c>
      <c r="C87" s="1" t="n">
        <v>45669</v>
      </c>
      <c r="D87" t="inlineStr">
        <is>
          <t>SKÅNE LÄN</t>
        </is>
      </c>
      <c r="E87" t="inlineStr">
        <is>
          <t>HÄSSLEHOLM</t>
        </is>
      </c>
      <c r="G87" t="n">
        <v>8</v>
      </c>
      <c r="H87" t="n">
        <v>0</v>
      </c>
      <c r="I87" t="n">
        <v>0</v>
      </c>
      <c r="J87" t="n">
        <v>0</v>
      </c>
      <c r="K87" t="n">
        <v>0</v>
      </c>
      <c r="L87" t="n">
        <v>0</v>
      </c>
      <c r="M87" t="n">
        <v>0</v>
      </c>
      <c r="N87" t="n">
        <v>0</v>
      </c>
      <c r="O87" t="n">
        <v>0</v>
      </c>
      <c r="P87" t="n">
        <v>0</v>
      </c>
      <c r="Q87" t="n">
        <v>0</v>
      </c>
      <c r="R87" s="2" t="inlineStr"/>
    </row>
    <row r="88" ht="15" customHeight="1">
      <c r="A88" t="inlineStr">
        <is>
          <t>A 33526-2019</t>
        </is>
      </c>
      <c r="B88" s="1" t="n">
        <v>43651</v>
      </c>
      <c r="C88" s="1" t="n">
        <v>45669</v>
      </c>
      <c r="D88" t="inlineStr">
        <is>
          <t>SKÅNE LÄN</t>
        </is>
      </c>
      <c r="E88" t="inlineStr">
        <is>
          <t>HÄSSLEHOLM</t>
        </is>
      </c>
      <c r="G88" t="n">
        <v>0.9</v>
      </c>
      <c r="H88" t="n">
        <v>0</v>
      </c>
      <c r="I88" t="n">
        <v>0</v>
      </c>
      <c r="J88" t="n">
        <v>0</v>
      </c>
      <c r="K88" t="n">
        <v>0</v>
      </c>
      <c r="L88" t="n">
        <v>0</v>
      </c>
      <c r="M88" t="n">
        <v>0</v>
      </c>
      <c r="N88" t="n">
        <v>0</v>
      </c>
      <c r="O88" t="n">
        <v>0</v>
      </c>
      <c r="P88" t="n">
        <v>0</v>
      </c>
      <c r="Q88" t="n">
        <v>0</v>
      </c>
      <c r="R88" s="2" t="inlineStr"/>
    </row>
    <row r="89" ht="15" customHeight="1">
      <c r="A89" t="inlineStr">
        <is>
          <t>A 34073-2019</t>
        </is>
      </c>
      <c r="B89" s="1" t="n">
        <v>43654</v>
      </c>
      <c r="C89" s="1" t="n">
        <v>45669</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34140-2019</t>
        </is>
      </c>
      <c r="B90" s="1" t="n">
        <v>43654</v>
      </c>
      <c r="C90" s="1" t="n">
        <v>45669</v>
      </c>
      <c r="D90" t="inlineStr">
        <is>
          <t>SKÅNE LÄN</t>
        </is>
      </c>
      <c r="E90" t="inlineStr">
        <is>
          <t>HÄSSLEHOLM</t>
        </is>
      </c>
      <c r="G90" t="n">
        <v>2.8</v>
      </c>
      <c r="H90" t="n">
        <v>0</v>
      </c>
      <c r="I90" t="n">
        <v>0</v>
      </c>
      <c r="J90" t="n">
        <v>0</v>
      </c>
      <c r="K90" t="n">
        <v>0</v>
      </c>
      <c r="L90" t="n">
        <v>0</v>
      </c>
      <c r="M90" t="n">
        <v>0</v>
      </c>
      <c r="N90" t="n">
        <v>0</v>
      </c>
      <c r="O90" t="n">
        <v>0</v>
      </c>
      <c r="P90" t="n">
        <v>0</v>
      </c>
      <c r="Q90" t="n">
        <v>0</v>
      </c>
      <c r="R90" s="2" t="inlineStr"/>
    </row>
    <row r="91" ht="15" customHeight="1">
      <c r="A91" t="inlineStr">
        <is>
          <t>A 34069-2019</t>
        </is>
      </c>
      <c r="B91" s="1" t="n">
        <v>43654</v>
      </c>
      <c r="C91" s="1" t="n">
        <v>45669</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34072-2019</t>
        </is>
      </c>
      <c r="B92" s="1" t="n">
        <v>43654</v>
      </c>
      <c r="C92" s="1" t="n">
        <v>45669</v>
      </c>
      <c r="D92" t="inlineStr">
        <is>
          <t>SKÅNE LÄN</t>
        </is>
      </c>
      <c r="E92" t="inlineStr">
        <is>
          <t>HÄSSLEHOLM</t>
        </is>
      </c>
      <c r="G92" t="n">
        <v>4</v>
      </c>
      <c r="H92" t="n">
        <v>0</v>
      </c>
      <c r="I92" t="n">
        <v>0</v>
      </c>
      <c r="J92" t="n">
        <v>0</v>
      </c>
      <c r="K92" t="n">
        <v>0</v>
      </c>
      <c r="L92" t="n">
        <v>0</v>
      </c>
      <c r="M92" t="n">
        <v>0</v>
      </c>
      <c r="N92" t="n">
        <v>0</v>
      </c>
      <c r="O92" t="n">
        <v>0</v>
      </c>
      <c r="P92" t="n">
        <v>0</v>
      </c>
      <c r="Q92" t="n">
        <v>0</v>
      </c>
      <c r="R92" s="2" t="inlineStr"/>
    </row>
    <row r="93" ht="15" customHeight="1">
      <c r="A93" t="inlineStr">
        <is>
          <t>A 36240-2019</t>
        </is>
      </c>
      <c r="B93" s="1" t="n">
        <v>43659</v>
      </c>
      <c r="C93" s="1" t="n">
        <v>45669</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36238-2019</t>
        </is>
      </c>
      <c r="B94" s="1" t="n">
        <v>43659</v>
      </c>
      <c r="C94" s="1" t="n">
        <v>45669</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36553-2019</t>
        </is>
      </c>
      <c r="B95" s="1" t="n">
        <v>43668</v>
      </c>
      <c r="C95" s="1" t="n">
        <v>45669</v>
      </c>
      <c r="D95" t="inlineStr">
        <is>
          <t>SKÅNE LÄN</t>
        </is>
      </c>
      <c r="E95" t="inlineStr">
        <is>
          <t>HÄSSLEHOLM</t>
        </is>
      </c>
      <c r="G95" t="n">
        <v>2.6</v>
      </c>
      <c r="H95" t="n">
        <v>0</v>
      </c>
      <c r="I95" t="n">
        <v>0</v>
      </c>
      <c r="J95" t="n">
        <v>0</v>
      </c>
      <c r="K95" t="n">
        <v>0</v>
      </c>
      <c r="L95" t="n">
        <v>0</v>
      </c>
      <c r="M95" t="n">
        <v>0</v>
      </c>
      <c r="N95" t="n">
        <v>0</v>
      </c>
      <c r="O95" t="n">
        <v>0</v>
      </c>
      <c r="P95" t="n">
        <v>0</v>
      </c>
      <c r="Q95" t="n">
        <v>0</v>
      </c>
      <c r="R95" s="2" t="inlineStr"/>
    </row>
    <row r="96" ht="15" customHeight="1">
      <c r="A96" t="inlineStr">
        <is>
          <t>A 36550-2019</t>
        </is>
      </c>
      <c r="B96" s="1" t="n">
        <v>43668</v>
      </c>
      <c r="C96" s="1" t="n">
        <v>45669</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37540-2019</t>
        </is>
      </c>
      <c r="B97" s="1" t="n">
        <v>43678</v>
      </c>
      <c r="C97" s="1" t="n">
        <v>45669</v>
      </c>
      <c r="D97" t="inlineStr">
        <is>
          <t>SKÅNE LÄN</t>
        </is>
      </c>
      <c r="E97" t="inlineStr">
        <is>
          <t>HÄSSLEHOLM</t>
        </is>
      </c>
      <c r="G97" t="n">
        <v>7.9</v>
      </c>
      <c r="H97" t="n">
        <v>0</v>
      </c>
      <c r="I97" t="n">
        <v>0</v>
      </c>
      <c r="J97" t="n">
        <v>0</v>
      </c>
      <c r="K97" t="n">
        <v>0</v>
      </c>
      <c r="L97" t="n">
        <v>0</v>
      </c>
      <c r="M97" t="n">
        <v>0</v>
      </c>
      <c r="N97" t="n">
        <v>0</v>
      </c>
      <c r="O97" t="n">
        <v>0</v>
      </c>
      <c r="P97" t="n">
        <v>0</v>
      </c>
      <c r="Q97" t="n">
        <v>0</v>
      </c>
      <c r="R97" s="2" t="inlineStr"/>
    </row>
    <row r="98" ht="15" customHeight="1">
      <c r="A98" t="inlineStr">
        <is>
          <t>A 37761-2019</t>
        </is>
      </c>
      <c r="B98" s="1" t="n">
        <v>43682</v>
      </c>
      <c r="C98" s="1" t="n">
        <v>45669</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37765-2019</t>
        </is>
      </c>
      <c r="B99" s="1" t="n">
        <v>43682</v>
      </c>
      <c r="C99" s="1" t="n">
        <v>45669</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38673-2019</t>
        </is>
      </c>
      <c r="B100" s="1" t="n">
        <v>43686</v>
      </c>
      <c r="C100" s="1" t="n">
        <v>45669</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38805-2019</t>
        </is>
      </c>
      <c r="B101" s="1" t="n">
        <v>43688</v>
      </c>
      <c r="C101" s="1" t="n">
        <v>45669</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38806-2019</t>
        </is>
      </c>
      <c r="B102" s="1" t="n">
        <v>43688</v>
      </c>
      <c r="C102" s="1" t="n">
        <v>45669</v>
      </c>
      <c r="D102" t="inlineStr">
        <is>
          <t>SKÅNE LÄN</t>
        </is>
      </c>
      <c r="E102" t="inlineStr">
        <is>
          <t>HÄSSLEHOLM</t>
        </is>
      </c>
      <c r="G102" t="n">
        <v>1.8</v>
      </c>
      <c r="H102" t="n">
        <v>0</v>
      </c>
      <c r="I102" t="n">
        <v>0</v>
      </c>
      <c r="J102" t="n">
        <v>0</v>
      </c>
      <c r="K102" t="n">
        <v>0</v>
      </c>
      <c r="L102" t="n">
        <v>0</v>
      </c>
      <c r="M102" t="n">
        <v>0</v>
      </c>
      <c r="N102" t="n">
        <v>0</v>
      </c>
      <c r="O102" t="n">
        <v>0</v>
      </c>
      <c r="P102" t="n">
        <v>0</v>
      </c>
      <c r="Q102" t="n">
        <v>0</v>
      </c>
      <c r="R102" s="2" t="inlineStr"/>
    </row>
    <row r="103" ht="15" customHeight="1">
      <c r="A103" t="inlineStr">
        <is>
          <t>A 38808-2019</t>
        </is>
      </c>
      <c r="B103" s="1" t="n">
        <v>43688</v>
      </c>
      <c r="C103" s="1" t="n">
        <v>45669</v>
      </c>
      <c r="D103" t="inlineStr">
        <is>
          <t>SKÅNE LÄN</t>
        </is>
      </c>
      <c r="E103" t="inlineStr">
        <is>
          <t>HÄSSLEHOLM</t>
        </is>
      </c>
      <c r="G103" t="n">
        <v>1.7</v>
      </c>
      <c r="H103" t="n">
        <v>0</v>
      </c>
      <c r="I103" t="n">
        <v>0</v>
      </c>
      <c r="J103" t="n">
        <v>0</v>
      </c>
      <c r="K103" t="n">
        <v>0</v>
      </c>
      <c r="L103" t="n">
        <v>0</v>
      </c>
      <c r="M103" t="n">
        <v>0</v>
      </c>
      <c r="N103" t="n">
        <v>0</v>
      </c>
      <c r="O103" t="n">
        <v>0</v>
      </c>
      <c r="P103" t="n">
        <v>0</v>
      </c>
      <c r="Q103" t="n">
        <v>0</v>
      </c>
      <c r="R103" s="2" t="inlineStr"/>
    </row>
    <row r="104" ht="15" customHeight="1">
      <c r="A104" t="inlineStr">
        <is>
          <t>A 39502-2019</t>
        </is>
      </c>
      <c r="B104" s="1" t="n">
        <v>43691</v>
      </c>
      <c r="C104" s="1" t="n">
        <v>45669</v>
      </c>
      <c r="D104" t="inlineStr">
        <is>
          <t>SKÅNE LÄN</t>
        </is>
      </c>
      <c r="E104" t="inlineStr">
        <is>
          <t>HÄSSLEHOLM</t>
        </is>
      </c>
      <c r="G104" t="n">
        <v>3.8</v>
      </c>
      <c r="H104" t="n">
        <v>0</v>
      </c>
      <c r="I104" t="n">
        <v>0</v>
      </c>
      <c r="J104" t="n">
        <v>0</v>
      </c>
      <c r="K104" t="n">
        <v>0</v>
      </c>
      <c r="L104" t="n">
        <v>0</v>
      </c>
      <c r="M104" t="n">
        <v>0</v>
      </c>
      <c r="N104" t="n">
        <v>0</v>
      </c>
      <c r="O104" t="n">
        <v>0</v>
      </c>
      <c r="P104" t="n">
        <v>0</v>
      </c>
      <c r="Q104" t="n">
        <v>0</v>
      </c>
      <c r="R104" s="2" t="inlineStr"/>
    </row>
    <row r="105" ht="15" customHeight="1">
      <c r="A105" t="inlineStr">
        <is>
          <t>A 39507-2019</t>
        </is>
      </c>
      <c r="B105" s="1" t="n">
        <v>43691</v>
      </c>
      <c r="C105" s="1" t="n">
        <v>45669</v>
      </c>
      <c r="D105" t="inlineStr">
        <is>
          <t>SKÅNE LÄN</t>
        </is>
      </c>
      <c r="E105" t="inlineStr">
        <is>
          <t>HÄSSLEHOLM</t>
        </is>
      </c>
      <c r="G105" t="n">
        <v>5.7</v>
      </c>
      <c r="H105" t="n">
        <v>0</v>
      </c>
      <c r="I105" t="n">
        <v>0</v>
      </c>
      <c r="J105" t="n">
        <v>0</v>
      </c>
      <c r="K105" t="n">
        <v>0</v>
      </c>
      <c r="L105" t="n">
        <v>0</v>
      </c>
      <c r="M105" t="n">
        <v>0</v>
      </c>
      <c r="N105" t="n">
        <v>0</v>
      </c>
      <c r="O105" t="n">
        <v>0</v>
      </c>
      <c r="P105" t="n">
        <v>0</v>
      </c>
      <c r="Q105" t="n">
        <v>0</v>
      </c>
      <c r="R105" s="2" t="inlineStr"/>
    </row>
    <row r="106" ht="15" customHeight="1">
      <c r="A106" t="inlineStr">
        <is>
          <t>A 40262-2019</t>
        </is>
      </c>
      <c r="B106" s="1" t="n">
        <v>43695</v>
      </c>
      <c r="C106" s="1" t="n">
        <v>45669</v>
      </c>
      <c r="D106" t="inlineStr">
        <is>
          <t>SKÅNE LÄN</t>
        </is>
      </c>
      <c r="E106" t="inlineStr">
        <is>
          <t>HÄSSLEHOLM</t>
        </is>
      </c>
      <c r="G106" t="n">
        <v>1.3</v>
      </c>
      <c r="H106" t="n">
        <v>0</v>
      </c>
      <c r="I106" t="n">
        <v>0</v>
      </c>
      <c r="J106" t="n">
        <v>0</v>
      </c>
      <c r="K106" t="n">
        <v>0</v>
      </c>
      <c r="L106" t="n">
        <v>0</v>
      </c>
      <c r="M106" t="n">
        <v>0</v>
      </c>
      <c r="N106" t="n">
        <v>0</v>
      </c>
      <c r="O106" t="n">
        <v>0</v>
      </c>
      <c r="P106" t="n">
        <v>0</v>
      </c>
      <c r="Q106" t="n">
        <v>0</v>
      </c>
      <c r="R106" s="2" t="inlineStr"/>
    </row>
    <row r="107" ht="15" customHeight="1">
      <c r="A107" t="inlineStr">
        <is>
          <t>A 41485-2019</t>
        </is>
      </c>
      <c r="B107" s="1" t="n">
        <v>43696</v>
      </c>
      <c r="C107" s="1" t="n">
        <v>45669</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41068-2019</t>
        </is>
      </c>
      <c r="B108" s="1" t="n">
        <v>43698</v>
      </c>
      <c r="C108" s="1" t="n">
        <v>45669</v>
      </c>
      <c r="D108" t="inlineStr">
        <is>
          <t>SKÅNE LÄN</t>
        </is>
      </c>
      <c r="E108" t="inlineStr">
        <is>
          <t>HÄSSLEHOLM</t>
        </is>
      </c>
      <c r="G108" t="n">
        <v>3.7</v>
      </c>
      <c r="H108" t="n">
        <v>0</v>
      </c>
      <c r="I108" t="n">
        <v>0</v>
      </c>
      <c r="J108" t="n">
        <v>0</v>
      </c>
      <c r="K108" t="n">
        <v>0</v>
      </c>
      <c r="L108" t="n">
        <v>0</v>
      </c>
      <c r="M108" t="n">
        <v>0</v>
      </c>
      <c r="N108" t="n">
        <v>0</v>
      </c>
      <c r="O108" t="n">
        <v>0</v>
      </c>
      <c r="P108" t="n">
        <v>0</v>
      </c>
      <c r="Q108" t="n">
        <v>0</v>
      </c>
      <c r="R108" s="2" t="inlineStr"/>
    </row>
    <row r="109" ht="15" customHeight="1">
      <c r="A109" t="inlineStr">
        <is>
          <t>A 41439-2019</t>
        </is>
      </c>
      <c r="B109" s="1" t="n">
        <v>43698</v>
      </c>
      <c r="C109" s="1" t="n">
        <v>45669</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43674-2019</t>
        </is>
      </c>
      <c r="B110" s="1" t="n">
        <v>43704</v>
      </c>
      <c r="C110" s="1" t="n">
        <v>45669</v>
      </c>
      <c r="D110" t="inlineStr">
        <is>
          <t>SKÅNE LÄN</t>
        </is>
      </c>
      <c r="E110" t="inlineStr">
        <is>
          <t>HÄSSLEHOLM</t>
        </is>
      </c>
      <c r="G110" t="n">
        <v>5.3</v>
      </c>
      <c r="H110" t="n">
        <v>0</v>
      </c>
      <c r="I110" t="n">
        <v>0</v>
      </c>
      <c r="J110" t="n">
        <v>0</v>
      </c>
      <c r="K110" t="n">
        <v>0</v>
      </c>
      <c r="L110" t="n">
        <v>0</v>
      </c>
      <c r="M110" t="n">
        <v>0</v>
      </c>
      <c r="N110" t="n">
        <v>0</v>
      </c>
      <c r="O110" t="n">
        <v>0</v>
      </c>
      <c r="P110" t="n">
        <v>0</v>
      </c>
      <c r="Q110" t="n">
        <v>0</v>
      </c>
      <c r="R110" s="2" t="inlineStr"/>
    </row>
    <row r="111" ht="15" customHeight="1">
      <c r="A111" t="inlineStr">
        <is>
          <t>A 43547-2019</t>
        </is>
      </c>
      <c r="B111" s="1" t="n">
        <v>43706</v>
      </c>
      <c r="C111" s="1" t="n">
        <v>45669</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44032-2019</t>
        </is>
      </c>
      <c r="B112" s="1" t="n">
        <v>43710</v>
      </c>
      <c r="C112" s="1" t="n">
        <v>45669</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44255-2019</t>
        </is>
      </c>
      <c r="B113" s="1" t="n">
        <v>43710</v>
      </c>
      <c r="C113" s="1" t="n">
        <v>45669</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44256-2019</t>
        </is>
      </c>
      <c r="B114" s="1" t="n">
        <v>43710</v>
      </c>
      <c r="C114" s="1" t="n">
        <v>45669</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44546-2019</t>
        </is>
      </c>
      <c r="B115" s="1" t="n">
        <v>43711</v>
      </c>
      <c r="C115" s="1" t="n">
        <v>45669</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44543-2019</t>
        </is>
      </c>
      <c r="B116" s="1" t="n">
        <v>43711</v>
      </c>
      <c r="C116" s="1" t="n">
        <v>45669</v>
      </c>
      <c r="D116" t="inlineStr">
        <is>
          <t>SKÅNE LÄN</t>
        </is>
      </c>
      <c r="E116" t="inlineStr">
        <is>
          <t>HÄSSLEHOLM</t>
        </is>
      </c>
      <c r="G116" t="n">
        <v>2.1</v>
      </c>
      <c r="H116" t="n">
        <v>0</v>
      </c>
      <c r="I116" t="n">
        <v>0</v>
      </c>
      <c r="J116" t="n">
        <v>0</v>
      </c>
      <c r="K116" t="n">
        <v>0</v>
      </c>
      <c r="L116" t="n">
        <v>0</v>
      </c>
      <c r="M116" t="n">
        <v>0</v>
      </c>
      <c r="N116" t="n">
        <v>0</v>
      </c>
      <c r="O116" t="n">
        <v>0</v>
      </c>
      <c r="P116" t="n">
        <v>0</v>
      </c>
      <c r="Q116" t="n">
        <v>0</v>
      </c>
      <c r="R116" s="2" t="inlineStr"/>
    </row>
    <row r="117" ht="15" customHeight="1">
      <c r="A117" t="inlineStr">
        <is>
          <t>A 45811-2019</t>
        </is>
      </c>
      <c r="B117" s="1" t="n">
        <v>43711</v>
      </c>
      <c r="C117" s="1" t="n">
        <v>45669</v>
      </c>
      <c r="D117" t="inlineStr">
        <is>
          <t>SKÅNE LÄN</t>
        </is>
      </c>
      <c r="E117" t="inlineStr">
        <is>
          <t>HÄSSLEHOLM</t>
        </is>
      </c>
      <c r="G117" t="n">
        <v>2.4</v>
      </c>
      <c r="H117" t="n">
        <v>0</v>
      </c>
      <c r="I117" t="n">
        <v>0</v>
      </c>
      <c r="J117" t="n">
        <v>0</v>
      </c>
      <c r="K117" t="n">
        <v>0</v>
      </c>
      <c r="L117" t="n">
        <v>0</v>
      </c>
      <c r="M117" t="n">
        <v>0</v>
      </c>
      <c r="N117" t="n">
        <v>0</v>
      </c>
      <c r="O117" t="n">
        <v>0</v>
      </c>
      <c r="P117" t="n">
        <v>0</v>
      </c>
      <c r="Q117" t="n">
        <v>0</v>
      </c>
      <c r="R117" s="2" t="inlineStr"/>
    </row>
    <row r="118" ht="15" customHeight="1">
      <c r="A118" t="inlineStr">
        <is>
          <t>A 45843-2019</t>
        </is>
      </c>
      <c r="B118" s="1" t="n">
        <v>43711</v>
      </c>
      <c r="C118" s="1" t="n">
        <v>45669</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45238-2019</t>
        </is>
      </c>
      <c r="B119" s="1" t="n">
        <v>43713</v>
      </c>
      <c r="C119" s="1" t="n">
        <v>45669</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45836-2019</t>
        </is>
      </c>
      <c r="B120" s="1" t="n">
        <v>43717</v>
      </c>
      <c r="C120" s="1" t="n">
        <v>45669</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45831-2019</t>
        </is>
      </c>
      <c r="B121" s="1" t="n">
        <v>43717</v>
      </c>
      <c r="C121" s="1" t="n">
        <v>45669</v>
      </c>
      <c r="D121" t="inlineStr">
        <is>
          <t>SKÅNE LÄN</t>
        </is>
      </c>
      <c r="E121" t="inlineStr">
        <is>
          <t>HÄSSLEHOLM</t>
        </is>
      </c>
      <c r="G121" t="n">
        <v>1.8</v>
      </c>
      <c r="H121" t="n">
        <v>0</v>
      </c>
      <c r="I121" t="n">
        <v>0</v>
      </c>
      <c r="J121" t="n">
        <v>0</v>
      </c>
      <c r="K121" t="n">
        <v>0</v>
      </c>
      <c r="L121" t="n">
        <v>0</v>
      </c>
      <c r="M121" t="n">
        <v>0</v>
      </c>
      <c r="N121" t="n">
        <v>0</v>
      </c>
      <c r="O121" t="n">
        <v>0</v>
      </c>
      <c r="P121" t="n">
        <v>0</v>
      </c>
      <c r="Q121" t="n">
        <v>0</v>
      </c>
      <c r="R121" s="2" t="inlineStr"/>
    </row>
    <row r="122" ht="15" customHeight="1">
      <c r="A122" t="inlineStr">
        <is>
          <t>A 46520-2019</t>
        </is>
      </c>
      <c r="B122" s="1" t="n">
        <v>43717</v>
      </c>
      <c r="C122" s="1" t="n">
        <v>45669</v>
      </c>
      <c r="D122" t="inlineStr">
        <is>
          <t>SKÅNE LÄN</t>
        </is>
      </c>
      <c r="E122" t="inlineStr">
        <is>
          <t>HÄSSLEHOLM</t>
        </is>
      </c>
      <c r="G122" t="n">
        <v>9.300000000000001</v>
      </c>
      <c r="H122" t="n">
        <v>0</v>
      </c>
      <c r="I122" t="n">
        <v>0</v>
      </c>
      <c r="J122" t="n">
        <v>0</v>
      </c>
      <c r="K122" t="n">
        <v>0</v>
      </c>
      <c r="L122" t="n">
        <v>0</v>
      </c>
      <c r="M122" t="n">
        <v>0</v>
      </c>
      <c r="N122" t="n">
        <v>0</v>
      </c>
      <c r="O122" t="n">
        <v>0</v>
      </c>
      <c r="P122" t="n">
        <v>0</v>
      </c>
      <c r="Q122" t="n">
        <v>0</v>
      </c>
      <c r="R122" s="2" t="inlineStr"/>
    </row>
    <row r="123" ht="15" customHeight="1">
      <c r="A123" t="inlineStr">
        <is>
          <t>A 48097-2019</t>
        </is>
      </c>
      <c r="B123" s="1" t="n">
        <v>43725</v>
      </c>
      <c r="C123" s="1" t="n">
        <v>45669</v>
      </c>
      <c r="D123" t="inlineStr">
        <is>
          <t>SKÅNE LÄN</t>
        </is>
      </c>
      <c r="E123" t="inlineStr">
        <is>
          <t>HÄSSLEHOLM</t>
        </is>
      </c>
      <c r="G123" t="n">
        <v>1.3</v>
      </c>
      <c r="H123" t="n">
        <v>0</v>
      </c>
      <c r="I123" t="n">
        <v>0</v>
      </c>
      <c r="J123" t="n">
        <v>0</v>
      </c>
      <c r="K123" t="n">
        <v>0</v>
      </c>
      <c r="L123" t="n">
        <v>0</v>
      </c>
      <c r="M123" t="n">
        <v>0</v>
      </c>
      <c r="N123" t="n">
        <v>0</v>
      </c>
      <c r="O123" t="n">
        <v>0</v>
      </c>
      <c r="P123" t="n">
        <v>0</v>
      </c>
      <c r="Q123" t="n">
        <v>0</v>
      </c>
      <c r="R123" s="2" t="inlineStr"/>
    </row>
    <row r="124" ht="15" customHeight="1">
      <c r="A124" t="inlineStr">
        <is>
          <t>A 48309-2019</t>
        </is>
      </c>
      <c r="B124" s="1" t="n">
        <v>43726</v>
      </c>
      <c r="C124" s="1" t="n">
        <v>45669</v>
      </c>
      <c r="D124" t="inlineStr">
        <is>
          <t>SKÅNE LÄN</t>
        </is>
      </c>
      <c r="E124" t="inlineStr">
        <is>
          <t>HÄSSLEHOLM</t>
        </is>
      </c>
      <c r="G124" t="n">
        <v>4.5</v>
      </c>
      <c r="H124" t="n">
        <v>0</v>
      </c>
      <c r="I124" t="n">
        <v>0</v>
      </c>
      <c r="J124" t="n">
        <v>0</v>
      </c>
      <c r="K124" t="n">
        <v>0</v>
      </c>
      <c r="L124" t="n">
        <v>0</v>
      </c>
      <c r="M124" t="n">
        <v>0</v>
      </c>
      <c r="N124" t="n">
        <v>0</v>
      </c>
      <c r="O124" t="n">
        <v>0</v>
      </c>
      <c r="P124" t="n">
        <v>0</v>
      </c>
      <c r="Q124" t="n">
        <v>0</v>
      </c>
      <c r="R124" s="2" t="inlineStr"/>
    </row>
    <row r="125" ht="15" customHeight="1">
      <c r="A125" t="inlineStr">
        <is>
          <t>A 48363-2019</t>
        </is>
      </c>
      <c r="B125" s="1" t="n">
        <v>43726</v>
      </c>
      <c r="C125" s="1" t="n">
        <v>45669</v>
      </c>
      <c r="D125" t="inlineStr">
        <is>
          <t>SKÅNE LÄN</t>
        </is>
      </c>
      <c r="E125" t="inlineStr">
        <is>
          <t>HÄSSLEHOLM</t>
        </is>
      </c>
      <c r="G125" t="n">
        <v>4.7</v>
      </c>
      <c r="H125" t="n">
        <v>0</v>
      </c>
      <c r="I125" t="n">
        <v>0</v>
      </c>
      <c r="J125" t="n">
        <v>0</v>
      </c>
      <c r="K125" t="n">
        <v>0</v>
      </c>
      <c r="L125" t="n">
        <v>0</v>
      </c>
      <c r="M125" t="n">
        <v>0</v>
      </c>
      <c r="N125" t="n">
        <v>0</v>
      </c>
      <c r="O125" t="n">
        <v>0</v>
      </c>
      <c r="P125" t="n">
        <v>0</v>
      </c>
      <c r="Q125" t="n">
        <v>0</v>
      </c>
      <c r="R125" s="2" t="inlineStr"/>
    </row>
    <row r="126" ht="15" customHeight="1">
      <c r="A126" t="inlineStr">
        <is>
          <t>A 48602-2019</t>
        </is>
      </c>
      <c r="B126" s="1" t="n">
        <v>43727</v>
      </c>
      <c r="C126" s="1" t="n">
        <v>45669</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48601-2019</t>
        </is>
      </c>
      <c r="B127" s="1" t="n">
        <v>43727</v>
      </c>
      <c r="C127" s="1" t="n">
        <v>45669</v>
      </c>
      <c r="D127" t="inlineStr">
        <is>
          <t>SKÅNE LÄN</t>
        </is>
      </c>
      <c r="E127" t="inlineStr">
        <is>
          <t>HÄSSLEHOLM</t>
        </is>
      </c>
      <c r="G127" t="n">
        <v>1.1</v>
      </c>
      <c r="H127" t="n">
        <v>0</v>
      </c>
      <c r="I127" t="n">
        <v>0</v>
      </c>
      <c r="J127" t="n">
        <v>0</v>
      </c>
      <c r="K127" t="n">
        <v>0</v>
      </c>
      <c r="L127" t="n">
        <v>0</v>
      </c>
      <c r="M127" t="n">
        <v>0</v>
      </c>
      <c r="N127" t="n">
        <v>0</v>
      </c>
      <c r="O127" t="n">
        <v>0</v>
      </c>
      <c r="P127" t="n">
        <v>0</v>
      </c>
      <c r="Q127" t="n">
        <v>0</v>
      </c>
      <c r="R127" s="2" t="inlineStr"/>
    </row>
    <row r="128" ht="15" customHeight="1">
      <c r="A128" t="inlineStr">
        <is>
          <t>A 49028-2019</t>
        </is>
      </c>
      <c r="B128" s="1" t="n">
        <v>43731</v>
      </c>
      <c r="C128" s="1" t="n">
        <v>45669</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51573-2019</t>
        </is>
      </c>
      <c r="B129" s="1" t="n">
        <v>43740</v>
      </c>
      <c r="C129" s="1" t="n">
        <v>45669</v>
      </c>
      <c r="D129" t="inlineStr">
        <is>
          <t>SKÅNE LÄN</t>
        </is>
      </c>
      <c r="E129" t="inlineStr">
        <is>
          <t>HÄSSLEHOLM</t>
        </is>
      </c>
      <c r="G129" t="n">
        <v>1.3</v>
      </c>
      <c r="H129" t="n">
        <v>0</v>
      </c>
      <c r="I129" t="n">
        <v>0</v>
      </c>
      <c r="J129" t="n">
        <v>0</v>
      </c>
      <c r="K129" t="n">
        <v>0</v>
      </c>
      <c r="L129" t="n">
        <v>0</v>
      </c>
      <c r="M129" t="n">
        <v>0</v>
      </c>
      <c r="N129" t="n">
        <v>0</v>
      </c>
      <c r="O129" t="n">
        <v>0</v>
      </c>
      <c r="P129" t="n">
        <v>0</v>
      </c>
      <c r="Q129" t="n">
        <v>0</v>
      </c>
      <c r="R129" s="2" t="inlineStr"/>
    </row>
    <row r="130" ht="15" customHeight="1">
      <c r="A130" t="inlineStr">
        <is>
          <t>A 52964-2019</t>
        </is>
      </c>
      <c r="B130" s="1" t="n">
        <v>43740</v>
      </c>
      <c r="C130" s="1" t="n">
        <v>45669</v>
      </c>
      <c r="D130" t="inlineStr">
        <is>
          <t>SKÅNE LÄN</t>
        </is>
      </c>
      <c r="E130" t="inlineStr">
        <is>
          <t>HÄSSLEHOLM</t>
        </is>
      </c>
      <c r="G130" t="n">
        <v>7.5</v>
      </c>
      <c r="H130" t="n">
        <v>0</v>
      </c>
      <c r="I130" t="n">
        <v>0</v>
      </c>
      <c r="J130" t="n">
        <v>0</v>
      </c>
      <c r="K130" t="n">
        <v>0</v>
      </c>
      <c r="L130" t="n">
        <v>0</v>
      </c>
      <c r="M130" t="n">
        <v>0</v>
      </c>
      <c r="N130" t="n">
        <v>0</v>
      </c>
      <c r="O130" t="n">
        <v>0</v>
      </c>
      <c r="P130" t="n">
        <v>0</v>
      </c>
      <c r="Q130" t="n">
        <v>0</v>
      </c>
      <c r="R130" s="2" t="inlineStr"/>
    </row>
    <row r="131" ht="15" customHeight="1">
      <c r="A131" t="inlineStr">
        <is>
          <t>A 51476-2019</t>
        </is>
      </c>
      <c r="B131" s="1" t="n">
        <v>43740</v>
      </c>
      <c r="C131" s="1" t="n">
        <v>45669</v>
      </c>
      <c r="D131" t="inlineStr">
        <is>
          <t>SKÅNE LÄN</t>
        </is>
      </c>
      <c r="E131" t="inlineStr">
        <is>
          <t>HÄSSLEHOLM</t>
        </is>
      </c>
      <c r="G131" t="n">
        <v>3.8</v>
      </c>
      <c r="H131" t="n">
        <v>0</v>
      </c>
      <c r="I131" t="n">
        <v>0</v>
      </c>
      <c r="J131" t="n">
        <v>0</v>
      </c>
      <c r="K131" t="n">
        <v>0</v>
      </c>
      <c r="L131" t="n">
        <v>0</v>
      </c>
      <c r="M131" t="n">
        <v>0</v>
      </c>
      <c r="N131" t="n">
        <v>0</v>
      </c>
      <c r="O131" t="n">
        <v>0</v>
      </c>
      <c r="P131" t="n">
        <v>0</v>
      </c>
      <c r="Q131" t="n">
        <v>0</v>
      </c>
      <c r="R131" s="2" t="inlineStr"/>
    </row>
    <row r="132" ht="15" customHeight="1">
      <c r="A132" t="inlineStr">
        <is>
          <t>A 51579-2019</t>
        </is>
      </c>
      <c r="B132" s="1" t="n">
        <v>43740</v>
      </c>
      <c r="C132" s="1" t="n">
        <v>45669</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51543-2019</t>
        </is>
      </c>
      <c r="B133" s="1" t="n">
        <v>43740</v>
      </c>
      <c r="C133" s="1" t="n">
        <v>45669</v>
      </c>
      <c r="D133" t="inlineStr">
        <is>
          <t>SKÅNE LÄN</t>
        </is>
      </c>
      <c r="E133" t="inlineStr">
        <is>
          <t>HÄSSLEHOLM</t>
        </is>
      </c>
      <c r="G133" t="n">
        <v>4</v>
      </c>
      <c r="H133" t="n">
        <v>0</v>
      </c>
      <c r="I133" t="n">
        <v>0</v>
      </c>
      <c r="J133" t="n">
        <v>0</v>
      </c>
      <c r="K133" t="n">
        <v>0</v>
      </c>
      <c r="L133" t="n">
        <v>0</v>
      </c>
      <c r="M133" t="n">
        <v>0</v>
      </c>
      <c r="N133" t="n">
        <v>0</v>
      </c>
      <c r="O133" t="n">
        <v>0</v>
      </c>
      <c r="P133" t="n">
        <v>0</v>
      </c>
      <c r="Q133" t="n">
        <v>0</v>
      </c>
      <c r="R133" s="2" t="inlineStr"/>
    </row>
    <row r="134" ht="15" customHeight="1">
      <c r="A134" t="inlineStr">
        <is>
          <t>A 51581-2019</t>
        </is>
      </c>
      <c r="B134" s="1" t="n">
        <v>43740</v>
      </c>
      <c r="C134" s="1" t="n">
        <v>45669</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51936-2019</t>
        </is>
      </c>
      <c r="B135" s="1" t="n">
        <v>43741</v>
      </c>
      <c r="C135" s="1" t="n">
        <v>45669</v>
      </c>
      <c r="D135" t="inlineStr">
        <is>
          <t>SKÅNE LÄN</t>
        </is>
      </c>
      <c r="E135" t="inlineStr">
        <is>
          <t>HÄSSLEHOLM</t>
        </is>
      </c>
      <c r="G135" t="n">
        <v>1.8</v>
      </c>
      <c r="H135" t="n">
        <v>0</v>
      </c>
      <c r="I135" t="n">
        <v>0</v>
      </c>
      <c r="J135" t="n">
        <v>0</v>
      </c>
      <c r="K135" t="n">
        <v>0</v>
      </c>
      <c r="L135" t="n">
        <v>0</v>
      </c>
      <c r="M135" t="n">
        <v>0</v>
      </c>
      <c r="N135" t="n">
        <v>0</v>
      </c>
      <c r="O135" t="n">
        <v>0</v>
      </c>
      <c r="P135" t="n">
        <v>0</v>
      </c>
      <c r="Q135" t="n">
        <v>0</v>
      </c>
      <c r="R135" s="2" t="inlineStr"/>
    </row>
    <row r="136" ht="15" customHeight="1">
      <c r="A136" t="inlineStr">
        <is>
          <t>A 51795-2019</t>
        </is>
      </c>
      <c r="B136" s="1" t="n">
        <v>43741</v>
      </c>
      <c r="C136" s="1" t="n">
        <v>45669</v>
      </c>
      <c r="D136" t="inlineStr">
        <is>
          <t>SKÅNE LÄN</t>
        </is>
      </c>
      <c r="E136" t="inlineStr">
        <is>
          <t>HÄSSLEHOLM</t>
        </is>
      </c>
      <c r="G136" t="n">
        <v>2</v>
      </c>
      <c r="H136" t="n">
        <v>0</v>
      </c>
      <c r="I136" t="n">
        <v>0</v>
      </c>
      <c r="J136" t="n">
        <v>0</v>
      </c>
      <c r="K136" t="n">
        <v>0</v>
      </c>
      <c r="L136" t="n">
        <v>0</v>
      </c>
      <c r="M136" t="n">
        <v>0</v>
      </c>
      <c r="N136" t="n">
        <v>0</v>
      </c>
      <c r="O136" t="n">
        <v>0</v>
      </c>
      <c r="P136" t="n">
        <v>0</v>
      </c>
      <c r="Q136" t="n">
        <v>0</v>
      </c>
      <c r="R136" s="2" t="inlineStr"/>
    </row>
    <row r="137" ht="15" customHeight="1">
      <c r="A137" t="inlineStr">
        <is>
          <t>A 52896-2019</t>
        </is>
      </c>
      <c r="B137" s="1" t="n">
        <v>43746</v>
      </c>
      <c r="C137" s="1" t="n">
        <v>45669</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54745-2019</t>
        </is>
      </c>
      <c r="B138" s="1" t="n">
        <v>43749</v>
      </c>
      <c r="C138" s="1" t="n">
        <v>45669</v>
      </c>
      <c r="D138" t="inlineStr">
        <is>
          <t>SKÅNE LÄN</t>
        </is>
      </c>
      <c r="E138" t="inlineStr">
        <is>
          <t>HÄSSLEHOLM</t>
        </is>
      </c>
      <c r="G138" t="n">
        <v>2.5</v>
      </c>
      <c r="H138" t="n">
        <v>0</v>
      </c>
      <c r="I138" t="n">
        <v>0</v>
      </c>
      <c r="J138" t="n">
        <v>0</v>
      </c>
      <c r="K138" t="n">
        <v>0</v>
      </c>
      <c r="L138" t="n">
        <v>0</v>
      </c>
      <c r="M138" t="n">
        <v>0</v>
      </c>
      <c r="N138" t="n">
        <v>0</v>
      </c>
      <c r="O138" t="n">
        <v>0</v>
      </c>
      <c r="P138" t="n">
        <v>0</v>
      </c>
      <c r="Q138" t="n">
        <v>0</v>
      </c>
      <c r="R138" s="2" t="inlineStr"/>
    </row>
    <row r="139" ht="15" customHeight="1">
      <c r="A139" t="inlineStr">
        <is>
          <t>A 55155-2019</t>
        </is>
      </c>
      <c r="B139" s="1" t="n">
        <v>43752</v>
      </c>
      <c r="C139" s="1" t="n">
        <v>45669</v>
      </c>
      <c r="D139" t="inlineStr">
        <is>
          <t>SKÅNE LÄN</t>
        </is>
      </c>
      <c r="E139" t="inlineStr">
        <is>
          <t>HÄSSLEHOLM</t>
        </is>
      </c>
      <c r="F139" t="inlineStr">
        <is>
          <t>Övriga Aktiebolag</t>
        </is>
      </c>
      <c r="G139" t="n">
        <v>2</v>
      </c>
      <c r="H139" t="n">
        <v>0</v>
      </c>
      <c r="I139" t="n">
        <v>0</v>
      </c>
      <c r="J139" t="n">
        <v>0</v>
      </c>
      <c r="K139" t="n">
        <v>0</v>
      </c>
      <c r="L139" t="n">
        <v>0</v>
      </c>
      <c r="M139" t="n">
        <v>0</v>
      </c>
      <c r="N139" t="n">
        <v>0</v>
      </c>
      <c r="O139" t="n">
        <v>0</v>
      </c>
      <c r="P139" t="n">
        <v>0</v>
      </c>
      <c r="Q139" t="n">
        <v>0</v>
      </c>
      <c r="R139" s="2" t="inlineStr"/>
    </row>
    <row r="140" ht="15" customHeight="1">
      <c r="A140" t="inlineStr">
        <is>
          <t>A 55167-2019</t>
        </is>
      </c>
      <c r="B140" s="1" t="n">
        <v>43756</v>
      </c>
      <c r="C140" s="1" t="n">
        <v>45669</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55087-2019</t>
        </is>
      </c>
      <c r="B141" s="1" t="n">
        <v>43756</v>
      </c>
      <c r="C141" s="1" t="n">
        <v>45669</v>
      </c>
      <c r="D141" t="inlineStr">
        <is>
          <t>SKÅNE LÄN</t>
        </is>
      </c>
      <c r="E141" t="inlineStr">
        <is>
          <t>HÄSSLEHOLM</t>
        </is>
      </c>
      <c r="F141" t="inlineStr">
        <is>
          <t>Kommuner</t>
        </is>
      </c>
      <c r="G141" t="n">
        <v>2</v>
      </c>
      <c r="H141" t="n">
        <v>0</v>
      </c>
      <c r="I141" t="n">
        <v>0</v>
      </c>
      <c r="J141" t="n">
        <v>0</v>
      </c>
      <c r="K141" t="n">
        <v>0</v>
      </c>
      <c r="L141" t="n">
        <v>0</v>
      </c>
      <c r="M141" t="n">
        <v>0</v>
      </c>
      <c r="N141" t="n">
        <v>0</v>
      </c>
      <c r="O141" t="n">
        <v>0</v>
      </c>
      <c r="P141" t="n">
        <v>0</v>
      </c>
      <c r="Q141" t="n">
        <v>0</v>
      </c>
      <c r="R141" s="2" t="inlineStr"/>
    </row>
    <row r="142" ht="15" customHeight="1">
      <c r="A142" t="inlineStr">
        <is>
          <t>A 55410-2019</t>
        </is>
      </c>
      <c r="B142" s="1" t="n">
        <v>43758</v>
      </c>
      <c r="C142" s="1" t="n">
        <v>45669</v>
      </c>
      <c r="D142" t="inlineStr">
        <is>
          <t>SKÅNE LÄN</t>
        </is>
      </c>
      <c r="E142" t="inlineStr">
        <is>
          <t>HÄSSLEHOLM</t>
        </is>
      </c>
      <c r="G142" t="n">
        <v>4.8</v>
      </c>
      <c r="H142" t="n">
        <v>0</v>
      </c>
      <c r="I142" t="n">
        <v>0</v>
      </c>
      <c r="J142" t="n">
        <v>0</v>
      </c>
      <c r="K142" t="n">
        <v>0</v>
      </c>
      <c r="L142" t="n">
        <v>0</v>
      </c>
      <c r="M142" t="n">
        <v>0</v>
      </c>
      <c r="N142" t="n">
        <v>0</v>
      </c>
      <c r="O142" t="n">
        <v>0</v>
      </c>
      <c r="P142" t="n">
        <v>0</v>
      </c>
      <c r="Q142" t="n">
        <v>0</v>
      </c>
      <c r="R142" s="2" t="inlineStr"/>
    </row>
    <row r="143" ht="15" customHeight="1">
      <c r="A143" t="inlineStr">
        <is>
          <t>A 55761-2019</t>
        </is>
      </c>
      <c r="B143" s="1" t="n">
        <v>43759</v>
      </c>
      <c r="C143" s="1" t="n">
        <v>45669</v>
      </c>
      <c r="D143" t="inlineStr">
        <is>
          <t>SKÅNE LÄN</t>
        </is>
      </c>
      <c r="E143" t="inlineStr">
        <is>
          <t>HÄSSLEHOLM</t>
        </is>
      </c>
      <c r="F143" t="inlineStr">
        <is>
          <t>Kommuner</t>
        </is>
      </c>
      <c r="G143" t="n">
        <v>7.7</v>
      </c>
      <c r="H143" t="n">
        <v>0</v>
      </c>
      <c r="I143" t="n">
        <v>0</v>
      </c>
      <c r="J143" t="n">
        <v>0</v>
      </c>
      <c r="K143" t="n">
        <v>0</v>
      </c>
      <c r="L143" t="n">
        <v>0</v>
      </c>
      <c r="M143" t="n">
        <v>0</v>
      </c>
      <c r="N143" t="n">
        <v>0</v>
      </c>
      <c r="O143" t="n">
        <v>0</v>
      </c>
      <c r="P143" t="n">
        <v>0</v>
      </c>
      <c r="Q143" t="n">
        <v>0</v>
      </c>
      <c r="R143" s="2" t="inlineStr"/>
    </row>
    <row r="144" ht="15" customHeight="1">
      <c r="A144" t="inlineStr">
        <is>
          <t>A 55984-2019</t>
        </is>
      </c>
      <c r="B144" s="1" t="n">
        <v>43759</v>
      </c>
      <c r="C144" s="1" t="n">
        <v>45669</v>
      </c>
      <c r="D144" t="inlineStr">
        <is>
          <t>SKÅNE LÄN</t>
        </is>
      </c>
      <c r="E144" t="inlineStr">
        <is>
          <t>HÄSSLEHOLM</t>
        </is>
      </c>
      <c r="F144" t="inlineStr">
        <is>
          <t>Kommuner</t>
        </is>
      </c>
      <c r="G144" t="n">
        <v>21.9</v>
      </c>
      <c r="H144" t="n">
        <v>0</v>
      </c>
      <c r="I144" t="n">
        <v>0</v>
      </c>
      <c r="J144" t="n">
        <v>0</v>
      </c>
      <c r="K144" t="n">
        <v>0</v>
      </c>
      <c r="L144" t="n">
        <v>0</v>
      </c>
      <c r="M144" t="n">
        <v>0</v>
      </c>
      <c r="N144" t="n">
        <v>0</v>
      </c>
      <c r="O144" t="n">
        <v>0</v>
      </c>
      <c r="P144" t="n">
        <v>0</v>
      </c>
      <c r="Q144" t="n">
        <v>0</v>
      </c>
      <c r="R144" s="2" t="inlineStr"/>
    </row>
    <row r="145" ht="15" customHeight="1">
      <c r="A145" t="inlineStr">
        <is>
          <t>A 55631-2019</t>
        </is>
      </c>
      <c r="B145" s="1" t="n">
        <v>43760</v>
      </c>
      <c r="C145" s="1" t="n">
        <v>45669</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55654-2019</t>
        </is>
      </c>
      <c r="B146" s="1" t="n">
        <v>43760</v>
      </c>
      <c r="C146" s="1" t="n">
        <v>45669</v>
      </c>
      <c r="D146" t="inlineStr">
        <is>
          <t>SKÅNE LÄN</t>
        </is>
      </c>
      <c r="E146" t="inlineStr">
        <is>
          <t>HÄSSLEHOLM</t>
        </is>
      </c>
      <c r="G146" t="n">
        <v>1.3</v>
      </c>
      <c r="H146" t="n">
        <v>0</v>
      </c>
      <c r="I146" t="n">
        <v>0</v>
      </c>
      <c r="J146" t="n">
        <v>0</v>
      </c>
      <c r="K146" t="n">
        <v>0</v>
      </c>
      <c r="L146" t="n">
        <v>0</v>
      </c>
      <c r="M146" t="n">
        <v>0</v>
      </c>
      <c r="N146" t="n">
        <v>0</v>
      </c>
      <c r="O146" t="n">
        <v>0</v>
      </c>
      <c r="P146" t="n">
        <v>0</v>
      </c>
      <c r="Q146" t="n">
        <v>0</v>
      </c>
      <c r="R146" s="2" t="inlineStr"/>
    </row>
    <row r="147" ht="15" customHeight="1">
      <c r="A147" t="inlineStr">
        <is>
          <t>A 55995-2019</t>
        </is>
      </c>
      <c r="B147" s="1" t="n">
        <v>43761</v>
      </c>
      <c r="C147" s="1" t="n">
        <v>45669</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56138-2019</t>
        </is>
      </c>
      <c r="B148" s="1" t="n">
        <v>43761</v>
      </c>
      <c r="C148" s="1" t="n">
        <v>45669</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58525-2019</t>
        </is>
      </c>
      <c r="B149" s="1" t="n">
        <v>43766</v>
      </c>
      <c r="C149" s="1" t="n">
        <v>45669</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58818-2019</t>
        </is>
      </c>
      <c r="B150" s="1" t="n">
        <v>43768</v>
      </c>
      <c r="C150" s="1" t="n">
        <v>45669</v>
      </c>
      <c r="D150" t="inlineStr">
        <is>
          <t>SKÅNE LÄN</t>
        </is>
      </c>
      <c r="E150" t="inlineStr">
        <is>
          <t>HÄSSLEHOLM</t>
        </is>
      </c>
      <c r="G150" t="n">
        <v>1.6</v>
      </c>
      <c r="H150" t="n">
        <v>0</v>
      </c>
      <c r="I150" t="n">
        <v>0</v>
      </c>
      <c r="J150" t="n">
        <v>0</v>
      </c>
      <c r="K150" t="n">
        <v>0</v>
      </c>
      <c r="L150" t="n">
        <v>0</v>
      </c>
      <c r="M150" t="n">
        <v>0</v>
      </c>
      <c r="N150" t="n">
        <v>0</v>
      </c>
      <c r="O150" t="n">
        <v>0</v>
      </c>
      <c r="P150" t="n">
        <v>0</v>
      </c>
      <c r="Q150" t="n">
        <v>0</v>
      </c>
      <c r="R150" s="2" t="inlineStr"/>
    </row>
    <row r="151" ht="15" customHeight="1">
      <c r="A151" t="inlineStr">
        <is>
          <t>A 58840-2019</t>
        </is>
      </c>
      <c r="B151" s="1" t="n">
        <v>43768</v>
      </c>
      <c r="C151" s="1" t="n">
        <v>45669</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58070-2019</t>
        </is>
      </c>
      <c r="B152" s="1" t="n">
        <v>43769</v>
      </c>
      <c r="C152" s="1" t="n">
        <v>45669</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58889-2019</t>
        </is>
      </c>
      <c r="B153" s="1" t="n">
        <v>43774</v>
      </c>
      <c r="C153" s="1" t="n">
        <v>45669</v>
      </c>
      <c r="D153" t="inlineStr">
        <is>
          <t>SKÅNE LÄN</t>
        </is>
      </c>
      <c r="E153" t="inlineStr">
        <is>
          <t>HÄSSLEHOLM</t>
        </is>
      </c>
      <c r="G153" t="n">
        <v>2.3</v>
      </c>
      <c r="H153" t="n">
        <v>0</v>
      </c>
      <c r="I153" t="n">
        <v>0</v>
      </c>
      <c r="J153" t="n">
        <v>0</v>
      </c>
      <c r="K153" t="n">
        <v>0</v>
      </c>
      <c r="L153" t="n">
        <v>0</v>
      </c>
      <c r="M153" t="n">
        <v>0</v>
      </c>
      <c r="N153" t="n">
        <v>0</v>
      </c>
      <c r="O153" t="n">
        <v>0</v>
      </c>
      <c r="P153" t="n">
        <v>0</v>
      </c>
      <c r="Q153" t="n">
        <v>0</v>
      </c>
      <c r="R153" s="2" t="inlineStr"/>
    </row>
    <row r="154" ht="15" customHeight="1">
      <c r="A154" t="inlineStr">
        <is>
          <t>A 59828-2019</t>
        </is>
      </c>
      <c r="B154" s="1" t="n">
        <v>43777</v>
      </c>
      <c r="C154" s="1" t="n">
        <v>45669</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61572-2019</t>
        </is>
      </c>
      <c r="B155" s="1" t="n">
        <v>43784</v>
      </c>
      <c r="C155" s="1" t="n">
        <v>45669</v>
      </c>
      <c r="D155" t="inlineStr">
        <is>
          <t>SKÅNE LÄN</t>
        </is>
      </c>
      <c r="E155" t="inlineStr">
        <is>
          <t>HÄSSLEHOLM</t>
        </is>
      </c>
      <c r="G155" t="n">
        <v>2.6</v>
      </c>
      <c r="H155" t="n">
        <v>0</v>
      </c>
      <c r="I155" t="n">
        <v>0</v>
      </c>
      <c r="J155" t="n">
        <v>0</v>
      </c>
      <c r="K155" t="n">
        <v>0</v>
      </c>
      <c r="L155" t="n">
        <v>0</v>
      </c>
      <c r="M155" t="n">
        <v>0</v>
      </c>
      <c r="N155" t="n">
        <v>0</v>
      </c>
      <c r="O155" t="n">
        <v>0</v>
      </c>
      <c r="P155" t="n">
        <v>0</v>
      </c>
      <c r="Q155" t="n">
        <v>0</v>
      </c>
      <c r="R155" s="2" t="inlineStr"/>
    </row>
    <row r="156" ht="15" customHeight="1">
      <c r="A156" t="inlineStr">
        <is>
          <t>A 61664-2019</t>
        </is>
      </c>
      <c r="B156" s="1" t="n">
        <v>43784</v>
      </c>
      <c r="C156" s="1" t="n">
        <v>45669</v>
      </c>
      <c r="D156" t="inlineStr">
        <is>
          <t>SKÅNE LÄN</t>
        </is>
      </c>
      <c r="E156" t="inlineStr">
        <is>
          <t>HÄSSLEHOLM</t>
        </is>
      </c>
      <c r="G156" t="n">
        <v>4.4</v>
      </c>
      <c r="H156" t="n">
        <v>0</v>
      </c>
      <c r="I156" t="n">
        <v>0</v>
      </c>
      <c r="J156" t="n">
        <v>0</v>
      </c>
      <c r="K156" t="n">
        <v>0</v>
      </c>
      <c r="L156" t="n">
        <v>0</v>
      </c>
      <c r="M156" t="n">
        <v>0</v>
      </c>
      <c r="N156" t="n">
        <v>0</v>
      </c>
      <c r="O156" t="n">
        <v>0</v>
      </c>
      <c r="P156" t="n">
        <v>0</v>
      </c>
      <c r="Q156" t="n">
        <v>0</v>
      </c>
      <c r="R156" s="2" t="inlineStr"/>
    </row>
    <row r="157" ht="15" customHeight="1">
      <c r="A157" t="inlineStr">
        <is>
          <t>A 61665-2019</t>
        </is>
      </c>
      <c r="B157" s="1" t="n">
        <v>43784</v>
      </c>
      <c r="C157" s="1" t="n">
        <v>45669</v>
      </c>
      <c r="D157" t="inlineStr">
        <is>
          <t>SKÅNE LÄN</t>
        </is>
      </c>
      <c r="E157" t="inlineStr">
        <is>
          <t>HÄSSLEHOLM</t>
        </is>
      </c>
      <c r="G157" t="n">
        <v>1.9</v>
      </c>
      <c r="H157" t="n">
        <v>0</v>
      </c>
      <c r="I157" t="n">
        <v>0</v>
      </c>
      <c r="J157" t="n">
        <v>0</v>
      </c>
      <c r="K157" t="n">
        <v>0</v>
      </c>
      <c r="L157" t="n">
        <v>0</v>
      </c>
      <c r="M157" t="n">
        <v>0</v>
      </c>
      <c r="N157" t="n">
        <v>0</v>
      </c>
      <c r="O157" t="n">
        <v>0</v>
      </c>
      <c r="P157" t="n">
        <v>0</v>
      </c>
      <c r="Q157" t="n">
        <v>0</v>
      </c>
      <c r="R157" s="2" t="inlineStr"/>
    </row>
    <row r="158" ht="15" customHeight="1">
      <c r="A158" t="inlineStr">
        <is>
          <t>A 62981-2019</t>
        </is>
      </c>
      <c r="B158" s="1" t="n">
        <v>43790</v>
      </c>
      <c r="C158" s="1" t="n">
        <v>45669</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62978-2019</t>
        </is>
      </c>
      <c r="B159" s="1" t="n">
        <v>43790</v>
      </c>
      <c r="C159" s="1" t="n">
        <v>45669</v>
      </c>
      <c r="D159" t="inlineStr">
        <is>
          <t>SKÅNE LÄN</t>
        </is>
      </c>
      <c r="E159" t="inlineStr">
        <is>
          <t>HÄSSLEHOLM</t>
        </is>
      </c>
      <c r="G159" t="n">
        <v>1.4</v>
      </c>
      <c r="H159" t="n">
        <v>0</v>
      </c>
      <c r="I159" t="n">
        <v>0</v>
      </c>
      <c r="J159" t="n">
        <v>0</v>
      </c>
      <c r="K159" t="n">
        <v>0</v>
      </c>
      <c r="L159" t="n">
        <v>0</v>
      </c>
      <c r="M159" t="n">
        <v>0</v>
      </c>
      <c r="N159" t="n">
        <v>0</v>
      </c>
      <c r="O159" t="n">
        <v>0</v>
      </c>
      <c r="P159" t="n">
        <v>0</v>
      </c>
      <c r="Q159" t="n">
        <v>0</v>
      </c>
      <c r="R159" s="2" t="inlineStr"/>
    </row>
    <row r="160" ht="15" customHeight="1">
      <c r="A160" t="inlineStr">
        <is>
          <t>A 62994-2019</t>
        </is>
      </c>
      <c r="B160" s="1" t="n">
        <v>43790</v>
      </c>
      <c r="C160" s="1" t="n">
        <v>45669</v>
      </c>
      <c r="D160" t="inlineStr">
        <is>
          <t>SKÅNE LÄN</t>
        </is>
      </c>
      <c r="E160" t="inlineStr">
        <is>
          <t>HÄSSLEHOLM</t>
        </is>
      </c>
      <c r="G160" t="n">
        <v>1.9</v>
      </c>
      <c r="H160" t="n">
        <v>0</v>
      </c>
      <c r="I160" t="n">
        <v>0</v>
      </c>
      <c r="J160" t="n">
        <v>0</v>
      </c>
      <c r="K160" t="n">
        <v>0</v>
      </c>
      <c r="L160" t="n">
        <v>0</v>
      </c>
      <c r="M160" t="n">
        <v>0</v>
      </c>
      <c r="N160" t="n">
        <v>0</v>
      </c>
      <c r="O160" t="n">
        <v>0</v>
      </c>
      <c r="P160" t="n">
        <v>0</v>
      </c>
      <c r="Q160" t="n">
        <v>0</v>
      </c>
      <c r="R160" s="2" t="inlineStr"/>
    </row>
    <row r="161" ht="15" customHeight="1">
      <c r="A161" t="inlineStr">
        <is>
          <t>A 62997-2019</t>
        </is>
      </c>
      <c r="B161" s="1" t="n">
        <v>43790</v>
      </c>
      <c r="C161" s="1" t="n">
        <v>45669</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64766-2019</t>
        </is>
      </c>
      <c r="B162" s="1" t="n">
        <v>43795</v>
      </c>
      <c r="C162" s="1" t="n">
        <v>45669</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63710-2019</t>
        </is>
      </c>
      <c r="B163" s="1" t="n">
        <v>43795</v>
      </c>
      <c r="C163" s="1" t="n">
        <v>45669</v>
      </c>
      <c r="D163" t="inlineStr">
        <is>
          <t>SKÅNE LÄN</t>
        </is>
      </c>
      <c r="E163" t="inlineStr">
        <is>
          <t>HÄSSLEHOLM</t>
        </is>
      </c>
      <c r="G163" t="n">
        <v>3.8</v>
      </c>
      <c r="H163" t="n">
        <v>0</v>
      </c>
      <c r="I163" t="n">
        <v>0</v>
      </c>
      <c r="J163" t="n">
        <v>0</v>
      </c>
      <c r="K163" t="n">
        <v>0</v>
      </c>
      <c r="L163" t="n">
        <v>0</v>
      </c>
      <c r="M163" t="n">
        <v>0</v>
      </c>
      <c r="N163" t="n">
        <v>0</v>
      </c>
      <c r="O163" t="n">
        <v>0</v>
      </c>
      <c r="P163" t="n">
        <v>0</v>
      </c>
      <c r="Q163" t="n">
        <v>0</v>
      </c>
      <c r="R163" s="2" t="inlineStr"/>
    </row>
    <row r="164" ht="15" customHeight="1">
      <c r="A164" t="inlineStr">
        <is>
          <t>A 66885-2019</t>
        </is>
      </c>
      <c r="B164" s="1" t="n">
        <v>43805</v>
      </c>
      <c r="C164" s="1" t="n">
        <v>45669</v>
      </c>
      <c r="D164" t="inlineStr">
        <is>
          <t>SKÅNE LÄN</t>
        </is>
      </c>
      <c r="E164" t="inlineStr">
        <is>
          <t>HÄSSLEHOLM</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66428-2019</t>
        </is>
      </c>
      <c r="B165" s="1" t="n">
        <v>43809</v>
      </c>
      <c r="C165" s="1" t="n">
        <v>45669</v>
      </c>
      <c r="D165" t="inlineStr">
        <is>
          <t>SKÅNE LÄN</t>
        </is>
      </c>
      <c r="E165" t="inlineStr">
        <is>
          <t>HÄSSLEHOLM</t>
        </is>
      </c>
      <c r="G165" t="n">
        <v>2.6</v>
      </c>
      <c r="H165" t="n">
        <v>0</v>
      </c>
      <c r="I165" t="n">
        <v>0</v>
      </c>
      <c r="J165" t="n">
        <v>0</v>
      </c>
      <c r="K165" t="n">
        <v>0</v>
      </c>
      <c r="L165" t="n">
        <v>0</v>
      </c>
      <c r="M165" t="n">
        <v>0</v>
      </c>
      <c r="N165" t="n">
        <v>0</v>
      </c>
      <c r="O165" t="n">
        <v>0</v>
      </c>
      <c r="P165" t="n">
        <v>0</v>
      </c>
      <c r="Q165" t="n">
        <v>0</v>
      </c>
      <c r="R165" s="2" t="inlineStr"/>
    </row>
    <row r="166" ht="15" customHeight="1">
      <c r="A166" t="inlineStr">
        <is>
          <t>A 66662-2019</t>
        </is>
      </c>
      <c r="B166" s="1" t="n">
        <v>43809</v>
      </c>
      <c r="C166" s="1" t="n">
        <v>45669</v>
      </c>
      <c r="D166" t="inlineStr">
        <is>
          <t>SKÅNE LÄN</t>
        </is>
      </c>
      <c r="E166" t="inlineStr">
        <is>
          <t>HÄSSLEHOLM</t>
        </is>
      </c>
      <c r="G166" t="n">
        <v>9</v>
      </c>
      <c r="H166" t="n">
        <v>0</v>
      </c>
      <c r="I166" t="n">
        <v>0</v>
      </c>
      <c r="J166" t="n">
        <v>0</v>
      </c>
      <c r="K166" t="n">
        <v>0</v>
      </c>
      <c r="L166" t="n">
        <v>0</v>
      </c>
      <c r="M166" t="n">
        <v>0</v>
      </c>
      <c r="N166" t="n">
        <v>0</v>
      </c>
      <c r="O166" t="n">
        <v>0</v>
      </c>
      <c r="P166" t="n">
        <v>0</v>
      </c>
      <c r="Q166" t="n">
        <v>0</v>
      </c>
      <c r="R166" s="2" t="inlineStr"/>
    </row>
    <row r="167" ht="15" customHeight="1">
      <c r="A167" t="inlineStr">
        <is>
          <t>A 67756-2019</t>
        </is>
      </c>
      <c r="B167" s="1" t="n">
        <v>43810</v>
      </c>
      <c r="C167" s="1" t="n">
        <v>45669</v>
      </c>
      <c r="D167" t="inlineStr">
        <is>
          <t>SKÅNE LÄN</t>
        </is>
      </c>
      <c r="E167" t="inlineStr">
        <is>
          <t>HÄSSLEHOLM</t>
        </is>
      </c>
      <c r="G167" t="n">
        <v>4.2</v>
      </c>
      <c r="H167" t="n">
        <v>0</v>
      </c>
      <c r="I167" t="n">
        <v>0</v>
      </c>
      <c r="J167" t="n">
        <v>0</v>
      </c>
      <c r="K167" t="n">
        <v>0</v>
      </c>
      <c r="L167" t="n">
        <v>0</v>
      </c>
      <c r="M167" t="n">
        <v>0</v>
      </c>
      <c r="N167" t="n">
        <v>0</v>
      </c>
      <c r="O167" t="n">
        <v>0</v>
      </c>
      <c r="P167" t="n">
        <v>0</v>
      </c>
      <c r="Q167" t="n">
        <v>0</v>
      </c>
      <c r="R167" s="2" t="inlineStr"/>
    </row>
    <row r="168" ht="15" customHeight="1">
      <c r="A168" t="inlineStr">
        <is>
          <t>A 68546-2019</t>
        </is>
      </c>
      <c r="B168" s="1" t="n">
        <v>43811</v>
      </c>
      <c r="C168" s="1" t="n">
        <v>45669</v>
      </c>
      <c r="D168" t="inlineStr">
        <is>
          <t>SKÅNE LÄN</t>
        </is>
      </c>
      <c r="E168" t="inlineStr">
        <is>
          <t>HÄSSLEHOLM</t>
        </is>
      </c>
      <c r="G168" t="n">
        <v>3.2</v>
      </c>
      <c r="H168" t="n">
        <v>0</v>
      </c>
      <c r="I168" t="n">
        <v>0</v>
      </c>
      <c r="J168" t="n">
        <v>0</v>
      </c>
      <c r="K168" t="n">
        <v>0</v>
      </c>
      <c r="L168" t="n">
        <v>0</v>
      </c>
      <c r="M168" t="n">
        <v>0</v>
      </c>
      <c r="N168" t="n">
        <v>0</v>
      </c>
      <c r="O168" t="n">
        <v>0</v>
      </c>
      <c r="P168" t="n">
        <v>0</v>
      </c>
      <c r="Q168" t="n">
        <v>0</v>
      </c>
      <c r="R168" s="2" t="inlineStr"/>
    </row>
    <row r="169" ht="15" customHeight="1">
      <c r="A169" t="inlineStr">
        <is>
          <t>A 68817-2019</t>
        </is>
      </c>
      <c r="B169" s="1" t="n">
        <v>43815</v>
      </c>
      <c r="C169" s="1" t="n">
        <v>45669</v>
      </c>
      <c r="D169" t="inlineStr">
        <is>
          <t>SKÅNE LÄN</t>
        </is>
      </c>
      <c r="E169" t="inlineStr">
        <is>
          <t>HÄSSLEHOLM</t>
        </is>
      </c>
      <c r="G169" t="n">
        <v>2.4</v>
      </c>
      <c r="H169" t="n">
        <v>0</v>
      </c>
      <c r="I169" t="n">
        <v>0</v>
      </c>
      <c r="J169" t="n">
        <v>0</v>
      </c>
      <c r="K169" t="n">
        <v>0</v>
      </c>
      <c r="L169" t="n">
        <v>0</v>
      </c>
      <c r="M169" t="n">
        <v>0</v>
      </c>
      <c r="N169" t="n">
        <v>0</v>
      </c>
      <c r="O169" t="n">
        <v>0</v>
      </c>
      <c r="P169" t="n">
        <v>0</v>
      </c>
      <c r="Q169" t="n">
        <v>0</v>
      </c>
      <c r="R169" s="2" t="inlineStr"/>
    </row>
    <row r="170" ht="15" customHeight="1">
      <c r="A170" t="inlineStr">
        <is>
          <t>A 2700-2020</t>
        </is>
      </c>
      <c r="B170" s="1" t="n">
        <v>43844</v>
      </c>
      <c r="C170" s="1" t="n">
        <v>45669</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3189-2020</t>
        </is>
      </c>
      <c r="B171" s="1" t="n">
        <v>43844</v>
      </c>
      <c r="C171" s="1" t="n">
        <v>45669</v>
      </c>
      <c r="D171" t="inlineStr">
        <is>
          <t>SKÅNE LÄN</t>
        </is>
      </c>
      <c r="E171" t="inlineStr">
        <is>
          <t>HÄSSLEHOLM</t>
        </is>
      </c>
      <c r="G171" t="n">
        <v>7.5</v>
      </c>
      <c r="H171" t="n">
        <v>0</v>
      </c>
      <c r="I171" t="n">
        <v>0</v>
      </c>
      <c r="J171" t="n">
        <v>0</v>
      </c>
      <c r="K171" t="n">
        <v>0</v>
      </c>
      <c r="L171" t="n">
        <v>0</v>
      </c>
      <c r="M171" t="n">
        <v>0</v>
      </c>
      <c r="N171" t="n">
        <v>0</v>
      </c>
      <c r="O171" t="n">
        <v>0</v>
      </c>
      <c r="P171" t="n">
        <v>0</v>
      </c>
      <c r="Q171" t="n">
        <v>0</v>
      </c>
      <c r="R171" s="2" t="inlineStr"/>
    </row>
    <row r="172" ht="15" customHeight="1">
      <c r="A172" t="inlineStr">
        <is>
          <t>A 1909-2020</t>
        </is>
      </c>
      <c r="B172" s="1" t="n">
        <v>43845</v>
      </c>
      <c r="C172" s="1" t="n">
        <v>45669</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2036-2020</t>
        </is>
      </c>
      <c r="B173" s="1" t="n">
        <v>43845</v>
      </c>
      <c r="C173" s="1" t="n">
        <v>45669</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3441-2020</t>
        </is>
      </c>
      <c r="B174" s="1" t="n">
        <v>43847</v>
      </c>
      <c r="C174" s="1" t="n">
        <v>45669</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2731-2020</t>
        </is>
      </c>
      <c r="B175" s="1" t="n">
        <v>43850</v>
      </c>
      <c r="C175" s="1" t="n">
        <v>45669</v>
      </c>
      <c r="D175" t="inlineStr">
        <is>
          <t>SKÅNE LÄN</t>
        </is>
      </c>
      <c r="E175" t="inlineStr">
        <is>
          <t>HÄSSLEHOLM</t>
        </is>
      </c>
      <c r="G175" t="n">
        <v>6.2</v>
      </c>
      <c r="H175" t="n">
        <v>0</v>
      </c>
      <c r="I175" t="n">
        <v>0</v>
      </c>
      <c r="J175" t="n">
        <v>0</v>
      </c>
      <c r="K175" t="n">
        <v>0</v>
      </c>
      <c r="L175" t="n">
        <v>0</v>
      </c>
      <c r="M175" t="n">
        <v>0</v>
      </c>
      <c r="N175" t="n">
        <v>0</v>
      </c>
      <c r="O175" t="n">
        <v>0</v>
      </c>
      <c r="P175" t="n">
        <v>0</v>
      </c>
      <c r="Q175" t="n">
        <v>0</v>
      </c>
      <c r="R175" s="2" t="inlineStr"/>
    </row>
    <row r="176" ht="15" customHeight="1">
      <c r="A176" t="inlineStr">
        <is>
          <t>A 4635-2020</t>
        </is>
      </c>
      <c r="B176" s="1" t="n">
        <v>43858</v>
      </c>
      <c r="C176" s="1" t="n">
        <v>45669</v>
      </c>
      <c r="D176" t="inlineStr">
        <is>
          <t>SKÅNE LÄN</t>
        </is>
      </c>
      <c r="E176" t="inlineStr">
        <is>
          <t>HÄSSLEHOLM</t>
        </is>
      </c>
      <c r="G176" t="n">
        <v>10.7</v>
      </c>
      <c r="H176" t="n">
        <v>0</v>
      </c>
      <c r="I176" t="n">
        <v>0</v>
      </c>
      <c r="J176" t="n">
        <v>0</v>
      </c>
      <c r="K176" t="n">
        <v>0</v>
      </c>
      <c r="L176" t="n">
        <v>0</v>
      </c>
      <c r="M176" t="n">
        <v>0</v>
      </c>
      <c r="N176" t="n">
        <v>0</v>
      </c>
      <c r="O176" t="n">
        <v>0</v>
      </c>
      <c r="P176" t="n">
        <v>0</v>
      </c>
      <c r="Q176" t="n">
        <v>0</v>
      </c>
      <c r="R176" s="2" t="inlineStr"/>
    </row>
    <row r="177" ht="15" customHeight="1">
      <c r="A177" t="inlineStr">
        <is>
          <t>A 4750-2020</t>
        </is>
      </c>
      <c r="B177" s="1" t="n">
        <v>43859</v>
      </c>
      <c r="C177" s="1" t="n">
        <v>45669</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4974-2020</t>
        </is>
      </c>
      <c r="B178" s="1" t="n">
        <v>43859</v>
      </c>
      <c r="C178" s="1" t="n">
        <v>45669</v>
      </c>
      <c r="D178" t="inlineStr">
        <is>
          <t>SKÅNE LÄN</t>
        </is>
      </c>
      <c r="E178" t="inlineStr">
        <is>
          <t>HÄSSLEHOLM</t>
        </is>
      </c>
      <c r="G178" t="n">
        <v>1.4</v>
      </c>
      <c r="H178" t="n">
        <v>0</v>
      </c>
      <c r="I178" t="n">
        <v>0</v>
      </c>
      <c r="J178" t="n">
        <v>0</v>
      </c>
      <c r="K178" t="n">
        <v>0</v>
      </c>
      <c r="L178" t="n">
        <v>0</v>
      </c>
      <c r="M178" t="n">
        <v>0</v>
      </c>
      <c r="N178" t="n">
        <v>0</v>
      </c>
      <c r="O178" t="n">
        <v>0</v>
      </c>
      <c r="P178" t="n">
        <v>0</v>
      </c>
      <c r="Q178" t="n">
        <v>0</v>
      </c>
      <c r="R178" s="2" t="inlineStr"/>
    </row>
    <row r="179" ht="15" customHeight="1">
      <c r="A179" t="inlineStr">
        <is>
          <t>A 5190-2020</t>
        </is>
      </c>
      <c r="B179" s="1" t="n">
        <v>43860</v>
      </c>
      <c r="C179" s="1" t="n">
        <v>45669</v>
      </c>
      <c r="D179" t="inlineStr">
        <is>
          <t>SKÅNE LÄN</t>
        </is>
      </c>
      <c r="E179" t="inlineStr">
        <is>
          <t>HÄSSLEHOLM</t>
        </is>
      </c>
      <c r="G179" t="n">
        <v>3.7</v>
      </c>
      <c r="H179" t="n">
        <v>0</v>
      </c>
      <c r="I179" t="n">
        <v>0</v>
      </c>
      <c r="J179" t="n">
        <v>0</v>
      </c>
      <c r="K179" t="n">
        <v>0</v>
      </c>
      <c r="L179" t="n">
        <v>0</v>
      </c>
      <c r="M179" t="n">
        <v>0</v>
      </c>
      <c r="N179" t="n">
        <v>0</v>
      </c>
      <c r="O179" t="n">
        <v>0</v>
      </c>
      <c r="P179" t="n">
        <v>0</v>
      </c>
      <c r="Q179" t="n">
        <v>0</v>
      </c>
      <c r="R179" s="2" t="inlineStr"/>
    </row>
    <row r="180" ht="15" customHeight="1">
      <c r="A180" t="inlineStr">
        <is>
          <t>A 6417-2020</t>
        </is>
      </c>
      <c r="B180" s="1" t="n">
        <v>43866</v>
      </c>
      <c r="C180" s="1" t="n">
        <v>45669</v>
      </c>
      <c r="D180" t="inlineStr">
        <is>
          <t>SKÅNE LÄN</t>
        </is>
      </c>
      <c r="E180" t="inlineStr">
        <is>
          <t>HÄSSLEHOLM</t>
        </is>
      </c>
      <c r="G180" t="n">
        <v>2.5</v>
      </c>
      <c r="H180" t="n">
        <v>0</v>
      </c>
      <c r="I180" t="n">
        <v>0</v>
      </c>
      <c r="J180" t="n">
        <v>0</v>
      </c>
      <c r="K180" t="n">
        <v>0</v>
      </c>
      <c r="L180" t="n">
        <v>0</v>
      </c>
      <c r="M180" t="n">
        <v>0</v>
      </c>
      <c r="N180" t="n">
        <v>0</v>
      </c>
      <c r="O180" t="n">
        <v>0</v>
      </c>
      <c r="P180" t="n">
        <v>0</v>
      </c>
      <c r="Q180" t="n">
        <v>0</v>
      </c>
      <c r="R180" s="2" t="inlineStr"/>
    </row>
    <row r="181" ht="15" customHeight="1">
      <c r="A181" t="inlineStr">
        <is>
          <t>A 6595-2020</t>
        </is>
      </c>
      <c r="B181" s="1" t="n">
        <v>43867</v>
      </c>
      <c r="C181" s="1" t="n">
        <v>45669</v>
      </c>
      <c r="D181" t="inlineStr">
        <is>
          <t>SKÅNE LÄN</t>
        </is>
      </c>
      <c r="E181" t="inlineStr">
        <is>
          <t>HÄSSLEHOLM</t>
        </is>
      </c>
      <c r="G181" t="n">
        <v>3.5</v>
      </c>
      <c r="H181" t="n">
        <v>0</v>
      </c>
      <c r="I181" t="n">
        <v>0</v>
      </c>
      <c r="J181" t="n">
        <v>0</v>
      </c>
      <c r="K181" t="n">
        <v>0</v>
      </c>
      <c r="L181" t="n">
        <v>0</v>
      </c>
      <c r="M181" t="n">
        <v>0</v>
      </c>
      <c r="N181" t="n">
        <v>0</v>
      </c>
      <c r="O181" t="n">
        <v>0</v>
      </c>
      <c r="P181" t="n">
        <v>0</v>
      </c>
      <c r="Q181" t="n">
        <v>0</v>
      </c>
      <c r="R181" s="2" t="inlineStr"/>
    </row>
    <row r="182" ht="15" customHeight="1">
      <c r="A182" t="inlineStr">
        <is>
          <t>A 6842-2020</t>
        </is>
      </c>
      <c r="B182" s="1" t="n">
        <v>43867</v>
      </c>
      <c r="C182" s="1" t="n">
        <v>45669</v>
      </c>
      <c r="D182" t="inlineStr">
        <is>
          <t>SKÅNE LÄN</t>
        </is>
      </c>
      <c r="E182" t="inlineStr">
        <is>
          <t>HÄSSLEHOLM</t>
        </is>
      </c>
      <c r="G182" t="n">
        <v>6.1</v>
      </c>
      <c r="H182" t="n">
        <v>0</v>
      </c>
      <c r="I182" t="n">
        <v>0</v>
      </c>
      <c r="J182" t="n">
        <v>0</v>
      </c>
      <c r="K182" t="n">
        <v>0</v>
      </c>
      <c r="L182" t="n">
        <v>0</v>
      </c>
      <c r="M182" t="n">
        <v>0</v>
      </c>
      <c r="N182" t="n">
        <v>0</v>
      </c>
      <c r="O182" t="n">
        <v>0</v>
      </c>
      <c r="P182" t="n">
        <v>0</v>
      </c>
      <c r="Q182" t="n">
        <v>0</v>
      </c>
      <c r="R182" s="2" t="inlineStr"/>
    </row>
    <row r="183" ht="15" customHeight="1">
      <c r="A183" t="inlineStr">
        <is>
          <t>A 7195-2020</t>
        </is>
      </c>
      <c r="B183" s="1" t="n">
        <v>43871</v>
      </c>
      <c r="C183" s="1" t="n">
        <v>45669</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7393-2020</t>
        </is>
      </c>
      <c r="B184" s="1" t="n">
        <v>43871</v>
      </c>
      <c r="C184" s="1" t="n">
        <v>45669</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7196-2020</t>
        </is>
      </c>
      <c r="B185" s="1" t="n">
        <v>43871</v>
      </c>
      <c r="C185" s="1" t="n">
        <v>45669</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7394-2020</t>
        </is>
      </c>
      <c r="B186" s="1" t="n">
        <v>43871</v>
      </c>
      <c r="C186" s="1" t="n">
        <v>45669</v>
      </c>
      <c r="D186" t="inlineStr">
        <is>
          <t>SKÅNE LÄN</t>
        </is>
      </c>
      <c r="E186" t="inlineStr">
        <is>
          <t>HÄSSLEHOLM</t>
        </is>
      </c>
      <c r="G186" t="n">
        <v>2.6</v>
      </c>
      <c r="H186" t="n">
        <v>0</v>
      </c>
      <c r="I186" t="n">
        <v>0</v>
      </c>
      <c r="J186" t="n">
        <v>0</v>
      </c>
      <c r="K186" t="n">
        <v>0</v>
      </c>
      <c r="L186" t="n">
        <v>0</v>
      </c>
      <c r="M186" t="n">
        <v>0</v>
      </c>
      <c r="N186" t="n">
        <v>0</v>
      </c>
      <c r="O186" t="n">
        <v>0</v>
      </c>
      <c r="P186" t="n">
        <v>0</v>
      </c>
      <c r="Q186" t="n">
        <v>0</v>
      </c>
      <c r="R186" s="2" t="inlineStr"/>
    </row>
    <row r="187" ht="15" customHeight="1">
      <c r="A187" t="inlineStr">
        <is>
          <t>A 7737-2020</t>
        </is>
      </c>
      <c r="B187" s="1" t="n">
        <v>43872</v>
      </c>
      <c r="C187" s="1" t="n">
        <v>45669</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7738-2020</t>
        </is>
      </c>
      <c r="B188" s="1" t="n">
        <v>43872</v>
      </c>
      <c r="C188" s="1" t="n">
        <v>45669</v>
      </c>
      <c r="D188" t="inlineStr">
        <is>
          <t>SKÅNE LÄN</t>
        </is>
      </c>
      <c r="E188" t="inlineStr">
        <is>
          <t>HÄSSLEHOLM</t>
        </is>
      </c>
      <c r="G188" t="n">
        <v>1.6</v>
      </c>
      <c r="H188" t="n">
        <v>0</v>
      </c>
      <c r="I188" t="n">
        <v>0</v>
      </c>
      <c r="J188" t="n">
        <v>0</v>
      </c>
      <c r="K188" t="n">
        <v>0</v>
      </c>
      <c r="L188" t="n">
        <v>0</v>
      </c>
      <c r="M188" t="n">
        <v>0</v>
      </c>
      <c r="N188" t="n">
        <v>0</v>
      </c>
      <c r="O188" t="n">
        <v>0</v>
      </c>
      <c r="P188" t="n">
        <v>0</v>
      </c>
      <c r="Q188" t="n">
        <v>0</v>
      </c>
      <c r="R188" s="2" t="inlineStr"/>
    </row>
    <row r="189" ht="15" customHeight="1">
      <c r="A189" t="inlineStr">
        <is>
          <t>A 8199-2020</t>
        </is>
      </c>
      <c r="B189" s="1" t="n">
        <v>43874</v>
      </c>
      <c r="C189" s="1" t="n">
        <v>45669</v>
      </c>
      <c r="D189" t="inlineStr">
        <is>
          <t>SKÅNE LÄN</t>
        </is>
      </c>
      <c r="E189" t="inlineStr">
        <is>
          <t>HÄSSLEHOLM</t>
        </is>
      </c>
      <c r="F189" t="inlineStr">
        <is>
          <t>Kyrkan</t>
        </is>
      </c>
      <c r="G189" t="n">
        <v>5.6</v>
      </c>
      <c r="H189" t="n">
        <v>0</v>
      </c>
      <c r="I189" t="n">
        <v>0</v>
      </c>
      <c r="J189" t="n">
        <v>0</v>
      </c>
      <c r="K189" t="n">
        <v>0</v>
      </c>
      <c r="L189" t="n">
        <v>0</v>
      </c>
      <c r="M189" t="n">
        <v>0</v>
      </c>
      <c r="N189" t="n">
        <v>0</v>
      </c>
      <c r="O189" t="n">
        <v>0</v>
      </c>
      <c r="P189" t="n">
        <v>0</v>
      </c>
      <c r="Q189" t="n">
        <v>0</v>
      </c>
      <c r="R189" s="2" t="inlineStr"/>
    </row>
    <row r="190" ht="15" customHeight="1">
      <c r="A190" t="inlineStr">
        <is>
          <t>A 8651-2020</t>
        </is>
      </c>
      <c r="B190" s="1" t="n">
        <v>43878</v>
      </c>
      <c r="C190" s="1" t="n">
        <v>45669</v>
      </c>
      <c r="D190" t="inlineStr">
        <is>
          <t>SKÅNE LÄN</t>
        </is>
      </c>
      <c r="E190" t="inlineStr">
        <is>
          <t>HÄSSLEHOLM</t>
        </is>
      </c>
      <c r="G190" t="n">
        <v>1.5</v>
      </c>
      <c r="H190" t="n">
        <v>0</v>
      </c>
      <c r="I190" t="n">
        <v>0</v>
      </c>
      <c r="J190" t="n">
        <v>0</v>
      </c>
      <c r="K190" t="n">
        <v>0</v>
      </c>
      <c r="L190" t="n">
        <v>0</v>
      </c>
      <c r="M190" t="n">
        <v>0</v>
      </c>
      <c r="N190" t="n">
        <v>0</v>
      </c>
      <c r="O190" t="n">
        <v>0</v>
      </c>
      <c r="P190" t="n">
        <v>0</v>
      </c>
      <c r="Q190" t="n">
        <v>0</v>
      </c>
      <c r="R190" s="2" t="inlineStr"/>
    </row>
    <row r="191" ht="15" customHeight="1">
      <c r="A191" t="inlineStr">
        <is>
          <t>A 8842-2020</t>
        </is>
      </c>
      <c r="B191" s="1" t="n">
        <v>43878</v>
      </c>
      <c r="C191" s="1" t="n">
        <v>45669</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8840-2020</t>
        </is>
      </c>
      <c r="B192" s="1" t="n">
        <v>43878</v>
      </c>
      <c r="C192" s="1" t="n">
        <v>45669</v>
      </c>
      <c r="D192" t="inlineStr">
        <is>
          <t>SKÅNE LÄN</t>
        </is>
      </c>
      <c r="E192" t="inlineStr">
        <is>
          <t>HÄSSLEHOLM</t>
        </is>
      </c>
      <c r="G192" t="n">
        <v>3.3</v>
      </c>
      <c r="H192" t="n">
        <v>0</v>
      </c>
      <c r="I192" t="n">
        <v>0</v>
      </c>
      <c r="J192" t="n">
        <v>0</v>
      </c>
      <c r="K192" t="n">
        <v>0</v>
      </c>
      <c r="L192" t="n">
        <v>0</v>
      </c>
      <c r="M192" t="n">
        <v>0</v>
      </c>
      <c r="N192" t="n">
        <v>0</v>
      </c>
      <c r="O192" t="n">
        <v>0</v>
      </c>
      <c r="P192" t="n">
        <v>0</v>
      </c>
      <c r="Q192" t="n">
        <v>0</v>
      </c>
      <c r="R192" s="2" t="inlineStr"/>
    </row>
    <row r="193" ht="15" customHeight="1">
      <c r="A193" t="inlineStr">
        <is>
          <t>A 9428-2020</t>
        </is>
      </c>
      <c r="B193" s="1" t="n">
        <v>43880</v>
      </c>
      <c r="C193" s="1" t="n">
        <v>45669</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9661-2020</t>
        </is>
      </c>
      <c r="B194" s="1" t="n">
        <v>43881</v>
      </c>
      <c r="C194" s="1" t="n">
        <v>45669</v>
      </c>
      <c r="D194" t="inlineStr">
        <is>
          <t>SKÅNE LÄN</t>
        </is>
      </c>
      <c r="E194" t="inlineStr">
        <is>
          <t>HÄSSLEHOLM</t>
        </is>
      </c>
      <c r="G194" t="n">
        <v>1.2</v>
      </c>
      <c r="H194" t="n">
        <v>0</v>
      </c>
      <c r="I194" t="n">
        <v>0</v>
      </c>
      <c r="J194" t="n">
        <v>0</v>
      </c>
      <c r="K194" t="n">
        <v>0</v>
      </c>
      <c r="L194" t="n">
        <v>0</v>
      </c>
      <c r="M194" t="n">
        <v>0</v>
      </c>
      <c r="N194" t="n">
        <v>0</v>
      </c>
      <c r="O194" t="n">
        <v>0</v>
      </c>
      <c r="P194" t="n">
        <v>0</v>
      </c>
      <c r="Q194" t="n">
        <v>0</v>
      </c>
      <c r="R194" s="2" t="inlineStr"/>
    </row>
    <row r="195" ht="15" customHeight="1">
      <c r="A195" t="inlineStr">
        <is>
          <t>A 9890-2020</t>
        </is>
      </c>
      <c r="B195" s="1" t="n">
        <v>43882</v>
      </c>
      <c r="C195" s="1" t="n">
        <v>45669</v>
      </c>
      <c r="D195" t="inlineStr">
        <is>
          <t>SKÅNE LÄN</t>
        </is>
      </c>
      <c r="E195" t="inlineStr">
        <is>
          <t>HÄSSLEHOLM</t>
        </is>
      </c>
      <c r="G195" t="n">
        <v>3.2</v>
      </c>
      <c r="H195" t="n">
        <v>0</v>
      </c>
      <c r="I195" t="n">
        <v>0</v>
      </c>
      <c r="J195" t="n">
        <v>0</v>
      </c>
      <c r="K195" t="n">
        <v>0</v>
      </c>
      <c r="L195" t="n">
        <v>0</v>
      </c>
      <c r="M195" t="n">
        <v>0</v>
      </c>
      <c r="N195" t="n">
        <v>0</v>
      </c>
      <c r="O195" t="n">
        <v>0</v>
      </c>
      <c r="P195" t="n">
        <v>0</v>
      </c>
      <c r="Q195" t="n">
        <v>0</v>
      </c>
      <c r="R195" s="2" t="inlineStr"/>
    </row>
    <row r="196" ht="15" customHeight="1">
      <c r="A196" t="inlineStr">
        <is>
          <t>A 9885-2020</t>
        </is>
      </c>
      <c r="B196" s="1" t="n">
        <v>43882</v>
      </c>
      <c r="C196" s="1" t="n">
        <v>45669</v>
      </c>
      <c r="D196" t="inlineStr">
        <is>
          <t>SKÅNE LÄN</t>
        </is>
      </c>
      <c r="E196" t="inlineStr">
        <is>
          <t>HÄSSLEHOLM</t>
        </is>
      </c>
      <c r="G196" t="n">
        <v>6.1</v>
      </c>
      <c r="H196" t="n">
        <v>0</v>
      </c>
      <c r="I196" t="n">
        <v>0</v>
      </c>
      <c r="J196" t="n">
        <v>0</v>
      </c>
      <c r="K196" t="n">
        <v>0</v>
      </c>
      <c r="L196" t="n">
        <v>0</v>
      </c>
      <c r="M196" t="n">
        <v>0</v>
      </c>
      <c r="N196" t="n">
        <v>0</v>
      </c>
      <c r="O196" t="n">
        <v>0</v>
      </c>
      <c r="P196" t="n">
        <v>0</v>
      </c>
      <c r="Q196" t="n">
        <v>0</v>
      </c>
      <c r="R196" s="2" t="inlineStr"/>
    </row>
    <row r="197" ht="15" customHeight="1">
      <c r="A197" t="inlineStr">
        <is>
          <t>A 10263-2020</t>
        </is>
      </c>
      <c r="B197" s="1" t="n">
        <v>43885</v>
      </c>
      <c r="C197" s="1" t="n">
        <v>45669</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10512-2020</t>
        </is>
      </c>
      <c r="B198" s="1" t="n">
        <v>43886</v>
      </c>
      <c r="C198" s="1" t="n">
        <v>45669</v>
      </c>
      <c r="D198" t="inlineStr">
        <is>
          <t>SKÅNE LÄN</t>
        </is>
      </c>
      <c r="E198" t="inlineStr">
        <is>
          <t>HÄSSLEHOLM</t>
        </is>
      </c>
      <c r="G198" t="n">
        <v>2.7</v>
      </c>
      <c r="H198" t="n">
        <v>0</v>
      </c>
      <c r="I198" t="n">
        <v>0</v>
      </c>
      <c r="J198" t="n">
        <v>0</v>
      </c>
      <c r="K198" t="n">
        <v>0</v>
      </c>
      <c r="L198" t="n">
        <v>0</v>
      </c>
      <c r="M198" t="n">
        <v>0</v>
      </c>
      <c r="N198" t="n">
        <v>0</v>
      </c>
      <c r="O198" t="n">
        <v>0</v>
      </c>
      <c r="P198" t="n">
        <v>0</v>
      </c>
      <c r="Q198" t="n">
        <v>0</v>
      </c>
      <c r="R198" s="2" t="inlineStr"/>
    </row>
    <row r="199" ht="15" customHeight="1">
      <c r="A199" t="inlineStr">
        <is>
          <t>A 10956-2020</t>
        </is>
      </c>
      <c r="B199" s="1" t="n">
        <v>43889</v>
      </c>
      <c r="C199" s="1" t="n">
        <v>45669</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11883-2020</t>
        </is>
      </c>
      <c r="B200" s="1" t="n">
        <v>43894</v>
      </c>
      <c r="C200" s="1" t="n">
        <v>45669</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11884-2020</t>
        </is>
      </c>
      <c r="B201" s="1" t="n">
        <v>43894</v>
      </c>
      <c r="C201" s="1" t="n">
        <v>45669</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11925-2020</t>
        </is>
      </c>
      <c r="B202" s="1" t="n">
        <v>43894</v>
      </c>
      <c r="C202" s="1" t="n">
        <v>45669</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11994-2020</t>
        </is>
      </c>
      <c r="B203" s="1" t="n">
        <v>43894</v>
      </c>
      <c r="C203" s="1" t="n">
        <v>45669</v>
      </c>
      <c r="D203" t="inlineStr">
        <is>
          <t>SKÅNE LÄN</t>
        </is>
      </c>
      <c r="E203" t="inlineStr">
        <is>
          <t>HÄSSLEHOLM</t>
        </is>
      </c>
      <c r="G203" t="n">
        <v>1.1</v>
      </c>
      <c r="H203" t="n">
        <v>0</v>
      </c>
      <c r="I203" t="n">
        <v>0</v>
      </c>
      <c r="J203" t="n">
        <v>0</v>
      </c>
      <c r="K203" t="n">
        <v>0</v>
      </c>
      <c r="L203" t="n">
        <v>0</v>
      </c>
      <c r="M203" t="n">
        <v>0</v>
      </c>
      <c r="N203" t="n">
        <v>0</v>
      </c>
      <c r="O203" t="n">
        <v>0</v>
      </c>
      <c r="P203" t="n">
        <v>0</v>
      </c>
      <c r="Q203" t="n">
        <v>0</v>
      </c>
      <c r="R203" s="2" t="inlineStr"/>
    </row>
    <row r="204" ht="15" customHeight="1">
      <c r="A204" t="inlineStr">
        <is>
          <t>A 13486-2020</t>
        </is>
      </c>
      <c r="B204" s="1" t="n">
        <v>43894</v>
      </c>
      <c r="C204" s="1" t="n">
        <v>45669</v>
      </c>
      <c r="D204" t="inlineStr">
        <is>
          <t>SKÅNE LÄN</t>
        </is>
      </c>
      <c r="E204" t="inlineStr">
        <is>
          <t>HÄSSLEHOLM</t>
        </is>
      </c>
      <c r="G204" t="n">
        <v>1.9</v>
      </c>
      <c r="H204" t="n">
        <v>0</v>
      </c>
      <c r="I204" t="n">
        <v>0</v>
      </c>
      <c r="J204" t="n">
        <v>0</v>
      </c>
      <c r="K204" t="n">
        <v>0</v>
      </c>
      <c r="L204" t="n">
        <v>0</v>
      </c>
      <c r="M204" t="n">
        <v>0</v>
      </c>
      <c r="N204" t="n">
        <v>0</v>
      </c>
      <c r="O204" t="n">
        <v>0</v>
      </c>
      <c r="P204" t="n">
        <v>0</v>
      </c>
      <c r="Q204" t="n">
        <v>0</v>
      </c>
      <c r="R204" s="2" t="inlineStr"/>
    </row>
    <row r="205" ht="15" customHeight="1">
      <c r="A205" t="inlineStr">
        <is>
          <t>A 12752-2020</t>
        </is>
      </c>
      <c r="B205" s="1" t="n">
        <v>43899</v>
      </c>
      <c r="C205" s="1" t="n">
        <v>45669</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12756-2020</t>
        </is>
      </c>
      <c r="B206" s="1" t="n">
        <v>43899</v>
      </c>
      <c r="C206" s="1" t="n">
        <v>45669</v>
      </c>
      <c r="D206" t="inlineStr">
        <is>
          <t>SKÅNE LÄN</t>
        </is>
      </c>
      <c r="E206" t="inlineStr">
        <is>
          <t>HÄSSLEHOLM</t>
        </is>
      </c>
      <c r="G206" t="n">
        <v>1.3</v>
      </c>
      <c r="H206" t="n">
        <v>0</v>
      </c>
      <c r="I206" t="n">
        <v>0</v>
      </c>
      <c r="J206" t="n">
        <v>0</v>
      </c>
      <c r="K206" t="n">
        <v>0</v>
      </c>
      <c r="L206" t="n">
        <v>0</v>
      </c>
      <c r="M206" t="n">
        <v>0</v>
      </c>
      <c r="N206" t="n">
        <v>0</v>
      </c>
      <c r="O206" t="n">
        <v>0</v>
      </c>
      <c r="P206" t="n">
        <v>0</v>
      </c>
      <c r="Q206" t="n">
        <v>0</v>
      </c>
      <c r="R206" s="2" t="inlineStr"/>
    </row>
    <row r="207" ht="15" customHeight="1">
      <c r="A207" t="inlineStr">
        <is>
          <t>A 12749-2020</t>
        </is>
      </c>
      <c r="B207" s="1" t="n">
        <v>43899</v>
      </c>
      <c r="C207" s="1" t="n">
        <v>45669</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13976-2020</t>
        </is>
      </c>
      <c r="B208" s="1" t="n">
        <v>43899</v>
      </c>
      <c r="C208" s="1" t="n">
        <v>45669</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13896-2020</t>
        </is>
      </c>
      <c r="B209" s="1" t="n">
        <v>43906</v>
      </c>
      <c r="C209" s="1" t="n">
        <v>45669</v>
      </c>
      <c r="D209" t="inlineStr">
        <is>
          <t>SKÅNE LÄN</t>
        </is>
      </c>
      <c r="E209" t="inlineStr">
        <is>
          <t>HÄSSLEHOLM</t>
        </is>
      </c>
      <c r="G209" t="n">
        <v>2.2</v>
      </c>
      <c r="H209" t="n">
        <v>0</v>
      </c>
      <c r="I209" t="n">
        <v>0</v>
      </c>
      <c r="J209" t="n">
        <v>0</v>
      </c>
      <c r="K209" t="n">
        <v>0</v>
      </c>
      <c r="L209" t="n">
        <v>0</v>
      </c>
      <c r="M209" t="n">
        <v>0</v>
      </c>
      <c r="N209" t="n">
        <v>0</v>
      </c>
      <c r="O209" t="n">
        <v>0</v>
      </c>
      <c r="P209" t="n">
        <v>0</v>
      </c>
      <c r="Q209" t="n">
        <v>0</v>
      </c>
      <c r="R209" s="2" t="inlineStr"/>
    </row>
    <row r="210" ht="15" customHeight="1">
      <c r="A210" t="inlineStr">
        <is>
          <t>A 14040-2020</t>
        </is>
      </c>
      <c r="B210" s="1" t="n">
        <v>43906</v>
      </c>
      <c r="C210" s="1" t="n">
        <v>45669</v>
      </c>
      <c r="D210" t="inlineStr">
        <is>
          <t>SKÅNE LÄN</t>
        </is>
      </c>
      <c r="E210" t="inlineStr">
        <is>
          <t>HÄSSLEHOLM</t>
        </is>
      </c>
      <c r="G210" t="n">
        <v>4.1</v>
      </c>
      <c r="H210" t="n">
        <v>0</v>
      </c>
      <c r="I210" t="n">
        <v>0</v>
      </c>
      <c r="J210" t="n">
        <v>0</v>
      </c>
      <c r="K210" t="n">
        <v>0</v>
      </c>
      <c r="L210" t="n">
        <v>0</v>
      </c>
      <c r="M210" t="n">
        <v>0</v>
      </c>
      <c r="N210" t="n">
        <v>0</v>
      </c>
      <c r="O210" t="n">
        <v>0</v>
      </c>
      <c r="P210" t="n">
        <v>0</v>
      </c>
      <c r="Q210" t="n">
        <v>0</v>
      </c>
      <c r="R210" s="2" t="inlineStr"/>
    </row>
    <row r="211" ht="15" customHeight="1">
      <c r="A211" t="inlineStr">
        <is>
          <t>A 15860-2020</t>
        </is>
      </c>
      <c r="B211" s="1" t="n">
        <v>43910</v>
      </c>
      <c r="C211" s="1" t="n">
        <v>45669</v>
      </c>
      <c r="D211" t="inlineStr">
        <is>
          <t>SKÅNE LÄN</t>
        </is>
      </c>
      <c r="E211" t="inlineStr">
        <is>
          <t>HÄSSLEHOLM</t>
        </is>
      </c>
      <c r="G211" t="n">
        <v>5.2</v>
      </c>
      <c r="H211" t="n">
        <v>0</v>
      </c>
      <c r="I211" t="n">
        <v>0</v>
      </c>
      <c r="J211" t="n">
        <v>0</v>
      </c>
      <c r="K211" t="n">
        <v>0</v>
      </c>
      <c r="L211" t="n">
        <v>0</v>
      </c>
      <c r="M211" t="n">
        <v>0</v>
      </c>
      <c r="N211" t="n">
        <v>0</v>
      </c>
      <c r="O211" t="n">
        <v>0</v>
      </c>
      <c r="P211" t="n">
        <v>0</v>
      </c>
      <c r="Q211" t="n">
        <v>0</v>
      </c>
      <c r="R211" s="2" t="inlineStr"/>
    </row>
    <row r="212" ht="15" customHeight="1">
      <c r="A212" t="inlineStr">
        <is>
          <t>A 15678-2020</t>
        </is>
      </c>
      <c r="B212" s="1" t="n">
        <v>43915</v>
      </c>
      <c r="C212" s="1" t="n">
        <v>45669</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17421-2020</t>
        </is>
      </c>
      <c r="B213" s="1" t="n">
        <v>43917</v>
      </c>
      <c r="C213" s="1" t="n">
        <v>45669</v>
      </c>
      <c r="D213" t="inlineStr">
        <is>
          <t>SKÅNE LÄN</t>
        </is>
      </c>
      <c r="E213" t="inlineStr">
        <is>
          <t>HÄSSLEHOLM</t>
        </is>
      </c>
      <c r="G213" t="n">
        <v>1.7</v>
      </c>
      <c r="H213" t="n">
        <v>0</v>
      </c>
      <c r="I213" t="n">
        <v>0</v>
      </c>
      <c r="J213" t="n">
        <v>0</v>
      </c>
      <c r="K213" t="n">
        <v>0</v>
      </c>
      <c r="L213" t="n">
        <v>0</v>
      </c>
      <c r="M213" t="n">
        <v>0</v>
      </c>
      <c r="N213" t="n">
        <v>0</v>
      </c>
      <c r="O213" t="n">
        <v>0</v>
      </c>
      <c r="P213" t="n">
        <v>0</v>
      </c>
      <c r="Q213" t="n">
        <v>0</v>
      </c>
      <c r="R213" s="2" t="inlineStr"/>
    </row>
    <row r="214" ht="15" customHeight="1">
      <c r="A214" t="inlineStr">
        <is>
          <t>A 17348-2020</t>
        </is>
      </c>
      <c r="B214" s="1" t="n">
        <v>43923</v>
      </c>
      <c r="C214" s="1" t="n">
        <v>45669</v>
      </c>
      <c r="D214" t="inlineStr">
        <is>
          <t>SKÅNE LÄN</t>
        </is>
      </c>
      <c r="E214" t="inlineStr">
        <is>
          <t>HÄSSLEHOLM</t>
        </is>
      </c>
      <c r="G214" t="n">
        <v>2.7</v>
      </c>
      <c r="H214" t="n">
        <v>0</v>
      </c>
      <c r="I214" t="n">
        <v>0</v>
      </c>
      <c r="J214" t="n">
        <v>0</v>
      </c>
      <c r="K214" t="n">
        <v>0</v>
      </c>
      <c r="L214" t="n">
        <v>0</v>
      </c>
      <c r="M214" t="n">
        <v>0</v>
      </c>
      <c r="N214" t="n">
        <v>0</v>
      </c>
      <c r="O214" t="n">
        <v>0</v>
      </c>
      <c r="P214" t="n">
        <v>0</v>
      </c>
      <c r="Q214" t="n">
        <v>0</v>
      </c>
      <c r="R214" s="2" t="inlineStr"/>
    </row>
    <row r="215" ht="15" customHeight="1">
      <c r="A215" t="inlineStr">
        <is>
          <t>A 18406-2020</t>
        </is>
      </c>
      <c r="B215" s="1" t="n">
        <v>43928</v>
      </c>
      <c r="C215" s="1" t="n">
        <v>45669</v>
      </c>
      <c r="D215" t="inlineStr">
        <is>
          <t>SKÅNE LÄN</t>
        </is>
      </c>
      <c r="E215" t="inlineStr">
        <is>
          <t>HÄSSLEHOLM</t>
        </is>
      </c>
      <c r="G215" t="n">
        <v>1.3</v>
      </c>
      <c r="H215" t="n">
        <v>0</v>
      </c>
      <c r="I215" t="n">
        <v>0</v>
      </c>
      <c r="J215" t="n">
        <v>0</v>
      </c>
      <c r="K215" t="n">
        <v>0</v>
      </c>
      <c r="L215" t="n">
        <v>0</v>
      </c>
      <c r="M215" t="n">
        <v>0</v>
      </c>
      <c r="N215" t="n">
        <v>0</v>
      </c>
      <c r="O215" t="n">
        <v>0</v>
      </c>
      <c r="P215" t="n">
        <v>0</v>
      </c>
      <c r="Q215" t="n">
        <v>0</v>
      </c>
      <c r="R215" s="2" t="inlineStr"/>
    </row>
    <row r="216" ht="15" customHeight="1">
      <c r="A216" t="inlineStr">
        <is>
          <t>A 18658-2020</t>
        </is>
      </c>
      <c r="B216" s="1" t="n">
        <v>43930</v>
      </c>
      <c r="C216" s="1" t="n">
        <v>45669</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18846-2020</t>
        </is>
      </c>
      <c r="B217" s="1" t="n">
        <v>43935</v>
      </c>
      <c r="C217" s="1" t="n">
        <v>45669</v>
      </c>
      <c r="D217" t="inlineStr">
        <is>
          <t>SKÅNE LÄN</t>
        </is>
      </c>
      <c r="E217" t="inlineStr">
        <is>
          <t>HÄSSLEHOLM</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20799-2020</t>
        </is>
      </c>
      <c r="B218" s="1" t="n">
        <v>43949</v>
      </c>
      <c r="C218" s="1" t="n">
        <v>45669</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20967-2020</t>
        </is>
      </c>
      <c r="B219" s="1" t="n">
        <v>43950</v>
      </c>
      <c r="C219" s="1" t="n">
        <v>45669</v>
      </c>
      <c r="D219" t="inlineStr">
        <is>
          <t>SKÅNE LÄN</t>
        </is>
      </c>
      <c r="E219" t="inlineStr">
        <is>
          <t>HÄSSLEHOLM</t>
        </is>
      </c>
      <c r="F219" t="inlineStr">
        <is>
          <t>Övriga Aktiebolag</t>
        </is>
      </c>
      <c r="G219" t="n">
        <v>7.9</v>
      </c>
      <c r="H219" t="n">
        <v>0</v>
      </c>
      <c r="I219" t="n">
        <v>0</v>
      </c>
      <c r="J219" t="n">
        <v>0</v>
      </c>
      <c r="K219" t="n">
        <v>0</v>
      </c>
      <c r="L219" t="n">
        <v>0</v>
      </c>
      <c r="M219" t="n">
        <v>0</v>
      </c>
      <c r="N219" t="n">
        <v>0</v>
      </c>
      <c r="O219" t="n">
        <v>0</v>
      </c>
      <c r="P219" t="n">
        <v>0</v>
      </c>
      <c r="Q219" t="n">
        <v>0</v>
      </c>
      <c r="R219" s="2" t="inlineStr"/>
    </row>
    <row r="220" ht="15" customHeight="1">
      <c r="A220" t="inlineStr">
        <is>
          <t>A 20977-2020</t>
        </is>
      </c>
      <c r="B220" s="1" t="n">
        <v>43950</v>
      </c>
      <c r="C220" s="1" t="n">
        <v>45669</v>
      </c>
      <c r="D220" t="inlineStr">
        <is>
          <t>SKÅNE LÄN</t>
        </is>
      </c>
      <c r="E220" t="inlineStr">
        <is>
          <t>HÄSSLEHOLM</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20993-2020</t>
        </is>
      </c>
      <c r="B221" s="1" t="n">
        <v>43950</v>
      </c>
      <c r="C221" s="1" t="n">
        <v>45669</v>
      </c>
      <c r="D221" t="inlineStr">
        <is>
          <t>SKÅNE LÄN</t>
        </is>
      </c>
      <c r="E221" t="inlineStr">
        <is>
          <t>HÄSSLEHOLM</t>
        </is>
      </c>
      <c r="F221" t="inlineStr">
        <is>
          <t>Övriga Aktiebolag</t>
        </is>
      </c>
      <c r="G221" t="n">
        <v>10.5</v>
      </c>
      <c r="H221" t="n">
        <v>0</v>
      </c>
      <c r="I221" t="n">
        <v>0</v>
      </c>
      <c r="J221" t="n">
        <v>0</v>
      </c>
      <c r="K221" t="n">
        <v>0</v>
      </c>
      <c r="L221" t="n">
        <v>0</v>
      </c>
      <c r="M221" t="n">
        <v>0</v>
      </c>
      <c r="N221" t="n">
        <v>0</v>
      </c>
      <c r="O221" t="n">
        <v>0</v>
      </c>
      <c r="P221" t="n">
        <v>0</v>
      </c>
      <c r="Q221" t="n">
        <v>0</v>
      </c>
      <c r="R221" s="2" t="inlineStr"/>
    </row>
    <row r="222" ht="15" customHeight="1">
      <c r="A222" t="inlineStr">
        <is>
          <t>A 21263-2020</t>
        </is>
      </c>
      <c r="B222" s="1" t="n">
        <v>43951</v>
      </c>
      <c r="C222" s="1" t="n">
        <v>45669</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21452-2020</t>
        </is>
      </c>
      <c r="B223" s="1" t="n">
        <v>43955</v>
      </c>
      <c r="C223" s="1" t="n">
        <v>45669</v>
      </c>
      <c r="D223" t="inlineStr">
        <is>
          <t>SKÅNE LÄN</t>
        </is>
      </c>
      <c r="E223" t="inlineStr">
        <is>
          <t>HÄSSLEHOLM</t>
        </is>
      </c>
      <c r="G223" t="n">
        <v>6</v>
      </c>
      <c r="H223" t="n">
        <v>0</v>
      </c>
      <c r="I223" t="n">
        <v>0</v>
      </c>
      <c r="J223" t="n">
        <v>0</v>
      </c>
      <c r="K223" t="n">
        <v>0</v>
      </c>
      <c r="L223" t="n">
        <v>0</v>
      </c>
      <c r="M223" t="n">
        <v>0</v>
      </c>
      <c r="N223" t="n">
        <v>0</v>
      </c>
      <c r="O223" t="n">
        <v>0</v>
      </c>
      <c r="P223" t="n">
        <v>0</v>
      </c>
      <c r="Q223" t="n">
        <v>0</v>
      </c>
      <c r="R223" s="2" t="inlineStr"/>
    </row>
    <row r="224" ht="15" customHeight="1">
      <c r="A224" t="inlineStr">
        <is>
          <t>A 21522-2020</t>
        </is>
      </c>
      <c r="B224" s="1" t="n">
        <v>43955</v>
      </c>
      <c r="C224" s="1" t="n">
        <v>45669</v>
      </c>
      <c r="D224" t="inlineStr">
        <is>
          <t>SKÅNE LÄN</t>
        </is>
      </c>
      <c r="E224" t="inlineStr">
        <is>
          <t>HÄSSLEHOLM</t>
        </is>
      </c>
      <c r="F224" t="inlineStr">
        <is>
          <t>Övriga Aktiebolag</t>
        </is>
      </c>
      <c r="G224" t="n">
        <v>0.5</v>
      </c>
      <c r="H224" t="n">
        <v>0</v>
      </c>
      <c r="I224" t="n">
        <v>0</v>
      </c>
      <c r="J224" t="n">
        <v>0</v>
      </c>
      <c r="K224" t="n">
        <v>0</v>
      </c>
      <c r="L224" t="n">
        <v>0</v>
      </c>
      <c r="M224" t="n">
        <v>0</v>
      </c>
      <c r="N224" t="n">
        <v>0</v>
      </c>
      <c r="O224" t="n">
        <v>0</v>
      </c>
      <c r="P224" t="n">
        <v>0</v>
      </c>
      <c r="Q224" t="n">
        <v>0</v>
      </c>
      <c r="R224" s="2" t="inlineStr"/>
    </row>
    <row r="225" ht="15" customHeight="1">
      <c r="A225" t="inlineStr">
        <is>
          <t>A 21699-2020</t>
        </is>
      </c>
      <c r="B225" s="1" t="n">
        <v>43957</v>
      </c>
      <c r="C225" s="1" t="n">
        <v>45669</v>
      </c>
      <c r="D225" t="inlineStr">
        <is>
          <t>SKÅNE LÄN</t>
        </is>
      </c>
      <c r="E225" t="inlineStr">
        <is>
          <t>HÄSSLEHOLM</t>
        </is>
      </c>
      <c r="G225" t="n">
        <v>1.5</v>
      </c>
      <c r="H225" t="n">
        <v>0</v>
      </c>
      <c r="I225" t="n">
        <v>0</v>
      </c>
      <c r="J225" t="n">
        <v>0</v>
      </c>
      <c r="K225" t="n">
        <v>0</v>
      </c>
      <c r="L225" t="n">
        <v>0</v>
      </c>
      <c r="M225" t="n">
        <v>0</v>
      </c>
      <c r="N225" t="n">
        <v>0</v>
      </c>
      <c r="O225" t="n">
        <v>0</v>
      </c>
      <c r="P225" t="n">
        <v>0</v>
      </c>
      <c r="Q225" t="n">
        <v>0</v>
      </c>
      <c r="R225" s="2" t="inlineStr"/>
    </row>
    <row r="226" ht="15" customHeight="1">
      <c r="A226" t="inlineStr">
        <is>
          <t>A 21697-2020</t>
        </is>
      </c>
      <c r="B226" s="1" t="n">
        <v>43957</v>
      </c>
      <c r="C226" s="1" t="n">
        <v>45669</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21854-2020</t>
        </is>
      </c>
      <c r="B227" s="1" t="n">
        <v>43957</v>
      </c>
      <c r="C227" s="1" t="n">
        <v>45669</v>
      </c>
      <c r="D227" t="inlineStr">
        <is>
          <t>SKÅNE LÄN</t>
        </is>
      </c>
      <c r="E227" t="inlineStr">
        <is>
          <t>HÄSSLEHOLM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23235-2020</t>
        </is>
      </c>
      <c r="B228" s="1" t="n">
        <v>43966</v>
      </c>
      <c r="C228" s="1" t="n">
        <v>45669</v>
      </c>
      <c r="D228" t="inlineStr">
        <is>
          <t>SKÅNE LÄN</t>
        </is>
      </c>
      <c r="E228" t="inlineStr">
        <is>
          <t>HÄSSLEHOLM</t>
        </is>
      </c>
      <c r="G228" t="n">
        <v>5.2</v>
      </c>
      <c r="H228" t="n">
        <v>0</v>
      </c>
      <c r="I228" t="n">
        <v>0</v>
      </c>
      <c r="J228" t="n">
        <v>0</v>
      </c>
      <c r="K228" t="n">
        <v>0</v>
      </c>
      <c r="L228" t="n">
        <v>0</v>
      </c>
      <c r="M228" t="n">
        <v>0</v>
      </c>
      <c r="N228" t="n">
        <v>0</v>
      </c>
      <c r="O228" t="n">
        <v>0</v>
      </c>
      <c r="P228" t="n">
        <v>0</v>
      </c>
      <c r="Q228" t="n">
        <v>0</v>
      </c>
      <c r="R228" s="2" t="inlineStr"/>
    </row>
    <row r="229" ht="15" customHeight="1">
      <c r="A229" t="inlineStr">
        <is>
          <t>A 24227-2020</t>
        </is>
      </c>
      <c r="B229" s="1" t="n">
        <v>43970</v>
      </c>
      <c r="C229" s="1" t="n">
        <v>45669</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24233-2020</t>
        </is>
      </c>
      <c r="B230" s="1" t="n">
        <v>43970</v>
      </c>
      <c r="C230" s="1" t="n">
        <v>45669</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24115-2020</t>
        </is>
      </c>
      <c r="B231" s="1" t="n">
        <v>43973</v>
      </c>
      <c r="C231" s="1" t="n">
        <v>45669</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24669-2020</t>
        </is>
      </c>
      <c r="B232" s="1" t="n">
        <v>43977</v>
      </c>
      <c r="C232" s="1" t="n">
        <v>45669</v>
      </c>
      <c r="D232" t="inlineStr">
        <is>
          <t>SKÅNE LÄN</t>
        </is>
      </c>
      <c r="E232" t="inlineStr">
        <is>
          <t>HÄSSLEHOLM</t>
        </is>
      </c>
      <c r="G232" t="n">
        <v>5.4</v>
      </c>
      <c r="H232" t="n">
        <v>0</v>
      </c>
      <c r="I232" t="n">
        <v>0</v>
      </c>
      <c r="J232" t="n">
        <v>0</v>
      </c>
      <c r="K232" t="n">
        <v>0</v>
      </c>
      <c r="L232" t="n">
        <v>0</v>
      </c>
      <c r="M232" t="n">
        <v>0</v>
      </c>
      <c r="N232" t="n">
        <v>0</v>
      </c>
      <c r="O232" t="n">
        <v>0</v>
      </c>
      <c r="P232" t="n">
        <v>0</v>
      </c>
      <c r="Q232" t="n">
        <v>0</v>
      </c>
      <c r="R232" s="2" t="inlineStr"/>
    </row>
    <row r="233" ht="15" customHeight="1">
      <c r="A233" t="inlineStr">
        <is>
          <t>A 24668-2020</t>
        </is>
      </c>
      <c r="B233" s="1" t="n">
        <v>43977</v>
      </c>
      <c r="C233" s="1" t="n">
        <v>45669</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25071-2020</t>
        </is>
      </c>
      <c r="B234" s="1" t="n">
        <v>43979</v>
      </c>
      <c r="C234" s="1" t="n">
        <v>45669</v>
      </c>
      <c r="D234" t="inlineStr">
        <is>
          <t>SKÅNE LÄN</t>
        </is>
      </c>
      <c r="E234" t="inlineStr">
        <is>
          <t>HÄSSLEHOLM</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25519-2020</t>
        </is>
      </c>
      <c r="B235" s="1" t="n">
        <v>43983</v>
      </c>
      <c r="C235" s="1" t="n">
        <v>45669</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26020-2020</t>
        </is>
      </c>
      <c r="B236" s="1" t="n">
        <v>43985</v>
      </c>
      <c r="C236" s="1" t="n">
        <v>45669</v>
      </c>
      <c r="D236" t="inlineStr">
        <is>
          <t>SKÅNE LÄN</t>
        </is>
      </c>
      <c r="E236" t="inlineStr">
        <is>
          <t>HÄSSLEHOLM</t>
        </is>
      </c>
      <c r="G236" t="n">
        <v>3.8</v>
      </c>
      <c r="H236" t="n">
        <v>0</v>
      </c>
      <c r="I236" t="n">
        <v>0</v>
      </c>
      <c r="J236" t="n">
        <v>0</v>
      </c>
      <c r="K236" t="n">
        <v>0</v>
      </c>
      <c r="L236" t="n">
        <v>0</v>
      </c>
      <c r="M236" t="n">
        <v>0</v>
      </c>
      <c r="N236" t="n">
        <v>0</v>
      </c>
      <c r="O236" t="n">
        <v>0</v>
      </c>
      <c r="P236" t="n">
        <v>0</v>
      </c>
      <c r="Q236" t="n">
        <v>0</v>
      </c>
      <c r="R236" s="2" t="inlineStr"/>
    </row>
    <row r="237" ht="15" customHeight="1">
      <c r="A237" t="inlineStr">
        <is>
          <t>A 26147-2020</t>
        </is>
      </c>
      <c r="B237" s="1" t="n">
        <v>43985</v>
      </c>
      <c r="C237" s="1" t="n">
        <v>45669</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26019-2020</t>
        </is>
      </c>
      <c r="B238" s="1" t="n">
        <v>43985</v>
      </c>
      <c r="C238" s="1" t="n">
        <v>45669</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26451-2020</t>
        </is>
      </c>
      <c r="B239" s="1" t="n">
        <v>43987</v>
      </c>
      <c r="C239" s="1" t="n">
        <v>45669</v>
      </c>
      <c r="D239" t="inlineStr">
        <is>
          <t>SKÅNE LÄN</t>
        </is>
      </c>
      <c r="E239" t="inlineStr">
        <is>
          <t>HÄSSLEHOLM</t>
        </is>
      </c>
      <c r="G239" t="n">
        <v>0.6</v>
      </c>
      <c r="H239" t="n">
        <v>0</v>
      </c>
      <c r="I239" t="n">
        <v>0</v>
      </c>
      <c r="J239" t="n">
        <v>0</v>
      </c>
      <c r="K239" t="n">
        <v>0</v>
      </c>
      <c r="L239" t="n">
        <v>0</v>
      </c>
      <c r="M239" t="n">
        <v>0</v>
      </c>
      <c r="N239" t="n">
        <v>0</v>
      </c>
      <c r="O239" t="n">
        <v>0</v>
      </c>
      <c r="P239" t="n">
        <v>0</v>
      </c>
      <c r="Q239" t="n">
        <v>0</v>
      </c>
      <c r="R239" s="2" t="inlineStr"/>
    </row>
    <row r="240" ht="15" customHeight="1">
      <c r="A240" t="inlineStr">
        <is>
          <t>A 27243-2020</t>
        </is>
      </c>
      <c r="B240" s="1" t="n">
        <v>43992</v>
      </c>
      <c r="C240" s="1" t="n">
        <v>45669</v>
      </c>
      <c r="D240" t="inlineStr">
        <is>
          <t>SKÅNE LÄN</t>
        </is>
      </c>
      <c r="E240" t="inlineStr">
        <is>
          <t>HÄSSLEHOLM</t>
        </is>
      </c>
      <c r="G240" t="n">
        <v>0.7</v>
      </c>
      <c r="H240" t="n">
        <v>0</v>
      </c>
      <c r="I240" t="n">
        <v>0</v>
      </c>
      <c r="J240" t="n">
        <v>0</v>
      </c>
      <c r="K240" t="n">
        <v>0</v>
      </c>
      <c r="L240" t="n">
        <v>0</v>
      </c>
      <c r="M240" t="n">
        <v>0</v>
      </c>
      <c r="N240" t="n">
        <v>0</v>
      </c>
      <c r="O240" t="n">
        <v>0</v>
      </c>
      <c r="P240" t="n">
        <v>0</v>
      </c>
      <c r="Q240" t="n">
        <v>0</v>
      </c>
      <c r="R240" s="2" t="inlineStr"/>
    </row>
    <row r="241" ht="15" customHeight="1">
      <c r="A241" t="inlineStr">
        <is>
          <t>A 27935-2020</t>
        </is>
      </c>
      <c r="B241" s="1" t="n">
        <v>43993</v>
      </c>
      <c r="C241" s="1" t="n">
        <v>45669</v>
      </c>
      <c r="D241" t="inlineStr">
        <is>
          <t>SKÅNE LÄN</t>
        </is>
      </c>
      <c r="E241" t="inlineStr">
        <is>
          <t>HÄSSLEHOLM</t>
        </is>
      </c>
      <c r="G241" t="n">
        <v>1</v>
      </c>
      <c r="H241" t="n">
        <v>0</v>
      </c>
      <c r="I241" t="n">
        <v>0</v>
      </c>
      <c r="J241" t="n">
        <v>0</v>
      </c>
      <c r="K241" t="n">
        <v>0</v>
      </c>
      <c r="L241" t="n">
        <v>0</v>
      </c>
      <c r="M241" t="n">
        <v>0</v>
      </c>
      <c r="N241" t="n">
        <v>0</v>
      </c>
      <c r="O241" t="n">
        <v>0</v>
      </c>
      <c r="P241" t="n">
        <v>0</v>
      </c>
      <c r="Q241" t="n">
        <v>0</v>
      </c>
      <c r="R241" s="2" t="inlineStr"/>
    </row>
    <row r="242" ht="15" customHeight="1">
      <c r="A242" t="inlineStr">
        <is>
          <t>A 28023-2020</t>
        </is>
      </c>
      <c r="B242" s="1" t="n">
        <v>43997</v>
      </c>
      <c r="C242" s="1" t="n">
        <v>45669</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29016-2020</t>
        </is>
      </c>
      <c r="B243" s="1" t="n">
        <v>43999</v>
      </c>
      <c r="C243" s="1" t="n">
        <v>45669</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28884-2020</t>
        </is>
      </c>
      <c r="B244" s="1" t="n">
        <v>43999</v>
      </c>
      <c r="C244" s="1" t="n">
        <v>45669</v>
      </c>
      <c r="D244" t="inlineStr">
        <is>
          <t>SKÅNE LÄN</t>
        </is>
      </c>
      <c r="E244" t="inlineStr">
        <is>
          <t>HÄSSLEHOLM</t>
        </is>
      </c>
      <c r="G244" t="n">
        <v>1.2</v>
      </c>
      <c r="H244" t="n">
        <v>0</v>
      </c>
      <c r="I244" t="n">
        <v>0</v>
      </c>
      <c r="J244" t="n">
        <v>0</v>
      </c>
      <c r="K244" t="n">
        <v>0</v>
      </c>
      <c r="L244" t="n">
        <v>0</v>
      </c>
      <c r="M244" t="n">
        <v>0</v>
      </c>
      <c r="N244" t="n">
        <v>0</v>
      </c>
      <c r="O244" t="n">
        <v>0</v>
      </c>
      <c r="P244" t="n">
        <v>0</v>
      </c>
      <c r="Q244" t="n">
        <v>0</v>
      </c>
      <c r="R244" s="2" t="inlineStr"/>
    </row>
    <row r="245" ht="15" customHeight="1">
      <c r="A245" t="inlineStr">
        <is>
          <t>A 28863-2020</t>
        </is>
      </c>
      <c r="B245" s="1" t="n">
        <v>43999</v>
      </c>
      <c r="C245" s="1" t="n">
        <v>45669</v>
      </c>
      <c r="D245" t="inlineStr">
        <is>
          <t>SKÅNE LÄN</t>
        </is>
      </c>
      <c r="E245" t="inlineStr">
        <is>
          <t>HÄSSLEHOLM</t>
        </is>
      </c>
      <c r="G245" t="n">
        <v>1.7</v>
      </c>
      <c r="H245" t="n">
        <v>0</v>
      </c>
      <c r="I245" t="n">
        <v>0</v>
      </c>
      <c r="J245" t="n">
        <v>0</v>
      </c>
      <c r="K245" t="n">
        <v>0</v>
      </c>
      <c r="L245" t="n">
        <v>0</v>
      </c>
      <c r="M245" t="n">
        <v>0</v>
      </c>
      <c r="N245" t="n">
        <v>0</v>
      </c>
      <c r="O245" t="n">
        <v>0</v>
      </c>
      <c r="P245" t="n">
        <v>0</v>
      </c>
      <c r="Q245" t="n">
        <v>0</v>
      </c>
      <c r="R245" s="2" t="inlineStr"/>
    </row>
    <row r="246" ht="15" customHeight="1">
      <c r="A246" t="inlineStr">
        <is>
          <t>A 29230-2020</t>
        </is>
      </c>
      <c r="B246" s="1" t="n">
        <v>44004</v>
      </c>
      <c r="C246" s="1" t="n">
        <v>45669</v>
      </c>
      <c r="D246" t="inlineStr">
        <is>
          <t>SKÅNE LÄN</t>
        </is>
      </c>
      <c r="E246" t="inlineStr">
        <is>
          <t>HÄSSLEHOLM</t>
        </is>
      </c>
      <c r="G246" t="n">
        <v>1.6</v>
      </c>
      <c r="H246" t="n">
        <v>0</v>
      </c>
      <c r="I246" t="n">
        <v>0</v>
      </c>
      <c r="J246" t="n">
        <v>0</v>
      </c>
      <c r="K246" t="n">
        <v>0</v>
      </c>
      <c r="L246" t="n">
        <v>0</v>
      </c>
      <c r="M246" t="n">
        <v>0</v>
      </c>
      <c r="N246" t="n">
        <v>0</v>
      </c>
      <c r="O246" t="n">
        <v>0</v>
      </c>
      <c r="P246" t="n">
        <v>0</v>
      </c>
      <c r="Q246" t="n">
        <v>0</v>
      </c>
      <c r="R246" s="2" t="inlineStr"/>
    </row>
    <row r="247" ht="15" customHeight="1">
      <c r="A247" t="inlineStr">
        <is>
          <t>A 29719-2020</t>
        </is>
      </c>
      <c r="B247" s="1" t="n">
        <v>44005</v>
      </c>
      <c r="C247" s="1" t="n">
        <v>45669</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29932-2020</t>
        </is>
      </c>
      <c r="B248" s="1" t="n">
        <v>44006</v>
      </c>
      <c r="C248" s="1" t="n">
        <v>45669</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30292-2020</t>
        </is>
      </c>
      <c r="B249" s="1" t="n">
        <v>44007</v>
      </c>
      <c r="C249" s="1" t="n">
        <v>45669</v>
      </c>
      <c r="D249" t="inlineStr">
        <is>
          <t>SKÅNE LÄN</t>
        </is>
      </c>
      <c r="E249" t="inlineStr">
        <is>
          <t>HÄSSLEHOLM</t>
        </is>
      </c>
      <c r="G249" t="n">
        <v>0.9</v>
      </c>
      <c r="H249" t="n">
        <v>0</v>
      </c>
      <c r="I249" t="n">
        <v>0</v>
      </c>
      <c r="J249" t="n">
        <v>0</v>
      </c>
      <c r="K249" t="n">
        <v>0</v>
      </c>
      <c r="L249" t="n">
        <v>0</v>
      </c>
      <c r="M249" t="n">
        <v>0</v>
      </c>
      <c r="N249" t="n">
        <v>0</v>
      </c>
      <c r="O249" t="n">
        <v>0</v>
      </c>
      <c r="P249" t="n">
        <v>0</v>
      </c>
      <c r="Q249" t="n">
        <v>0</v>
      </c>
      <c r="R249" s="2" t="inlineStr"/>
    </row>
    <row r="250" ht="15" customHeight="1">
      <c r="A250" t="inlineStr">
        <is>
          <t>A 30719-2020</t>
        </is>
      </c>
      <c r="B250" s="1" t="n">
        <v>44008</v>
      </c>
      <c r="C250" s="1" t="n">
        <v>45669</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30816-2020</t>
        </is>
      </c>
      <c r="B251" s="1" t="n">
        <v>44011</v>
      </c>
      <c r="C251" s="1" t="n">
        <v>45669</v>
      </c>
      <c r="D251" t="inlineStr">
        <is>
          <t>SKÅNE LÄN</t>
        </is>
      </c>
      <c r="E251" t="inlineStr">
        <is>
          <t>HÄSSLEHOLM</t>
        </is>
      </c>
      <c r="G251" t="n">
        <v>2.6</v>
      </c>
      <c r="H251" t="n">
        <v>0</v>
      </c>
      <c r="I251" t="n">
        <v>0</v>
      </c>
      <c r="J251" t="n">
        <v>0</v>
      </c>
      <c r="K251" t="n">
        <v>0</v>
      </c>
      <c r="L251" t="n">
        <v>0</v>
      </c>
      <c r="M251" t="n">
        <v>0</v>
      </c>
      <c r="N251" t="n">
        <v>0</v>
      </c>
      <c r="O251" t="n">
        <v>0</v>
      </c>
      <c r="P251" t="n">
        <v>0</v>
      </c>
      <c r="Q251" t="n">
        <v>0</v>
      </c>
      <c r="R251" s="2" t="inlineStr"/>
    </row>
    <row r="252" ht="15" customHeight="1">
      <c r="A252" t="inlineStr">
        <is>
          <t>A 31069-2020</t>
        </is>
      </c>
      <c r="B252" s="1" t="n">
        <v>44012</v>
      </c>
      <c r="C252" s="1" t="n">
        <v>45669</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31617-2020</t>
        </is>
      </c>
      <c r="B253" s="1" t="n">
        <v>44013</v>
      </c>
      <c r="C253" s="1" t="n">
        <v>45669</v>
      </c>
      <c r="D253" t="inlineStr">
        <is>
          <t>SKÅNE LÄN</t>
        </is>
      </c>
      <c r="E253" t="inlineStr">
        <is>
          <t>HÄSSLEHOLM</t>
        </is>
      </c>
      <c r="G253" t="n">
        <v>1.1</v>
      </c>
      <c r="H253" t="n">
        <v>0</v>
      </c>
      <c r="I253" t="n">
        <v>0</v>
      </c>
      <c r="J253" t="n">
        <v>0</v>
      </c>
      <c r="K253" t="n">
        <v>0</v>
      </c>
      <c r="L253" t="n">
        <v>0</v>
      </c>
      <c r="M253" t="n">
        <v>0</v>
      </c>
      <c r="N253" t="n">
        <v>0</v>
      </c>
      <c r="O253" t="n">
        <v>0</v>
      </c>
      <c r="P253" t="n">
        <v>0</v>
      </c>
      <c r="Q253" t="n">
        <v>0</v>
      </c>
      <c r="R253" s="2" t="inlineStr"/>
    </row>
    <row r="254" ht="15" customHeight="1">
      <c r="A254" t="inlineStr">
        <is>
          <t>A 31628-2020</t>
        </is>
      </c>
      <c r="B254" s="1" t="n">
        <v>44013</v>
      </c>
      <c r="C254" s="1" t="n">
        <v>45669</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31625-2020</t>
        </is>
      </c>
      <c r="B255" s="1" t="n">
        <v>44013</v>
      </c>
      <c r="C255" s="1" t="n">
        <v>45669</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32727-2020</t>
        </is>
      </c>
      <c r="B256" s="1" t="n">
        <v>44019</v>
      </c>
      <c r="C256" s="1" t="n">
        <v>45669</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33302-2020</t>
        </is>
      </c>
      <c r="B257" s="1" t="n">
        <v>44022</v>
      </c>
      <c r="C257" s="1" t="n">
        <v>45669</v>
      </c>
      <c r="D257" t="inlineStr">
        <is>
          <t>SKÅNE LÄN</t>
        </is>
      </c>
      <c r="E257" t="inlineStr">
        <is>
          <t>HÄSSLEHOLM</t>
        </is>
      </c>
      <c r="G257" t="n">
        <v>2.9</v>
      </c>
      <c r="H257" t="n">
        <v>0</v>
      </c>
      <c r="I257" t="n">
        <v>0</v>
      </c>
      <c r="J257" t="n">
        <v>0</v>
      </c>
      <c r="K257" t="n">
        <v>0</v>
      </c>
      <c r="L257" t="n">
        <v>0</v>
      </c>
      <c r="M257" t="n">
        <v>0</v>
      </c>
      <c r="N257" t="n">
        <v>0</v>
      </c>
      <c r="O257" t="n">
        <v>0</v>
      </c>
      <c r="P257" t="n">
        <v>0</v>
      </c>
      <c r="Q257" t="n">
        <v>0</v>
      </c>
      <c r="R257" s="2" t="inlineStr"/>
    </row>
    <row r="258" ht="15" customHeight="1">
      <c r="A258" t="inlineStr">
        <is>
          <t>A 33300-2020</t>
        </is>
      </c>
      <c r="B258" s="1" t="n">
        <v>44022</v>
      </c>
      <c r="C258" s="1" t="n">
        <v>45669</v>
      </c>
      <c r="D258" t="inlineStr">
        <is>
          <t>SKÅNE LÄN</t>
        </is>
      </c>
      <c r="E258" t="inlineStr">
        <is>
          <t>HÄSSLEHOLM</t>
        </is>
      </c>
      <c r="G258" t="n">
        <v>8.9</v>
      </c>
      <c r="H258" t="n">
        <v>0</v>
      </c>
      <c r="I258" t="n">
        <v>0</v>
      </c>
      <c r="J258" t="n">
        <v>0</v>
      </c>
      <c r="K258" t="n">
        <v>0</v>
      </c>
      <c r="L258" t="n">
        <v>0</v>
      </c>
      <c r="M258" t="n">
        <v>0</v>
      </c>
      <c r="N258" t="n">
        <v>0</v>
      </c>
      <c r="O258" t="n">
        <v>0</v>
      </c>
      <c r="P258" t="n">
        <v>0</v>
      </c>
      <c r="Q258" t="n">
        <v>0</v>
      </c>
      <c r="R258" s="2" t="inlineStr"/>
    </row>
    <row r="259" ht="15" customHeight="1">
      <c r="A259" t="inlineStr">
        <is>
          <t>A 33544-2020</t>
        </is>
      </c>
      <c r="B259" s="1" t="n">
        <v>44025</v>
      </c>
      <c r="C259" s="1" t="n">
        <v>45669</v>
      </c>
      <c r="D259" t="inlineStr">
        <is>
          <t>SKÅNE LÄN</t>
        </is>
      </c>
      <c r="E259" t="inlineStr">
        <is>
          <t>HÄSSLEHOLM</t>
        </is>
      </c>
      <c r="G259" t="n">
        <v>1.4</v>
      </c>
      <c r="H259" t="n">
        <v>0</v>
      </c>
      <c r="I259" t="n">
        <v>0</v>
      </c>
      <c r="J259" t="n">
        <v>0</v>
      </c>
      <c r="K259" t="n">
        <v>0</v>
      </c>
      <c r="L259" t="n">
        <v>0</v>
      </c>
      <c r="M259" t="n">
        <v>0</v>
      </c>
      <c r="N259" t="n">
        <v>0</v>
      </c>
      <c r="O259" t="n">
        <v>0</v>
      </c>
      <c r="P259" t="n">
        <v>0</v>
      </c>
      <c r="Q259" t="n">
        <v>0</v>
      </c>
      <c r="R259" s="2" t="inlineStr"/>
    </row>
    <row r="260" ht="15" customHeight="1">
      <c r="A260" t="inlineStr">
        <is>
          <t>A 33824-2020</t>
        </is>
      </c>
      <c r="B260" s="1" t="n">
        <v>44027</v>
      </c>
      <c r="C260" s="1" t="n">
        <v>45669</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33854-2020</t>
        </is>
      </c>
      <c r="B261" s="1" t="n">
        <v>44027</v>
      </c>
      <c r="C261" s="1" t="n">
        <v>45669</v>
      </c>
      <c r="D261" t="inlineStr">
        <is>
          <t>SKÅNE LÄN</t>
        </is>
      </c>
      <c r="E261" t="inlineStr">
        <is>
          <t>HÄSSLEHOLM</t>
        </is>
      </c>
      <c r="G261" t="n">
        <v>4.7</v>
      </c>
      <c r="H261" t="n">
        <v>0</v>
      </c>
      <c r="I261" t="n">
        <v>0</v>
      </c>
      <c r="J261" t="n">
        <v>0</v>
      </c>
      <c r="K261" t="n">
        <v>0</v>
      </c>
      <c r="L261" t="n">
        <v>0</v>
      </c>
      <c r="M261" t="n">
        <v>0</v>
      </c>
      <c r="N261" t="n">
        <v>0</v>
      </c>
      <c r="O261" t="n">
        <v>0</v>
      </c>
      <c r="P261" t="n">
        <v>0</v>
      </c>
      <c r="Q261" t="n">
        <v>0</v>
      </c>
      <c r="R261" s="2" t="inlineStr"/>
    </row>
    <row r="262" ht="15" customHeight="1">
      <c r="A262" t="inlineStr">
        <is>
          <t>A 34871-2020</t>
        </is>
      </c>
      <c r="B262" s="1" t="n">
        <v>44036</v>
      </c>
      <c r="C262" s="1" t="n">
        <v>45669</v>
      </c>
      <c r="D262" t="inlineStr">
        <is>
          <t>SKÅNE LÄN</t>
        </is>
      </c>
      <c r="E262" t="inlineStr">
        <is>
          <t>HÄSSLEHOLM</t>
        </is>
      </c>
      <c r="G262" t="n">
        <v>1.7</v>
      </c>
      <c r="H262" t="n">
        <v>0</v>
      </c>
      <c r="I262" t="n">
        <v>0</v>
      </c>
      <c r="J262" t="n">
        <v>0</v>
      </c>
      <c r="K262" t="n">
        <v>0</v>
      </c>
      <c r="L262" t="n">
        <v>0</v>
      </c>
      <c r="M262" t="n">
        <v>0</v>
      </c>
      <c r="N262" t="n">
        <v>0</v>
      </c>
      <c r="O262" t="n">
        <v>0</v>
      </c>
      <c r="P262" t="n">
        <v>0</v>
      </c>
      <c r="Q262" t="n">
        <v>0</v>
      </c>
      <c r="R262" s="2" t="inlineStr"/>
    </row>
    <row r="263" ht="15" customHeight="1">
      <c r="A263" t="inlineStr">
        <is>
          <t>A 34873-2020</t>
        </is>
      </c>
      <c r="B263" s="1" t="n">
        <v>44036</v>
      </c>
      <c r="C263" s="1" t="n">
        <v>45669</v>
      </c>
      <c r="D263" t="inlineStr">
        <is>
          <t>SKÅNE LÄN</t>
        </is>
      </c>
      <c r="E263" t="inlineStr">
        <is>
          <t>HÄSSLEHOLM</t>
        </is>
      </c>
      <c r="G263" t="n">
        <v>2.7</v>
      </c>
      <c r="H263" t="n">
        <v>0</v>
      </c>
      <c r="I263" t="n">
        <v>0</v>
      </c>
      <c r="J263" t="n">
        <v>0</v>
      </c>
      <c r="K263" t="n">
        <v>0</v>
      </c>
      <c r="L263" t="n">
        <v>0</v>
      </c>
      <c r="M263" t="n">
        <v>0</v>
      </c>
      <c r="N263" t="n">
        <v>0</v>
      </c>
      <c r="O263" t="n">
        <v>0</v>
      </c>
      <c r="P263" t="n">
        <v>0</v>
      </c>
      <c r="Q263" t="n">
        <v>0</v>
      </c>
      <c r="R263" s="2" t="inlineStr"/>
    </row>
    <row r="264" ht="15" customHeight="1">
      <c r="A264" t="inlineStr">
        <is>
          <t>A 35188-2020</t>
        </is>
      </c>
      <c r="B264" s="1" t="n">
        <v>44040</v>
      </c>
      <c r="C264" s="1" t="n">
        <v>45669</v>
      </c>
      <c r="D264" t="inlineStr">
        <is>
          <t>SKÅNE LÄN</t>
        </is>
      </c>
      <c r="E264" t="inlineStr">
        <is>
          <t>HÄSSLEHOLM</t>
        </is>
      </c>
      <c r="G264" t="n">
        <v>1.2</v>
      </c>
      <c r="H264" t="n">
        <v>0</v>
      </c>
      <c r="I264" t="n">
        <v>0</v>
      </c>
      <c r="J264" t="n">
        <v>0</v>
      </c>
      <c r="K264" t="n">
        <v>0</v>
      </c>
      <c r="L264" t="n">
        <v>0</v>
      </c>
      <c r="M264" t="n">
        <v>0</v>
      </c>
      <c r="N264" t="n">
        <v>0</v>
      </c>
      <c r="O264" t="n">
        <v>0</v>
      </c>
      <c r="P264" t="n">
        <v>0</v>
      </c>
      <c r="Q264" t="n">
        <v>0</v>
      </c>
      <c r="R264" s="2" t="inlineStr"/>
    </row>
    <row r="265" ht="15" customHeight="1">
      <c r="A265" t="inlineStr">
        <is>
          <t>A 35175-2020</t>
        </is>
      </c>
      <c r="B265" s="1" t="n">
        <v>44040</v>
      </c>
      <c r="C265" s="1" t="n">
        <v>45669</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35399-2020</t>
        </is>
      </c>
      <c r="B266" s="1" t="n">
        <v>44042</v>
      </c>
      <c r="C266" s="1" t="n">
        <v>45669</v>
      </c>
      <c r="D266" t="inlineStr">
        <is>
          <t>SKÅNE LÄN</t>
        </is>
      </c>
      <c r="E266" t="inlineStr">
        <is>
          <t>HÄSSLEHOLM</t>
        </is>
      </c>
      <c r="G266" t="n">
        <v>0.6</v>
      </c>
      <c r="H266" t="n">
        <v>0</v>
      </c>
      <c r="I266" t="n">
        <v>0</v>
      </c>
      <c r="J266" t="n">
        <v>0</v>
      </c>
      <c r="K266" t="n">
        <v>0</v>
      </c>
      <c r="L266" t="n">
        <v>0</v>
      </c>
      <c r="M266" t="n">
        <v>0</v>
      </c>
      <c r="N266" t="n">
        <v>0</v>
      </c>
      <c r="O266" t="n">
        <v>0</v>
      </c>
      <c r="P266" t="n">
        <v>0</v>
      </c>
      <c r="Q266" t="n">
        <v>0</v>
      </c>
      <c r="R266" s="2" t="inlineStr"/>
    </row>
    <row r="267" ht="15" customHeight="1">
      <c r="A267" t="inlineStr">
        <is>
          <t>A 35857-2020</t>
        </is>
      </c>
      <c r="B267" s="1" t="n">
        <v>44047</v>
      </c>
      <c r="C267" s="1" t="n">
        <v>45669</v>
      </c>
      <c r="D267" t="inlineStr">
        <is>
          <t>SKÅNE LÄN</t>
        </is>
      </c>
      <c r="E267" t="inlineStr">
        <is>
          <t>HÄSSLEHOLM</t>
        </is>
      </c>
      <c r="G267" t="n">
        <v>4.2</v>
      </c>
      <c r="H267" t="n">
        <v>0</v>
      </c>
      <c r="I267" t="n">
        <v>0</v>
      </c>
      <c r="J267" t="n">
        <v>0</v>
      </c>
      <c r="K267" t="n">
        <v>0</v>
      </c>
      <c r="L267" t="n">
        <v>0</v>
      </c>
      <c r="M267" t="n">
        <v>0</v>
      </c>
      <c r="N267" t="n">
        <v>0</v>
      </c>
      <c r="O267" t="n">
        <v>0</v>
      </c>
      <c r="P267" t="n">
        <v>0</v>
      </c>
      <c r="Q267" t="n">
        <v>0</v>
      </c>
      <c r="R267" s="2" t="inlineStr"/>
    </row>
    <row r="268" ht="15" customHeight="1">
      <c r="A268" t="inlineStr">
        <is>
          <t>A 36721-2020</t>
        </is>
      </c>
      <c r="B268" s="1" t="n">
        <v>44053</v>
      </c>
      <c r="C268" s="1" t="n">
        <v>45669</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36728-2020</t>
        </is>
      </c>
      <c r="B269" s="1" t="n">
        <v>44053</v>
      </c>
      <c r="C269" s="1" t="n">
        <v>45669</v>
      </c>
      <c r="D269" t="inlineStr">
        <is>
          <t>SKÅNE LÄN</t>
        </is>
      </c>
      <c r="E269" t="inlineStr">
        <is>
          <t>HÄSSLEHOLM</t>
        </is>
      </c>
      <c r="G269" t="n">
        <v>0.2</v>
      </c>
      <c r="H269" t="n">
        <v>0</v>
      </c>
      <c r="I269" t="n">
        <v>0</v>
      </c>
      <c r="J269" t="n">
        <v>0</v>
      </c>
      <c r="K269" t="n">
        <v>0</v>
      </c>
      <c r="L269" t="n">
        <v>0</v>
      </c>
      <c r="M269" t="n">
        <v>0</v>
      </c>
      <c r="N269" t="n">
        <v>0</v>
      </c>
      <c r="O269" t="n">
        <v>0</v>
      </c>
      <c r="P269" t="n">
        <v>0</v>
      </c>
      <c r="Q269" t="n">
        <v>0</v>
      </c>
      <c r="R269" s="2" t="inlineStr"/>
    </row>
    <row r="270" ht="15" customHeight="1">
      <c r="A270" t="inlineStr">
        <is>
          <t>A 37655-2020</t>
        </is>
      </c>
      <c r="B270" s="1" t="n">
        <v>44056</v>
      </c>
      <c r="C270" s="1" t="n">
        <v>45669</v>
      </c>
      <c r="D270" t="inlineStr">
        <is>
          <t>SKÅNE LÄN</t>
        </is>
      </c>
      <c r="E270" t="inlineStr">
        <is>
          <t>HÄSSLEHOLM</t>
        </is>
      </c>
      <c r="G270" t="n">
        <v>4.8</v>
      </c>
      <c r="H270" t="n">
        <v>0</v>
      </c>
      <c r="I270" t="n">
        <v>0</v>
      </c>
      <c r="J270" t="n">
        <v>0</v>
      </c>
      <c r="K270" t="n">
        <v>0</v>
      </c>
      <c r="L270" t="n">
        <v>0</v>
      </c>
      <c r="M270" t="n">
        <v>0</v>
      </c>
      <c r="N270" t="n">
        <v>0</v>
      </c>
      <c r="O270" t="n">
        <v>0</v>
      </c>
      <c r="P270" t="n">
        <v>0</v>
      </c>
      <c r="Q270" t="n">
        <v>0</v>
      </c>
      <c r="R270" s="2" t="inlineStr"/>
    </row>
    <row r="271" ht="15" customHeight="1">
      <c r="A271" t="inlineStr">
        <is>
          <t>A 38110-2020</t>
        </is>
      </c>
      <c r="B271" s="1" t="n">
        <v>44058</v>
      </c>
      <c r="C271" s="1" t="n">
        <v>45669</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38138-2020</t>
        </is>
      </c>
      <c r="B272" s="1" t="n">
        <v>44060</v>
      </c>
      <c r="C272" s="1" t="n">
        <v>45669</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39672-2020</t>
        </is>
      </c>
      <c r="B273" s="1" t="n">
        <v>44065</v>
      </c>
      <c r="C273" s="1" t="n">
        <v>45669</v>
      </c>
      <c r="D273" t="inlineStr">
        <is>
          <t>SKÅNE LÄN</t>
        </is>
      </c>
      <c r="E273" t="inlineStr">
        <is>
          <t>HÄSSLEHOLM</t>
        </is>
      </c>
      <c r="G273" t="n">
        <v>0.6</v>
      </c>
      <c r="H273" t="n">
        <v>0</v>
      </c>
      <c r="I273" t="n">
        <v>0</v>
      </c>
      <c r="J273" t="n">
        <v>0</v>
      </c>
      <c r="K273" t="n">
        <v>0</v>
      </c>
      <c r="L273" t="n">
        <v>0</v>
      </c>
      <c r="M273" t="n">
        <v>0</v>
      </c>
      <c r="N273" t="n">
        <v>0</v>
      </c>
      <c r="O273" t="n">
        <v>0</v>
      </c>
      <c r="P273" t="n">
        <v>0</v>
      </c>
      <c r="Q273" t="n">
        <v>0</v>
      </c>
      <c r="R273" s="2" t="inlineStr"/>
    </row>
    <row r="274" ht="15" customHeight="1">
      <c r="A274" t="inlineStr">
        <is>
          <t>A 40329-2020</t>
        </is>
      </c>
      <c r="B274" s="1" t="n">
        <v>44067</v>
      </c>
      <c r="C274" s="1" t="n">
        <v>45669</v>
      </c>
      <c r="D274" t="inlineStr">
        <is>
          <t>SKÅNE LÄN</t>
        </is>
      </c>
      <c r="E274" t="inlineStr">
        <is>
          <t>HÄSSLEHOLM</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40319-2020</t>
        </is>
      </c>
      <c r="B275" s="1" t="n">
        <v>44068</v>
      </c>
      <c r="C275" s="1" t="n">
        <v>45669</v>
      </c>
      <c r="D275" t="inlineStr">
        <is>
          <t>SKÅNE LÄN</t>
        </is>
      </c>
      <c r="E275" t="inlineStr">
        <is>
          <t>HÄSSLEHOLM</t>
        </is>
      </c>
      <c r="G275" t="n">
        <v>2.6</v>
      </c>
      <c r="H275" t="n">
        <v>0</v>
      </c>
      <c r="I275" t="n">
        <v>0</v>
      </c>
      <c r="J275" t="n">
        <v>0</v>
      </c>
      <c r="K275" t="n">
        <v>0</v>
      </c>
      <c r="L275" t="n">
        <v>0</v>
      </c>
      <c r="M275" t="n">
        <v>0</v>
      </c>
      <c r="N275" t="n">
        <v>0</v>
      </c>
      <c r="O275" t="n">
        <v>0</v>
      </c>
      <c r="P275" t="n">
        <v>0</v>
      </c>
      <c r="Q275" t="n">
        <v>0</v>
      </c>
      <c r="R275" s="2" t="inlineStr"/>
    </row>
    <row r="276" ht="15" customHeight="1">
      <c r="A276" t="inlineStr">
        <is>
          <t>A 40292-2020</t>
        </is>
      </c>
      <c r="B276" s="1" t="n">
        <v>44068</v>
      </c>
      <c r="C276" s="1" t="n">
        <v>45669</v>
      </c>
      <c r="D276" t="inlineStr">
        <is>
          <t>SKÅNE LÄN</t>
        </is>
      </c>
      <c r="E276" t="inlineStr">
        <is>
          <t>HÄSSLEHOLM</t>
        </is>
      </c>
      <c r="G276" t="n">
        <v>3.7</v>
      </c>
      <c r="H276" t="n">
        <v>0</v>
      </c>
      <c r="I276" t="n">
        <v>0</v>
      </c>
      <c r="J276" t="n">
        <v>0</v>
      </c>
      <c r="K276" t="n">
        <v>0</v>
      </c>
      <c r="L276" t="n">
        <v>0</v>
      </c>
      <c r="M276" t="n">
        <v>0</v>
      </c>
      <c r="N276" t="n">
        <v>0</v>
      </c>
      <c r="O276" t="n">
        <v>0</v>
      </c>
      <c r="P276" t="n">
        <v>0</v>
      </c>
      <c r="Q276" t="n">
        <v>0</v>
      </c>
      <c r="R276" s="2" t="inlineStr"/>
    </row>
    <row r="277" ht="15" customHeight="1">
      <c r="A277" t="inlineStr">
        <is>
          <t>A 42839-2020</t>
        </is>
      </c>
      <c r="B277" s="1" t="n">
        <v>44078</v>
      </c>
      <c r="C277" s="1" t="n">
        <v>45669</v>
      </c>
      <c r="D277" t="inlineStr">
        <is>
          <t>SKÅNE LÄN</t>
        </is>
      </c>
      <c r="E277" t="inlineStr">
        <is>
          <t>HÄSSLEHOLM</t>
        </is>
      </c>
      <c r="G277" t="n">
        <v>2.7</v>
      </c>
      <c r="H277" t="n">
        <v>0</v>
      </c>
      <c r="I277" t="n">
        <v>0</v>
      </c>
      <c r="J277" t="n">
        <v>0</v>
      </c>
      <c r="K277" t="n">
        <v>0</v>
      </c>
      <c r="L277" t="n">
        <v>0</v>
      </c>
      <c r="M277" t="n">
        <v>0</v>
      </c>
      <c r="N277" t="n">
        <v>0</v>
      </c>
      <c r="O277" t="n">
        <v>0</v>
      </c>
      <c r="P277" t="n">
        <v>0</v>
      </c>
      <c r="Q277" t="n">
        <v>0</v>
      </c>
      <c r="R277" s="2" t="inlineStr"/>
    </row>
    <row r="278" ht="15" customHeight="1">
      <c r="A278" t="inlineStr">
        <is>
          <t>A 42812-2020</t>
        </is>
      </c>
      <c r="B278" s="1" t="n">
        <v>44078</v>
      </c>
      <c r="C278" s="1" t="n">
        <v>45669</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42815-2020</t>
        </is>
      </c>
      <c r="B279" s="1" t="n">
        <v>44078</v>
      </c>
      <c r="C279" s="1" t="n">
        <v>45669</v>
      </c>
      <c r="D279" t="inlineStr">
        <is>
          <t>SKÅNE LÄN</t>
        </is>
      </c>
      <c r="E279" t="inlineStr">
        <is>
          <t>HÄSSLEHOLM</t>
        </is>
      </c>
      <c r="G279" t="n">
        <v>3.7</v>
      </c>
      <c r="H279" t="n">
        <v>0</v>
      </c>
      <c r="I279" t="n">
        <v>0</v>
      </c>
      <c r="J279" t="n">
        <v>0</v>
      </c>
      <c r="K279" t="n">
        <v>0</v>
      </c>
      <c r="L279" t="n">
        <v>0</v>
      </c>
      <c r="M279" t="n">
        <v>0</v>
      </c>
      <c r="N279" t="n">
        <v>0</v>
      </c>
      <c r="O279" t="n">
        <v>0</v>
      </c>
      <c r="P279" t="n">
        <v>0</v>
      </c>
      <c r="Q279" t="n">
        <v>0</v>
      </c>
      <c r="R279" s="2" t="inlineStr"/>
    </row>
    <row r="280" ht="15" customHeight="1">
      <c r="A280" t="inlineStr">
        <is>
          <t>A 43045-2020</t>
        </is>
      </c>
      <c r="B280" s="1" t="n">
        <v>44078</v>
      </c>
      <c r="C280" s="1" t="n">
        <v>45669</v>
      </c>
      <c r="D280" t="inlineStr">
        <is>
          <t>SKÅNE LÄN</t>
        </is>
      </c>
      <c r="E280" t="inlineStr">
        <is>
          <t>HÄSSLEHOLM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43580-2020</t>
        </is>
      </c>
      <c r="B281" s="1" t="n">
        <v>44082</v>
      </c>
      <c r="C281" s="1" t="n">
        <v>45669</v>
      </c>
      <c r="D281" t="inlineStr">
        <is>
          <t>SKÅNE LÄN</t>
        </is>
      </c>
      <c r="E281" t="inlineStr">
        <is>
          <t>HÄSSLEHOLM</t>
        </is>
      </c>
      <c r="F281" t="inlineStr">
        <is>
          <t>Kyrkan</t>
        </is>
      </c>
      <c r="G281" t="n">
        <v>2.1</v>
      </c>
      <c r="H281" t="n">
        <v>0</v>
      </c>
      <c r="I281" t="n">
        <v>0</v>
      </c>
      <c r="J281" t="n">
        <v>0</v>
      </c>
      <c r="K281" t="n">
        <v>0</v>
      </c>
      <c r="L281" t="n">
        <v>0</v>
      </c>
      <c r="M281" t="n">
        <v>0</v>
      </c>
      <c r="N281" t="n">
        <v>0</v>
      </c>
      <c r="O281" t="n">
        <v>0</v>
      </c>
      <c r="P281" t="n">
        <v>0</v>
      </c>
      <c r="Q281" t="n">
        <v>0</v>
      </c>
      <c r="R281" s="2" t="inlineStr"/>
    </row>
    <row r="282" ht="15" customHeight="1">
      <c r="A282" t="inlineStr">
        <is>
          <t>A 43595-2020</t>
        </is>
      </c>
      <c r="B282" s="1" t="n">
        <v>44082</v>
      </c>
      <c r="C282" s="1" t="n">
        <v>45669</v>
      </c>
      <c r="D282" t="inlineStr">
        <is>
          <t>SKÅNE LÄN</t>
        </is>
      </c>
      <c r="E282" t="inlineStr">
        <is>
          <t>HÄSSLEHOLM</t>
        </is>
      </c>
      <c r="F282" t="inlineStr">
        <is>
          <t>Kyrkan</t>
        </is>
      </c>
      <c r="G282" t="n">
        <v>1.4</v>
      </c>
      <c r="H282" t="n">
        <v>0</v>
      </c>
      <c r="I282" t="n">
        <v>0</v>
      </c>
      <c r="J282" t="n">
        <v>0</v>
      </c>
      <c r="K282" t="n">
        <v>0</v>
      </c>
      <c r="L282" t="n">
        <v>0</v>
      </c>
      <c r="M282" t="n">
        <v>0</v>
      </c>
      <c r="N282" t="n">
        <v>0</v>
      </c>
      <c r="O282" t="n">
        <v>0</v>
      </c>
      <c r="P282" t="n">
        <v>0</v>
      </c>
      <c r="Q282" t="n">
        <v>0</v>
      </c>
      <c r="R282" s="2" t="inlineStr"/>
    </row>
    <row r="283" ht="15" customHeight="1">
      <c r="A283" t="inlineStr">
        <is>
          <t>A 43600-2020</t>
        </is>
      </c>
      <c r="B283" s="1" t="n">
        <v>44082</v>
      </c>
      <c r="C283" s="1" t="n">
        <v>45669</v>
      </c>
      <c r="D283" t="inlineStr">
        <is>
          <t>SKÅNE LÄN</t>
        </is>
      </c>
      <c r="E283" t="inlineStr">
        <is>
          <t>HÄSSLEHOLM</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44228-2020</t>
        </is>
      </c>
      <c r="B284" s="1" t="n">
        <v>44082</v>
      </c>
      <c r="C284" s="1" t="n">
        <v>45669</v>
      </c>
      <c r="D284" t="inlineStr">
        <is>
          <t>SKÅNE LÄN</t>
        </is>
      </c>
      <c r="E284" t="inlineStr">
        <is>
          <t>HÄSSLEHOLM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44527-2020</t>
        </is>
      </c>
      <c r="B285" s="1" t="n">
        <v>44085</v>
      </c>
      <c r="C285" s="1" t="n">
        <v>45669</v>
      </c>
      <c r="D285" t="inlineStr">
        <is>
          <t>SKÅNE LÄN</t>
        </is>
      </c>
      <c r="E285" t="inlineStr">
        <is>
          <t>HÄSSLEHOLM</t>
        </is>
      </c>
      <c r="F285" t="inlineStr">
        <is>
          <t>Kommuner</t>
        </is>
      </c>
      <c r="G285" t="n">
        <v>7.7</v>
      </c>
      <c r="H285" t="n">
        <v>0</v>
      </c>
      <c r="I285" t="n">
        <v>0</v>
      </c>
      <c r="J285" t="n">
        <v>0</v>
      </c>
      <c r="K285" t="n">
        <v>0</v>
      </c>
      <c r="L285" t="n">
        <v>0</v>
      </c>
      <c r="M285" t="n">
        <v>0</v>
      </c>
      <c r="N285" t="n">
        <v>0</v>
      </c>
      <c r="O285" t="n">
        <v>0</v>
      </c>
      <c r="P285" t="n">
        <v>0</v>
      </c>
      <c r="Q285" t="n">
        <v>0</v>
      </c>
      <c r="R285" s="2" t="inlineStr"/>
    </row>
    <row r="286" ht="15" customHeight="1">
      <c r="A286" t="inlineStr">
        <is>
          <t>A 45555-2020</t>
        </is>
      </c>
      <c r="B286" s="1" t="n">
        <v>44089</v>
      </c>
      <c r="C286" s="1" t="n">
        <v>45669</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45814-2020</t>
        </is>
      </c>
      <c r="B287" s="1" t="n">
        <v>44090</v>
      </c>
      <c r="C287" s="1" t="n">
        <v>45669</v>
      </c>
      <c r="D287" t="inlineStr">
        <is>
          <t>SKÅNE LÄN</t>
        </is>
      </c>
      <c r="E287" t="inlineStr">
        <is>
          <t>HÄSSLEHOLM</t>
        </is>
      </c>
      <c r="G287" t="n">
        <v>0.2</v>
      </c>
      <c r="H287" t="n">
        <v>0</v>
      </c>
      <c r="I287" t="n">
        <v>0</v>
      </c>
      <c r="J287" t="n">
        <v>0</v>
      </c>
      <c r="K287" t="n">
        <v>0</v>
      </c>
      <c r="L287" t="n">
        <v>0</v>
      </c>
      <c r="M287" t="n">
        <v>0</v>
      </c>
      <c r="N287" t="n">
        <v>0</v>
      </c>
      <c r="O287" t="n">
        <v>0</v>
      </c>
      <c r="P287" t="n">
        <v>0</v>
      </c>
      <c r="Q287" t="n">
        <v>0</v>
      </c>
      <c r="R287" s="2" t="inlineStr"/>
    </row>
    <row r="288" ht="15" customHeight="1">
      <c r="A288" t="inlineStr">
        <is>
          <t>A 45815-2020</t>
        </is>
      </c>
      <c r="B288" s="1" t="n">
        <v>44090</v>
      </c>
      <c r="C288" s="1" t="n">
        <v>45669</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46125-2020</t>
        </is>
      </c>
      <c r="B289" s="1" t="n">
        <v>44091</v>
      </c>
      <c r="C289" s="1" t="n">
        <v>45669</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46145-2020</t>
        </is>
      </c>
      <c r="B290" s="1" t="n">
        <v>44091</v>
      </c>
      <c r="C290" s="1" t="n">
        <v>45669</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46479-2020</t>
        </is>
      </c>
      <c r="B291" s="1" t="n">
        <v>44095</v>
      </c>
      <c r="C291" s="1" t="n">
        <v>45669</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47121-2020</t>
        </is>
      </c>
      <c r="B292" s="1" t="n">
        <v>44096</v>
      </c>
      <c r="C292" s="1" t="n">
        <v>45669</v>
      </c>
      <c r="D292" t="inlineStr">
        <is>
          <t>SKÅNE LÄN</t>
        </is>
      </c>
      <c r="E292" t="inlineStr">
        <is>
          <t>HÄSSLEHOLM</t>
        </is>
      </c>
      <c r="G292" t="n">
        <v>3.6</v>
      </c>
      <c r="H292" t="n">
        <v>0</v>
      </c>
      <c r="I292" t="n">
        <v>0</v>
      </c>
      <c r="J292" t="n">
        <v>0</v>
      </c>
      <c r="K292" t="n">
        <v>0</v>
      </c>
      <c r="L292" t="n">
        <v>0</v>
      </c>
      <c r="M292" t="n">
        <v>0</v>
      </c>
      <c r="N292" t="n">
        <v>0</v>
      </c>
      <c r="O292" t="n">
        <v>0</v>
      </c>
      <c r="P292" t="n">
        <v>0</v>
      </c>
      <c r="Q292" t="n">
        <v>0</v>
      </c>
      <c r="R292" s="2" t="inlineStr"/>
    </row>
    <row r="293" ht="15" customHeight="1">
      <c r="A293" t="inlineStr">
        <is>
          <t>A 47007-2020</t>
        </is>
      </c>
      <c r="B293" s="1" t="n">
        <v>44096</v>
      </c>
      <c r="C293" s="1" t="n">
        <v>45669</v>
      </c>
      <c r="D293" t="inlineStr">
        <is>
          <t>SKÅNE LÄN</t>
        </is>
      </c>
      <c r="E293" t="inlineStr">
        <is>
          <t>HÄSSLEHOLM</t>
        </is>
      </c>
      <c r="G293" t="n">
        <v>2.5</v>
      </c>
      <c r="H293" t="n">
        <v>0</v>
      </c>
      <c r="I293" t="n">
        <v>0</v>
      </c>
      <c r="J293" t="n">
        <v>0</v>
      </c>
      <c r="K293" t="n">
        <v>0</v>
      </c>
      <c r="L293" t="n">
        <v>0</v>
      </c>
      <c r="M293" t="n">
        <v>0</v>
      </c>
      <c r="N293" t="n">
        <v>0</v>
      </c>
      <c r="O293" t="n">
        <v>0</v>
      </c>
      <c r="P293" t="n">
        <v>0</v>
      </c>
      <c r="Q293" t="n">
        <v>0</v>
      </c>
      <c r="R293" s="2" t="inlineStr"/>
    </row>
    <row r="294" ht="15" customHeight="1">
      <c r="A294" t="inlineStr">
        <is>
          <t>A 48397-2020</t>
        </is>
      </c>
      <c r="B294" s="1" t="n">
        <v>44097</v>
      </c>
      <c r="C294" s="1" t="n">
        <v>45669</v>
      </c>
      <c r="D294" t="inlineStr">
        <is>
          <t>SKÅNE LÄN</t>
        </is>
      </c>
      <c r="E294" t="inlineStr">
        <is>
          <t>HÄSSLEHOLM</t>
        </is>
      </c>
      <c r="G294" t="n">
        <v>8</v>
      </c>
      <c r="H294" t="n">
        <v>0</v>
      </c>
      <c r="I294" t="n">
        <v>0</v>
      </c>
      <c r="J294" t="n">
        <v>0</v>
      </c>
      <c r="K294" t="n">
        <v>0</v>
      </c>
      <c r="L294" t="n">
        <v>0</v>
      </c>
      <c r="M294" t="n">
        <v>0</v>
      </c>
      <c r="N294" t="n">
        <v>0</v>
      </c>
      <c r="O294" t="n">
        <v>0</v>
      </c>
      <c r="P294" t="n">
        <v>0</v>
      </c>
      <c r="Q294" t="n">
        <v>0</v>
      </c>
      <c r="R294" s="2" t="inlineStr"/>
    </row>
    <row r="295" ht="15" customHeight="1">
      <c r="A295" t="inlineStr">
        <is>
          <t>A 47283-2020</t>
        </is>
      </c>
      <c r="B295" s="1" t="n">
        <v>44097</v>
      </c>
      <c r="C295" s="1" t="n">
        <v>45669</v>
      </c>
      <c r="D295" t="inlineStr">
        <is>
          <t>SKÅNE LÄN</t>
        </is>
      </c>
      <c r="E295" t="inlineStr">
        <is>
          <t>HÄSSLEHOLM</t>
        </is>
      </c>
      <c r="G295" t="n">
        <v>5.5</v>
      </c>
      <c r="H295" t="n">
        <v>0</v>
      </c>
      <c r="I295" t="n">
        <v>0</v>
      </c>
      <c r="J295" t="n">
        <v>0</v>
      </c>
      <c r="K295" t="n">
        <v>0</v>
      </c>
      <c r="L295" t="n">
        <v>0</v>
      </c>
      <c r="M295" t="n">
        <v>0</v>
      </c>
      <c r="N295" t="n">
        <v>0</v>
      </c>
      <c r="O295" t="n">
        <v>0</v>
      </c>
      <c r="P295" t="n">
        <v>0</v>
      </c>
      <c r="Q295" t="n">
        <v>0</v>
      </c>
      <c r="R295" s="2" t="inlineStr"/>
    </row>
    <row r="296" ht="15" customHeight="1">
      <c r="A296" t="inlineStr">
        <is>
          <t>A 47521-2020</t>
        </is>
      </c>
      <c r="B296" s="1" t="n">
        <v>44098</v>
      </c>
      <c r="C296" s="1" t="n">
        <v>45669</v>
      </c>
      <c r="D296" t="inlineStr">
        <is>
          <t>SKÅNE LÄN</t>
        </is>
      </c>
      <c r="E296" t="inlineStr">
        <is>
          <t>HÄSSLEHOLM</t>
        </is>
      </c>
      <c r="G296" t="n">
        <v>0.9</v>
      </c>
      <c r="H296" t="n">
        <v>0</v>
      </c>
      <c r="I296" t="n">
        <v>0</v>
      </c>
      <c r="J296" t="n">
        <v>0</v>
      </c>
      <c r="K296" t="n">
        <v>0</v>
      </c>
      <c r="L296" t="n">
        <v>0</v>
      </c>
      <c r="M296" t="n">
        <v>0</v>
      </c>
      <c r="N296" t="n">
        <v>0</v>
      </c>
      <c r="O296" t="n">
        <v>0</v>
      </c>
      <c r="P296" t="n">
        <v>0</v>
      </c>
      <c r="Q296" t="n">
        <v>0</v>
      </c>
      <c r="R296" s="2" t="inlineStr"/>
    </row>
    <row r="297" ht="15" customHeight="1">
      <c r="A297" t="inlineStr">
        <is>
          <t>A 47531-2020</t>
        </is>
      </c>
      <c r="B297" s="1" t="n">
        <v>44098</v>
      </c>
      <c r="C297" s="1" t="n">
        <v>45669</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48212-2020</t>
        </is>
      </c>
      <c r="B298" s="1" t="n">
        <v>44102</v>
      </c>
      <c r="C298" s="1" t="n">
        <v>45669</v>
      </c>
      <c r="D298" t="inlineStr">
        <is>
          <t>SKÅNE LÄN</t>
        </is>
      </c>
      <c r="E298" t="inlineStr">
        <is>
          <t>HÄSSLEHOLM</t>
        </is>
      </c>
      <c r="G298" t="n">
        <v>4.2</v>
      </c>
      <c r="H298" t="n">
        <v>0</v>
      </c>
      <c r="I298" t="n">
        <v>0</v>
      </c>
      <c r="J298" t="n">
        <v>0</v>
      </c>
      <c r="K298" t="n">
        <v>0</v>
      </c>
      <c r="L298" t="n">
        <v>0</v>
      </c>
      <c r="M298" t="n">
        <v>0</v>
      </c>
      <c r="N298" t="n">
        <v>0</v>
      </c>
      <c r="O298" t="n">
        <v>0</v>
      </c>
      <c r="P298" t="n">
        <v>0</v>
      </c>
      <c r="Q298" t="n">
        <v>0</v>
      </c>
      <c r="R298" s="2" t="inlineStr"/>
    </row>
    <row r="299" ht="15" customHeight="1">
      <c r="A299" t="inlineStr">
        <is>
          <t>A 48792-2020</t>
        </is>
      </c>
      <c r="B299" s="1" t="n">
        <v>44103</v>
      </c>
      <c r="C299" s="1" t="n">
        <v>45669</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48486-2020</t>
        </is>
      </c>
      <c r="B300" s="1" t="n">
        <v>44103</v>
      </c>
      <c r="C300" s="1" t="n">
        <v>45669</v>
      </c>
      <c r="D300" t="inlineStr">
        <is>
          <t>SKÅNE LÄN</t>
        </is>
      </c>
      <c r="E300" t="inlineStr">
        <is>
          <t>HÄSSLEHOLM</t>
        </is>
      </c>
      <c r="G300" t="n">
        <v>1.5</v>
      </c>
      <c r="H300" t="n">
        <v>0</v>
      </c>
      <c r="I300" t="n">
        <v>0</v>
      </c>
      <c r="J300" t="n">
        <v>0</v>
      </c>
      <c r="K300" t="n">
        <v>0</v>
      </c>
      <c r="L300" t="n">
        <v>0</v>
      </c>
      <c r="M300" t="n">
        <v>0</v>
      </c>
      <c r="N300" t="n">
        <v>0</v>
      </c>
      <c r="O300" t="n">
        <v>0</v>
      </c>
      <c r="P300" t="n">
        <v>0</v>
      </c>
      <c r="Q300" t="n">
        <v>0</v>
      </c>
      <c r="R300" s="2" t="inlineStr"/>
    </row>
    <row r="301" ht="15" customHeight="1">
      <c r="A301" t="inlineStr">
        <is>
          <t>A 49786-2020</t>
        </is>
      </c>
      <c r="B301" s="1" t="n">
        <v>44103</v>
      </c>
      <c r="C301" s="1" t="n">
        <v>45669</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49389-2020</t>
        </is>
      </c>
      <c r="B302" s="1" t="n">
        <v>44105</v>
      </c>
      <c r="C302" s="1" t="n">
        <v>45669</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49865-2020</t>
        </is>
      </c>
      <c r="B303" s="1" t="n">
        <v>44107</v>
      </c>
      <c r="C303" s="1" t="n">
        <v>45669</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50046-2020</t>
        </is>
      </c>
      <c r="B304" s="1" t="n">
        <v>44109</v>
      </c>
      <c r="C304" s="1" t="n">
        <v>45669</v>
      </c>
      <c r="D304" t="inlineStr">
        <is>
          <t>SKÅNE LÄN</t>
        </is>
      </c>
      <c r="E304" t="inlineStr">
        <is>
          <t>HÄSSLEHOLM</t>
        </is>
      </c>
      <c r="G304" t="n">
        <v>1.2</v>
      </c>
      <c r="H304" t="n">
        <v>0</v>
      </c>
      <c r="I304" t="n">
        <v>0</v>
      </c>
      <c r="J304" t="n">
        <v>0</v>
      </c>
      <c r="K304" t="n">
        <v>0</v>
      </c>
      <c r="L304" t="n">
        <v>0</v>
      </c>
      <c r="M304" t="n">
        <v>0</v>
      </c>
      <c r="N304" t="n">
        <v>0</v>
      </c>
      <c r="O304" t="n">
        <v>0</v>
      </c>
      <c r="P304" t="n">
        <v>0</v>
      </c>
      <c r="Q304" t="n">
        <v>0</v>
      </c>
      <c r="R304" s="2" t="inlineStr"/>
    </row>
    <row r="305" ht="15" customHeight="1">
      <c r="A305" t="inlineStr">
        <is>
          <t>A 50372-2020</t>
        </is>
      </c>
      <c r="B305" s="1" t="n">
        <v>44110</v>
      </c>
      <c r="C305" s="1" t="n">
        <v>45669</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50371-2020</t>
        </is>
      </c>
      <c r="B306" s="1" t="n">
        <v>44110</v>
      </c>
      <c r="C306" s="1" t="n">
        <v>45669</v>
      </c>
      <c r="D306" t="inlineStr">
        <is>
          <t>SKÅNE LÄN</t>
        </is>
      </c>
      <c r="E306" t="inlineStr">
        <is>
          <t>HÄSSLEHOLM</t>
        </is>
      </c>
      <c r="G306" t="n">
        <v>3.8</v>
      </c>
      <c r="H306" t="n">
        <v>0</v>
      </c>
      <c r="I306" t="n">
        <v>0</v>
      </c>
      <c r="J306" t="n">
        <v>0</v>
      </c>
      <c r="K306" t="n">
        <v>0</v>
      </c>
      <c r="L306" t="n">
        <v>0</v>
      </c>
      <c r="M306" t="n">
        <v>0</v>
      </c>
      <c r="N306" t="n">
        <v>0</v>
      </c>
      <c r="O306" t="n">
        <v>0</v>
      </c>
      <c r="P306" t="n">
        <v>0</v>
      </c>
      <c r="Q306" t="n">
        <v>0</v>
      </c>
      <c r="R306" s="2" t="inlineStr"/>
    </row>
    <row r="307" ht="15" customHeight="1">
      <c r="A307" t="inlineStr">
        <is>
          <t>A 52561-2020</t>
        </is>
      </c>
      <c r="B307" s="1" t="n">
        <v>44116</v>
      </c>
      <c r="C307" s="1" t="n">
        <v>45669</v>
      </c>
      <c r="D307" t="inlineStr">
        <is>
          <t>SKÅNE LÄN</t>
        </is>
      </c>
      <c r="E307" t="inlineStr">
        <is>
          <t>HÄSSLEHOLM</t>
        </is>
      </c>
      <c r="G307" t="n">
        <v>6</v>
      </c>
      <c r="H307" t="n">
        <v>0</v>
      </c>
      <c r="I307" t="n">
        <v>0</v>
      </c>
      <c r="J307" t="n">
        <v>0</v>
      </c>
      <c r="K307" t="n">
        <v>0</v>
      </c>
      <c r="L307" t="n">
        <v>0</v>
      </c>
      <c r="M307" t="n">
        <v>0</v>
      </c>
      <c r="N307" t="n">
        <v>0</v>
      </c>
      <c r="O307" t="n">
        <v>0</v>
      </c>
      <c r="P307" t="n">
        <v>0</v>
      </c>
      <c r="Q307" t="n">
        <v>0</v>
      </c>
      <c r="R307" s="2" t="inlineStr"/>
    </row>
    <row r="308" ht="15" customHeight="1">
      <c r="A308" t="inlineStr">
        <is>
          <t>A 52852-2020</t>
        </is>
      </c>
      <c r="B308" s="1" t="n">
        <v>44119</v>
      </c>
      <c r="C308" s="1" t="n">
        <v>45669</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52863-2020</t>
        </is>
      </c>
      <c r="B309" s="1" t="n">
        <v>44119</v>
      </c>
      <c r="C309" s="1" t="n">
        <v>45669</v>
      </c>
      <c r="D309" t="inlineStr">
        <is>
          <t>SKÅNE LÄN</t>
        </is>
      </c>
      <c r="E309" t="inlineStr">
        <is>
          <t>HÄSSLEHOLM</t>
        </is>
      </c>
      <c r="G309" t="n">
        <v>3</v>
      </c>
      <c r="H309" t="n">
        <v>0</v>
      </c>
      <c r="I309" t="n">
        <v>0</v>
      </c>
      <c r="J309" t="n">
        <v>0</v>
      </c>
      <c r="K309" t="n">
        <v>0</v>
      </c>
      <c r="L309" t="n">
        <v>0</v>
      </c>
      <c r="M309" t="n">
        <v>0</v>
      </c>
      <c r="N309" t="n">
        <v>0</v>
      </c>
      <c r="O309" t="n">
        <v>0</v>
      </c>
      <c r="P309" t="n">
        <v>0</v>
      </c>
      <c r="Q309" t="n">
        <v>0</v>
      </c>
      <c r="R309" s="2" t="inlineStr"/>
    </row>
    <row r="310" ht="15" customHeight="1">
      <c r="A310" t="inlineStr">
        <is>
          <t>A 52860-2020</t>
        </is>
      </c>
      <c r="B310" s="1" t="n">
        <v>44119</v>
      </c>
      <c r="C310" s="1" t="n">
        <v>45669</v>
      </c>
      <c r="D310" t="inlineStr">
        <is>
          <t>SKÅNE LÄN</t>
        </is>
      </c>
      <c r="E310" t="inlineStr">
        <is>
          <t>HÄSSLEHOLM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54081-2020</t>
        </is>
      </c>
      <c r="B311" s="1" t="n">
        <v>44125</v>
      </c>
      <c r="C311" s="1" t="n">
        <v>45669</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54079-2020</t>
        </is>
      </c>
      <c r="B312" s="1" t="n">
        <v>44125</v>
      </c>
      <c r="C312" s="1" t="n">
        <v>45669</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54084-2020</t>
        </is>
      </c>
      <c r="B313" s="1" t="n">
        <v>44125</v>
      </c>
      <c r="C313" s="1" t="n">
        <v>45669</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54371-2020</t>
        </is>
      </c>
      <c r="B314" s="1" t="n">
        <v>44126</v>
      </c>
      <c r="C314" s="1" t="n">
        <v>45669</v>
      </c>
      <c r="D314" t="inlineStr">
        <is>
          <t>SKÅNE LÄN</t>
        </is>
      </c>
      <c r="E314" t="inlineStr">
        <is>
          <t>HÄSSLEHOLM</t>
        </is>
      </c>
      <c r="G314" t="n">
        <v>1</v>
      </c>
      <c r="H314" t="n">
        <v>0</v>
      </c>
      <c r="I314" t="n">
        <v>0</v>
      </c>
      <c r="J314" t="n">
        <v>0</v>
      </c>
      <c r="K314" t="n">
        <v>0</v>
      </c>
      <c r="L314" t="n">
        <v>0</v>
      </c>
      <c r="M314" t="n">
        <v>0</v>
      </c>
      <c r="N314" t="n">
        <v>0</v>
      </c>
      <c r="O314" t="n">
        <v>0</v>
      </c>
      <c r="P314" t="n">
        <v>0</v>
      </c>
      <c r="Q314" t="n">
        <v>0</v>
      </c>
      <c r="R314" s="2" t="inlineStr"/>
    </row>
    <row r="315" ht="15" customHeight="1">
      <c r="A315" t="inlineStr">
        <is>
          <t>A 54363-2020</t>
        </is>
      </c>
      <c r="B315" s="1" t="n">
        <v>44126</v>
      </c>
      <c r="C315" s="1" t="n">
        <v>45669</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54493-2020</t>
        </is>
      </c>
      <c r="B316" s="1" t="n">
        <v>44126</v>
      </c>
      <c r="C316" s="1" t="n">
        <v>45669</v>
      </c>
      <c r="D316" t="inlineStr">
        <is>
          <t>SKÅNE LÄN</t>
        </is>
      </c>
      <c r="E316" t="inlineStr">
        <is>
          <t>HÄSSLEHOLM</t>
        </is>
      </c>
      <c r="F316" t="inlineStr">
        <is>
          <t>Kyrkan</t>
        </is>
      </c>
      <c r="G316" t="n">
        <v>4.4</v>
      </c>
      <c r="H316" t="n">
        <v>0</v>
      </c>
      <c r="I316" t="n">
        <v>0</v>
      </c>
      <c r="J316" t="n">
        <v>0</v>
      </c>
      <c r="K316" t="n">
        <v>0</v>
      </c>
      <c r="L316" t="n">
        <v>0</v>
      </c>
      <c r="M316" t="n">
        <v>0</v>
      </c>
      <c r="N316" t="n">
        <v>0</v>
      </c>
      <c r="O316" t="n">
        <v>0</v>
      </c>
      <c r="P316" t="n">
        <v>0</v>
      </c>
      <c r="Q316" t="n">
        <v>0</v>
      </c>
      <c r="R316" s="2" t="inlineStr"/>
    </row>
    <row r="317" ht="15" customHeight="1">
      <c r="A317" t="inlineStr">
        <is>
          <t>A 54359-2020</t>
        </is>
      </c>
      <c r="B317" s="1" t="n">
        <v>44126</v>
      </c>
      <c r="C317" s="1" t="n">
        <v>45669</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54365-2020</t>
        </is>
      </c>
      <c r="B318" s="1" t="n">
        <v>44126</v>
      </c>
      <c r="C318" s="1" t="n">
        <v>45669</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54374-2020</t>
        </is>
      </c>
      <c r="B319" s="1" t="n">
        <v>44126</v>
      </c>
      <c r="C319" s="1" t="n">
        <v>45669</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54362-2020</t>
        </is>
      </c>
      <c r="B320" s="1" t="n">
        <v>44126</v>
      </c>
      <c r="C320" s="1" t="n">
        <v>45669</v>
      </c>
      <c r="D320" t="inlineStr">
        <is>
          <t>SKÅNE LÄN</t>
        </is>
      </c>
      <c r="E320" t="inlineStr">
        <is>
          <t>HÄSSLEHOLM</t>
        </is>
      </c>
      <c r="G320" t="n">
        <v>4.5</v>
      </c>
      <c r="H320" t="n">
        <v>0</v>
      </c>
      <c r="I320" t="n">
        <v>0</v>
      </c>
      <c r="J320" t="n">
        <v>0</v>
      </c>
      <c r="K320" t="n">
        <v>0</v>
      </c>
      <c r="L320" t="n">
        <v>0</v>
      </c>
      <c r="M320" t="n">
        <v>0</v>
      </c>
      <c r="N320" t="n">
        <v>0</v>
      </c>
      <c r="O320" t="n">
        <v>0</v>
      </c>
      <c r="P320" t="n">
        <v>0</v>
      </c>
      <c r="Q320" t="n">
        <v>0</v>
      </c>
      <c r="R320" s="2" t="inlineStr"/>
    </row>
    <row r="321" ht="15" customHeight="1">
      <c r="A321" t="inlineStr">
        <is>
          <t>A 56158-2020</t>
        </is>
      </c>
      <c r="B321" s="1" t="n">
        <v>44133</v>
      </c>
      <c r="C321" s="1" t="n">
        <v>45669</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57811-2020</t>
        </is>
      </c>
      <c r="B322" s="1" t="n">
        <v>44141</v>
      </c>
      <c r="C322" s="1" t="n">
        <v>45669</v>
      </c>
      <c r="D322" t="inlineStr">
        <is>
          <t>SKÅNE LÄN</t>
        </is>
      </c>
      <c r="E322" t="inlineStr">
        <is>
          <t>HÄSSLEHOLM</t>
        </is>
      </c>
      <c r="G322" t="n">
        <v>2</v>
      </c>
      <c r="H322" t="n">
        <v>0</v>
      </c>
      <c r="I322" t="n">
        <v>0</v>
      </c>
      <c r="J322" t="n">
        <v>0</v>
      </c>
      <c r="K322" t="n">
        <v>0</v>
      </c>
      <c r="L322" t="n">
        <v>0</v>
      </c>
      <c r="M322" t="n">
        <v>0</v>
      </c>
      <c r="N322" t="n">
        <v>0</v>
      </c>
      <c r="O322" t="n">
        <v>0</v>
      </c>
      <c r="P322" t="n">
        <v>0</v>
      </c>
      <c r="Q322" t="n">
        <v>0</v>
      </c>
      <c r="R322" s="2" t="inlineStr"/>
    </row>
    <row r="323" ht="15" customHeight="1">
      <c r="A323" t="inlineStr">
        <is>
          <t>A 58091-2020</t>
        </is>
      </c>
      <c r="B323" s="1" t="n">
        <v>44144</v>
      </c>
      <c r="C323" s="1" t="n">
        <v>45669</v>
      </c>
      <c r="D323" t="inlineStr">
        <is>
          <t>SKÅNE LÄN</t>
        </is>
      </c>
      <c r="E323" t="inlineStr">
        <is>
          <t>HÄSSLEHOLM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58509-2020</t>
        </is>
      </c>
      <c r="B324" s="1" t="n">
        <v>44144</v>
      </c>
      <c r="C324" s="1" t="n">
        <v>45669</v>
      </c>
      <c r="D324" t="inlineStr">
        <is>
          <t>SKÅNE LÄN</t>
        </is>
      </c>
      <c r="E324" t="inlineStr">
        <is>
          <t>HÄSSLEHOLM</t>
        </is>
      </c>
      <c r="G324" t="n">
        <v>8.5</v>
      </c>
      <c r="H324" t="n">
        <v>0</v>
      </c>
      <c r="I324" t="n">
        <v>0</v>
      </c>
      <c r="J324" t="n">
        <v>0</v>
      </c>
      <c r="K324" t="n">
        <v>0</v>
      </c>
      <c r="L324" t="n">
        <v>0</v>
      </c>
      <c r="M324" t="n">
        <v>0</v>
      </c>
      <c r="N324" t="n">
        <v>0</v>
      </c>
      <c r="O324" t="n">
        <v>0</v>
      </c>
      <c r="P324" t="n">
        <v>0</v>
      </c>
      <c r="Q324" t="n">
        <v>0</v>
      </c>
      <c r="R324" s="2" t="inlineStr"/>
    </row>
    <row r="325" ht="15" customHeight="1">
      <c r="A325" t="inlineStr">
        <is>
          <t>A 59295-2020</t>
        </is>
      </c>
      <c r="B325" s="1" t="n">
        <v>44147</v>
      </c>
      <c r="C325" s="1" t="n">
        <v>45669</v>
      </c>
      <c r="D325" t="inlineStr">
        <is>
          <t>SKÅNE LÄN</t>
        </is>
      </c>
      <c r="E325" t="inlineStr">
        <is>
          <t>HÄSSLEHOLM</t>
        </is>
      </c>
      <c r="G325" t="n">
        <v>4.3</v>
      </c>
      <c r="H325" t="n">
        <v>0</v>
      </c>
      <c r="I325" t="n">
        <v>0</v>
      </c>
      <c r="J325" t="n">
        <v>0</v>
      </c>
      <c r="K325" t="n">
        <v>0</v>
      </c>
      <c r="L325" t="n">
        <v>0</v>
      </c>
      <c r="M325" t="n">
        <v>0</v>
      </c>
      <c r="N325" t="n">
        <v>0</v>
      </c>
      <c r="O325" t="n">
        <v>0</v>
      </c>
      <c r="P325" t="n">
        <v>0</v>
      </c>
      <c r="Q325" t="n">
        <v>0</v>
      </c>
      <c r="R325" s="2" t="inlineStr"/>
    </row>
    <row r="326" ht="15" customHeight="1">
      <c r="A326" t="inlineStr">
        <is>
          <t>A 59302-2020</t>
        </is>
      </c>
      <c r="B326" s="1" t="n">
        <v>44147</v>
      </c>
      <c r="C326" s="1" t="n">
        <v>45669</v>
      </c>
      <c r="D326" t="inlineStr">
        <is>
          <t>SKÅNE LÄN</t>
        </is>
      </c>
      <c r="E326" t="inlineStr">
        <is>
          <t>HÄSSLEHOLM</t>
        </is>
      </c>
      <c r="G326" t="n">
        <v>11.2</v>
      </c>
      <c r="H326" t="n">
        <v>0</v>
      </c>
      <c r="I326" t="n">
        <v>0</v>
      </c>
      <c r="J326" t="n">
        <v>0</v>
      </c>
      <c r="K326" t="n">
        <v>0</v>
      </c>
      <c r="L326" t="n">
        <v>0</v>
      </c>
      <c r="M326" t="n">
        <v>0</v>
      </c>
      <c r="N326" t="n">
        <v>0</v>
      </c>
      <c r="O326" t="n">
        <v>0</v>
      </c>
      <c r="P326" t="n">
        <v>0</v>
      </c>
      <c r="Q326" t="n">
        <v>0</v>
      </c>
      <c r="R326" s="2" t="inlineStr"/>
    </row>
    <row r="327" ht="15" customHeight="1">
      <c r="A327" t="inlineStr">
        <is>
          <t>A 59418-2020</t>
        </is>
      </c>
      <c r="B327" s="1" t="n">
        <v>44148</v>
      </c>
      <c r="C327" s="1" t="n">
        <v>45669</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59542-2020</t>
        </is>
      </c>
      <c r="B328" s="1" t="n">
        <v>44148</v>
      </c>
      <c r="C328" s="1" t="n">
        <v>45669</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60597-2020</t>
        </is>
      </c>
      <c r="B329" s="1" t="n">
        <v>44152</v>
      </c>
      <c r="C329" s="1" t="n">
        <v>45669</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61216-2020</t>
        </is>
      </c>
      <c r="B330" s="1" t="n">
        <v>44155</v>
      </c>
      <c r="C330" s="1" t="n">
        <v>45669</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61233-2020</t>
        </is>
      </c>
      <c r="B331" s="1" t="n">
        <v>44155</v>
      </c>
      <c r="C331" s="1" t="n">
        <v>45669</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62347-2020</t>
        </is>
      </c>
      <c r="B332" s="1" t="n">
        <v>44159</v>
      </c>
      <c r="C332" s="1" t="n">
        <v>45669</v>
      </c>
      <c r="D332" t="inlineStr">
        <is>
          <t>SKÅNE LÄN</t>
        </is>
      </c>
      <c r="E332" t="inlineStr">
        <is>
          <t>HÄSSLEHOLM</t>
        </is>
      </c>
      <c r="G332" t="n">
        <v>4</v>
      </c>
      <c r="H332" t="n">
        <v>0</v>
      </c>
      <c r="I332" t="n">
        <v>0</v>
      </c>
      <c r="J332" t="n">
        <v>0</v>
      </c>
      <c r="K332" t="n">
        <v>0</v>
      </c>
      <c r="L332" t="n">
        <v>0</v>
      </c>
      <c r="M332" t="n">
        <v>0</v>
      </c>
      <c r="N332" t="n">
        <v>0</v>
      </c>
      <c r="O332" t="n">
        <v>0</v>
      </c>
      <c r="P332" t="n">
        <v>0</v>
      </c>
      <c r="Q332" t="n">
        <v>0</v>
      </c>
      <c r="R332" s="2" t="inlineStr"/>
    </row>
    <row r="333" ht="15" customHeight="1">
      <c r="A333" t="inlineStr">
        <is>
          <t>A 62802-2020</t>
        </is>
      </c>
      <c r="B333" s="1" t="n">
        <v>44161</v>
      </c>
      <c r="C333" s="1" t="n">
        <v>45669</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62782-2020</t>
        </is>
      </c>
      <c r="B334" s="1" t="n">
        <v>44161</v>
      </c>
      <c r="C334" s="1" t="n">
        <v>45669</v>
      </c>
      <c r="D334" t="inlineStr">
        <is>
          <t>SKÅNE LÄN</t>
        </is>
      </c>
      <c r="E334" t="inlineStr">
        <is>
          <t>HÄSSLEHOLM</t>
        </is>
      </c>
      <c r="F334" t="inlineStr">
        <is>
          <t>Kyrkan</t>
        </is>
      </c>
      <c r="G334" t="n">
        <v>1.6</v>
      </c>
      <c r="H334" t="n">
        <v>0</v>
      </c>
      <c r="I334" t="n">
        <v>0</v>
      </c>
      <c r="J334" t="n">
        <v>0</v>
      </c>
      <c r="K334" t="n">
        <v>0</v>
      </c>
      <c r="L334" t="n">
        <v>0</v>
      </c>
      <c r="M334" t="n">
        <v>0</v>
      </c>
      <c r="N334" t="n">
        <v>0</v>
      </c>
      <c r="O334" t="n">
        <v>0</v>
      </c>
      <c r="P334" t="n">
        <v>0</v>
      </c>
      <c r="Q334" t="n">
        <v>0</v>
      </c>
      <c r="R334" s="2" t="inlineStr"/>
    </row>
    <row r="335" ht="15" customHeight="1">
      <c r="A335" t="inlineStr">
        <is>
          <t>A 62858-2020</t>
        </is>
      </c>
      <c r="B335" s="1" t="n">
        <v>44161</v>
      </c>
      <c r="C335" s="1" t="n">
        <v>45669</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64361-2020</t>
        </is>
      </c>
      <c r="B336" s="1" t="n">
        <v>44168</v>
      </c>
      <c r="C336" s="1" t="n">
        <v>45669</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64211-2020</t>
        </is>
      </c>
      <c r="B337" s="1" t="n">
        <v>44168</v>
      </c>
      <c r="C337" s="1" t="n">
        <v>45669</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64342-2020</t>
        </is>
      </c>
      <c r="B338" s="1" t="n">
        <v>44168</v>
      </c>
      <c r="C338" s="1" t="n">
        <v>45669</v>
      </c>
      <c r="D338" t="inlineStr">
        <is>
          <t>SKÅNE LÄN</t>
        </is>
      </c>
      <c r="E338" t="inlineStr">
        <is>
          <t>HÄSSLEHOLM</t>
        </is>
      </c>
      <c r="G338" t="n">
        <v>4.1</v>
      </c>
      <c r="H338" t="n">
        <v>0</v>
      </c>
      <c r="I338" t="n">
        <v>0</v>
      </c>
      <c r="J338" t="n">
        <v>0</v>
      </c>
      <c r="K338" t="n">
        <v>0</v>
      </c>
      <c r="L338" t="n">
        <v>0</v>
      </c>
      <c r="M338" t="n">
        <v>0</v>
      </c>
      <c r="N338" t="n">
        <v>0</v>
      </c>
      <c r="O338" t="n">
        <v>0</v>
      </c>
      <c r="P338" t="n">
        <v>0</v>
      </c>
      <c r="Q338" t="n">
        <v>0</v>
      </c>
      <c r="R338" s="2" t="inlineStr"/>
    </row>
    <row r="339" ht="15" customHeight="1">
      <c r="A339" t="inlineStr">
        <is>
          <t>A 66474-2020</t>
        </is>
      </c>
      <c r="B339" s="1" t="n">
        <v>44177</v>
      </c>
      <c r="C339" s="1" t="n">
        <v>45669</v>
      </c>
      <c r="D339" t="inlineStr">
        <is>
          <t>SKÅNE LÄN</t>
        </is>
      </c>
      <c r="E339" t="inlineStr">
        <is>
          <t>HÄSSLEHOLM</t>
        </is>
      </c>
      <c r="G339" t="n">
        <v>2.8</v>
      </c>
      <c r="H339" t="n">
        <v>0</v>
      </c>
      <c r="I339" t="n">
        <v>0</v>
      </c>
      <c r="J339" t="n">
        <v>0</v>
      </c>
      <c r="K339" t="n">
        <v>0</v>
      </c>
      <c r="L339" t="n">
        <v>0</v>
      </c>
      <c r="M339" t="n">
        <v>0</v>
      </c>
      <c r="N339" t="n">
        <v>0</v>
      </c>
      <c r="O339" t="n">
        <v>0</v>
      </c>
      <c r="P339" t="n">
        <v>0</v>
      </c>
      <c r="Q339" t="n">
        <v>0</v>
      </c>
      <c r="R339" s="2" t="inlineStr"/>
    </row>
    <row r="340" ht="15" customHeight="1">
      <c r="A340" t="inlineStr">
        <is>
          <t>A 66520-2020</t>
        </is>
      </c>
      <c r="B340" s="1" t="n">
        <v>44179</v>
      </c>
      <c r="C340" s="1" t="n">
        <v>45669</v>
      </c>
      <c r="D340" t="inlineStr">
        <is>
          <t>SKÅNE LÄN</t>
        </is>
      </c>
      <c r="E340" t="inlineStr">
        <is>
          <t>HÄSSLEHOLM</t>
        </is>
      </c>
      <c r="G340" t="n">
        <v>0.4</v>
      </c>
      <c r="H340" t="n">
        <v>0</v>
      </c>
      <c r="I340" t="n">
        <v>0</v>
      </c>
      <c r="J340" t="n">
        <v>0</v>
      </c>
      <c r="K340" t="n">
        <v>0</v>
      </c>
      <c r="L340" t="n">
        <v>0</v>
      </c>
      <c r="M340" t="n">
        <v>0</v>
      </c>
      <c r="N340" t="n">
        <v>0</v>
      </c>
      <c r="O340" t="n">
        <v>0</v>
      </c>
      <c r="P340" t="n">
        <v>0</v>
      </c>
      <c r="Q340" t="n">
        <v>0</v>
      </c>
      <c r="R340" s="2" t="inlineStr"/>
    </row>
    <row r="341" ht="15" customHeight="1">
      <c r="A341" t="inlineStr">
        <is>
          <t>A 67974-2020</t>
        </is>
      </c>
      <c r="B341" s="1" t="n">
        <v>44182</v>
      </c>
      <c r="C341" s="1" t="n">
        <v>45669</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68200-2020</t>
        </is>
      </c>
      <c r="B342" s="1" t="n">
        <v>44183</v>
      </c>
      <c r="C342" s="1" t="n">
        <v>45669</v>
      </c>
      <c r="D342" t="inlineStr">
        <is>
          <t>SKÅNE LÄN</t>
        </is>
      </c>
      <c r="E342" t="inlineStr">
        <is>
          <t>HÄSSLEHOLM</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68794-2020</t>
        </is>
      </c>
      <c r="B343" s="1" t="n">
        <v>44186</v>
      </c>
      <c r="C343" s="1" t="n">
        <v>45669</v>
      </c>
      <c r="D343" t="inlineStr">
        <is>
          <t>SKÅNE LÄN</t>
        </is>
      </c>
      <c r="E343" t="inlineStr">
        <is>
          <t>HÄSSLEHOLM</t>
        </is>
      </c>
      <c r="G343" t="n">
        <v>8.9</v>
      </c>
      <c r="H343" t="n">
        <v>0</v>
      </c>
      <c r="I343" t="n">
        <v>0</v>
      </c>
      <c r="J343" t="n">
        <v>0</v>
      </c>
      <c r="K343" t="n">
        <v>0</v>
      </c>
      <c r="L343" t="n">
        <v>0</v>
      </c>
      <c r="M343" t="n">
        <v>0</v>
      </c>
      <c r="N343" t="n">
        <v>0</v>
      </c>
      <c r="O343" t="n">
        <v>0</v>
      </c>
      <c r="P343" t="n">
        <v>0</v>
      </c>
      <c r="Q343" t="n">
        <v>0</v>
      </c>
      <c r="R343" s="2" t="inlineStr"/>
    </row>
    <row r="344" ht="15" customHeight="1">
      <c r="A344" t="inlineStr">
        <is>
          <t>A 69103-2020</t>
        </is>
      </c>
      <c r="B344" s="1" t="n">
        <v>44188</v>
      </c>
      <c r="C344" s="1" t="n">
        <v>45669</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69109-2020</t>
        </is>
      </c>
      <c r="B345" s="1" t="n">
        <v>44188</v>
      </c>
      <c r="C345" s="1" t="n">
        <v>45669</v>
      </c>
      <c r="D345" t="inlineStr">
        <is>
          <t>SKÅNE LÄN</t>
        </is>
      </c>
      <c r="E345" t="inlineStr">
        <is>
          <t>HÄSSLEHOLM</t>
        </is>
      </c>
      <c r="G345" t="n">
        <v>1.5</v>
      </c>
      <c r="H345" t="n">
        <v>0</v>
      </c>
      <c r="I345" t="n">
        <v>0</v>
      </c>
      <c r="J345" t="n">
        <v>0</v>
      </c>
      <c r="K345" t="n">
        <v>0</v>
      </c>
      <c r="L345" t="n">
        <v>0</v>
      </c>
      <c r="M345" t="n">
        <v>0</v>
      </c>
      <c r="N345" t="n">
        <v>0</v>
      </c>
      <c r="O345" t="n">
        <v>0</v>
      </c>
      <c r="P345" t="n">
        <v>0</v>
      </c>
      <c r="Q345" t="n">
        <v>0</v>
      </c>
      <c r="R345" s="2" t="inlineStr"/>
    </row>
    <row r="346" ht="15" customHeight="1">
      <c r="A346" t="inlineStr">
        <is>
          <t>A 69112-2020</t>
        </is>
      </c>
      <c r="B346" s="1" t="n">
        <v>44188</v>
      </c>
      <c r="C346" s="1" t="n">
        <v>45669</v>
      </c>
      <c r="D346" t="inlineStr">
        <is>
          <t>SKÅNE LÄN</t>
        </is>
      </c>
      <c r="E346" t="inlineStr">
        <is>
          <t>HÄSSLEHOLM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69339-2020</t>
        </is>
      </c>
      <c r="B347" s="1" t="n">
        <v>44188</v>
      </c>
      <c r="C347" s="1" t="n">
        <v>45669</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69201-2020</t>
        </is>
      </c>
      <c r="B348" s="1" t="n">
        <v>44191</v>
      </c>
      <c r="C348" s="1" t="n">
        <v>45669</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69198-2020</t>
        </is>
      </c>
      <c r="B349" s="1" t="n">
        <v>44191</v>
      </c>
      <c r="C349" s="1" t="n">
        <v>45669</v>
      </c>
      <c r="D349" t="inlineStr">
        <is>
          <t>SKÅNE LÄN</t>
        </is>
      </c>
      <c r="E349" t="inlineStr">
        <is>
          <t>HÄSSLEHOLM</t>
        </is>
      </c>
      <c r="G349" t="n">
        <v>6.6</v>
      </c>
      <c r="H349" t="n">
        <v>0</v>
      </c>
      <c r="I349" t="n">
        <v>0</v>
      </c>
      <c r="J349" t="n">
        <v>0</v>
      </c>
      <c r="K349" t="n">
        <v>0</v>
      </c>
      <c r="L349" t="n">
        <v>0</v>
      </c>
      <c r="M349" t="n">
        <v>0</v>
      </c>
      <c r="N349" t="n">
        <v>0</v>
      </c>
      <c r="O349" t="n">
        <v>0</v>
      </c>
      <c r="P349" t="n">
        <v>0</v>
      </c>
      <c r="Q349" t="n">
        <v>0</v>
      </c>
      <c r="R349" s="2" t="inlineStr"/>
    </row>
    <row r="350" ht="15" customHeight="1">
      <c r="A350" t="inlineStr">
        <is>
          <t>A 69505-2020</t>
        </is>
      </c>
      <c r="B350" s="1" t="n">
        <v>44194</v>
      </c>
      <c r="C350" s="1" t="n">
        <v>45669</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69504-2020</t>
        </is>
      </c>
      <c r="B351" s="1" t="n">
        <v>44194</v>
      </c>
      <c r="C351" s="1" t="n">
        <v>45669</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69500-2020</t>
        </is>
      </c>
      <c r="B352" s="1" t="n">
        <v>44194</v>
      </c>
      <c r="C352" s="1" t="n">
        <v>45669</v>
      </c>
      <c r="D352" t="inlineStr">
        <is>
          <t>SKÅNE LÄN</t>
        </is>
      </c>
      <c r="E352" t="inlineStr">
        <is>
          <t>HÄSSLEHOLM</t>
        </is>
      </c>
      <c r="G352" t="n">
        <v>1.5</v>
      </c>
      <c r="H352" t="n">
        <v>0</v>
      </c>
      <c r="I352" t="n">
        <v>0</v>
      </c>
      <c r="J352" t="n">
        <v>0</v>
      </c>
      <c r="K352" t="n">
        <v>0</v>
      </c>
      <c r="L352" t="n">
        <v>0</v>
      </c>
      <c r="M352" t="n">
        <v>0</v>
      </c>
      <c r="N352" t="n">
        <v>0</v>
      </c>
      <c r="O352" t="n">
        <v>0</v>
      </c>
      <c r="P352" t="n">
        <v>0</v>
      </c>
      <c r="Q352" t="n">
        <v>0</v>
      </c>
      <c r="R352" s="2" t="inlineStr"/>
    </row>
    <row r="353" ht="15" customHeight="1">
      <c r="A353" t="inlineStr">
        <is>
          <t>A 47-2021</t>
        </is>
      </c>
      <c r="B353" s="1" t="n">
        <v>44199</v>
      </c>
      <c r="C353" s="1" t="n">
        <v>45669</v>
      </c>
      <c r="D353" t="inlineStr">
        <is>
          <t>SKÅNE LÄN</t>
        </is>
      </c>
      <c r="E353" t="inlineStr">
        <is>
          <t>HÄSSLEHOLM</t>
        </is>
      </c>
      <c r="G353" t="n">
        <v>3.5</v>
      </c>
      <c r="H353" t="n">
        <v>0</v>
      </c>
      <c r="I353" t="n">
        <v>0</v>
      </c>
      <c r="J353" t="n">
        <v>0</v>
      </c>
      <c r="K353" t="n">
        <v>0</v>
      </c>
      <c r="L353" t="n">
        <v>0</v>
      </c>
      <c r="M353" t="n">
        <v>0</v>
      </c>
      <c r="N353" t="n">
        <v>0</v>
      </c>
      <c r="O353" t="n">
        <v>0</v>
      </c>
      <c r="P353" t="n">
        <v>0</v>
      </c>
      <c r="Q353" t="n">
        <v>0</v>
      </c>
      <c r="R353" s="2" t="inlineStr"/>
    </row>
    <row r="354" ht="15" customHeight="1">
      <c r="A354" t="inlineStr">
        <is>
          <t>A 197-2021</t>
        </is>
      </c>
      <c r="B354" s="1" t="n">
        <v>44200</v>
      </c>
      <c r="C354" s="1" t="n">
        <v>45669</v>
      </c>
      <c r="D354" t="inlineStr">
        <is>
          <t>SKÅNE LÄN</t>
        </is>
      </c>
      <c r="E354" t="inlineStr">
        <is>
          <t>HÄSSLEHOLM</t>
        </is>
      </c>
      <c r="G354" t="n">
        <v>12.9</v>
      </c>
      <c r="H354" t="n">
        <v>0</v>
      </c>
      <c r="I354" t="n">
        <v>0</v>
      </c>
      <c r="J354" t="n">
        <v>0</v>
      </c>
      <c r="K354" t="n">
        <v>0</v>
      </c>
      <c r="L354" t="n">
        <v>0</v>
      </c>
      <c r="M354" t="n">
        <v>0</v>
      </c>
      <c r="N354" t="n">
        <v>0</v>
      </c>
      <c r="O354" t="n">
        <v>0</v>
      </c>
      <c r="P354" t="n">
        <v>0</v>
      </c>
      <c r="Q354" t="n">
        <v>0</v>
      </c>
      <c r="R354" s="2" t="inlineStr"/>
    </row>
    <row r="355" ht="15" customHeight="1">
      <c r="A355" t="inlineStr">
        <is>
          <t>A 964-2021</t>
        </is>
      </c>
      <c r="B355" s="1" t="n">
        <v>44207</v>
      </c>
      <c r="C355" s="1" t="n">
        <v>45669</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1344-2021</t>
        </is>
      </c>
      <c r="B356" s="1" t="n">
        <v>44208</v>
      </c>
      <c r="C356" s="1" t="n">
        <v>45669</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1445-2021</t>
        </is>
      </c>
      <c r="B357" s="1" t="n">
        <v>44208</v>
      </c>
      <c r="C357" s="1" t="n">
        <v>45669</v>
      </c>
      <c r="D357" t="inlineStr">
        <is>
          <t>SKÅNE LÄN</t>
        </is>
      </c>
      <c r="E357" t="inlineStr">
        <is>
          <t>HÄSSLEHOLM</t>
        </is>
      </c>
      <c r="G357" t="n">
        <v>4.6</v>
      </c>
      <c r="H357" t="n">
        <v>0</v>
      </c>
      <c r="I357" t="n">
        <v>0</v>
      </c>
      <c r="J357" t="n">
        <v>0</v>
      </c>
      <c r="K357" t="n">
        <v>0</v>
      </c>
      <c r="L357" t="n">
        <v>0</v>
      </c>
      <c r="M357" t="n">
        <v>0</v>
      </c>
      <c r="N357" t="n">
        <v>0</v>
      </c>
      <c r="O357" t="n">
        <v>0</v>
      </c>
      <c r="P357" t="n">
        <v>0</v>
      </c>
      <c r="Q357" t="n">
        <v>0</v>
      </c>
      <c r="R357" s="2" t="inlineStr"/>
    </row>
    <row r="358" ht="15" customHeight="1">
      <c r="A358" t="inlineStr">
        <is>
          <t>A 1461-2021</t>
        </is>
      </c>
      <c r="B358" s="1" t="n">
        <v>44208</v>
      </c>
      <c r="C358" s="1" t="n">
        <v>45669</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2514-2021</t>
        </is>
      </c>
      <c r="B359" s="1" t="n">
        <v>44214</v>
      </c>
      <c r="C359" s="1" t="n">
        <v>45669</v>
      </c>
      <c r="D359" t="inlineStr">
        <is>
          <t>SKÅNE LÄN</t>
        </is>
      </c>
      <c r="E359" t="inlineStr">
        <is>
          <t>HÄSSLEHOLM</t>
        </is>
      </c>
      <c r="G359" t="n">
        <v>2.3</v>
      </c>
      <c r="H359" t="n">
        <v>0</v>
      </c>
      <c r="I359" t="n">
        <v>0</v>
      </c>
      <c r="J359" t="n">
        <v>0</v>
      </c>
      <c r="K359" t="n">
        <v>0</v>
      </c>
      <c r="L359" t="n">
        <v>0</v>
      </c>
      <c r="M359" t="n">
        <v>0</v>
      </c>
      <c r="N359" t="n">
        <v>0</v>
      </c>
      <c r="O359" t="n">
        <v>0</v>
      </c>
      <c r="P359" t="n">
        <v>0</v>
      </c>
      <c r="Q359" t="n">
        <v>0</v>
      </c>
      <c r="R359" s="2" t="inlineStr"/>
    </row>
    <row r="360" ht="15" customHeight="1">
      <c r="A360" t="inlineStr">
        <is>
          <t>A 2509-2021</t>
        </is>
      </c>
      <c r="B360" s="1" t="n">
        <v>44214</v>
      </c>
      <c r="C360" s="1" t="n">
        <v>45669</v>
      </c>
      <c r="D360" t="inlineStr">
        <is>
          <t>SKÅNE LÄN</t>
        </is>
      </c>
      <c r="E360" t="inlineStr">
        <is>
          <t>HÄSSLEHOLM</t>
        </is>
      </c>
      <c r="G360" t="n">
        <v>1.1</v>
      </c>
      <c r="H360" t="n">
        <v>0</v>
      </c>
      <c r="I360" t="n">
        <v>0</v>
      </c>
      <c r="J360" t="n">
        <v>0</v>
      </c>
      <c r="K360" t="n">
        <v>0</v>
      </c>
      <c r="L360" t="n">
        <v>0</v>
      </c>
      <c r="M360" t="n">
        <v>0</v>
      </c>
      <c r="N360" t="n">
        <v>0</v>
      </c>
      <c r="O360" t="n">
        <v>0</v>
      </c>
      <c r="P360" t="n">
        <v>0</v>
      </c>
      <c r="Q360" t="n">
        <v>0</v>
      </c>
      <c r="R360" s="2" t="inlineStr"/>
    </row>
    <row r="361" ht="15" customHeight="1">
      <c r="A361" t="inlineStr">
        <is>
          <t>A 2813-2021</t>
        </is>
      </c>
      <c r="B361" s="1" t="n">
        <v>44215</v>
      </c>
      <c r="C361" s="1" t="n">
        <v>45669</v>
      </c>
      <c r="D361" t="inlineStr">
        <is>
          <t>SKÅNE LÄN</t>
        </is>
      </c>
      <c r="E361" t="inlineStr">
        <is>
          <t>HÄSSLEHOLM</t>
        </is>
      </c>
      <c r="G361" t="n">
        <v>7.1</v>
      </c>
      <c r="H361" t="n">
        <v>0</v>
      </c>
      <c r="I361" t="n">
        <v>0</v>
      </c>
      <c r="J361" t="n">
        <v>0</v>
      </c>
      <c r="K361" t="n">
        <v>0</v>
      </c>
      <c r="L361" t="n">
        <v>0</v>
      </c>
      <c r="M361" t="n">
        <v>0</v>
      </c>
      <c r="N361" t="n">
        <v>0</v>
      </c>
      <c r="O361" t="n">
        <v>0</v>
      </c>
      <c r="P361" t="n">
        <v>0</v>
      </c>
      <c r="Q361" t="n">
        <v>0</v>
      </c>
      <c r="R361" s="2" t="inlineStr"/>
    </row>
    <row r="362" ht="15" customHeight="1">
      <c r="A362" t="inlineStr">
        <is>
          <t>A 2692-2021</t>
        </is>
      </c>
      <c r="B362" s="1" t="n">
        <v>44215</v>
      </c>
      <c r="C362" s="1" t="n">
        <v>45669</v>
      </c>
      <c r="D362" t="inlineStr">
        <is>
          <t>SKÅNE LÄN</t>
        </is>
      </c>
      <c r="E362" t="inlineStr">
        <is>
          <t>HÄSSLEHOLM</t>
        </is>
      </c>
      <c r="G362" t="n">
        <v>3.1</v>
      </c>
      <c r="H362" t="n">
        <v>0</v>
      </c>
      <c r="I362" t="n">
        <v>0</v>
      </c>
      <c r="J362" t="n">
        <v>0</v>
      </c>
      <c r="K362" t="n">
        <v>0</v>
      </c>
      <c r="L362" t="n">
        <v>0</v>
      </c>
      <c r="M362" t="n">
        <v>0</v>
      </c>
      <c r="N362" t="n">
        <v>0</v>
      </c>
      <c r="O362" t="n">
        <v>0</v>
      </c>
      <c r="P362" t="n">
        <v>0</v>
      </c>
      <c r="Q362" t="n">
        <v>0</v>
      </c>
      <c r="R362" s="2" t="inlineStr"/>
    </row>
    <row r="363" ht="15" customHeight="1">
      <c r="A363" t="inlineStr">
        <is>
          <t>A 2952-2021</t>
        </is>
      </c>
      <c r="B363" s="1" t="n">
        <v>44216</v>
      </c>
      <c r="C363" s="1" t="n">
        <v>45669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3044-2021</t>
        </is>
      </c>
      <c r="B364" s="1" t="n">
        <v>44216</v>
      </c>
      <c r="C364" s="1" t="n">
        <v>45669</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3365-2021</t>
        </is>
      </c>
      <c r="B365" s="1" t="n">
        <v>44216</v>
      </c>
      <c r="C365" s="1" t="n">
        <v>45669</v>
      </c>
      <c r="D365" t="inlineStr">
        <is>
          <t>SKÅNE LÄN</t>
        </is>
      </c>
      <c r="E365" t="inlineStr">
        <is>
          <t>HÄSSLEHOLM</t>
        </is>
      </c>
      <c r="G365" t="n">
        <v>4.1</v>
      </c>
      <c r="H365" t="n">
        <v>0</v>
      </c>
      <c r="I365" t="n">
        <v>0</v>
      </c>
      <c r="J365" t="n">
        <v>0</v>
      </c>
      <c r="K365" t="n">
        <v>0</v>
      </c>
      <c r="L365" t="n">
        <v>0</v>
      </c>
      <c r="M365" t="n">
        <v>0</v>
      </c>
      <c r="N365" t="n">
        <v>0</v>
      </c>
      <c r="O365" t="n">
        <v>0</v>
      </c>
      <c r="P365" t="n">
        <v>0</v>
      </c>
      <c r="Q365" t="n">
        <v>0</v>
      </c>
      <c r="R365" s="2" t="inlineStr"/>
    </row>
    <row r="366" ht="15" customHeight="1">
      <c r="A366" t="inlineStr">
        <is>
          <t>A 3447-2021</t>
        </is>
      </c>
      <c r="B366" s="1" t="n">
        <v>44218</v>
      </c>
      <c r="C366" s="1" t="n">
        <v>45669</v>
      </c>
      <c r="D366" t="inlineStr">
        <is>
          <t>SKÅNE LÄN</t>
        </is>
      </c>
      <c r="E366" t="inlineStr">
        <is>
          <t>HÄSSLEHOLM</t>
        </is>
      </c>
      <c r="G366" t="n">
        <v>3.9</v>
      </c>
      <c r="H366" t="n">
        <v>0</v>
      </c>
      <c r="I366" t="n">
        <v>0</v>
      </c>
      <c r="J366" t="n">
        <v>0</v>
      </c>
      <c r="K366" t="n">
        <v>0</v>
      </c>
      <c r="L366" t="n">
        <v>0</v>
      </c>
      <c r="M366" t="n">
        <v>0</v>
      </c>
      <c r="N366" t="n">
        <v>0</v>
      </c>
      <c r="O366" t="n">
        <v>0</v>
      </c>
      <c r="P366" t="n">
        <v>0</v>
      </c>
      <c r="Q366" t="n">
        <v>0</v>
      </c>
      <c r="R366" s="2" t="inlineStr"/>
    </row>
    <row r="367" ht="15" customHeight="1">
      <c r="A367" t="inlineStr">
        <is>
          <t>A 3483-2021</t>
        </is>
      </c>
      <c r="B367" s="1" t="n">
        <v>44218</v>
      </c>
      <c r="C367" s="1" t="n">
        <v>45669</v>
      </c>
      <c r="D367" t="inlineStr">
        <is>
          <t>SKÅNE LÄN</t>
        </is>
      </c>
      <c r="E367" t="inlineStr">
        <is>
          <t>HÄSSLEHOLM</t>
        </is>
      </c>
      <c r="G367" t="n">
        <v>2.1</v>
      </c>
      <c r="H367" t="n">
        <v>0</v>
      </c>
      <c r="I367" t="n">
        <v>0</v>
      </c>
      <c r="J367" t="n">
        <v>0</v>
      </c>
      <c r="K367" t="n">
        <v>0</v>
      </c>
      <c r="L367" t="n">
        <v>0</v>
      </c>
      <c r="M367" t="n">
        <v>0</v>
      </c>
      <c r="N367" t="n">
        <v>0</v>
      </c>
      <c r="O367" t="n">
        <v>0</v>
      </c>
      <c r="P367" t="n">
        <v>0</v>
      </c>
      <c r="Q367" t="n">
        <v>0</v>
      </c>
      <c r="R367" s="2" t="inlineStr"/>
    </row>
    <row r="368" ht="15" customHeight="1">
      <c r="A368" t="inlineStr">
        <is>
          <t>A 3714-2021</t>
        </is>
      </c>
      <c r="B368" s="1" t="n">
        <v>44221</v>
      </c>
      <c r="C368" s="1" t="n">
        <v>45669</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3925-2021</t>
        </is>
      </c>
      <c r="B369" s="1" t="n">
        <v>44222</v>
      </c>
      <c r="C369" s="1" t="n">
        <v>45669</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3930-2021</t>
        </is>
      </c>
      <c r="B370" s="1" t="n">
        <v>44222</v>
      </c>
      <c r="C370" s="1" t="n">
        <v>45669</v>
      </c>
      <c r="D370" t="inlineStr">
        <is>
          <t>SKÅNE LÄN</t>
        </is>
      </c>
      <c r="E370" t="inlineStr">
        <is>
          <t>HÄSSLEHOLM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4370-2021</t>
        </is>
      </c>
      <c r="B371" s="1" t="n">
        <v>44223</v>
      </c>
      <c r="C371" s="1" t="n">
        <v>45669</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5476-2021</t>
        </is>
      </c>
      <c r="B372" s="1" t="n">
        <v>44230</v>
      </c>
      <c r="C372" s="1" t="n">
        <v>45669</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5478-2021</t>
        </is>
      </c>
      <c r="B373" s="1" t="n">
        <v>44230</v>
      </c>
      <c r="C373" s="1" t="n">
        <v>45669</v>
      </c>
      <c r="D373" t="inlineStr">
        <is>
          <t>SKÅNE LÄN</t>
        </is>
      </c>
      <c r="E373" t="inlineStr">
        <is>
          <t>HÄSSLEHOLM</t>
        </is>
      </c>
      <c r="G373" t="n">
        <v>0.1</v>
      </c>
      <c r="H373" t="n">
        <v>0</v>
      </c>
      <c r="I373" t="n">
        <v>0</v>
      </c>
      <c r="J373" t="n">
        <v>0</v>
      </c>
      <c r="K373" t="n">
        <v>0</v>
      </c>
      <c r="L373" t="n">
        <v>0</v>
      </c>
      <c r="M373" t="n">
        <v>0</v>
      </c>
      <c r="N373" t="n">
        <v>0</v>
      </c>
      <c r="O373" t="n">
        <v>0</v>
      </c>
      <c r="P373" t="n">
        <v>0</v>
      </c>
      <c r="Q373" t="n">
        <v>0</v>
      </c>
      <c r="R373" s="2" t="inlineStr"/>
    </row>
    <row r="374" ht="15" customHeight="1">
      <c r="A374" t="inlineStr">
        <is>
          <t>A 6122-2021</t>
        </is>
      </c>
      <c r="B374" s="1" t="n">
        <v>44232</v>
      </c>
      <c r="C374" s="1" t="n">
        <v>45669</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6180-2021</t>
        </is>
      </c>
      <c r="B375" s="1" t="n">
        <v>44232</v>
      </c>
      <c r="C375" s="1" t="n">
        <v>45669</v>
      </c>
      <c r="D375" t="inlineStr">
        <is>
          <t>SKÅNE LÄN</t>
        </is>
      </c>
      <c r="E375" t="inlineStr">
        <is>
          <t>HÄSSLEHOLM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6327-2021</t>
        </is>
      </c>
      <c r="B376" s="1" t="n">
        <v>44235</v>
      </c>
      <c r="C376" s="1" t="n">
        <v>45669</v>
      </c>
      <c r="D376" t="inlineStr">
        <is>
          <t>SKÅNE LÄN</t>
        </is>
      </c>
      <c r="E376" t="inlineStr">
        <is>
          <t>HÄSSLEHOLM</t>
        </is>
      </c>
      <c r="G376" t="n">
        <v>1.6</v>
      </c>
      <c r="H376" t="n">
        <v>0</v>
      </c>
      <c r="I376" t="n">
        <v>0</v>
      </c>
      <c r="J376" t="n">
        <v>0</v>
      </c>
      <c r="K376" t="n">
        <v>0</v>
      </c>
      <c r="L376" t="n">
        <v>0</v>
      </c>
      <c r="M376" t="n">
        <v>0</v>
      </c>
      <c r="N376" t="n">
        <v>0</v>
      </c>
      <c r="O376" t="n">
        <v>0</v>
      </c>
      <c r="P376" t="n">
        <v>0</v>
      </c>
      <c r="Q376" t="n">
        <v>0</v>
      </c>
      <c r="R376" s="2" t="inlineStr"/>
    </row>
    <row r="377" ht="15" customHeight="1">
      <c r="A377" t="inlineStr">
        <is>
          <t>A 6638-2021</t>
        </is>
      </c>
      <c r="B377" s="1" t="n">
        <v>44235</v>
      </c>
      <c r="C377" s="1" t="n">
        <v>45669</v>
      </c>
      <c r="D377" t="inlineStr">
        <is>
          <t>SKÅNE LÄN</t>
        </is>
      </c>
      <c r="E377" t="inlineStr">
        <is>
          <t>HÄSSLEHOLM</t>
        </is>
      </c>
      <c r="G377" t="n">
        <v>112.4</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45669</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6596-2021</t>
        </is>
      </c>
      <c r="B379" s="1" t="n">
        <v>44236</v>
      </c>
      <c r="C379" s="1" t="n">
        <v>45669</v>
      </c>
      <c r="D379" t="inlineStr">
        <is>
          <t>SKÅNE LÄN</t>
        </is>
      </c>
      <c r="E379" t="inlineStr">
        <is>
          <t>HÄSSLEHOLM</t>
        </is>
      </c>
      <c r="G379" t="n">
        <v>2</v>
      </c>
      <c r="H379" t="n">
        <v>0</v>
      </c>
      <c r="I379" t="n">
        <v>0</v>
      </c>
      <c r="J379" t="n">
        <v>0</v>
      </c>
      <c r="K379" t="n">
        <v>0</v>
      </c>
      <c r="L379" t="n">
        <v>0</v>
      </c>
      <c r="M379" t="n">
        <v>0</v>
      </c>
      <c r="N379" t="n">
        <v>0</v>
      </c>
      <c r="O379" t="n">
        <v>0</v>
      </c>
      <c r="P379" t="n">
        <v>0</v>
      </c>
      <c r="Q379" t="n">
        <v>0</v>
      </c>
      <c r="R379" s="2" t="inlineStr"/>
    </row>
    <row r="380" ht="15" customHeight="1">
      <c r="A380" t="inlineStr">
        <is>
          <t>A 6791-2021</t>
        </is>
      </c>
      <c r="B380" s="1" t="n">
        <v>44236</v>
      </c>
      <c r="C380" s="1" t="n">
        <v>45669</v>
      </c>
      <c r="D380" t="inlineStr">
        <is>
          <t>SKÅNE LÄN</t>
        </is>
      </c>
      <c r="E380" t="inlineStr">
        <is>
          <t>HÄSSLEHOLM</t>
        </is>
      </c>
      <c r="G380" t="n">
        <v>1.7</v>
      </c>
      <c r="H380" t="n">
        <v>0</v>
      </c>
      <c r="I380" t="n">
        <v>0</v>
      </c>
      <c r="J380" t="n">
        <v>0</v>
      </c>
      <c r="K380" t="n">
        <v>0</v>
      </c>
      <c r="L380" t="n">
        <v>0</v>
      </c>
      <c r="M380" t="n">
        <v>0</v>
      </c>
      <c r="N380" t="n">
        <v>0</v>
      </c>
      <c r="O380" t="n">
        <v>0</v>
      </c>
      <c r="P380" t="n">
        <v>0</v>
      </c>
      <c r="Q380" t="n">
        <v>0</v>
      </c>
      <c r="R380" s="2" t="inlineStr"/>
    </row>
    <row r="381" ht="15" customHeight="1">
      <c r="A381" t="inlineStr">
        <is>
          <t>A 6804-2021</t>
        </is>
      </c>
      <c r="B381" s="1" t="n">
        <v>44236</v>
      </c>
      <c r="C381" s="1" t="n">
        <v>45669</v>
      </c>
      <c r="D381" t="inlineStr">
        <is>
          <t>SKÅNE LÄN</t>
        </is>
      </c>
      <c r="E381" t="inlineStr">
        <is>
          <t>HÄSSLEHOLM</t>
        </is>
      </c>
      <c r="G381" t="n">
        <v>4.6</v>
      </c>
      <c r="H381" t="n">
        <v>0</v>
      </c>
      <c r="I381" t="n">
        <v>0</v>
      </c>
      <c r="J381" t="n">
        <v>0</v>
      </c>
      <c r="K381" t="n">
        <v>0</v>
      </c>
      <c r="L381" t="n">
        <v>0</v>
      </c>
      <c r="M381" t="n">
        <v>0</v>
      </c>
      <c r="N381" t="n">
        <v>0</v>
      </c>
      <c r="O381" t="n">
        <v>0</v>
      </c>
      <c r="P381" t="n">
        <v>0</v>
      </c>
      <c r="Q381" t="n">
        <v>0</v>
      </c>
      <c r="R381" s="2" t="inlineStr"/>
    </row>
    <row r="382" ht="15" customHeight="1">
      <c r="A382" t="inlineStr">
        <is>
          <t>A 7248-2021</t>
        </is>
      </c>
      <c r="B382" s="1" t="n">
        <v>44236</v>
      </c>
      <c r="C382" s="1" t="n">
        <v>45669</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6962-2021</t>
        </is>
      </c>
      <c r="B383" s="1" t="n">
        <v>44237</v>
      </c>
      <c r="C383" s="1" t="n">
        <v>45669</v>
      </c>
      <c r="D383" t="inlineStr">
        <is>
          <t>SKÅNE LÄN</t>
        </is>
      </c>
      <c r="E383" t="inlineStr">
        <is>
          <t>HÄSSLEHOLM</t>
        </is>
      </c>
      <c r="G383" t="n">
        <v>4.2</v>
      </c>
      <c r="H383" t="n">
        <v>0</v>
      </c>
      <c r="I383" t="n">
        <v>0</v>
      </c>
      <c r="J383" t="n">
        <v>0</v>
      </c>
      <c r="K383" t="n">
        <v>0</v>
      </c>
      <c r="L383" t="n">
        <v>0</v>
      </c>
      <c r="M383" t="n">
        <v>0</v>
      </c>
      <c r="N383" t="n">
        <v>0</v>
      </c>
      <c r="O383" t="n">
        <v>0</v>
      </c>
      <c r="P383" t="n">
        <v>0</v>
      </c>
      <c r="Q383" t="n">
        <v>0</v>
      </c>
      <c r="R383" s="2" t="inlineStr"/>
    </row>
    <row r="384" ht="15" customHeight="1">
      <c r="A384" t="inlineStr">
        <is>
          <t>A 6967-2021</t>
        </is>
      </c>
      <c r="B384" s="1" t="n">
        <v>44237</v>
      </c>
      <c r="C384" s="1" t="n">
        <v>45669</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6973-2021</t>
        </is>
      </c>
      <c r="B385" s="1" t="n">
        <v>44237</v>
      </c>
      <c r="C385" s="1" t="n">
        <v>45669</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6965-2021</t>
        </is>
      </c>
      <c r="B386" s="1" t="n">
        <v>44237</v>
      </c>
      <c r="C386" s="1" t="n">
        <v>45669</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7522-2021</t>
        </is>
      </c>
      <c r="B387" s="1" t="n">
        <v>44238</v>
      </c>
      <c r="C387" s="1" t="n">
        <v>45669</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7701-2021</t>
        </is>
      </c>
      <c r="B388" s="1" t="n">
        <v>44242</v>
      </c>
      <c r="C388" s="1" t="n">
        <v>45669</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7655-2021</t>
        </is>
      </c>
      <c r="B389" s="1" t="n">
        <v>44242</v>
      </c>
      <c r="C389" s="1" t="n">
        <v>45669</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7692-2021</t>
        </is>
      </c>
      <c r="B390" s="1" t="n">
        <v>44242</v>
      </c>
      <c r="C390" s="1" t="n">
        <v>45669</v>
      </c>
      <c r="D390" t="inlineStr">
        <is>
          <t>SKÅNE LÄN</t>
        </is>
      </c>
      <c r="E390" t="inlineStr">
        <is>
          <t>HÄSSLEHOLM</t>
        </is>
      </c>
      <c r="G390" t="n">
        <v>1.7</v>
      </c>
      <c r="H390" t="n">
        <v>0</v>
      </c>
      <c r="I390" t="n">
        <v>0</v>
      </c>
      <c r="J390" t="n">
        <v>0</v>
      </c>
      <c r="K390" t="n">
        <v>0</v>
      </c>
      <c r="L390" t="n">
        <v>0</v>
      </c>
      <c r="M390" t="n">
        <v>0</v>
      </c>
      <c r="N390" t="n">
        <v>0</v>
      </c>
      <c r="O390" t="n">
        <v>0</v>
      </c>
      <c r="P390" t="n">
        <v>0</v>
      </c>
      <c r="Q390" t="n">
        <v>0</v>
      </c>
      <c r="R390" s="2" t="inlineStr"/>
    </row>
    <row r="391" ht="15" customHeight="1">
      <c r="A391" t="inlineStr">
        <is>
          <t>A 7729-2021</t>
        </is>
      </c>
      <c r="B391" s="1" t="n">
        <v>44242</v>
      </c>
      <c r="C391" s="1" t="n">
        <v>45669</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7771-2021</t>
        </is>
      </c>
      <c r="B392" s="1" t="n">
        <v>44242</v>
      </c>
      <c r="C392" s="1" t="n">
        <v>45669</v>
      </c>
      <c r="D392" t="inlineStr">
        <is>
          <t>SKÅNE LÄN</t>
        </is>
      </c>
      <c r="E392" t="inlineStr">
        <is>
          <t>HÄSSLEHOLM</t>
        </is>
      </c>
      <c r="G392" t="n">
        <v>4.2</v>
      </c>
      <c r="H392" t="n">
        <v>0</v>
      </c>
      <c r="I392" t="n">
        <v>0</v>
      </c>
      <c r="J392" t="n">
        <v>0</v>
      </c>
      <c r="K392" t="n">
        <v>0</v>
      </c>
      <c r="L392" t="n">
        <v>0</v>
      </c>
      <c r="M392" t="n">
        <v>0</v>
      </c>
      <c r="N392" t="n">
        <v>0</v>
      </c>
      <c r="O392" t="n">
        <v>0</v>
      </c>
      <c r="P392" t="n">
        <v>0</v>
      </c>
      <c r="Q392" t="n">
        <v>0</v>
      </c>
      <c r="R392" s="2" t="inlineStr"/>
    </row>
    <row r="393" ht="15" customHeight="1">
      <c r="A393" t="inlineStr">
        <is>
          <t>A 8278-2021</t>
        </is>
      </c>
      <c r="B393" s="1" t="n">
        <v>44244</v>
      </c>
      <c r="C393" s="1" t="n">
        <v>45669</v>
      </c>
      <c r="D393" t="inlineStr">
        <is>
          <t>SKÅNE LÄN</t>
        </is>
      </c>
      <c r="E393" t="inlineStr">
        <is>
          <t>HÄSSLEHOLM</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8695-2021</t>
        </is>
      </c>
      <c r="B394" s="1" t="n">
        <v>44246</v>
      </c>
      <c r="C394" s="1" t="n">
        <v>45669</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9257-2021</t>
        </is>
      </c>
      <c r="B395" s="1" t="n">
        <v>44250</v>
      </c>
      <c r="C395" s="1" t="n">
        <v>45669</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9453-2021</t>
        </is>
      </c>
      <c r="B396" s="1" t="n">
        <v>44251</v>
      </c>
      <c r="C396" s="1" t="n">
        <v>45669</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9885-2021</t>
        </is>
      </c>
      <c r="B397" s="1" t="n">
        <v>44253</v>
      </c>
      <c r="C397" s="1" t="n">
        <v>45669</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9880-2021</t>
        </is>
      </c>
      <c r="B398" s="1" t="n">
        <v>44253</v>
      </c>
      <c r="C398" s="1" t="n">
        <v>45669</v>
      </c>
      <c r="D398" t="inlineStr">
        <is>
          <t>SKÅNE LÄN</t>
        </is>
      </c>
      <c r="E398" t="inlineStr">
        <is>
          <t>HÄSSLEHOLM</t>
        </is>
      </c>
      <c r="G398" t="n">
        <v>8</v>
      </c>
      <c r="H398" t="n">
        <v>0</v>
      </c>
      <c r="I398" t="n">
        <v>0</v>
      </c>
      <c r="J398" t="n">
        <v>0</v>
      </c>
      <c r="K398" t="n">
        <v>0</v>
      </c>
      <c r="L398" t="n">
        <v>0</v>
      </c>
      <c r="M398" t="n">
        <v>0</v>
      </c>
      <c r="N398" t="n">
        <v>0</v>
      </c>
      <c r="O398" t="n">
        <v>0</v>
      </c>
      <c r="P398" t="n">
        <v>0</v>
      </c>
      <c r="Q398" t="n">
        <v>0</v>
      </c>
      <c r="R398" s="2" t="inlineStr"/>
    </row>
    <row r="399" ht="15" customHeight="1">
      <c r="A399" t="inlineStr">
        <is>
          <t>A 11260-2021</t>
        </is>
      </c>
      <c r="B399" s="1" t="n">
        <v>44263</v>
      </c>
      <c r="C399" s="1" t="n">
        <v>45669</v>
      </c>
      <c r="D399" t="inlineStr">
        <is>
          <t>SKÅNE LÄN</t>
        </is>
      </c>
      <c r="E399" t="inlineStr">
        <is>
          <t>HÄSSLEHOLM</t>
        </is>
      </c>
      <c r="G399" t="n">
        <v>5.4</v>
      </c>
      <c r="H399" t="n">
        <v>0</v>
      </c>
      <c r="I399" t="n">
        <v>0</v>
      </c>
      <c r="J399" t="n">
        <v>0</v>
      </c>
      <c r="K399" t="n">
        <v>0</v>
      </c>
      <c r="L399" t="n">
        <v>0</v>
      </c>
      <c r="M399" t="n">
        <v>0</v>
      </c>
      <c r="N399" t="n">
        <v>0</v>
      </c>
      <c r="O399" t="n">
        <v>0</v>
      </c>
      <c r="P399" t="n">
        <v>0</v>
      </c>
      <c r="Q399" t="n">
        <v>0</v>
      </c>
      <c r="R399" s="2" t="inlineStr"/>
    </row>
    <row r="400" ht="15" customHeight="1">
      <c r="A400" t="inlineStr">
        <is>
          <t>A 11616-2021</t>
        </is>
      </c>
      <c r="B400" s="1" t="n">
        <v>44264</v>
      </c>
      <c r="C400" s="1" t="n">
        <v>45669</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12617-2021</t>
        </is>
      </c>
      <c r="B401" s="1" t="n">
        <v>44270</v>
      </c>
      <c r="C401" s="1" t="n">
        <v>45669</v>
      </c>
      <c r="D401" t="inlineStr">
        <is>
          <t>SKÅNE LÄN</t>
        </is>
      </c>
      <c r="E401" t="inlineStr">
        <is>
          <t>HÄSSLEHOLM</t>
        </is>
      </c>
      <c r="G401" t="n">
        <v>1.2</v>
      </c>
      <c r="H401" t="n">
        <v>0</v>
      </c>
      <c r="I401" t="n">
        <v>0</v>
      </c>
      <c r="J401" t="n">
        <v>0</v>
      </c>
      <c r="K401" t="n">
        <v>0</v>
      </c>
      <c r="L401" t="n">
        <v>0</v>
      </c>
      <c r="M401" t="n">
        <v>0</v>
      </c>
      <c r="N401" t="n">
        <v>0</v>
      </c>
      <c r="O401" t="n">
        <v>0</v>
      </c>
      <c r="P401" t="n">
        <v>0</v>
      </c>
      <c r="Q401" t="n">
        <v>0</v>
      </c>
      <c r="R401" s="2" t="inlineStr"/>
    </row>
    <row r="402" ht="15" customHeight="1">
      <c r="A402" t="inlineStr">
        <is>
          <t>A 13063-2021</t>
        </is>
      </c>
      <c r="B402" s="1" t="n">
        <v>44272</v>
      </c>
      <c r="C402" s="1" t="n">
        <v>45669</v>
      </c>
      <c r="D402" t="inlineStr">
        <is>
          <t>SKÅNE LÄN</t>
        </is>
      </c>
      <c r="E402" t="inlineStr">
        <is>
          <t>HÄSSLEHOLM</t>
        </is>
      </c>
      <c r="G402" t="n">
        <v>1.3</v>
      </c>
      <c r="H402" t="n">
        <v>0</v>
      </c>
      <c r="I402" t="n">
        <v>0</v>
      </c>
      <c r="J402" t="n">
        <v>0</v>
      </c>
      <c r="K402" t="n">
        <v>0</v>
      </c>
      <c r="L402" t="n">
        <v>0</v>
      </c>
      <c r="M402" t="n">
        <v>0</v>
      </c>
      <c r="N402" t="n">
        <v>0</v>
      </c>
      <c r="O402" t="n">
        <v>0</v>
      </c>
      <c r="P402" t="n">
        <v>0</v>
      </c>
      <c r="Q402" t="n">
        <v>0</v>
      </c>
      <c r="R402" s="2" t="inlineStr"/>
    </row>
    <row r="403" ht="15" customHeight="1">
      <c r="A403" t="inlineStr">
        <is>
          <t>A 13711-2021</t>
        </is>
      </c>
      <c r="B403" s="1" t="n">
        <v>44274</v>
      </c>
      <c r="C403" s="1" t="n">
        <v>45669</v>
      </c>
      <c r="D403" t="inlineStr">
        <is>
          <t>SKÅNE LÄN</t>
        </is>
      </c>
      <c r="E403" t="inlineStr">
        <is>
          <t>HÄSSLEHOLM</t>
        </is>
      </c>
      <c r="G403" t="n">
        <v>1.4</v>
      </c>
      <c r="H403" t="n">
        <v>0</v>
      </c>
      <c r="I403" t="n">
        <v>0</v>
      </c>
      <c r="J403" t="n">
        <v>0</v>
      </c>
      <c r="K403" t="n">
        <v>0</v>
      </c>
      <c r="L403" t="n">
        <v>0</v>
      </c>
      <c r="M403" t="n">
        <v>0</v>
      </c>
      <c r="N403" t="n">
        <v>0</v>
      </c>
      <c r="O403" t="n">
        <v>0</v>
      </c>
      <c r="P403" t="n">
        <v>0</v>
      </c>
      <c r="Q403" t="n">
        <v>0</v>
      </c>
      <c r="R403" s="2" t="inlineStr"/>
    </row>
    <row r="404" ht="15" customHeight="1">
      <c r="A404" t="inlineStr">
        <is>
          <t>A 13808-2021</t>
        </is>
      </c>
      <c r="B404" s="1" t="n">
        <v>44276</v>
      </c>
      <c r="C404" s="1" t="n">
        <v>45669</v>
      </c>
      <c r="D404" t="inlineStr">
        <is>
          <t>SKÅNE LÄN</t>
        </is>
      </c>
      <c r="E404" t="inlineStr">
        <is>
          <t>HÄSSLEHOLM</t>
        </is>
      </c>
      <c r="G404" t="n">
        <v>10.3</v>
      </c>
      <c r="H404" t="n">
        <v>0</v>
      </c>
      <c r="I404" t="n">
        <v>0</v>
      </c>
      <c r="J404" t="n">
        <v>0</v>
      </c>
      <c r="K404" t="n">
        <v>0</v>
      </c>
      <c r="L404" t="n">
        <v>0</v>
      </c>
      <c r="M404" t="n">
        <v>0</v>
      </c>
      <c r="N404" t="n">
        <v>0</v>
      </c>
      <c r="O404" t="n">
        <v>0</v>
      </c>
      <c r="P404" t="n">
        <v>0</v>
      </c>
      <c r="Q404" t="n">
        <v>0</v>
      </c>
      <c r="R404" s="2" t="inlineStr"/>
    </row>
    <row r="405" ht="15" customHeight="1">
      <c r="A405" t="inlineStr">
        <is>
          <t>A 13811-2021</t>
        </is>
      </c>
      <c r="B405" s="1" t="n">
        <v>44276</v>
      </c>
      <c r="C405" s="1" t="n">
        <v>45669</v>
      </c>
      <c r="D405" t="inlineStr">
        <is>
          <t>SKÅNE LÄN</t>
        </is>
      </c>
      <c r="E405" t="inlineStr">
        <is>
          <t>HÄSSLEHOLM</t>
        </is>
      </c>
      <c r="G405" t="n">
        <v>8</v>
      </c>
      <c r="H405" t="n">
        <v>0</v>
      </c>
      <c r="I405" t="n">
        <v>0</v>
      </c>
      <c r="J405" t="n">
        <v>0</v>
      </c>
      <c r="K405" t="n">
        <v>0</v>
      </c>
      <c r="L405" t="n">
        <v>0</v>
      </c>
      <c r="M405" t="n">
        <v>0</v>
      </c>
      <c r="N405" t="n">
        <v>0</v>
      </c>
      <c r="O405" t="n">
        <v>0</v>
      </c>
      <c r="P405" t="n">
        <v>0</v>
      </c>
      <c r="Q405" t="n">
        <v>0</v>
      </c>
      <c r="R405" s="2" t="inlineStr"/>
    </row>
    <row r="406" ht="15" customHeight="1">
      <c r="A406" t="inlineStr">
        <is>
          <t>A 14054-2021</t>
        </is>
      </c>
      <c r="B406" s="1" t="n">
        <v>44277</v>
      </c>
      <c r="C406" s="1" t="n">
        <v>45669</v>
      </c>
      <c r="D406" t="inlineStr">
        <is>
          <t>SKÅNE LÄN</t>
        </is>
      </c>
      <c r="E406" t="inlineStr">
        <is>
          <t>HÄSSLEHOLM</t>
        </is>
      </c>
      <c r="G406" t="n">
        <v>2</v>
      </c>
      <c r="H406" t="n">
        <v>0</v>
      </c>
      <c r="I406" t="n">
        <v>0</v>
      </c>
      <c r="J406" t="n">
        <v>0</v>
      </c>
      <c r="K406" t="n">
        <v>0</v>
      </c>
      <c r="L406" t="n">
        <v>0</v>
      </c>
      <c r="M406" t="n">
        <v>0</v>
      </c>
      <c r="N406" t="n">
        <v>0</v>
      </c>
      <c r="O406" t="n">
        <v>0</v>
      </c>
      <c r="P406" t="n">
        <v>0</v>
      </c>
      <c r="Q406" t="n">
        <v>0</v>
      </c>
      <c r="R406" s="2" t="inlineStr"/>
    </row>
    <row r="407" ht="15" customHeight="1">
      <c r="A407" t="inlineStr">
        <is>
          <t>A 13982-2021</t>
        </is>
      </c>
      <c r="B407" s="1" t="n">
        <v>44277</v>
      </c>
      <c r="C407" s="1" t="n">
        <v>45669</v>
      </c>
      <c r="D407" t="inlineStr">
        <is>
          <t>SKÅNE LÄN</t>
        </is>
      </c>
      <c r="E407" t="inlineStr">
        <is>
          <t>HÄSSLEHOLM</t>
        </is>
      </c>
      <c r="G407" t="n">
        <v>0.7</v>
      </c>
      <c r="H407" t="n">
        <v>0</v>
      </c>
      <c r="I407" t="n">
        <v>0</v>
      </c>
      <c r="J407" t="n">
        <v>0</v>
      </c>
      <c r="K407" t="n">
        <v>0</v>
      </c>
      <c r="L407" t="n">
        <v>0</v>
      </c>
      <c r="M407" t="n">
        <v>0</v>
      </c>
      <c r="N407" t="n">
        <v>0</v>
      </c>
      <c r="O407" t="n">
        <v>0</v>
      </c>
      <c r="P407" t="n">
        <v>0</v>
      </c>
      <c r="Q407" t="n">
        <v>0</v>
      </c>
      <c r="R407" s="2" t="inlineStr"/>
    </row>
    <row r="408" ht="15" customHeight="1">
      <c r="A408" t="inlineStr">
        <is>
          <t>A 14157-2021</t>
        </is>
      </c>
      <c r="B408" s="1" t="n">
        <v>44278</v>
      </c>
      <c r="C408" s="1" t="n">
        <v>45669</v>
      </c>
      <c r="D408" t="inlineStr">
        <is>
          <t>SKÅNE LÄN</t>
        </is>
      </c>
      <c r="E408" t="inlineStr">
        <is>
          <t>HÄSSLEHOLM</t>
        </is>
      </c>
      <c r="G408" t="n">
        <v>10.5</v>
      </c>
      <c r="H408" t="n">
        <v>0</v>
      </c>
      <c r="I408" t="n">
        <v>0</v>
      </c>
      <c r="J408" t="n">
        <v>0</v>
      </c>
      <c r="K408" t="n">
        <v>0</v>
      </c>
      <c r="L408" t="n">
        <v>0</v>
      </c>
      <c r="M408" t="n">
        <v>0</v>
      </c>
      <c r="N408" t="n">
        <v>0</v>
      </c>
      <c r="O408" t="n">
        <v>0</v>
      </c>
      <c r="P408" t="n">
        <v>0</v>
      </c>
      <c r="Q408" t="n">
        <v>0</v>
      </c>
      <c r="R408" s="2" t="inlineStr"/>
    </row>
    <row r="409" ht="15" customHeight="1">
      <c r="A409" t="inlineStr">
        <is>
          <t>A 17497-2021</t>
        </is>
      </c>
      <c r="B409" s="1" t="n">
        <v>44299</v>
      </c>
      <c r="C409" s="1" t="n">
        <v>45669</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18011-2021</t>
        </is>
      </c>
      <c r="B410" s="1" t="n">
        <v>44302</v>
      </c>
      <c r="C410" s="1" t="n">
        <v>45669</v>
      </c>
      <c r="D410" t="inlineStr">
        <is>
          <t>SKÅNE LÄN</t>
        </is>
      </c>
      <c r="E410" t="inlineStr">
        <is>
          <t>HÄSSLEHOLM</t>
        </is>
      </c>
      <c r="G410" t="n">
        <v>0.4</v>
      </c>
      <c r="H410" t="n">
        <v>0</v>
      </c>
      <c r="I410" t="n">
        <v>0</v>
      </c>
      <c r="J410" t="n">
        <v>0</v>
      </c>
      <c r="K410" t="n">
        <v>0</v>
      </c>
      <c r="L410" t="n">
        <v>0</v>
      </c>
      <c r="M410" t="n">
        <v>0</v>
      </c>
      <c r="N410" t="n">
        <v>0</v>
      </c>
      <c r="O410" t="n">
        <v>0</v>
      </c>
      <c r="P410" t="n">
        <v>0</v>
      </c>
      <c r="Q410" t="n">
        <v>0</v>
      </c>
      <c r="R410" s="2" t="inlineStr"/>
    </row>
    <row r="411" ht="15" customHeight="1">
      <c r="A411" t="inlineStr">
        <is>
          <t>A 18523-2021</t>
        </is>
      </c>
      <c r="B411" s="1" t="n">
        <v>44305</v>
      </c>
      <c r="C411" s="1" t="n">
        <v>45669</v>
      </c>
      <c r="D411" t="inlineStr">
        <is>
          <t>SKÅNE LÄN</t>
        </is>
      </c>
      <c r="E411" t="inlineStr">
        <is>
          <t>HÄSSLEHOLM</t>
        </is>
      </c>
      <c r="F411" t="inlineStr">
        <is>
          <t>Övriga Aktiebolag</t>
        </is>
      </c>
      <c r="G411" t="n">
        <v>1.2</v>
      </c>
      <c r="H411" t="n">
        <v>0</v>
      </c>
      <c r="I411" t="n">
        <v>0</v>
      </c>
      <c r="J411" t="n">
        <v>0</v>
      </c>
      <c r="K411" t="n">
        <v>0</v>
      </c>
      <c r="L411" t="n">
        <v>0</v>
      </c>
      <c r="M411" t="n">
        <v>0</v>
      </c>
      <c r="N411" t="n">
        <v>0</v>
      </c>
      <c r="O411" t="n">
        <v>0</v>
      </c>
      <c r="P411" t="n">
        <v>0</v>
      </c>
      <c r="Q411" t="n">
        <v>0</v>
      </c>
      <c r="R411" s="2" t="inlineStr"/>
    </row>
    <row r="412" ht="15" customHeight="1">
      <c r="A412" t="inlineStr">
        <is>
          <t>A 18511-2021</t>
        </is>
      </c>
      <c r="B412" s="1" t="n">
        <v>44305</v>
      </c>
      <c r="C412" s="1" t="n">
        <v>45669</v>
      </c>
      <c r="D412" t="inlineStr">
        <is>
          <t>SKÅNE LÄN</t>
        </is>
      </c>
      <c r="E412" t="inlineStr">
        <is>
          <t>HÄSSLEHOLM</t>
        </is>
      </c>
      <c r="F412" t="inlineStr">
        <is>
          <t>Övriga Aktiebolag</t>
        </is>
      </c>
      <c r="G412" t="n">
        <v>3.4</v>
      </c>
      <c r="H412" t="n">
        <v>0</v>
      </c>
      <c r="I412" t="n">
        <v>0</v>
      </c>
      <c r="J412" t="n">
        <v>0</v>
      </c>
      <c r="K412" t="n">
        <v>0</v>
      </c>
      <c r="L412" t="n">
        <v>0</v>
      </c>
      <c r="M412" t="n">
        <v>0</v>
      </c>
      <c r="N412" t="n">
        <v>0</v>
      </c>
      <c r="O412" t="n">
        <v>0</v>
      </c>
      <c r="P412" t="n">
        <v>0</v>
      </c>
      <c r="Q412" t="n">
        <v>0</v>
      </c>
      <c r="R412" s="2" t="inlineStr"/>
    </row>
    <row r="413" ht="15" customHeight="1">
      <c r="A413" t="inlineStr">
        <is>
          <t>A 18515-2021</t>
        </is>
      </c>
      <c r="B413" s="1" t="n">
        <v>44305</v>
      </c>
      <c r="C413" s="1" t="n">
        <v>45669</v>
      </c>
      <c r="D413" t="inlineStr">
        <is>
          <t>SKÅNE LÄN</t>
        </is>
      </c>
      <c r="E413" t="inlineStr">
        <is>
          <t>HÄSSLEHOLM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18528-2021</t>
        </is>
      </c>
      <c r="B414" s="1" t="n">
        <v>44305</v>
      </c>
      <c r="C414" s="1" t="n">
        <v>45669</v>
      </c>
      <c r="D414" t="inlineStr">
        <is>
          <t>SKÅNE LÄN</t>
        </is>
      </c>
      <c r="E414" t="inlineStr">
        <is>
          <t>HÄSSLEHOLM</t>
        </is>
      </c>
      <c r="F414" t="inlineStr">
        <is>
          <t>Övriga Aktiebolag</t>
        </is>
      </c>
      <c r="G414" t="n">
        <v>4.6</v>
      </c>
      <c r="H414" t="n">
        <v>0</v>
      </c>
      <c r="I414" t="n">
        <v>0</v>
      </c>
      <c r="J414" t="n">
        <v>0</v>
      </c>
      <c r="K414" t="n">
        <v>0</v>
      </c>
      <c r="L414" t="n">
        <v>0</v>
      </c>
      <c r="M414" t="n">
        <v>0</v>
      </c>
      <c r="N414" t="n">
        <v>0</v>
      </c>
      <c r="O414" t="n">
        <v>0</v>
      </c>
      <c r="P414" t="n">
        <v>0</v>
      </c>
      <c r="Q414" t="n">
        <v>0</v>
      </c>
      <c r="R414" s="2" t="inlineStr"/>
    </row>
    <row r="415" ht="15" customHeight="1">
      <c r="A415" t="inlineStr">
        <is>
          <t>A 18648-2021</t>
        </is>
      </c>
      <c r="B415" s="1" t="n">
        <v>44306</v>
      </c>
      <c r="C415" s="1" t="n">
        <v>45669</v>
      </c>
      <c r="D415" t="inlineStr">
        <is>
          <t>SKÅNE LÄN</t>
        </is>
      </c>
      <c r="E415" t="inlineStr">
        <is>
          <t>HÄSSLEHOLM</t>
        </is>
      </c>
      <c r="G415" t="n">
        <v>2.5</v>
      </c>
      <c r="H415" t="n">
        <v>0</v>
      </c>
      <c r="I415" t="n">
        <v>0</v>
      </c>
      <c r="J415" t="n">
        <v>0</v>
      </c>
      <c r="K415" t="n">
        <v>0</v>
      </c>
      <c r="L415" t="n">
        <v>0</v>
      </c>
      <c r="M415" t="n">
        <v>0</v>
      </c>
      <c r="N415" t="n">
        <v>0</v>
      </c>
      <c r="O415" t="n">
        <v>0</v>
      </c>
      <c r="P415" t="n">
        <v>0</v>
      </c>
      <c r="Q415" t="n">
        <v>0</v>
      </c>
      <c r="R415" s="2" t="inlineStr"/>
    </row>
    <row r="416" ht="15" customHeight="1">
      <c r="A416" t="inlineStr">
        <is>
          <t>A 19449-2021</t>
        </is>
      </c>
      <c r="B416" s="1" t="n">
        <v>44310</v>
      </c>
      <c r="C416" s="1" t="n">
        <v>45669</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20510-2021</t>
        </is>
      </c>
      <c r="B417" s="1" t="n">
        <v>44315</v>
      </c>
      <c r="C417" s="1" t="n">
        <v>45669</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20435-2021</t>
        </is>
      </c>
      <c r="B418" s="1" t="n">
        <v>44315</v>
      </c>
      <c r="C418" s="1" t="n">
        <v>45669</v>
      </c>
      <c r="D418" t="inlineStr">
        <is>
          <t>SKÅNE LÄN</t>
        </is>
      </c>
      <c r="E418" t="inlineStr">
        <is>
          <t>HÄSSLEHOLM</t>
        </is>
      </c>
      <c r="G418" t="n">
        <v>4.8</v>
      </c>
      <c r="H418" t="n">
        <v>0</v>
      </c>
      <c r="I418" t="n">
        <v>0</v>
      </c>
      <c r="J418" t="n">
        <v>0</v>
      </c>
      <c r="K418" t="n">
        <v>0</v>
      </c>
      <c r="L418" t="n">
        <v>0</v>
      </c>
      <c r="M418" t="n">
        <v>0</v>
      </c>
      <c r="N418" t="n">
        <v>0</v>
      </c>
      <c r="O418" t="n">
        <v>0</v>
      </c>
      <c r="P418" t="n">
        <v>0</v>
      </c>
      <c r="Q418" t="n">
        <v>0</v>
      </c>
      <c r="R418" s="2" t="inlineStr"/>
    </row>
    <row r="419" ht="15" customHeight="1">
      <c r="A419" t="inlineStr">
        <is>
          <t>A 20513-2021</t>
        </is>
      </c>
      <c r="B419" s="1" t="n">
        <v>44315</v>
      </c>
      <c r="C419" s="1" t="n">
        <v>45669</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20648-2021</t>
        </is>
      </c>
      <c r="B420" s="1" t="n">
        <v>44316</v>
      </c>
      <c r="C420" s="1" t="n">
        <v>45669</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20659-2021</t>
        </is>
      </c>
      <c r="B421" s="1" t="n">
        <v>44316</v>
      </c>
      <c r="C421" s="1" t="n">
        <v>45669</v>
      </c>
      <c r="D421" t="inlineStr">
        <is>
          <t>SKÅNE LÄN</t>
        </is>
      </c>
      <c r="E421" t="inlineStr">
        <is>
          <t>HÄSSLEHOLM</t>
        </is>
      </c>
      <c r="G421" t="n">
        <v>2.8</v>
      </c>
      <c r="H421" t="n">
        <v>0</v>
      </c>
      <c r="I421" t="n">
        <v>0</v>
      </c>
      <c r="J421" t="n">
        <v>0</v>
      </c>
      <c r="K421" t="n">
        <v>0</v>
      </c>
      <c r="L421" t="n">
        <v>0</v>
      </c>
      <c r="M421" t="n">
        <v>0</v>
      </c>
      <c r="N421" t="n">
        <v>0</v>
      </c>
      <c r="O421" t="n">
        <v>0</v>
      </c>
      <c r="P421" t="n">
        <v>0</v>
      </c>
      <c r="Q421" t="n">
        <v>0</v>
      </c>
      <c r="R421" s="2" t="inlineStr"/>
    </row>
    <row r="422" ht="15" customHeight="1">
      <c r="A422" t="inlineStr">
        <is>
          <t>A 21715-2021</t>
        </is>
      </c>
      <c r="B422" s="1" t="n">
        <v>44316</v>
      </c>
      <c r="C422" s="1" t="n">
        <v>45669</v>
      </c>
      <c r="D422" t="inlineStr">
        <is>
          <t>SKÅNE LÄN</t>
        </is>
      </c>
      <c r="E422" t="inlineStr">
        <is>
          <t>HÄSSLEHOLM</t>
        </is>
      </c>
      <c r="G422" t="n">
        <v>9.5</v>
      </c>
      <c r="H422" t="n">
        <v>0</v>
      </c>
      <c r="I422" t="n">
        <v>0</v>
      </c>
      <c r="J422" t="n">
        <v>0</v>
      </c>
      <c r="K422" t="n">
        <v>0</v>
      </c>
      <c r="L422" t="n">
        <v>0</v>
      </c>
      <c r="M422" t="n">
        <v>0</v>
      </c>
      <c r="N422" t="n">
        <v>0</v>
      </c>
      <c r="O422" t="n">
        <v>0</v>
      </c>
      <c r="P422" t="n">
        <v>0</v>
      </c>
      <c r="Q422" t="n">
        <v>0</v>
      </c>
      <c r="R422" s="2" t="inlineStr"/>
    </row>
    <row r="423" ht="15" customHeight="1">
      <c r="A423" t="inlineStr">
        <is>
          <t>A 21028-2021</t>
        </is>
      </c>
      <c r="B423" s="1" t="n">
        <v>44319</v>
      </c>
      <c r="C423" s="1" t="n">
        <v>45669</v>
      </c>
      <c r="D423" t="inlineStr">
        <is>
          <t>SKÅNE LÄN</t>
        </is>
      </c>
      <c r="E423" t="inlineStr">
        <is>
          <t>HÄSSLEHOLM</t>
        </is>
      </c>
      <c r="G423" t="n">
        <v>3.1</v>
      </c>
      <c r="H423" t="n">
        <v>0</v>
      </c>
      <c r="I423" t="n">
        <v>0</v>
      </c>
      <c r="J423" t="n">
        <v>0</v>
      </c>
      <c r="K423" t="n">
        <v>0</v>
      </c>
      <c r="L423" t="n">
        <v>0</v>
      </c>
      <c r="M423" t="n">
        <v>0</v>
      </c>
      <c r="N423" t="n">
        <v>0</v>
      </c>
      <c r="O423" t="n">
        <v>0</v>
      </c>
      <c r="P423" t="n">
        <v>0</v>
      </c>
      <c r="Q423" t="n">
        <v>0</v>
      </c>
      <c r="R423" s="2" t="inlineStr"/>
    </row>
    <row r="424" ht="15" customHeight="1">
      <c r="A424" t="inlineStr">
        <is>
          <t>A 21029-2021</t>
        </is>
      </c>
      <c r="B424" s="1" t="n">
        <v>44319</v>
      </c>
      <c r="C424" s="1" t="n">
        <v>45669</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21535-2021</t>
        </is>
      </c>
      <c r="B425" s="1" t="n">
        <v>44321</v>
      </c>
      <c r="C425" s="1" t="n">
        <v>45669</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22320-2021</t>
        </is>
      </c>
      <c r="B426" s="1" t="n">
        <v>44323</v>
      </c>
      <c r="C426" s="1" t="n">
        <v>45669</v>
      </c>
      <c r="D426" t="inlineStr">
        <is>
          <t>SKÅNE LÄN</t>
        </is>
      </c>
      <c r="E426" t="inlineStr">
        <is>
          <t>HÄSSLEHOLM</t>
        </is>
      </c>
      <c r="G426" t="n">
        <v>0.9</v>
      </c>
      <c r="H426" t="n">
        <v>0</v>
      </c>
      <c r="I426" t="n">
        <v>0</v>
      </c>
      <c r="J426" t="n">
        <v>0</v>
      </c>
      <c r="K426" t="n">
        <v>0</v>
      </c>
      <c r="L426" t="n">
        <v>0</v>
      </c>
      <c r="M426" t="n">
        <v>0</v>
      </c>
      <c r="N426" t="n">
        <v>0</v>
      </c>
      <c r="O426" t="n">
        <v>0</v>
      </c>
      <c r="P426" t="n">
        <v>0</v>
      </c>
      <c r="Q426" t="n">
        <v>0</v>
      </c>
      <c r="R426" s="2" t="inlineStr"/>
    </row>
    <row r="427" ht="15" customHeight="1">
      <c r="A427" t="inlineStr">
        <is>
          <t>A 22423-2021</t>
        </is>
      </c>
      <c r="B427" s="1" t="n">
        <v>44326</v>
      </c>
      <c r="C427" s="1" t="n">
        <v>45669</v>
      </c>
      <c r="D427" t="inlineStr">
        <is>
          <t>SKÅNE LÄN</t>
        </is>
      </c>
      <c r="E427" t="inlineStr">
        <is>
          <t>HÄSSLEHOLM</t>
        </is>
      </c>
      <c r="F427" t="inlineStr">
        <is>
          <t>Övriga Aktiebolag</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22541-2021</t>
        </is>
      </c>
      <c r="B428" s="1" t="n">
        <v>44326</v>
      </c>
      <c r="C428" s="1" t="n">
        <v>45669</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23003-2021</t>
        </is>
      </c>
      <c r="B429" s="1" t="n">
        <v>44328</v>
      </c>
      <c r="C429" s="1" t="n">
        <v>45669</v>
      </c>
      <c r="D429" t="inlineStr">
        <is>
          <t>SKÅNE LÄN</t>
        </is>
      </c>
      <c r="E429" t="inlineStr">
        <is>
          <t>HÄSSLEHOLM</t>
        </is>
      </c>
      <c r="G429" t="n">
        <v>4.4</v>
      </c>
      <c r="H429" t="n">
        <v>0</v>
      </c>
      <c r="I429" t="n">
        <v>0</v>
      </c>
      <c r="J429" t="n">
        <v>0</v>
      </c>
      <c r="K429" t="n">
        <v>0</v>
      </c>
      <c r="L429" t="n">
        <v>0</v>
      </c>
      <c r="M429" t="n">
        <v>0</v>
      </c>
      <c r="N429" t="n">
        <v>0</v>
      </c>
      <c r="O429" t="n">
        <v>0</v>
      </c>
      <c r="P429" t="n">
        <v>0</v>
      </c>
      <c r="Q429" t="n">
        <v>0</v>
      </c>
      <c r="R429" s="2" t="inlineStr"/>
    </row>
    <row r="430" ht="15" customHeight="1">
      <c r="A430" t="inlineStr">
        <is>
          <t>A 22899-2021</t>
        </is>
      </c>
      <c r="B430" s="1" t="n">
        <v>44328</v>
      </c>
      <c r="C430" s="1" t="n">
        <v>45669</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22907-2021</t>
        </is>
      </c>
      <c r="B431" s="1" t="n">
        <v>44328</v>
      </c>
      <c r="C431" s="1" t="n">
        <v>45669</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45669</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23106-2021</t>
        </is>
      </c>
      <c r="B433" s="1" t="n">
        <v>44330</v>
      </c>
      <c r="C433" s="1" t="n">
        <v>45669</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23830-2021</t>
        </is>
      </c>
      <c r="B434" s="1" t="n">
        <v>44335</v>
      </c>
      <c r="C434" s="1" t="n">
        <v>45669</v>
      </c>
      <c r="D434" t="inlineStr">
        <is>
          <t>SKÅNE LÄN</t>
        </is>
      </c>
      <c r="E434" t="inlineStr">
        <is>
          <t>HÄSSLEHOLM</t>
        </is>
      </c>
      <c r="G434" t="n">
        <v>18.7</v>
      </c>
      <c r="H434" t="n">
        <v>0</v>
      </c>
      <c r="I434" t="n">
        <v>0</v>
      </c>
      <c r="J434" t="n">
        <v>0</v>
      </c>
      <c r="K434" t="n">
        <v>0</v>
      </c>
      <c r="L434" t="n">
        <v>0</v>
      </c>
      <c r="M434" t="n">
        <v>0</v>
      </c>
      <c r="N434" t="n">
        <v>0</v>
      </c>
      <c r="O434" t="n">
        <v>0</v>
      </c>
      <c r="P434" t="n">
        <v>0</v>
      </c>
      <c r="Q434" t="n">
        <v>0</v>
      </c>
      <c r="R434" s="2" t="inlineStr"/>
    </row>
    <row r="435" ht="15" customHeight="1">
      <c r="A435" t="inlineStr">
        <is>
          <t>A 23837-2021</t>
        </is>
      </c>
      <c r="B435" s="1" t="n">
        <v>44335</v>
      </c>
      <c r="C435" s="1" t="n">
        <v>45669</v>
      </c>
      <c r="D435" t="inlineStr">
        <is>
          <t>SKÅNE LÄN</t>
        </is>
      </c>
      <c r="E435" t="inlineStr">
        <is>
          <t>HÄSSLEHOLM</t>
        </is>
      </c>
      <c r="G435" t="n">
        <v>7.6</v>
      </c>
      <c r="H435" t="n">
        <v>0</v>
      </c>
      <c r="I435" t="n">
        <v>0</v>
      </c>
      <c r="J435" t="n">
        <v>0</v>
      </c>
      <c r="K435" t="n">
        <v>0</v>
      </c>
      <c r="L435" t="n">
        <v>0</v>
      </c>
      <c r="M435" t="n">
        <v>0</v>
      </c>
      <c r="N435" t="n">
        <v>0</v>
      </c>
      <c r="O435" t="n">
        <v>0</v>
      </c>
      <c r="P435" t="n">
        <v>0</v>
      </c>
      <c r="Q435" t="n">
        <v>0</v>
      </c>
      <c r="R435" s="2" t="inlineStr"/>
    </row>
    <row r="436" ht="15" customHeight="1">
      <c r="A436" t="inlineStr">
        <is>
          <t>A 23841-2021</t>
        </is>
      </c>
      <c r="B436" s="1" t="n">
        <v>44335</v>
      </c>
      <c r="C436" s="1" t="n">
        <v>45669</v>
      </c>
      <c r="D436" t="inlineStr">
        <is>
          <t>SKÅNE LÄN</t>
        </is>
      </c>
      <c r="E436" t="inlineStr">
        <is>
          <t>HÄSSLEHOLM</t>
        </is>
      </c>
      <c r="G436" t="n">
        <v>16.9</v>
      </c>
      <c r="H436" t="n">
        <v>0</v>
      </c>
      <c r="I436" t="n">
        <v>0</v>
      </c>
      <c r="J436" t="n">
        <v>0</v>
      </c>
      <c r="K436" t="n">
        <v>0</v>
      </c>
      <c r="L436" t="n">
        <v>0</v>
      </c>
      <c r="M436" t="n">
        <v>0</v>
      </c>
      <c r="N436" t="n">
        <v>0</v>
      </c>
      <c r="O436" t="n">
        <v>0</v>
      </c>
      <c r="P436" t="n">
        <v>0</v>
      </c>
      <c r="Q436" t="n">
        <v>0</v>
      </c>
      <c r="R436" s="2" t="inlineStr"/>
    </row>
    <row r="437" ht="15" customHeight="1">
      <c r="A437" t="inlineStr">
        <is>
          <t>A 23826-2021</t>
        </is>
      </c>
      <c r="B437" s="1" t="n">
        <v>44335</v>
      </c>
      <c r="C437" s="1" t="n">
        <v>45669</v>
      </c>
      <c r="D437" t="inlineStr">
        <is>
          <t>SKÅNE LÄN</t>
        </is>
      </c>
      <c r="E437" t="inlineStr">
        <is>
          <t>HÄSSLEHOLM</t>
        </is>
      </c>
      <c r="G437" t="n">
        <v>6.5</v>
      </c>
      <c r="H437" t="n">
        <v>0</v>
      </c>
      <c r="I437" t="n">
        <v>0</v>
      </c>
      <c r="J437" t="n">
        <v>0</v>
      </c>
      <c r="K437" t="n">
        <v>0</v>
      </c>
      <c r="L437" t="n">
        <v>0</v>
      </c>
      <c r="M437" t="n">
        <v>0</v>
      </c>
      <c r="N437" t="n">
        <v>0</v>
      </c>
      <c r="O437" t="n">
        <v>0</v>
      </c>
      <c r="P437" t="n">
        <v>0</v>
      </c>
      <c r="Q437" t="n">
        <v>0</v>
      </c>
      <c r="R437" s="2" t="inlineStr"/>
    </row>
    <row r="438" ht="15" customHeight="1">
      <c r="A438" t="inlineStr">
        <is>
          <t>A 24498-2021</t>
        </is>
      </c>
      <c r="B438" s="1" t="n">
        <v>44337</v>
      </c>
      <c r="C438" s="1" t="n">
        <v>45669</v>
      </c>
      <c r="D438" t="inlineStr">
        <is>
          <t>SKÅNE LÄN</t>
        </is>
      </c>
      <c r="E438" t="inlineStr">
        <is>
          <t>HÄSSLEHOLM</t>
        </is>
      </c>
      <c r="G438" t="n">
        <v>1.5</v>
      </c>
      <c r="H438" t="n">
        <v>0</v>
      </c>
      <c r="I438" t="n">
        <v>0</v>
      </c>
      <c r="J438" t="n">
        <v>0</v>
      </c>
      <c r="K438" t="n">
        <v>0</v>
      </c>
      <c r="L438" t="n">
        <v>0</v>
      </c>
      <c r="M438" t="n">
        <v>0</v>
      </c>
      <c r="N438" t="n">
        <v>0</v>
      </c>
      <c r="O438" t="n">
        <v>0</v>
      </c>
      <c r="P438" t="n">
        <v>0</v>
      </c>
      <c r="Q438" t="n">
        <v>0</v>
      </c>
      <c r="R438" s="2" t="inlineStr"/>
    </row>
    <row r="439" ht="15" customHeight="1">
      <c r="A439" t="inlineStr">
        <is>
          <t>A 24496-2021</t>
        </is>
      </c>
      <c r="B439" s="1" t="n">
        <v>44337</v>
      </c>
      <c r="C439" s="1" t="n">
        <v>45669</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25383-2021</t>
        </is>
      </c>
      <c r="B440" s="1" t="n">
        <v>44342</v>
      </c>
      <c r="C440" s="1" t="n">
        <v>45669</v>
      </c>
      <c r="D440" t="inlineStr">
        <is>
          <t>SKÅNE LÄN</t>
        </is>
      </c>
      <c r="E440" t="inlineStr">
        <is>
          <t>HÄSSLEHOLM</t>
        </is>
      </c>
      <c r="G440" t="n">
        <v>0.7</v>
      </c>
      <c r="H440" t="n">
        <v>0</v>
      </c>
      <c r="I440" t="n">
        <v>0</v>
      </c>
      <c r="J440" t="n">
        <v>0</v>
      </c>
      <c r="K440" t="n">
        <v>0</v>
      </c>
      <c r="L440" t="n">
        <v>0</v>
      </c>
      <c r="M440" t="n">
        <v>0</v>
      </c>
      <c r="N440" t="n">
        <v>0</v>
      </c>
      <c r="O440" t="n">
        <v>0</v>
      </c>
      <c r="P440" t="n">
        <v>0</v>
      </c>
      <c r="Q440" t="n">
        <v>0</v>
      </c>
      <c r="R440" s="2" t="inlineStr"/>
    </row>
    <row r="441" ht="15" customHeight="1">
      <c r="A441" t="inlineStr">
        <is>
          <t>A 25379-2021</t>
        </is>
      </c>
      <c r="B441" s="1" t="n">
        <v>44342</v>
      </c>
      <c r="C441" s="1" t="n">
        <v>45669</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25788-2021</t>
        </is>
      </c>
      <c r="B442" s="1" t="n">
        <v>44343</v>
      </c>
      <c r="C442" s="1" t="n">
        <v>45669</v>
      </c>
      <c r="D442" t="inlineStr">
        <is>
          <t>SKÅNE LÄN</t>
        </is>
      </c>
      <c r="E442" t="inlineStr">
        <is>
          <t>HÄSSLEHOLM</t>
        </is>
      </c>
      <c r="G442" t="n">
        <v>4.8</v>
      </c>
      <c r="H442" t="n">
        <v>0</v>
      </c>
      <c r="I442" t="n">
        <v>0</v>
      </c>
      <c r="J442" t="n">
        <v>0</v>
      </c>
      <c r="K442" t="n">
        <v>0</v>
      </c>
      <c r="L442" t="n">
        <v>0</v>
      </c>
      <c r="M442" t="n">
        <v>0</v>
      </c>
      <c r="N442" t="n">
        <v>0</v>
      </c>
      <c r="O442" t="n">
        <v>0</v>
      </c>
      <c r="P442" t="n">
        <v>0</v>
      </c>
      <c r="Q442" t="n">
        <v>0</v>
      </c>
      <c r="R442" s="2" t="inlineStr"/>
    </row>
    <row r="443" ht="15" customHeight="1">
      <c r="A443" t="inlineStr">
        <is>
          <t>A 26207-2021</t>
        </is>
      </c>
      <c r="B443" s="1" t="n">
        <v>44347</v>
      </c>
      <c r="C443" s="1" t="n">
        <v>45669</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27137-2021</t>
        </is>
      </c>
      <c r="B444" s="1" t="n">
        <v>44350</v>
      </c>
      <c r="C444" s="1" t="n">
        <v>45669</v>
      </c>
      <c r="D444" t="inlineStr">
        <is>
          <t>SKÅNE LÄN</t>
        </is>
      </c>
      <c r="E444" t="inlineStr">
        <is>
          <t>HÄSSLEHOLM</t>
        </is>
      </c>
      <c r="G444" t="n">
        <v>2.4</v>
      </c>
      <c r="H444" t="n">
        <v>0</v>
      </c>
      <c r="I444" t="n">
        <v>0</v>
      </c>
      <c r="J444" t="n">
        <v>0</v>
      </c>
      <c r="K444" t="n">
        <v>0</v>
      </c>
      <c r="L444" t="n">
        <v>0</v>
      </c>
      <c r="M444" t="n">
        <v>0</v>
      </c>
      <c r="N444" t="n">
        <v>0</v>
      </c>
      <c r="O444" t="n">
        <v>0</v>
      </c>
      <c r="P444" t="n">
        <v>0</v>
      </c>
      <c r="Q444" t="n">
        <v>0</v>
      </c>
      <c r="R444" s="2" t="inlineStr"/>
    </row>
    <row r="445" ht="15" customHeight="1">
      <c r="A445" t="inlineStr">
        <is>
          <t>A 27197-2021</t>
        </is>
      </c>
      <c r="B445" s="1" t="n">
        <v>44350</v>
      </c>
      <c r="C445" s="1" t="n">
        <v>45669</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27330-2021</t>
        </is>
      </c>
      <c r="B446" s="1" t="n">
        <v>44351</v>
      </c>
      <c r="C446" s="1" t="n">
        <v>45669</v>
      </c>
      <c r="D446" t="inlineStr">
        <is>
          <t>SKÅNE LÄN</t>
        </is>
      </c>
      <c r="E446" t="inlineStr">
        <is>
          <t>HÄSSLEHOLM</t>
        </is>
      </c>
      <c r="G446" t="n">
        <v>0.6</v>
      </c>
      <c r="H446" t="n">
        <v>0</v>
      </c>
      <c r="I446" t="n">
        <v>0</v>
      </c>
      <c r="J446" t="n">
        <v>0</v>
      </c>
      <c r="K446" t="n">
        <v>0</v>
      </c>
      <c r="L446" t="n">
        <v>0</v>
      </c>
      <c r="M446" t="n">
        <v>0</v>
      </c>
      <c r="N446" t="n">
        <v>0</v>
      </c>
      <c r="O446" t="n">
        <v>0</v>
      </c>
      <c r="P446" t="n">
        <v>0</v>
      </c>
      <c r="Q446" t="n">
        <v>0</v>
      </c>
      <c r="R446" s="2" t="inlineStr"/>
    </row>
    <row r="447" ht="15" customHeight="1">
      <c r="A447" t="inlineStr">
        <is>
          <t>A 29143-2021</t>
        </is>
      </c>
      <c r="B447" s="1" t="n">
        <v>44358</v>
      </c>
      <c r="C447" s="1" t="n">
        <v>45669</v>
      </c>
      <c r="D447" t="inlineStr">
        <is>
          <t>SKÅNE LÄN</t>
        </is>
      </c>
      <c r="E447" t="inlineStr">
        <is>
          <t>HÄSSLEHOLM</t>
        </is>
      </c>
      <c r="G447" t="n">
        <v>2.9</v>
      </c>
      <c r="H447" t="n">
        <v>0</v>
      </c>
      <c r="I447" t="n">
        <v>0</v>
      </c>
      <c r="J447" t="n">
        <v>0</v>
      </c>
      <c r="K447" t="n">
        <v>0</v>
      </c>
      <c r="L447" t="n">
        <v>0</v>
      </c>
      <c r="M447" t="n">
        <v>0</v>
      </c>
      <c r="N447" t="n">
        <v>0</v>
      </c>
      <c r="O447" t="n">
        <v>0</v>
      </c>
      <c r="P447" t="n">
        <v>0</v>
      </c>
      <c r="Q447" t="n">
        <v>0</v>
      </c>
      <c r="R447" s="2" t="inlineStr"/>
    </row>
    <row r="448" ht="15" customHeight="1">
      <c r="A448" t="inlineStr">
        <is>
          <t>A 30879-2021</t>
        </is>
      </c>
      <c r="B448" s="1" t="n">
        <v>44365</v>
      </c>
      <c r="C448" s="1" t="n">
        <v>45669</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30992-2021</t>
        </is>
      </c>
      <c r="B449" s="1" t="n">
        <v>44366</v>
      </c>
      <c r="C449" s="1" t="n">
        <v>45669</v>
      </c>
      <c r="D449" t="inlineStr">
        <is>
          <t>SKÅNE LÄN</t>
        </is>
      </c>
      <c r="E449" t="inlineStr">
        <is>
          <t>HÄSSLEHOLM</t>
        </is>
      </c>
      <c r="G449" t="n">
        <v>3.1</v>
      </c>
      <c r="H449" t="n">
        <v>0</v>
      </c>
      <c r="I449" t="n">
        <v>0</v>
      </c>
      <c r="J449" t="n">
        <v>0</v>
      </c>
      <c r="K449" t="n">
        <v>0</v>
      </c>
      <c r="L449" t="n">
        <v>0</v>
      </c>
      <c r="M449" t="n">
        <v>0</v>
      </c>
      <c r="N449" t="n">
        <v>0</v>
      </c>
      <c r="O449" t="n">
        <v>0</v>
      </c>
      <c r="P449" t="n">
        <v>0</v>
      </c>
      <c r="Q449" t="n">
        <v>0</v>
      </c>
      <c r="R449" s="2" t="inlineStr"/>
    </row>
    <row r="450" ht="15" customHeight="1">
      <c r="A450" t="inlineStr">
        <is>
          <t>A 32792-2021</t>
        </is>
      </c>
      <c r="B450" s="1" t="n">
        <v>44375</v>
      </c>
      <c r="C450" s="1" t="n">
        <v>45669</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32892-2021</t>
        </is>
      </c>
      <c r="B451" s="1" t="n">
        <v>44375</v>
      </c>
      <c r="C451" s="1" t="n">
        <v>45669</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32794-2021</t>
        </is>
      </c>
      <c r="B452" s="1" t="n">
        <v>44375</v>
      </c>
      <c r="C452" s="1" t="n">
        <v>45669</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32967-2021</t>
        </is>
      </c>
      <c r="B453" s="1" t="n">
        <v>44376</v>
      </c>
      <c r="C453" s="1" t="n">
        <v>45669</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33736-2021</t>
        </is>
      </c>
      <c r="B454" s="1" t="n">
        <v>44378</v>
      </c>
      <c r="C454" s="1" t="n">
        <v>45669</v>
      </c>
      <c r="D454" t="inlineStr">
        <is>
          <t>SKÅNE LÄN</t>
        </is>
      </c>
      <c r="E454" t="inlineStr">
        <is>
          <t>HÄSSLEHOLM</t>
        </is>
      </c>
      <c r="G454" t="n">
        <v>7.6</v>
      </c>
      <c r="H454" t="n">
        <v>0</v>
      </c>
      <c r="I454" t="n">
        <v>0</v>
      </c>
      <c r="J454" t="n">
        <v>0</v>
      </c>
      <c r="K454" t="n">
        <v>0</v>
      </c>
      <c r="L454" t="n">
        <v>0</v>
      </c>
      <c r="M454" t="n">
        <v>0</v>
      </c>
      <c r="N454" t="n">
        <v>0</v>
      </c>
      <c r="O454" t="n">
        <v>0</v>
      </c>
      <c r="P454" t="n">
        <v>0</v>
      </c>
      <c r="Q454" t="n">
        <v>0</v>
      </c>
      <c r="R454" s="2" t="inlineStr"/>
    </row>
    <row r="455" ht="15" customHeight="1">
      <c r="A455" t="inlineStr">
        <is>
          <t>A 33873-2021</t>
        </is>
      </c>
      <c r="B455" s="1" t="n">
        <v>44378</v>
      </c>
      <c r="C455" s="1" t="n">
        <v>45669</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33927-2021</t>
        </is>
      </c>
      <c r="B456" s="1" t="n">
        <v>44378</v>
      </c>
      <c r="C456" s="1" t="n">
        <v>45669</v>
      </c>
      <c r="D456" t="inlineStr">
        <is>
          <t>SKÅNE LÄN</t>
        </is>
      </c>
      <c r="E456" t="inlineStr">
        <is>
          <t>HÄSSLEHOLM</t>
        </is>
      </c>
      <c r="G456" t="n">
        <v>16.7</v>
      </c>
      <c r="H456" t="n">
        <v>0</v>
      </c>
      <c r="I456" t="n">
        <v>0</v>
      </c>
      <c r="J456" t="n">
        <v>0</v>
      </c>
      <c r="K456" t="n">
        <v>0</v>
      </c>
      <c r="L456" t="n">
        <v>0</v>
      </c>
      <c r="M456" t="n">
        <v>0</v>
      </c>
      <c r="N456" t="n">
        <v>0</v>
      </c>
      <c r="O456" t="n">
        <v>0</v>
      </c>
      <c r="P456" t="n">
        <v>0</v>
      </c>
      <c r="Q456" t="n">
        <v>0</v>
      </c>
      <c r="R456" s="2" t="inlineStr"/>
    </row>
    <row r="457" ht="15" customHeight="1">
      <c r="A457" t="inlineStr">
        <is>
          <t>A 34027-2021</t>
        </is>
      </c>
      <c r="B457" s="1" t="n">
        <v>44379</v>
      </c>
      <c r="C457" s="1" t="n">
        <v>45669</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34342-2021</t>
        </is>
      </c>
      <c r="B458" s="1" t="n">
        <v>44379</v>
      </c>
      <c r="C458" s="1" t="n">
        <v>45669</v>
      </c>
      <c r="D458" t="inlineStr">
        <is>
          <t>SKÅNE LÄN</t>
        </is>
      </c>
      <c r="E458" t="inlineStr">
        <is>
          <t>HÄSSLEHOLM</t>
        </is>
      </c>
      <c r="G458" t="n">
        <v>7</v>
      </c>
      <c r="H458" t="n">
        <v>0</v>
      </c>
      <c r="I458" t="n">
        <v>0</v>
      </c>
      <c r="J458" t="n">
        <v>0</v>
      </c>
      <c r="K458" t="n">
        <v>0</v>
      </c>
      <c r="L458" t="n">
        <v>0</v>
      </c>
      <c r="M458" t="n">
        <v>0</v>
      </c>
      <c r="N458" t="n">
        <v>0</v>
      </c>
      <c r="O458" t="n">
        <v>0</v>
      </c>
      <c r="P458" t="n">
        <v>0</v>
      </c>
      <c r="Q458" t="n">
        <v>0</v>
      </c>
      <c r="R458" s="2" t="inlineStr"/>
    </row>
    <row r="459" ht="15" customHeight="1">
      <c r="A459" t="inlineStr">
        <is>
          <t>A 34679-2021</t>
        </is>
      </c>
      <c r="B459" s="1" t="n">
        <v>44382</v>
      </c>
      <c r="C459" s="1" t="n">
        <v>45669</v>
      </c>
      <c r="D459" t="inlineStr">
        <is>
          <t>SKÅNE LÄN</t>
        </is>
      </c>
      <c r="E459" t="inlineStr">
        <is>
          <t>HÄSSLEHOLM</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34684-2021</t>
        </is>
      </c>
      <c r="B460" s="1" t="n">
        <v>44382</v>
      </c>
      <c r="C460" s="1" t="n">
        <v>45669</v>
      </c>
      <c r="D460" t="inlineStr">
        <is>
          <t>SKÅNE LÄN</t>
        </is>
      </c>
      <c r="E460" t="inlineStr">
        <is>
          <t>HÄSSLEHOLM</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37141-2021</t>
        </is>
      </c>
      <c r="B461" s="1" t="n">
        <v>44396</v>
      </c>
      <c r="C461" s="1" t="n">
        <v>45669</v>
      </c>
      <c r="D461" t="inlineStr">
        <is>
          <t>SKÅNE LÄN</t>
        </is>
      </c>
      <c r="E461" t="inlineStr">
        <is>
          <t>HÄSSLEHOLM</t>
        </is>
      </c>
      <c r="G461" t="n">
        <v>12.8</v>
      </c>
      <c r="H461" t="n">
        <v>0</v>
      </c>
      <c r="I461" t="n">
        <v>0</v>
      </c>
      <c r="J461" t="n">
        <v>0</v>
      </c>
      <c r="K461" t="n">
        <v>0</v>
      </c>
      <c r="L461" t="n">
        <v>0</v>
      </c>
      <c r="M461" t="n">
        <v>0</v>
      </c>
      <c r="N461" t="n">
        <v>0</v>
      </c>
      <c r="O461" t="n">
        <v>0</v>
      </c>
      <c r="P461" t="n">
        <v>0</v>
      </c>
      <c r="Q461" t="n">
        <v>0</v>
      </c>
      <c r="R461" s="2" t="inlineStr"/>
    </row>
    <row r="462" ht="15" customHeight="1">
      <c r="A462" t="inlineStr">
        <is>
          <t>A 37334-2021</t>
        </is>
      </c>
      <c r="B462" s="1" t="n">
        <v>44397</v>
      </c>
      <c r="C462" s="1" t="n">
        <v>45669</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37898-2021</t>
        </is>
      </c>
      <c r="B463" s="1" t="n">
        <v>44403</v>
      </c>
      <c r="C463" s="1" t="n">
        <v>45669</v>
      </c>
      <c r="D463" t="inlineStr">
        <is>
          <t>SKÅNE LÄN</t>
        </is>
      </c>
      <c r="E463" t="inlineStr">
        <is>
          <t>HÄSSLEHOLM</t>
        </is>
      </c>
      <c r="F463" t="inlineStr">
        <is>
          <t>Kommuner</t>
        </is>
      </c>
      <c r="G463" t="n">
        <v>8.4</v>
      </c>
      <c r="H463" t="n">
        <v>0</v>
      </c>
      <c r="I463" t="n">
        <v>0</v>
      </c>
      <c r="J463" t="n">
        <v>0</v>
      </c>
      <c r="K463" t="n">
        <v>0</v>
      </c>
      <c r="L463" t="n">
        <v>0</v>
      </c>
      <c r="M463" t="n">
        <v>0</v>
      </c>
      <c r="N463" t="n">
        <v>0</v>
      </c>
      <c r="O463" t="n">
        <v>0</v>
      </c>
      <c r="P463" t="n">
        <v>0</v>
      </c>
      <c r="Q463" t="n">
        <v>0</v>
      </c>
      <c r="R463" s="2" t="inlineStr"/>
    </row>
    <row r="464" ht="15" customHeight="1">
      <c r="A464" t="inlineStr">
        <is>
          <t>A 38228-2021</t>
        </is>
      </c>
      <c r="B464" s="1" t="n">
        <v>44405</v>
      </c>
      <c r="C464" s="1" t="n">
        <v>45669</v>
      </c>
      <c r="D464" t="inlineStr">
        <is>
          <t>SKÅNE LÄN</t>
        </is>
      </c>
      <c r="E464" t="inlineStr">
        <is>
          <t>HÄSSLEHOLM</t>
        </is>
      </c>
      <c r="G464" t="n">
        <v>2.8</v>
      </c>
      <c r="H464" t="n">
        <v>0</v>
      </c>
      <c r="I464" t="n">
        <v>0</v>
      </c>
      <c r="J464" t="n">
        <v>0</v>
      </c>
      <c r="K464" t="n">
        <v>0</v>
      </c>
      <c r="L464" t="n">
        <v>0</v>
      </c>
      <c r="M464" t="n">
        <v>0</v>
      </c>
      <c r="N464" t="n">
        <v>0</v>
      </c>
      <c r="O464" t="n">
        <v>0</v>
      </c>
      <c r="P464" t="n">
        <v>0</v>
      </c>
      <c r="Q464" t="n">
        <v>0</v>
      </c>
      <c r="R464" s="2" t="inlineStr"/>
    </row>
    <row r="465" ht="15" customHeight="1">
      <c r="A465" t="inlineStr">
        <is>
          <t>A 38160-2021</t>
        </is>
      </c>
      <c r="B465" s="1" t="n">
        <v>44405</v>
      </c>
      <c r="C465" s="1" t="n">
        <v>45669</v>
      </c>
      <c r="D465" t="inlineStr">
        <is>
          <t>SKÅNE LÄN</t>
        </is>
      </c>
      <c r="E465" t="inlineStr">
        <is>
          <t>HÄSSLEHOLM</t>
        </is>
      </c>
      <c r="G465" t="n">
        <v>2.2</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45669</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40342-2021</t>
        </is>
      </c>
      <c r="B467" s="1" t="n">
        <v>44419</v>
      </c>
      <c r="C467" s="1" t="n">
        <v>45669</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40702-2021</t>
        </is>
      </c>
      <c r="B468" s="1" t="n">
        <v>44420</v>
      </c>
      <c r="C468" s="1" t="n">
        <v>45669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41581-2021</t>
        </is>
      </c>
      <c r="B469" s="1" t="n">
        <v>44425</v>
      </c>
      <c r="C469" s="1" t="n">
        <v>45669</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41998-2021</t>
        </is>
      </c>
      <c r="B470" s="1" t="n">
        <v>44425</v>
      </c>
      <c r="C470" s="1" t="n">
        <v>45669</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42776-2021</t>
        </is>
      </c>
      <c r="B471" s="1" t="n">
        <v>44428</v>
      </c>
      <c r="C471" s="1" t="n">
        <v>45669</v>
      </c>
      <c r="D471" t="inlineStr">
        <is>
          <t>SKÅNE LÄN</t>
        </is>
      </c>
      <c r="E471" t="inlineStr">
        <is>
          <t>HÄSSLEHOLM</t>
        </is>
      </c>
      <c r="G471" t="n">
        <v>3.2</v>
      </c>
      <c r="H471" t="n">
        <v>0</v>
      </c>
      <c r="I471" t="n">
        <v>0</v>
      </c>
      <c r="J471" t="n">
        <v>0</v>
      </c>
      <c r="K471" t="n">
        <v>0</v>
      </c>
      <c r="L471" t="n">
        <v>0</v>
      </c>
      <c r="M471" t="n">
        <v>0</v>
      </c>
      <c r="N471" t="n">
        <v>0</v>
      </c>
      <c r="O471" t="n">
        <v>0</v>
      </c>
      <c r="P471" t="n">
        <v>0</v>
      </c>
      <c r="Q471" t="n">
        <v>0</v>
      </c>
      <c r="R471" s="2" t="inlineStr"/>
    </row>
    <row r="472" ht="15" customHeight="1">
      <c r="A472" t="inlineStr">
        <is>
          <t>A 43639-2021</t>
        </is>
      </c>
      <c r="B472" s="1" t="n">
        <v>44433</v>
      </c>
      <c r="C472" s="1" t="n">
        <v>45669</v>
      </c>
      <c r="D472" t="inlineStr">
        <is>
          <t>SKÅNE LÄN</t>
        </is>
      </c>
      <c r="E472" t="inlineStr">
        <is>
          <t>HÄSSLEHOLM</t>
        </is>
      </c>
      <c r="G472" t="n">
        <v>0.4</v>
      </c>
      <c r="H472" t="n">
        <v>0</v>
      </c>
      <c r="I472" t="n">
        <v>0</v>
      </c>
      <c r="J472" t="n">
        <v>0</v>
      </c>
      <c r="K472" t="n">
        <v>0</v>
      </c>
      <c r="L472" t="n">
        <v>0</v>
      </c>
      <c r="M472" t="n">
        <v>0</v>
      </c>
      <c r="N472" t="n">
        <v>0</v>
      </c>
      <c r="O472" t="n">
        <v>0</v>
      </c>
      <c r="P472" t="n">
        <v>0</v>
      </c>
      <c r="Q472" t="n">
        <v>0</v>
      </c>
      <c r="R472" s="2" t="inlineStr"/>
    </row>
    <row r="473" ht="15" customHeight="1">
      <c r="A473" t="inlineStr">
        <is>
          <t>A 44262-2021</t>
        </is>
      </c>
      <c r="B473" s="1" t="n">
        <v>44434</v>
      </c>
      <c r="C473" s="1" t="n">
        <v>45669</v>
      </c>
      <c r="D473" t="inlineStr">
        <is>
          <t>SKÅNE LÄN</t>
        </is>
      </c>
      <c r="E473" t="inlineStr">
        <is>
          <t>HÄSSLEHOLM</t>
        </is>
      </c>
      <c r="G473" t="n">
        <v>4.7</v>
      </c>
      <c r="H473" t="n">
        <v>0</v>
      </c>
      <c r="I473" t="n">
        <v>0</v>
      </c>
      <c r="J473" t="n">
        <v>0</v>
      </c>
      <c r="K473" t="n">
        <v>0</v>
      </c>
      <c r="L473" t="n">
        <v>0</v>
      </c>
      <c r="M473" t="n">
        <v>0</v>
      </c>
      <c r="N473" t="n">
        <v>0</v>
      </c>
      <c r="O473" t="n">
        <v>0</v>
      </c>
      <c r="P473" t="n">
        <v>0</v>
      </c>
      <c r="Q473" t="n">
        <v>0</v>
      </c>
      <c r="R473" s="2" t="inlineStr"/>
    </row>
    <row r="474" ht="15" customHeight="1">
      <c r="A474" t="inlineStr">
        <is>
          <t>A 44328-2021</t>
        </is>
      </c>
      <c r="B474" s="1" t="n">
        <v>44435</v>
      </c>
      <c r="C474" s="1" t="n">
        <v>45669</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44755-2021</t>
        </is>
      </c>
      <c r="B475" s="1" t="n">
        <v>44438</v>
      </c>
      <c r="C475" s="1" t="n">
        <v>45669</v>
      </c>
      <c r="D475" t="inlineStr">
        <is>
          <t>SKÅNE LÄN</t>
        </is>
      </c>
      <c r="E475" t="inlineStr">
        <is>
          <t>HÄSSLEHOLM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44697-2021</t>
        </is>
      </c>
      <c r="B476" s="1" t="n">
        <v>44438</v>
      </c>
      <c r="C476" s="1" t="n">
        <v>45669</v>
      </c>
      <c r="D476" t="inlineStr">
        <is>
          <t>SKÅNE LÄN</t>
        </is>
      </c>
      <c r="E476" t="inlineStr">
        <is>
          <t>HÄSSLEHOLM</t>
        </is>
      </c>
      <c r="G476" t="n">
        <v>4.8</v>
      </c>
      <c r="H476" t="n">
        <v>0</v>
      </c>
      <c r="I476" t="n">
        <v>0</v>
      </c>
      <c r="J476" t="n">
        <v>0</v>
      </c>
      <c r="K476" t="n">
        <v>0</v>
      </c>
      <c r="L476" t="n">
        <v>0</v>
      </c>
      <c r="M476" t="n">
        <v>0</v>
      </c>
      <c r="N476" t="n">
        <v>0</v>
      </c>
      <c r="O476" t="n">
        <v>0</v>
      </c>
      <c r="P476" t="n">
        <v>0</v>
      </c>
      <c r="Q476" t="n">
        <v>0</v>
      </c>
      <c r="R476" s="2" t="inlineStr"/>
    </row>
    <row r="477" ht="15" customHeight="1">
      <c r="A477" t="inlineStr">
        <is>
          <t>A 44770-2021</t>
        </is>
      </c>
      <c r="B477" s="1" t="n">
        <v>44438</v>
      </c>
      <c r="C477" s="1" t="n">
        <v>45669</v>
      </c>
      <c r="D477" t="inlineStr">
        <is>
          <t>SKÅNE LÄN</t>
        </is>
      </c>
      <c r="E477" t="inlineStr">
        <is>
          <t>HÄSSLEHOLM</t>
        </is>
      </c>
      <c r="G477" t="n">
        <v>0.5</v>
      </c>
      <c r="H477" t="n">
        <v>0</v>
      </c>
      <c r="I477" t="n">
        <v>0</v>
      </c>
      <c r="J477" t="n">
        <v>0</v>
      </c>
      <c r="K477" t="n">
        <v>0</v>
      </c>
      <c r="L477" t="n">
        <v>0</v>
      </c>
      <c r="M477" t="n">
        <v>0</v>
      </c>
      <c r="N477" t="n">
        <v>0</v>
      </c>
      <c r="O477" t="n">
        <v>0</v>
      </c>
      <c r="P477" t="n">
        <v>0</v>
      </c>
      <c r="Q477" t="n">
        <v>0</v>
      </c>
      <c r="R477" s="2" t="inlineStr"/>
    </row>
    <row r="478" ht="15" customHeight="1">
      <c r="A478" t="inlineStr">
        <is>
          <t>A 44794-2021</t>
        </is>
      </c>
      <c r="B478" s="1" t="n">
        <v>44438</v>
      </c>
      <c r="C478" s="1" t="n">
        <v>45669</v>
      </c>
      <c r="D478" t="inlineStr">
        <is>
          <t>SKÅNE LÄN</t>
        </is>
      </c>
      <c r="E478" t="inlineStr">
        <is>
          <t>HÄSSLEHOLM</t>
        </is>
      </c>
      <c r="G478" t="n">
        <v>0.3</v>
      </c>
      <c r="H478" t="n">
        <v>0</v>
      </c>
      <c r="I478" t="n">
        <v>0</v>
      </c>
      <c r="J478" t="n">
        <v>0</v>
      </c>
      <c r="K478" t="n">
        <v>0</v>
      </c>
      <c r="L478" t="n">
        <v>0</v>
      </c>
      <c r="M478" t="n">
        <v>0</v>
      </c>
      <c r="N478" t="n">
        <v>0</v>
      </c>
      <c r="O478" t="n">
        <v>0</v>
      </c>
      <c r="P478" t="n">
        <v>0</v>
      </c>
      <c r="Q478" t="n">
        <v>0</v>
      </c>
      <c r="R478" s="2" t="inlineStr"/>
    </row>
    <row r="479" ht="15" customHeight="1">
      <c r="A479" t="inlineStr">
        <is>
          <t>A 45284-2021</t>
        </is>
      </c>
      <c r="B479" s="1" t="n">
        <v>44439</v>
      </c>
      <c r="C479" s="1" t="n">
        <v>45669</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45814-2021</t>
        </is>
      </c>
      <c r="B480" s="1" t="n">
        <v>44441</v>
      </c>
      <c r="C480" s="1" t="n">
        <v>45669</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45984-2021</t>
        </is>
      </c>
      <c r="B481" s="1" t="n">
        <v>44441</v>
      </c>
      <c r="C481" s="1" t="n">
        <v>45669</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45989-2021</t>
        </is>
      </c>
      <c r="B482" s="1" t="n">
        <v>44441</v>
      </c>
      <c r="C482" s="1" t="n">
        <v>45669</v>
      </c>
      <c r="D482" t="inlineStr">
        <is>
          <t>SKÅNE LÄN</t>
        </is>
      </c>
      <c r="E482" t="inlineStr">
        <is>
          <t>HÄSSLEHOLM</t>
        </is>
      </c>
      <c r="G482" t="n">
        <v>1</v>
      </c>
      <c r="H482" t="n">
        <v>0</v>
      </c>
      <c r="I482" t="n">
        <v>0</v>
      </c>
      <c r="J482" t="n">
        <v>0</v>
      </c>
      <c r="K482" t="n">
        <v>0</v>
      </c>
      <c r="L482" t="n">
        <v>0</v>
      </c>
      <c r="M482" t="n">
        <v>0</v>
      </c>
      <c r="N482" t="n">
        <v>0</v>
      </c>
      <c r="O482" t="n">
        <v>0</v>
      </c>
      <c r="P482" t="n">
        <v>0</v>
      </c>
      <c r="Q482" t="n">
        <v>0</v>
      </c>
      <c r="R482" s="2" t="inlineStr"/>
    </row>
    <row r="483" ht="15" customHeight="1">
      <c r="A483" t="inlineStr">
        <is>
          <t>A 46000-2021</t>
        </is>
      </c>
      <c r="B483" s="1" t="n">
        <v>44441</v>
      </c>
      <c r="C483" s="1" t="n">
        <v>45669</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47112-2021</t>
        </is>
      </c>
      <c r="B484" s="1" t="n">
        <v>44446</v>
      </c>
      <c r="C484" s="1" t="n">
        <v>45669</v>
      </c>
      <c r="D484" t="inlineStr">
        <is>
          <t>SKÅNE LÄN</t>
        </is>
      </c>
      <c r="E484" t="inlineStr">
        <is>
          <t>HÄSSLEHOLM</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47737-2021</t>
        </is>
      </c>
      <c r="B485" s="1" t="n">
        <v>44448</v>
      </c>
      <c r="C485" s="1" t="n">
        <v>45669</v>
      </c>
      <c r="D485" t="inlineStr">
        <is>
          <t>SKÅNE LÄN</t>
        </is>
      </c>
      <c r="E485" t="inlineStr">
        <is>
          <t>HÄSSLEHOLM</t>
        </is>
      </c>
      <c r="G485" t="n">
        <v>6.1</v>
      </c>
      <c r="H485" t="n">
        <v>0</v>
      </c>
      <c r="I485" t="n">
        <v>0</v>
      </c>
      <c r="J485" t="n">
        <v>0</v>
      </c>
      <c r="K485" t="n">
        <v>0</v>
      </c>
      <c r="L485" t="n">
        <v>0</v>
      </c>
      <c r="M485" t="n">
        <v>0</v>
      </c>
      <c r="N485" t="n">
        <v>0</v>
      </c>
      <c r="O485" t="n">
        <v>0</v>
      </c>
      <c r="P485" t="n">
        <v>0</v>
      </c>
      <c r="Q485" t="n">
        <v>0</v>
      </c>
      <c r="R485" s="2" t="inlineStr"/>
    </row>
    <row r="486" ht="15" customHeight="1">
      <c r="A486" t="inlineStr">
        <is>
          <t>A 47907-2021</t>
        </is>
      </c>
      <c r="B486" s="1" t="n">
        <v>44448</v>
      </c>
      <c r="C486" s="1" t="n">
        <v>45669</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47906-2021</t>
        </is>
      </c>
      <c r="B487" s="1" t="n">
        <v>44448</v>
      </c>
      <c r="C487" s="1" t="n">
        <v>45669</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48191-2021</t>
        </is>
      </c>
      <c r="B488" s="1" t="n">
        <v>44449</v>
      </c>
      <c r="C488" s="1" t="n">
        <v>45669</v>
      </c>
      <c r="D488" t="inlineStr">
        <is>
          <t>SKÅNE LÄN</t>
        </is>
      </c>
      <c r="E488" t="inlineStr">
        <is>
          <t>HÄSSLEHOLM</t>
        </is>
      </c>
      <c r="G488" t="n">
        <v>6</v>
      </c>
      <c r="H488" t="n">
        <v>0</v>
      </c>
      <c r="I488" t="n">
        <v>0</v>
      </c>
      <c r="J488" t="n">
        <v>0</v>
      </c>
      <c r="K488" t="n">
        <v>0</v>
      </c>
      <c r="L488" t="n">
        <v>0</v>
      </c>
      <c r="M488" t="n">
        <v>0</v>
      </c>
      <c r="N488" t="n">
        <v>0</v>
      </c>
      <c r="O488" t="n">
        <v>0</v>
      </c>
      <c r="P488" t="n">
        <v>0</v>
      </c>
      <c r="Q488" t="n">
        <v>0</v>
      </c>
      <c r="R488" s="2" t="inlineStr"/>
    </row>
    <row r="489" ht="15" customHeight="1">
      <c r="A489" t="inlineStr">
        <is>
          <t>A 48313-2021</t>
        </is>
      </c>
      <c r="B489" s="1" t="n">
        <v>44450</v>
      </c>
      <c r="C489" s="1" t="n">
        <v>45669</v>
      </c>
      <c r="D489" t="inlineStr">
        <is>
          <t>SKÅNE LÄN</t>
        </is>
      </c>
      <c r="E489" t="inlineStr">
        <is>
          <t>HÄSSLEHOLM</t>
        </is>
      </c>
      <c r="G489" t="n">
        <v>3</v>
      </c>
      <c r="H489" t="n">
        <v>0</v>
      </c>
      <c r="I489" t="n">
        <v>0</v>
      </c>
      <c r="J489" t="n">
        <v>0</v>
      </c>
      <c r="K489" t="n">
        <v>0</v>
      </c>
      <c r="L489" t="n">
        <v>0</v>
      </c>
      <c r="M489" t="n">
        <v>0</v>
      </c>
      <c r="N489" t="n">
        <v>0</v>
      </c>
      <c r="O489" t="n">
        <v>0</v>
      </c>
      <c r="P489" t="n">
        <v>0</v>
      </c>
      <c r="Q489" t="n">
        <v>0</v>
      </c>
      <c r="R489" s="2" t="inlineStr"/>
    </row>
    <row r="490" ht="15" customHeight="1">
      <c r="A490" t="inlineStr">
        <is>
          <t>A 48553-2021</t>
        </is>
      </c>
      <c r="B490" s="1" t="n">
        <v>44452</v>
      </c>
      <c r="C490" s="1" t="n">
        <v>45669</v>
      </c>
      <c r="D490" t="inlineStr">
        <is>
          <t>SKÅNE LÄN</t>
        </is>
      </c>
      <c r="E490" t="inlineStr">
        <is>
          <t>HÄSSLEHOLM</t>
        </is>
      </c>
      <c r="G490" t="n">
        <v>1.1</v>
      </c>
      <c r="H490" t="n">
        <v>0</v>
      </c>
      <c r="I490" t="n">
        <v>0</v>
      </c>
      <c r="J490" t="n">
        <v>0</v>
      </c>
      <c r="K490" t="n">
        <v>0</v>
      </c>
      <c r="L490" t="n">
        <v>0</v>
      </c>
      <c r="M490" t="n">
        <v>0</v>
      </c>
      <c r="N490" t="n">
        <v>0</v>
      </c>
      <c r="O490" t="n">
        <v>0</v>
      </c>
      <c r="P490" t="n">
        <v>0</v>
      </c>
      <c r="Q490" t="n">
        <v>0</v>
      </c>
      <c r="R490" s="2" t="inlineStr"/>
    </row>
    <row r="491" ht="15" customHeight="1">
      <c r="A491" t="inlineStr">
        <is>
          <t>A 48624-2021</t>
        </is>
      </c>
      <c r="B491" s="1" t="n">
        <v>44452</v>
      </c>
      <c r="C491" s="1" t="n">
        <v>45669</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48807-2021</t>
        </is>
      </c>
      <c r="B492" s="1" t="n">
        <v>44452</v>
      </c>
      <c r="C492" s="1" t="n">
        <v>45669</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48631-2021</t>
        </is>
      </c>
      <c r="B493" s="1" t="n">
        <v>44452</v>
      </c>
      <c r="C493" s="1" t="n">
        <v>45669</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49219-2021</t>
        </is>
      </c>
      <c r="B494" s="1" t="n">
        <v>44454</v>
      </c>
      <c r="C494" s="1" t="n">
        <v>45669</v>
      </c>
      <c r="D494" t="inlineStr">
        <is>
          <t>SKÅNE LÄN</t>
        </is>
      </c>
      <c r="E494" t="inlineStr">
        <is>
          <t>HÄSSLEHOLM</t>
        </is>
      </c>
      <c r="G494" t="n">
        <v>7.8</v>
      </c>
      <c r="H494" t="n">
        <v>0</v>
      </c>
      <c r="I494" t="n">
        <v>0</v>
      </c>
      <c r="J494" t="n">
        <v>0</v>
      </c>
      <c r="K494" t="n">
        <v>0</v>
      </c>
      <c r="L494" t="n">
        <v>0</v>
      </c>
      <c r="M494" t="n">
        <v>0</v>
      </c>
      <c r="N494" t="n">
        <v>0</v>
      </c>
      <c r="O494" t="n">
        <v>0</v>
      </c>
      <c r="P494" t="n">
        <v>0</v>
      </c>
      <c r="Q494" t="n">
        <v>0</v>
      </c>
      <c r="R494" s="2" t="inlineStr"/>
    </row>
    <row r="495" ht="15" customHeight="1">
      <c r="A495" t="inlineStr">
        <is>
          <t>A 49324-2021</t>
        </is>
      </c>
      <c r="B495" s="1" t="n">
        <v>44454</v>
      </c>
      <c r="C495" s="1" t="n">
        <v>45669</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49379-2021</t>
        </is>
      </c>
      <c r="B496" s="1" t="n">
        <v>44454</v>
      </c>
      <c r="C496" s="1" t="n">
        <v>45669</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49384-2021</t>
        </is>
      </c>
      <c r="B497" s="1" t="n">
        <v>44454</v>
      </c>
      <c r="C497" s="1" t="n">
        <v>45669</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49381-2021</t>
        </is>
      </c>
      <c r="B498" s="1" t="n">
        <v>44454</v>
      </c>
      <c r="C498" s="1" t="n">
        <v>45669</v>
      </c>
      <c r="D498" t="inlineStr">
        <is>
          <t>SKÅNE LÄN</t>
        </is>
      </c>
      <c r="E498" t="inlineStr">
        <is>
          <t>HÄSSLEHOLM</t>
        </is>
      </c>
      <c r="G498" t="n">
        <v>2.1</v>
      </c>
      <c r="H498" t="n">
        <v>0</v>
      </c>
      <c r="I498" t="n">
        <v>0</v>
      </c>
      <c r="J498" t="n">
        <v>0</v>
      </c>
      <c r="K498" t="n">
        <v>0</v>
      </c>
      <c r="L498" t="n">
        <v>0</v>
      </c>
      <c r="M498" t="n">
        <v>0</v>
      </c>
      <c r="N498" t="n">
        <v>0</v>
      </c>
      <c r="O498" t="n">
        <v>0</v>
      </c>
      <c r="P498" t="n">
        <v>0</v>
      </c>
      <c r="Q498" t="n">
        <v>0</v>
      </c>
      <c r="R498" s="2" t="inlineStr"/>
    </row>
    <row r="499" ht="15" customHeight="1">
      <c r="A499" t="inlineStr">
        <is>
          <t>A 49454-2021</t>
        </is>
      </c>
      <c r="B499" s="1" t="n">
        <v>44454</v>
      </c>
      <c r="C499" s="1" t="n">
        <v>45669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49450-2021</t>
        </is>
      </c>
      <c r="B500" s="1" t="n">
        <v>44454</v>
      </c>
      <c r="C500" s="1" t="n">
        <v>45669</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50094-2021</t>
        </is>
      </c>
      <c r="B501" s="1" t="n">
        <v>44456</v>
      </c>
      <c r="C501" s="1" t="n">
        <v>45669</v>
      </c>
      <c r="D501" t="inlineStr">
        <is>
          <t>SKÅNE LÄN</t>
        </is>
      </c>
      <c r="E501" t="inlineStr">
        <is>
          <t>HÄSSLEHOLM</t>
        </is>
      </c>
      <c r="G501" t="n">
        <v>1.9</v>
      </c>
      <c r="H501" t="n">
        <v>0</v>
      </c>
      <c r="I501" t="n">
        <v>0</v>
      </c>
      <c r="J501" t="n">
        <v>0</v>
      </c>
      <c r="K501" t="n">
        <v>0</v>
      </c>
      <c r="L501" t="n">
        <v>0</v>
      </c>
      <c r="M501" t="n">
        <v>0</v>
      </c>
      <c r="N501" t="n">
        <v>0</v>
      </c>
      <c r="O501" t="n">
        <v>0</v>
      </c>
      <c r="P501" t="n">
        <v>0</v>
      </c>
      <c r="Q501" t="n">
        <v>0</v>
      </c>
      <c r="R501" s="2" t="inlineStr"/>
    </row>
    <row r="502" ht="15" customHeight="1">
      <c r="A502" t="inlineStr">
        <is>
          <t>A 50618-2021</t>
        </is>
      </c>
      <c r="B502" s="1" t="n">
        <v>44459</v>
      </c>
      <c r="C502" s="1" t="n">
        <v>45669</v>
      </c>
      <c r="D502" t="inlineStr">
        <is>
          <t>SKÅNE LÄN</t>
        </is>
      </c>
      <c r="E502" t="inlineStr">
        <is>
          <t>HÄSSLEHOLM</t>
        </is>
      </c>
      <c r="F502" t="inlineStr">
        <is>
          <t>Kyrkan</t>
        </is>
      </c>
      <c r="G502" t="n">
        <v>15.1</v>
      </c>
      <c r="H502" t="n">
        <v>0</v>
      </c>
      <c r="I502" t="n">
        <v>0</v>
      </c>
      <c r="J502" t="n">
        <v>0</v>
      </c>
      <c r="K502" t="n">
        <v>0</v>
      </c>
      <c r="L502" t="n">
        <v>0</v>
      </c>
      <c r="M502" t="n">
        <v>0</v>
      </c>
      <c r="N502" t="n">
        <v>0</v>
      </c>
      <c r="O502" t="n">
        <v>0</v>
      </c>
      <c r="P502" t="n">
        <v>0</v>
      </c>
      <c r="Q502" t="n">
        <v>0</v>
      </c>
      <c r="R502" s="2" t="inlineStr"/>
    </row>
    <row r="503" ht="15" customHeight="1">
      <c r="A503" t="inlineStr">
        <is>
          <t>A 51159-2021</t>
        </is>
      </c>
      <c r="B503" s="1" t="n">
        <v>44461</v>
      </c>
      <c r="C503" s="1" t="n">
        <v>45669</v>
      </c>
      <c r="D503" t="inlineStr">
        <is>
          <t>SKÅNE LÄN</t>
        </is>
      </c>
      <c r="E503" t="inlineStr">
        <is>
          <t>HÄSSLEHOLM</t>
        </is>
      </c>
      <c r="F503" t="inlineStr">
        <is>
          <t>Kommuner</t>
        </is>
      </c>
      <c r="G503" t="n">
        <v>0.8</v>
      </c>
      <c r="H503" t="n">
        <v>0</v>
      </c>
      <c r="I503" t="n">
        <v>0</v>
      </c>
      <c r="J503" t="n">
        <v>0</v>
      </c>
      <c r="K503" t="n">
        <v>0</v>
      </c>
      <c r="L503" t="n">
        <v>0</v>
      </c>
      <c r="M503" t="n">
        <v>0</v>
      </c>
      <c r="N503" t="n">
        <v>0</v>
      </c>
      <c r="O503" t="n">
        <v>0</v>
      </c>
      <c r="P503" t="n">
        <v>0</v>
      </c>
      <c r="Q503" t="n">
        <v>0</v>
      </c>
      <c r="R503" s="2" t="inlineStr"/>
    </row>
    <row r="504" ht="15" customHeight="1">
      <c r="A504" t="inlineStr">
        <is>
          <t>A 51895-2021</t>
        </is>
      </c>
      <c r="B504" s="1" t="n">
        <v>44462</v>
      </c>
      <c r="C504" s="1" t="n">
        <v>45669</v>
      </c>
      <c r="D504" t="inlineStr">
        <is>
          <t>SKÅNE LÄN</t>
        </is>
      </c>
      <c r="E504" t="inlineStr">
        <is>
          <t>HÄSSLEHOLM</t>
        </is>
      </c>
      <c r="G504" t="n">
        <v>5.7</v>
      </c>
      <c r="H504" t="n">
        <v>0</v>
      </c>
      <c r="I504" t="n">
        <v>0</v>
      </c>
      <c r="J504" t="n">
        <v>0</v>
      </c>
      <c r="K504" t="n">
        <v>0</v>
      </c>
      <c r="L504" t="n">
        <v>0</v>
      </c>
      <c r="M504" t="n">
        <v>0</v>
      </c>
      <c r="N504" t="n">
        <v>0</v>
      </c>
      <c r="O504" t="n">
        <v>0</v>
      </c>
      <c r="P504" t="n">
        <v>0</v>
      </c>
      <c r="Q504" t="n">
        <v>0</v>
      </c>
      <c r="R504" s="2" t="inlineStr"/>
    </row>
    <row r="505" ht="15" customHeight="1">
      <c r="A505" t="inlineStr">
        <is>
          <t>A 51893-2021</t>
        </is>
      </c>
      <c r="B505" s="1" t="n">
        <v>44462</v>
      </c>
      <c r="C505" s="1" t="n">
        <v>45669</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51888-2021</t>
        </is>
      </c>
      <c r="B506" s="1" t="n">
        <v>44462</v>
      </c>
      <c r="C506" s="1" t="n">
        <v>45669</v>
      </c>
      <c r="D506" t="inlineStr">
        <is>
          <t>SKÅNE LÄN</t>
        </is>
      </c>
      <c r="E506" t="inlineStr">
        <is>
          <t>HÄSSLEHOLM</t>
        </is>
      </c>
      <c r="G506" t="n">
        <v>5.6</v>
      </c>
      <c r="H506" t="n">
        <v>0</v>
      </c>
      <c r="I506" t="n">
        <v>0</v>
      </c>
      <c r="J506" t="n">
        <v>0</v>
      </c>
      <c r="K506" t="n">
        <v>0</v>
      </c>
      <c r="L506" t="n">
        <v>0</v>
      </c>
      <c r="M506" t="n">
        <v>0</v>
      </c>
      <c r="N506" t="n">
        <v>0</v>
      </c>
      <c r="O506" t="n">
        <v>0</v>
      </c>
      <c r="P506" t="n">
        <v>0</v>
      </c>
      <c r="Q506" t="n">
        <v>0</v>
      </c>
      <c r="R506" s="2" t="inlineStr"/>
    </row>
    <row r="507" ht="15" customHeight="1">
      <c r="A507" t="inlineStr">
        <is>
          <t>A 52235-2021</t>
        </is>
      </c>
      <c r="B507" s="1" t="n">
        <v>44463</v>
      </c>
      <c r="C507" s="1" t="n">
        <v>45669</v>
      </c>
      <c r="D507" t="inlineStr">
        <is>
          <t>SKÅNE LÄN</t>
        </is>
      </c>
      <c r="E507" t="inlineStr">
        <is>
          <t>HÄSSLEHOLM</t>
        </is>
      </c>
      <c r="G507" t="n">
        <v>0.8</v>
      </c>
      <c r="H507" t="n">
        <v>0</v>
      </c>
      <c r="I507" t="n">
        <v>0</v>
      </c>
      <c r="J507" t="n">
        <v>0</v>
      </c>
      <c r="K507" t="n">
        <v>0</v>
      </c>
      <c r="L507" t="n">
        <v>0</v>
      </c>
      <c r="M507" t="n">
        <v>0</v>
      </c>
      <c r="N507" t="n">
        <v>0</v>
      </c>
      <c r="O507" t="n">
        <v>0</v>
      </c>
      <c r="P507" t="n">
        <v>0</v>
      </c>
      <c r="Q507" t="n">
        <v>0</v>
      </c>
      <c r="R507" s="2" t="inlineStr"/>
    </row>
    <row r="508" ht="15" customHeight="1">
      <c r="A508" t="inlineStr">
        <is>
          <t>A 52295-2021</t>
        </is>
      </c>
      <c r="B508" s="1" t="n">
        <v>44463</v>
      </c>
      <c r="C508" s="1" t="n">
        <v>45669</v>
      </c>
      <c r="D508" t="inlineStr">
        <is>
          <t>SKÅNE LÄN</t>
        </is>
      </c>
      <c r="E508" t="inlineStr">
        <is>
          <t>HÄSSLEHOLM</t>
        </is>
      </c>
      <c r="G508" t="n">
        <v>0.3</v>
      </c>
      <c r="H508" t="n">
        <v>0</v>
      </c>
      <c r="I508" t="n">
        <v>0</v>
      </c>
      <c r="J508" t="n">
        <v>0</v>
      </c>
      <c r="K508" t="n">
        <v>0</v>
      </c>
      <c r="L508" t="n">
        <v>0</v>
      </c>
      <c r="M508" t="n">
        <v>0</v>
      </c>
      <c r="N508" t="n">
        <v>0</v>
      </c>
      <c r="O508" t="n">
        <v>0</v>
      </c>
      <c r="P508" t="n">
        <v>0</v>
      </c>
      <c r="Q508" t="n">
        <v>0</v>
      </c>
      <c r="R508" s="2" t="inlineStr"/>
    </row>
    <row r="509" ht="15" customHeight="1">
      <c r="A509" t="inlineStr">
        <is>
          <t>A 52306-2021</t>
        </is>
      </c>
      <c r="B509" s="1" t="n">
        <v>44463</v>
      </c>
      <c r="C509" s="1" t="n">
        <v>45669</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52642-2021</t>
        </is>
      </c>
      <c r="B510" s="1" t="n">
        <v>44466</v>
      </c>
      <c r="C510" s="1" t="n">
        <v>45669</v>
      </c>
      <c r="D510" t="inlineStr">
        <is>
          <t>SKÅNE LÄN</t>
        </is>
      </c>
      <c r="E510" t="inlineStr">
        <is>
          <t>HÄSSLEHOLM</t>
        </is>
      </c>
      <c r="G510" t="n">
        <v>3.7</v>
      </c>
      <c r="H510" t="n">
        <v>0</v>
      </c>
      <c r="I510" t="n">
        <v>0</v>
      </c>
      <c r="J510" t="n">
        <v>0</v>
      </c>
      <c r="K510" t="n">
        <v>0</v>
      </c>
      <c r="L510" t="n">
        <v>0</v>
      </c>
      <c r="M510" t="n">
        <v>0</v>
      </c>
      <c r="N510" t="n">
        <v>0</v>
      </c>
      <c r="O510" t="n">
        <v>0</v>
      </c>
      <c r="P510" t="n">
        <v>0</v>
      </c>
      <c r="Q510" t="n">
        <v>0</v>
      </c>
      <c r="R510" s="2" t="inlineStr"/>
    </row>
    <row r="511" ht="15" customHeight="1">
      <c r="A511" t="inlineStr">
        <is>
          <t>A 52461-2021</t>
        </is>
      </c>
      <c r="B511" s="1" t="n">
        <v>44466</v>
      </c>
      <c r="C511" s="1" t="n">
        <v>45669</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52567-2021</t>
        </is>
      </c>
      <c r="B512" s="1" t="n">
        <v>44466</v>
      </c>
      <c r="C512" s="1" t="n">
        <v>45669</v>
      </c>
      <c r="D512" t="inlineStr">
        <is>
          <t>SKÅNE LÄN</t>
        </is>
      </c>
      <c r="E512" t="inlineStr">
        <is>
          <t>HÄSSLEHOLM</t>
        </is>
      </c>
      <c r="G512" t="n">
        <v>0.6</v>
      </c>
      <c r="H512" t="n">
        <v>0</v>
      </c>
      <c r="I512" t="n">
        <v>0</v>
      </c>
      <c r="J512" t="n">
        <v>0</v>
      </c>
      <c r="K512" t="n">
        <v>0</v>
      </c>
      <c r="L512" t="n">
        <v>0</v>
      </c>
      <c r="M512" t="n">
        <v>0</v>
      </c>
      <c r="N512" t="n">
        <v>0</v>
      </c>
      <c r="O512" t="n">
        <v>0</v>
      </c>
      <c r="P512" t="n">
        <v>0</v>
      </c>
      <c r="Q512" t="n">
        <v>0</v>
      </c>
      <c r="R512" s="2" t="inlineStr"/>
    </row>
    <row r="513" ht="15" customHeight="1">
      <c r="A513" t="inlineStr">
        <is>
          <t>A 52786-2021</t>
        </is>
      </c>
      <c r="B513" s="1" t="n">
        <v>44467</v>
      </c>
      <c r="C513" s="1" t="n">
        <v>45669</v>
      </c>
      <c r="D513" t="inlineStr">
        <is>
          <t>SKÅNE LÄN</t>
        </is>
      </c>
      <c r="E513" t="inlineStr">
        <is>
          <t>HÄSSLEHOLM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53055-2021</t>
        </is>
      </c>
      <c r="B514" s="1" t="n">
        <v>44467</v>
      </c>
      <c r="C514" s="1" t="n">
        <v>45669</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54175-2021</t>
        </is>
      </c>
      <c r="B515" s="1" t="n">
        <v>44470</v>
      </c>
      <c r="C515" s="1" t="n">
        <v>45669</v>
      </c>
      <c r="D515" t="inlineStr">
        <is>
          <t>SKÅNE LÄN</t>
        </is>
      </c>
      <c r="E515" t="inlineStr">
        <is>
          <t>HÄSSLEHOLM</t>
        </is>
      </c>
      <c r="G515" t="n">
        <v>0.5</v>
      </c>
      <c r="H515" t="n">
        <v>0</v>
      </c>
      <c r="I515" t="n">
        <v>0</v>
      </c>
      <c r="J515" t="n">
        <v>0</v>
      </c>
      <c r="K515" t="n">
        <v>0</v>
      </c>
      <c r="L515" t="n">
        <v>0</v>
      </c>
      <c r="M515" t="n">
        <v>0</v>
      </c>
      <c r="N515" t="n">
        <v>0</v>
      </c>
      <c r="O515" t="n">
        <v>0</v>
      </c>
      <c r="P515" t="n">
        <v>0</v>
      </c>
      <c r="Q515" t="n">
        <v>0</v>
      </c>
      <c r="R515" s="2" t="inlineStr"/>
    </row>
    <row r="516" ht="15" customHeight="1">
      <c r="A516" t="inlineStr">
        <is>
          <t>A 54171-2021</t>
        </is>
      </c>
      <c r="B516" s="1" t="n">
        <v>44470</v>
      </c>
      <c r="C516" s="1" t="n">
        <v>45669</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54178-2021</t>
        </is>
      </c>
      <c r="B517" s="1" t="n">
        <v>44470</v>
      </c>
      <c r="C517" s="1" t="n">
        <v>45669</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v>
      </c>
      <c r="C518" s="1" t="n">
        <v>45669</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55416-2021</t>
        </is>
      </c>
      <c r="B519" s="1" t="n">
        <v>44475</v>
      </c>
      <c r="C519" s="1" t="n">
        <v>45669</v>
      </c>
      <c r="D519" t="inlineStr">
        <is>
          <t>SKÅNE LÄN</t>
        </is>
      </c>
      <c r="E519" t="inlineStr">
        <is>
          <t>HÄSSLEHOLM</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55454-2021</t>
        </is>
      </c>
      <c r="B520" s="1" t="n">
        <v>44475</v>
      </c>
      <c r="C520" s="1" t="n">
        <v>45669</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56431-2021</t>
        </is>
      </c>
      <c r="B521" s="1" t="n">
        <v>44480</v>
      </c>
      <c r="C521" s="1" t="n">
        <v>45669</v>
      </c>
      <c r="D521" t="inlineStr">
        <is>
          <t>SKÅNE LÄN</t>
        </is>
      </c>
      <c r="E521" t="inlineStr">
        <is>
          <t>HÄSSLEHOLM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56502-2021</t>
        </is>
      </c>
      <c r="B522" s="1" t="n">
        <v>44480</v>
      </c>
      <c r="C522" s="1" t="n">
        <v>45669</v>
      </c>
      <c r="D522" t="inlineStr">
        <is>
          <t>SKÅNE LÄN</t>
        </is>
      </c>
      <c r="E522" t="inlineStr">
        <is>
          <t>HÄSSLEHOLM</t>
        </is>
      </c>
      <c r="F522" t="inlineStr">
        <is>
          <t>Kyrkan</t>
        </is>
      </c>
      <c r="G522" t="n">
        <v>13.8</v>
      </c>
      <c r="H522" t="n">
        <v>0</v>
      </c>
      <c r="I522" t="n">
        <v>0</v>
      </c>
      <c r="J522" t="n">
        <v>0</v>
      </c>
      <c r="K522" t="n">
        <v>0</v>
      </c>
      <c r="L522" t="n">
        <v>0</v>
      </c>
      <c r="M522" t="n">
        <v>0</v>
      </c>
      <c r="N522" t="n">
        <v>0</v>
      </c>
      <c r="O522" t="n">
        <v>0</v>
      </c>
      <c r="P522" t="n">
        <v>0</v>
      </c>
      <c r="Q522" t="n">
        <v>0</v>
      </c>
      <c r="R522" s="2" t="inlineStr"/>
    </row>
    <row r="523" ht="15" customHeight="1">
      <c r="A523" t="inlineStr">
        <is>
          <t>A 56424-2021</t>
        </is>
      </c>
      <c r="B523" s="1" t="n">
        <v>44480</v>
      </c>
      <c r="C523" s="1" t="n">
        <v>45669</v>
      </c>
      <c r="D523" t="inlineStr">
        <is>
          <t>SKÅNE LÄN</t>
        </is>
      </c>
      <c r="E523" t="inlineStr">
        <is>
          <t>HÄSSLEHOLM</t>
        </is>
      </c>
      <c r="F523" t="inlineStr">
        <is>
          <t>Kyrkan</t>
        </is>
      </c>
      <c r="G523" t="n">
        <v>3.4</v>
      </c>
      <c r="H523" t="n">
        <v>0</v>
      </c>
      <c r="I523" t="n">
        <v>0</v>
      </c>
      <c r="J523" t="n">
        <v>0</v>
      </c>
      <c r="K523" t="n">
        <v>0</v>
      </c>
      <c r="L523" t="n">
        <v>0</v>
      </c>
      <c r="M523" t="n">
        <v>0</v>
      </c>
      <c r="N523" t="n">
        <v>0</v>
      </c>
      <c r="O523" t="n">
        <v>0</v>
      </c>
      <c r="P523" t="n">
        <v>0</v>
      </c>
      <c r="Q523" t="n">
        <v>0</v>
      </c>
      <c r="R523" s="2" t="inlineStr"/>
    </row>
    <row r="524" ht="15" customHeight="1">
      <c r="A524" t="inlineStr">
        <is>
          <t>A 56477-2021</t>
        </is>
      </c>
      <c r="B524" s="1" t="n">
        <v>44480</v>
      </c>
      <c r="C524" s="1" t="n">
        <v>45669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56490-2021</t>
        </is>
      </c>
      <c r="B525" s="1" t="n">
        <v>44480</v>
      </c>
      <c r="C525" s="1" t="n">
        <v>45669</v>
      </c>
      <c r="D525" t="inlineStr">
        <is>
          <t>SKÅNE LÄN</t>
        </is>
      </c>
      <c r="E525" t="inlineStr">
        <is>
          <t>HÄSSLEHOLM</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56527-2021</t>
        </is>
      </c>
      <c r="B526" s="1" t="n">
        <v>44480</v>
      </c>
      <c r="C526" s="1" t="n">
        <v>45669</v>
      </c>
      <c r="D526" t="inlineStr">
        <is>
          <t>SKÅNE LÄN</t>
        </is>
      </c>
      <c r="E526" t="inlineStr">
        <is>
          <t>HÄSSLEHOLM</t>
        </is>
      </c>
      <c r="F526" t="inlineStr">
        <is>
          <t>Kyrkan</t>
        </is>
      </c>
      <c r="G526" t="n">
        <v>2.7</v>
      </c>
      <c r="H526" t="n">
        <v>0</v>
      </c>
      <c r="I526" t="n">
        <v>0</v>
      </c>
      <c r="J526" t="n">
        <v>0</v>
      </c>
      <c r="K526" t="n">
        <v>0</v>
      </c>
      <c r="L526" t="n">
        <v>0</v>
      </c>
      <c r="M526" t="n">
        <v>0</v>
      </c>
      <c r="N526" t="n">
        <v>0</v>
      </c>
      <c r="O526" t="n">
        <v>0</v>
      </c>
      <c r="P526" t="n">
        <v>0</v>
      </c>
      <c r="Q526" t="n">
        <v>0</v>
      </c>
      <c r="R526" s="2" t="inlineStr"/>
    </row>
    <row r="527" ht="15" customHeight="1">
      <c r="A527" t="inlineStr">
        <is>
          <t>A 56881-2021</t>
        </is>
      </c>
      <c r="B527" s="1" t="n">
        <v>44481</v>
      </c>
      <c r="C527" s="1" t="n">
        <v>45669</v>
      </c>
      <c r="D527" t="inlineStr">
        <is>
          <t>SKÅNE LÄN</t>
        </is>
      </c>
      <c r="E527" t="inlineStr">
        <is>
          <t>HÄSSLEHOLM</t>
        </is>
      </c>
      <c r="G527" t="n">
        <v>0.4</v>
      </c>
      <c r="H527" t="n">
        <v>0</v>
      </c>
      <c r="I527" t="n">
        <v>0</v>
      </c>
      <c r="J527" t="n">
        <v>0</v>
      </c>
      <c r="K527" t="n">
        <v>0</v>
      </c>
      <c r="L527" t="n">
        <v>0</v>
      </c>
      <c r="M527" t="n">
        <v>0</v>
      </c>
      <c r="N527" t="n">
        <v>0</v>
      </c>
      <c r="O527" t="n">
        <v>0</v>
      </c>
      <c r="P527" t="n">
        <v>0</v>
      </c>
      <c r="Q527" t="n">
        <v>0</v>
      </c>
      <c r="R527" s="2" t="inlineStr"/>
    </row>
    <row r="528" ht="15" customHeight="1">
      <c r="A528" t="inlineStr">
        <is>
          <t>A 56989-2021</t>
        </is>
      </c>
      <c r="B528" s="1" t="n">
        <v>44482</v>
      </c>
      <c r="C528" s="1" t="n">
        <v>45669</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58566-2021</t>
        </is>
      </c>
      <c r="B529" s="1" t="n">
        <v>44488</v>
      </c>
      <c r="C529" s="1" t="n">
        <v>45669</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58564-2021</t>
        </is>
      </c>
      <c r="B530" s="1" t="n">
        <v>44488</v>
      </c>
      <c r="C530" s="1" t="n">
        <v>45669</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59390-2021</t>
        </is>
      </c>
      <c r="B531" s="1" t="n">
        <v>44490</v>
      </c>
      <c r="C531" s="1" t="n">
        <v>45669</v>
      </c>
      <c r="D531" t="inlineStr">
        <is>
          <t>SKÅNE LÄN</t>
        </is>
      </c>
      <c r="E531" t="inlineStr">
        <is>
          <t>HÄSSLEHOLM</t>
        </is>
      </c>
      <c r="G531" t="n">
        <v>7.1</v>
      </c>
      <c r="H531" t="n">
        <v>0</v>
      </c>
      <c r="I531" t="n">
        <v>0</v>
      </c>
      <c r="J531" t="n">
        <v>0</v>
      </c>
      <c r="K531" t="n">
        <v>0</v>
      </c>
      <c r="L531" t="n">
        <v>0</v>
      </c>
      <c r="M531" t="n">
        <v>0</v>
      </c>
      <c r="N531" t="n">
        <v>0</v>
      </c>
      <c r="O531" t="n">
        <v>0</v>
      </c>
      <c r="P531" t="n">
        <v>0</v>
      </c>
      <c r="Q531" t="n">
        <v>0</v>
      </c>
      <c r="R531" s="2" t="inlineStr"/>
    </row>
    <row r="532" ht="15" customHeight="1">
      <c r="A532" t="inlineStr">
        <is>
          <t>A 60260-2021</t>
        </is>
      </c>
      <c r="B532" s="1" t="n">
        <v>44495</v>
      </c>
      <c r="C532" s="1" t="n">
        <v>45669</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61073-2021</t>
        </is>
      </c>
      <c r="B533" s="1" t="n">
        <v>44497</v>
      </c>
      <c r="C533" s="1" t="n">
        <v>45669</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61072-2021</t>
        </is>
      </c>
      <c r="B534" s="1" t="n">
        <v>44497</v>
      </c>
      <c r="C534" s="1" t="n">
        <v>45669</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61510-2021</t>
        </is>
      </c>
      <c r="B535" s="1" t="n">
        <v>44501</v>
      </c>
      <c r="C535" s="1" t="n">
        <v>45669</v>
      </c>
      <c r="D535" t="inlineStr">
        <is>
          <t>SKÅNE LÄN</t>
        </is>
      </c>
      <c r="E535" t="inlineStr">
        <is>
          <t>HÄSSLEHOLM</t>
        </is>
      </c>
      <c r="G535" t="n">
        <v>6.1</v>
      </c>
      <c r="H535" t="n">
        <v>0</v>
      </c>
      <c r="I535" t="n">
        <v>0</v>
      </c>
      <c r="J535" t="n">
        <v>0</v>
      </c>
      <c r="K535" t="n">
        <v>0</v>
      </c>
      <c r="L535" t="n">
        <v>0</v>
      </c>
      <c r="M535" t="n">
        <v>0</v>
      </c>
      <c r="N535" t="n">
        <v>0</v>
      </c>
      <c r="O535" t="n">
        <v>0</v>
      </c>
      <c r="P535" t="n">
        <v>0</v>
      </c>
      <c r="Q535" t="n">
        <v>0</v>
      </c>
      <c r="R535" s="2" t="inlineStr"/>
    </row>
    <row r="536" ht="15" customHeight="1">
      <c r="A536" t="inlineStr">
        <is>
          <t>A 61691-2021</t>
        </is>
      </c>
      <c r="B536" s="1" t="n">
        <v>44501</v>
      </c>
      <c r="C536" s="1" t="n">
        <v>45669</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63767-2021</t>
        </is>
      </c>
      <c r="B537" s="1" t="n">
        <v>44509</v>
      </c>
      <c r="C537" s="1" t="n">
        <v>45669</v>
      </c>
      <c r="D537" t="inlineStr">
        <is>
          <t>SKÅNE LÄN</t>
        </is>
      </c>
      <c r="E537" t="inlineStr">
        <is>
          <t>HÄSSLEHOLM</t>
        </is>
      </c>
      <c r="F537" t="inlineStr">
        <is>
          <t>Övriga Aktiebolag</t>
        </is>
      </c>
      <c r="G537" t="n">
        <v>2.2</v>
      </c>
      <c r="H537" t="n">
        <v>0</v>
      </c>
      <c r="I537" t="n">
        <v>0</v>
      </c>
      <c r="J537" t="n">
        <v>0</v>
      </c>
      <c r="K537" t="n">
        <v>0</v>
      </c>
      <c r="L537" t="n">
        <v>0</v>
      </c>
      <c r="M537" t="n">
        <v>0</v>
      </c>
      <c r="N537" t="n">
        <v>0</v>
      </c>
      <c r="O537" t="n">
        <v>0</v>
      </c>
      <c r="P537" t="n">
        <v>0</v>
      </c>
      <c r="Q537" t="n">
        <v>0</v>
      </c>
      <c r="R537" s="2" t="inlineStr"/>
    </row>
    <row r="538" ht="15" customHeight="1">
      <c r="A538" t="inlineStr">
        <is>
          <t>A 63972-2021</t>
        </is>
      </c>
      <c r="B538" s="1" t="n">
        <v>44509</v>
      </c>
      <c r="C538" s="1" t="n">
        <v>45669</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64607-2021</t>
        </is>
      </c>
      <c r="B539" s="1" t="n">
        <v>44511</v>
      </c>
      <c r="C539" s="1" t="n">
        <v>45669</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64826-2021</t>
        </is>
      </c>
      <c r="B540" s="1" t="n">
        <v>44512</v>
      </c>
      <c r="C540" s="1" t="n">
        <v>45669</v>
      </c>
      <c r="D540" t="inlineStr">
        <is>
          <t>SKÅNE LÄN</t>
        </is>
      </c>
      <c r="E540" t="inlineStr">
        <is>
          <t>HÄSSLEHOLM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65235-2021</t>
        </is>
      </c>
      <c r="B541" s="1" t="n">
        <v>44515</v>
      </c>
      <c r="C541" s="1" t="n">
        <v>45669</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66321-2021</t>
        </is>
      </c>
      <c r="B542" s="1" t="n">
        <v>44518</v>
      </c>
      <c r="C542" s="1" t="n">
        <v>45669</v>
      </c>
      <c r="D542" t="inlineStr">
        <is>
          <t>SKÅNE LÄN</t>
        </is>
      </c>
      <c r="E542" t="inlineStr">
        <is>
          <t>HÄSSLEHOLM</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66413-2021</t>
        </is>
      </c>
      <c r="B543" s="1" t="n">
        <v>44518</v>
      </c>
      <c r="C543" s="1" t="n">
        <v>45669</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66518-2021</t>
        </is>
      </c>
      <c r="B544" s="1" t="n">
        <v>44519</v>
      </c>
      <c r="C544" s="1" t="n">
        <v>45669</v>
      </c>
      <c r="D544" t="inlineStr">
        <is>
          <t>SKÅNE LÄN</t>
        </is>
      </c>
      <c r="E544" t="inlineStr">
        <is>
          <t>HÄSSLEHOLM</t>
        </is>
      </c>
      <c r="G544" t="n">
        <v>2.5</v>
      </c>
      <c r="H544" t="n">
        <v>0</v>
      </c>
      <c r="I544" t="n">
        <v>0</v>
      </c>
      <c r="J544" t="n">
        <v>0</v>
      </c>
      <c r="K544" t="n">
        <v>0</v>
      </c>
      <c r="L544" t="n">
        <v>0</v>
      </c>
      <c r="M544" t="n">
        <v>0</v>
      </c>
      <c r="N544" t="n">
        <v>0</v>
      </c>
      <c r="O544" t="n">
        <v>0</v>
      </c>
      <c r="P544" t="n">
        <v>0</v>
      </c>
      <c r="Q544" t="n">
        <v>0</v>
      </c>
      <c r="R544" s="2" t="inlineStr"/>
    </row>
    <row r="545" ht="15" customHeight="1">
      <c r="A545" t="inlineStr">
        <is>
          <t>A 67150-2021</t>
        </is>
      </c>
      <c r="B545" s="1" t="n">
        <v>44523</v>
      </c>
      <c r="C545" s="1" t="n">
        <v>45669</v>
      </c>
      <c r="D545" t="inlineStr">
        <is>
          <t>SKÅNE LÄN</t>
        </is>
      </c>
      <c r="E545" t="inlineStr">
        <is>
          <t>HÄSSLEHOLM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67355-2021</t>
        </is>
      </c>
      <c r="B546" s="1" t="n">
        <v>44523</v>
      </c>
      <c r="C546" s="1" t="n">
        <v>45669</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67517-2021</t>
        </is>
      </c>
      <c r="B547" s="1" t="n">
        <v>44524</v>
      </c>
      <c r="C547" s="1" t="n">
        <v>45669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67801-2021</t>
        </is>
      </c>
      <c r="B548" s="1" t="n">
        <v>44525</v>
      </c>
      <c r="C548" s="1" t="n">
        <v>45669</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68408-2021</t>
        </is>
      </c>
      <c r="B549" s="1" t="n">
        <v>44526</v>
      </c>
      <c r="C549" s="1" t="n">
        <v>45669</v>
      </c>
      <c r="D549" t="inlineStr">
        <is>
          <t>SKÅNE LÄN</t>
        </is>
      </c>
      <c r="E549" t="inlineStr">
        <is>
          <t>HÄSSLEHOLM</t>
        </is>
      </c>
      <c r="G549" t="n">
        <v>2.4</v>
      </c>
      <c r="H549" t="n">
        <v>0</v>
      </c>
      <c r="I549" t="n">
        <v>0</v>
      </c>
      <c r="J549" t="n">
        <v>0</v>
      </c>
      <c r="K549" t="n">
        <v>0</v>
      </c>
      <c r="L549" t="n">
        <v>0</v>
      </c>
      <c r="M549" t="n">
        <v>0</v>
      </c>
      <c r="N549" t="n">
        <v>0</v>
      </c>
      <c r="O549" t="n">
        <v>0</v>
      </c>
      <c r="P549" t="n">
        <v>0</v>
      </c>
      <c r="Q549" t="n">
        <v>0</v>
      </c>
      <c r="R549" s="2" t="inlineStr"/>
    </row>
    <row r="550" ht="15" customHeight="1">
      <c r="A550" t="inlineStr">
        <is>
          <t>A 68909-2021</t>
        </is>
      </c>
      <c r="B550" s="1" t="n">
        <v>44530</v>
      </c>
      <c r="C550" s="1" t="n">
        <v>45669</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69357-2021</t>
        </is>
      </c>
      <c r="B551" s="1" t="n">
        <v>44531</v>
      </c>
      <c r="C551" s="1" t="n">
        <v>45669</v>
      </c>
      <c r="D551" t="inlineStr">
        <is>
          <t>SKÅNE LÄN</t>
        </is>
      </c>
      <c r="E551" t="inlineStr">
        <is>
          <t>HÄSSLEHOLM</t>
        </is>
      </c>
      <c r="G551" t="n">
        <v>1.6</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45669</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70087-2021</t>
        </is>
      </c>
      <c r="B553" s="1" t="n">
        <v>44533</v>
      </c>
      <c r="C553" s="1" t="n">
        <v>45669</v>
      </c>
      <c r="D553" t="inlineStr">
        <is>
          <t>SKÅNE LÄN</t>
        </is>
      </c>
      <c r="E553" t="inlineStr">
        <is>
          <t>HÄSSLEHOLM</t>
        </is>
      </c>
      <c r="G553" t="n">
        <v>5</v>
      </c>
      <c r="H553" t="n">
        <v>0</v>
      </c>
      <c r="I553" t="n">
        <v>0</v>
      </c>
      <c r="J553" t="n">
        <v>0</v>
      </c>
      <c r="K553" t="n">
        <v>0</v>
      </c>
      <c r="L553" t="n">
        <v>0</v>
      </c>
      <c r="M553" t="n">
        <v>0</v>
      </c>
      <c r="N553" t="n">
        <v>0</v>
      </c>
      <c r="O553" t="n">
        <v>0</v>
      </c>
      <c r="P553" t="n">
        <v>0</v>
      </c>
      <c r="Q553" t="n">
        <v>0</v>
      </c>
      <c r="R553" s="2" t="inlineStr"/>
    </row>
    <row r="554" ht="15" customHeight="1">
      <c r="A554" t="inlineStr">
        <is>
          <t>A 73513-2021</t>
        </is>
      </c>
      <c r="B554" s="1" t="n">
        <v>44551</v>
      </c>
      <c r="C554" s="1" t="n">
        <v>45669</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74030-2021</t>
        </is>
      </c>
      <c r="B555" s="1" t="n">
        <v>44553</v>
      </c>
      <c r="C555" s="1" t="n">
        <v>45669</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74293-2021</t>
        </is>
      </c>
      <c r="B556" s="1" t="n">
        <v>44558</v>
      </c>
      <c r="C556" s="1" t="n">
        <v>45669</v>
      </c>
      <c r="D556" t="inlineStr">
        <is>
          <t>SKÅNE LÄN</t>
        </is>
      </c>
      <c r="E556" t="inlineStr">
        <is>
          <t>HÄSSLEHOLM</t>
        </is>
      </c>
      <c r="F556" t="inlineStr">
        <is>
          <t>Kyrkan</t>
        </is>
      </c>
      <c r="G556" t="n">
        <v>3.3</v>
      </c>
      <c r="H556" t="n">
        <v>0</v>
      </c>
      <c r="I556" t="n">
        <v>0</v>
      </c>
      <c r="J556" t="n">
        <v>0</v>
      </c>
      <c r="K556" t="n">
        <v>0</v>
      </c>
      <c r="L556" t="n">
        <v>0</v>
      </c>
      <c r="M556" t="n">
        <v>0</v>
      </c>
      <c r="N556" t="n">
        <v>0</v>
      </c>
      <c r="O556" t="n">
        <v>0</v>
      </c>
      <c r="P556" t="n">
        <v>0</v>
      </c>
      <c r="Q556" t="n">
        <v>0</v>
      </c>
      <c r="R556" s="2" t="inlineStr"/>
    </row>
    <row r="557" ht="15" customHeight="1">
      <c r="A557" t="inlineStr">
        <is>
          <t>A 74294-2021</t>
        </is>
      </c>
      <c r="B557" s="1" t="n">
        <v>44558</v>
      </c>
      <c r="C557" s="1" t="n">
        <v>45669</v>
      </c>
      <c r="D557" t="inlineStr">
        <is>
          <t>SKÅNE LÄN</t>
        </is>
      </c>
      <c r="E557" t="inlineStr">
        <is>
          <t>HÄSSLEHOLM</t>
        </is>
      </c>
      <c r="F557" t="inlineStr">
        <is>
          <t>Kyrkan</t>
        </is>
      </c>
      <c r="G557" t="n">
        <v>16.2</v>
      </c>
      <c r="H557" t="n">
        <v>0</v>
      </c>
      <c r="I557" t="n">
        <v>0</v>
      </c>
      <c r="J557" t="n">
        <v>0</v>
      </c>
      <c r="K557" t="n">
        <v>0</v>
      </c>
      <c r="L557" t="n">
        <v>0</v>
      </c>
      <c r="M557" t="n">
        <v>0</v>
      </c>
      <c r="N557" t="n">
        <v>0</v>
      </c>
      <c r="O557" t="n">
        <v>0</v>
      </c>
      <c r="P557" t="n">
        <v>0</v>
      </c>
      <c r="Q557" t="n">
        <v>0</v>
      </c>
      <c r="R557" s="2" t="inlineStr"/>
    </row>
    <row r="558" ht="15" customHeight="1">
      <c r="A558" t="inlineStr">
        <is>
          <t>A 74297-2021</t>
        </is>
      </c>
      <c r="B558" s="1" t="n">
        <v>44558</v>
      </c>
      <c r="C558" s="1" t="n">
        <v>45669</v>
      </c>
      <c r="D558" t="inlineStr">
        <is>
          <t>SKÅNE LÄN</t>
        </is>
      </c>
      <c r="E558" t="inlineStr">
        <is>
          <t>HÄSSLEHOLM</t>
        </is>
      </c>
      <c r="F558" t="inlineStr">
        <is>
          <t>Kyrkan</t>
        </is>
      </c>
      <c r="G558" t="n">
        <v>3.8</v>
      </c>
      <c r="H558" t="n">
        <v>0</v>
      </c>
      <c r="I558" t="n">
        <v>0</v>
      </c>
      <c r="J558" t="n">
        <v>0</v>
      </c>
      <c r="K558" t="n">
        <v>0</v>
      </c>
      <c r="L558" t="n">
        <v>0</v>
      </c>
      <c r="M558" t="n">
        <v>0</v>
      </c>
      <c r="N558" t="n">
        <v>0</v>
      </c>
      <c r="O558" t="n">
        <v>0</v>
      </c>
      <c r="P558" t="n">
        <v>0</v>
      </c>
      <c r="Q558" t="n">
        <v>0</v>
      </c>
      <c r="R558" s="2" t="inlineStr"/>
    </row>
    <row r="559" ht="15" customHeight="1">
      <c r="A559" t="inlineStr">
        <is>
          <t>A 74453-2021</t>
        </is>
      </c>
      <c r="B559" s="1" t="n">
        <v>44560</v>
      </c>
      <c r="C559" s="1" t="n">
        <v>45669</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74476-2021</t>
        </is>
      </c>
      <c r="B560" s="1" t="n">
        <v>44560</v>
      </c>
      <c r="C560" s="1" t="n">
        <v>45669</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220-2022</t>
        </is>
      </c>
      <c r="B561" s="1" t="n">
        <v>44564</v>
      </c>
      <c r="C561" s="1" t="n">
        <v>45669</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219-2022</t>
        </is>
      </c>
      <c r="B562" s="1" t="n">
        <v>44564</v>
      </c>
      <c r="C562" s="1" t="n">
        <v>45669</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354-2022</t>
        </is>
      </c>
      <c r="B563" s="1" t="n">
        <v>44565</v>
      </c>
      <c r="C563" s="1" t="n">
        <v>45669</v>
      </c>
      <c r="D563" t="inlineStr">
        <is>
          <t>SKÅNE LÄN</t>
        </is>
      </c>
      <c r="E563" t="inlineStr">
        <is>
          <t>HÄSSLEHOLM</t>
        </is>
      </c>
      <c r="G563" t="n">
        <v>2.4</v>
      </c>
      <c r="H563" t="n">
        <v>0</v>
      </c>
      <c r="I563" t="n">
        <v>0</v>
      </c>
      <c r="J563" t="n">
        <v>0</v>
      </c>
      <c r="K563" t="n">
        <v>0</v>
      </c>
      <c r="L563" t="n">
        <v>0</v>
      </c>
      <c r="M563" t="n">
        <v>0</v>
      </c>
      <c r="N563" t="n">
        <v>0</v>
      </c>
      <c r="O563" t="n">
        <v>0</v>
      </c>
      <c r="P563" t="n">
        <v>0</v>
      </c>
      <c r="Q563" t="n">
        <v>0</v>
      </c>
      <c r="R563" s="2" t="inlineStr"/>
    </row>
    <row r="564" ht="15" customHeight="1">
      <c r="A564" t="inlineStr">
        <is>
          <t>A 315-2022</t>
        </is>
      </c>
      <c r="B564" s="1" t="n">
        <v>44565</v>
      </c>
      <c r="C564" s="1" t="n">
        <v>45669</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441-2022</t>
        </is>
      </c>
      <c r="B565" s="1" t="n">
        <v>44566</v>
      </c>
      <c r="C565" s="1" t="n">
        <v>45669</v>
      </c>
      <c r="D565" t="inlineStr">
        <is>
          <t>SKÅNE LÄN</t>
        </is>
      </c>
      <c r="E565" t="inlineStr">
        <is>
          <t>HÄSSLEHOLM</t>
        </is>
      </c>
      <c r="G565" t="n">
        <v>2.1</v>
      </c>
      <c r="H565" t="n">
        <v>0</v>
      </c>
      <c r="I565" t="n">
        <v>0</v>
      </c>
      <c r="J565" t="n">
        <v>0</v>
      </c>
      <c r="K565" t="n">
        <v>0</v>
      </c>
      <c r="L565" t="n">
        <v>0</v>
      </c>
      <c r="M565" t="n">
        <v>0</v>
      </c>
      <c r="N565" t="n">
        <v>0</v>
      </c>
      <c r="O565" t="n">
        <v>0</v>
      </c>
      <c r="P565" t="n">
        <v>0</v>
      </c>
      <c r="Q565" t="n">
        <v>0</v>
      </c>
      <c r="R565" s="2" t="inlineStr"/>
    </row>
    <row r="566" ht="15" customHeight="1">
      <c r="A566" t="inlineStr">
        <is>
          <t>A 418-2022</t>
        </is>
      </c>
      <c r="B566" s="1" t="n">
        <v>44565</v>
      </c>
      <c r="C566" s="1" t="n">
        <v>45669</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417-2022</t>
        </is>
      </c>
      <c r="B567" s="1" t="n">
        <v>44565</v>
      </c>
      <c r="C567" s="1" t="n">
        <v>45669</v>
      </c>
      <c r="D567" t="inlineStr">
        <is>
          <t>SKÅNE LÄN</t>
        </is>
      </c>
      <c r="E567" t="inlineStr">
        <is>
          <t>HÄSSLEHOLM</t>
        </is>
      </c>
      <c r="G567" t="n">
        <v>0</v>
      </c>
      <c r="H567" t="n">
        <v>0</v>
      </c>
      <c r="I567" t="n">
        <v>0</v>
      </c>
      <c r="J567" t="n">
        <v>0</v>
      </c>
      <c r="K567" t="n">
        <v>0</v>
      </c>
      <c r="L567" t="n">
        <v>0</v>
      </c>
      <c r="M567" t="n">
        <v>0</v>
      </c>
      <c r="N567" t="n">
        <v>0</v>
      </c>
      <c r="O567" t="n">
        <v>0</v>
      </c>
      <c r="P567" t="n">
        <v>0</v>
      </c>
      <c r="Q567" t="n">
        <v>0</v>
      </c>
      <c r="R567" s="2" t="inlineStr"/>
    </row>
    <row r="568" ht="15" customHeight="1">
      <c r="A568" t="inlineStr">
        <is>
          <t>A 525-2022</t>
        </is>
      </c>
      <c r="B568" s="1" t="n">
        <v>44566</v>
      </c>
      <c r="C568" s="1" t="n">
        <v>45669</v>
      </c>
      <c r="D568" t="inlineStr">
        <is>
          <t>SKÅNE LÄN</t>
        </is>
      </c>
      <c r="E568" t="inlineStr">
        <is>
          <t>HÄSSLEHOLM</t>
        </is>
      </c>
      <c r="G568" t="n">
        <v>1.7</v>
      </c>
      <c r="H568" t="n">
        <v>0</v>
      </c>
      <c r="I568" t="n">
        <v>0</v>
      </c>
      <c r="J568" t="n">
        <v>0</v>
      </c>
      <c r="K568" t="n">
        <v>0</v>
      </c>
      <c r="L568" t="n">
        <v>0</v>
      </c>
      <c r="M568" t="n">
        <v>0</v>
      </c>
      <c r="N568" t="n">
        <v>0</v>
      </c>
      <c r="O568" t="n">
        <v>0</v>
      </c>
      <c r="P568" t="n">
        <v>0</v>
      </c>
      <c r="Q568" t="n">
        <v>0</v>
      </c>
      <c r="R568" s="2" t="inlineStr"/>
    </row>
    <row r="569" ht="15" customHeight="1">
      <c r="A569" t="inlineStr">
        <is>
          <t>A 1210-2022</t>
        </is>
      </c>
      <c r="B569" s="1" t="n">
        <v>44572</v>
      </c>
      <c r="C569" s="1" t="n">
        <v>45669</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1535-2022</t>
        </is>
      </c>
      <c r="B570" s="1" t="n">
        <v>44573</v>
      </c>
      <c r="C570" s="1" t="n">
        <v>45669</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1619-2022</t>
        </is>
      </c>
      <c r="B571" s="1" t="n">
        <v>44573</v>
      </c>
      <c r="C571" s="1" t="n">
        <v>45669</v>
      </c>
      <c r="D571" t="inlineStr">
        <is>
          <t>SKÅNE LÄN</t>
        </is>
      </c>
      <c r="E571" t="inlineStr">
        <is>
          <t>HÄSSLEHOLM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1679-2022</t>
        </is>
      </c>
      <c r="B572" s="1" t="n">
        <v>44573</v>
      </c>
      <c r="C572" s="1" t="n">
        <v>45669</v>
      </c>
      <c r="D572" t="inlineStr">
        <is>
          <t>SKÅNE LÄN</t>
        </is>
      </c>
      <c r="E572" t="inlineStr">
        <is>
          <t>HÄSSLEHOLM</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2618-2022</t>
        </is>
      </c>
      <c r="B573" s="1" t="n">
        <v>44580</v>
      </c>
      <c r="C573" s="1" t="n">
        <v>45669</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2631-2022</t>
        </is>
      </c>
      <c r="B574" s="1" t="n">
        <v>44580</v>
      </c>
      <c r="C574" s="1" t="n">
        <v>45669</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45669</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3101-2022</t>
        </is>
      </c>
      <c r="B576" s="1" t="n">
        <v>44580</v>
      </c>
      <c r="C576" s="1" t="n">
        <v>45669</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2858-2022</t>
        </is>
      </c>
      <c r="B577" s="1" t="n">
        <v>44581</v>
      </c>
      <c r="C577" s="1" t="n">
        <v>45669</v>
      </c>
      <c r="D577" t="inlineStr">
        <is>
          <t>SKÅNE LÄN</t>
        </is>
      </c>
      <c r="E577" t="inlineStr">
        <is>
          <t>HÄSSLEHOLM</t>
        </is>
      </c>
      <c r="F577" t="inlineStr">
        <is>
          <t>Övriga Aktiebolag</t>
        </is>
      </c>
      <c r="G577" t="n">
        <v>1.3</v>
      </c>
      <c r="H577" t="n">
        <v>0</v>
      </c>
      <c r="I577" t="n">
        <v>0</v>
      </c>
      <c r="J577" t="n">
        <v>0</v>
      </c>
      <c r="K577" t="n">
        <v>0</v>
      </c>
      <c r="L577" t="n">
        <v>0</v>
      </c>
      <c r="M577" t="n">
        <v>0</v>
      </c>
      <c r="N577" t="n">
        <v>0</v>
      </c>
      <c r="O577" t="n">
        <v>0</v>
      </c>
      <c r="P577" t="n">
        <v>0</v>
      </c>
      <c r="Q577" t="n">
        <v>0</v>
      </c>
      <c r="R577" s="2" t="inlineStr"/>
    </row>
    <row r="578" ht="15" customHeight="1">
      <c r="A578" t="inlineStr">
        <is>
          <t>A 3167-2022</t>
        </is>
      </c>
      <c r="B578" s="1" t="n">
        <v>44582</v>
      </c>
      <c r="C578" s="1" t="n">
        <v>45669</v>
      </c>
      <c r="D578" t="inlineStr">
        <is>
          <t>SKÅNE LÄN</t>
        </is>
      </c>
      <c r="E578" t="inlineStr">
        <is>
          <t>HÄSSLEHOLM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3248-2022</t>
        </is>
      </c>
      <c r="B579" s="1" t="n">
        <v>44583</v>
      </c>
      <c r="C579" s="1" t="n">
        <v>45669</v>
      </c>
      <c r="D579" t="inlineStr">
        <is>
          <t>SKÅNE LÄN</t>
        </is>
      </c>
      <c r="E579" t="inlineStr">
        <is>
          <t>HÄSSLEHOLM</t>
        </is>
      </c>
      <c r="G579" t="n">
        <v>3</v>
      </c>
      <c r="H579" t="n">
        <v>0</v>
      </c>
      <c r="I579" t="n">
        <v>0</v>
      </c>
      <c r="J579" t="n">
        <v>0</v>
      </c>
      <c r="K579" t="n">
        <v>0</v>
      </c>
      <c r="L579" t="n">
        <v>0</v>
      </c>
      <c r="M579" t="n">
        <v>0</v>
      </c>
      <c r="N579" t="n">
        <v>0</v>
      </c>
      <c r="O579" t="n">
        <v>0</v>
      </c>
      <c r="P579" t="n">
        <v>0</v>
      </c>
      <c r="Q579" t="n">
        <v>0</v>
      </c>
      <c r="R579" s="2" t="inlineStr"/>
    </row>
    <row r="580" ht="15" customHeight="1">
      <c r="A580" t="inlineStr">
        <is>
          <t>A 3245-2022</t>
        </is>
      </c>
      <c r="B580" s="1" t="n">
        <v>44583</v>
      </c>
      <c r="C580" s="1" t="n">
        <v>45669</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3247-2022</t>
        </is>
      </c>
      <c r="B581" s="1" t="n">
        <v>44583</v>
      </c>
      <c r="C581" s="1" t="n">
        <v>45669</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3276-2022</t>
        </is>
      </c>
      <c r="B582" s="1" t="n">
        <v>44584</v>
      </c>
      <c r="C582" s="1" t="n">
        <v>45669</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3277-2022</t>
        </is>
      </c>
      <c r="B583" s="1" t="n">
        <v>44584</v>
      </c>
      <c r="C583" s="1" t="n">
        <v>45669</v>
      </c>
      <c r="D583" t="inlineStr">
        <is>
          <t>SKÅNE LÄN</t>
        </is>
      </c>
      <c r="E583" t="inlineStr">
        <is>
          <t>HÄSSLEHOLM</t>
        </is>
      </c>
      <c r="G583" t="n">
        <v>0.2</v>
      </c>
      <c r="H583" t="n">
        <v>0</v>
      </c>
      <c r="I583" t="n">
        <v>0</v>
      </c>
      <c r="J583" t="n">
        <v>0</v>
      </c>
      <c r="K583" t="n">
        <v>0</v>
      </c>
      <c r="L583" t="n">
        <v>0</v>
      </c>
      <c r="M583" t="n">
        <v>0</v>
      </c>
      <c r="N583" t="n">
        <v>0</v>
      </c>
      <c r="O583" t="n">
        <v>0</v>
      </c>
      <c r="P583" t="n">
        <v>0</v>
      </c>
      <c r="Q583" t="n">
        <v>0</v>
      </c>
      <c r="R583" s="2" t="inlineStr"/>
    </row>
    <row r="584" ht="15" customHeight="1">
      <c r="A584" t="inlineStr">
        <is>
          <t>A 3395-2022</t>
        </is>
      </c>
      <c r="B584" s="1" t="n">
        <v>44585</v>
      </c>
      <c r="C584" s="1" t="n">
        <v>45669</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3855-2022</t>
        </is>
      </c>
      <c r="B585" s="1" t="n">
        <v>44587</v>
      </c>
      <c r="C585" s="1" t="n">
        <v>45669</v>
      </c>
      <c r="D585" t="inlineStr">
        <is>
          <t>SKÅNE LÄN</t>
        </is>
      </c>
      <c r="E585" t="inlineStr">
        <is>
          <t>HÄSSLEHOLM</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3952-2022</t>
        </is>
      </c>
      <c r="B586" s="1" t="n">
        <v>44587</v>
      </c>
      <c r="C586" s="1" t="n">
        <v>45669</v>
      </c>
      <c r="D586" t="inlineStr">
        <is>
          <t>SKÅNE LÄN</t>
        </is>
      </c>
      <c r="E586" t="inlineStr">
        <is>
          <t>HÄSSLEHOLM</t>
        </is>
      </c>
      <c r="G586" t="n">
        <v>4.2</v>
      </c>
      <c r="H586" t="n">
        <v>0</v>
      </c>
      <c r="I586" t="n">
        <v>0</v>
      </c>
      <c r="J586" t="n">
        <v>0</v>
      </c>
      <c r="K586" t="n">
        <v>0</v>
      </c>
      <c r="L586" t="n">
        <v>0</v>
      </c>
      <c r="M586" t="n">
        <v>0</v>
      </c>
      <c r="N586" t="n">
        <v>0</v>
      </c>
      <c r="O586" t="n">
        <v>0</v>
      </c>
      <c r="P586" t="n">
        <v>0</v>
      </c>
      <c r="Q586" t="n">
        <v>0</v>
      </c>
      <c r="R586" s="2" t="inlineStr"/>
    </row>
    <row r="587" ht="15" customHeight="1">
      <c r="A587" t="inlineStr">
        <is>
          <t>A 3992-2022</t>
        </is>
      </c>
      <c r="B587" s="1" t="n">
        <v>44587</v>
      </c>
      <c r="C587" s="1" t="n">
        <v>45669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4156-2022</t>
        </is>
      </c>
      <c r="B588" s="1" t="n">
        <v>44588</v>
      </c>
      <c r="C588" s="1" t="n">
        <v>45669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4161-2022</t>
        </is>
      </c>
      <c r="B589" s="1" t="n">
        <v>44588</v>
      </c>
      <c r="C589" s="1" t="n">
        <v>45669</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4719-2022</t>
        </is>
      </c>
      <c r="B590" s="1" t="n">
        <v>44592</v>
      </c>
      <c r="C590" s="1" t="n">
        <v>45669</v>
      </c>
      <c r="D590" t="inlineStr">
        <is>
          <t>SKÅNE LÄN</t>
        </is>
      </c>
      <c r="E590" t="inlineStr">
        <is>
          <t>HÄSSLEHOLM</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4945-2022</t>
        </is>
      </c>
      <c r="B591" s="1" t="n">
        <v>44593</v>
      </c>
      <c r="C591" s="1" t="n">
        <v>45669</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5054-2022</t>
        </is>
      </c>
      <c r="B592" s="1" t="n">
        <v>44593</v>
      </c>
      <c r="C592" s="1" t="n">
        <v>45669</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5091-2022</t>
        </is>
      </c>
      <c r="B593" s="1" t="n">
        <v>44593</v>
      </c>
      <c r="C593" s="1" t="n">
        <v>45669</v>
      </c>
      <c r="D593" t="inlineStr">
        <is>
          <t>SKÅNE LÄN</t>
        </is>
      </c>
      <c r="E593" t="inlineStr">
        <is>
          <t>HÄSSLEHOLM</t>
        </is>
      </c>
      <c r="G593" t="n">
        <v>2.5</v>
      </c>
      <c r="H593" t="n">
        <v>0</v>
      </c>
      <c r="I593" t="n">
        <v>0</v>
      </c>
      <c r="J593" t="n">
        <v>0</v>
      </c>
      <c r="K593" t="n">
        <v>0</v>
      </c>
      <c r="L593" t="n">
        <v>0</v>
      </c>
      <c r="M593" t="n">
        <v>0</v>
      </c>
      <c r="N593" t="n">
        <v>0</v>
      </c>
      <c r="O593" t="n">
        <v>0</v>
      </c>
      <c r="P593" t="n">
        <v>0</v>
      </c>
      <c r="Q593" t="n">
        <v>0</v>
      </c>
      <c r="R593" s="2" t="inlineStr"/>
    </row>
    <row r="594" ht="15" customHeight="1">
      <c r="A594" t="inlineStr">
        <is>
          <t>A 5090-2022</t>
        </is>
      </c>
      <c r="B594" s="1" t="n">
        <v>44593</v>
      </c>
      <c r="C594" s="1" t="n">
        <v>45669</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5334-2022</t>
        </is>
      </c>
      <c r="B595" s="1" t="n">
        <v>44594</v>
      </c>
      <c r="C595" s="1" t="n">
        <v>45669</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5564-2022</t>
        </is>
      </c>
      <c r="B596" s="1" t="n">
        <v>44595</v>
      </c>
      <c r="C596" s="1" t="n">
        <v>45669</v>
      </c>
      <c r="D596" t="inlineStr">
        <is>
          <t>SKÅNE LÄN</t>
        </is>
      </c>
      <c r="E596" t="inlineStr">
        <is>
          <t>HÄSSLEHOLM</t>
        </is>
      </c>
      <c r="G596" t="n">
        <v>0.3</v>
      </c>
      <c r="H596" t="n">
        <v>0</v>
      </c>
      <c r="I596" t="n">
        <v>0</v>
      </c>
      <c r="J596" t="n">
        <v>0</v>
      </c>
      <c r="K596" t="n">
        <v>0</v>
      </c>
      <c r="L596" t="n">
        <v>0</v>
      </c>
      <c r="M596" t="n">
        <v>0</v>
      </c>
      <c r="N596" t="n">
        <v>0</v>
      </c>
      <c r="O596" t="n">
        <v>0</v>
      </c>
      <c r="P596" t="n">
        <v>0</v>
      </c>
      <c r="Q596" t="n">
        <v>0</v>
      </c>
      <c r="R596" s="2" t="inlineStr"/>
    </row>
    <row r="597" ht="15" customHeight="1">
      <c r="A597" t="inlineStr">
        <is>
          <t>A 6048-2022</t>
        </is>
      </c>
      <c r="B597" s="1" t="n">
        <v>44599</v>
      </c>
      <c r="C597" s="1" t="n">
        <v>45669</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6101-2022</t>
        </is>
      </c>
      <c r="B598" s="1" t="n">
        <v>44599</v>
      </c>
      <c r="C598" s="1" t="n">
        <v>45669</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5992-2022</t>
        </is>
      </c>
      <c r="B599" s="1" t="n">
        <v>44599</v>
      </c>
      <c r="C599" s="1" t="n">
        <v>45669</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6253-2022</t>
        </is>
      </c>
      <c r="B600" s="1" t="n">
        <v>44600</v>
      </c>
      <c r="C600" s="1" t="n">
        <v>45669</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6414-2022</t>
        </is>
      </c>
      <c r="B601" s="1" t="n">
        <v>44600</v>
      </c>
      <c r="C601" s="1" t="n">
        <v>45669</v>
      </c>
      <c r="D601" t="inlineStr">
        <is>
          <t>SKÅNE LÄN</t>
        </is>
      </c>
      <c r="E601" t="inlineStr">
        <is>
          <t>HÄSSLEHOLM</t>
        </is>
      </c>
      <c r="G601" t="n">
        <v>2.9</v>
      </c>
      <c r="H601" t="n">
        <v>0</v>
      </c>
      <c r="I601" t="n">
        <v>0</v>
      </c>
      <c r="J601" t="n">
        <v>0</v>
      </c>
      <c r="K601" t="n">
        <v>0</v>
      </c>
      <c r="L601" t="n">
        <v>0</v>
      </c>
      <c r="M601" t="n">
        <v>0</v>
      </c>
      <c r="N601" t="n">
        <v>0</v>
      </c>
      <c r="O601" t="n">
        <v>0</v>
      </c>
      <c r="P601" t="n">
        <v>0</v>
      </c>
      <c r="Q601" t="n">
        <v>0</v>
      </c>
      <c r="R601" s="2" t="inlineStr"/>
    </row>
    <row r="602" ht="15" customHeight="1">
      <c r="A602" t="inlineStr">
        <is>
          <t>A 7202-2022</t>
        </is>
      </c>
      <c r="B602" s="1" t="n">
        <v>44606</v>
      </c>
      <c r="C602" s="1" t="n">
        <v>45669</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7250-2022</t>
        </is>
      </c>
      <c r="B603" s="1" t="n">
        <v>44606</v>
      </c>
      <c r="C603" s="1" t="n">
        <v>45669</v>
      </c>
      <c r="D603" t="inlineStr">
        <is>
          <t>SKÅNE LÄN</t>
        </is>
      </c>
      <c r="E603" t="inlineStr">
        <is>
          <t>HÄSSLEHOLM</t>
        </is>
      </c>
      <c r="F603" t="inlineStr">
        <is>
          <t>Övriga Aktiebolag</t>
        </is>
      </c>
      <c r="G603" t="n">
        <v>2.6</v>
      </c>
      <c r="H603" t="n">
        <v>0</v>
      </c>
      <c r="I603" t="n">
        <v>0</v>
      </c>
      <c r="J603" t="n">
        <v>0</v>
      </c>
      <c r="K603" t="n">
        <v>0</v>
      </c>
      <c r="L603" t="n">
        <v>0</v>
      </c>
      <c r="M603" t="n">
        <v>0</v>
      </c>
      <c r="N603" t="n">
        <v>0</v>
      </c>
      <c r="O603" t="n">
        <v>0</v>
      </c>
      <c r="P603" t="n">
        <v>0</v>
      </c>
      <c r="Q603" t="n">
        <v>0</v>
      </c>
      <c r="R603" s="2" t="inlineStr"/>
    </row>
    <row r="604" ht="15" customHeight="1">
      <c r="A604" t="inlineStr">
        <is>
          <t>A 7262-2022</t>
        </is>
      </c>
      <c r="B604" s="1" t="n">
        <v>44606</v>
      </c>
      <c r="C604" s="1" t="n">
        <v>45669</v>
      </c>
      <c r="D604" t="inlineStr">
        <is>
          <t>SKÅNE LÄN</t>
        </is>
      </c>
      <c r="E604" t="inlineStr">
        <is>
          <t>HÄSSLEHOLM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7249-2022</t>
        </is>
      </c>
      <c r="B605" s="1" t="n">
        <v>44606</v>
      </c>
      <c r="C605" s="1" t="n">
        <v>45669</v>
      </c>
      <c r="D605" t="inlineStr">
        <is>
          <t>SKÅNE LÄN</t>
        </is>
      </c>
      <c r="E605" t="inlineStr">
        <is>
          <t>HÄSSLEHOLM</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7861-2022</t>
        </is>
      </c>
      <c r="B606" s="1" t="n">
        <v>44607</v>
      </c>
      <c r="C606" s="1" t="n">
        <v>45669</v>
      </c>
      <c r="D606" t="inlineStr">
        <is>
          <t>SKÅNE LÄN</t>
        </is>
      </c>
      <c r="E606" t="inlineStr">
        <is>
          <t>HÄSSLEHOLM</t>
        </is>
      </c>
      <c r="F606" t="inlineStr">
        <is>
          <t>Kyrkan</t>
        </is>
      </c>
      <c r="G606" t="n">
        <v>4.3</v>
      </c>
      <c r="H606" t="n">
        <v>0</v>
      </c>
      <c r="I606" t="n">
        <v>0</v>
      </c>
      <c r="J606" t="n">
        <v>0</v>
      </c>
      <c r="K606" t="n">
        <v>0</v>
      </c>
      <c r="L606" t="n">
        <v>0</v>
      </c>
      <c r="M606" t="n">
        <v>0</v>
      </c>
      <c r="N606" t="n">
        <v>0</v>
      </c>
      <c r="O606" t="n">
        <v>0</v>
      </c>
      <c r="P606" t="n">
        <v>0</v>
      </c>
      <c r="Q606" t="n">
        <v>0</v>
      </c>
      <c r="R606" s="2" t="inlineStr"/>
    </row>
    <row r="607" ht="15" customHeight="1">
      <c r="A607" t="inlineStr">
        <is>
          <t>A 7904-2022</t>
        </is>
      </c>
      <c r="B607" s="1" t="n">
        <v>44607</v>
      </c>
      <c r="C607" s="1" t="n">
        <v>45669</v>
      </c>
      <c r="D607" t="inlineStr">
        <is>
          <t>SKÅNE LÄN</t>
        </is>
      </c>
      <c r="E607" t="inlineStr">
        <is>
          <t>HÄSSLEHOLM</t>
        </is>
      </c>
      <c r="F607" t="inlineStr">
        <is>
          <t>Kyrkan</t>
        </is>
      </c>
      <c r="G607" t="n">
        <v>3.9</v>
      </c>
      <c r="H607" t="n">
        <v>0</v>
      </c>
      <c r="I607" t="n">
        <v>0</v>
      </c>
      <c r="J607" t="n">
        <v>0</v>
      </c>
      <c r="K607" t="n">
        <v>0</v>
      </c>
      <c r="L607" t="n">
        <v>0</v>
      </c>
      <c r="M607" t="n">
        <v>0</v>
      </c>
      <c r="N607" t="n">
        <v>0</v>
      </c>
      <c r="O607" t="n">
        <v>0</v>
      </c>
      <c r="P607" t="n">
        <v>0</v>
      </c>
      <c r="Q607" t="n">
        <v>0</v>
      </c>
      <c r="R607" s="2" t="inlineStr"/>
    </row>
    <row r="608" ht="15" customHeight="1">
      <c r="A608" t="inlineStr">
        <is>
          <t>A 7857-2022</t>
        </is>
      </c>
      <c r="B608" s="1" t="n">
        <v>44607</v>
      </c>
      <c r="C608" s="1" t="n">
        <v>45669</v>
      </c>
      <c r="D608" t="inlineStr">
        <is>
          <t>SKÅNE LÄN</t>
        </is>
      </c>
      <c r="E608" t="inlineStr">
        <is>
          <t>HÄSSLEHOLM</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8177-2022</t>
        </is>
      </c>
      <c r="B609" s="1" t="n">
        <v>44607</v>
      </c>
      <c r="C609" s="1" t="n">
        <v>45669</v>
      </c>
      <c r="D609" t="inlineStr">
        <is>
          <t>SKÅNE LÄN</t>
        </is>
      </c>
      <c r="E609" t="inlineStr">
        <is>
          <t>HÄSSLEHOLM</t>
        </is>
      </c>
      <c r="F609" t="inlineStr">
        <is>
          <t>Kyrkan</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7820-2022</t>
        </is>
      </c>
      <c r="B610" s="1" t="n">
        <v>44608</v>
      </c>
      <c r="C610" s="1" t="n">
        <v>45669</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8204-2022</t>
        </is>
      </c>
      <c r="B611" s="1" t="n">
        <v>44609</v>
      </c>
      <c r="C611" s="1" t="n">
        <v>45669</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8280-2022</t>
        </is>
      </c>
      <c r="B612" s="1" t="n">
        <v>44610</v>
      </c>
      <c r="C612" s="1" t="n">
        <v>45669</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9098-2022</t>
        </is>
      </c>
      <c r="B613" s="1" t="n">
        <v>44615</v>
      </c>
      <c r="C613" s="1" t="n">
        <v>45669</v>
      </c>
      <c r="D613" t="inlineStr">
        <is>
          <t>SKÅNE LÄN</t>
        </is>
      </c>
      <c r="E613" t="inlineStr">
        <is>
          <t>HÄSSLEHOLM</t>
        </is>
      </c>
      <c r="G613" t="n">
        <v>2.1</v>
      </c>
      <c r="H613" t="n">
        <v>0</v>
      </c>
      <c r="I613" t="n">
        <v>0</v>
      </c>
      <c r="J613" t="n">
        <v>0</v>
      </c>
      <c r="K613" t="n">
        <v>0</v>
      </c>
      <c r="L613" t="n">
        <v>0</v>
      </c>
      <c r="M613" t="n">
        <v>0</v>
      </c>
      <c r="N613" t="n">
        <v>0</v>
      </c>
      <c r="O613" t="n">
        <v>0</v>
      </c>
      <c r="P613" t="n">
        <v>0</v>
      </c>
      <c r="Q613" t="n">
        <v>0</v>
      </c>
      <c r="R613" s="2" t="inlineStr"/>
    </row>
    <row r="614" ht="15" customHeight="1">
      <c r="A614" t="inlineStr">
        <is>
          <t>A 9292-2022</t>
        </is>
      </c>
      <c r="B614" s="1" t="n">
        <v>44616</v>
      </c>
      <c r="C614" s="1" t="n">
        <v>45669</v>
      </c>
      <c r="D614" t="inlineStr">
        <is>
          <t>SKÅNE LÄN</t>
        </is>
      </c>
      <c r="E614" t="inlineStr">
        <is>
          <t>HÄSSLEHOLM</t>
        </is>
      </c>
      <c r="G614" t="n">
        <v>1.6</v>
      </c>
      <c r="H614" t="n">
        <v>0</v>
      </c>
      <c r="I614" t="n">
        <v>0</v>
      </c>
      <c r="J614" t="n">
        <v>0</v>
      </c>
      <c r="K614" t="n">
        <v>0</v>
      </c>
      <c r="L614" t="n">
        <v>0</v>
      </c>
      <c r="M614" t="n">
        <v>0</v>
      </c>
      <c r="N614" t="n">
        <v>0</v>
      </c>
      <c r="O614" t="n">
        <v>0</v>
      </c>
      <c r="P614" t="n">
        <v>0</v>
      </c>
      <c r="Q614" t="n">
        <v>0</v>
      </c>
      <c r="R614" s="2" t="inlineStr"/>
    </row>
    <row r="615" ht="15" customHeight="1">
      <c r="A615" t="inlineStr">
        <is>
          <t>A 10968-2022</t>
        </is>
      </c>
      <c r="B615" s="1" t="n">
        <v>44628</v>
      </c>
      <c r="C615" s="1" t="n">
        <v>45669</v>
      </c>
      <c r="D615" t="inlineStr">
        <is>
          <t>SKÅNE LÄN</t>
        </is>
      </c>
      <c r="E615" t="inlineStr">
        <is>
          <t>HÄSSLEHOLM</t>
        </is>
      </c>
      <c r="G615" t="n">
        <v>1.3</v>
      </c>
      <c r="H615" t="n">
        <v>0</v>
      </c>
      <c r="I615" t="n">
        <v>0</v>
      </c>
      <c r="J615" t="n">
        <v>0</v>
      </c>
      <c r="K615" t="n">
        <v>0</v>
      </c>
      <c r="L615" t="n">
        <v>0</v>
      </c>
      <c r="M615" t="n">
        <v>0</v>
      </c>
      <c r="N615" t="n">
        <v>0</v>
      </c>
      <c r="O615" t="n">
        <v>0</v>
      </c>
      <c r="P615" t="n">
        <v>0</v>
      </c>
      <c r="Q615" t="n">
        <v>0</v>
      </c>
      <c r="R615" s="2" t="inlineStr"/>
    </row>
    <row r="616" ht="15" customHeight="1">
      <c r="A616" t="inlineStr">
        <is>
          <t>A 11798-2022</t>
        </is>
      </c>
      <c r="B616" s="1" t="n">
        <v>44634</v>
      </c>
      <c r="C616" s="1" t="n">
        <v>45669</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12036-2022</t>
        </is>
      </c>
      <c r="B617" s="1" t="n">
        <v>44636</v>
      </c>
      <c r="C617" s="1" t="n">
        <v>45669</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12507-2022</t>
        </is>
      </c>
      <c r="B618" s="1" t="n">
        <v>44638</v>
      </c>
      <c r="C618" s="1" t="n">
        <v>45669</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12503-2022</t>
        </is>
      </c>
      <c r="B619" s="1" t="n">
        <v>44638</v>
      </c>
      <c r="C619" s="1" t="n">
        <v>45669</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13410-2022</t>
        </is>
      </c>
      <c r="B620" s="1" t="n">
        <v>44645</v>
      </c>
      <c r="C620" s="1" t="n">
        <v>45669</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13990-2022</t>
        </is>
      </c>
      <c r="B621" s="1" t="n">
        <v>44650</v>
      </c>
      <c r="C621" s="1" t="n">
        <v>45669</v>
      </c>
      <c r="D621" t="inlineStr">
        <is>
          <t>SKÅNE LÄN</t>
        </is>
      </c>
      <c r="E621" t="inlineStr">
        <is>
          <t>HÄSSLEHOLM</t>
        </is>
      </c>
      <c r="G621" t="n">
        <v>3.6</v>
      </c>
      <c r="H621" t="n">
        <v>0</v>
      </c>
      <c r="I621" t="n">
        <v>0</v>
      </c>
      <c r="J621" t="n">
        <v>0</v>
      </c>
      <c r="K621" t="n">
        <v>0</v>
      </c>
      <c r="L621" t="n">
        <v>0</v>
      </c>
      <c r="M621" t="n">
        <v>0</v>
      </c>
      <c r="N621" t="n">
        <v>0</v>
      </c>
      <c r="O621" t="n">
        <v>0</v>
      </c>
      <c r="P621" t="n">
        <v>0</v>
      </c>
      <c r="Q621" t="n">
        <v>0</v>
      </c>
      <c r="R621" s="2" t="inlineStr"/>
    </row>
    <row r="622" ht="15" customHeight="1">
      <c r="A622" t="inlineStr">
        <is>
          <t>A 14402-2022</t>
        </is>
      </c>
      <c r="B622" s="1" t="n">
        <v>44652</v>
      </c>
      <c r="C622" s="1" t="n">
        <v>45669</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15118-2022</t>
        </is>
      </c>
      <c r="B623" s="1" t="n">
        <v>44659</v>
      </c>
      <c r="C623" s="1" t="n">
        <v>45669</v>
      </c>
      <c r="D623" t="inlineStr">
        <is>
          <t>SKÅNE LÄN</t>
        </is>
      </c>
      <c r="E623" t="inlineStr">
        <is>
          <t>HÄSSLEHOLM</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15417-2022</t>
        </is>
      </c>
      <c r="B624" s="1" t="n">
        <v>44659</v>
      </c>
      <c r="C624" s="1" t="n">
        <v>45669</v>
      </c>
      <c r="D624" t="inlineStr">
        <is>
          <t>SKÅNE LÄN</t>
        </is>
      </c>
      <c r="E624" t="inlineStr">
        <is>
          <t>HÄSSLEHOLM</t>
        </is>
      </c>
      <c r="F624" t="inlineStr">
        <is>
          <t>Kyrkan</t>
        </is>
      </c>
      <c r="G624" t="n">
        <v>2.9</v>
      </c>
      <c r="H624" t="n">
        <v>0</v>
      </c>
      <c r="I624" t="n">
        <v>0</v>
      </c>
      <c r="J624" t="n">
        <v>0</v>
      </c>
      <c r="K624" t="n">
        <v>0</v>
      </c>
      <c r="L624" t="n">
        <v>0</v>
      </c>
      <c r="M624" t="n">
        <v>0</v>
      </c>
      <c r="N624" t="n">
        <v>0</v>
      </c>
      <c r="O624" t="n">
        <v>0</v>
      </c>
      <c r="P624" t="n">
        <v>0</v>
      </c>
      <c r="Q624" t="n">
        <v>0</v>
      </c>
      <c r="R624" s="2" t="inlineStr"/>
    </row>
    <row r="625" ht="15" customHeight="1">
      <c r="A625" t="inlineStr">
        <is>
          <t>A 15423-2022</t>
        </is>
      </c>
      <c r="B625" s="1" t="n">
        <v>44659</v>
      </c>
      <c r="C625" s="1" t="n">
        <v>45669</v>
      </c>
      <c r="D625" t="inlineStr">
        <is>
          <t>SKÅNE LÄN</t>
        </is>
      </c>
      <c r="E625" t="inlineStr">
        <is>
          <t>HÄSSLEHOLM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15703-2022</t>
        </is>
      </c>
      <c r="B626" s="1" t="n">
        <v>44663</v>
      </c>
      <c r="C626" s="1" t="n">
        <v>45669</v>
      </c>
      <c r="D626" t="inlineStr">
        <is>
          <t>SKÅNE LÄN</t>
        </is>
      </c>
      <c r="E626" t="inlineStr">
        <is>
          <t>HÄSSLEHOLM</t>
        </is>
      </c>
      <c r="G626" t="n">
        <v>3</v>
      </c>
      <c r="H626" t="n">
        <v>0</v>
      </c>
      <c r="I626" t="n">
        <v>0</v>
      </c>
      <c r="J626" t="n">
        <v>0</v>
      </c>
      <c r="K626" t="n">
        <v>0</v>
      </c>
      <c r="L626" t="n">
        <v>0</v>
      </c>
      <c r="M626" t="n">
        <v>0</v>
      </c>
      <c r="N626" t="n">
        <v>0</v>
      </c>
      <c r="O626" t="n">
        <v>0</v>
      </c>
      <c r="P626" t="n">
        <v>0</v>
      </c>
      <c r="Q626" t="n">
        <v>0</v>
      </c>
      <c r="R626" s="2" t="inlineStr"/>
    </row>
    <row r="627" ht="15" customHeight="1">
      <c r="A627" t="inlineStr">
        <is>
          <t>A 15986-2022</t>
        </is>
      </c>
      <c r="B627" s="1" t="n">
        <v>44664</v>
      </c>
      <c r="C627" s="1" t="n">
        <v>45669</v>
      </c>
      <c r="D627" t="inlineStr">
        <is>
          <t>SKÅNE LÄN</t>
        </is>
      </c>
      <c r="E627" t="inlineStr">
        <is>
          <t>HÄSSLEHOLM</t>
        </is>
      </c>
      <c r="F627" t="inlineStr">
        <is>
          <t>Kyrkan</t>
        </is>
      </c>
      <c r="G627" t="n">
        <v>6</v>
      </c>
      <c r="H627" t="n">
        <v>0</v>
      </c>
      <c r="I627" t="n">
        <v>0</v>
      </c>
      <c r="J627" t="n">
        <v>0</v>
      </c>
      <c r="K627" t="n">
        <v>0</v>
      </c>
      <c r="L627" t="n">
        <v>0</v>
      </c>
      <c r="M627" t="n">
        <v>0</v>
      </c>
      <c r="N627" t="n">
        <v>0</v>
      </c>
      <c r="O627" t="n">
        <v>0</v>
      </c>
      <c r="P627" t="n">
        <v>0</v>
      </c>
      <c r="Q627" t="n">
        <v>0</v>
      </c>
      <c r="R627" s="2" t="inlineStr"/>
    </row>
    <row r="628" ht="15" customHeight="1">
      <c r="A628" t="inlineStr">
        <is>
          <t>A 16397-2022</t>
        </is>
      </c>
      <c r="B628" s="1" t="n">
        <v>44671</v>
      </c>
      <c r="C628" s="1" t="n">
        <v>45669</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16398-2022</t>
        </is>
      </c>
      <c r="B629" s="1" t="n">
        <v>44671</v>
      </c>
      <c r="C629" s="1" t="n">
        <v>45669</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18178-2022</t>
        </is>
      </c>
      <c r="B630" s="1" t="n">
        <v>44684</v>
      </c>
      <c r="C630" s="1" t="n">
        <v>45669</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20657-2022</t>
        </is>
      </c>
      <c r="B631" s="1" t="n">
        <v>44700</v>
      </c>
      <c r="C631" s="1" t="n">
        <v>45669</v>
      </c>
      <c r="D631" t="inlineStr">
        <is>
          <t>SKÅNE LÄN</t>
        </is>
      </c>
      <c r="E631" t="inlineStr">
        <is>
          <t>HÄSSLEHOLM</t>
        </is>
      </c>
      <c r="G631" t="n">
        <v>3.8</v>
      </c>
      <c r="H631" t="n">
        <v>0</v>
      </c>
      <c r="I631" t="n">
        <v>0</v>
      </c>
      <c r="J631" t="n">
        <v>0</v>
      </c>
      <c r="K631" t="n">
        <v>0</v>
      </c>
      <c r="L631" t="n">
        <v>0</v>
      </c>
      <c r="M631" t="n">
        <v>0</v>
      </c>
      <c r="N631" t="n">
        <v>0</v>
      </c>
      <c r="O631" t="n">
        <v>0</v>
      </c>
      <c r="P631" t="n">
        <v>0</v>
      </c>
      <c r="Q631" t="n">
        <v>0</v>
      </c>
      <c r="R631" s="2" t="inlineStr"/>
    </row>
    <row r="632" ht="15" customHeight="1">
      <c r="A632" t="inlineStr">
        <is>
          <t>A 21356-2022</t>
        </is>
      </c>
      <c r="B632" s="1" t="n">
        <v>44705</v>
      </c>
      <c r="C632" s="1" t="n">
        <v>45669</v>
      </c>
      <c r="D632" t="inlineStr">
        <is>
          <t>SKÅNE LÄN</t>
        </is>
      </c>
      <c r="E632" t="inlineStr">
        <is>
          <t>HÄSSLEHOLM</t>
        </is>
      </c>
      <c r="G632" t="n">
        <v>4.8</v>
      </c>
      <c r="H632" t="n">
        <v>0</v>
      </c>
      <c r="I632" t="n">
        <v>0</v>
      </c>
      <c r="J632" t="n">
        <v>0</v>
      </c>
      <c r="K632" t="n">
        <v>0</v>
      </c>
      <c r="L632" t="n">
        <v>0</v>
      </c>
      <c r="M632" t="n">
        <v>0</v>
      </c>
      <c r="N632" t="n">
        <v>0</v>
      </c>
      <c r="O632" t="n">
        <v>0</v>
      </c>
      <c r="P632" t="n">
        <v>0</v>
      </c>
      <c r="Q632" t="n">
        <v>0</v>
      </c>
      <c r="R632" s="2" t="inlineStr"/>
    </row>
    <row r="633" ht="15" customHeight="1">
      <c r="A633" t="inlineStr">
        <is>
          <t>A 21310-2022</t>
        </is>
      </c>
      <c r="B633" s="1" t="n">
        <v>44705</v>
      </c>
      <c r="C633" s="1" t="n">
        <v>45669</v>
      </c>
      <c r="D633" t="inlineStr">
        <is>
          <t>SKÅNE LÄN</t>
        </is>
      </c>
      <c r="E633" t="inlineStr">
        <is>
          <t>HÄSSLEHOLM</t>
        </is>
      </c>
      <c r="G633" t="n">
        <v>1</v>
      </c>
      <c r="H633" t="n">
        <v>0</v>
      </c>
      <c r="I633" t="n">
        <v>0</v>
      </c>
      <c r="J633" t="n">
        <v>0</v>
      </c>
      <c r="K633" t="n">
        <v>0</v>
      </c>
      <c r="L633" t="n">
        <v>0</v>
      </c>
      <c r="M633" t="n">
        <v>0</v>
      </c>
      <c r="N633" t="n">
        <v>0</v>
      </c>
      <c r="O633" t="n">
        <v>0</v>
      </c>
      <c r="P633" t="n">
        <v>0</v>
      </c>
      <c r="Q633" t="n">
        <v>0</v>
      </c>
      <c r="R633" s="2" t="inlineStr"/>
    </row>
    <row r="634" ht="15" customHeight="1">
      <c r="A634" t="inlineStr">
        <is>
          <t>A 21628-2022</t>
        </is>
      </c>
      <c r="B634" s="1" t="n">
        <v>44706</v>
      </c>
      <c r="C634" s="1" t="n">
        <v>45669</v>
      </c>
      <c r="D634" t="inlineStr">
        <is>
          <t>SKÅNE LÄN</t>
        </is>
      </c>
      <c r="E634" t="inlineStr">
        <is>
          <t>HÄSSLEHOLM</t>
        </is>
      </c>
      <c r="G634" t="n">
        <v>3.1</v>
      </c>
      <c r="H634" t="n">
        <v>0</v>
      </c>
      <c r="I634" t="n">
        <v>0</v>
      </c>
      <c r="J634" t="n">
        <v>0</v>
      </c>
      <c r="K634" t="n">
        <v>0</v>
      </c>
      <c r="L634" t="n">
        <v>0</v>
      </c>
      <c r="M634" t="n">
        <v>0</v>
      </c>
      <c r="N634" t="n">
        <v>0</v>
      </c>
      <c r="O634" t="n">
        <v>0</v>
      </c>
      <c r="P634" t="n">
        <v>0</v>
      </c>
      <c r="Q634" t="n">
        <v>0</v>
      </c>
      <c r="R634" s="2" t="inlineStr"/>
    </row>
    <row r="635" ht="15" customHeight="1">
      <c r="A635" t="inlineStr">
        <is>
          <t>A 22693-2022</t>
        </is>
      </c>
      <c r="B635" s="1" t="n">
        <v>44714</v>
      </c>
      <c r="C635" s="1" t="n">
        <v>45669</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22690-2022</t>
        </is>
      </c>
      <c r="B636" s="1" t="n">
        <v>44714</v>
      </c>
      <c r="C636" s="1" t="n">
        <v>45669</v>
      </c>
      <c r="D636" t="inlineStr">
        <is>
          <t>SKÅNE LÄN</t>
        </is>
      </c>
      <c r="E636" t="inlineStr">
        <is>
          <t>HÄSSLEHOLM</t>
        </is>
      </c>
      <c r="G636" t="n">
        <v>1.7</v>
      </c>
      <c r="H636" t="n">
        <v>0</v>
      </c>
      <c r="I636" t="n">
        <v>0</v>
      </c>
      <c r="J636" t="n">
        <v>0</v>
      </c>
      <c r="K636" t="n">
        <v>0</v>
      </c>
      <c r="L636" t="n">
        <v>0</v>
      </c>
      <c r="M636" t="n">
        <v>0</v>
      </c>
      <c r="N636" t="n">
        <v>0</v>
      </c>
      <c r="O636" t="n">
        <v>0</v>
      </c>
      <c r="P636" t="n">
        <v>0</v>
      </c>
      <c r="Q636" t="n">
        <v>0</v>
      </c>
      <c r="R636" s="2" t="inlineStr"/>
    </row>
    <row r="637" ht="15" customHeight="1">
      <c r="A637" t="inlineStr">
        <is>
          <t>A 23069-2022</t>
        </is>
      </c>
      <c r="B637" s="1" t="n">
        <v>44719</v>
      </c>
      <c r="C637" s="1" t="n">
        <v>45669</v>
      </c>
      <c r="D637" t="inlineStr">
        <is>
          <t>SKÅNE LÄN</t>
        </is>
      </c>
      <c r="E637" t="inlineStr">
        <is>
          <t>HÄSSLEHOLM</t>
        </is>
      </c>
      <c r="G637" t="n">
        <v>3.4</v>
      </c>
      <c r="H637" t="n">
        <v>0</v>
      </c>
      <c r="I637" t="n">
        <v>0</v>
      </c>
      <c r="J637" t="n">
        <v>0</v>
      </c>
      <c r="K637" t="n">
        <v>0</v>
      </c>
      <c r="L637" t="n">
        <v>0</v>
      </c>
      <c r="M637" t="n">
        <v>0</v>
      </c>
      <c r="N637" t="n">
        <v>0</v>
      </c>
      <c r="O637" t="n">
        <v>0</v>
      </c>
      <c r="P637" t="n">
        <v>0</v>
      </c>
      <c r="Q637" t="n">
        <v>0</v>
      </c>
      <c r="R637" s="2" t="inlineStr"/>
    </row>
    <row r="638" ht="15" customHeight="1">
      <c r="A638" t="inlineStr">
        <is>
          <t>A 23172-2022</t>
        </is>
      </c>
      <c r="B638" s="1" t="n">
        <v>44719</v>
      </c>
      <c r="C638" s="1" t="n">
        <v>45669</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23173-2022</t>
        </is>
      </c>
      <c r="B639" s="1" t="n">
        <v>44719</v>
      </c>
      <c r="C639" s="1" t="n">
        <v>45669</v>
      </c>
      <c r="D639" t="inlineStr">
        <is>
          <t>SKÅNE LÄN</t>
        </is>
      </c>
      <c r="E639" t="inlineStr">
        <is>
          <t>HÄSSLEHOLM</t>
        </is>
      </c>
      <c r="F639" t="inlineStr">
        <is>
          <t>Övriga Aktiebolag</t>
        </is>
      </c>
      <c r="G639" t="n">
        <v>0.9</v>
      </c>
      <c r="H639" t="n">
        <v>0</v>
      </c>
      <c r="I639" t="n">
        <v>0</v>
      </c>
      <c r="J639" t="n">
        <v>0</v>
      </c>
      <c r="K639" t="n">
        <v>0</v>
      </c>
      <c r="L639" t="n">
        <v>0</v>
      </c>
      <c r="M639" t="n">
        <v>0</v>
      </c>
      <c r="N639" t="n">
        <v>0</v>
      </c>
      <c r="O639" t="n">
        <v>0</v>
      </c>
      <c r="P639" t="n">
        <v>0</v>
      </c>
      <c r="Q639" t="n">
        <v>0</v>
      </c>
      <c r="R639" s="2" t="inlineStr"/>
    </row>
    <row r="640" ht="15" customHeight="1">
      <c r="A640" t="inlineStr">
        <is>
          <t>A 23967-2022</t>
        </is>
      </c>
      <c r="B640" s="1" t="n">
        <v>44722</v>
      </c>
      <c r="C640" s="1" t="n">
        <v>45669</v>
      </c>
      <c r="D640" t="inlineStr">
        <is>
          <t>SKÅNE LÄN</t>
        </is>
      </c>
      <c r="E640" t="inlineStr">
        <is>
          <t>HÄSSLEHOLM</t>
        </is>
      </c>
      <c r="F640" t="inlineStr">
        <is>
          <t>Kyrkan</t>
        </is>
      </c>
      <c r="G640" t="n">
        <v>12.4</v>
      </c>
      <c r="H640" t="n">
        <v>0</v>
      </c>
      <c r="I640" t="n">
        <v>0</v>
      </c>
      <c r="J640" t="n">
        <v>0</v>
      </c>
      <c r="K640" t="n">
        <v>0</v>
      </c>
      <c r="L640" t="n">
        <v>0</v>
      </c>
      <c r="M640" t="n">
        <v>0</v>
      </c>
      <c r="N640" t="n">
        <v>0</v>
      </c>
      <c r="O640" t="n">
        <v>0</v>
      </c>
      <c r="P640" t="n">
        <v>0</v>
      </c>
      <c r="Q640" t="n">
        <v>0</v>
      </c>
      <c r="R640" s="2" t="inlineStr"/>
    </row>
    <row r="641" ht="15" customHeight="1">
      <c r="A641" t="inlineStr">
        <is>
          <t>A 23962-2022</t>
        </is>
      </c>
      <c r="B641" s="1" t="n">
        <v>44722</v>
      </c>
      <c r="C641" s="1" t="n">
        <v>45669</v>
      </c>
      <c r="D641" t="inlineStr">
        <is>
          <t>SKÅNE LÄN</t>
        </is>
      </c>
      <c r="E641" t="inlineStr">
        <is>
          <t>HÄSSLEHOLM</t>
        </is>
      </c>
      <c r="F641" t="inlineStr">
        <is>
          <t>Kyrkan</t>
        </is>
      </c>
      <c r="G641" t="n">
        <v>5.8</v>
      </c>
      <c r="H641" t="n">
        <v>0</v>
      </c>
      <c r="I641" t="n">
        <v>0</v>
      </c>
      <c r="J641" t="n">
        <v>0</v>
      </c>
      <c r="K641" t="n">
        <v>0</v>
      </c>
      <c r="L641" t="n">
        <v>0</v>
      </c>
      <c r="M641" t="n">
        <v>0</v>
      </c>
      <c r="N641" t="n">
        <v>0</v>
      </c>
      <c r="O641" t="n">
        <v>0</v>
      </c>
      <c r="P641" t="n">
        <v>0</v>
      </c>
      <c r="Q641" t="n">
        <v>0</v>
      </c>
      <c r="R641" s="2" t="inlineStr"/>
    </row>
    <row r="642" ht="15" customHeight="1">
      <c r="A642" t="inlineStr">
        <is>
          <t>A 23879-2022</t>
        </is>
      </c>
      <c r="B642" s="1" t="n">
        <v>44722</v>
      </c>
      <c r="C642" s="1" t="n">
        <v>45669</v>
      </c>
      <c r="D642" t="inlineStr">
        <is>
          <t>SKÅNE LÄN</t>
        </is>
      </c>
      <c r="E642" t="inlineStr">
        <is>
          <t>HÄSSLEHOLM</t>
        </is>
      </c>
      <c r="G642" t="n">
        <v>4</v>
      </c>
      <c r="H642" t="n">
        <v>0</v>
      </c>
      <c r="I642" t="n">
        <v>0</v>
      </c>
      <c r="J642" t="n">
        <v>0</v>
      </c>
      <c r="K642" t="n">
        <v>0</v>
      </c>
      <c r="L642" t="n">
        <v>0</v>
      </c>
      <c r="M642" t="n">
        <v>0</v>
      </c>
      <c r="N642" t="n">
        <v>0</v>
      </c>
      <c r="O642" t="n">
        <v>0</v>
      </c>
      <c r="P642" t="n">
        <v>0</v>
      </c>
      <c r="Q642" t="n">
        <v>0</v>
      </c>
      <c r="R642" s="2" t="inlineStr"/>
    </row>
    <row r="643" ht="15" customHeight="1">
      <c r="A643" t="inlineStr">
        <is>
          <t>A 24896-2022</t>
        </is>
      </c>
      <c r="B643" s="1" t="n">
        <v>44728</v>
      </c>
      <c r="C643" s="1" t="n">
        <v>45669</v>
      </c>
      <c r="D643" t="inlineStr">
        <is>
          <t>SKÅNE LÄN</t>
        </is>
      </c>
      <c r="E643" t="inlineStr">
        <is>
          <t>HÄSSLEHOLM</t>
        </is>
      </c>
      <c r="G643" t="n">
        <v>5</v>
      </c>
      <c r="H643" t="n">
        <v>0</v>
      </c>
      <c r="I643" t="n">
        <v>0</v>
      </c>
      <c r="J643" t="n">
        <v>0</v>
      </c>
      <c r="K643" t="n">
        <v>0</v>
      </c>
      <c r="L643" t="n">
        <v>0</v>
      </c>
      <c r="M643" t="n">
        <v>0</v>
      </c>
      <c r="N643" t="n">
        <v>0</v>
      </c>
      <c r="O643" t="n">
        <v>0</v>
      </c>
      <c r="P643" t="n">
        <v>0</v>
      </c>
      <c r="Q643" t="n">
        <v>0</v>
      </c>
      <c r="R643" s="2" t="inlineStr"/>
    </row>
    <row r="644" ht="15" customHeight="1">
      <c r="A644" t="inlineStr">
        <is>
          <t>A 24906-2022</t>
        </is>
      </c>
      <c r="B644" s="1" t="n">
        <v>44728</v>
      </c>
      <c r="C644" s="1" t="n">
        <v>45669</v>
      </c>
      <c r="D644" t="inlineStr">
        <is>
          <t>SKÅNE LÄN</t>
        </is>
      </c>
      <c r="E644" t="inlineStr">
        <is>
          <t>HÄSSLEHOLM</t>
        </is>
      </c>
      <c r="G644" t="n">
        <v>0.9</v>
      </c>
      <c r="H644" t="n">
        <v>0</v>
      </c>
      <c r="I644" t="n">
        <v>0</v>
      </c>
      <c r="J644" t="n">
        <v>0</v>
      </c>
      <c r="K644" t="n">
        <v>0</v>
      </c>
      <c r="L644" t="n">
        <v>0</v>
      </c>
      <c r="M644" t="n">
        <v>0</v>
      </c>
      <c r="N644" t="n">
        <v>0</v>
      </c>
      <c r="O644" t="n">
        <v>0</v>
      </c>
      <c r="P644" t="n">
        <v>0</v>
      </c>
      <c r="Q644" t="n">
        <v>0</v>
      </c>
      <c r="R644" s="2" t="inlineStr"/>
    </row>
    <row r="645" ht="15" customHeight="1">
      <c r="A645" t="inlineStr">
        <is>
          <t>A 25046-2022</t>
        </is>
      </c>
      <c r="B645" s="1" t="n">
        <v>44728</v>
      </c>
      <c r="C645" s="1" t="n">
        <v>45669</v>
      </c>
      <c r="D645" t="inlineStr">
        <is>
          <t>SKÅNE LÄN</t>
        </is>
      </c>
      <c r="E645" t="inlineStr">
        <is>
          <t>HÄSSLEHOLM</t>
        </is>
      </c>
      <c r="G645" t="n">
        <v>3.4</v>
      </c>
      <c r="H645" t="n">
        <v>0</v>
      </c>
      <c r="I645" t="n">
        <v>0</v>
      </c>
      <c r="J645" t="n">
        <v>0</v>
      </c>
      <c r="K645" t="n">
        <v>0</v>
      </c>
      <c r="L645" t="n">
        <v>0</v>
      </c>
      <c r="M645" t="n">
        <v>0</v>
      </c>
      <c r="N645" t="n">
        <v>0</v>
      </c>
      <c r="O645" t="n">
        <v>0</v>
      </c>
      <c r="P645" t="n">
        <v>0</v>
      </c>
      <c r="Q645" t="n">
        <v>0</v>
      </c>
      <c r="R645" s="2" t="inlineStr"/>
    </row>
    <row r="646" ht="15" customHeight="1">
      <c r="A646" t="inlineStr">
        <is>
          <t>A 25165-2022</t>
        </is>
      </c>
      <c r="B646" s="1" t="n">
        <v>44729</v>
      </c>
      <c r="C646" s="1" t="n">
        <v>45669</v>
      </c>
      <c r="D646" t="inlineStr">
        <is>
          <t>SKÅNE LÄN</t>
        </is>
      </c>
      <c r="E646" t="inlineStr">
        <is>
          <t>HÄSSLEHOLM</t>
        </is>
      </c>
      <c r="G646" t="n">
        <v>2.7</v>
      </c>
      <c r="H646" t="n">
        <v>0</v>
      </c>
      <c r="I646" t="n">
        <v>0</v>
      </c>
      <c r="J646" t="n">
        <v>0</v>
      </c>
      <c r="K646" t="n">
        <v>0</v>
      </c>
      <c r="L646" t="n">
        <v>0</v>
      </c>
      <c r="M646" t="n">
        <v>0</v>
      </c>
      <c r="N646" t="n">
        <v>0</v>
      </c>
      <c r="O646" t="n">
        <v>0</v>
      </c>
      <c r="P646" t="n">
        <v>0</v>
      </c>
      <c r="Q646" t="n">
        <v>0</v>
      </c>
      <c r="R646" s="2" t="inlineStr"/>
    </row>
    <row r="647" ht="15" customHeight="1">
      <c r="A647" t="inlineStr">
        <is>
          <t>A 25464-2022</t>
        </is>
      </c>
      <c r="B647" s="1" t="n">
        <v>44729</v>
      </c>
      <c r="C647" s="1" t="n">
        <v>45669</v>
      </c>
      <c r="D647" t="inlineStr">
        <is>
          <t>SKÅNE LÄN</t>
        </is>
      </c>
      <c r="E647" t="inlineStr">
        <is>
          <t>HÄSSLEHOLM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25469-2022</t>
        </is>
      </c>
      <c r="B648" s="1" t="n">
        <v>44732</v>
      </c>
      <c r="C648" s="1" t="n">
        <v>45669</v>
      </c>
      <c r="D648" t="inlineStr">
        <is>
          <t>SKÅNE LÄN</t>
        </is>
      </c>
      <c r="E648" t="inlineStr">
        <is>
          <t>HÄSSLEHOLM</t>
        </is>
      </c>
      <c r="G648" t="n">
        <v>4.2</v>
      </c>
      <c r="H648" t="n">
        <v>0</v>
      </c>
      <c r="I648" t="n">
        <v>0</v>
      </c>
      <c r="J648" t="n">
        <v>0</v>
      </c>
      <c r="K648" t="n">
        <v>0</v>
      </c>
      <c r="L648" t="n">
        <v>0</v>
      </c>
      <c r="M648" t="n">
        <v>0</v>
      </c>
      <c r="N648" t="n">
        <v>0</v>
      </c>
      <c r="O648" t="n">
        <v>0</v>
      </c>
      <c r="P648" t="n">
        <v>0</v>
      </c>
      <c r="Q648" t="n">
        <v>0</v>
      </c>
      <c r="R648" s="2" t="inlineStr"/>
    </row>
    <row r="649" ht="15" customHeight="1">
      <c r="A649" t="inlineStr">
        <is>
          <t>A 25955-2022</t>
        </is>
      </c>
      <c r="B649" s="1" t="n">
        <v>44734</v>
      </c>
      <c r="C649" s="1" t="n">
        <v>45669</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26012-2022</t>
        </is>
      </c>
      <c r="B650" s="1" t="n">
        <v>44734</v>
      </c>
      <c r="C650" s="1" t="n">
        <v>45669</v>
      </c>
      <c r="D650" t="inlineStr">
        <is>
          <t>SKÅNE LÄN</t>
        </is>
      </c>
      <c r="E650" t="inlineStr">
        <is>
          <t>HÄSSLEHOLM</t>
        </is>
      </c>
      <c r="G650" t="n">
        <v>1.7</v>
      </c>
      <c r="H650" t="n">
        <v>0</v>
      </c>
      <c r="I650" t="n">
        <v>0</v>
      </c>
      <c r="J650" t="n">
        <v>0</v>
      </c>
      <c r="K650" t="n">
        <v>0</v>
      </c>
      <c r="L650" t="n">
        <v>0</v>
      </c>
      <c r="M650" t="n">
        <v>0</v>
      </c>
      <c r="N650" t="n">
        <v>0</v>
      </c>
      <c r="O650" t="n">
        <v>0</v>
      </c>
      <c r="P650" t="n">
        <v>0</v>
      </c>
      <c r="Q650" t="n">
        <v>0</v>
      </c>
      <c r="R650" s="2" t="inlineStr"/>
    </row>
    <row r="651" ht="15" customHeight="1">
      <c r="A651" t="inlineStr">
        <is>
          <t>A 26386-2022</t>
        </is>
      </c>
      <c r="B651" s="1" t="n">
        <v>44735</v>
      </c>
      <c r="C651" s="1" t="n">
        <v>45669</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26387-2022</t>
        </is>
      </c>
      <c r="B652" s="1" t="n">
        <v>44735</v>
      </c>
      <c r="C652" s="1" t="n">
        <v>45669</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26536-2022</t>
        </is>
      </c>
      <c r="B653" s="1" t="n">
        <v>44739</v>
      </c>
      <c r="C653" s="1" t="n">
        <v>45669</v>
      </c>
      <c r="D653" t="inlineStr">
        <is>
          <t>SKÅNE LÄN</t>
        </is>
      </c>
      <c r="E653" t="inlineStr">
        <is>
          <t>HÄSSLEHOLM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27242-2022</t>
        </is>
      </c>
      <c r="B654" s="1" t="n">
        <v>44741</v>
      </c>
      <c r="C654" s="1" t="n">
        <v>45669</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27244-2022</t>
        </is>
      </c>
      <c r="B655" s="1" t="n">
        <v>44741</v>
      </c>
      <c r="C655" s="1" t="n">
        <v>45669</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27452-2022</t>
        </is>
      </c>
      <c r="B656" s="1" t="n">
        <v>44742</v>
      </c>
      <c r="C656" s="1" t="n">
        <v>45669</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27464-2022</t>
        </is>
      </c>
      <c r="B657" s="1" t="n">
        <v>44742</v>
      </c>
      <c r="C657" s="1" t="n">
        <v>45669</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27954-2022</t>
        </is>
      </c>
      <c r="B658" s="1" t="n">
        <v>44743</v>
      </c>
      <c r="C658" s="1" t="n">
        <v>45669</v>
      </c>
      <c r="D658" t="inlineStr">
        <is>
          <t>SKÅNE LÄN</t>
        </is>
      </c>
      <c r="E658" t="inlineStr">
        <is>
          <t>HÄSSLEHOLM</t>
        </is>
      </c>
      <c r="G658" t="n">
        <v>9.4</v>
      </c>
      <c r="H658" t="n">
        <v>0</v>
      </c>
      <c r="I658" t="n">
        <v>0</v>
      </c>
      <c r="J658" t="n">
        <v>0</v>
      </c>
      <c r="K658" t="n">
        <v>0</v>
      </c>
      <c r="L658" t="n">
        <v>0</v>
      </c>
      <c r="M658" t="n">
        <v>0</v>
      </c>
      <c r="N658" t="n">
        <v>0</v>
      </c>
      <c r="O658" t="n">
        <v>0</v>
      </c>
      <c r="P658" t="n">
        <v>0</v>
      </c>
      <c r="Q658" t="n">
        <v>0</v>
      </c>
      <c r="R658" s="2" t="inlineStr"/>
    </row>
    <row r="659" ht="15" customHeight="1">
      <c r="A659" t="inlineStr">
        <is>
          <t>A 27959-2022</t>
        </is>
      </c>
      <c r="B659" s="1" t="n">
        <v>44744</v>
      </c>
      <c r="C659" s="1" t="n">
        <v>45669</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28236-2022</t>
        </is>
      </c>
      <c r="B660" s="1" t="n">
        <v>44746</v>
      </c>
      <c r="C660" s="1" t="n">
        <v>45669</v>
      </c>
      <c r="D660" t="inlineStr">
        <is>
          <t>SKÅNE LÄN</t>
        </is>
      </c>
      <c r="E660" t="inlineStr">
        <is>
          <t>HÄSSLEHOLM</t>
        </is>
      </c>
      <c r="G660" t="n">
        <v>3.5</v>
      </c>
      <c r="H660" t="n">
        <v>0</v>
      </c>
      <c r="I660" t="n">
        <v>0</v>
      </c>
      <c r="J660" t="n">
        <v>0</v>
      </c>
      <c r="K660" t="n">
        <v>0</v>
      </c>
      <c r="L660" t="n">
        <v>0</v>
      </c>
      <c r="M660" t="n">
        <v>0</v>
      </c>
      <c r="N660" t="n">
        <v>0</v>
      </c>
      <c r="O660" t="n">
        <v>0</v>
      </c>
      <c r="P660" t="n">
        <v>0</v>
      </c>
      <c r="Q660" t="n">
        <v>0</v>
      </c>
      <c r="R660" s="2" t="inlineStr"/>
    </row>
    <row r="661" ht="15" customHeight="1">
      <c r="A661" t="inlineStr">
        <is>
          <t>A 28221-2022</t>
        </is>
      </c>
      <c r="B661" s="1" t="n">
        <v>44746</v>
      </c>
      <c r="C661" s="1" t="n">
        <v>45669</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28211-2022</t>
        </is>
      </c>
      <c r="B662" s="1" t="n">
        <v>44746</v>
      </c>
      <c r="C662" s="1" t="n">
        <v>45669</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28218-2022</t>
        </is>
      </c>
      <c r="B663" s="1" t="n">
        <v>44746</v>
      </c>
      <c r="C663" s="1" t="n">
        <v>45669</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29700-2022</t>
        </is>
      </c>
      <c r="B664" s="1" t="n">
        <v>44755</v>
      </c>
      <c r="C664" s="1" t="n">
        <v>45669</v>
      </c>
      <c r="D664" t="inlineStr">
        <is>
          <t>SKÅNE LÄN</t>
        </is>
      </c>
      <c r="E664" t="inlineStr">
        <is>
          <t>HÄSSLEHOLM</t>
        </is>
      </c>
      <c r="G664" t="n">
        <v>6.6</v>
      </c>
      <c r="H664" t="n">
        <v>0</v>
      </c>
      <c r="I664" t="n">
        <v>0</v>
      </c>
      <c r="J664" t="n">
        <v>0</v>
      </c>
      <c r="K664" t="n">
        <v>0</v>
      </c>
      <c r="L664" t="n">
        <v>0</v>
      </c>
      <c r="M664" t="n">
        <v>0</v>
      </c>
      <c r="N664" t="n">
        <v>0</v>
      </c>
      <c r="O664" t="n">
        <v>0</v>
      </c>
      <c r="P664" t="n">
        <v>0</v>
      </c>
      <c r="Q664" t="n">
        <v>0</v>
      </c>
      <c r="R664" s="2" t="inlineStr"/>
    </row>
    <row r="665" ht="15" customHeight="1">
      <c r="A665" t="inlineStr">
        <is>
          <t>A 30344-2022</t>
        </is>
      </c>
      <c r="B665" s="1" t="n">
        <v>44760</v>
      </c>
      <c r="C665" s="1" t="n">
        <v>45669</v>
      </c>
      <c r="D665" t="inlineStr">
        <is>
          <t>SKÅNE LÄN</t>
        </is>
      </c>
      <c r="E665" t="inlineStr">
        <is>
          <t>HÄSSLEHOLM</t>
        </is>
      </c>
      <c r="G665" t="n">
        <v>0.6</v>
      </c>
      <c r="H665" t="n">
        <v>0</v>
      </c>
      <c r="I665" t="n">
        <v>0</v>
      </c>
      <c r="J665" t="n">
        <v>0</v>
      </c>
      <c r="K665" t="n">
        <v>0</v>
      </c>
      <c r="L665" t="n">
        <v>0</v>
      </c>
      <c r="M665" t="n">
        <v>0</v>
      </c>
      <c r="N665" t="n">
        <v>0</v>
      </c>
      <c r="O665" t="n">
        <v>0</v>
      </c>
      <c r="P665" t="n">
        <v>0</v>
      </c>
      <c r="Q665" t="n">
        <v>0</v>
      </c>
      <c r="R665" s="2" t="inlineStr"/>
    </row>
    <row r="666" ht="15" customHeight="1">
      <c r="A666" t="inlineStr">
        <is>
          <t>A 31557-2022</t>
        </is>
      </c>
      <c r="B666" s="1" t="n">
        <v>44775</v>
      </c>
      <c r="C666" s="1" t="n">
        <v>45669</v>
      </c>
      <c r="D666" t="inlineStr">
        <is>
          <t>SKÅNE LÄN</t>
        </is>
      </c>
      <c r="E666" t="inlineStr">
        <is>
          <t>HÄSSLEHOLM</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31572-2022</t>
        </is>
      </c>
      <c r="B667" s="1" t="n">
        <v>44775</v>
      </c>
      <c r="C667" s="1" t="n">
        <v>45669</v>
      </c>
      <c r="D667" t="inlineStr">
        <is>
          <t>SKÅNE LÄN</t>
        </is>
      </c>
      <c r="E667" t="inlineStr">
        <is>
          <t>HÄSSLEHOLM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32669-2022</t>
        </is>
      </c>
      <c r="B668" s="1" t="n">
        <v>44783</v>
      </c>
      <c r="C668" s="1" t="n">
        <v>45669</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33299-2022</t>
        </is>
      </c>
      <c r="B669" s="1" t="n">
        <v>44788</v>
      </c>
      <c r="C669" s="1" t="n">
        <v>45669</v>
      </c>
      <c r="D669" t="inlineStr">
        <is>
          <t>SKÅNE LÄN</t>
        </is>
      </c>
      <c r="E669" t="inlineStr">
        <is>
          <t>HÄSSLEHOLM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34348-2022</t>
        </is>
      </c>
      <c r="B670" s="1" t="n">
        <v>44792</v>
      </c>
      <c r="C670" s="1" t="n">
        <v>45669</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34982-2022</t>
        </is>
      </c>
      <c r="B671" s="1" t="n">
        <v>44796</v>
      </c>
      <c r="C671" s="1" t="n">
        <v>45669</v>
      </c>
      <c r="D671" t="inlineStr">
        <is>
          <t>SKÅNE LÄN</t>
        </is>
      </c>
      <c r="E671" t="inlineStr">
        <is>
          <t>HÄSSLEHOLM</t>
        </is>
      </c>
      <c r="F671" t="inlineStr">
        <is>
          <t>Kyrkan</t>
        </is>
      </c>
      <c r="G671" t="n">
        <v>3.4</v>
      </c>
      <c r="H671" t="n">
        <v>0</v>
      </c>
      <c r="I671" t="n">
        <v>0</v>
      </c>
      <c r="J671" t="n">
        <v>0</v>
      </c>
      <c r="K671" t="n">
        <v>0</v>
      </c>
      <c r="L671" t="n">
        <v>0</v>
      </c>
      <c r="M671" t="n">
        <v>0</v>
      </c>
      <c r="N671" t="n">
        <v>0</v>
      </c>
      <c r="O671" t="n">
        <v>0</v>
      </c>
      <c r="P671" t="n">
        <v>0</v>
      </c>
      <c r="Q671" t="n">
        <v>0</v>
      </c>
      <c r="R671" s="2" t="inlineStr"/>
    </row>
    <row r="672" ht="15" customHeight="1">
      <c r="A672" t="inlineStr">
        <is>
          <t>A 35099-2022</t>
        </is>
      </c>
      <c r="B672" s="1" t="n">
        <v>44797</v>
      </c>
      <c r="C672" s="1" t="n">
        <v>45669</v>
      </c>
      <c r="D672" t="inlineStr">
        <is>
          <t>SKÅNE LÄN</t>
        </is>
      </c>
      <c r="E672" t="inlineStr">
        <is>
          <t>HÄSSLEHOLM</t>
        </is>
      </c>
      <c r="G672" t="n">
        <v>4.1</v>
      </c>
      <c r="H672" t="n">
        <v>0</v>
      </c>
      <c r="I672" t="n">
        <v>0</v>
      </c>
      <c r="J672" t="n">
        <v>0</v>
      </c>
      <c r="K672" t="n">
        <v>0</v>
      </c>
      <c r="L672" t="n">
        <v>0</v>
      </c>
      <c r="M672" t="n">
        <v>0</v>
      </c>
      <c r="N672" t="n">
        <v>0</v>
      </c>
      <c r="O672" t="n">
        <v>0</v>
      </c>
      <c r="P672" t="n">
        <v>0</v>
      </c>
      <c r="Q672" t="n">
        <v>0</v>
      </c>
      <c r="R672" s="2" t="inlineStr"/>
    </row>
    <row r="673" ht="15" customHeight="1">
      <c r="A673" t="inlineStr">
        <is>
          <t>A 35727-2022</t>
        </is>
      </c>
      <c r="B673" s="1" t="n">
        <v>44799</v>
      </c>
      <c r="C673" s="1" t="n">
        <v>45669</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35845-2022</t>
        </is>
      </c>
      <c r="B674" s="1" t="n">
        <v>44802</v>
      </c>
      <c r="C674" s="1" t="n">
        <v>45669</v>
      </c>
      <c r="D674" t="inlineStr">
        <is>
          <t>SKÅNE LÄN</t>
        </is>
      </c>
      <c r="E674" t="inlineStr">
        <is>
          <t>HÄSSLEHOLM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35842-2022</t>
        </is>
      </c>
      <c r="B675" s="1" t="n">
        <v>44802</v>
      </c>
      <c r="C675" s="1" t="n">
        <v>45669</v>
      </c>
      <c r="D675" t="inlineStr">
        <is>
          <t>SKÅNE LÄN</t>
        </is>
      </c>
      <c r="E675" t="inlineStr">
        <is>
          <t>HÄSSLEHOLM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35974-2022</t>
        </is>
      </c>
      <c r="B676" s="1" t="n">
        <v>44802</v>
      </c>
      <c r="C676" s="1" t="n">
        <v>45669</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36706-2022</t>
        </is>
      </c>
      <c r="B677" s="1" t="n">
        <v>44805</v>
      </c>
      <c r="C677" s="1" t="n">
        <v>45669</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37098-2022</t>
        </is>
      </c>
      <c r="B678" s="1" t="n">
        <v>44806</v>
      </c>
      <c r="C678" s="1" t="n">
        <v>45669</v>
      </c>
      <c r="D678" t="inlineStr">
        <is>
          <t>SKÅNE LÄN</t>
        </is>
      </c>
      <c r="E678" t="inlineStr">
        <is>
          <t>HÄSSLEHOLM</t>
        </is>
      </c>
      <c r="G678" t="n">
        <v>1.9</v>
      </c>
      <c r="H678" t="n">
        <v>0</v>
      </c>
      <c r="I678" t="n">
        <v>0</v>
      </c>
      <c r="J678" t="n">
        <v>0</v>
      </c>
      <c r="K678" t="n">
        <v>0</v>
      </c>
      <c r="L678" t="n">
        <v>0</v>
      </c>
      <c r="M678" t="n">
        <v>0</v>
      </c>
      <c r="N678" t="n">
        <v>0</v>
      </c>
      <c r="O678" t="n">
        <v>0</v>
      </c>
      <c r="P678" t="n">
        <v>0</v>
      </c>
      <c r="Q678" t="n">
        <v>0</v>
      </c>
      <c r="R678" s="2" t="inlineStr"/>
    </row>
    <row r="679" ht="15" customHeight="1">
      <c r="A679" t="inlineStr">
        <is>
          <t>A 37162-2022</t>
        </is>
      </c>
      <c r="B679" s="1" t="n">
        <v>44806</v>
      </c>
      <c r="C679" s="1" t="n">
        <v>45669</v>
      </c>
      <c r="D679" t="inlineStr">
        <is>
          <t>SKÅNE LÄN</t>
        </is>
      </c>
      <c r="E679" t="inlineStr">
        <is>
          <t>HÄSSLEHOLM</t>
        </is>
      </c>
      <c r="G679" t="n">
        <v>1</v>
      </c>
      <c r="H679" t="n">
        <v>0</v>
      </c>
      <c r="I679" t="n">
        <v>0</v>
      </c>
      <c r="J679" t="n">
        <v>0</v>
      </c>
      <c r="K679" t="n">
        <v>0</v>
      </c>
      <c r="L679" t="n">
        <v>0</v>
      </c>
      <c r="M679" t="n">
        <v>0</v>
      </c>
      <c r="N679" t="n">
        <v>0</v>
      </c>
      <c r="O679" t="n">
        <v>0</v>
      </c>
      <c r="P679" t="n">
        <v>0</v>
      </c>
      <c r="Q679" t="n">
        <v>0</v>
      </c>
      <c r="R679" s="2" t="inlineStr"/>
    </row>
    <row r="680" ht="15" customHeight="1">
      <c r="A680" t="inlineStr">
        <is>
          <t>A 37170-2022</t>
        </is>
      </c>
      <c r="B680" s="1" t="n">
        <v>44806</v>
      </c>
      <c r="C680" s="1" t="n">
        <v>45669</v>
      </c>
      <c r="D680" t="inlineStr">
        <is>
          <t>SKÅNE LÄN</t>
        </is>
      </c>
      <c r="E680" t="inlineStr">
        <is>
          <t>HÄSSLEHOLM</t>
        </is>
      </c>
      <c r="F680" t="inlineStr">
        <is>
          <t>Kyrkan</t>
        </is>
      </c>
      <c r="G680" t="n">
        <v>4.5</v>
      </c>
      <c r="H680" t="n">
        <v>0</v>
      </c>
      <c r="I680" t="n">
        <v>0</v>
      </c>
      <c r="J680" t="n">
        <v>0</v>
      </c>
      <c r="K680" t="n">
        <v>0</v>
      </c>
      <c r="L680" t="n">
        <v>0</v>
      </c>
      <c r="M680" t="n">
        <v>0</v>
      </c>
      <c r="N680" t="n">
        <v>0</v>
      </c>
      <c r="O680" t="n">
        <v>0</v>
      </c>
      <c r="P680" t="n">
        <v>0</v>
      </c>
      <c r="Q680" t="n">
        <v>0</v>
      </c>
      <c r="R680" s="2" t="inlineStr"/>
    </row>
    <row r="681" ht="15" customHeight="1">
      <c r="A681" t="inlineStr">
        <is>
          <t>A 37181-2022</t>
        </is>
      </c>
      <c r="B681" s="1" t="n">
        <v>44806</v>
      </c>
      <c r="C681" s="1" t="n">
        <v>45669</v>
      </c>
      <c r="D681" t="inlineStr">
        <is>
          <t>SKÅNE LÄN</t>
        </is>
      </c>
      <c r="E681" t="inlineStr">
        <is>
          <t>HÄSSLEHOLM</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37457-2022</t>
        </is>
      </c>
      <c r="B682" s="1" t="n">
        <v>44809</v>
      </c>
      <c r="C682" s="1" t="n">
        <v>45669</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37764-2022</t>
        </is>
      </c>
      <c r="B683" s="1" t="n">
        <v>44810</v>
      </c>
      <c r="C683" s="1" t="n">
        <v>45669</v>
      </c>
      <c r="D683" t="inlineStr">
        <is>
          <t>SKÅNE LÄN</t>
        </is>
      </c>
      <c r="E683" t="inlineStr">
        <is>
          <t>HÄSSLEHOLM</t>
        </is>
      </c>
      <c r="F683" t="inlineStr">
        <is>
          <t>Kyrkan</t>
        </is>
      </c>
      <c r="G683" t="n">
        <v>9.4</v>
      </c>
      <c r="H683" t="n">
        <v>0</v>
      </c>
      <c r="I683" t="n">
        <v>0</v>
      </c>
      <c r="J683" t="n">
        <v>0</v>
      </c>
      <c r="K683" t="n">
        <v>0</v>
      </c>
      <c r="L683" t="n">
        <v>0</v>
      </c>
      <c r="M683" t="n">
        <v>0</v>
      </c>
      <c r="N683" t="n">
        <v>0</v>
      </c>
      <c r="O683" t="n">
        <v>0</v>
      </c>
      <c r="P683" t="n">
        <v>0</v>
      </c>
      <c r="Q683" t="n">
        <v>0</v>
      </c>
      <c r="R683" s="2" t="inlineStr"/>
    </row>
    <row r="684" ht="15" customHeight="1">
      <c r="A684" t="inlineStr">
        <is>
          <t>A 38148-2022</t>
        </is>
      </c>
      <c r="B684" s="1" t="n">
        <v>44811</v>
      </c>
      <c r="C684" s="1" t="n">
        <v>45669</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38133-2022</t>
        </is>
      </c>
      <c r="B685" s="1" t="n">
        <v>44811</v>
      </c>
      <c r="C685" s="1" t="n">
        <v>45669</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38306-2022</t>
        </is>
      </c>
      <c r="B686" s="1" t="n">
        <v>44812</v>
      </c>
      <c r="C686" s="1" t="n">
        <v>45669</v>
      </c>
      <c r="D686" t="inlineStr">
        <is>
          <t>SKÅNE LÄN</t>
        </is>
      </c>
      <c r="E686" t="inlineStr">
        <is>
          <t>HÄSSLEHOLM</t>
        </is>
      </c>
      <c r="G686" t="n">
        <v>2.2</v>
      </c>
      <c r="H686" t="n">
        <v>0</v>
      </c>
      <c r="I686" t="n">
        <v>0</v>
      </c>
      <c r="J686" t="n">
        <v>0</v>
      </c>
      <c r="K686" t="n">
        <v>0</v>
      </c>
      <c r="L686" t="n">
        <v>0</v>
      </c>
      <c r="M686" t="n">
        <v>0</v>
      </c>
      <c r="N686" t="n">
        <v>0</v>
      </c>
      <c r="O686" t="n">
        <v>0</v>
      </c>
      <c r="P686" t="n">
        <v>0</v>
      </c>
      <c r="Q686" t="n">
        <v>0</v>
      </c>
      <c r="R686" s="2" t="inlineStr"/>
    </row>
    <row r="687" ht="15" customHeight="1">
      <c r="A687" t="inlineStr">
        <is>
          <t>A 38376-2022</t>
        </is>
      </c>
      <c r="B687" s="1" t="n">
        <v>44812</v>
      </c>
      <c r="C687" s="1" t="n">
        <v>45669</v>
      </c>
      <c r="D687" t="inlineStr">
        <is>
          <t>SKÅNE LÄN</t>
        </is>
      </c>
      <c r="E687" t="inlineStr">
        <is>
          <t>HÄSSLEHOLM</t>
        </is>
      </c>
      <c r="G687" t="n">
        <v>1.9</v>
      </c>
      <c r="H687" t="n">
        <v>0</v>
      </c>
      <c r="I687" t="n">
        <v>0</v>
      </c>
      <c r="J687" t="n">
        <v>0</v>
      </c>
      <c r="K687" t="n">
        <v>0</v>
      </c>
      <c r="L687" t="n">
        <v>0</v>
      </c>
      <c r="M687" t="n">
        <v>0</v>
      </c>
      <c r="N687" t="n">
        <v>0</v>
      </c>
      <c r="O687" t="n">
        <v>0</v>
      </c>
      <c r="P687" t="n">
        <v>0</v>
      </c>
      <c r="Q687" t="n">
        <v>0</v>
      </c>
      <c r="R687" s="2" t="inlineStr"/>
    </row>
    <row r="688" ht="15" customHeight="1">
      <c r="A688" t="inlineStr">
        <is>
          <t>A 38463-2022</t>
        </is>
      </c>
      <c r="B688" s="1" t="n">
        <v>44813</v>
      </c>
      <c r="C688" s="1" t="n">
        <v>45669</v>
      </c>
      <c r="D688" t="inlineStr">
        <is>
          <t>SKÅNE LÄN</t>
        </is>
      </c>
      <c r="E688" t="inlineStr">
        <is>
          <t>HÄSSLEHOLM</t>
        </is>
      </c>
      <c r="G688" t="n">
        <v>5.8</v>
      </c>
      <c r="H688" t="n">
        <v>0</v>
      </c>
      <c r="I688" t="n">
        <v>0</v>
      </c>
      <c r="J688" t="n">
        <v>0</v>
      </c>
      <c r="K688" t="n">
        <v>0</v>
      </c>
      <c r="L688" t="n">
        <v>0</v>
      </c>
      <c r="M688" t="n">
        <v>0</v>
      </c>
      <c r="N688" t="n">
        <v>0</v>
      </c>
      <c r="O688" t="n">
        <v>0</v>
      </c>
      <c r="P688" t="n">
        <v>0</v>
      </c>
      <c r="Q688" t="n">
        <v>0</v>
      </c>
      <c r="R688" s="2" t="inlineStr"/>
    </row>
    <row r="689" ht="15" customHeight="1">
      <c r="A689" t="inlineStr">
        <is>
          <t>A 39102-2022</t>
        </is>
      </c>
      <c r="B689" s="1" t="n">
        <v>44817</v>
      </c>
      <c r="C689" s="1" t="n">
        <v>45669</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40202-2022</t>
        </is>
      </c>
      <c r="B690" s="1" t="n">
        <v>44820</v>
      </c>
      <c r="C690" s="1" t="n">
        <v>45669</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40199-2022</t>
        </is>
      </c>
      <c r="B691" s="1" t="n">
        <v>44820</v>
      </c>
      <c r="C691" s="1" t="n">
        <v>45669</v>
      </c>
      <c r="D691" t="inlineStr">
        <is>
          <t>SKÅNE LÄN</t>
        </is>
      </c>
      <c r="E691" t="inlineStr">
        <is>
          <t>HÄSSLEHOLM</t>
        </is>
      </c>
      <c r="G691" t="n">
        <v>2.2</v>
      </c>
      <c r="H691" t="n">
        <v>0</v>
      </c>
      <c r="I691" t="n">
        <v>0</v>
      </c>
      <c r="J691" t="n">
        <v>0</v>
      </c>
      <c r="K691" t="n">
        <v>0</v>
      </c>
      <c r="L691" t="n">
        <v>0</v>
      </c>
      <c r="M691" t="n">
        <v>0</v>
      </c>
      <c r="N691" t="n">
        <v>0</v>
      </c>
      <c r="O691" t="n">
        <v>0</v>
      </c>
      <c r="P691" t="n">
        <v>0</v>
      </c>
      <c r="Q691" t="n">
        <v>0</v>
      </c>
      <c r="R691" s="2" t="inlineStr"/>
    </row>
    <row r="692" ht="15" customHeight="1">
      <c r="A692" t="inlineStr">
        <is>
          <t>A 40764-2022</t>
        </is>
      </c>
      <c r="B692" s="1" t="n">
        <v>44820</v>
      </c>
      <c r="C692" s="1" t="n">
        <v>45669</v>
      </c>
      <c r="D692" t="inlineStr">
        <is>
          <t>SKÅNE LÄN</t>
        </is>
      </c>
      <c r="E692" t="inlineStr">
        <is>
          <t>HÄSSLEHOLM</t>
        </is>
      </c>
      <c r="G692" t="n">
        <v>0.3</v>
      </c>
      <c r="H692" t="n">
        <v>0</v>
      </c>
      <c r="I692" t="n">
        <v>0</v>
      </c>
      <c r="J692" t="n">
        <v>0</v>
      </c>
      <c r="K692" t="n">
        <v>0</v>
      </c>
      <c r="L692" t="n">
        <v>0</v>
      </c>
      <c r="M692" t="n">
        <v>0</v>
      </c>
      <c r="N692" t="n">
        <v>0</v>
      </c>
      <c r="O692" t="n">
        <v>0</v>
      </c>
      <c r="P692" t="n">
        <v>0</v>
      </c>
      <c r="Q692" t="n">
        <v>0</v>
      </c>
      <c r="R692" s="2" t="inlineStr"/>
    </row>
    <row r="693" ht="15" customHeight="1">
      <c r="A693" t="inlineStr">
        <is>
          <t>A 40780-2022</t>
        </is>
      </c>
      <c r="B693" s="1" t="n">
        <v>44820</v>
      </c>
      <c r="C693" s="1" t="n">
        <v>45669</v>
      </c>
      <c r="D693" t="inlineStr">
        <is>
          <t>SKÅNE LÄN</t>
        </is>
      </c>
      <c r="E693" t="inlineStr">
        <is>
          <t>HÄSSLEHOLM</t>
        </is>
      </c>
      <c r="G693" t="n">
        <v>7.4</v>
      </c>
      <c r="H693" t="n">
        <v>0</v>
      </c>
      <c r="I693" t="n">
        <v>0</v>
      </c>
      <c r="J693" t="n">
        <v>0</v>
      </c>
      <c r="K693" t="n">
        <v>0</v>
      </c>
      <c r="L693" t="n">
        <v>0</v>
      </c>
      <c r="M693" t="n">
        <v>0</v>
      </c>
      <c r="N693" t="n">
        <v>0</v>
      </c>
      <c r="O693" t="n">
        <v>0</v>
      </c>
      <c r="P693" t="n">
        <v>0</v>
      </c>
      <c r="Q693" t="n">
        <v>0</v>
      </c>
      <c r="R693" s="2" t="inlineStr"/>
    </row>
    <row r="694" ht="15" customHeight="1">
      <c r="A694" t="inlineStr">
        <is>
          <t>A 40768-2022</t>
        </is>
      </c>
      <c r="B694" s="1" t="n">
        <v>44820</v>
      </c>
      <c r="C694" s="1" t="n">
        <v>45669</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41459-2022</t>
        </is>
      </c>
      <c r="B695" s="1" t="n">
        <v>44827</v>
      </c>
      <c r="C695" s="1" t="n">
        <v>45669</v>
      </c>
      <c r="D695" t="inlineStr">
        <is>
          <t>SKÅNE LÄN</t>
        </is>
      </c>
      <c r="E695" t="inlineStr">
        <is>
          <t>HÄSSLEHOLM</t>
        </is>
      </c>
      <c r="G695" t="n">
        <v>2.3</v>
      </c>
      <c r="H695" t="n">
        <v>0</v>
      </c>
      <c r="I695" t="n">
        <v>0</v>
      </c>
      <c r="J695" t="n">
        <v>0</v>
      </c>
      <c r="K695" t="n">
        <v>0</v>
      </c>
      <c r="L695" t="n">
        <v>0</v>
      </c>
      <c r="M695" t="n">
        <v>0</v>
      </c>
      <c r="N695" t="n">
        <v>0</v>
      </c>
      <c r="O695" t="n">
        <v>0</v>
      </c>
      <c r="P695" t="n">
        <v>0</v>
      </c>
      <c r="Q695" t="n">
        <v>0</v>
      </c>
      <c r="R695" s="2" t="inlineStr"/>
    </row>
    <row r="696" ht="15" customHeight="1">
      <c r="A696" t="inlineStr">
        <is>
          <t>A 42232-2022</t>
        </is>
      </c>
      <c r="B696" s="1" t="n">
        <v>44830</v>
      </c>
      <c r="C696" s="1" t="n">
        <v>45669</v>
      </c>
      <c r="D696" t="inlineStr">
        <is>
          <t>SKÅNE LÄN</t>
        </is>
      </c>
      <c r="E696" t="inlineStr">
        <is>
          <t>HÄSSLEHOLM</t>
        </is>
      </c>
      <c r="G696" t="n">
        <v>1.3</v>
      </c>
      <c r="H696" t="n">
        <v>0</v>
      </c>
      <c r="I696" t="n">
        <v>0</v>
      </c>
      <c r="J696" t="n">
        <v>0</v>
      </c>
      <c r="K696" t="n">
        <v>0</v>
      </c>
      <c r="L696" t="n">
        <v>0</v>
      </c>
      <c r="M696" t="n">
        <v>0</v>
      </c>
      <c r="N696" t="n">
        <v>0</v>
      </c>
      <c r="O696" t="n">
        <v>0</v>
      </c>
      <c r="P696" t="n">
        <v>0</v>
      </c>
      <c r="Q696" t="n">
        <v>0</v>
      </c>
      <c r="R696" s="2" t="inlineStr"/>
    </row>
    <row r="697" ht="15" customHeight="1">
      <c r="A697" t="inlineStr">
        <is>
          <t>A 42231-2022</t>
        </is>
      </c>
      <c r="B697" s="1" t="n">
        <v>44830</v>
      </c>
      <c r="C697" s="1" t="n">
        <v>45669</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42428-2022</t>
        </is>
      </c>
      <c r="B698" s="1" t="n">
        <v>44831</v>
      </c>
      <c r="C698" s="1" t="n">
        <v>45669</v>
      </c>
      <c r="D698" t="inlineStr">
        <is>
          <t>SKÅNE LÄN</t>
        </is>
      </c>
      <c r="E698" t="inlineStr">
        <is>
          <t>HÄSSLEHOLM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42925-2022</t>
        </is>
      </c>
      <c r="B699" s="1" t="n">
        <v>44833</v>
      </c>
      <c r="C699" s="1" t="n">
        <v>45669</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42906-2022</t>
        </is>
      </c>
      <c r="B700" s="1" t="n">
        <v>44833</v>
      </c>
      <c r="C700" s="1" t="n">
        <v>45669</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43874-2022</t>
        </is>
      </c>
      <c r="B701" s="1" t="n">
        <v>44838</v>
      </c>
      <c r="C701" s="1" t="n">
        <v>45669</v>
      </c>
      <c r="D701" t="inlineStr">
        <is>
          <t>SKÅNE LÄN</t>
        </is>
      </c>
      <c r="E701" t="inlineStr">
        <is>
          <t>HÄSSLEHOLM</t>
        </is>
      </c>
      <c r="G701" t="n">
        <v>2.1</v>
      </c>
      <c r="H701" t="n">
        <v>0</v>
      </c>
      <c r="I701" t="n">
        <v>0</v>
      </c>
      <c r="J701" t="n">
        <v>0</v>
      </c>
      <c r="K701" t="n">
        <v>0</v>
      </c>
      <c r="L701" t="n">
        <v>0</v>
      </c>
      <c r="M701" t="n">
        <v>0</v>
      </c>
      <c r="N701" t="n">
        <v>0</v>
      </c>
      <c r="O701" t="n">
        <v>0</v>
      </c>
      <c r="P701" t="n">
        <v>0</v>
      </c>
      <c r="Q701" t="n">
        <v>0</v>
      </c>
      <c r="R701" s="2" t="inlineStr"/>
    </row>
    <row r="702" ht="15" customHeight="1">
      <c r="A702" t="inlineStr">
        <is>
          <t>A 43950-2022</t>
        </is>
      </c>
      <c r="B702" s="1" t="n">
        <v>44838</v>
      </c>
      <c r="C702" s="1" t="n">
        <v>45669</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44669-2022</t>
        </is>
      </c>
      <c r="B703" s="1" t="n">
        <v>44840</v>
      </c>
      <c r="C703" s="1" t="n">
        <v>45669</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45400-2022</t>
        </is>
      </c>
      <c r="B704" s="1" t="n">
        <v>44844</v>
      </c>
      <c r="C704" s="1" t="n">
        <v>45669</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45349-2022</t>
        </is>
      </c>
      <c r="B705" s="1" t="n">
        <v>44844</v>
      </c>
      <c r="C705" s="1" t="n">
        <v>45669</v>
      </c>
      <c r="D705" t="inlineStr">
        <is>
          <t>SKÅNE LÄN</t>
        </is>
      </c>
      <c r="E705" t="inlineStr">
        <is>
          <t>HÄSSLEHOLM</t>
        </is>
      </c>
      <c r="G705" t="n">
        <v>6.2</v>
      </c>
      <c r="H705" t="n">
        <v>0</v>
      </c>
      <c r="I705" t="n">
        <v>0</v>
      </c>
      <c r="J705" t="n">
        <v>0</v>
      </c>
      <c r="K705" t="n">
        <v>0</v>
      </c>
      <c r="L705" t="n">
        <v>0</v>
      </c>
      <c r="M705" t="n">
        <v>0</v>
      </c>
      <c r="N705" t="n">
        <v>0</v>
      </c>
      <c r="O705" t="n">
        <v>0</v>
      </c>
      <c r="P705" t="n">
        <v>0</v>
      </c>
      <c r="Q705" t="n">
        <v>0</v>
      </c>
      <c r="R705" s="2" t="inlineStr"/>
    </row>
    <row r="706" ht="15" customHeight="1">
      <c r="A706" t="inlineStr">
        <is>
          <t>A 45357-2022</t>
        </is>
      </c>
      <c r="B706" s="1" t="n">
        <v>44844</v>
      </c>
      <c r="C706" s="1" t="n">
        <v>45669</v>
      </c>
      <c r="D706" t="inlineStr">
        <is>
          <t>SKÅNE LÄN</t>
        </is>
      </c>
      <c r="E706" t="inlineStr">
        <is>
          <t>HÄSSLEHOLM</t>
        </is>
      </c>
      <c r="G706" t="n">
        <v>5.8</v>
      </c>
      <c r="H706" t="n">
        <v>0</v>
      </c>
      <c r="I706" t="n">
        <v>0</v>
      </c>
      <c r="J706" t="n">
        <v>0</v>
      </c>
      <c r="K706" t="n">
        <v>0</v>
      </c>
      <c r="L706" t="n">
        <v>0</v>
      </c>
      <c r="M706" t="n">
        <v>0</v>
      </c>
      <c r="N706" t="n">
        <v>0</v>
      </c>
      <c r="O706" t="n">
        <v>0</v>
      </c>
      <c r="P706" t="n">
        <v>0</v>
      </c>
      <c r="Q706" t="n">
        <v>0</v>
      </c>
      <c r="R706" s="2" t="inlineStr"/>
    </row>
    <row r="707" ht="15" customHeight="1">
      <c r="A707" t="inlineStr">
        <is>
          <t>A 45399-2022</t>
        </is>
      </c>
      <c r="B707" s="1" t="n">
        <v>44844</v>
      </c>
      <c r="C707" s="1" t="n">
        <v>45669</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45187-2022</t>
        </is>
      </c>
      <c r="B708" s="1" t="n">
        <v>44844</v>
      </c>
      <c r="C708" s="1" t="n">
        <v>45669</v>
      </c>
      <c r="D708" t="inlineStr">
        <is>
          <t>SKÅNE LÄN</t>
        </is>
      </c>
      <c r="E708" t="inlineStr">
        <is>
          <t>HÄSSLEHOLM</t>
        </is>
      </c>
      <c r="G708" t="n">
        <v>4.4</v>
      </c>
      <c r="H708" t="n">
        <v>0</v>
      </c>
      <c r="I708" t="n">
        <v>0</v>
      </c>
      <c r="J708" t="n">
        <v>0</v>
      </c>
      <c r="K708" t="n">
        <v>0</v>
      </c>
      <c r="L708" t="n">
        <v>0</v>
      </c>
      <c r="M708" t="n">
        <v>0</v>
      </c>
      <c r="N708" t="n">
        <v>0</v>
      </c>
      <c r="O708" t="n">
        <v>0</v>
      </c>
      <c r="P708" t="n">
        <v>0</v>
      </c>
      <c r="Q708" t="n">
        <v>0</v>
      </c>
      <c r="R708" s="2" t="inlineStr"/>
    </row>
    <row r="709" ht="15" customHeight="1">
      <c r="A709" t="inlineStr">
        <is>
          <t>A 45196-2022</t>
        </is>
      </c>
      <c r="B709" s="1" t="n">
        <v>44844</v>
      </c>
      <c r="C709" s="1" t="n">
        <v>45669</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45739-2022</t>
        </is>
      </c>
      <c r="B710" s="1" t="n">
        <v>44846</v>
      </c>
      <c r="C710" s="1" t="n">
        <v>45669</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46217-2022</t>
        </is>
      </c>
      <c r="B711" s="1" t="n">
        <v>44846</v>
      </c>
      <c r="C711" s="1" t="n">
        <v>45669</v>
      </c>
      <c r="D711" t="inlineStr">
        <is>
          <t>SKÅNE LÄN</t>
        </is>
      </c>
      <c r="E711" t="inlineStr">
        <is>
          <t>HÄSSLEHOLM</t>
        </is>
      </c>
      <c r="G711" t="n">
        <v>3.1</v>
      </c>
      <c r="H711" t="n">
        <v>0</v>
      </c>
      <c r="I711" t="n">
        <v>0</v>
      </c>
      <c r="J711" t="n">
        <v>0</v>
      </c>
      <c r="K711" t="n">
        <v>0</v>
      </c>
      <c r="L711" t="n">
        <v>0</v>
      </c>
      <c r="M711" t="n">
        <v>0</v>
      </c>
      <c r="N711" t="n">
        <v>0</v>
      </c>
      <c r="O711" t="n">
        <v>0</v>
      </c>
      <c r="P711" t="n">
        <v>0</v>
      </c>
      <c r="Q711" t="n">
        <v>0</v>
      </c>
      <c r="R711" s="2" t="inlineStr"/>
    </row>
    <row r="712" ht="15" customHeight="1">
      <c r="A712" t="inlineStr">
        <is>
          <t>A 46185-2022</t>
        </is>
      </c>
      <c r="B712" s="1" t="n">
        <v>44847</v>
      </c>
      <c r="C712" s="1" t="n">
        <v>45669</v>
      </c>
      <c r="D712" t="inlineStr">
        <is>
          <t>SKÅNE LÄN</t>
        </is>
      </c>
      <c r="E712" t="inlineStr">
        <is>
          <t>HÄSSLEHOLM</t>
        </is>
      </c>
      <c r="G712" t="n">
        <v>16.8</v>
      </c>
      <c r="H712" t="n">
        <v>0</v>
      </c>
      <c r="I712" t="n">
        <v>0</v>
      </c>
      <c r="J712" t="n">
        <v>0</v>
      </c>
      <c r="K712" t="n">
        <v>0</v>
      </c>
      <c r="L712" t="n">
        <v>0</v>
      </c>
      <c r="M712" t="n">
        <v>0</v>
      </c>
      <c r="N712" t="n">
        <v>0</v>
      </c>
      <c r="O712" t="n">
        <v>0</v>
      </c>
      <c r="P712" t="n">
        <v>0</v>
      </c>
      <c r="Q712" t="n">
        <v>0</v>
      </c>
      <c r="R712" s="2" t="inlineStr"/>
    </row>
    <row r="713" ht="15" customHeight="1">
      <c r="A713" t="inlineStr">
        <is>
          <t>A 46229-2022</t>
        </is>
      </c>
      <c r="B713" s="1" t="n">
        <v>44847</v>
      </c>
      <c r="C713" s="1" t="n">
        <v>45669</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46222-2022</t>
        </is>
      </c>
      <c r="B714" s="1" t="n">
        <v>44847</v>
      </c>
      <c r="C714" s="1" t="n">
        <v>45669</v>
      </c>
      <c r="D714" t="inlineStr">
        <is>
          <t>SKÅNE LÄN</t>
        </is>
      </c>
      <c r="E714" t="inlineStr">
        <is>
          <t>HÄSSLEHOLM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49250-2022</t>
        </is>
      </c>
      <c r="B715" s="1" t="n">
        <v>44858</v>
      </c>
      <c r="C715" s="1" t="n">
        <v>45669</v>
      </c>
      <c r="D715" t="inlineStr">
        <is>
          <t>SKÅNE LÄN</t>
        </is>
      </c>
      <c r="E715" t="inlineStr">
        <is>
          <t>HÄSSLEHOLM</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48747-2022</t>
        </is>
      </c>
      <c r="B716" s="1" t="n">
        <v>44859</v>
      </c>
      <c r="C716" s="1" t="n">
        <v>45669</v>
      </c>
      <c r="D716" t="inlineStr">
        <is>
          <t>SKÅNE LÄN</t>
        </is>
      </c>
      <c r="E716" t="inlineStr">
        <is>
          <t>HÄSSLEHOLM</t>
        </is>
      </c>
      <c r="G716" t="n">
        <v>1.9</v>
      </c>
      <c r="H716" t="n">
        <v>0</v>
      </c>
      <c r="I716" t="n">
        <v>0</v>
      </c>
      <c r="J716" t="n">
        <v>0</v>
      </c>
      <c r="K716" t="n">
        <v>0</v>
      </c>
      <c r="L716" t="n">
        <v>0</v>
      </c>
      <c r="M716" t="n">
        <v>0</v>
      </c>
      <c r="N716" t="n">
        <v>0</v>
      </c>
      <c r="O716" t="n">
        <v>0</v>
      </c>
      <c r="P716" t="n">
        <v>0</v>
      </c>
      <c r="Q716" t="n">
        <v>0</v>
      </c>
      <c r="R716" s="2" t="inlineStr"/>
    </row>
    <row r="717" ht="15" customHeight="1">
      <c r="A717" t="inlineStr">
        <is>
          <t>A 49827-2022</t>
        </is>
      </c>
      <c r="B717" s="1" t="n">
        <v>44859</v>
      </c>
      <c r="C717" s="1" t="n">
        <v>45669</v>
      </c>
      <c r="D717" t="inlineStr">
        <is>
          <t>SKÅNE LÄN</t>
        </is>
      </c>
      <c r="E717" t="inlineStr">
        <is>
          <t>HÄSSLEHOLM</t>
        </is>
      </c>
      <c r="G717" t="n">
        <v>6.1</v>
      </c>
      <c r="H717" t="n">
        <v>0</v>
      </c>
      <c r="I717" t="n">
        <v>0</v>
      </c>
      <c r="J717" t="n">
        <v>0</v>
      </c>
      <c r="K717" t="n">
        <v>0</v>
      </c>
      <c r="L717" t="n">
        <v>0</v>
      </c>
      <c r="M717" t="n">
        <v>0</v>
      </c>
      <c r="N717" t="n">
        <v>0</v>
      </c>
      <c r="O717" t="n">
        <v>0</v>
      </c>
      <c r="P717" t="n">
        <v>0</v>
      </c>
      <c r="Q717" t="n">
        <v>0</v>
      </c>
      <c r="R717" s="2" t="inlineStr"/>
    </row>
    <row r="718" ht="15" customHeight="1">
      <c r="A718" t="inlineStr">
        <is>
          <t>A 49167-2022</t>
        </is>
      </c>
      <c r="B718" s="1" t="n">
        <v>44860</v>
      </c>
      <c r="C718" s="1" t="n">
        <v>45669</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49691-2022</t>
        </is>
      </c>
      <c r="B719" s="1" t="n">
        <v>44862</v>
      </c>
      <c r="C719" s="1" t="n">
        <v>45669</v>
      </c>
      <c r="D719" t="inlineStr">
        <is>
          <t>SKÅNE LÄN</t>
        </is>
      </c>
      <c r="E719" t="inlineStr">
        <is>
          <t>HÄSSLEHOLM</t>
        </is>
      </c>
      <c r="G719" t="n">
        <v>0.6</v>
      </c>
      <c r="H719" t="n">
        <v>0</v>
      </c>
      <c r="I719" t="n">
        <v>0</v>
      </c>
      <c r="J719" t="n">
        <v>0</v>
      </c>
      <c r="K719" t="n">
        <v>0</v>
      </c>
      <c r="L719" t="n">
        <v>0</v>
      </c>
      <c r="M719" t="n">
        <v>0</v>
      </c>
      <c r="N719" t="n">
        <v>0</v>
      </c>
      <c r="O719" t="n">
        <v>0</v>
      </c>
      <c r="P719" t="n">
        <v>0</v>
      </c>
      <c r="Q719" t="n">
        <v>0</v>
      </c>
      <c r="R719" s="2" t="inlineStr"/>
    </row>
    <row r="720" ht="15" customHeight="1">
      <c r="A720" t="inlineStr">
        <is>
          <t>A 50585-2022</t>
        </is>
      </c>
      <c r="B720" s="1" t="n">
        <v>44866</v>
      </c>
      <c r="C720" s="1" t="n">
        <v>45669</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51287-2022</t>
        </is>
      </c>
      <c r="B721" s="1" t="n">
        <v>44868</v>
      </c>
      <c r="C721" s="1" t="n">
        <v>45669</v>
      </c>
      <c r="D721" t="inlineStr">
        <is>
          <t>SKÅNE LÄN</t>
        </is>
      </c>
      <c r="E721" t="inlineStr">
        <is>
          <t>HÄSSLEHOLM</t>
        </is>
      </c>
      <c r="G721" t="n">
        <v>2.2</v>
      </c>
      <c r="H721" t="n">
        <v>0</v>
      </c>
      <c r="I721" t="n">
        <v>0</v>
      </c>
      <c r="J721" t="n">
        <v>0</v>
      </c>
      <c r="K721" t="n">
        <v>0</v>
      </c>
      <c r="L721" t="n">
        <v>0</v>
      </c>
      <c r="M721" t="n">
        <v>0</v>
      </c>
      <c r="N721" t="n">
        <v>0</v>
      </c>
      <c r="O721" t="n">
        <v>0</v>
      </c>
      <c r="P721" t="n">
        <v>0</v>
      </c>
      <c r="Q721" t="n">
        <v>0</v>
      </c>
      <c r="R721" s="2" t="inlineStr"/>
    </row>
    <row r="722" ht="15" customHeight="1">
      <c r="A722" t="inlineStr">
        <is>
          <t>A 52912-2022</t>
        </is>
      </c>
      <c r="B722" s="1" t="n">
        <v>44872</v>
      </c>
      <c r="C722" s="1" t="n">
        <v>45669</v>
      </c>
      <c r="D722" t="inlineStr">
        <is>
          <t>SKÅNE LÄN</t>
        </is>
      </c>
      <c r="E722" t="inlineStr">
        <is>
          <t>HÄSSLEHOLM</t>
        </is>
      </c>
      <c r="G722" t="n">
        <v>4.7</v>
      </c>
      <c r="H722" t="n">
        <v>0</v>
      </c>
      <c r="I722" t="n">
        <v>0</v>
      </c>
      <c r="J722" t="n">
        <v>0</v>
      </c>
      <c r="K722" t="n">
        <v>0</v>
      </c>
      <c r="L722" t="n">
        <v>0</v>
      </c>
      <c r="M722" t="n">
        <v>0</v>
      </c>
      <c r="N722" t="n">
        <v>0</v>
      </c>
      <c r="O722" t="n">
        <v>0</v>
      </c>
      <c r="P722" t="n">
        <v>0</v>
      </c>
      <c r="Q722" t="n">
        <v>0</v>
      </c>
      <c r="R722" s="2" t="inlineStr"/>
    </row>
    <row r="723" ht="15" customHeight="1">
      <c r="A723" t="inlineStr">
        <is>
          <t>A 53067-2022</t>
        </is>
      </c>
      <c r="B723" s="1" t="n">
        <v>44873</v>
      </c>
      <c r="C723" s="1" t="n">
        <v>45669</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53085-2022</t>
        </is>
      </c>
      <c r="B724" s="1" t="n">
        <v>44873</v>
      </c>
      <c r="C724" s="1" t="n">
        <v>45669</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53077-2022</t>
        </is>
      </c>
      <c r="B725" s="1" t="n">
        <v>44873</v>
      </c>
      <c r="C725" s="1" t="n">
        <v>45669</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52564-2022</t>
        </is>
      </c>
      <c r="B726" s="1" t="n">
        <v>44874</v>
      </c>
      <c r="C726" s="1" t="n">
        <v>45669</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52968-2022</t>
        </is>
      </c>
      <c r="B727" s="1" t="n">
        <v>44875</v>
      </c>
      <c r="C727" s="1" t="n">
        <v>45669</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53576-2022</t>
        </is>
      </c>
      <c r="B728" s="1" t="n">
        <v>44875</v>
      </c>
      <c r="C728" s="1" t="n">
        <v>45669</v>
      </c>
      <c r="D728" t="inlineStr">
        <is>
          <t>SKÅNE LÄN</t>
        </is>
      </c>
      <c r="E728" t="inlineStr">
        <is>
          <t>HÄSSLEHOLM</t>
        </is>
      </c>
      <c r="F728" t="inlineStr">
        <is>
          <t>Övriga Aktiebolag</t>
        </is>
      </c>
      <c r="G728" t="n">
        <v>1.2</v>
      </c>
      <c r="H728" t="n">
        <v>0</v>
      </c>
      <c r="I728" t="n">
        <v>0</v>
      </c>
      <c r="J728" t="n">
        <v>0</v>
      </c>
      <c r="K728" t="n">
        <v>0</v>
      </c>
      <c r="L728" t="n">
        <v>0</v>
      </c>
      <c r="M728" t="n">
        <v>0</v>
      </c>
      <c r="N728" t="n">
        <v>0</v>
      </c>
      <c r="O728" t="n">
        <v>0</v>
      </c>
      <c r="P728" t="n">
        <v>0</v>
      </c>
      <c r="Q728" t="n">
        <v>0</v>
      </c>
      <c r="R728" s="2" t="inlineStr"/>
    </row>
    <row r="729" ht="15" customHeight="1">
      <c r="A729" t="inlineStr">
        <is>
          <t>A 53593-2022</t>
        </is>
      </c>
      <c r="B729" s="1" t="n">
        <v>44875</v>
      </c>
      <c r="C729" s="1" t="n">
        <v>45669</v>
      </c>
      <c r="D729" t="inlineStr">
        <is>
          <t>SKÅNE LÄN</t>
        </is>
      </c>
      <c r="E729" t="inlineStr">
        <is>
          <t>HÄSSLEHOLM</t>
        </is>
      </c>
      <c r="F729" t="inlineStr">
        <is>
          <t>Övriga Aktiebolag</t>
        </is>
      </c>
      <c r="G729" t="n">
        <v>1.8</v>
      </c>
      <c r="H729" t="n">
        <v>0</v>
      </c>
      <c r="I729" t="n">
        <v>0</v>
      </c>
      <c r="J729" t="n">
        <v>0</v>
      </c>
      <c r="K729" t="n">
        <v>0</v>
      </c>
      <c r="L729" t="n">
        <v>0</v>
      </c>
      <c r="M729" t="n">
        <v>0</v>
      </c>
      <c r="N729" t="n">
        <v>0</v>
      </c>
      <c r="O729" t="n">
        <v>0</v>
      </c>
      <c r="P729" t="n">
        <v>0</v>
      </c>
      <c r="Q729" t="n">
        <v>0</v>
      </c>
      <c r="R729" s="2" t="inlineStr"/>
    </row>
    <row r="730" ht="15" customHeight="1">
      <c r="A730" t="inlineStr">
        <is>
          <t>A 53590-2022</t>
        </is>
      </c>
      <c r="B730" s="1" t="n">
        <v>44875</v>
      </c>
      <c r="C730" s="1" t="n">
        <v>45669</v>
      </c>
      <c r="D730" t="inlineStr">
        <is>
          <t>SKÅNE LÄN</t>
        </is>
      </c>
      <c r="E730" t="inlineStr">
        <is>
          <t>HÄSSLEHOLM</t>
        </is>
      </c>
      <c r="F730" t="inlineStr">
        <is>
          <t>Övriga Aktiebolag</t>
        </is>
      </c>
      <c r="G730" t="n">
        <v>2.9</v>
      </c>
      <c r="H730" t="n">
        <v>0</v>
      </c>
      <c r="I730" t="n">
        <v>0</v>
      </c>
      <c r="J730" t="n">
        <v>0</v>
      </c>
      <c r="K730" t="n">
        <v>0</v>
      </c>
      <c r="L730" t="n">
        <v>0</v>
      </c>
      <c r="M730" t="n">
        <v>0</v>
      </c>
      <c r="N730" t="n">
        <v>0</v>
      </c>
      <c r="O730" t="n">
        <v>0</v>
      </c>
      <c r="P730" t="n">
        <v>0</v>
      </c>
      <c r="Q730" t="n">
        <v>0</v>
      </c>
      <c r="R730" s="2" t="inlineStr"/>
    </row>
    <row r="731" ht="15" customHeight="1">
      <c r="A731" t="inlineStr">
        <is>
          <t>A 53058-2022</t>
        </is>
      </c>
      <c r="B731" s="1" t="n">
        <v>44876</v>
      </c>
      <c r="C731" s="1" t="n">
        <v>45669</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53136-2022</t>
        </is>
      </c>
      <c r="B732" s="1" t="n">
        <v>44876</v>
      </c>
      <c r="C732" s="1" t="n">
        <v>45669</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53302-2022</t>
        </is>
      </c>
      <c r="B733" s="1" t="n">
        <v>44877</v>
      </c>
      <c r="C733" s="1" t="n">
        <v>45669</v>
      </c>
      <c r="D733" t="inlineStr">
        <is>
          <t>SKÅNE LÄN</t>
        </is>
      </c>
      <c r="E733" t="inlineStr">
        <is>
          <t>HÄSSLEHOLM</t>
        </is>
      </c>
      <c r="G733" t="n">
        <v>0.1</v>
      </c>
      <c r="H733" t="n">
        <v>0</v>
      </c>
      <c r="I733" t="n">
        <v>0</v>
      </c>
      <c r="J733" t="n">
        <v>0</v>
      </c>
      <c r="K733" t="n">
        <v>0</v>
      </c>
      <c r="L733" t="n">
        <v>0</v>
      </c>
      <c r="M733" t="n">
        <v>0</v>
      </c>
      <c r="N733" t="n">
        <v>0</v>
      </c>
      <c r="O733" t="n">
        <v>0</v>
      </c>
      <c r="P733" t="n">
        <v>0</v>
      </c>
      <c r="Q733" t="n">
        <v>0</v>
      </c>
      <c r="R733" s="2" t="inlineStr"/>
    </row>
    <row r="734" ht="15" customHeight="1">
      <c r="A734" t="inlineStr">
        <is>
          <t>A 54106-2022</t>
        </is>
      </c>
      <c r="B734" s="1" t="n">
        <v>44879</v>
      </c>
      <c r="C734" s="1" t="n">
        <v>45669</v>
      </c>
      <c r="D734" t="inlineStr">
        <is>
          <t>SKÅNE LÄN</t>
        </is>
      </c>
      <c r="E734" t="inlineStr">
        <is>
          <t>HÄSSLEHOLM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54174-2022</t>
        </is>
      </c>
      <c r="B735" s="1" t="n">
        <v>44881</v>
      </c>
      <c r="C735" s="1" t="n">
        <v>45669</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54164-2022</t>
        </is>
      </c>
      <c r="B736" s="1" t="n">
        <v>44881</v>
      </c>
      <c r="C736" s="1" t="n">
        <v>45669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54171-2022</t>
        </is>
      </c>
      <c r="B737" s="1" t="n">
        <v>44881</v>
      </c>
      <c r="C737" s="1" t="n">
        <v>45669</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45669</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54874-2022</t>
        </is>
      </c>
      <c r="B739" s="1" t="n">
        <v>44881</v>
      </c>
      <c r="C739" s="1" t="n">
        <v>45669</v>
      </c>
      <c r="D739" t="inlineStr">
        <is>
          <t>SKÅNE LÄN</t>
        </is>
      </c>
      <c r="E739" t="inlineStr">
        <is>
          <t>HÄSSLEHOLM</t>
        </is>
      </c>
      <c r="G739" t="n">
        <v>8.1</v>
      </c>
      <c r="H739" t="n">
        <v>0</v>
      </c>
      <c r="I739" t="n">
        <v>0</v>
      </c>
      <c r="J739" t="n">
        <v>0</v>
      </c>
      <c r="K739" t="n">
        <v>0</v>
      </c>
      <c r="L739" t="n">
        <v>0</v>
      </c>
      <c r="M739" t="n">
        <v>0</v>
      </c>
      <c r="N739" t="n">
        <v>0</v>
      </c>
      <c r="O739" t="n">
        <v>0</v>
      </c>
      <c r="P739" t="n">
        <v>0</v>
      </c>
      <c r="Q739" t="n">
        <v>0</v>
      </c>
      <c r="R739" s="2" t="inlineStr"/>
    </row>
    <row r="740" ht="15" customHeight="1">
      <c r="A740" t="inlineStr">
        <is>
          <t>A 54326-2022</t>
        </is>
      </c>
      <c r="B740" s="1" t="n">
        <v>44882</v>
      </c>
      <c r="C740" s="1" t="n">
        <v>45669</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54462-2022</t>
        </is>
      </c>
      <c r="B741" s="1" t="n">
        <v>44882</v>
      </c>
      <c r="C741" s="1" t="n">
        <v>45669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54518-2022</t>
        </is>
      </c>
      <c r="B742" s="1" t="n">
        <v>44882</v>
      </c>
      <c r="C742" s="1" t="n">
        <v>45669</v>
      </c>
      <c r="D742" t="inlineStr">
        <is>
          <t>SKÅNE LÄN</t>
        </is>
      </c>
      <c r="E742" t="inlineStr">
        <is>
          <t>HÄSSLEHOLM</t>
        </is>
      </c>
      <c r="F742" t="inlineStr">
        <is>
          <t>Övriga Aktiebolag</t>
        </is>
      </c>
      <c r="G742" t="n">
        <v>6.8</v>
      </c>
      <c r="H742" t="n">
        <v>0</v>
      </c>
      <c r="I742" t="n">
        <v>0</v>
      </c>
      <c r="J742" t="n">
        <v>0</v>
      </c>
      <c r="K742" t="n">
        <v>0</v>
      </c>
      <c r="L742" t="n">
        <v>0</v>
      </c>
      <c r="M742" t="n">
        <v>0</v>
      </c>
      <c r="N742" t="n">
        <v>0</v>
      </c>
      <c r="O742" t="n">
        <v>0</v>
      </c>
      <c r="P742" t="n">
        <v>0</v>
      </c>
      <c r="Q742" t="n">
        <v>0</v>
      </c>
      <c r="R742" s="2" t="inlineStr"/>
    </row>
    <row r="743" ht="15" customHeight="1">
      <c r="A743" t="inlineStr">
        <is>
          <t>A 55424-2022</t>
        </is>
      </c>
      <c r="B743" s="1" t="n">
        <v>44882</v>
      </c>
      <c r="C743" s="1" t="n">
        <v>45669</v>
      </c>
      <c r="D743" t="inlineStr">
        <is>
          <t>SKÅNE LÄN</t>
        </is>
      </c>
      <c r="E743" t="inlineStr">
        <is>
          <t>HÄSSLEHOLM</t>
        </is>
      </c>
      <c r="F743" t="inlineStr">
        <is>
          <t>Övriga Aktiebolag</t>
        </is>
      </c>
      <c r="G743" t="n">
        <v>1</v>
      </c>
      <c r="H743" t="n">
        <v>0</v>
      </c>
      <c r="I743" t="n">
        <v>0</v>
      </c>
      <c r="J743" t="n">
        <v>0</v>
      </c>
      <c r="K743" t="n">
        <v>0</v>
      </c>
      <c r="L743" t="n">
        <v>0</v>
      </c>
      <c r="M743" t="n">
        <v>0</v>
      </c>
      <c r="N743" t="n">
        <v>0</v>
      </c>
      <c r="O743" t="n">
        <v>0</v>
      </c>
      <c r="P743" t="n">
        <v>0</v>
      </c>
      <c r="Q743" t="n">
        <v>0</v>
      </c>
      <c r="R743" s="2" t="inlineStr"/>
    </row>
    <row r="744" ht="15" customHeight="1">
      <c r="A744" t="inlineStr">
        <is>
          <t>A 55429-2022</t>
        </is>
      </c>
      <c r="B744" s="1" t="n">
        <v>44882</v>
      </c>
      <c r="C744" s="1" t="n">
        <v>45669</v>
      </c>
      <c r="D744" t="inlineStr">
        <is>
          <t>SKÅNE LÄN</t>
        </is>
      </c>
      <c r="E744" t="inlineStr">
        <is>
          <t>HÄSSLEHOLM</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55412-2022</t>
        </is>
      </c>
      <c r="B745" s="1" t="n">
        <v>44882</v>
      </c>
      <c r="C745" s="1" t="n">
        <v>45669</v>
      </c>
      <c r="D745" t="inlineStr">
        <is>
          <t>SKÅNE LÄN</t>
        </is>
      </c>
      <c r="E745" t="inlineStr">
        <is>
          <t>HÄSSLEHOLM</t>
        </is>
      </c>
      <c r="F745" t="inlineStr">
        <is>
          <t>Övriga Aktiebolag</t>
        </is>
      </c>
      <c r="G745" t="n">
        <v>4</v>
      </c>
      <c r="H745" t="n">
        <v>0</v>
      </c>
      <c r="I745" t="n">
        <v>0</v>
      </c>
      <c r="J745" t="n">
        <v>0</v>
      </c>
      <c r="K745" t="n">
        <v>0</v>
      </c>
      <c r="L745" t="n">
        <v>0</v>
      </c>
      <c r="M745" t="n">
        <v>0</v>
      </c>
      <c r="N745" t="n">
        <v>0</v>
      </c>
      <c r="O745" t="n">
        <v>0</v>
      </c>
      <c r="P745" t="n">
        <v>0</v>
      </c>
      <c r="Q745" t="n">
        <v>0</v>
      </c>
      <c r="R745" s="2" t="inlineStr"/>
    </row>
    <row r="746" ht="15" customHeight="1">
      <c r="A746" t="inlineStr">
        <is>
          <t>A 55419-2022</t>
        </is>
      </c>
      <c r="B746" s="1" t="n">
        <v>44882</v>
      </c>
      <c r="C746" s="1" t="n">
        <v>45669</v>
      </c>
      <c r="D746" t="inlineStr">
        <is>
          <t>SKÅNE LÄN</t>
        </is>
      </c>
      <c r="E746" t="inlineStr">
        <is>
          <t>HÄSSLEHOLM</t>
        </is>
      </c>
      <c r="F746" t="inlineStr">
        <is>
          <t>Övriga Aktiebolag</t>
        </is>
      </c>
      <c r="G746" t="n">
        <v>5.8</v>
      </c>
      <c r="H746" t="n">
        <v>0</v>
      </c>
      <c r="I746" t="n">
        <v>0</v>
      </c>
      <c r="J746" t="n">
        <v>0</v>
      </c>
      <c r="K746" t="n">
        <v>0</v>
      </c>
      <c r="L746" t="n">
        <v>0</v>
      </c>
      <c r="M746" t="n">
        <v>0</v>
      </c>
      <c r="N746" t="n">
        <v>0</v>
      </c>
      <c r="O746" t="n">
        <v>0</v>
      </c>
      <c r="P746" t="n">
        <v>0</v>
      </c>
      <c r="Q746" t="n">
        <v>0</v>
      </c>
      <c r="R746" s="2" t="inlineStr"/>
    </row>
    <row r="747" ht="15" customHeight="1">
      <c r="A747" t="inlineStr">
        <is>
          <t>A 54662-2022</t>
        </is>
      </c>
      <c r="B747" s="1" t="n">
        <v>44883</v>
      </c>
      <c r="C747" s="1" t="n">
        <v>45669</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54777-2022</t>
        </is>
      </c>
      <c r="B748" s="1" t="n">
        <v>44883</v>
      </c>
      <c r="C748" s="1" t="n">
        <v>45669</v>
      </c>
      <c r="D748" t="inlineStr">
        <is>
          <t>SKÅNE LÄN</t>
        </is>
      </c>
      <c r="E748" t="inlineStr">
        <is>
          <t>HÄSSLEHOLM</t>
        </is>
      </c>
      <c r="G748" t="n">
        <v>1.7</v>
      </c>
      <c r="H748" t="n">
        <v>0</v>
      </c>
      <c r="I748" t="n">
        <v>0</v>
      </c>
      <c r="J748" t="n">
        <v>0</v>
      </c>
      <c r="K748" t="n">
        <v>0</v>
      </c>
      <c r="L748" t="n">
        <v>0</v>
      </c>
      <c r="M748" t="n">
        <v>0</v>
      </c>
      <c r="N748" t="n">
        <v>0</v>
      </c>
      <c r="O748" t="n">
        <v>0</v>
      </c>
      <c r="P748" t="n">
        <v>0</v>
      </c>
      <c r="Q748" t="n">
        <v>0</v>
      </c>
      <c r="R748" s="2" t="inlineStr"/>
    </row>
    <row r="749" ht="15" customHeight="1">
      <c r="A749" t="inlineStr">
        <is>
          <t>A 54671-2022</t>
        </is>
      </c>
      <c r="B749" s="1" t="n">
        <v>44883</v>
      </c>
      <c r="C749" s="1" t="n">
        <v>45669</v>
      </c>
      <c r="D749" t="inlineStr">
        <is>
          <t>SKÅNE LÄN</t>
        </is>
      </c>
      <c r="E749" t="inlineStr">
        <is>
          <t>HÄSSLEHOLM</t>
        </is>
      </c>
      <c r="G749" t="n">
        <v>1.4</v>
      </c>
      <c r="H749" t="n">
        <v>0</v>
      </c>
      <c r="I749" t="n">
        <v>0</v>
      </c>
      <c r="J749" t="n">
        <v>0</v>
      </c>
      <c r="K749" t="n">
        <v>0</v>
      </c>
      <c r="L749" t="n">
        <v>0</v>
      </c>
      <c r="M749" t="n">
        <v>0</v>
      </c>
      <c r="N749" t="n">
        <v>0</v>
      </c>
      <c r="O749" t="n">
        <v>0</v>
      </c>
      <c r="P749" t="n">
        <v>0</v>
      </c>
      <c r="Q749" t="n">
        <v>0</v>
      </c>
      <c r="R749" s="2" t="inlineStr"/>
    </row>
    <row r="750" ht="15" customHeight="1">
      <c r="A750" t="inlineStr">
        <is>
          <t>A 54807-2022</t>
        </is>
      </c>
      <c r="B750" s="1" t="n">
        <v>44883</v>
      </c>
      <c r="C750" s="1" t="n">
        <v>45669</v>
      </c>
      <c r="D750" t="inlineStr">
        <is>
          <t>SKÅNE LÄN</t>
        </is>
      </c>
      <c r="E750" t="inlineStr">
        <is>
          <t>HÄSSLEHOLM</t>
        </is>
      </c>
      <c r="G750" t="n">
        <v>4</v>
      </c>
      <c r="H750" t="n">
        <v>0</v>
      </c>
      <c r="I750" t="n">
        <v>0</v>
      </c>
      <c r="J750" t="n">
        <v>0</v>
      </c>
      <c r="K750" t="n">
        <v>0</v>
      </c>
      <c r="L750" t="n">
        <v>0</v>
      </c>
      <c r="M750" t="n">
        <v>0</v>
      </c>
      <c r="N750" t="n">
        <v>0</v>
      </c>
      <c r="O750" t="n">
        <v>0</v>
      </c>
      <c r="P750" t="n">
        <v>0</v>
      </c>
      <c r="Q750" t="n">
        <v>0</v>
      </c>
      <c r="R750" s="2" t="inlineStr"/>
    </row>
    <row r="751" ht="15" customHeight="1">
      <c r="A751" t="inlineStr">
        <is>
          <t>A 55662-2022</t>
        </is>
      </c>
      <c r="B751" s="1" t="n">
        <v>44883</v>
      </c>
      <c r="C751" s="1" t="n">
        <v>45669</v>
      </c>
      <c r="D751" t="inlineStr">
        <is>
          <t>SKÅNE LÄN</t>
        </is>
      </c>
      <c r="E751" t="inlineStr">
        <is>
          <t>HÄSSLEHOLM</t>
        </is>
      </c>
      <c r="F751" t="inlineStr">
        <is>
          <t>Övriga Aktiebolag</t>
        </is>
      </c>
      <c r="G751" t="n">
        <v>2.6</v>
      </c>
      <c r="H751" t="n">
        <v>0</v>
      </c>
      <c r="I751" t="n">
        <v>0</v>
      </c>
      <c r="J751" t="n">
        <v>0</v>
      </c>
      <c r="K751" t="n">
        <v>0</v>
      </c>
      <c r="L751" t="n">
        <v>0</v>
      </c>
      <c r="M751" t="n">
        <v>0</v>
      </c>
      <c r="N751" t="n">
        <v>0</v>
      </c>
      <c r="O751" t="n">
        <v>0</v>
      </c>
      <c r="P751" t="n">
        <v>0</v>
      </c>
      <c r="Q751" t="n">
        <v>0</v>
      </c>
      <c r="R751" s="2" t="inlineStr"/>
    </row>
    <row r="752" ht="15" customHeight="1">
      <c r="A752" t="inlineStr">
        <is>
          <t>A 55690-2022</t>
        </is>
      </c>
      <c r="B752" s="1" t="n">
        <v>44883</v>
      </c>
      <c r="C752" s="1" t="n">
        <v>45669</v>
      </c>
      <c r="D752" t="inlineStr">
        <is>
          <t>SKÅNE LÄN</t>
        </is>
      </c>
      <c r="E752" t="inlineStr">
        <is>
          <t>HÄSSLEHOLM</t>
        </is>
      </c>
      <c r="G752" t="n">
        <v>3.5</v>
      </c>
      <c r="H752" t="n">
        <v>0</v>
      </c>
      <c r="I752" t="n">
        <v>0</v>
      </c>
      <c r="J752" t="n">
        <v>0</v>
      </c>
      <c r="K752" t="n">
        <v>0</v>
      </c>
      <c r="L752" t="n">
        <v>0</v>
      </c>
      <c r="M752" t="n">
        <v>0</v>
      </c>
      <c r="N752" t="n">
        <v>0</v>
      </c>
      <c r="O752" t="n">
        <v>0</v>
      </c>
      <c r="P752" t="n">
        <v>0</v>
      </c>
      <c r="Q752" t="n">
        <v>0</v>
      </c>
      <c r="R752" s="2" t="inlineStr"/>
    </row>
    <row r="753" ht="15" customHeight="1">
      <c r="A753" t="inlineStr">
        <is>
          <t>A 55618-2022</t>
        </is>
      </c>
      <c r="B753" s="1" t="n">
        <v>44883</v>
      </c>
      <c r="C753" s="1" t="n">
        <v>45669</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55649-2022</t>
        </is>
      </c>
      <c r="B754" s="1" t="n">
        <v>44883</v>
      </c>
      <c r="C754" s="1" t="n">
        <v>45669</v>
      </c>
      <c r="D754" t="inlineStr">
        <is>
          <t>SKÅNE LÄN</t>
        </is>
      </c>
      <c r="E754" t="inlineStr">
        <is>
          <t>HÄSSLEHOLM</t>
        </is>
      </c>
      <c r="F754" t="inlineStr">
        <is>
          <t>Övriga Aktiebolag</t>
        </is>
      </c>
      <c r="G754" t="n">
        <v>2.4</v>
      </c>
      <c r="H754" t="n">
        <v>0</v>
      </c>
      <c r="I754" t="n">
        <v>0</v>
      </c>
      <c r="J754" t="n">
        <v>0</v>
      </c>
      <c r="K754" t="n">
        <v>0</v>
      </c>
      <c r="L754" t="n">
        <v>0</v>
      </c>
      <c r="M754" t="n">
        <v>0</v>
      </c>
      <c r="N754" t="n">
        <v>0</v>
      </c>
      <c r="O754" t="n">
        <v>0</v>
      </c>
      <c r="P754" t="n">
        <v>0</v>
      </c>
      <c r="Q754" t="n">
        <v>0</v>
      </c>
      <c r="R754" s="2" t="inlineStr"/>
    </row>
    <row r="755" ht="15" customHeight="1">
      <c r="A755" t="inlineStr">
        <is>
          <t>A 54948-2022</t>
        </is>
      </c>
      <c r="B755" s="1" t="n">
        <v>44886</v>
      </c>
      <c r="C755" s="1" t="n">
        <v>45669</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55154-2022</t>
        </is>
      </c>
      <c r="B756" s="1" t="n">
        <v>44886</v>
      </c>
      <c r="C756" s="1" t="n">
        <v>45669</v>
      </c>
      <c r="D756" t="inlineStr">
        <is>
          <t>SKÅNE LÄN</t>
        </is>
      </c>
      <c r="E756" t="inlineStr">
        <is>
          <t>HÄSSLEHOLM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55155-2022</t>
        </is>
      </c>
      <c r="B757" s="1" t="n">
        <v>44886</v>
      </c>
      <c r="C757" s="1" t="n">
        <v>45669</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55364-2022</t>
        </is>
      </c>
      <c r="B758" s="1" t="n">
        <v>44887</v>
      </c>
      <c r="C758" s="1" t="n">
        <v>45669</v>
      </c>
      <c r="D758" t="inlineStr">
        <is>
          <t>SKÅNE LÄN</t>
        </is>
      </c>
      <c r="E758" t="inlineStr">
        <is>
          <t>HÄSSLEHOLM</t>
        </is>
      </c>
      <c r="G758" t="n">
        <v>0.4</v>
      </c>
      <c r="H758" t="n">
        <v>0</v>
      </c>
      <c r="I758" t="n">
        <v>0</v>
      </c>
      <c r="J758" t="n">
        <v>0</v>
      </c>
      <c r="K758" t="n">
        <v>0</v>
      </c>
      <c r="L758" t="n">
        <v>0</v>
      </c>
      <c r="M758" t="n">
        <v>0</v>
      </c>
      <c r="N758" t="n">
        <v>0</v>
      </c>
      <c r="O758" t="n">
        <v>0</v>
      </c>
      <c r="P758" t="n">
        <v>0</v>
      </c>
      <c r="Q758" t="n">
        <v>0</v>
      </c>
      <c r="R758" s="2" t="inlineStr"/>
    </row>
    <row r="759" ht="15" customHeight="1">
      <c r="A759" t="inlineStr">
        <is>
          <t>A 55394-2022</t>
        </is>
      </c>
      <c r="B759" s="1" t="n">
        <v>44887</v>
      </c>
      <c r="C759" s="1" t="n">
        <v>45669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55425-2022</t>
        </is>
      </c>
      <c r="B760" s="1" t="n">
        <v>44887</v>
      </c>
      <c r="C760" s="1" t="n">
        <v>45669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57033-2022</t>
        </is>
      </c>
      <c r="B761" s="1" t="n">
        <v>44895</v>
      </c>
      <c r="C761" s="1" t="n">
        <v>45669</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57079-2022</t>
        </is>
      </c>
      <c r="B762" s="1" t="n">
        <v>44895</v>
      </c>
      <c r="C762" s="1" t="n">
        <v>45669</v>
      </c>
      <c r="D762" t="inlineStr">
        <is>
          <t>SKÅNE LÄN</t>
        </is>
      </c>
      <c r="E762" t="inlineStr">
        <is>
          <t>HÄSSLEHOLM</t>
        </is>
      </c>
      <c r="G762" t="n">
        <v>2.6</v>
      </c>
      <c r="H762" t="n">
        <v>0</v>
      </c>
      <c r="I762" t="n">
        <v>0</v>
      </c>
      <c r="J762" t="n">
        <v>0</v>
      </c>
      <c r="K762" t="n">
        <v>0</v>
      </c>
      <c r="L762" t="n">
        <v>0</v>
      </c>
      <c r="M762" t="n">
        <v>0</v>
      </c>
      <c r="N762" t="n">
        <v>0</v>
      </c>
      <c r="O762" t="n">
        <v>0</v>
      </c>
      <c r="P762" t="n">
        <v>0</v>
      </c>
      <c r="Q762" t="n">
        <v>0</v>
      </c>
      <c r="R762" s="2" t="inlineStr"/>
    </row>
    <row r="763" ht="15" customHeight="1">
      <c r="A763" t="inlineStr">
        <is>
          <t>A 58891-2022</t>
        </is>
      </c>
      <c r="B763" s="1" t="n">
        <v>44896</v>
      </c>
      <c r="C763" s="1" t="n">
        <v>45669</v>
      </c>
      <c r="D763" t="inlineStr">
        <is>
          <t>SKÅNE LÄN</t>
        </is>
      </c>
      <c r="E763" t="inlineStr">
        <is>
          <t>HÄSSLEHOLM</t>
        </is>
      </c>
      <c r="F763" t="inlineStr">
        <is>
          <t>Kyrkan</t>
        </is>
      </c>
      <c r="G763" t="n">
        <v>1.6</v>
      </c>
      <c r="H763" t="n">
        <v>0</v>
      </c>
      <c r="I763" t="n">
        <v>0</v>
      </c>
      <c r="J763" t="n">
        <v>0</v>
      </c>
      <c r="K763" t="n">
        <v>0</v>
      </c>
      <c r="L763" t="n">
        <v>0</v>
      </c>
      <c r="M763" t="n">
        <v>0</v>
      </c>
      <c r="N763" t="n">
        <v>0</v>
      </c>
      <c r="O763" t="n">
        <v>0</v>
      </c>
      <c r="P763" t="n">
        <v>0</v>
      </c>
      <c r="Q763" t="n">
        <v>0</v>
      </c>
      <c r="R763" s="2" t="inlineStr"/>
    </row>
    <row r="764" ht="15" customHeight="1">
      <c r="A764" t="inlineStr">
        <is>
          <t>A 57656-2022</t>
        </is>
      </c>
      <c r="B764" s="1" t="n">
        <v>44897</v>
      </c>
      <c r="C764" s="1" t="n">
        <v>45669</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57649-2022</t>
        </is>
      </c>
      <c r="B765" s="1" t="n">
        <v>44897</v>
      </c>
      <c r="C765" s="1" t="n">
        <v>45669</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57676-2022</t>
        </is>
      </c>
      <c r="B766" s="1" t="n">
        <v>44897</v>
      </c>
      <c r="C766" s="1" t="n">
        <v>45669</v>
      </c>
      <c r="D766" t="inlineStr">
        <is>
          <t>SKÅNE LÄN</t>
        </is>
      </c>
      <c r="E766" t="inlineStr">
        <is>
          <t>HÄSSLEHOLM</t>
        </is>
      </c>
      <c r="G766" t="n">
        <v>1</v>
      </c>
      <c r="H766" t="n">
        <v>0</v>
      </c>
      <c r="I766" t="n">
        <v>0</v>
      </c>
      <c r="J766" t="n">
        <v>0</v>
      </c>
      <c r="K766" t="n">
        <v>0</v>
      </c>
      <c r="L766" t="n">
        <v>0</v>
      </c>
      <c r="M766" t="n">
        <v>0</v>
      </c>
      <c r="N766" t="n">
        <v>0</v>
      </c>
      <c r="O766" t="n">
        <v>0</v>
      </c>
      <c r="P766" t="n">
        <v>0</v>
      </c>
      <c r="Q766" t="n">
        <v>0</v>
      </c>
      <c r="R766" s="2" t="inlineStr"/>
    </row>
    <row r="767" ht="15" customHeight="1">
      <c r="A767" t="inlineStr">
        <is>
          <t>A 57665-2022</t>
        </is>
      </c>
      <c r="B767" s="1" t="n">
        <v>44897</v>
      </c>
      <c r="C767" s="1" t="n">
        <v>45669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57978-2022</t>
        </is>
      </c>
      <c r="B768" s="1" t="n">
        <v>44900</v>
      </c>
      <c r="C768" s="1" t="n">
        <v>45669</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59763-2022</t>
        </is>
      </c>
      <c r="B769" s="1" t="n">
        <v>44900</v>
      </c>
      <c r="C769" s="1" t="n">
        <v>45669</v>
      </c>
      <c r="D769" t="inlineStr">
        <is>
          <t>SKÅNE LÄN</t>
        </is>
      </c>
      <c r="E769" t="inlineStr">
        <is>
          <t>HÄSSLEHOLM</t>
        </is>
      </c>
      <c r="F769" t="inlineStr">
        <is>
          <t>Övriga Aktiebolag</t>
        </is>
      </c>
      <c r="G769" t="n">
        <v>1.2</v>
      </c>
      <c r="H769" t="n">
        <v>0</v>
      </c>
      <c r="I769" t="n">
        <v>0</v>
      </c>
      <c r="J769" t="n">
        <v>0</v>
      </c>
      <c r="K769" t="n">
        <v>0</v>
      </c>
      <c r="L769" t="n">
        <v>0</v>
      </c>
      <c r="M769" t="n">
        <v>0</v>
      </c>
      <c r="N769" t="n">
        <v>0</v>
      </c>
      <c r="O769" t="n">
        <v>0</v>
      </c>
      <c r="P769" t="n">
        <v>0</v>
      </c>
      <c r="Q769" t="n">
        <v>0</v>
      </c>
      <c r="R769" s="2" t="inlineStr"/>
    </row>
    <row r="770" ht="15" customHeight="1">
      <c r="A770" t="inlineStr">
        <is>
          <t>A 59728-2022</t>
        </is>
      </c>
      <c r="B770" s="1" t="n">
        <v>44900</v>
      </c>
      <c r="C770" s="1" t="n">
        <v>45669</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61485-2022</t>
        </is>
      </c>
      <c r="B771" s="1" t="n">
        <v>44910</v>
      </c>
      <c r="C771" s="1" t="n">
        <v>45669</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61498-2022</t>
        </is>
      </c>
      <c r="B772" s="1" t="n">
        <v>44910</v>
      </c>
      <c r="C772" s="1" t="n">
        <v>45669</v>
      </c>
      <c r="D772" t="inlineStr">
        <is>
          <t>SKÅNE LÄN</t>
        </is>
      </c>
      <c r="E772" t="inlineStr">
        <is>
          <t>HÄSSLEHOLM</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61504-2022</t>
        </is>
      </c>
      <c r="B773" s="1" t="n">
        <v>44910</v>
      </c>
      <c r="C773" s="1" t="n">
        <v>45669</v>
      </c>
      <c r="D773" t="inlineStr">
        <is>
          <t>SKÅNE LÄN</t>
        </is>
      </c>
      <c r="E773" t="inlineStr">
        <is>
          <t>HÄSSLEHOLM</t>
        </is>
      </c>
      <c r="F773" t="inlineStr">
        <is>
          <t>Kyrkan</t>
        </is>
      </c>
      <c r="G773" t="n">
        <v>2.9</v>
      </c>
      <c r="H773" t="n">
        <v>0</v>
      </c>
      <c r="I773" t="n">
        <v>0</v>
      </c>
      <c r="J773" t="n">
        <v>0</v>
      </c>
      <c r="K773" t="n">
        <v>0</v>
      </c>
      <c r="L773" t="n">
        <v>0</v>
      </c>
      <c r="M773" t="n">
        <v>0</v>
      </c>
      <c r="N773" t="n">
        <v>0</v>
      </c>
      <c r="O773" t="n">
        <v>0</v>
      </c>
      <c r="P773" t="n">
        <v>0</v>
      </c>
      <c r="Q773" t="n">
        <v>0</v>
      </c>
      <c r="R773" s="2" t="inlineStr"/>
    </row>
    <row r="774" ht="15" customHeight="1">
      <c r="A774" t="inlineStr">
        <is>
          <t>A 61507-2022</t>
        </is>
      </c>
      <c r="B774" s="1" t="n">
        <v>44910</v>
      </c>
      <c r="C774" s="1" t="n">
        <v>45669</v>
      </c>
      <c r="D774" t="inlineStr">
        <is>
          <t>SKÅNE LÄN</t>
        </is>
      </c>
      <c r="E774" t="inlineStr">
        <is>
          <t>HÄSSLEHOLM</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61524-2022</t>
        </is>
      </c>
      <c r="B775" s="1" t="n">
        <v>44910</v>
      </c>
      <c r="C775" s="1" t="n">
        <v>45669</v>
      </c>
      <c r="D775" t="inlineStr">
        <is>
          <t>SKÅNE LÄN</t>
        </is>
      </c>
      <c r="E775" t="inlineStr">
        <is>
          <t>HÄSSLEHOLM</t>
        </is>
      </c>
      <c r="F775" t="inlineStr">
        <is>
          <t>Kyrkan</t>
        </is>
      </c>
      <c r="G775" t="n">
        <v>2.1</v>
      </c>
      <c r="H775" t="n">
        <v>0</v>
      </c>
      <c r="I775" t="n">
        <v>0</v>
      </c>
      <c r="J775" t="n">
        <v>0</v>
      </c>
      <c r="K775" t="n">
        <v>0</v>
      </c>
      <c r="L775" t="n">
        <v>0</v>
      </c>
      <c r="M775" t="n">
        <v>0</v>
      </c>
      <c r="N775" t="n">
        <v>0</v>
      </c>
      <c r="O775" t="n">
        <v>0</v>
      </c>
      <c r="P775" t="n">
        <v>0</v>
      </c>
      <c r="Q775" t="n">
        <v>0</v>
      </c>
      <c r="R775" s="2" t="inlineStr"/>
    </row>
    <row r="776" ht="15" customHeight="1">
      <c r="A776" t="inlineStr">
        <is>
          <t>A 61539-2022</t>
        </is>
      </c>
      <c r="B776" s="1" t="n">
        <v>44910</v>
      </c>
      <c r="C776" s="1" t="n">
        <v>45669</v>
      </c>
      <c r="D776" t="inlineStr">
        <is>
          <t>SKÅNE LÄN</t>
        </is>
      </c>
      <c r="E776" t="inlineStr">
        <is>
          <t>HÄSSLEHOLM</t>
        </is>
      </c>
      <c r="G776" t="n">
        <v>8.6</v>
      </c>
      <c r="H776" t="n">
        <v>0</v>
      </c>
      <c r="I776" t="n">
        <v>0</v>
      </c>
      <c r="J776" t="n">
        <v>0</v>
      </c>
      <c r="K776" t="n">
        <v>0</v>
      </c>
      <c r="L776" t="n">
        <v>0</v>
      </c>
      <c r="M776" t="n">
        <v>0</v>
      </c>
      <c r="N776" t="n">
        <v>0</v>
      </c>
      <c r="O776" t="n">
        <v>0</v>
      </c>
      <c r="P776" t="n">
        <v>0</v>
      </c>
      <c r="Q776" t="n">
        <v>0</v>
      </c>
      <c r="R776" s="2" t="inlineStr"/>
    </row>
    <row r="777" ht="15" customHeight="1">
      <c r="A777" t="inlineStr">
        <is>
          <t>A 61533-2022</t>
        </is>
      </c>
      <c r="B777" s="1" t="n">
        <v>44910</v>
      </c>
      <c r="C777" s="1" t="n">
        <v>45669</v>
      </c>
      <c r="D777" t="inlineStr">
        <is>
          <t>SKÅNE LÄN</t>
        </is>
      </c>
      <c r="E777" t="inlineStr">
        <is>
          <t>HÄSSLEHOLM</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60519-2022</t>
        </is>
      </c>
      <c r="B778" s="1" t="n">
        <v>44911</v>
      </c>
      <c r="C778" s="1" t="n">
        <v>45669</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60846-2022</t>
        </is>
      </c>
      <c r="B779" s="1" t="n">
        <v>44914</v>
      </c>
      <c r="C779" s="1" t="n">
        <v>45669</v>
      </c>
      <c r="D779" t="inlineStr">
        <is>
          <t>SKÅNE LÄN</t>
        </is>
      </c>
      <c r="E779" t="inlineStr">
        <is>
          <t>HÄSSLEHOLM</t>
        </is>
      </c>
      <c r="G779" t="n">
        <v>2.1</v>
      </c>
      <c r="H779" t="n">
        <v>0</v>
      </c>
      <c r="I779" t="n">
        <v>0</v>
      </c>
      <c r="J779" t="n">
        <v>0</v>
      </c>
      <c r="K779" t="n">
        <v>0</v>
      </c>
      <c r="L779" t="n">
        <v>0</v>
      </c>
      <c r="M779" t="n">
        <v>0</v>
      </c>
      <c r="N779" t="n">
        <v>0</v>
      </c>
      <c r="O779" t="n">
        <v>0</v>
      </c>
      <c r="P779" t="n">
        <v>0</v>
      </c>
      <c r="Q779" t="n">
        <v>0</v>
      </c>
      <c r="R779" s="2" t="inlineStr"/>
    </row>
    <row r="780" ht="15" customHeight="1">
      <c r="A780" t="inlineStr">
        <is>
          <t>A 60843-2022</t>
        </is>
      </c>
      <c r="B780" s="1" t="n">
        <v>44914</v>
      </c>
      <c r="C780" s="1" t="n">
        <v>45669</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60848-2022</t>
        </is>
      </c>
      <c r="B781" s="1" t="n">
        <v>44914</v>
      </c>
      <c r="C781" s="1" t="n">
        <v>45669</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60959-2022</t>
        </is>
      </c>
      <c r="B782" s="1" t="n">
        <v>44914</v>
      </c>
      <c r="C782" s="1" t="n">
        <v>45669</v>
      </c>
      <c r="D782" t="inlineStr">
        <is>
          <t>SKÅNE LÄN</t>
        </is>
      </c>
      <c r="E782" t="inlineStr">
        <is>
          <t>HÄSSLEHOLM</t>
        </is>
      </c>
      <c r="G782" t="n">
        <v>0.9</v>
      </c>
      <c r="H782" t="n">
        <v>0</v>
      </c>
      <c r="I782" t="n">
        <v>0</v>
      </c>
      <c r="J782" t="n">
        <v>0</v>
      </c>
      <c r="K782" t="n">
        <v>0</v>
      </c>
      <c r="L782" t="n">
        <v>0</v>
      </c>
      <c r="M782" t="n">
        <v>0</v>
      </c>
      <c r="N782" t="n">
        <v>0</v>
      </c>
      <c r="O782" t="n">
        <v>0</v>
      </c>
      <c r="P782" t="n">
        <v>0</v>
      </c>
      <c r="Q782" t="n">
        <v>0</v>
      </c>
      <c r="R782" s="2" t="inlineStr"/>
    </row>
    <row r="783" ht="15" customHeight="1">
      <c r="A783" t="inlineStr">
        <is>
          <t>A 61170-2022</t>
        </is>
      </c>
      <c r="B783" s="1" t="n">
        <v>44915</v>
      </c>
      <c r="C783" s="1" t="n">
        <v>45669</v>
      </c>
      <c r="D783" t="inlineStr">
        <is>
          <t>SKÅNE LÄN</t>
        </is>
      </c>
      <c r="E783" t="inlineStr">
        <is>
          <t>HÄSSLEHOLM</t>
        </is>
      </c>
      <c r="G783" t="n">
        <v>1.2</v>
      </c>
      <c r="H783" t="n">
        <v>0</v>
      </c>
      <c r="I783" t="n">
        <v>0</v>
      </c>
      <c r="J783" t="n">
        <v>0</v>
      </c>
      <c r="K783" t="n">
        <v>0</v>
      </c>
      <c r="L783" t="n">
        <v>0</v>
      </c>
      <c r="M783" t="n">
        <v>0</v>
      </c>
      <c r="N783" t="n">
        <v>0</v>
      </c>
      <c r="O783" t="n">
        <v>0</v>
      </c>
      <c r="P783" t="n">
        <v>0</v>
      </c>
      <c r="Q783" t="n">
        <v>0</v>
      </c>
      <c r="R783" s="2" t="inlineStr"/>
    </row>
    <row r="784" ht="15" customHeight="1">
      <c r="A784" t="inlineStr">
        <is>
          <t>A 61186-2022</t>
        </is>
      </c>
      <c r="B784" s="1" t="n">
        <v>44915</v>
      </c>
      <c r="C784" s="1" t="n">
        <v>45669</v>
      </c>
      <c r="D784" t="inlineStr">
        <is>
          <t>SKÅNE LÄN</t>
        </is>
      </c>
      <c r="E784" t="inlineStr">
        <is>
          <t>HÄSSLEHOLM</t>
        </is>
      </c>
      <c r="G784" t="n">
        <v>2.9</v>
      </c>
      <c r="H784" t="n">
        <v>0</v>
      </c>
      <c r="I784" t="n">
        <v>0</v>
      </c>
      <c r="J784" t="n">
        <v>0</v>
      </c>
      <c r="K784" t="n">
        <v>0</v>
      </c>
      <c r="L784" t="n">
        <v>0</v>
      </c>
      <c r="M784" t="n">
        <v>0</v>
      </c>
      <c r="N784" t="n">
        <v>0</v>
      </c>
      <c r="O784" t="n">
        <v>0</v>
      </c>
      <c r="P784" t="n">
        <v>0</v>
      </c>
      <c r="Q784" t="n">
        <v>0</v>
      </c>
      <c r="R784" s="2" t="inlineStr"/>
    </row>
    <row r="785" ht="15" customHeight="1">
      <c r="A785" t="inlineStr">
        <is>
          <t>A 61178-2022</t>
        </is>
      </c>
      <c r="B785" s="1" t="n">
        <v>44915</v>
      </c>
      <c r="C785" s="1" t="n">
        <v>45669</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61292-2022</t>
        </is>
      </c>
      <c r="B786" s="1" t="n">
        <v>44915</v>
      </c>
      <c r="C786" s="1" t="n">
        <v>45669</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61158-2022</t>
        </is>
      </c>
      <c r="B787" s="1" t="n">
        <v>44915</v>
      </c>
      <c r="C787" s="1" t="n">
        <v>45669</v>
      </c>
      <c r="D787" t="inlineStr">
        <is>
          <t>SKÅNE LÄN</t>
        </is>
      </c>
      <c r="E787" t="inlineStr">
        <is>
          <t>HÄSSLEHOLM</t>
        </is>
      </c>
      <c r="G787" t="n">
        <v>8.4</v>
      </c>
      <c r="H787" t="n">
        <v>0</v>
      </c>
      <c r="I787" t="n">
        <v>0</v>
      </c>
      <c r="J787" t="n">
        <v>0</v>
      </c>
      <c r="K787" t="n">
        <v>0</v>
      </c>
      <c r="L787" t="n">
        <v>0</v>
      </c>
      <c r="M787" t="n">
        <v>0</v>
      </c>
      <c r="N787" t="n">
        <v>0</v>
      </c>
      <c r="O787" t="n">
        <v>0</v>
      </c>
      <c r="P787" t="n">
        <v>0</v>
      </c>
      <c r="Q787" t="n">
        <v>0</v>
      </c>
      <c r="R787" s="2" t="inlineStr"/>
    </row>
    <row r="788" ht="15" customHeight="1">
      <c r="A788" t="inlineStr">
        <is>
          <t>A 62171-2022</t>
        </is>
      </c>
      <c r="B788" s="1" t="n">
        <v>44915</v>
      </c>
      <c r="C788" s="1" t="n">
        <v>45669</v>
      </c>
      <c r="D788" t="inlineStr">
        <is>
          <t>SKÅNE LÄN</t>
        </is>
      </c>
      <c r="E788" t="inlineStr">
        <is>
          <t>HÄSSLEHOLM</t>
        </is>
      </c>
      <c r="F788" t="inlineStr">
        <is>
          <t>Kyrkan</t>
        </is>
      </c>
      <c r="G788" t="n">
        <v>9</v>
      </c>
      <c r="H788" t="n">
        <v>0</v>
      </c>
      <c r="I788" t="n">
        <v>0</v>
      </c>
      <c r="J788" t="n">
        <v>0</v>
      </c>
      <c r="K788" t="n">
        <v>0</v>
      </c>
      <c r="L788" t="n">
        <v>0</v>
      </c>
      <c r="M788" t="n">
        <v>0</v>
      </c>
      <c r="N788" t="n">
        <v>0</v>
      </c>
      <c r="O788" t="n">
        <v>0</v>
      </c>
      <c r="P788" t="n">
        <v>0</v>
      </c>
      <c r="Q788" t="n">
        <v>0</v>
      </c>
      <c r="R788" s="2" t="inlineStr"/>
    </row>
    <row r="789" ht="15" customHeight="1">
      <c r="A789" t="inlineStr">
        <is>
          <t>A 61185-2022</t>
        </is>
      </c>
      <c r="B789" s="1" t="n">
        <v>44915</v>
      </c>
      <c r="C789" s="1" t="n">
        <v>45669</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62167-2022</t>
        </is>
      </c>
      <c r="B790" s="1" t="n">
        <v>44915</v>
      </c>
      <c r="C790" s="1" t="n">
        <v>45669</v>
      </c>
      <c r="D790" t="inlineStr">
        <is>
          <t>SKÅNE LÄN</t>
        </is>
      </c>
      <c r="E790" t="inlineStr">
        <is>
          <t>HÄSSLEHOLM</t>
        </is>
      </c>
      <c r="F790" t="inlineStr">
        <is>
          <t>Kyrkan</t>
        </is>
      </c>
      <c r="G790" t="n">
        <v>3.1</v>
      </c>
      <c r="H790" t="n">
        <v>0</v>
      </c>
      <c r="I790" t="n">
        <v>0</v>
      </c>
      <c r="J790" t="n">
        <v>0</v>
      </c>
      <c r="K790" t="n">
        <v>0</v>
      </c>
      <c r="L790" t="n">
        <v>0</v>
      </c>
      <c r="M790" t="n">
        <v>0</v>
      </c>
      <c r="N790" t="n">
        <v>0</v>
      </c>
      <c r="O790" t="n">
        <v>0</v>
      </c>
      <c r="P790" t="n">
        <v>0</v>
      </c>
      <c r="Q790" t="n">
        <v>0</v>
      </c>
      <c r="R790" s="2" t="inlineStr"/>
    </row>
    <row r="791" ht="15" customHeight="1">
      <c r="A791" t="inlineStr">
        <is>
          <t>A 62199-2022</t>
        </is>
      </c>
      <c r="B791" s="1" t="n">
        <v>44915</v>
      </c>
      <c r="C791" s="1" t="n">
        <v>45669</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61625-2022</t>
        </is>
      </c>
      <c r="B792" s="1" t="n">
        <v>44916</v>
      </c>
      <c r="C792" s="1" t="n">
        <v>45669</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61680-2022</t>
        </is>
      </c>
      <c r="B793" s="1" t="n">
        <v>44917</v>
      </c>
      <c r="C793" s="1" t="n">
        <v>45669</v>
      </c>
      <c r="D793" t="inlineStr">
        <is>
          <t>SKÅNE LÄN</t>
        </is>
      </c>
      <c r="E793" t="inlineStr">
        <is>
          <t>HÄSSLEHOLM</t>
        </is>
      </c>
      <c r="G793" t="n">
        <v>2.4</v>
      </c>
      <c r="H793" t="n">
        <v>0</v>
      </c>
      <c r="I793" t="n">
        <v>0</v>
      </c>
      <c r="J793" t="n">
        <v>0</v>
      </c>
      <c r="K793" t="n">
        <v>0</v>
      </c>
      <c r="L793" t="n">
        <v>0</v>
      </c>
      <c r="M793" t="n">
        <v>0</v>
      </c>
      <c r="N793" t="n">
        <v>0</v>
      </c>
      <c r="O793" t="n">
        <v>0</v>
      </c>
      <c r="P793" t="n">
        <v>0</v>
      </c>
      <c r="Q793" t="n">
        <v>0</v>
      </c>
      <c r="R793" s="2" t="inlineStr"/>
    </row>
    <row r="794" ht="15" customHeight="1">
      <c r="A794" t="inlineStr">
        <is>
          <t>A 61909-2022</t>
        </is>
      </c>
      <c r="B794" s="1" t="n">
        <v>44917</v>
      </c>
      <c r="C794" s="1" t="n">
        <v>45669</v>
      </c>
      <c r="D794" t="inlineStr">
        <is>
          <t>SKÅNE LÄN</t>
        </is>
      </c>
      <c r="E794" t="inlineStr">
        <is>
          <t>HÄSSLEHOLM</t>
        </is>
      </c>
      <c r="G794" t="n">
        <v>0.8</v>
      </c>
      <c r="H794" t="n">
        <v>0</v>
      </c>
      <c r="I794" t="n">
        <v>0</v>
      </c>
      <c r="J794" t="n">
        <v>0</v>
      </c>
      <c r="K794" t="n">
        <v>0</v>
      </c>
      <c r="L794" t="n">
        <v>0</v>
      </c>
      <c r="M794" t="n">
        <v>0</v>
      </c>
      <c r="N794" t="n">
        <v>0</v>
      </c>
      <c r="O794" t="n">
        <v>0</v>
      </c>
      <c r="P794" t="n">
        <v>0</v>
      </c>
      <c r="Q794" t="n">
        <v>0</v>
      </c>
      <c r="R794" s="2" t="inlineStr"/>
    </row>
    <row r="795" ht="15" customHeight="1">
      <c r="A795" t="inlineStr">
        <is>
          <t>A 61901-2022</t>
        </is>
      </c>
      <c r="B795" s="1" t="n">
        <v>44917</v>
      </c>
      <c r="C795" s="1" t="n">
        <v>45669</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62044-2022</t>
        </is>
      </c>
      <c r="B796" s="1" t="n">
        <v>44918</v>
      </c>
      <c r="C796" s="1" t="n">
        <v>45669</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62041-2022</t>
        </is>
      </c>
      <c r="B797" s="1" t="n">
        <v>44918</v>
      </c>
      <c r="C797" s="1" t="n">
        <v>45669</v>
      </c>
      <c r="D797" t="inlineStr">
        <is>
          <t>SKÅNE LÄN</t>
        </is>
      </c>
      <c r="E797" t="inlineStr">
        <is>
          <t>HÄSSLEHOLM</t>
        </is>
      </c>
      <c r="G797" t="n">
        <v>2.8</v>
      </c>
      <c r="H797" t="n">
        <v>0</v>
      </c>
      <c r="I797" t="n">
        <v>0</v>
      </c>
      <c r="J797" t="n">
        <v>0</v>
      </c>
      <c r="K797" t="n">
        <v>0</v>
      </c>
      <c r="L797" t="n">
        <v>0</v>
      </c>
      <c r="M797" t="n">
        <v>0</v>
      </c>
      <c r="N797" t="n">
        <v>0</v>
      </c>
      <c r="O797" t="n">
        <v>0</v>
      </c>
      <c r="P797" t="n">
        <v>0</v>
      </c>
      <c r="Q797" t="n">
        <v>0</v>
      </c>
      <c r="R797" s="2" t="inlineStr"/>
    </row>
    <row r="798" ht="15" customHeight="1">
      <c r="A798" t="inlineStr">
        <is>
          <t>A 62234-2022</t>
        </is>
      </c>
      <c r="B798" s="1" t="n">
        <v>44922</v>
      </c>
      <c r="C798" s="1" t="n">
        <v>45669</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876-2023</t>
        </is>
      </c>
      <c r="B799" s="1" t="n">
        <v>44931</v>
      </c>
      <c r="C799" s="1" t="n">
        <v>45669</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1426-2023</t>
        </is>
      </c>
      <c r="B800" s="1" t="n">
        <v>44937</v>
      </c>
      <c r="C800" s="1" t="n">
        <v>45669</v>
      </c>
      <c r="D800" t="inlineStr">
        <is>
          <t>SKÅNE LÄN</t>
        </is>
      </c>
      <c r="E800" t="inlineStr">
        <is>
          <t>HÄSSLEHOLM</t>
        </is>
      </c>
      <c r="F800" t="inlineStr">
        <is>
          <t>Sveaskog</t>
        </is>
      </c>
      <c r="G800" t="n">
        <v>6.8</v>
      </c>
      <c r="H800" t="n">
        <v>0</v>
      </c>
      <c r="I800" t="n">
        <v>0</v>
      </c>
      <c r="J800" t="n">
        <v>0</v>
      </c>
      <c r="K800" t="n">
        <v>0</v>
      </c>
      <c r="L800" t="n">
        <v>0</v>
      </c>
      <c r="M800" t="n">
        <v>0</v>
      </c>
      <c r="N800" t="n">
        <v>0</v>
      </c>
      <c r="O800" t="n">
        <v>0</v>
      </c>
      <c r="P800" t="n">
        <v>0</v>
      </c>
      <c r="Q800" t="n">
        <v>0</v>
      </c>
      <c r="R800" s="2" t="inlineStr"/>
    </row>
    <row r="801" ht="15" customHeight="1">
      <c r="A801" t="inlineStr">
        <is>
          <t>A 1560-2023</t>
        </is>
      </c>
      <c r="B801" s="1" t="n">
        <v>44937</v>
      </c>
      <c r="C801" s="1" t="n">
        <v>45669</v>
      </c>
      <c r="D801" t="inlineStr">
        <is>
          <t>SKÅNE LÄN</t>
        </is>
      </c>
      <c r="E801" t="inlineStr">
        <is>
          <t>HÄSSLEHOLM</t>
        </is>
      </c>
      <c r="G801" t="n">
        <v>6.8</v>
      </c>
      <c r="H801" t="n">
        <v>0</v>
      </c>
      <c r="I801" t="n">
        <v>0</v>
      </c>
      <c r="J801" t="n">
        <v>0</v>
      </c>
      <c r="K801" t="n">
        <v>0</v>
      </c>
      <c r="L801" t="n">
        <v>0</v>
      </c>
      <c r="M801" t="n">
        <v>0</v>
      </c>
      <c r="N801" t="n">
        <v>0</v>
      </c>
      <c r="O801" t="n">
        <v>0</v>
      </c>
      <c r="P801" t="n">
        <v>0</v>
      </c>
      <c r="Q801" t="n">
        <v>0</v>
      </c>
      <c r="R801" s="2" t="inlineStr"/>
    </row>
    <row r="802" ht="15" customHeight="1">
      <c r="A802" t="inlineStr">
        <is>
          <t>A 1557-2023</t>
        </is>
      </c>
      <c r="B802" s="1" t="n">
        <v>44937</v>
      </c>
      <c r="C802" s="1" t="n">
        <v>45669</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1562-2023</t>
        </is>
      </c>
      <c r="B803" s="1" t="n">
        <v>44937</v>
      </c>
      <c r="C803" s="1" t="n">
        <v>45669</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1553-2023</t>
        </is>
      </c>
      <c r="B804" s="1" t="n">
        <v>44937</v>
      </c>
      <c r="C804" s="1" t="n">
        <v>45669</v>
      </c>
      <c r="D804" t="inlineStr">
        <is>
          <t>SKÅNE LÄN</t>
        </is>
      </c>
      <c r="E804" t="inlineStr">
        <is>
          <t>HÄSSLEHOLM</t>
        </is>
      </c>
      <c r="G804" t="n">
        <v>0.9</v>
      </c>
      <c r="H804" t="n">
        <v>0</v>
      </c>
      <c r="I804" t="n">
        <v>0</v>
      </c>
      <c r="J804" t="n">
        <v>0</v>
      </c>
      <c r="K804" t="n">
        <v>0</v>
      </c>
      <c r="L804" t="n">
        <v>0</v>
      </c>
      <c r="M804" t="n">
        <v>0</v>
      </c>
      <c r="N804" t="n">
        <v>0</v>
      </c>
      <c r="O804" t="n">
        <v>0</v>
      </c>
      <c r="P804" t="n">
        <v>0</v>
      </c>
      <c r="Q804" t="n">
        <v>0</v>
      </c>
      <c r="R804" s="2" t="inlineStr"/>
    </row>
    <row r="805" ht="15" customHeight="1">
      <c r="A805" t="inlineStr">
        <is>
          <t>A 2663-2023</t>
        </is>
      </c>
      <c r="B805" s="1" t="n">
        <v>44942</v>
      </c>
      <c r="C805" s="1" t="n">
        <v>45669</v>
      </c>
      <c r="D805" t="inlineStr">
        <is>
          <t>SKÅNE LÄN</t>
        </is>
      </c>
      <c r="E805" t="inlineStr">
        <is>
          <t>HÄSSLEHOLM</t>
        </is>
      </c>
      <c r="F805" t="inlineStr">
        <is>
          <t>Kyrkan</t>
        </is>
      </c>
      <c r="G805" t="n">
        <v>0.8</v>
      </c>
      <c r="H805" t="n">
        <v>0</v>
      </c>
      <c r="I805" t="n">
        <v>0</v>
      </c>
      <c r="J805" t="n">
        <v>0</v>
      </c>
      <c r="K805" t="n">
        <v>0</v>
      </c>
      <c r="L805" t="n">
        <v>0</v>
      </c>
      <c r="M805" t="n">
        <v>0</v>
      </c>
      <c r="N805" t="n">
        <v>0</v>
      </c>
      <c r="O805" t="n">
        <v>0</v>
      </c>
      <c r="P805" t="n">
        <v>0</v>
      </c>
      <c r="Q805" t="n">
        <v>0</v>
      </c>
      <c r="R805" s="2" t="inlineStr"/>
    </row>
    <row r="806" ht="15" customHeight="1">
      <c r="A806" t="inlineStr">
        <is>
          <t>A 2743-2023</t>
        </is>
      </c>
      <c r="B806" s="1" t="n">
        <v>44944</v>
      </c>
      <c r="C806" s="1" t="n">
        <v>45669</v>
      </c>
      <c r="D806" t="inlineStr">
        <is>
          <t>SKÅNE LÄN</t>
        </is>
      </c>
      <c r="E806" t="inlineStr">
        <is>
          <t>HÄSSLEHOLM</t>
        </is>
      </c>
      <c r="F806" t="inlineStr">
        <is>
          <t>Sveaskog</t>
        </is>
      </c>
      <c r="G806" t="n">
        <v>1.9</v>
      </c>
      <c r="H806" t="n">
        <v>0</v>
      </c>
      <c r="I806" t="n">
        <v>0</v>
      </c>
      <c r="J806" t="n">
        <v>0</v>
      </c>
      <c r="K806" t="n">
        <v>0</v>
      </c>
      <c r="L806" t="n">
        <v>0</v>
      </c>
      <c r="M806" t="n">
        <v>0</v>
      </c>
      <c r="N806" t="n">
        <v>0</v>
      </c>
      <c r="O806" t="n">
        <v>0</v>
      </c>
      <c r="P806" t="n">
        <v>0</v>
      </c>
      <c r="Q806" t="n">
        <v>0</v>
      </c>
      <c r="R806" s="2" t="inlineStr"/>
    </row>
    <row r="807" ht="15" customHeight="1">
      <c r="A807" t="inlineStr">
        <is>
          <t>A 2882-2023</t>
        </is>
      </c>
      <c r="B807" s="1" t="n">
        <v>44945</v>
      </c>
      <c r="C807" s="1" t="n">
        <v>45669</v>
      </c>
      <c r="D807" t="inlineStr">
        <is>
          <t>SKÅNE LÄN</t>
        </is>
      </c>
      <c r="E807" t="inlineStr">
        <is>
          <t>HÄSSLEHOLM</t>
        </is>
      </c>
      <c r="G807" t="n">
        <v>5.2</v>
      </c>
      <c r="H807" t="n">
        <v>0</v>
      </c>
      <c r="I807" t="n">
        <v>0</v>
      </c>
      <c r="J807" t="n">
        <v>0</v>
      </c>
      <c r="K807" t="n">
        <v>0</v>
      </c>
      <c r="L807" t="n">
        <v>0</v>
      </c>
      <c r="M807" t="n">
        <v>0</v>
      </c>
      <c r="N807" t="n">
        <v>0</v>
      </c>
      <c r="O807" t="n">
        <v>0</v>
      </c>
      <c r="P807" t="n">
        <v>0</v>
      </c>
      <c r="Q807" t="n">
        <v>0</v>
      </c>
      <c r="R807" s="2" t="inlineStr"/>
    </row>
    <row r="808" ht="15" customHeight="1">
      <c r="A808" t="inlineStr">
        <is>
          <t>A 3135-2023</t>
        </is>
      </c>
      <c r="B808" s="1" t="n">
        <v>44946</v>
      </c>
      <c r="C808" s="1" t="n">
        <v>45669</v>
      </c>
      <c r="D808" t="inlineStr">
        <is>
          <t>SKÅNE LÄN</t>
        </is>
      </c>
      <c r="E808" t="inlineStr">
        <is>
          <t>HÄSSLEHOLM</t>
        </is>
      </c>
      <c r="G808" t="n">
        <v>7.2</v>
      </c>
      <c r="H808" t="n">
        <v>0</v>
      </c>
      <c r="I808" t="n">
        <v>0</v>
      </c>
      <c r="J808" t="n">
        <v>0</v>
      </c>
      <c r="K808" t="n">
        <v>0</v>
      </c>
      <c r="L808" t="n">
        <v>0</v>
      </c>
      <c r="M808" t="n">
        <v>0</v>
      </c>
      <c r="N808" t="n">
        <v>0</v>
      </c>
      <c r="O808" t="n">
        <v>0</v>
      </c>
      <c r="P808" t="n">
        <v>0</v>
      </c>
      <c r="Q808" t="n">
        <v>0</v>
      </c>
      <c r="R808" s="2" t="inlineStr"/>
    </row>
    <row r="809" ht="15" customHeight="1">
      <c r="A809" t="inlineStr">
        <is>
          <t>A 3123-2023</t>
        </is>
      </c>
      <c r="B809" s="1" t="n">
        <v>44946</v>
      </c>
      <c r="C809" s="1" t="n">
        <v>45669</v>
      </c>
      <c r="D809" t="inlineStr">
        <is>
          <t>SKÅNE LÄN</t>
        </is>
      </c>
      <c r="E809" t="inlineStr">
        <is>
          <t>HÄSSLEHOLM</t>
        </is>
      </c>
      <c r="G809" t="n">
        <v>3.5</v>
      </c>
      <c r="H809" t="n">
        <v>0</v>
      </c>
      <c r="I809" t="n">
        <v>0</v>
      </c>
      <c r="J809" t="n">
        <v>0</v>
      </c>
      <c r="K809" t="n">
        <v>0</v>
      </c>
      <c r="L809" t="n">
        <v>0</v>
      </c>
      <c r="M809" t="n">
        <v>0</v>
      </c>
      <c r="N809" t="n">
        <v>0</v>
      </c>
      <c r="O809" t="n">
        <v>0</v>
      </c>
      <c r="P809" t="n">
        <v>0</v>
      </c>
      <c r="Q809" t="n">
        <v>0</v>
      </c>
      <c r="R809" s="2" t="inlineStr"/>
    </row>
    <row r="810" ht="15" customHeight="1">
      <c r="A810" t="inlineStr">
        <is>
          <t>A 3069-2023</t>
        </is>
      </c>
      <c r="B810" s="1" t="n">
        <v>44946</v>
      </c>
      <c r="C810" s="1" t="n">
        <v>45669</v>
      </c>
      <c r="D810" t="inlineStr">
        <is>
          <t>SKÅNE LÄN</t>
        </is>
      </c>
      <c r="E810" t="inlineStr">
        <is>
          <t>HÄSSLEHOLM</t>
        </is>
      </c>
      <c r="G810" t="n">
        <v>3.7</v>
      </c>
      <c r="H810" t="n">
        <v>0</v>
      </c>
      <c r="I810" t="n">
        <v>0</v>
      </c>
      <c r="J810" t="n">
        <v>0</v>
      </c>
      <c r="K810" t="n">
        <v>0</v>
      </c>
      <c r="L810" t="n">
        <v>0</v>
      </c>
      <c r="M810" t="n">
        <v>0</v>
      </c>
      <c r="N810" t="n">
        <v>0</v>
      </c>
      <c r="O810" t="n">
        <v>0</v>
      </c>
      <c r="P810" t="n">
        <v>0</v>
      </c>
      <c r="Q810" t="n">
        <v>0</v>
      </c>
      <c r="R810" s="2" t="inlineStr"/>
    </row>
    <row r="811" ht="15" customHeight="1">
      <c r="A811" t="inlineStr">
        <is>
          <t>A 3126-2023</t>
        </is>
      </c>
      <c r="B811" s="1" t="n">
        <v>44946</v>
      </c>
      <c r="C811" s="1" t="n">
        <v>45669</v>
      </c>
      <c r="D811" t="inlineStr">
        <is>
          <t>SKÅNE LÄN</t>
        </is>
      </c>
      <c r="E811" t="inlineStr">
        <is>
          <t>HÄSSLEHOLM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3132-2023</t>
        </is>
      </c>
      <c r="B812" s="1" t="n">
        <v>44946</v>
      </c>
      <c r="C812" s="1" t="n">
        <v>45669</v>
      </c>
      <c r="D812" t="inlineStr">
        <is>
          <t>SKÅNE LÄN</t>
        </is>
      </c>
      <c r="E812" t="inlineStr">
        <is>
          <t>HÄSSLEHOLM</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3349-2023</t>
        </is>
      </c>
      <c r="B813" s="1" t="n">
        <v>44949</v>
      </c>
      <c r="C813" s="1" t="n">
        <v>45669</v>
      </c>
      <c r="D813" t="inlineStr">
        <is>
          <t>SKÅNE LÄN</t>
        </is>
      </c>
      <c r="E813" t="inlineStr">
        <is>
          <t>HÄSSLEHOLM</t>
        </is>
      </c>
      <c r="G813" t="n">
        <v>2.3</v>
      </c>
      <c r="H813" t="n">
        <v>0</v>
      </c>
      <c r="I813" t="n">
        <v>0</v>
      </c>
      <c r="J813" t="n">
        <v>0</v>
      </c>
      <c r="K813" t="n">
        <v>0</v>
      </c>
      <c r="L813" t="n">
        <v>0</v>
      </c>
      <c r="M813" t="n">
        <v>0</v>
      </c>
      <c r="N813" t="n">
        <v>0</v>
      </c>
      <c r="O813" t="n">
        <v>0</v>
      </c>
      <c r="P813" t="n">
        <v>0</v>
      </c>
      <c r="Q813" t="n">
        <v>0</v>
      </c>
      <c r="R813" s="2" t="inlineStr"/>
    </row>
    <row r="814" ht="15" customHeight="1">
      <c r="A814" t="inlineStr">
        <is>
          <t>A 3325-2023</t>
        </is>
      </c>
      <c r="B814" s="1" t="n">
        <v>44949</v>
      </c>
      <c r="C814" s="1" t="n">
        <v>45669</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3364-2023</t>
        </is>
      </c>
      <c r="B815" s="1" t="n">
        <v>44949</v>
      </c>
      <c r="C815" s="1" t="n">
        <v>45669</v>
      </c>
      <c r="D815" t="inlineStr">
        <is>
          <t>SKÅNE LÄN</t>
        </is>
      </c>
      <c r="E815" t="inlineStr">
        <is>
          <t>HÄSSLEHOLM</t>
        </is>
      </c>
      <c r="G815" t="n">
        <v>5.1</v>
      </c>
      <c r="H815" t="n">
        <v>0</v>
      </c>
      <c r="I815" t="n">
        <v>0</v>
      </c>
      <c r="J815" t="n">
        <v>0</v>
      </c>
      <c r="K815" t="n">
        <v>0</v>
      </c>
      <c r="L815" t="n">
        <v>0</v>
      </c>
      <c r="M815" t="n">
        <v>0</v>
      </c>
      <c r="N815" t="n">
        <v>0</v>
      </c>
      <c r="O815" t="n">
        <v>0</v>
      </c>
      <c r="P815" t="n">
        <v>0</v>
      </c>
      <c r="Q815" t="n">
        <v>0</v>
      </c>
      <c r="R815" s="2" t="inlineStr"/>
    </row>
    <row r="816" ht="15" customHeight="1">
      <c r="A816" t="inlineStr">
        <is>
          <t>A 3291-2023</t>
        </is>
      </c>
      <c r="B816" s="1" t="n">
        <v>44949</v>
      </c>
      <c r="C816" s="1" t="n">
        <v>45669</v>
      </c>
      <c r="D816" t="inlineStr">
        <is>
          <t>SKÅNE LÄN</t>
        </is>
      </c>
      <c r="E816" t="inlineStr">
        <is>
          <t>HÄSSLEHOLM</t>
        </is>
      </c>
      <c r="G816" t="n">
        <v>3.6</v>
      </c>
      <c r="H816" t="n">
        <v>0</v>
      </c>
      <c r="I816" t="n">
        <v>0</v>
      </c>
      <c r="J816" t="n">
        <v>0</v>
      </c>
      <c r="K816" t="n">
        <v>0</v>
      </c>
      <c r="L816" t="n">
        <v>0</v>
      </c>
      <c r="M816" t="n">
        <v>0</v>
      </c>
      <c r="N816" t="n">
        <v>0</v>
      </c>
      <c r="O816" t="n">
        <v>0</v>
      </c>
      <c r="P816" t="n">
        <v>0</v>
      </c>
      <c r="Q816" t="n">
        <v>0</v>
      </c>
      <c r="R816" s="2" t="inlineStr"/>
    </row>
    <row r="817" ht="15" customHeight="1">
      <c r="A817" t="inlineStr">
        <is>
          <t>A 3452-2023</t>
        </is>
      </c>
      <c r="B817" s="1" t="n">
        <v>44949</v>
      </c>
      <c r="C817" s="1" t="n">
        <v>45669</v>
      </c>
      <c r="D817" t="inlineStr">
        <is>
          <t>SKÅNE LÄN</t>
        </is>
      </c>
      <c r="E817" t="inlineStr">
        <is>
          <t>HÄSSLEHOLM</t>
        </is>
      </c>
      <c r="G817" t="n">
        <v>1.3</v>
      </c>
      <c r="H817" t="n">
        <v>0</v>
      </c>
      <c r="I817" t="n">
        <v>0</v>
      </c>
      <c r="J817" t="n">
        <v>0</v>
      </c>
      <c r="K817" t="n">
        <v>0</v>
      </c>
      <c r="L817" t="n">
        <v>0</v>
      </c>
      <c r="M817" t="n">
        <v>0</v>
      </c>
      <c r="N817" t="n">
        <v>0</v>
      </c>
      <c r="O817" t="n">
        <v>0</v>
      </c>
      <c r="P817" t="n">
        <v>0</v>
      </c>
      <c r="Q817" t="n">
        <v>0</v>
      </c>
      <c r="R817" s="2" t="inlineStr"/>
    </row>
    <row r="818" ht="15" customHeight="1">
      <c r="A818" t="inlineStr">
        <is>
          <t>A 3531-2023</t>
        </is>
      </c>
      <c r="B818" s="1" t="n">
        <v>44950</v>
      </c>
      <c r="C818" s="1" t="n">
        <v>45669</v>
      </c>
      <c r="D818" t="inlineStr">
        <is>
          <t>SKÅNE LÄN</t>
        </is>
      </c>
      <c r="E818" t="inlineStr">
        <is>
          <t>HÄSSLEHOLM</t>
        </is>
      </c>
      <c r="G818" t="n">
        <v>10.1</v>
      </c>
      <c r="H818" t="n">
        <v>0</v>
      </c>
      <c r="I818" t="n">
        <v>0</v>
      </c>
      <c r="J818" t="n">
        <v>0</v>
      </c>
      <c r="K818" t="n">
        <v>0</v>
      </c>
      <c r="L818" t="n">
        <v>0</v>
      </c>
      <c r="M818" t="n">
        <v>0</v>
      </c>
      <c r="N818" t="n">
        <v>0</v>
      </c>
      <c r="O818" t="n">
        <v>0</v>
      </c>
      <c r="P818" t="n">
        <v>0</v>
      </c>
      <c r="Q818" t="n">
        <v>0</v>
      </c>
      <c r="R818" s="2" t="inlineStr"/>
    </row>
    <row r="819" ht="15" customHeight="1">
      <c r="A819" t="inlineStr">
        <is>
          <t>A 3855-2023</t>
        </is>
      </c>
      <c r="B819" s="1" t="n">
        <v>44951</v>
      </c>
      <c r="C819" s="1" t="n">
        <v>45669</v>
      </c>
      <c r="D819" t="inlineStr">
        <is>
          <t>SKÅNE LÄN</t>
        </is>
      </c>
      <c r="E819" t="inlineStr">
        <is>
          <t>HÄSSLEHOLM</t>
        </is>
      </c>
      <c r="G819" t="n">
        <v>2.3</v>
      </c>
      <c r="H819" t="n">
        <v>0</v>
      </c>
      <c r="I819" t="n">
        <v>0</v>
      </c>
      <c r="J819" t="n">
        <v>0</v>
      </c>
      <c r="K819" t="n">
        <v>0</v>
      </c>
      <c r="L819" t="n">
        <v>0</v>
      </c>
      <c r="M819" t="n">
        <v>0</v>
      </c>
      <c r="N819" t="n">
        <v>0</v>
      </c>
      <c r="O819" t="n">
        <v>0</v>
      </c>
      <c r="P819" t="n">
        <v>0</v>
      </c>
      <c r="Q819" t="n">
        <v>0</v>
      </c>
      <c r="R819" s="2" t="inlineStr"/>
    </row>
    <row r="820" ht="15" customHeight="1">
      <c r="A820" t="inlineStr">
        <is>
          <t>A 4042-2023</t>
        </is>
      </c>
      <c r="B820" s="1" t="n">
        <v>44952</v>
      </c>
      <c r="C820" s="1" t="n">
        <v>45669</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4140-2023</t>
        </is>
      </c>
      <c r="B821" s="1" t="n">
        <v>44953</v>
      </c>
      <c r="C821" s="1" t="n">
        <v>45669</v>
      </c>
      <c r="D821" t="inlineStr">
        <is>
          <t>SKÅNE LÄN</t>
        </is>
      </c>
      <c r="E821" t="inlineStr">
        <is>
          <t>HÄSSLEHOLM</t>
        </is>
      </c>
      <c r="G821" t="n">
        <v>10.6</v>
      </c>
      <c r="H821" t="n">
        <v>0</v>
      </c>
      <c r="I821" t="n">
        <v>0</v>
      </c>
      <c r="J821" t="n">
        <v>0</v>
      </c>
      <c r="K821" t="n">
        <v>0</v>
      </c>
      <c r="L821" t="n">
        <v>0</v>
      </c>
      <c r="M821" t="n">
        <v>0</v>
      </c>
      <c r="N821" t="n">
        <v>0</v>
      </c>
      <c r="O821" t="n">
        <v>0</v>
      </c>
      <c r="P821" t="n">
        <v>0</v>
      </c>
      <c r="Q821" t="n">
        <v>0</v>
      </c>
      <c r="R821" s="2" t="inlineStr"/>
    </row>
    <row r="822" ht="15" customHeight="1">
      <c r="A822" t="inlineStr">
        <is>
          <t>A 4187-2023</t>
        </is>
      </c>
      <c r="B822" s="1" t="n">
        <v>44953</v>
      </c>
      <c r="C822" s="1" t="n">
        <v>45669</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4382-2023</t>
        </is>
      </c>
      <c r="B823" s="1" t="n">
        <v>44955</v>
      </c>
      <c r="C823" s="1" t="n">
        <v>45669</v>
      </c>
      <c r="D823" t="inlineStr">
        <is>
          <t>SKÅNE LÄN</t>
        </is>
      </c>
      <c r="E823" t="inlineStr">
        <is>
          <t>HÄSSLEHOLM</t>
        </is>
      </c>
      <c r="G823" t="n">
        <v>0.3</v>
      </c>
      <c r="H823" t="n">
        <v>0</v>
      </c>
      <c r="I823" t="n">
        <v>0</v>
      </c>
      <c r="J823" t="n">
        <v>0</v>
      </c>
      <c r="K823" t="n">
        <v>0</v>
      </c>
      <c r="L823" t="n">
        <v>0</v>
      </c>
      <c r="M823" t="n">
        <v>0</v>
      </c>
      <c r="N823" t="n">
        <v>0</v>
      </c>
      <c r="O823" t="n">
        <v>0</v>
      </c>
      <c r="P823" t="n">
        <v>0</v>
      </c>
      <c r="Q823" t="n">
        <v>0</v>
      </c>
      <c r="R823" s="2" t="inlineStr"/>
    </row>
    <row r="824" ht="15" customHeight="1">
      <c r="A824" t="inlineStr">
        <is>
          <t>A 4787-2023</t>
        </is>
      </c>
      <c r="B824" s="1" t="n">
        <v>44957</v>
      </c>
      <c r="C824" s="1" t="n">
        <v>45669</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4774-2023</t>
        </is>
      </c>
      <c r="B825" s="1" t="n">
        <v>44957</v>
      </c>
      <c r="C825" s="1" t="n">
        <v>45669</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4788-2023</t>
        </is>
      </c>
      <c r="B826" s="1" t="n">
        <v>44957</v>
      </c>
      <c r="C826" s="1" t="n">
        <v>45669</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5116-2023</t>
        </is>
      </c>
      <c r="B827" s="1" t="n">
        <v>44958</v>
      </c>
      <c r="C827" s="1" t="n">
        <v>45669</v>
      </c>
      <c r="D827" t="inlineStr">
        <is>
          <t>SKÅNE LÄN</t>
        </is>
      </c>
      <c r="E827" t="inlineStr">
        <is>
          <t>HÄSSLEHOLM</t>
        </is>
      </c>
      <c r="G827" t="n">
        <v>1.7</v>
      </c>
      <c r="H827" t="n">
        <v>0</v>
      </c>
      <c r="I827" t="n">
        <v>0</v>
      </c>
      <c r="J827" t="n">
        <v>0</v>
      </c>
      <c r="K827" t="n">
        <v>0</v>
      </c>
      <c r="L827" t="n">
        <v>0</v>
      </c>
      <c r="M827" t="n">
        <v>0</v>
      </c>
      <c r="N827" t="n">
        <v>0</v>
      </c>
      <c r="O827" t="n">
        <v>0</v>
      </c>
      <c r="P827" t="n">
        <v>0</v>
      </c>
      <c r="Q827" t="n">
        <v>0</v>
      </c>
      <c r="R827" s="2" t="inlineStr"/>
    </row>
    <row r="828" ht="15" customHeight="1">
      <c r="A828" t="inlineStr">
        <is>
          <t>A 5754-2023</t>
        </is>
      </c>
      <c r="B828" s="1" t="n">
        <v>44958</v>
      </c>
      <c r="C828" s="1" t="n">
        <v>45669</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5036-2023</t>
        </is>
      </c>
      <c r="B829" s="1" t="n">
        <v>44958</v>
      </c>
      <c r="C829" s="1" t="n">
        <v>45669</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5285-2023</t>
        </is>
      </c>
      <c r="B830" s="1" t="n">
        <v>44959</v>
      </c>
      <c r="C830" s="1" t="n">
        <v>45669</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5282-2023</t>
        </is>
      </c>
      <c r="B831" s="1" t="n">
        <v>44959</v>
      </c>
      <c r="C831" s="1" t="n">
        <v>45669</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5316-2023</t>
        </is>
      </c>
      <c r="B832" s="1" t="n">
        <v>44959</v>
      </c>
      <c r="C832" s="1" t="n">
        <v>45669</v>
      </c>
      <c r="D832" t="inlineStr">
        <is>
          <t>SKÅNE LÄN</t>
        </is>
      </c>
      <c r="E832" t="inlineStr">
        <is>
          <t>HÄSSLEHOLM</t>
        </is>
      </c>
      <c r="G832" t="n">
        <v>2.1</v>
      </c>
      <c r="H832" t="n">
        <v>0</v>
      </c>
      <c r="I832" t="n">
        <v>0</v>
      </c>
      <c r="J832" t="n">
        <v>0</v>
      </c>
      <c r="K832" t="n">
        <v>0</v>
      </c>
      <c r="L832" t="n">
        <v>0</v>
      </c>
      <c r="M832" t="n">
        <v>0</v>
      </c>
      <c r="N832" t="n">
        <v>0</v>
      </c>
      <c r="O832" t="n">
        <v>0</v>
      </c>
      <c r="P832" t="n">
        <v>0</v>
      </c>
      <c r="Q832" t="n">
        <v>0</v>
      </c>
      <c r="R832" s="2" t="inlineStr"/>
    </row>
    <row r="833" ht="15" customHeight="1">
      <c r="A833" t="inlineStr">
        <is>
          <t>A 5284-2023</t>
        </is>
      </c>
      <c r="B833" s="1" t="n">
        <v>44959</v>
      </c>
      <c r="C833" s="1" t="n">
        <v>45669</v>
      </c>
      <c r="D833" t="inlineStr">
        <is>
          <t>SKÅNE LÄN</t>
        </is>
      </c>
      <c r="E833" t="inlineStr">
        <is>
          <t>HÄSSLEHOLM</t>
        </is>
      </c>
      <c r="G833" t="n">
        <v>0.4</v>
      </c>
      <c r="H833" t="n">
        <v>0</v>
      </c>
      <c r="I833" t="n">
        <v>0</v>
      </c>
      <c r="J833" t="n">
        <v>0</v>
      </c>
      <c r="K833" t="n">
        <v>0</v>
      </c>
      <c r="L833" t="n">
        <v>0</v>
      </c>
      <c r="M833" t="n">
        <v>0</v>
      </c>
      <c r="N833" t="n">
        <v>0</v>
      </c>
      <c r="O833" t="n">
        <v>0</v>
      </c>
      <c r="P833" t="n">
        <v>0</v>
      </c>
      <c r="Q833" t="n">
        <v>0</v>
      </c>
      <c r="R833" s="2" t="inlineStr"/>
    </row>
    <row r="834" ht="15" customHeight="1">
      <c r="A834" t="inlineStr">
        <is>
          <t>A 5306-2023</t>
        </is>
      </c>
      <c r="B834" s="1" t="n">
        <v>44959</v>
      </c>
      <c r="C834" s="1" t="n">
        <v>45669</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5971-2023</t>
        </is>
      </c>
      <c r="B835" s="1" t="n">
        <v>44959</v>
      </c>
      <c r="C835" s="1" t="n">
        <v>45669</v>
      </c>
      <c r="D835" t="inlineStr">
        <is>
          <t>SKÅNE LÄN</t>
        </is>
      </c>
      <c r="E835" t="inlineStr">
        <is>
          <t>HÄSSLEHOLM</t>
        </is>
      </c>
      <c r="G835" t="n">
        <v>3.4</v>
      </c>
      <c r="H835" t="n">
        <v>0</v>
      </c>
      <c r="I835" t="n">
        <v>0</v>
      </c>
      <c r="J835" t="n">
        <v>0</v>
      </c>
      <c r="K835" t="n">
        <v>0</v>
      </c>
      <c r="L835" t="n">
        <v>0</v>
      </c>
      <c r="M835" t="n">
        <v>0</v>
      </c>
      <c r="N835" t="n">
        <v>0</v>
      </c>
      <c r="O835" t="n">
        <v>0</v>
      </c>
      <c r="P835" t="n">
        <v>0</v>
      </c>
      <c r="Q835" t="n">
        <v>0</v>
      </c>
      <c r="R835" s="2" t="inlineStr"/>
    </row>
    <row r="836" ht="15" customHeight="1">
      <c r="A836" t="inlineStr">
        <is>
          <t>A 5502-2023</t>
        </is>
      </c>
      <c r="B836" s="1" t="n">
        <v>44960</v>
      </c>
      <c r="C836" s="1" t="n">
        <v>45669</v>
      </c>
      <c r="D836" t="inlineStr">
        <is>
          <t>SKÅNE LÄN</t>
        </is>
      </c>
      <c r="E836" t="inlineStr">
        <is>
          <t>HÄSSLEHOLM</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5891-2023</t>
        </is>
      </c>
      <c r="B837" s="1" t="n">
        <v>44963</v>
      </c>
      <c r="C837" s="1" t="n">
        <v>45669</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5890-2023</t>
        </is>
      </c>
      <c r="B838" s="1" t="n">
        <v>44963</v>
      </c>
      <c r="C838" s="1" t="n">
        <v>45669</v>
      </c>
      <c r="D838" t="inlineStr">
        <is>
          <t>SKÅNE LÄN</t>
        </is>
      </c>
      <c r="E838" t="inlineStr">
        <is>
          <t>HÄSSLEHOLM</t>
        </is>
      </c>
      <c r="G838" t="n">
        <v>1.6</v>
      </c>
      <c r="H838" t="n">
        <v>0</v>
      </c>
      <c r="I838" t="n">
        <v>0</v>
      </c>
      <c r="J838" t="n">
        <v>0</v>
      </c>
      <c r="K838" t="n">
        <v>0</v>
      </c>
      <c r="L838" t="n">
        <v>0</v>
      </c>
      <c r="M838" t="n">
        <v>0</v>
      </c>
      <c r="N838" t="n">
        <v>0</v>
      </c>
      <c r="O838" t="n">
        <v>0</v>
      </c>
      <c r="P838" t="n">
        <v>0</v>
      </c>
      <c r="Q838" t="n">
        <v>0</v>
      </c>
      <c r="R838" s="2" t="inlineStr"/>
    </row>
    <row r="839" ht="15" customHeight="1">
      <c r="A839" t="inlineStr">
        <is>
          <t>A 5894-2023</t>
        </is>
      </c>
      <c r="B839" s="1" t="n">
        <v>44963</v>
      </c>
      <c r="C839" s="1" t="n">
        <v>45669</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6164-2023</t>
        </is>
      </c>
      <c r="B840" s="1" t="n">
        <v>44964</v>
      </c>
      <c r="C840" s="1" t="n">
        <v>45669</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6416-2023</t>
        </is>
      </c>
      <c r="B841" s="1" t="n">
        <v>44965</v>
      </c>
      <c r="C841" s="1" t="n">
        <v>45669</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6836-2023</t>
        </is>
      </c>
      <c r="B842" s="1" t="n">
        <v>44967</v>
      </c>
      <c r="C842" s="1" t="n">
        <v>45669</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6845-2023</t>
        </is>
      </c>
      <c r="B843" s="1" t="n">
        <v>44967</v>
      </c>
      <c r="C843" s="1" t="n">
        <v>45669</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6842-2023</t>
        </is>
      </c>
      <c r="B844" s="1" t="n">
        <v>44967</v>
      </c>
      <c r="C844" s="1" t="n">
        <v>45669</v>
      </c>
      <c r="D844" t="inlineStr">
        <is>
          <t>SKÅNE LÄN</t>
        </is>
      </c>
      <c r="E844" t="inlineStr">
        <is>
          <t>HÄSSLEHOLM</t>
        </is>
      </c>
      <c r="G844" t="n">
        <v>1.9</v>
      </c>
      <c r="H844" t="n">
        <v>0</v>
      </c>
      <c r="I844" t="n">
        <v>0</v>
      </c>
      <c r="J844" t="n">
        <v>0</v>
      </c>
      <c r="K844" t="n">
        <v>0</v>
      </c>
      <c r="L844" t="n">
        <v>0</v>
      </c>
      <c r="M844" t="n">
        <v>0</v>
      </c>
      <c r="N844" t="n">
        <v>0</v>
      </c>
      <c r="O844" t="n">
        <v>0</v>
      </c>
      <c r="P844" t="n">
        <v>0</v>
      </c>
      <c r="Q844" t="n">
        <v>0</v>
      </c>
      <c r="R844" s="2" t="inlineStr"/>
    </row>
    <row r="845" ht="15" customHeight="1">
      <c r="A845" t="inlineStr">
        <is>
          <t>A 6830-2023</t>
        </is>
      </c>
      <c r="B845" s="1" t="n">
        <v>44967</v>
      </c>
      <c r="C845" s="1" t="n">
        <v>45669</v>
      </c>
      <c r="D845" t="inlineStr">
        <is>
          <t>SKÅNE LÄN</t>
        </is>
      </c>
      <c r="E845" t="inlineStr">
        <is>
          <t>HÄSSLEHOLM</t>
        </is>
      </c>
      <c r="G845" t="n">
        <v>3.3</v>
      </c>
      <c r="H845" t="n">
        <v>0</v>
      </c>
      <c r="I845" t="n">
        <v>0</v>
      </c>
      <c r="J845" t="n">
        <v>0</v>
      </c>
      <c r="K845" t="n">
        <v>0</v>
      </c>
      <c r="L845" t="n">
        <v>0</v>
      </c>
      <c r="M845" t="n">
        <v>0</v>
      </c>
      <c r="N845" t="n">
        <v>0</v>
      </c>
      <c r="O845" t="n">
        <v>0</v>
      </c>
      <c r="P845" t="n">
        <v>0</v>
      </c>
      <c r="Q845" t="n">
        <v>0</v>
      </c>
      <c r="R845" s="2" t="inlineStr"/>
    </row>
    <row r="846" ht="15" customHeight="1">
      <c r="A846" t="inlineStr">
        <is>
          <t>A 6835-2023</t>
        </is>
      </c>
      <c r="B846" s="1" t="n">
        <v>44967</v>
      </c>
      <c r="C846" s="1" t="n">
        <v>45669</v>
      </c>
      <c r="D846" t="inlineStr">
        <is>
          <t>SKÅNE LÄN</t>
        </is>
      </c>
      <c r="E846" t="inlineStr">
        <is>
          <t>HÄSSLEHOLM</t>
        </is>
      </c>
      <c r="G846" t="n">
        <v>4.8</v>
      </c>
      <c r="H846" t="n">
        <v>0</v>
      </c>
      <c r="I846" t="n">
        <v>0</v>
      </c>
      <c r="J846" t="n">
        <v>0</v>
      </c>
      <c r="K846" t="n">
        <v>0</v>
      </c>
      <c r="L846" t="n">
        <v>0</v>
      </c>
      <c r="M846" t="n">
        <v>0</v>
      </c>
      <c r="N846" t="n">
        <v>0</v>
      </c>
      <c r="O846" t="n">
        <v>0</v>
      </c>
      <c r="P846" t="n">
        <v>0</v>
      </c>
      <c r="Q846" t="n">
        <v>0</v>
      </c>
      <c r="R846" s="2" t="inlineStr"/>
    </row>
    <row r="847" ht="15" customHeight="1">
      <c r="A847" t="inlineStr">
        <is>
          <t>A 7094-2023</t>
        </is>
      </c>
      <c r="B847" s="1" t="n">
        <v>44970</v>
      </c>
      <c r="C847" s="1" t="n">
        <v>45669</v>
      </c>
      <c r="D847" t="inlineStr">
        <is>
          <t>SKÅNE LÄN</t>
        </is>
      </c>
      <c r="E847" t="inlineStr">
        <is>
          <t>HÄSSLEHOLM</t>
        </is>
      </c>
      <c r="G847" t="n">
        <v>3.6</v>
      </c>
      <c r="H847" t="n">
        <v>0</v>
      </c>
      <c r="I847" t="n">
        <v>0</v>
      </c>
      <c r="J847" t="n">
        <v>0</v>
      </c>
      <c r="K847" t="n">
        <v>0</v>
      </c>
      <c r="L847" t="n">
        <v>0</v>
      </c>
      <c r="M847" t="n">
        <v>0</v>
      </c>
      <c r="N847" t="n">
        <v>0</v>
      </c>
      <c r="O847" t="n">
        <v>0</v>
      </c>
      <c r="P847" t="n">
        <v>0</v>
      </c>
      <c r="Q847" t="n">
        <v>0</v>
      </c>
      <c r="R847" s="2" t="inlineStr"/>
    </row>
    <row r="848" ht="15" customHeight="1">
      <c r="A848" t="inlineStr">
        <is>
          <t>A 7494-2023</t>
        </is>
      </c>
      <c r="B848" s="1" t="n">
        <v>44971</v>
      </c>
      <c r="C848" s="1" t="n">
        <v>45669</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7481-2023</t>
        </is>
      </c>
      <c r="B849" s="1" t="n">
        <v>44971</v>
      </c>
      <c r="C849" s="1" t="n">
        <v>45669</v>
      </c>
      <c r="D849" t="inlineStr">
        <is>
          <t>SKÅNE LÄN</t>
        </is>
      </c>
      <c r="E849" t="inlineStr">
        <is>
          <t>HÄSSLEHOLM</t>
        </is>
      </c>
      <c r="G849" t="n">
        <v>1.4</v>
      </c>
      <c r="H849" t="n">
        <v>0</v>
      </c>
      <c r="I849" t="n">
        <v>0</v>
      </c>
      <c r="J849" t="n">
        <v>0</v>
      </c>
      <c r="K849" t="n">
        <v>0</v>
      </c>
      <c r="L849" t="n">
        <v>0</v>
      </c>
      <c r="M849" t="n">
        <v>0</v>
      </c>
      <c r="N849" t="n">
        <v>0</v>
      </c>
      <c r="O849" t="n">
        <v>0</v>
      </c>
      <c r="P849" t="n">
        <v>0</v>
      </c>
      <c r="Q849" t="n">
        <v>0</v>
      </c>
      <c r="R849" s="2" t="inlineStr"/>
    </row>
    <row r="850" ht="15" customHeight="1">
      <c r="A850" t="inlineStr">
        <is>
          <t>A 8378-2023</t>
        </is>
      </c>
      <c r="B850" s="1" t="n">
        <v>44971</v>
      </c>
      <c r="C850" s="1" t="n">
        <v>45669</v>
      </c>
      <c r="D850" t="inlineStr">
        <is>
          <t>SKÅNE LÄN</t>
        </is>
      </c>
      <c r="E850" t="inlineStr">
        <is>
          <t>HÄSSLEHOLM</t>
        </is>
      </c>
      <c r="G850" t="n">
        <v>1.2</v>
      </c>
      <c r="H850" t="n">
        <v>0</v>
      </c>
      <c r="I850" t="n">
        <v>0</v>
      </c>
      <c r="J850" t="n">
        <v>0</v>
      </c>
      <c r="K850" t="n">
        <v>0</v>
      </c>
      <c r="L850" t="n">
        <v>0</v>
      </c>
      <c r="M850" t="n">
        <v>0</v>
      </c>
      <c r="N850" t="n">
        <v>0</v>
      </c>
      <c r="O850" t="n">
        <v>0</v>
      </c>
      <c r="P850" t="n">
        <v>0</v>
      </c>
      <c r="Q850" t="n">
        <v>0</v>
      </c>
      <c r="R850" s="2" t="inlineStr"/>
    </row>
    <row r="851" ht="15" customHeight="1">
      <c r="A851" t="inlineStr">
        <is>
          <t>A 7581-2023</t>
        </is>
      </c>
      <c r="B851" s="1" t="n">
        <v>44972</v>
      </c>
      <c r="C851" s="1" t="n">
        <v>45669</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8246-2023</t>
        </is>
      </c>
      <c r="B852" s="1" t="n">
        <v>44974</v>
      </c>
      <c r="C852" s="1" t="n">
        <v>45669</v>
      </c>
      <c r="D852" t="inlineStr">
        <is>
          <t>SKÅNE LÄN</t>
        </is>
      </c>
      <c r="E852" t="inlineStr">
        <is>
          <t>HÄSSLEHOLM</t>
        </is>
      </c>
      <c r="G852" t="n">
        <v>1.6</v>
      </c>
      <c r="H852" t="n">
        <v>0</v>
      </c>
      <c r="I852" t="n">
        <v>0</v>
      </c>
      <c r="J852" t="n">
        <v>0</v>
      </c>
      <c r="K852" t="n">
        <v>0</v>
      </c>
      <c r="L852" t="n">
        <v>0</v>
      </c>
      <c r="M852" t="n">
        <v>0</v>
      </c>
      <c r="N852" t="n">
        <v>0</v>
      </c>
      <c r="O852" t="n">
        <v>0</v>
      </c>
      <c r="P852" t="n">
        <v>0</v>
      </c>
      <c r="Q852" t="n">
        <v>0</v>
      </c>
      <c r="R852" s="2" t="inlineStr"/>
    </row>
    <row r="853" ht="15" customHeight="1">
      <c r="A853" t="inlineStr">
        <is>
          <t>A 8244-2023</t>
        </is>
      </c>
      <c r="B853" s="1" t="n">
        <v>44974</v>
      </c>
      <c r="C853" s="1" t="n">
        <v>45669</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45669</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8250-2023</t>
        </is>
      </c>
      <c r="B855" s="1" t="n">
        <v>44974</v>
      </c>
      <c r="C855" s="1" t="n">
        <v>45669</v>
      </c>
      <c r="D855" t="inlineStr">
        <is>
          <t>SKÅNE LÄN</t>
        </is>
      </c>
      <c r="E855" t="inlineStr">
        <is>
          <t>HÄSSLEHOLM</t>
        </is>
      </c>
      <c r="G855" t="n">
        <v>3</v>
      </c>
      <c r="H855" t="n">
        <v>0</v>
      </c>
      <c r="I855" t="n">
        <v>0</v>
      </c>
      <c r="J855" t="n">
        <v>0</v>
      </c>
      <c r="K855" t="n">
        <v>0</v>
      </c>
      <c r="L855" t="n">
        <v>0</v>
      </c>
      <c r="M855" t="n">
        <v>0</v>
      </c>
      <c r="N855" t="n">
        <v>0</v>
      </c>
      <c r="O855" t="n">
        <v>0</v>
      </c>
      <c r="P855" t="n">
        <v>0</v>
      </c>
      <c r="Q855" t="n">
        <v>0</v>
      </c>
      <c r="R855" s="2" t="inlineStr"/>
    </row>
    <row r="856" ht="15" customHeight="1">
      <c r="A856" t="inlineStr">
        <is>
          <t>A 8619-2023</t>
        </is>
      </c>
      <c r="B856" s="1" t="n">
        <v>44977</v>
      </c>
      <c r="C856" s="1" t="n">
        <v>45669</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8803-2023</t>
        </is>
      </c>
      <c r="B857" s="1" t="n">
        <v>44978</v>
      </c>
      <c r="C857" s="1" t="n">
        <v>45669</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8807-2023</t>
        </is>
      </c>
      <c r="B858" s="1" t="n">
        <v>44978</v>
      </c>
      <c r="C858" s="1" t="n">
        <v>45669</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8793-2023</t>
        </is>
      </c>
      <c r="B859" s="1" t="n">
        <v>44978</v>
      </c>
      <c r="C859" s="1" t="n">
        <v>45669</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9308-2023</t>
        </is>
      </c>
      <c r="B860" s="1" t="n">
        <v>44980</v>
      </c>
      <c r="C860" s="1" t="n">
        <v>45669</v>
      </c>
      <c r="D860" t="inlineStr">
        <is>
          <t>SKÅNE LÄN</t>
        </is>
      </c>
      <c r="E860" t="inlineStr">
        <is>
          <t>HÄSSLEHOLM</t>
        </is>
      </c>
      <c r="G860" t="n">
        <v>1.1</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45669</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9485-2023</t>
        </is>
      </c>
      <c r="B862" s="1" t="n">
        <v>44981</v>
      </c>
      <c r="C862" s="1" t="n">
        <v>45669</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9502-2023</t>
        </is>
      </c>
      <c r="B863" s="1" t="n">
        <v>44981</v>
      </c>
      <c r="C863" s="1" t="n">
        <v>45669</v>
      </c>
      <c r="D863" t="inlineStr">
        <is>
          <t>SKÅNE LÄN</t>
        </is>
      </c>
      <c r="E863" t="inlineStr">
        <is>
          <t>HÄSSLEHOLM</t>
        </is>
      </c>
      <c r="G863" t="n">
        <v>0.4</v>
      </c>
      <c r="H863" t="n">
        <v>0</v>
      </c>
      <c r="I863" t="n">
        <v>0</v>
      </c>
      <c r="J863" t="n">
        <v>0</v>
      </c>
      <c r="K863" t="n">
        <v>0</v>
      </c>
      <c r="L863" t="n">
        <v>0</v>
      </c>
      <c r="M863" t="n">
        <v>0</v>
      </c>
      <c r="N863" t="n">
        <v>0</v>
      </c>
      <c r="O863" t="n">
        <v>0</v>
      </c>
      <c r="P863" t="n">
        <v>0</v>
      </c>
      <c r="Q863" t="n">
        <v>0</v>
      </c>
      <c r="R863" s="2" t="inlineStr"/>
    </row>
    <row r="864" ht="15" customHeight="1">
      <c r="A864" t="inlineStr">
        <is>
          <t>A 9692-2023</t>
        </is>
      </c>
      <c r="B864" s="1" t="n">
        <v>44984</v>
      </c>
      <c r="C864" s="1" t="n">
        <v>45669</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9697-2023</t>
        </is>
      </c>
      <c r="B865" s="1" t="n">
        <v>44984</v>
      </c>
      <c r="C865" s="1" t="n">
        <v>45669</v>
      </c>
      <c r="D865" t="inlineStr">
        <is>
          <t>SKÅNE LÄN</t>
        </is>
      </c>
      <c r="E865" t="inlineStr">
        <is>
          <t>HÄSSLEHOLM</t>
        </is>
      </c>
      <c r="G865" t="n">
        <v>0.3</v>
      </c>
      <c r="H865" t="n">
        <v>0</v>
      </c>
      <c r="I865" t="n">
        <v>0</v>
      </c>
      <c r="J865" t="n">
        <v>0</v>
      </c>
      <c r="K865" t="n">
        <v>0</v>
      </c>
      <c r="L865" t="n">
        <v>0</v>
      </c>
      <c r="M865" t="n">
        <v>0</v>
      </c>
      <c r="N865" t="n">
        <v>0</v>
      </c>
      <c r="O865" t="n">
        <v>0</v>
      </c>
      <c r="P865" t="n">
        <v>0</v>
      </c>
      <c r="Q865" t="n">
        <v>0</v>
      </c>
      <c r="R865" s="2" t="inlineStr"/>
    </row>
    <row r="866" ht="15" customHeight="1">
      <c r="A866" t="inlineStr">
        <is>
          <t>A 9709-2023</t>
        </is>
      </c>
      <c r="B866" s="1" t="n">
        <v>44984</v>
      </c>
      <c r="C866" s="1" t="n">
        <v>45669</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10897-2023</t>
        </is>
      </c>
      <c r="B867" s="1" t="n">
        <v>44985</v>
      </c>
      <c r="C867" s="1" t="n">
        <v>45669</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10220-2023</t>
        </is>
      </c>
      <c r="B868" s="1" t="n">
        <v>44986</v>
      </c>
      <c r="C868" s="1" t="n">
        <v>45669</v>
      </c>
      <c r="D868" t="inlineStr">
        <is>
          <t>SKÅNE LÄN</t>
        </is>
      </c>
      <c r="E868" t="inlineStr">
        <is>
          <t>HÄSSLEHOLM</t>
        </is>
      </c>
      <c r="G868" t="n">
        <v>1.7</v>
      </c>
      <c r="H868" t="n">
        <v>0</v>
      </c>
      <c r="I868" t="n">
        <v>0</v>
      </c>
      <c r="J868" t="n">
        <v>0</v>
      </c>
      <c r="K868" t="n">
        <v>0</v>
      </c>
      <c r="L868" t="n">
        <v>0</v>
      </c>
      <c r="M868" t="n">
        <v>0</v>
      </c>
      <c r="N868" t="n">
        <v>0</v>
      </c>
      <c r="O868" t="n">
        <v>0</v>
      </c>
      <c r="P868" t="n">
        <v>0</v>
      </c>
      <c r="Q868" t="n">
        <v>0</v>
      </c>
      <c r="R868" s="2" t="inlineStr"/>
    </row>
    <row r="869" ht="15" customHeight="1">
      <c r="A869" t="inlineStr">
        <is>
          <t>A 10277-2023</t>
        </is>
      </c>
      <c r="B869" s="1" t="n">
        <v>44986</v>
      </c>
      <c r="C869" s="1" t="n">
        <v>45669</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10221-2023</t>
        </is>
      </c>
      <c r="B870" s="1" t="n">
        <v>44986</v>
      </c>
      <c r="C870" s="1" t="n">
        <v>45669</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10270-2023</t>
        </is>
      </c>
      <c r="B871" s="1" t="n">
        <v>44986</v>
      </c>
      <c r="C871" s="1" t="n">
        <v>45669</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10290-2023</t>
        </is>
      </c>
      <c r="B872" s="1" t="n">
        <v>44986</v>
      </c>
      <c r="C872" s="1" t="n">
        <v>45669</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11121-2023</t>
        </is>
      </c>
      <c r="B873" s="1" t="n">
        <v>44986</v>
      </c>
      <c r="C873" s="1" t="n">
        <v>45669</v>
      </c>
      <c r="D873" t="inlineStr">
        <is>
          <t>SKÅNE LÄN</t>
        </is>
      </c>
      <c r="E873" t="inlineStr">
        <is>
          <t>HÄSSLEHOLM</t>
        </is>
      </c>
      <c r="F873" t="inlineStr">
        <is>
          <t>Kommuner</t>
        </is>
      </c>
      <c r="G873" t="n">
        <v>5.8</v>
      </c>
      <c r="H873" t="n">
        <v>0</v>
      </c>
      <c r="I873" t="n">
        <v>0</v>
      </c>
      <c r="J873" t="n">
        <v>0</v>
      </c>
      <c r="K873" t="n">
        <v>0</v>
      </c>
      <c r="L873" t="n">
        <v>0</v>
      </c>
      <c r="M873" t="n">
        <v>0</v>
      </c>
      <c r="N873" t="n">
        <v>0</v>
      </c>
      <c r="O873" t="n">
        <v>0</v>
      </c>
      <c r="P873" t="n">
        <v>0</v>
      </c>
      <c r="Q873" t="n">
        <v>0</v>
      </c>
      <c r="R873" s="2" t="inlineStr"/>
    </row>
    <row r="874" ht="15" customHeight="1">
      <c r="A874" t="inlineStr">
        <is>
          <t>A 11116-2023</t>
        </is>
      </c>
      <c r="B874" s="1" t="n">
        <v>44986</v>
      </c>
      <c r="C874" s="1" t="n">
        <v>45669</v>
      </c>
      <c r="D874" t="inlineStr">
        <is>
          <t>SKÅNE LÄN</t>
        </is>
      </c>
      <c r="E874" t="inlineStr">
        <is>
          <t>HÄSSLEHOLM</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10389-2023</t>
        </is>
      </c>
      <c r="B875" s="1" t="n">
        <v>44987</v>
      </c>
      <c r="C875" s="1" t="n">
        <v>45669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10660-2023</t>
        </is>
      </c>
      <c r="B876" s="1" t="n">
        <v>44988</v>
      </c>
      <c r="C876" s="1" t="n">
        <v>45669</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11217-2023</t>
        </is>
      </c>
      <c r="B877" s="1" t="n">
        <v>44992</v>
      </c>
      <c r="C877" s="1" t="n">
        <v>45669</v>
      </c>
      <c r="D877" t="inlineStr">
        <is>
          <t>SKÅNE LÄN</t>
        </is>
      </c>
      <c r="E877" t="inlineStr">
        <is>
          <t>HÄSSLEHOLM</t>
        </is>
      </c>
      <c r="G877" t="n">
        <v>1.9</v>
      </c>
      <c r="H877" t="n">
        <v>0</v>
      </c>
      <c r="I877" t="n">
        <v>0</v>
      </c>
      <c r="J877" t="n">
        <v>0</v>
      </c>
      <c r="K877" t="n">
        <v>0</v>
      </c>
      <c r="L877" t="n">
        <v>0</v>
      </c>
      <c r="M877" t="n">
        <v>0</v>
      </c>
      <c r="N877" t="n">
        <v>0</v>
      </c>
      <c r="O877" t="n">
        <v>0</v>
      </c>
      <c r="P877" t="n">
        <v>0</v>
      </c>
      <c r="Q877" t="n">
        <v>0</v>
      </c>
      <c r="R877" s="2" t="inlineStr"/>
    </row>
    <row r="878" ht="15" customHeight="1">
      <c r="A878" t="inlineStr">
        <is>
          <t>A 11237-2023</t>
        </is>
      </c>
      <c r="B878" s="1" t="n">
        <v>44992</v>
      </c>
      <c r="C878" s="1" t="n">
        <v>45669</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11240-2023</t>
        </is>
      </c>
      <c r="B879" s="1" t="n">
        <v>44992</v>
      </c>
      <c r="C879" s="1" t="n">
        <v>45669</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11681-2023</t>
        </is>
      </c>
      <c r="B880" s="1" t="n">
        <v>44992</v>
      </c>
      <c r="C880" s="1" t="n">
        <v>45669</v>
      </c>
      <c r="D880" t="inlineStr">
        <is>
          <t>SKÅNE LÄN</t>
        </is>
      </c>
      <c r="E880" t="inlineStr">
        <is>
          <t>HÄSSLEHOLM</t>
        </is>
      </c>
      <c r="F880" t="inlineStr">
        <is>
          <t>Övriga Aktiebolag</t>
        </is>
      </c>
      <c r="G880" t="n">
        <v>1.6</v>
      </c>
      <c r="H880" t="n">
        <v>0</v>
      </c>
      <c r="I880" t="n">
        <v>0</v>
      </c>
      <c r="J880" t="n">
        <v>0</v>
      </c>
      <c r="K880" t="n">
        <v>0</v>
      </c>
      <c r="L880" t="n">
        <v>0</v>
      </c>
      <c r="M880" t="n">
        <v>0</v>
      </c>
      <c r="N880" t="n">
        <v>0</v>
      </c>
      <c r="O880" t="n">
        <v>0</v>
      </c>
      <c r="P880" t="n">
        <v>0</v>
      </c>
      <c r="Q880" t="n">
        <v>0</v>
      </c>
      <c r="R880" s="2" t="inlineStr"/>
    </row>
    <row r="881" ht="15" customHeight="1">
      <c r="A881" t="inlineStr">
        <is>
          <t>A 11715-2023</t>
        </is>
      </c>
      <c r="B881" s="1" t="n">
        <v>44992</v>
      </c>
      <c r="C881" s="1" t="n">
        <v>45669</v>
      </c>
      <c r="D881" t="inlineStr">
        <is>
          <t>SKÅNE LÄN</t>
        </is>
      </c>
      <c r="E881" t="inlineStr">
        <is>
          <t>HÄSSLEHOLM</t>
        </is>
      </c>
      <c r="F881" t="inlineStr">
        <is>
          <t>Övriga Aktiebolag</t>
        </is>
      </c>
      <c r="G881" t="n">
        <v>2</v>
      </c>
      <c r="H881" t="n">
        <v>0</v>
      </c>
      <c r="I881" t="n">
        <v>0</v>
      </c>
      <c r="J881" t="n">
        <v>0</v>
      </c>
      <c r="K881" t="n">
        <v>0</v>
      </c>
      <c r="L881" t="n">
        <v>0</v>
      </c>
      <c r="M881" t="n">
        <v>0</v>
      </c>
      <c r="N881" t="n">
        <v>0</v>
      </c>
      <c r="O881" t="n">
        <v>0</v>
      </c>
      <c r="P881" t="n">
        <v>0</v>
      </c>
      <c r="Q881" t="n">
        <v>0</v>
      </c>
      <c r="R881" s="2" t="inlineStr"/>
    </row>
    <row r="882" ht="15" customHeight="1">
      <c r="A882" t="inlineStr">
        <is>
          <t>A 11840-2023</t>
        </is>
      </c>
      <c r="B882" s="1" t="n">
        <v>44995</v>
      </c>
      <c r="C882" s="1" t="n">
        <v>45669</v>
      </c>
      <c r="D882" t="inlineStr">
        <is>
          <t>SKÅNE LÄN</t>
        </is>
      </c>
      <c r="E882" t="inlineStr">
        <is>
          <t>HÄSSLEHOLM</t>
        </is>
      </c>
      <c r="G882" t="n">
        <v>1.5</v>
      </c>
      <c r="H882" t="n">
        <v>0</v>
      </c>
      <c r="I882" t="n">
        <v>0</v>
      </c>
      <c r="J882" t="n">
        <v>0</v>
      </c>
      <c r="K882" t="n">
        <v>0</v>
      </c>
      <c r="L882" t="n">
        <v>0</v>
      </c>
      <c r="M882" t="n">
        <v>0</v>
      </c>
      <c r="N882" t="n">
        <v>0</v>
      </c>
      <c r="O882" t="n">
        <v>0</v>
      </c>
      <c r="P882" t="n">
        <v>0</v>
      </c>
      <c r="Q882" t="n">
        <v>0</v>
      </c>
      <c r="R882" s="2" t="inlineStr"/>
    </row>
    <row r="883" ht="15" customHeight="1">
      <c r="A883" t="inlineStr">
        <is>
          <t>A 12162-2023</t>
        </is>
      </c>
      <c r="B883" s="1" t="n">
        <v>44998</v>
      </c>
      <c r="C883" s="1" t="n">
        <v>45669</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12346-2023</t>
        </is>
      </c>
      <c r="B884" s="1" t="n">
        <v>44999</v>
      </c>
      <c r="C884" s="1" t="n">
        <v>45669</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12344-2023</t>
        </is>
      </c>
      <c r="B885" s="1" t="n">
        <v>44999</v>
      </c>
      <c r="C885" s="1" t="n">
        <v>45669</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12469-2023</t>
        </is>
      </c>
      <c r="B886" s="1" t="n">
        <v>44999</v>
      </c>
      <c r="C886" s="1" t="n">
        <v>45669</v>
      </c>
      <c r="D886" t="inlineStr">
        <is>
          <t>SKÅNE LÄN</t>
        </is>
      </c>
      <c r="E886" t="inlineStr">
        <is>
          <t>HÄSSLEHOLM</t>
        </is>
      </c>
      <c r="G886" t="n">
        <v>2.6</v>
      </c>
      <c r="H886" t="n">
        <v>0</v>
      </c>
      <c r="I886" t="n">
        <v>0</v>
      </c>
      <c r="J886" t="n">
        <v>0</v>
      </c>
      <c r="K886" t="n">
        <v>0</v>
      </c>
      <c r="L886" t="n">
        <v>0</v>
      </c>
      <c r="M886" t="n">
        <v>0</v>
      </c>
      <c r="N886" t="n">
        <v>0</v>
      </c>
      <c r="O886" t="n">
        <v>0</v>
      </c>
      <c r="P886" t="n">
        <v>0</v>
      </c>
      <c r="Q886" t="n">
        <v>0</v>
      </c>
      <c r="R886" s="2" t="inlineStr"/>
    </row>
    <row r="887" ht="15" customHeight="1">
      <c r="A887" t="inlineStr">
        <is>
          <t>A 12570-2023</t>
        </is>
      </c>
      <c r="B887" s="1" t="n">
        <v>44999</v>
      </c>
      <c r="C887" s="1" t="n">
        <v>45669</v>
      </c>
      <c r="D887" t="inlineStr">
        <is>
          <t>SKÅNE LÄN</t>
        </is>
      </c>
      <c r="E887" t="inlineStr">
        <is>
          <t>HÄSSLEHOLM</t>
        </is>
      </c>
      <c r="G887" t="n">
        <v>3.4</v>
      </c>
      <c r="H887" t="n">
        <v>0</v>
      </c>
      <c r="I887" t="n">
        <v>0</v>
      </c>
      <c r="J887" t="n">
        <v>0</v>
      </c>
      <c r="K887" t="n">
        <v>0</v>
      </c>
      <c r="L887" t="n">
        <v>0</v>
      </c>
      <c r="M887" t="n">
        <v>0</v>
      </c>
      <c r="N887" t="n">
        <v>0</v>
      </c>
      <c r="O887" t="n">
        <v>0</v>
      </c>
      <c r="P887" t="n">
        <v>0</v>
      </c>
      <c r="Q887" t="n">
        <v>0</v>
      </c>
      <c r="R887" s="2" t="inlineStr"/>
    </row>
    <row r="888" ht="15" customHeight="1">
      <c r="A888" t="inlineStr">
        <is>
          <t>A 12558-2023</t>
        </is>
      </c>
      <c r="B888" s="1" t="n">
        <v>45000</v>
      </c>
      <c r="C888" s="1" t="n">
        <v>45669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12839-2023</t>
        </is>
      </c>
      <c r="B889" s="1" t="n">
        <v>45000</v>
      </c>
      <c r="C889" s="1" t="n">
        <v>45669</v>
      </c>
      <c r="D889" t="inlineStr">
        <is>
          <t>SKÅNE LÄN</t>
        </is>
      </c>
      <c r="E889" t="inlineStr">
        <is>
          <t>HÄSSLEHOLM</t>
        </is>
      </c>
      <c r="G889" t="n">
        <v>5</v>
      </c>
      <c r="H889" t="n">
        <v>0</v>
      </c>
      <c r="I889" t="n">
        <v>0</v>
      </c>
      <c r="J889" t="n">
        <v>0</v>
      </c>
      <c r="K889" t="n">
        <v>0</v>
      </c>
      <c r="L889" t="n">
        <v>0</v>
      </c>
      <c r="M889" t="n">
        <v>0</v>
      </c>
      <c r="N889" t="n">
        <v>0</v>
      </c>
      <c r="O889" t="n">
        <v>0</v>
      </c>
      <c r="P889" t="n">
        <v>0</v>
      </c>
      <c r="Q889" t="n">
        <v>0</v>
      </c>
      <c r="R889" s="2" t="inlineStr"/>
    </row>
    <row r="890" ht="15" customHeight="1">
      <c r="A890" t="inlineStr">
        <is>
          <t>A 12843-2023</t>
        </is>
      </c>
      <c r="B890" s="1" t="n">
        <v>45001</v>
      </c>
      <c r="C890" s="1" t="n">
        <v>45669</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13087-2023</t>
        </is>
      </c>
      <c r="B891" s="1" t="n">
        <v>45001</v>
      </c>
      <c r="C891" s="1" t="n">
        <v>45669</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13316-2023</t>
        </is>
      </c>
      <c r="B892" s="1" t="n">
        <v>45005</v>
      </c>
      <c r="C892" s="1" t="n">
        <v>45669</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13358-2023</t>
        </is>
      </c>
      <c r="B893" s="1" t="n">
        <v>45005</v>
      </c>
      <c r="C893" s="1" t="n">
        <v>45669</v>
      </c>
      <c r="D893" t="inlineStr">
        <is>
          <t>SKÅNE LÄN</t>
        </is>
      </c>
      <c r="E893" t="inlineStr">
        <is>
          <t>HÄSSLEHOLM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13673-2023</t>
        </is>
      </c>
      <c r="B894" s="1" t="n">
        <v>45006</v>
      </c>
      <c r="C894" s="1" t="n">
        <v>45669</v>
      </c>
      <c r="D894" t="inlineStr">
        <is>
          <t>SKÅNE LÄN</t>
        </is>
      </c>
      <c r="E894" t="inlineStr">
        <is>
          <t>HÄSSLEHOLM</t>
        </is>
      </c>
      <c r="G894" t="n">
        <v>3.2</v>
      </c>
      <c r="H894" t="n">
        <v>0</v>
      </c>
      <c r="I894" t="n">
        <v>0</v>
      </c>
      <c r="J894" t="n">
        <v>0</v>
      </c>
      <c r="K894" t="n">
        <v>0</v>
      </c>
      <c r="L894" t="n">
        <v>0</v>
      </c>
      <c r="M894" t="n">
        <v>0</v>
      </c>
      <c r="N894" t="n">
        <v>0</v>
      </c>
      <c r="O894" t="n">
        <v>0</v>
      </c>
      <c r="P894" t="n">
        <v>0</v>
      </c>
      <c r="Q894" t="n">
        <v>0</v>
      </c>
      <c r="R894" s="2" t="inlineStr"/>
    </row>
    <row r="895" ht="15" customHeight="1">
      <c r="A895" t="inlineStr">
        <is>
          <t>A 13932-2023</t>
        </is>
      </c>
      <c r="B895" s="1" t="n">
        <v>45008</v>
      </c>
      <c r="C895" s="1" t="n">
        <v>45669</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14008-2023</t>
        </is>
      </c>
      <c r="B896" s="1" t="n">
        <v>45008</v>
      </c>
      <c r="C896" s="1" t="n">
        <v>45669</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13961-2023</t>
        </is>
      </c>
      <c r="B897" s="1" t="n">
        <v>45008</v>
      </c>
      <c r="C897" s="1" t="n">
        <v>45669</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13998-2023</t>
        </is>
      </c>
      <c r="B898" s="1" t="n">
        <v>45008</v>
      </c>
      <c r="C898" s="1" t="n">
        <v>45669</v>
      </c>
      <c r="D898" t="inlineStr">
        <is>
          <t>SKÅNE LÄN</t>
        </is>
      </c>
      <c r="E898" t="inlineStr">
        <is>
          <t>HÄSSLEHOLM</t>
        </is>
      </c>
      <c r="G898" t="n">
        <v>4.8</v>
      </c>
      <c r="H898" t="n">
        <v>0</v>
      </c>
      <c r="I898" t="n">
        <v>0</v>
      </c>
      <c r="J898" t="n">
        <v>0</v>
      </c>
      <c r="K898" t="n">
        <v>0</v>
      </c>
      <c r="L898" t="n">
        <v>0</v>
      </c>
      <c r="M898" t="n">
        <v>0</v>
      </c>
      <c r="N898" t="n">
        <v>0</v>
      </c>
      <c r="O898" t="n">
        <v>0</v>
      </c>
      <c r="P898" t="n">
        <v>0</v>
      </c>
      <c r="Q898" t="n">
        <v>0</v>
      </c>
      <c r="R898" s="2" t="inlineStr"/>
    </row>
    <row r="899" ht="15" customHeight="1">
      <c r="A899" t="inlineStr">
        <is>
          <t>A 13954-2023</t>
        </is>
      </c>
      <c r="B899" s="1" t="n">
        <v>45008</v>
      </c>
      <c r="C899" s="1" t="n">
        <v>45669</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14002-2023</t>
        </is>
      </c>
      <c r="B900" s="1" t="n">
        <v>45008</v>
      </c>
      <c r="C900" s="1" t="n">
        <v>45669</v>
      </c>
      <c r="D900" t="inlineStr">
        <is>
          <t>SKÅNE LÄN</t>
        </is>
      </c>
      <c r="E900" t="inlineStr">
        <is>
          <t>HÄSSLEHOLM</t>
        </is>
      </c>
      <c r="G900" t="n">
        <v>3.6</v>
      </c>
      <c r="H900" t="n">
        <v>0</v>
      </c>
      <c r="I900" t="n">
        <v>0</v>
      </c>
      <c r="J900" t="n">
        <v>0</v>
      </c>
      <c r="K900" t="n">
        <v>0</v>
      </c>
      <c r="L900" t="n">
        <v>0</v>
      </c>
      <c r="M900" t="n">
        <v>0</v>
      </c>
      <c r="N900" t="n">
        <v>0</v>
      </c>
      <c r="O900" t="n">
        <v>0</v>
      </c>
      <c r="P900" t="n">
        <v>0</v>
      </c>
      <c r="Q900" t="n">
        <v>0</v>
      </c>
      <c r="R900" s="2" t="inlineStr"/>
    </row>
    <row r="901" ht="15" customHeight="1">
      <c r="A901" t="inlineStr">
        <is>
          <t>A 13992-2023</t>
        </is>
      </c>
      <c r="B901" s="1" t="n">
        <v>45008</v>
      </c>
      <c r="C901" s="1" t="n">
        <v>45669</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14145-2023</t>
        </is>
      </c>
      <c r="B902" s="1" t="n">
        <v>45009</v>
      </c>
      <c r="C902" s="1" t="n">
        <v>45669</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14633-2023</t>
        </is>
      </c>
      <c r="B903" s="1" t="n">
        <v>45013</v>
      </c>
      <c r="C903" s="1" t="n">
        <v>45669</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14612-2023</t>
        </is>
      </c>
      <c r="B904" s="1" t="n">
        <v>45013</v>
      </c>
      <c r="C904" s="1" t="n">
        <v>45669</v>
      </c>
      <c r="D904" t="inlineStr">
        <is>
          <t>SKÅNE LÄN</t>
        </is>
      </c>
      <c r="E904" t="inlineStr">
        <is>
          <t>HÄSSLEHOLM</t>
        </is>
      </c>
      <c r="G904" t="n">
        <v>0.8</v>
      </c>
      <c r="H904" t="n">
        <v>0</v>
      </c>
      <c r="I904" t="n">
        <v>0</v>
      </c>
      <c r="J904" t="n">
        <v>0</v>
      </c>
      <c r="K904" t="n">
        <v>0</v>
      </c>
      <c r="L904" t="n">
        <v>0</v>
      </c>
      <c r="M904" t="n">
        <v>0</v>
      </c>
      <c r="N904" t="n">
        <v>0</v>
      </c>
      <c r="O904" t="n">
        <v>0</v>
      </c>
      <c r="P904" t="n">
        <v>0</v>
      </c>
      <c r="Q904" t="n">
        <v>0</v>
      </c>
      <c r="R904" s="2" t="inlineStr"/>
    </row>
    <row r="905" ht="15" customHeight="1">
      <c r="A905" t="inlineStr">
        <is>
          <t>A 14666-2023</t>
        </is>
      </c>
      <c r="B905" s="1" t="n">
        <v>45013</v>
      </c>
      <c r="C905" s="1" t="n">
        <v>45669</v>
      </c>
      <c r="D905" t="inlineStr">
        <is>
          <t>SKÅNE LÄN</t>
        </is>
      </c>
      <c r="E905" t="inlineStr">
        <is>
          <t>HÄSSLEHOLM</t>
        </is>
      </c>
      <c r="G905" t="n">
        <v>3.1</v>
      </c>
      <c r="H905" t="n">
        <v>0</v>
      </c>
      <c r="I905" t="n">
        <v>0</v>
      </c>
      <c r="J905" t="n">
        <v>0</v>
      </c>
      <c r="K905" t="n">
        <v>0</v>
      </c>
      <c r="L905" t="n">
        <v>0</v>
      </c>
      <c r="M905" t="n">
        <v>0</v>
      </c>
      <c r="N905" t="n">
        <v>0</v>
      </c>
      <c r="O905" t="n">
        <v>0</v>
      </c>
      <c r="P905" t="n">
        <v>0</v>
      </c>
      <c r="Q905" t="n">
        <v>0</v>
      </c>
      <c r="R905" s="2" t="inlineStr"/>
    </row>
    <row r="906" ht="15" customHeight="1">
      <c r="A906" t="inlineStr">
        <is>
          <t>A 14615-2023</t>
        </is>
      </c>
      <c r="B906" s="1" t="n">
        <v>45013</v>
      </c>
      <c r="C906" s="1" t="n">
        <v>45669</v>
      </c>
      <c r="D906" t="inlineStr">
        <is>
          <t>SKÅNE LÄN</t>
        </is>
      </c>
      <c r="E906" t="inlineStr">
        <is>
          <t>HÄSSLEHOLM</t>
        </is>
      </c>
      <c r="G906" t="n">
        <v>2.5</v>
      </c>
      <c r="H906" t="n">
        <v>0</v>
      </c>
      <c r="I906" t="n">
        <v>0</v>
      </c>
      <c r="J906" t="n">
        <v>0</v>
      </c>
      <c r="K906" t="n">
        <v>0</v>
      </c>
      <c r="L906" t="n">
        <v>0</v>
      </c>
      <c r="M906" t="n">
        <v>0</v>
      </c>
      <c r="N906" t="n">
        <v>0</v>
      </c>
      <c r="O906" t="n">
        <v>0</v>
      </c>
      <c r="P906" t="n">
        <v>0</v>
      </c>
      <c r="Q906" t="n">
        <v>0</v>
      </c>
      <c r="R906" s="2" t="inlineStr"/>
    </row>
    <row r="907" ht="15" customHeight="1">
      <c r="A907" t="inlineStr">
        <is>
          <t>A 14700-2023</t>
        </is>
      </c>
      <c r="B907" s="1" t="n">
        <v>45014</v>
      </c>
      <c r="C907" s="1" t="n">
        <v>45669</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14939-2023</t>
        </is>
      </c>
      <c r="B908" s="1" t="n">
        <v>45014</v>
      </c>
      <c r="C908" s="1" t="n">
        <v>45669</v>
      </c>
      <c r="D908" t="inlineStr">
        <is>
          <t>SKÅNE LÄN</t>
        </is>
      </c>
      <c r="E908" t="inlineStr">
        <is>
          <t>HÄSSLEHOLM</t>
        </is>
      </c>
      <c r="G908" t="n">
        <v>0.9</v>
      </c>
      <c r="H908" t="n">
        <v>0</v>
      </c>
      <c r="I908" t="n">
        <v>0</v>
      </c>
      <c r="J908" t="n">
        <v>0</v>
      </c>
      <c r="K908" t="n">
        <v>0</v>
      </c>
      <c r="L908" t="n">
        <v>0</v>
      </c>
      <c r="M908" t="n">
        <v>0</v>
      </c>
      <c r="N908" t="n">
        <v>0</v>
      </c>
      <c r="O908" t="n">
        <v>0</v>
      </c>
      <c r="P908" t="n">
        <v>0</v>
      </c>
      <c r="Q908" t="n">
        <v>0</v>
      </c>
      <c r="R908" s="2" t="inlineStr"/>
    </row>
    <row r="909" ht="15" customHeight="1">
      <c r="A909" t="inlineStr">
        <is>
          <t>A 15053-2023</t>
        </is>
      </c>
      <c r="B909" s="1" t="n">
        <v>45015</v>
      </c>
      <c r="C909" s="1" t="n">
        <v>45669</v>
      </c>
      <c r="D909" t="inlineStr">
        <is>
          <t>SKÅNE LÄN</t>
        </is>
      </c>
      <c r="E909" t="inlineStr">
        <is>
          <t>HÄSSLEHOLM</t>
        </is>
      </c>
      <c r="G909" t="n">
        <v>1</v>
      </c>
      <c r="H909" t="n">
        <v>0</v>
      </c>
      <c r="I909" t="n">
        <v>0</v>
      </c>
      <c r="J909" t="n">
        <v>0</v>
      </c>
      <c r="K909" t="n">
        <v>0</v>
      </c>
      <c r="L909" t="n">
        <v>0</v>
      </c>
      <c r="M909" t="n">
        <v>0</v>
      </c>
      <c r="N909" t="n">
        <v>0</v>
      </c>
      <c r="O909" t="n">
        <v>0</v>
      </c>
      <c r="P909" t="n">
        <v>0</v>
      </c>
      <c r="Q909" t="n">
        <v>0</v>
      </c>
      <c r="R909" s="2" t="inlineStr"/>
    </row>
    <row r="910" ht="15" customHeight="1">
      <c r="A910" t="inlineStr">
        <is>
          <t>A 15055-2023</t>
        </is>
      </c>
      <c r="B910" s="1" t="n">
        <v>45015</v>
      </c>
      <c r="C910" s="1" t="n">
        <v>45669</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15060-2023</t>
        </is>
      </c>
      <c r="B911" s="1" t="n">
        <v>45015</v>
      </c>
      <c r="C911" s="1" t="n">
        <v>45669</v>
      </c>
      <c r="D911" t="inlineStr">
        <is>
          <t>SKÅNE LÄN</t>
        </is>
      </c>
      <c r="E911" t="inlineStr">
        <is>
          <t>HÄSSLEHOLM</t>
        </is>
      </c>
      <c r="G911" t="n">
        <v>1.7</v>
      </c>
      <c r="H911" t="n">
        <v>0</v>
      </c>
      <c r="I911" t="n">
        <v>0</v>
      </c>
      <c r="J911" t="n">
        <v>0</v>
      </c>
      <c r="K911" t="n">
        <v>0</v>
      </c>
      <c r="L911" t="n">
        <v>0</v>
      </c>
      <c r="M911" t="n">
        <v>0</v>
      </c>
      <c r="N911" t="n">
        <v>0</v>
      </c>
      <c r="O911" t="n">
        <v>0</v>
      </c>
      <c r="P911" t="n">
        <v>0</v>
      </c>
      <c r="Q911" t="n">
        <v>0</v>
      </c>
      <c r="R911" s="2" t="inlineStr"/>
    </row>
    <row r="912" ht="15" customHeight="1">
      <c r="A912" t="inlineStr">
        <is>
          <t>A 15104-2023</t>
        </is>
      </c>
      <c r="B912" s="1" t="n">
        <v>45016</v>
      </c>
      <c r="C912" s="1" t="n">
        <v>45669</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15133-2023</t>
        </is>
      </c>
      <c r="B913" s="1" t="n">
        <v>45016</v>
      </c>
      <c r="C913" s="1" t="n">
        <v>45669</v>
      </c>
      <c r="D913" t="inlineStr">
        <is>
          <t>SKÅNE LÄN</t>
        </is>
      </c>
      <c r="E913" t="inlineStr">
        <is>
          <t>HÄSSLEHOLM</t>
        </is>
      </c>
      <c r="G913" t="n">
        <v>7.8</v>
      </c>
      <c r="H913" t="n">
        <v>0</v>
      </c>
      <c r="I913" t="n">
        <v>0</v>
      </c>
      <c r="J913" t="n">
        <v>0</v>
      </c>
      <c r="K913" t="n">
        <v>0</v>
      </c>
      <c r="L913" t="n">
        <v>0</v>
      </c>
      <c r="M913" t="n">
        <v>0</v>
      </c>
      <c r="N913" t="n">
        <v>0</v>
      </c>
      <c r="O913" t="n">
        <v>0</v>
      </c>
      <c r="P913" t="n">
        <v>0</v>
      </c>
      <c r="Q913" t="n">
        <v>0</v>
      </c>
      <c r="R913" s="2" t="inlineStr"/>
    </row>
    <row r="914" ht="15" customHeight="1">
      <c r="A914" t="inlineStr">
        <is>
          <t>A 15546-2023</t>
        </is>
      </c>
      <c r="B914" s="1" t="n">
        <v>45018</v>
      </c>
      <c r="C914" s="1" t="n">
        <v>45669</v>
      </c>
      <c r="D914" t="inlineStr">
        <is>
          <t>SKÅNE LÄN</t>
        </is>
      </c>
      <c r="E914" t="inlineStr">
        <is>
          <t>HÄSSLEHOLM</t>
        </is>
      </c>
      <c r="G914" t="n">
        <v>4.2</v>
      </c>
      <c r="H914" t="n">
        <v>0</v>
      </c>
      <c r="I914" t="n">
        <v>0</v>
      </c>
      <c r="J914" t="n">
        <v>0</v>
      </c>
      <c r="K914" t="n">
        <v>0</v>
      </c>
      <c r="L914" t="n">
        <v>0</v>
      </c>
      <c r="M914" t="n">
        <v>0</v>
      </c>
      <c r="N914" t="n">
        <v>0</v>
      </c>
      <c r="O914" t="n">
        <v>0</v>
      </c>
      <c r="P914" t="n">
        <v>0</v>
      </c>
      <c r="Q914" t="n">
        <v>0</v>
      </c>
      <c r="R914" s="2" t="inlineStr"/>
    </row>
    <row r="915" ht="15" customHeight="1">
      <c r="A915" t="inlineStr">
        <is>
          <t>A 15508-2023</t>
        </is>
      </c>
      <c r="B915" s="1" t="n">
        <v>45020</v>
      </c>
      <c r="C915" s="1" t="n">
        <v>45669</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15603-2023</t>
        </is>
      </c>
      <c r="B916" s="1" t="n">
        <v>45020</v>
      </c>
      <c r="C916" s="1" t="n">
        <v>45669</v>
      </c>
      <c r="D916" t="inlineStr">
        <is>
          <t>SKÅNE LÄN</t>
        </is>
      </c>
      <c r="E916" t="inlineStr">
        <is>
          <t>HÄSSLEHOLM</t>
        </is>
      </c>
      <c r="G916" t="n">
        <v>3.7</v>
      </c>
      <c r="H916" t="n">
        <v>0</v>
      </c>
      <c r="I916" t="n">
        <v>0</v>
      </c>
      <c r="J916" t="n">
        <v>0</v>
      </c>
      <c r="K916" t="n">
        <v>0</v>
      </c>
      <c r="L916" t="n">
        <v>0</v>
      </c>
      <c r="M916" t="n">
        <v>0</v>
      </c>
      <c r="N916" t="n">
        <v>0</v>
      </c>
      <c r="O916" t="n">
        <v>0</v>
      </c>
      <c r="P916" t="n">
        <v>0</v>
      </c>
      <c r="Q916" t="n">
        <v>0</v>
      </c>
      <c r="R916" s="2" t="inlineStr"/>
    </row>
    <row r="917" ht="15" customHeight="1">
      <c r="A917" t="inlineStr">
        <is>
          <t>A 15698-2023</t>
        </is>
      </c>
      <c r="B917" s="1" t="n">
        <v>45021</v>
      </c>
      <c r="C917" s="1" t="n">
        <v>45669</v>
      </c>
      <c r="D917" t="inlineStr">
        <is>
          <t>SKÅNE LÄN</t>
        </is>
      </c>
      <c r="E917" t="inlineStr">
        <is>
          <t>HÄSSLEHOLM</t>
        </is>
      </c>
      <c r="F917" t="inlineStr">
        <is>
          <t>Kommuner</t>
        </is>
      </c>
      <c r="G917" t="n">
        <v>5.5</v>
      </c>
      <c r="H917" t="n">
        <v>0</v>
      </c>
      <c r="I917" t="n">
        <v>0</v>
      </c>
      <c r="J917" t="n">
        <v>0</v>
      </c>
      <c r="K917" t="n">
        <v>0</v>
      </c>
      <c r="L917" t="n">
        <v>0</v>
      </c>
      <c r="M917" t="n">
        <v>0</v>
      </c>
      <c r="N917" t="n">
        <v>0</v>
      </c>
      <c r="O917" t="n">
        <v>0</v>
      </c>
      <c r="P917" t="n">
        <v>0</v>
      </c>
      <c r="Q917" t="n">
        <v>0</v>
      </c>
      <c r="R917" s="2" t="inlineStr"/>
    </row>
    <row r="918" ht="15" customHeight="1">
      <c r="A918" t="inlineStr">
        <is>
          <t>A 15701-2023</t>
        </is>
      </c>
      <c r="B918" s="1" t="n">
        <v>45021</v>
      </c>
      <c r="C918" s="1" t="n">
        <v>45669</v>
      </c>
      <c r="D918" t="inlineStr">
        <is>
          <t>SKÅNE LÄN</t>
        </is>
      </c>
      <c r="E918" t="inlineStr">
        <is>
          <t>HÄSSLEHOLM</t>
        </is>
      </c>
      <c r="F918" t="inlineStr">
        <is>
          <t>Kommuner</t>
        </is>
      </c>
      <c r="G918" t="n">
        <v>3.5</v>
      </c>
      <c r="H918" t="n">
        <v>0</v>
      </c>
      <c r="I918" t="n">
        <v>0</v>
      </c>
      <c r="J918" t="n">
        <v>0</v>
      </c>
      <c r="K918" t="n">
        <v>0</v>
      </c>
      <c r="L918" t="n">
        <v>0</v>
      </c>
      <c r="M918" t="n">
        <v>0</v>
      </c>
      <c r="N918" t="n">
        <v>0</v>
      </c>
      <c r="O918" t="n">
        <v>0</v>
      </c>
      <c r="P918" t="n">
        <v>0</v>
      </c>
      <c r="Q918" t="n">
        <v>0</v>
      </c>
      <c r="R918" s="2" t="inlineStr"/>
    </row>
    <row r="919" ht="15" customHeight="1">
      <c r="A919" t="inlineStr">
        <is>
          <t>A 15990-2023</t>
        </is>
      </c>
      <c r="B919" s="1" t="n">
        <v>45023</v>
      </c>
      <c r="C919" s="1" t="n">
        <v>45669</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16017-2023</t>
        </is>
      </c>
      <c r="B920" s="1" t="n">
        <v>45026</v>
      </c>
      <c r="C920" s="1" t="n">
        <v>45669</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16454-2023</t>
        </is>
      </c>
      <c r="B921" s="1" t="n">
        <v>45029</v>
      </c>
      <c r="C921" s="1" t="n">
        <v>45669</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16891-2023</t>
        </is>
      </c>
      <c r="B922" s="1" t="n">
        <v>45033</v>
      </c>
      <c r="C922" s="1" t="n">
        <v>45669</v>
      </c>
      <c r="D922" t="inlineStr">
        <is>
          <t>SKÅNE LÄN</t>
        </is>
      </c>
      <c r="E922" t="inlineStr">
        <is>
          <t>HÄSSLEHOLM</t>
        </is>
      </c>
      <c r="G922" t="n">
        <v>1.5</v>
      </c>
      <c r="H922" t="n">
        <v>0</v>
      </c>
      <c r="I922" t="n">
        <v>0</v>
      </c>
      <c r="J922" t="n">
        <v>0</v>
      </c>
      <c r="K922" t="n">
        <v>0</v>
      </c>
      <c r="L922" t="n">
        <v>0</v>
      </c>
      <c r="M922" t="n">
        <v>0</v>
      </c>
      <c r="N922" t="n">
        <v>0</v>
      </c>
      <c r="O922" t="n">
        <v>0</v>
      </c>
      <c r="P922" t="n">
        <v>0</v>
      </c>
      <c r="Q922" t="n">
        <v>0</v>
      </c>
      <c r="R922" s="2" t="inlineStr"/>
    </row>
    <row r="923" ht="15" customHeight="1">
      <c r="A923" t="inlineStr">
        <is>
          <t>A 17176-2023</t>
        </is>
      </c>
      <c r="B923" s="1" t="n">
        <v>45034</v>
      </c>
      <c r="C923" s="1" t="n">
        <v>45669</v>
      </c>
      <c r="D923" t="inlineStr">
        <is>
          <t>SKÅNE LÄN</t>
        </is>
      </c>
      <c r="E923" t="inlineStr">
        <is>
          <t>HÄSSLEHOLM</t>
        </is>
      </c>
      <c r="G923" t="n">
        <v>2</v>
      </c>
      <c r="H923" t="n">
        <v>0</v>
      </c>
      <c r="I923" t="n">
        <v>0</v>
      </c>
      <c r="J923" t="n">
        <v>0</v>
      </c>
      <c r="K923" t="n">
        <v>0</v>
      </c>
      <c r="L923" t="n">
        <v>0</v>
      </c>
      <c r="M923" t="n">
        <v>0</v>
      </c>
      <c r="N923" t="n">
        <v>0</v>
      </c>
      <c r="O923" t="n">
        <v>0</v>
      </c>
      <c r="P923" t="n">
        <v>0</v>
      </c>
      <c r="Q923" t="n">
        <v>0</v>
      </c>
      <c r="R923" s="2" t="inlineStr"/>
    </row>
    <row r="924" ht="15" customHeight="1">
      <c r="A924" t="inlineStr">
        <is>
          <t>A 17535-2023</t>
        </is>
      </c>
      <c r="B924" s="1" t="n">
        <v>45036</v>
      </c>
      <c r="C924" s="1" t="n">
        <v>45669</v>
      </c>
      <c r="D924" t="inlineStr">
        <is>
          <t>SKÅNE LÄN</t>
        </is>
      </c>
      <c r="E924" t="inlineStr">
        <is>
          <t>HÄSSLEHOLM</t>
        </is>
      </c>
      <c r="G924" t="n">
        <v>1.1</v>
      </c>
      <c r="H924" t="n">
        <v>0</v>
      </c>
      <c r="I924" t="n">
        <v>0</v>
      </c>
      <c r="J924" t="n">
        <v>0</v>
      </c>
      <c r="K924" t="n">
        <v>0</v>
      </c>
      <c r="L924" t="n">
        <v>0</v>
      </c>
      <c r="M924" t="n">
        <v>0</v>
      </c>
      <c r="N924" t="n">
        <v>0</v>
      </c>
      <c r="O924" t="n">
        <v>0</v>
      </c>
      <c r="P924" t="n">
        <v>0</v>
      </c>
      <c r="Q924" t="n">
        <v>0</v>
      </c>
      <c r="R924" s="2" t="inlineStr"/>
    </row>
    <row r="925" ht="15" customHeight="1">
      <c r="A925" t="inlineStr">
        <is>
          <t>A 18063-2023</t>
        </is>
      </c>
      <c r="B925" s="1" t="n">
        <v>45040</v>
      </c>
      <c r="C925" s="1" t="n">
        <v>45669</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18086-2023</t>
        </is>
      </c>
      <c r="B926" s="1" t="n">
        <v>45040</v>
      </c>
      <c r="C926" s="1" t="n">
        <v>45669</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18041-2023</t>
        </is>
      </c>
      <c r="B927" s="1" t="n">
        <v>45040</v>
      </c>
      <c r="C927" s="1" t="n">
        <v>45669</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18335-2023</t>
        </is>
      </c>
      <c r="B928" s="1" t="n">
        <v>45041</v>
      </c>
      <c r="C928" s="1" t="n">
        <v>45669</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18623-2023</t>
        </is>
      </c>
      <c r="B929" s="1" t="n">
        <v>45043</v>
      </c>
      <c r="C929" s="1" t="n">
        <v>45669</v>
      </c>
      <c r="D929" t="inlineStr">
        <is>
          <t>SKÅNE LÄN</t>
        </is>
      </c>
      <c r="E929" t="inlineStr">
        <is>
          <t>HÄSSLEHOLM</t>
        </is>
      </c>
      <c r="G929" t="n">
        <v>3.2</v>
      </c>
      <c r="H929" t="n">
        <v>0</v>
      </c>
      <c r="I929" t="n">
        <v>0</v>
      </c>
      <c r="J929" t="n">
        <v>0</v>
      </c>
      <c r="K929" t="n">
        <v>0</v>
      </c>
      <c r="L929" t="n">
        <v>0</v>
      </c>
      <c r="M929" t="n">
        <v>0</v>
      </c>
      <c r="N929" t="n">
        <v>0</v>
      </c>
      <c r="O929" t="n">
        <v>0</v>
      </c>
      <c r="P929" t="n">
        <v>0</v>
      </c>
      <c r="Q929" t="n">
        <v>0</v>
      </c>
      <c r="R929" s="2" t="inlineStr"/>
    </row>
    <row r="930" ht="15" customHeight="1">
      <c r="A930" t="inlineStr">
        <is>
          <t>A 18577-2023</t>
        </is>
      </c>
      <c r="B930" s="1" t="n">
        <v>45043</v>
      </c>
      <c r="C930" s="1" t="n">
        <v>45669</v>
      </c>
      <c r="D930" t="inlineStr">
        <is>
          <t>SKÅNE LÄN</t>
        </is>
      </c>
      <c r="E930" t="inlineStr">
        <is>
          <t>HÄSSLEHOLM</t>
        </is>
      </c>
      <c r="G930" t="n">
        <v>2</v>
      </c>
      <c r="H930" t="n">
        <v>0</v>
      </c>
      <c r="I930" t="n">
        <v>0</v>
      </c>
      <c r="J930" t="n">
        <v>0</v>
      </c>
      <c r="K930" t="n">
        <v>0</v>
      </c>
      <c r="L930" t="n">
        <v>0</v>
      </c>
      <c r="M930" t="n">
        <v>0</v>
      </c>
      <c r="N930" t="n">
        <v>0</v>
      </c>
      <c r="O930" t="n">
        <v>0</v>
      </c>
      <c r="P930" t="n">
        <v>0</v>
      </c>
      <c r="Q930" t="n">
        <v>0</v>
      </c>
      <c r="R930" s="2" t="inlineStr"/>
    </row>
    <row r="931" ht="15" customHeight="1">
      <c r="A931" t="inlineStr">
        <is>
          <t>A 18580-2023</t>
        </is>
      </c>
      <c r="B931" s="1" t="n">
        <v>45043</v>
      </c>
      <c r="C931" s="1" t="n">
        <v>45669</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18908-2023</t>
        </is>
      </c>
      <c r="B932" s="1" t="n">
        <v>45044</v>
      </c>
      <c r="C932" s="1" t="n">
        <v>45669</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18800-2023</t>
        </is>
      </c>
      <c r="B933" s="1" t="n">
        <v>45044</v>
      </c>
      <c r="C933" s="1" t="n">
        <v>45669</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19151-2023</t>
        </is>
      </c>
      <c r="B934" s="1" t="n">
        <v>45044</v>
      </c>
      <c r="C934" s="1" t="n">
        <v>45669</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18938-2023</t>
        </is>
      </c>
      <c r="B935" s="1" t="n">
        <v>45044</v>
      </c>
      <c r="C935" s="1" t="n">
        <v>45669</v>
      </c>
      <c r="D935" t="inlineStr">
        <is>
          <t>SKÅNE LÄN</t>
        </is>
      </c>
      <c r="E935" t="inlineStr">
        <is>
          <t>HÄSSLEHOLM</t>
        </is>
      </c>
      <c r="G935" t="n">
        <v>1.8</v>
      </c>
      <c r="H935" t="n">
        <v>0</v>
      </c>
      <c r="I935" t="n">
        <v>0</v>
      </c>
      <c r="J935" t="n">
        <v>0</v>
      </c>
      <c r="K935" t="n">
        <v>0</v>
      </c>
      <c r="L935" t="n">
        <v>0</v>
      </c>
      <c r="M935" t="n">
        <v>0</v>
      </c>
      <c r="N935" t="n">
        <v>0</v>
      </c>
      <c r="O935" t="n">
        <v>0</v>
      </c>
      <c r="P935" t="n">
        <v>0</v>
      </c>
      <c r="Q935" t="n">
        <v>0</v>
      </c>
      <c r="R935" s="2" t="inlineStr"/>
    </row>
    <row r="936" ht="15" customHeight="1">
      <c r="A936" t="inlineStr">
        <is>
          <t>A 19141-2023</t>
        </is>
      </c>
      <c r="B936" s="1" t="n">
        <v>45048</v>
      </c>
      <c r="C936" s="1" t="n">
        <v>45669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19367-2023</t>
        </is>
      </c>
      <c r="B937" s="1" t="n">
        <v>45049</v>
      </c>
      <c r="C937" s="1" t="n">
        <v>45669</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19593-2023</t>
        </is>
      </c>
      <c r="B938" s="1" t="n">
        <v>45050</v>
      </c>
      <c r="C938" s="1" t="n">
        <v>45669</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19739-2023</t>
        </is>
      </c>
      <c r="B939" s="1" t="n">
        <v>45051</v>
      </c>
      <c r="C939" s="1" t="n">
        <v>45669</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19735-2023</t>
        </is>
      </c>
      <c r="B940" s="1" t="n">
        <v>45051</v>
      </c>
      <c r="C940" s="1" t="n">
        <v>45669</v>
      </c>
      <c r="D940" t="inlineStr">
        <is>
          <t>SKÅNE LÄN</t>
        </is>
      </c>
      <c r="E940" t="inlineStr">
        <is>
          <t>HÄSSLEHOLM</t>
        </is>
      </c>
      <c r="G940" t="n">
        <v>4</v>
      </c>
      <c r="H940" t="n">
        <v>0</v>
      </c>
      <c r="I940" t="n">
        <v>0</v>
      </c>
      <c r="J940" t="n">
        <v>0</v>
      </c>
      <c r="K940" t="n">
        <v>0</v>
      </c>
      <c r="L940" t="n">
        <v>0</v>
      </c>
      <c r="M940" t="n">
        <v>0</v>
      </c>
      <c r="N940" t="n">
        <v>0</v>
      </c>
      <c r="O940" t="n">
        <v>0</v>
      </c>
      <c r="P940" t="n">
        <v>0</v>
      </c>
      <c r="Q940" t="n">
        <v>0</v>
      </c>
      <c r="R940" s="2" t="inlineStr"/>
    </row>
    <row r="941" ht="15" customHeight="1">
      <c r="A941" t="inlineStr">
        <is>
          <t>A 19796-2023</t>
        </is>
      </c>
      <c r="B941" s="1" t="n">
        <v>45051</v>
      </c>
      <c r="C941" s="1" t="n">
        <v>45669</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19744-2023</t>
        </is>
      </c>
      <c r="B942" s="1" t="n">
        <v>45051</v>
      </c>
      <c r="C942" s="1" t="n">
        <v>45669</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19978-2023</t>
        </is>
      </c>
      <c r="B943" s="1" t="n">
        <v>45054</v>
      </c>
      <c r="C943" s="1" t="n">
        <v>45669</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20058-2023</t>
        </is>
      </c>
      <c r="B944" s="1" t="n">
        <v>45054</v>
      </c>
      <c r="C944" s="1" t="n">
        <v>45669</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20185-2023</t>
        </is>
      </c>
      <c r="B945" s="1" t="n">
        <v>45055</v>
      </c>
      <c r="C945" s="1" t="n">
        <v>45669</v>
      </c>
      <c r="D945" t="inlineStr">
        <is>
          <t>SKÅNE LÄN</t>
        </is>
      </c>
      <c r="E945" t="inlineStr">
        <is>
          <t>HÄSSLEHOLM</t>
        </is>
      </c>
      <c r="G945" t="n">
        <v>3.5</v>
      </c>
      <c r="H945" t="n">
        <v>0</v>
      </c>
      <c r="I945" t="n">
        <v>0</v>
      </c>
      <c r="J945" t="n">
        <v>0</v>
      </c>
      <c r="K945" t="n">
        <v>0</v>
      </c>
      <c r="L945" t="n">
        <v>0</v>
      </c>
      <c r="M945" t="n">
        <v>0</v>
      </c>
      <c r="N945" t="n">
        <v>0</v>
      </c>
      <c r="O945" t="n">
        <v>0</v>
      </c>
      <c r="P945" t="n">
        <v>0</v>
      </c>
      <c r="Q945" t="n">
        <v>0</v>
      </c>
      <c r="R945" s="2" t="inlineStr"/>
    </row>
    <row r="946" ht="15" customHeight="1">
      <c r="A946" t="inlineStr">
        <is>
          <t>A 20203-2023</t>
        </is>
      </c>
      <c r="B946" s="1" t="n">
        <v>45055</v>
      </c>
      <c r="C946" s="1" t="n">
        <v>45669</v>
      </c>
      <c r="D946" t="inlineStr">
        <is>
          <t>SKÅNE LÄN</t>
        </is>
      </c>
      <c r="E946" t="inlineStr">
        <is>
          <t>HÄSSLEHOLM</t>
        </is>
      </c>
      <c r="G946" t="n">
        <v>4.3</v>
      </c>
      <c r="H946" t="n">
        <v>0</v>
      </c>
      <c r="I946" t="n">
        <v>0</v>
      </c>
      <c r="J946" t="n">
        <v>0</v>
      </c>
      <c r="K946" t="n">
        <v>0</v>
      </c>
      <c r="L946" t="n">
        <v>0</v>
      </c>
      <c r="M946" t="n">
        <v>0</v>
      </c>
      <c r="N946" t="n">
        <v>0</v>
      </c>
      <c r="O946" t="n">
        <v>0</v>
      </c>
      <c r="P946" t="n">
        <v>0</v>
      </c>
      <c r="Q946" t="n">
        <v>0</v>
      </c>
      <c r="R946" s="2" t="inlineStr"/>
    </row>
    <row r="947" ht="15" customHeight="1">
      <c r="A947" t="inlineStr">
        <is>
          <t>A 20187-2023</t>
        </is>
      </c>
      <c r="B947" s="1" t="n">
        <v>45055</v>
      </c>
      <c r="C947" s="1" t="n">
        <v>45669</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20846-2023</t>
        </is>
      </c>
      <c r="B948" s="1" t="n">
        <v>45056</v>
      </c>
      <c r="C948" s="1" t="n">
        <v>45669</v>
      </c>
      <c r="D948" t="inlineStr">
        <is>
          <t>SKÅNE LÄN</t>
        </is>
      </c>
      <c r="E948" t="inlineStr">
        <is>
          <t>HÄSSLEHOLM</t>
        </is>
      </c>
      <c r="F948" t="inlineStr">
        <is>
          <t>Övriga Aktiebolag</t>
        </is>
      </c>
      <c r="G948" t="n">
        <v>2.1</v>
      </c>
      <c r="H948" t="n">
        <v>0</v>
      </c>
      <c r="I948" t="n">
        <v>0</v>
      </c>
      <c r="J948" t="n">
        <v>0</v>
      </c>
      <c r="K948" t="n">
        <v>0</v>
      </c>
      <c r="L948" t="n">
        <v>0</v>
      </c>
      <c r="M948" t="n">
        <v>0</v>
      </c>
      <c r="N948" t="n">
        <v>0</v>
      </c>
      <c r="O948" t="n">
        <v>0</v>
      </c>
      <c r="P948" t="n">
        <v>0</v>
      </c>
      <c r="Q948" t="n">
        <v>0</v>
      </c>
      <c r="R948" s="2" t="inlineStr"/>
    </row>
    <row r="949" ht="15" customHeight="1">
      <c r="A949" t="inlineStr">
        <is>
          <t>A 20566-2023</t>
        </is>
      </c>
      <c r="B949" s="1" t="n">
        <v>45057</v>
      </c>
      <c r="C949" s="1" t="n">
        <v>45669</v>
      </c>
      <c r="D949" t="inlineStr">
        <is>
          <t>SKÅNE LÄN</t>
        </is>
      </c>
      <c r="E949" t="inlineStr">
        <is>
          <t>HÄSSLEHOLM</t>
        </is>
      </c>
      <c r="G949" t="n">
        <v>5.2</v>
      </c>
      <c r="H949" t="n">
        <v>0</v>
      </c>
      <c r="I949" t="n">
        <v>0</v>
      </c>
      <c r="J949" t="n">
        <v>0</v>
      </c>
      <c r="K949" t="n">
        <v>0</v>
      </c>
      <c r="L949" t="n">
        <v>0</v>
      </c>
      <c r="M949" t="n">
        <v>0</v>
      </c>
      <c r="N949" t="n">
        <v>0</v>
      </c>
      <c r="O949" t="n">
        <v>0</v>
      </c>
      <c r="P949" t="n">
        <v>0</v>
      </c>
      <c r="Q949" t="n">
        <v>0</v>
      </c>
      <c r="R949" s="2" t="inlineStr"/>
    </row>
    <row r="950" ht="15" customHeight="1">
      <c r="A950" t="inlineStr">
        <is>
          <t>A 20564-2023</t>
        </is>
      </c>
      <c r="B950" s="1" t="n">
        <v>45057</v>
      </c>
      <c r="C950" s="1" t="n">
        <v>45669</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20800-2023</t>
        </is>
      </c>
      <c r="B951" s="1" t="n">
        <v>45058</v>
      </c>
      <c r="C951" s="1" t="n">
        <v>45669</v>
      </c>
      <c r="D951" t="inlineStr">
        <is>
          <t>SKÅNE LÄN</t>
        </is>
      </c>
      <c r="E951" t="inlineStr">
        <is>
          <t>HÄSSLEHOLM</t>
        </is>
      </c>
      <c r="G951" t="n">
        <v>0.4</v>
      </c>
      <c r="H951" t="n">
        <v>0</v>
      </c>
      <c r="I951" t="n">
        <v>0</v>
      </c>
      <c r="J951" t="n">
        <v>0</v>
      </c>
      <c r="K951" t="n">
        <v>0</v>
      </c>
      <c r="L951" t="n">
        <v>0</v>
      </c>
      <c r="M951" t="n">
        <v>0</v>
      </c>
      <c r="N951" t="n">
        <v>0</v>
      </c>
      <c r="O951" t="n">
        <v>0</v>
      </c>
      <c r="P951" t="n">
        <v>0</v>
      </c>
      <c r="Q951" t="n">
        <v>0</v>
      </c>
      <c r="R951" s="2" t="inlineStr"/>
    </row>
    <row r="952" ht="15" customHeight="1">
      <c r="A952" t="inlineStr">
        <is>
          <t>A 20666-2023</t>
        </is>
      </c>
      <c r="B952" s="1" t="n">
        <v>45058</v>
      </c>
      <c r="C952" s="1" t="n">
        <v>45669</v>
      </c>
      <c r="D952" t="inlineStr">
        <is>
          <t>SKÅNE LÄN</t>
        </is>
      </c>
      <c r="E952" t="inlineStr">
        <is>
          <t>HÄSSLEHOLM</t>
        </is>
      </c>
      <c r="F952" t="inlineStr">
        <is>
          <t>Kyrkan</t>
        </is>
      </c>
      <c r="G952" t="n">
        <v>1.3</v>
      </c>
      <c r="H952" t="n">
        <v>0</v>
      </c>
      <c r="I952" t="n">
        <v>0</v>
      </c>
      <c r="J952" t="n">
        <v>0</v>
      </c>
      <c r="K952" t="n">
        <v>0</v>
      </c>
      <c r="L952" t="n">
        <v>0</v>
      </c>
      <c r="M952" t="n">
        <v>0</v>
      </c>
      <c r="N952" t="n">
        <v>0</v>
      </c>
      <c r="O952" t="n">
        <v>0</v>
      </c>
      <c r="P952" t="n">
        <v>0</v>
      </c>
      <c r="Q952" t="n">
        <v>0</v>
      </c>
      <c r="R952" s="2" t="inlineStr"/>
    </row>
    <row r="953" ht="15" customHeight="1">
      <c r="A953" t="inlineStr">
        <is>
          <t>A 20797-2023</t>
        </is>
      </c>
      <c r="B953" s="1" t="n">
        <v>45058</v>
      </c>
      <c r="C953" s="1" t="n">
        <v>45669</v>
      </c>
      <c r="D953" t="inlineStr">
        <is>
          <t>SKÅNE LÄN</t>
        </is>
      </c>
      <c r="E953" t="inlineStr">
        <is>
          <t>HÄSSLEHOLM</t>
        </is>
      </c>
      <c r="G953" t="n">
        <v>5.4</v>
      </c>
      <c r="H953" t="n">
        <v>0</v>
      </c>
      <c r="I953" t="n">
        <v>0</v>
      </c>
      <c r="J953" t="n">
        <v>0</v>
      </c>
      <c r="K953" t="n">
        <v>0</v>
      </c>
      <c r="L953" t="n">
        <v>0</v>
      </c>
      <c r="M953" t="n">
        <v>0</v>
      </c>
      <c r="N953" t="n">
        <v>0</v>
      </c>
      <c r="O953" t="n">
        <v>0</v>
      </c>
      <c r="P953" t="n">
        <v>0</v>
      </c>
      <c r="Q953" t="n">
        <v>0</v>
      </c>
      <c r="R953" s="2" t="inlineStr"/>
    </row>
    <row r="954" ht="15" customHeight="1">
      <c r="A954" t="inlineStr">
        <is>
          <t>A 20990-2023</t>
        </is>
      </c>
      <c r="B954" s="1" t="n">
        <v>45061</v>
      </c>
      <c r="C954" s="1" t="n">
        <v>45669</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21328-2023</t>
        </is>
      </c>
      <c r="B955" s="1" t="n">
        <v>45062</v>
      </c>
      <c r="C955" s="1" t="n">
        <v>45669</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21325-2023</t>
        </is>
      </c>
      <c r="B956" s="1" t="n">
        <v>45062</v>
      </c>
      <c r="C956" s="1" t="n">
        <v>45669</v>
      </c>
      <c r="D956" t="inlineStr">
        <is>
          <t>SKÅNE LÄN</t>
        </is>
      </c>
      <c r="E956" t="inlineStr">
        <is>
          <t>HÄSSLEHOLM</t>
        </is>
      </c>
      <c r="G956" t="n">
        <v>2.2</v>
      </c>
      <c r="H956" t="n">
        <v>0</v>
      </c>
      <c r="I956" t="n">
        <v>0</v>
      </c>
      <c r="J956" t="n">
        <v>0</v>
      </c>
      <c r="K956" t="n">
        <v>0</v>
      </c>
      <c r="L956" t="n">
        <v>0</v>
      </c>
      <c r="M956" t="n">
        <v>0</v>
      </c>
      <c r="N956" t="n">
        <v>0</v>
      </c>
      <c r="O956" t="n">
        <v>0</v>
      </c>
      <c r="P956" t="n">
        <v>0</v>
      </c>
      <c r="Q956" t="n">
        <v>0</v>
      </c>
      <c r="R956" s="2" t="inlineStr"/>
    </row>
    <row r="957" ht="15" customHeight="1">
      <c r="A957" t="inlineStr">
        <is>
          <t>A 21329-2023</t>
        </is>
      </c>
      <c r="B957" s="1" t="n">
        <v>45062</v>
      </c>
      <c r="C957" s="1" t="n">
        <v>45669</v>
      </c>
      <c r="D957" t="inlineStr">
        <is>
          <t>SKÅNE LÄN</t>
        </is>
      </c>
      <c r="E957" t="inlineStr">
        <is>
          <t>HÄSSLEHOLM</t>
        </is>
      </c>
      <c r="G957" t="n">
        <v>1.1</v>
      </c>
      <c r="H957" t="n">
        <v>0</v>
      </c>
      <c r="I957" t="n">
        <v>0</v>
      </c>
      <c r="J957" t="n">
        <v>0</v>
      </c>
      <c r="K957" t="n">
        <v>0</v>
      </c>
      <c r="L957" t="n">
        <v>0</v>
      </c>
      <c r="M957" t="n">
        <v>0</v>
      </c>
      <c r="N957" t="n">
        <v>0</v>
      </c>
      <c r="O957" t="n">
        <v>0</v>
      </c>
      <c r="P957" t="n">
        <v>0</v>
      </c>
      <c r="Q957" t="n">
        <v>0</v>
      </c>
      <c r="R957" s="2" t="inlineStr"/>
    </row>
    <row r="958" ht="15" customHeight="1">
      <c r="A958" t="inlineStr">
        <is>
          <t>A 21495-2023</t>
        </is>
      </c>
      <c r="B958" s="1" t="n">
        <v>45063</v>
      </c>
      <c r="C958" s="1" t="n">
        <v>45669</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21542-2023</t>
        </is>
      </c>
      <c r="B959" s="1" t="n">
        <v>45063</v>
      </c>
      <c r="C959" s="1" t="n">
        <v>45669</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21494-2023</t>
        </is>
      </c>
      <c r="B960" s="1" t="n">
        <v>45063</v>
      </c>
      <c r="C960" s="1" t="n">
        <v>45669</v>
      </c>
      <c r="D960" t="inlineStr">
        <is>
          <t>SKÅNE LÄN</t>
        </is>
      </c>
      <c r="E960" t="inlineStr">
        <is>
          <t>HÄSSLEHOLM</t>
        </is>
      </c>
      <c r="G960" t="n">
        <v>3.7</v>
      </c>
      <c r="H960" t="n">
        <v>0</v>
      </c>
      <c r="I960" t="n">
        <v>0</v>
      </c>
      <c r="J960" t="n">
        <v>0</v>
      </c>
      <c r="K960" t="n">
        <v>0</v>
      </c>
      <c r="L960" t="n">
        <v>0</v>
      </c>
      <c r="M960" t="n">
        <v>0</v>
      </c>
      <c r="N960" t="n">
        <v>0</v>
      </c>
      <c r="O960" t="n">
        <v>0</v>
      </c>
      <c r="P960" t="n">
        <v>0</v>
      </c>
      <c r="Q960" t="n">
        <v>0</v>
      </c>
      <c r="R960" s="2" t="inlineStr"/>
    </row>
    <row r="961" ht="15" customHeight="1">
      <c r="A961" t="inlineStr">
        <is>
          <t>A 21867-2023</t>
        </is>
      </c>
      <c r="B961" s="1" t="n">
        <v>45063</v>
      </c>
      <c r="C961" s="1" t="n">
        <v>45669</v>
      </c>
      <c r="D961" t="inlineStr">
        <is>
          <t>SKÅNE LÄN</t>
        </is>
      </c>
      <c r="E961" t="inlineStr">
        <is>
          <t>HÄSSLEHOLM</t>
        </is>
      </c>
      <c r="G961" t="n">
        <v>7.6</v>
      </c>
      <c r="H961" t="n">
        <v>0</v>
      </c>
      <c r="I961" t="n">
        <v>0</v>
      </c>
      <c r="J961" t="n">
        <v>0</v>
      </c>
      <c r="K961" t="n">
        <v>0</v>
      </c>
      <c r="L961" t="n">
        <v>0</v>
      </c>
      <c r="M961" t="n">
        <v>0</v>
      </c>
      <c r="N961" t="n">
        <v>0</v>
      </c>
      <c r="O961" t="n">
        <v>0</v>
      </c>
      <c r="P961" t="n">
        <v>0</v>
      </c>
      <c r="Q961" t="n">
        <v>0</v>
      </c>
      <c r="R961" s="2" t="inlineStr"/>
    </row>
    <row r="962" ht="15" customHeight="1">
      <c r="A962" t="inlineStr">
        <is>
          <t>A 22140-2023</t>
        </is>
      </c>
      <c r="B962" s="1" t="n">
        <v>45065</v>
      </c>
      <c r="C962" s="1" t="n">
        <v>45669</v>
      </c>
      <c r="D962" t="inlineStr">
        <is>
          <t>SKÅNE LÄN</t>
        </is>
      </c>
      <c r="E962" t="inlineStr">
        <is>
          <t>HÄSSLEHOLM</t>
        </is>
      </c>
      <c r="G962" t="n">
        <v>6.7</v>
      </c>
      <c r="H962" t="n">
        <v>0</v>
      </c>
      <c r="I962" t="n">
        <v>0</v>
      </c>
      <c r="J962" t="n">
        <v>0</v>
      </c>
      <c r="K962" t="n">
        <v>0</v>
      </c>
      <c r="L962" t="n">
        <v>0</v>
      </c>
      <c r="M962" t="n">
        <v>0</v>
      </c>
      <c r="N962" t="n">
        <v>0</v>
      </c>
      <c r="O962" t="n">
        <v>0</v>
      </c>
      <c r="P962" t="n">
        <v>0</v>
      </c>
      <c r="Q962" t="n">
        <v>0</v>
      </c>
      <c r="R962" s="2" t="inlineStr"/>
    </row>
    <row r="963" ht="15" customHeight="1">
      <c r="A963" t="inlineStr">
        <is>
          <t>A 21879-2023</t>
        </is>
      </c>
      <c r="B963" s="1" t="n">
        <v>45068</v>
      </c>
      <c r="C963" s="1" t="n">
        <v>45669</v>
      </c>
      <c r="D963" t="inlineStr">
        <is>
          <t>SKÅNE LÄN</t>
        </is>
      </c>
      <c r="E963" t="inlineStr">
        <is>
          <t>HÄSSLEHOLM</t>
        </is>
      </c>
      <c r="G963" t="n">
        <v>2.4</v>
      </c>
      <c r="H963" t="n">
        <v>0</v>
      </c>
      <c r="I963" t="n">
        <v>0</v>
      </c>
      <c r="J963" t="n">
        <v>0</v>
      </c>
      <c r="K963" t="n">
        <v>0</v>
      </c>
      <c r="L963" t="n">
        <v>0</v>
      </c>
      <c r="M963" t="n">
        <v>0</v>
      </c>
      <c r="N963" t="n">
        <v>0</v>
      </c>
      <c r="O963" t="n">
        <v>0</v>
      </c>
      <c r="P963" t="n">
        <v>0</v>
      </c>
      <c r="Q963" t="n">
        <v>0</v>
      </c>
      <c r="R963" s="2" t="inlineStr"/>
    </row>
    <row r="964" ht="15" customHeight="1">
      <c r="A964" t="inlineStr">
        <is>
          <t>A 21873-2023</t>
        </is>
      </c>
      <c r="B964" s="1" t="n">
        <v>45068</v>
      </c>
      <c r="C964" s="1" t="n">
        <v>45669</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21877-2023</t>
        </is>
      </c>
      <c r="B965" s="1" t="n">
        <v>45068</v>
      </c>
      <c r="C965" s="1" t="n">
        <v>45669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22628-2023</t>
        </is>
      </c>
      <c r="B966" s="1" t="n">
        <v>45071</v>
      </c>
      <c r="C966" s="1" t="n">
        <v>45669</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22696-2023</t>
        </is>
      </c>
      <c r="B967" s="1" t="n">
        <v>45071</v>
      </c>
      <c r="C967" s="1" t="n">
        <v>45669</v>
      </c>
      <c r="D967" t="inlineStr">
        <is>
          <t>SKÅNE LÄN</t>
        </is>
      </c>
      <c r="E967" t="inlineStr">
        <is>
          <t>HÄSSLEHOLM</t>
        </is>
      </c>
      <c r="G967" t="n">
        <v>0.8</v>
      </c>
      <c r="H967" t="n">
        <v>0</v>
      </c>
      <c r="I967" t="n">
        <v>0</v>
      </c>
      <c r="J967" t="n">
        <v>0</v>
      </c>
      <c r="K967" t="n">
        <v>0</v>
      </c>
      <c r="L967" t="n">
        <v>0</v>
      </c>
      <c r="M967" t="n">
        <v>0</v>
      </c>
      <c r="N967" t="n">
        <v>0</v>
      </c>
      <c r="O967" t="n">
        <v>0</v>
      </c>
      <c r="P967" t="n">
        <v>0</v>
      </c>
      <c r="Q967" t="n">
        <v>0</v>
      </c>
      <c r="R967" s="2" t="inlineStr"/>
    </row>
    <row r="968" ht="15" customHeight="1">
      <c r="A968" t="inlineStr">
        <is>
          <t>A 23643-2023</t>
        </is>
      </c>
      <c r="B968" s="1" t="n">
        <v>45072</v>
      </c>
      <c r="C968" s="1" t="n">
        <v>45669</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23666-2023</t>
        </is>
      </c>
      <c r="B969" s="1" t="n">
        <v>45077</v>
      </c>
      <c r="C969" s="1" t="n">
        <v>45669</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23683-2023</t>
        </is>
      </c>
      <c r="B970" s="1" t="n">
        <v>45077</v>
      </c>
      <c r="C970" s="1" t="n">
        <v>45669</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45669</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23684-2023</t>
        </is>
      </c>
      <c r="B972" s="1" t="n">
        <v>45077</v>
      </c>
      <c r="C972" s="1" t="n">
        <v>45669</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23955-2023</t>
        </is>
      </c>
      <c r="B973" s="1" t="n">
        <v>45078</v>
      </c>
      <c r="C973" s="1" t="n">
        <v>45669</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23946-2023</t>
        </is>
      </c>
      <c r="B974" s="1" t="n">
        <v>45078</v>
      </c>
      <c r="C974" s="1" t="n">
        <v>45669</v>
      </c>
      <c r="D974" t="inlineStr">
        <is>
          <t>SKÅNE LÄN</t>
        </is>
      </c>
      <c r="E974" t="inlineStr">
        <is>
          <t>HÄSSLEHOLM</t>
        </is>
      </c>
      <c r="G974" t="n">
        <v>0.2</v>
      </c>
      <c r="H974" t="n">
        <v>0</v>
      </c>
      <c r="I974" t="n">
        <v>0</v>
      </c>
      <c r="J974" t="n">
        <v>0</v>
      </c>
      <c r="K974" t="n">
        <v>0</v>
      </c>
      <c r="L974" t="n">
        <v>0</v>
      </c>
      <c r="M974" t="n">
        <v>0</v>
      </c>
      <c r="N974" t="n">
        <v>0</v>
      </c>
      <c r="O974" t="n">
        <v>0</v>
      </c>
      <c r="P974" t="n">
        <v>0</v>
      </c>
      <c r="Q974" t="n">
        <v>0</v>
      </c>
      <c r="R974" s="2" t="inlineStr"/>
    </row>
    <row r="975" ht="15" customHeight="1">
      <c r="A975" t="inlineStr">
        <is>
          <t>A 23950-2023</t>
        </is>
      </c>
      <c r="B975" s="1" t="n">
        <v>45078</v>
      </c>
      <c r="C975" s="1" t="n">
        <v>45669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23959-2023</t>
        </is>
      </c>
      <c r="B976" s="1" t="n">
        <v>45078</v>
      </c>
      <c r="C976" s="1" t="n">
        <v>45669</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23957-2023</t>
        </is>
      </c>
      <c r="B977" s="1" t="n">
        <v>45078</v>
      </c>
      <c r="C977" s="1" t="n">
        <v>45669</v>
      </c>
      <c r="D977" t="inlineStr">
        <is>
          <t>SKÅNE LÄN</t>
        </is>
      </c>
      <c r="E977" t="inlineStr">
        <is>
          <t>HÄSSLEHOLM</t>
        </is>
      </c>
      <c r="G977" t="n">
        <v>4.8</v>
      </c>
      <c r="H977" t="n">
        <v>0</v>
      </c>
      <c r="I977" t="n">
        <v>0</v>
      </c>
      <c r="J977" t="n">
        <v>0</v>
      </c>
      <c r="K977" t="n">
        <v>0</v>
      </c>
      <c r="L977" t="n">
        <v>0</v>
      </c>
      <c r="M977" t="n">
        <v>0</v>
      </c>
      <c r="N977" t="n">
        <v>0</v>
      </c>
      <c r="O977" t="n">
        <v>0</v>
      </c>
      <c r="P977" t="n">
        <v>0</v>
      </c>
      <c r="Q977" t="n">
        <v>0</v>
      </c>
      <c r="R977" s="2" t="inlineStr"/>
    </row>
    <row r="978" ht="15" customHeight="1">
      <c r="A978" t="inlineStr">
        <is>
          <t>A 23952-2023</t>
        </is>
      </c>
      <c r="B978" s="1" t="n">
        <v>45078</v>
      </c>
      <c r="C978" s="1" t="n">
        <v>45669</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23956-2023</t>
        </is>
      </c>
      <c r="B979" s="1" t="n">
        <v>45078</v>
      </c>
      <c r="C979" s="1" t="n">
        <v>45669</v>
      </c>
      <c r="D979" t="inlineStr">
        <is>
          <t>SKÅNE LÄN</t>
        </is>
      </c>
      <c r="E979" t="inlineStr">
        <is>
          <t>HÄSSLEHOLM</t>
        </is>
      </c>
      <c r="G979" t="n">
        <v>0.1</v>
      </c>
      <c r="H979" t="n">
        <v>0</v>
      </c>
      <c r="I979" t="n">
        <v>0</v>
      </c>
      <c r="J979" t="n">
        <v>0</v>
      </c>
      <c r="K979" t="n">
        <v>0</v>
      </c>
      <c r="L979" t="n">
        <v>0</v>
      </c>
      <c r="M979" t="n">
        <v>0</v>
      </c>
      <c r="N979" t="n">
        <v>0</v>
      </c>
      <c r="O979" t="n">
        <v>0</v>
      </c>
      <c r="P979" t="n">
        <v>0</v>
      </c>
      <c r="Q979" t="n">
        <v>0</v>
      </c>
      <c r="R979" s="2" t="inlineStr"/>
    </row>
    <row r="980" ht="15" customHeight="1">
      <c r="A980" t="inlineStr">
        <is>
          <t>A 24246-2023</t>
        </is>
      </c>
      <c r="B980" s="1" t="n">
        <v>45079</v>
      </c>
      <c r="C980" s="1" t="n">
        <v>45669</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24241-2023</t>
        </is>
      </c>
      <c r="B981" s="1" t="n">
        <v>45079</v>
      </c>
      <c r="C981" s="1" t="n">
        <v>45669</v>
      </c>
      <c r="D981" t="inlineStr">
        <is>
          <t>SKÅNE LÄN</t>
        </is>
      </c>
      <c r="E981" t="inlineStr">
        <is>
          <t>HÄSSLEHOLM</t>
        </is>
      </c>
      <c r="G981" t="n">
        <v>0.9</v>
      </c>
      <c r="H981" t="n">
        <v>0</v>
      </c>
      <c r="I981" t="n">
        <v>0</v>
      </c>
      <c r="J981" t="n">
        <v>0</v>
      </c>
      <c r="K981" t="n">
        <v>0</v>
      </c>
      <c r="L981" t="n">
        <v>0</v>
      </c>
      <c r="M981" t="n">
        <v>0</v>
      </c>
      <c r="N981" t="n">
        <v>0</v>
      </c>
      <c r="O981" t="n">
        <v>0</v>
      </c>
      <c r="P981" t="n">
        <v>0</v>
      </c>
      <c r="Q981" t="n">
        <v>0</v>
      </c>
      <c r="R981" s="2" t="inlineStr"/>
    </row>
    <row r="982" ht="15" customHeight="1">
      <c r="A982" t="inlineStr">
        <is>
          <t>A 24249-2023</t>
        </is>
      </c>
      <c r="B982" s="1" t="n">
        <v>45079</v>
      </c>
      <c r="C982" s="1" t="n">
        <v>45669</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25483-2023</t>
        </is>
      </c>
      <c r="B983" s="1" t="n">
        <v>45081</v>
      </c>
      <c r="C983" s="1" t="n">
        <v>45669</v>
      </c>
      <c r="D983" t="inlineStr">
        <is>
          <t>SKÅNE LÄN</t>
        </is>
      </c>
      <c r="E983" t="inlineStr">
        <is>
          <t>HÄSSLEHOLM</t>
        </is>
      </c>
      <c r="G983" t="n">
        <v>1.2</v>
      </c>
      <c r="H983" t="n">
        <v>0</v>
      </c>
      <c r="I983" t="n">
        <v>0</v>
      </c>
      <c r="J983" t="n">
        <v>0</v>
      </c>
      <c r="K983" t="n">
        <v>0</v>
      </c>
      <c r="L983" t="n">
        <v>0</v>
      </c>
      <c r="M983" t="n">
        <v>0</v>
      </c>
      <c r="N983" t="n">
        <v>0</v>
      </c>
      <c r="O983" t="n">
        <v>0</v>
      </c>
      <c r="P983" t="n">
        <v>0</v>
      </c>
      <c r="Q983" t="n">
        <v>0</v>
      </c>
      <c r="R983" s="2" t="inlineStr"/>
    </row>
    <row r="984" ht="15" customHeight="1">
      <c r="A984" t="inlineStr">
        <is>
          <t>A 24370-2023</t>
        </is>
      </c>
      <c r="B984" s="1" t="n">
        <v>45082</v>
      </c>
      <c r="C984" s="1" t="n">
        <v>45669</v>
      </c>
      <c r="D984" t="inlineStr">
        <is>
          <t>SKÅNE LÄN</t>
        </is>
      </c>
      <c r="E984" t="inlineStr">
        <is>
          <t>HÄSSLEHOLM</t>
        </is>
      </c>
      <c r="G984" t="n">
        <v>1.9</v>
      </c>
      <c r="H984" t="n">
        <v>0</v>
      </c>
      <c r="I984" t="n">
        <v>0</v>
      </c>
      <c r="J984" t="n">
        <v>0</v>
      </c>
      <c r="K984" t="n">
        <v>0</v>
      </c>
      <c r="L984" t="n">
        <v>0</v>
      </c>
      <c r="M984" t="n">
        <v>0</v>
      </c>
      <c r="N984" t="n">
        <v>0</v>
      </c>
      <c r="O984" t="n">
        <v>0</v>
      </c>
      <c r="P984" t="n">
        <v>0</v>
      </c>
      <c r="Q984" t="n">
        <v>0</v>
      </c>
      <c r="R984" s="2" t="inlineStr"/>
    </row>
    <row r="985" ht="15" customHeight="1">
      <c r="A985" t="inlineStr">
        <is>
          <t>A 24640-2023</t>
        </is>
      </c>
      <c r="B985" s="1" t="n">
        <v>45084</v>
      </c>
      <c r="C985" s="1" t="n">
        <v>45669</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24679-2023</t>
        </is>
      </c>
      <c r="B986" s="1" t="n">
        <v>45084</v>
      </c>
      <c r="C986" s="1" t="n">
        <v>45669</v>
      </c>
      <c r="D986" t="inlineStr">
        <is>
          <t>SKÅNE LÄN</t>
        </is>
      </c>
      <c r="E986" t="inlineStr">
        <is>
          <t>HÄSSLEHOLM</t>
        </is>
      </c>
      <c r="G986" t="n">
        <v>7.1</v>
      </c>
      <c r="H986" t="n">
        <v>0</v>
      </c>
      <c r="I986" t="n">
        <v>0</v>
      </c>
      <c r="J986" t="n">
        <v>0</v>
      </c>
      <c r="K986" t="n">
        <v>0</v>
      </c>
      <c r="L986" t="n">
        <v>0</v>
      </c>
      <c r="M986" t="n">
        <v>0</v>
      </c>
      <c r="N986" t="n">
        <v>0</v>
      </c>
      <c r="O986" t="n">
        <v>0</v>
      </c>
      <c r="P986" t="n">
        <v>0</v>
      </c>
      <c r="Q986" t="n">
        <v>0</v>
      </c>
      <c r="R986" s="2" t="inlineStr"/>
    </row>
    <row r="987" ht="15" customHeight="1">
      <c r="A987" t="inlineStr">
        <is>
          <t>A 25219-2023</t>
        </is>
      </c>
      <c r="B987" s="1" t="n">
        <v>45086</v>
      </c>
      <c r="C987" s="1" t="n">
        <v>45669</v>
      </c>
      <c r="D987" t="inlineStr">
        <is>
          <t>SKÅNE LÄN</t>
        </is>
      </c>
      <c r="E987" t="inlineStr">
        <is>
          <t>HÄSSLEHOLM</t>
        </is>
      </c>
      <c r="G987" t="n">
        <v>6.9</v>
      </c>
      <c r="H987" t="n">
        <v>0</v>
      </c>
      <c r="I987" t="n">
        <v>0</v>
      </c>
      <c r="J987" t="n">
        <v>0</v>
      </c>
      <c r="K987" t="n">
        <v>0</v>
      </c>
      <c r="L987" t="n">
        <v>0</v>
      </c>
      <c r="M987" t="n">
        <v>0</v>
      </c>
      <c r="N987" t="n">
        <v>0</v>
      </c>
      <c r="O987" t="n">
        <v>0</v>
      </c>
      <c r="P987" t="n">
        <v>0</v>
      </c>
      <c r="Q987" t="n">
        <v>0</v>
      </c>
      <c r="R987" s="2" t="inlineStr"/>
    </row>
    <row r="988" ht="15" customHeight="1">
      <c r="A988" t="inlineStr">
        <is>
          <t>A 25221-2023</t>
        </is>
      </c>
      <c r="B988" s="1" t="n">
        <v>45086</v>
      </c>
      <c r="C988" s="1" t="n">
        <v>45669</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25213-2023</t>
        </is>
      </c>
      <c r="B989" s="1" t="n">
        <v>45086</v>
      </c>
      <c r="C989" s="1" t="n">
        <v>45669</v>
      </c>
      <c r="D989" t="inlineStr">
        <is>
          <t>SKÅNE LÄN</t>
        </is>
      </c>
      <c r="E989" t="inlineStr">
        <is>
          <t>HÄSSLEHOLM</t>
        </is>
      </c>
      <c r="G989" t="n">
        <v>7.2</v>
      </c>
      <c r="H989" t="n">
        <v>0</v>
      </c>
      <c r="I989" t="n">
        <v>0</v>
      </c>
      <c r="J989" t="n">
        <v>0</v>
      </c>
      <c r="K989" t="n">
        <v>0</v>
      </c>
      <c r="L989" t="n">
        <v>0</v>
      </c>
      <c r="M989" t="n">
        <v>0</v>
      </c>
      <c r="N989" t="n">
        <v>0</v>
      </c>
      <c r="O989" t="n">
        <v>0</v>
      </c>
      <c r="P989" t="n">
        <v>0</v>
      </c>
      <c r="Q989" t="n">
        <v>0</v>
      </c>
      <c r="R989" s="2" t="inlineStr"/>
    </row>
    <row r="990" ht="15" customHeight="1">
      <c r="A990" t="inlineStr">
        <is>
          <t>A 25206-2023</t>
        </is>
      </c>
      <c r="B990" s="1" t="n">
        <v>45086</v>
      </c>
      <c r="C990" s="1" t="n">
        <v>45669</v>
      </c>
      <c r="D990" t="inlineStr">
        <is>
          <t>SKÅNE LÄN</t>
        </is>
      </c>
      <c r="E990" t="inlineStr">
        <is>
          <t>HÄSSLEHOLM</t>
        </is>
      </c>
      <c r="G990" t="n">
        <v>2.9</v>
      </c>
      <c r="H990" t="n">
        <v>0</v>
      </c>
      <c r="I990" t="n">
        <v>0</v>
      </c>
      <c r="J990" t="n">
        <v>0</v>
      </c>
      <c r="K990" t="n">
        <v>0</v>
      </c>
      <c r="L990" t="n">
        <v>0</v>
      </c>
      <c r="M990" t="n">
        <v>0</v>
      </c>
      <c r="N990" t="n">
        <v>0</v>
      </c>
      <c r="O990" t="n">
        <v>0</v>
      </c>
      <c r="P990" t="n">
        <v>0</v>
      </c>
      <c r="Q990" t="n">
        <v>0</v>
      </c>
      <c r="R990" s="2" t="inlineStr"/>
    </row>
    <row r="991" ht="15" customHeight="1">
      <c r="A991" t="inlineStr">
        <is>
          <t>A 26397-2023</t>
        </is>
      </c>
      <c r="B991" s="1" t="n">
        <v>45087</v>
      </c>
      <c r="C991" s="1" t="n">
        <v>45669</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25511-2023</t>
        </is>
      </c>
      <c r="B992" s="1" t="n">
        <v>45089</v>
      </c>
      <c r="C992" s="1" t="n">
        <v>45669</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25773-2023</t>
        </is>
      </c>
      <c r="B993" s="1" t="n">
        <v>45090</v>
      </c>
      <c r="C993" s="1" t="n">
        <v>45669</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26641-2023</t>
        </is>
      </c>
      <c r="B994" s="1" t="n">
        <v>45092</v>
      </c>
      <c r="C994" s="1" t="n">
        <v>45669</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26642-2023</t>
        </is>
      </c>
      <c r="B995" s="1" t="n">
        <v>45092</v>
      </c>
      <c r="C995" s="1" t="n">
        <v>45669</v>
      </c>
      <c r="D995" t="inlineStr">
        <is>
          <t>SKÅNE LÄN</t>
        </is>
      </c>
      <c r="E995" t="inlineStr">
        <is>
          <t>HÄSSLEHOLM</t>
        </is>
      </c>
      <c r="G995" t="n">
        <v>0.5</v>
      </c>
      <c r="H995" t="n">
        <v>0</v>
      </c>
      <c r="I995" t="n">
        <v>0</v>
      </c>
      <c r="J995" t="n">
        <v>0</v>
      </c>
      <c r="K995" t="n">
        <v>0</v>
      </c>
      <c r="L995" t="n">
        <v>0</v>
      </c>
      <c r="M995" t="n">
        <v>0</v>
      </c>
      <c r="N995" t="n">
        <v>0</v>
      </c>
      <c r="O995" t="n">
        <v>0</v>
      </c>
      <c r="P995" t="n">
        <v>0</v>
      </c>
      <c r="Q995" t="n">
        <v>0</v>
      </c>
      <c r="R995" s="2" t="inlineStr"/>
    </row>
    <row r="996" ht="15" customHeight="1">
      <c r="A996" t="inlineStr">
        <is>
          <t>A 27502-2023</t>
        </is>
      </c>
      <c r="B996" s="1" t="n">
        <v>45092</v>
      </c>
      <c r="C996" s="1" t="n">
        <v>45669</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27478-2023</t>
        </is>
      </c>
      <c r="B997" s="1" t="n">
        <v>45092</v>
      </c>
      <c r="C997" s="1" t="n">
        <v>45669</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27297-2023</t>
        </is>
      </c>
      <c r="B998" s="1" t="n">
        <v>45096</v>
      </c>
      <c r="C998" s="1" t="n">
        <v>45669</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27291-2023</t>
        </is>
      </c>
      <c r="B999" s="1" t="n">
        <v>45096</v>
      </c>
      <c r="C999" s="1" t="n">
        <v>45669</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27304-2023</t>
        </is>
      </c>
      <c r="B1000" s="1" t="n">
        <v>45096</v>
      </c>
      <c r="C1000" s="1" t="n">
        <v>45669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27481-2023</t>
        </is>
      </c>
      <c r="B1001" s="1" t="n">
        <v>45097</v>
      </c>
      <c r="C1001" s="1" t="n">
        <v>45669</v>
      </c>
      <c r="D1001" t="inlineStr">
        <is>
          <t>SKÅNE LÄN</t>
        </is>
      </c>
      <c r="E1001" t="inlineStr">
        <is>
          <t>HÄSSLEHOLM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29287-2023</t>
        </is>
      </c>
      <c r="B1002" s="1" t="n">
        <v>45098</v>
      </c>
      <c r="C1002" s="1" t="n">
        <v>45669</v>
      </c>
      <c r="D1002" t="inlineStr">
        <is>
          <t>SKÅNE LÄN</t>
        </is>
      </c>
      <c r="E1002" t="inlineStr">
        <is>
          <t>HÄSSLEHOLM</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28057-2023</t>
        </is>
      </c>
      <c r="B1003" s="1" t="n">
        <v>45099</v>
      </c>
      <c r="C1003" s="1" t="n">
        <v>45669</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28071-2023</t>
        </is>
      </c>
      <c r="B1004" s="1" t="n">
        <v>45099</v>
      </c>
      <c r="C1004" s="1" t="n">
        <v>45669</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28597-2023</t>
        </is>
      </c>
      <c r="B1005" s="1" t="n">
        <v>45103</v>
      </c>
      <c r="C1005" s="1" t="n">
        <v>45669</v>
      </c>
      <c r="D1005" t="inlineStr">
        <is>
          <t>SKÅNE LÄN</t>
        </is>
      </c>
      <c r="E1005" t="inlineStr">
        <is>
          <t>HÄSSLEHOLM</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29275-2023</t>
        </is>
      </c>
      <c r="B1006" s="1" t="n">
        <v>45105</v>
      </c>
      <c r="C1006" s="1" t="n">
        <v>45669</v>
      </c>
      <c r="D1006" t="inlineStr">
        <is>
          <t>SKÅNE LÄN</t>
        </is>
      </c>
      <c r="E1006" t="inlineStr">
        <is>
          <t>HÄSSLEHOLM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29274-2023</t>
        </is>
      </c>
      <c r="B1007" s="1" t="n">
        <v>45105</v>
      </c>
      <c r="C1007" s="1" t="n">
        <v>45669</v>
      </c>
      <c r="D1007" t="inlineStr">
        <is>
          <t>SKÅNE LÄN</t>
        </is>
      </c>
      <c r="E1007" t="inlineStr">
        <is>
          <t>HÄSSLEHOLM</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29276-2023</t>
        </is>
      </c>
      <c r="B1008" s="1" t="n">
        <v>45105</v>
      </c>
      <c r="C1008" s="1" t="n">
        <v>45669</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29889-2023</t>
        </is>
      </c>
      <c r="B1009" s="1" t="n">
        <v>45107</v>
      </c>
      <c r="C1009" s="1" t="n">
        <v>45669</v>
      </c>
      <c r="D1009" t="inlineStr">
        <is>
          <t>SKÅNE LÄN</t>
        </is>
      </c>
      <c r="E1009" t="inlineStr">
        <is>
          <t>HÄSSLEHOLM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31995-2023</t>
        </is>
      </c>
      <c r="B1010" s="1" t="n">
        <v>45107</v>
      </c>
      <c r="C1010" s="1" t="n">
        <v>45669</v>
      </c>
      <c r="D1010" t="inlineStr">
        <is>
          <t>SKÅNE LÄN</t>
        </is>
      </c>
      <c r="E1010" t="inlineStr">
        <is>
          <t>HÄSSLEHOLM</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29994-2023</t>
        </is>
      </c>
      <c r="B1011" s="1" t="n">
        <v>45109</v>
      </c>
      <c r="C1011" s="1" t="n">
        <v>45669</v>
      </c>
      <c r="D1011" t="inlineStr">
        <is>
          <t>SKÅNE LÄN</t>
        </is>
      </c>
      <c r="E1011" t="inlineStr">
        <is>
          <t>HÄSSLEHOLM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30006-2023</t>
        </is>
      </c>
      <c r="B1012" s="1" t="n">
        <v>45109</v>
      </c>
      <c r="C1012" s="1" t="n">
        <v>45669</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30007-2023</t>
        </is>
      </c>
      <c r="B1013" s="1" t="n">
        <v>45109</v>
      </c>
      <c r="C1013" s="1" t="n">
        <v>45669</v>
      </c>
      <c r="D1013" t="inlineStr">
        <is>
          <t>SKÅNE LÄN</t>
        </is>
      </c>
      <c r="E1013" t="inlineStr">
        <is>
          <t>HÄSSLEHOLM</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30021-2023</t>
        </is>
      </c>
      <c r="B1014" s="1" t="n">
        <v>45110</v>
      </c>
      <c r="C1014" s="1" t="n">
        <v>45669</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30192-2023</t>
        </is>
      </c>
      <c r="B1015" s="1" t="n">
        <v>45110</v>
      </c>
      <c r="C1015" s="1" t="n">
        <v>45669</v>
      </c>
      <c r="D1015" t="inlineStr">
        <is>
          <t>SKÅNE LÄN</t>
        </is>
      </c>
      <c r="E1015" t="inlineStr">
        <is>
          <t>HÄSSLEHOLM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32616-2023</t>
        </is>
      </c>
      <c r="B1016" s="1" t="n">
        <v>45111</v>
      </c>
      <c r="C1016" s="1" t="n">
        <v>45669</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31008-2023</t>
        </is>
      </c>
      <c r="B1017" s="1" t="n">
        <v>45113</v>
      </c>
      <c r="C1017" s="1" t="n">
        <v>45669</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31391-2023</t>
        </is>
      </c>
      <c r="B1018" s="1" t="n">
        <v>45114</v>
      </c>
      <c r="C1018" s="1" t="n">
        <v>45669</v>
      </c>
      <c r="D1018" t="inlineStr">
        <is>
          <t>SKÅNE LÄN</t>
        </is>
      </c>
      <c r="E1018" t="inlineStr">
        <is>
          <t>HÄSSLEHOLM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31581-2023</t>
        </is>
      </c>
      <c r="B1019" s="1" t="n">
        <v>45117</v>
      </c>
      <c r="C1019" s="1" t="n">
        <v>45669</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31872-2023</t>
        </is>
      </c>
      <c r="B1020" s="1" t="n">
        <v>45118</v>
      </c>
      <c r="C1020" s="1" t="n">
        <v>45669</v>
      </c>
      <c r="D1020" t="inlineStr">
        <is>
          <t>SKÅNE LÄN</t>
        </is>
      </c>
      <c r="E1020" t="inlineStr">
        <is>
          <t>HÄSSLEHOLM</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31946-2023</t>
        </is>
      </c>
      <c r="B1021" s="1" t="n">
        <v>45119</v>
      </c>
      <c r="C1021" s="1" t="n">
        <v>45669</v>
      </c>
      <c r="D1021" t="inlineStr">
        <is>
          <t>SKÅNE LÄN</t>
        </is>
      </c>
      <c r="E1021" t="inlineStr">
        <is>
          <t>HÄSSLEHOLM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31986-2023</t>
        </is>
      </c>
      <c r="B1022" s="1" t="n">
        <v>45119</v>
      </c>
      <c r="C1022" s="1" t="n">
        <v>45669</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32061-2023</t>
        </is>
      </c>
      <c r="B1023" s="1" t="n">
        <v>45119</v>
      </c>
      <c r="C1023" s="1" t="n">
        <v>45669</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31944-2023</t>
        </is>
      </c>
      <c r="B1024" s="1" t="n">
        <v>45119</v>
      </c>
      <c r="C1024" s="1" t="n">
        <v>45669</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31998-2023</t>
        </is>
      </c>
      <c r="B1025" s="1" t="n">
        <v>45119</v>
      </c>
      <c r="C1025" s="1" t="n">
        <v>45669</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32567-2023</t>
        </is>
      </c>
      <c r="B1026" s="1" t="n">
        <v>45121</v>
      </c>
      <c r="C1026" s="1" t="n">
        <v>45669</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32794-2023</t>
        </is>
      </c>
      <c r="B1027" s="1" t="n">
        <v>45124</v>
      </c>
      <c r="C1027" s="1" t="n">
        <v>45669</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33938-2023</t>
        </is>
      </c>
      <c r="B1028" s="1" t="n">
        <v>45124</v>
      </c>
      <c r="C1028" s="1" t="n">
        <v>45669</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32967-2023</t>
        </is>
      </c>
      <c r="B1029" s="1" t="n">
        <v>45125</v>
      </c>
      <c r="C1029" s="1" t="n">
        <v>45669</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32968-2023</t>
        </is>
      </c>
      <c r="B1030" s="1" t="n">
        <v>45125</v>
      </c>
      <c r="C1030" s="1" t="n">
        <v>45669</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32999-2023</t>
        </is>
      </c>
      <c r="B1031" s="1" t="n">
        <v>45125</v>
      </c>
      <c r="C1031" s="1" t="n">
        <v>45669</v>
      </c>
      <c r="D1031" t="inlineStr">
        <is>
          <t>SKÅNE LÄN</t>
        </is>
      </c>
      <c r="E1031" t="inlineStr">
        <is>
          <t>HÄSSLEHOLM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32957-2023</t>
        </is>
      </c>
      <c r="B1032" s="1" t="n">
        <v>45125</v>
      </c>
      <c r="C1032" s="1" t="n">
        <v>45669</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32958-2023</t>
        </is>
      </c>
      <c r="B1033" s="1" t="n">
        <v>45125</v>
      </c>
      <c r="C1033" s="1" t="n">
        <v>45669</v>
      </c>
      <c r="D1033" t="inlineStr">
        <is>
          <t>SKÅNE LÄN</t>
        </is>
      </c>
      <c r="E1033" t="inlineStr">
        <is>
          <t>HÄSSLEHOLM</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33095-2023</t>
        </is>
      </c>
      <c r="B1034" s="1" t="n">
        <v>45126</v>
      </c>
      <c r="C1034" s="1" t="n">
        <v>45669</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33056-2023</t>
        </is>
      </c>
      <c r="B1035" s="1" t="n">
        <v>45126</v>
      </c>
      <c r="C1035" s="1" t="n">
        <v>45669</v>
      </c>
      <c r="D1035" t="inlineStr">
        <is>
          <t>SKÅNE LÄN</t>
        </is>
      </c>
      <c r="E1035" t="inlineStr">
        <is>
          <t>HÄSSLEHOLM</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33520-2023</t>
        </is>
      </c>
      <c r="B1036" s="1" t="n">
        <v>45131</v>
      </c>
      <c r="C1036" s="1" t="n">
        <v>45669</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33597-2023</t>
        </is>
      </c>
      <c r="B1037" s="1" t="n">
        <v>45132</v>
      </c>
      <c r="C1037" s="1" t="n">
        <v>45669</v>
      </c>
      <c r="D1037" t="inlineStr">
        <is>
          <t>SKÅNE LÄN</t>
        </is>
      </c>
      <c r="E1037" t="inlineStr">
        <is>
          <t>HÄSSLEHOLM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33598-2023</t>
        </is>
      </c>
      <c r="B1038" s="1" t="n">
        <v>45132</v>
      </c>
      <c r="C1038" s="1" t="n">
        <v>45669</v>
      </c>
      <c r="D1038" t="inlineStr">
        <is>
          <t>SKÅNE LÄN</t>
        </is>
      </c>
      <c r="E1038" t="inlineStr">
        <is>
          <t>HÄSSLEHOLM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33599-2023</t>
        </is>
      </c>
      <c r="B1039" s="1" t="n">
        <v>45132</v>
      </c>
      <c r="C1039" s="1" t="n">
        <v>45669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34187-2023</t>
        </is>
      </c>
      <c r="B1040" s="1" t="n">
        <v>45138</v>
      </c>
      <c r="C1040" s="1" t="n">
        <v>45669</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34369-2023</t>
        </is>
      </c>
      <c r="B1041" s="1" t="n">
        <v>45139</v>
      </c>
      <c r="C1041" s="1" t="n">
        <v>45669</v>
      </c>
      <c r="D1041" t="inlineStr">
        <is>
          <t>SKÅNE LÄN</t>
        </is>
      </c>
      <c r="E1041" t="inlineStr">
        <is>
          <t>HÄSSLEHOLM</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34834-2023</t>
        </is>
      </c>
      <c r="B1042" s="1" t="n">
        <v>45141</v>
      </c>
      <c r="C1042" s="1" t="n">
        <v>45669</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34876-2023</t>
        </is>
      </c>
      <c r="B1043" s="1" t="n">
        <v>45142</v>
      </c>
      <c r="C1043" s="1" t="n">
        <v>45669</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34884-2023</t>
        </is>
      </c>
      <c r="B1044" s="1" t="n">
        <v>45142</v>
      </c>
      <c r="C1044" s="1" t="n">
        <v>45669</v>
      </c>
      <c r="D1044" t="inlineStr">
        <is>
          <t>SKÅNE LÄN</t>
        </is>
      </c>
      <c r="E1044" t="inlineStr">
        <is>
          <t>HÄSSLEHOLM</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34890-2023</t>
        </is>
      </c>
      <c r="B1045" s="1" t="n">
        <v>45142</v>
      </c>
      <c r="C1045" s="1" t="n">
        <v>45669</v>
      </c>
      <c r="D1045" t="inlineStr">
        <is>
          <t>SKÅNE LÄN</t>
        </is>
      </c>
      <c r="E1045" t="inlineStr">
        <is>
          <t>HÄSSLEHOLM</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34886-2023</t>
        </is>
      </c>
      <c r="B1046" s="1" t="n">
        <v>45142</v>
      </c>
      <c r="C1046" s="1" t="n">
        <v>45669</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34887-2023</t>
        </is>
      </c>
      <c r="B1047" s="1" t="n">
        <v>45142</v>
      </c>
      <c r="C1047" s="1" t="n">
        <v>45669</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34883-2023</t>
        </is>
      </c>
      <c r="B1048" s="1" t="n">
        <v>45142</v>
      </c>
      <c r="C1048" s="1" t="n">
        <v>45669</v>
      </c>
      <c r="D1048" t="inlineStr">
        <is>
          <t>SKÅNE LÄN</t>
        </is>
      </c>
      <c r="E1048" t="inlineStr">
        <is>
          <t>HÄSSLEHOLM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34888-2023</t>
        </is>
      </c>
      <c r="B1049" s="1" t="n">
        <v>45142</v>
      </c>
      <c r="C1049" s="1" t="n">
        <v>45669</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35082-2023</t>
        </is>
      </c>
      <c r="B1050" s="1" t="n">
        <v>45145</v>
      </c>
      <c r="C1050" s="1" t="n">
        <v>45669</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35150-2023</t>
        </is>
      </c>
      <c r="B1051" s="1" t="n">
        <v>45145</v>
      </c>
      <c r="C1051" s="1" t="n">
        <v>45669</v>
      </c>
      <c r="D1051" t="inlineStr">
        <is>
          <t>SKÅNE LÄN</t>
        </is>
      </c>
      <c r="E1051" t="inlineStr">
        <is>
          <t>HÄSSLEHOLM</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35089-2023</t>
        </is>
      </c>
      <c r="B1052" s="1" t="n">
        <v>45145</v>
      </c>
      <c r="C1052" s="1" t="n">
        <v>45669</v>
      </c>
      <c r="D1052" t="inlineStr">
        <is>
          <t>SKÅNE LÄN</t>
        </is>
      </c>
      <c r="E1052" t="inlineStr">
        <is>
          <t>HÄSSLEHOLM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35237-2023</t>
        </is>
      </c>
      <c r="B1053" s="1" t="n">
        <v>45145</v>
      </c>
      <c r="C1053" s="1" t="n">
        <v>45669</v>
      </c>
      <c r="D1053" t="inlineStr">
        <is>
          <t>SKÅNE LÄN</t>
        </is>
      </c>
      <c r="E1053" t="inlineStr">
        <is>
          <t>HÄSSLEHOLM</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35085-2023</t>
        </is>
      </c>
      <c r="B1054" s="1" t="n">
        <v>45145</v>
      </c>
      <c r="C1054" s="1" t="n">
        <v>45669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35108-2023</t>
        </is>
      </c>
      <c r="B1055" s="1" t="n">
        <v>45145</v>
      </c>
      <c r="C1055" s="1" t="n">
        <v>45669</v>
      </c>
      <c r="D1055" t="inlineStr">
        <is>
          <t>SKÅNE LÄN</t>
        </is>
      </c>
      <c r="E1055" t="inlineStr">
        <is>
          <t>HÄSSLEHOLM</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35299-2023</t>
        </is>
      </c>
      <c r="B1056" s="1" t="n">
        <v>45146</v>
      </c>
      <c r="C1056" s="1" t="n">
        <v>45669</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35462-2023</t>
        </is>
      </c>
      <c r="B1057" s="1" t="n">
        <v>45146</v>
      </c>
      <c r="C1057" s="1" t="n">
        <v>45669</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35468-2023</t>
        </is>
      </c>
      <c r="B1058" s="1" t="n">
        <v>45146</v>
      </c>
      <c r="C1058" s="1" t="n">
        <v>45669</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35640-2023</t>
        </is>
      </c>
      <c r="B1059" s="1" t="n">
        <v>45147</v>
      </c>
      <c r="C1059" s="1" t="n">
        <v>45669</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35644-2023</t>
        </is>
      </c>
      <c r="B1060" s="1" t="n">
        <v>45147</v>
      </c>
      <c r="C1060" s="1" t="n">
        <v>45669</v>
      </c>
      <c r="D1060" t="inlineStr">
        <is>
          <t>SKÅNE LÄN</t>
        </is>
      </c>
      <c r="E1060" t="inlineStr">
        <is>
          <t>HÄSSLEHOLM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35890-2023</t>
        </is>
      </c>
      <c r="B1061" s="1" t="n">
        <v>45148</v>
      </c>
      <c r="C1061" s="1" t="n">
        <v>45669</v>
      </c>
      <c r="D1061" t="inlineStr">
        <is>
          <t>SKÅNE LÄN</t>
        </is>
      </c>
      <c r="E1061" t="inlineStr">
        <is>
          <t>HÄSSLEHOLM</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35894-2023</t>
        </is>
      </c>
      <c r="B1062" s="1" t="n">
        <v>45148</v>
      </c>
      <c r="C1062" s="1" t="n">
        <v>45669</v>
      </c>
      <c r="D1062" t="inlineStr">
        <is>
          <t>SKÅNE LÄN</t>
        </is>
      </c>
      <c r="E1062" t="inlineStr">
        <is>
          <t>HÄSSLEHOLM</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35810-2023</t>
        </is>
      </c>
      <c r="B1063" s="1" t="n">
        <v>45148</v>
      </c>
      <c r="C1063" s="1" t="n">
        <v>45669</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35892-2023</t>
        </is>
      </c>
      <c r="B1064" s="1" t="n">
        <v>45148</v>
      </c>
      <c r="C1064" s="1" t="n">
        <v>45669</v>
      </c>
      <c r="D1064" t="inlineStr">
        <is>
          <t>SKÅNE LÄN</t>
        </is>
      </c>
      <c r="E1064" t="inlineStr">
        <is>
          <t>HÄSSLEHOLM</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35833-2023</t>
        </is>
      </c>
      <c r="B1065" s="1" t="n">
        <v>45148</v>
      </c>
      <c r="C1065" s="1" t="n">
        <v>45669</v>
      </c>
      <c r="D1065" t="inlineStr">
        <is>
          <t>SKÅNE LÄN</t>
        </is>
      </c>
      <c r="E1065" t="inlineStr">
        <is>
          <t>HÄSSLEHOLM</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35889-2023</t>
        </is>
      </c>
      <c r="B1066" s="1" t="n">
        <v>45148</v>
      </c>
      <c r="C1066" s="1" t="n">
        <v>45669</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35893-2023</t>
        </is>
      </c>
      <c r="B1067" s="1" t="n">
        <v>45148</v>
      </c>
      <c r="C1067" s="1" t="n">
        <v>45669</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35895-2023</t>
        </is>
      </c>
      <c r="B1068" s="1" t="n">
        <v>45148</v>
      </c>
      <c r="C1068" s="1" t="n">
        <v>45669</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36240-2023</t>
        </is>
      </c>
      <c r="B1069" s="1" t="n">
        <v>45150</v>
      </c>
      <c r="C1069" s="1" t="n">
        <v>45669</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36733-2023</t>
        </is>
      </c>
      <c r="B1070" s="1" t="n">
        <v>45153</v>
      </c>
      <c r="C1070" s="1" t="n">
        <v>45669</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36818-2023</t>
        </is>
      </c>
      <c r="B1071" s="1" t="n">
        <v>45154</v>
      </c>
      <c r="C1071" s="1" t="n">
        <v>45669</v>
      </c>
      <c r="D1071" t="inlineStr">
        <is>
          <t>SKÅNE LÄN</t>
        </is>
      </c>
      <c r="E1071" t="inlineStr">
        <is>
          <t>HÄSSLEHOLM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36811-2023</t>
        </is>
      </c>
      <c r="B1072" s="1" t="n">
        <v>45154</v>
      </c>
      <c r="C1072" s="1" t="n">
        <v>45669</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36911-2023</t>
        </is>
      </c>
      <c r="B1073" s="1" t="n">
        <v>45154</v>
      </c>
      <c r="C1073" s="1" t="n">
        <v>45669</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36795-2023</t>
        </is>
      </c>
      <c r="B1074" s="1" t="n">
        <v>45154</v>
      </c>
      <c r="C1074" s="1" t="n">
        <v>45669</v>
      </c>
      <c r="D1074" t="inlineStr">
        <is>
          <t>SKÅNE LÄN</t>
        </is>
      </c>
      <c r="E1074" t="inlineStr">
        <is>
          <t>HÄSSLEHOLM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36813-2023</t>
        </is>
      </c>
      <c r="B1075" s="1" t="n">
        <v>45154</v>
      </c>
      <c r="C1075" s="1" t="n">
        <v>45669</v>
      </c>
      <c r="D1075" t="inlineStr">
        <is>
          <t>SKÅNE LÄN</t>
        </is>
      </c>
      <c r="E1075" t="inlineStr">
        <is>
          <t>HÄSSLEHOLM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37294-2023</t>
        </is>
      </c>
      <c r="B1076" s="1" t="n">
        <v>45156</v>
      </c>
      <c r="C1076" s="1" t="n">
        <v>45669</v>
      </c>
      <c r="D1076" t="inlineStr">
        <is>
          <t>SKÅNE LÄN</t>
        </is>
      </c>
      <c r="E1076" t="inlineStr">
        <is>
          <t>HÄSSLEHOLM</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37300-2023</t>
        </is>
      </c>
      <c r="B1077" s="1" t="n">
        <v>45156</v>
      </c>
      <c r="C1077" s="1" t="n">
        <v>45669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38211-2023</t>
        </is>
      </c>
      <c r="B1078" s="1" t="n">
        <v>45161</v>
      </c>
      <c r="C1078" s="1" t="n">
        <v>45669</v>
      </c>
      <c r="D1078" t="inlineStr">
        <is>
          <t>SKÅNE LÄN</t>
        </is>
      </c>
      <c r="E1078" t="inlineStr">
        <is>
          <t>HÄSSLEHOLM</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38307-2023</t>
        </is>
      </c>
      <c r="B1079" s="1" t="n">
        <v>45161</v>
      </c>
      <c r="C1079" s="1" t="n">
        <v>45669</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38888-2023</t>
        </is>
      </c>
      <c r="B1080" s="1" t="n">
        <v>45161</v>
      </c>
      <c r="C1080" s="1" t="n">
        <v>45669</v>
      </c>
      <c r="D1080" t="inlineStr">
        <is>
          <t>SKÅNE LÄN</t>
        </is>
      </c>
      <c r="E1080" t="inlineStr">
        <is>
          <t>HÄSSLEHOLM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38222-2023</t>
        </is>
      </c>
      <c r="B1081" s="1" t="n">
        <v>45161</v>
      </c>
      <c r="C1081" s="1" t="n">
        <v>45669</v>
      </c>
      <c r="D1081" t="inlineStr">
        <is>
          <t>SKÅNE LÄN</t>
        </is>
      </c>
      <c r="E1081" t="inlineStr">
        <is>
          <t>HÄSSLEHOLM</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38221-2023</t>
        </is>
      </c>
      <c r="B1082" s="1" t="n">
        <v>45161</v>
      </c>
      <c r="C1082" s="1" t="n">
        <v>45669</v>
      </c>
      <c r="D1082" t="inlineStr">
        <is>
          <t>SKÅNE LÄN</t>
        </is>
      </c>
      <c r="E1082" t="inlineStr">
        <is>
          <t>HÄSSLEHOLM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39111-2023</t>
        </is>
      </c>
      <c r="B1083" s="1" t="n">
        <v>45164</v>
      </c>
      <c r="C1083" s="1" t="n">
        <v>45669</v>
      </c>
      <c r="D1083" t="inlineStr">
        <is>
          <t>SKÅNE LÄN</t>
        </is>
      </c>
      <c r="E1083" t="inlineStr">
        <is>
          <t>HÄSSLEHOLM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39915-2023</t>
        </is>
      </c>
      <c r="B1084" s="1" t="n">
        <v>45168</v>
      </c>
      <c r="C1084" s="1" t="n">
        <v>45669</v>
      </c>
      <c r="D1084" t="inlineStr">
        <is>
          <t>SKÅNE LÄN</t>
        </is>
      </c>
      <c r="E1084" t="inlineStr">
        <is>
          <t>HÄSSLEHOLM</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41209-2023</t>
        </is>
      </c>
      <c r="B1085" s="1" t="n">
        <v>45174</v>
      </c>
      <c r="C1085" s="1" t="n">
        <v>45669</v>
      </c>
      <c r="D1085" t="inlineStr">
        <is>
          <t>SKÅNE LÄN</t>
        </is>
      </c>
      <c r="E1085" t="inlineStr">
        <is>
          <t>HÄSSLEHOLM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41211-2023</t>
        </is>
      </c>
      <c r="B1086" s="1" t="n">
        <v>45174</v>
      </c>
      <c r="C1086" s="1" t="n">
        <v>45669</v>
      </c>
      <c r="D1086" t="inlineStr">
        <is>
          <t>SKÅNE LÄN</t>
        </is>
      </c>
      <c r="E1086" t="inlineStr">
        <is>
          <t>HÄSSLEHOLM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41261-2023</t>
        </is>
      </c>
      <c r="B1087" s="1" t="n">
        <v>45174</v>
      </c>
      <c r="C1087" s="1" t="n">
        <v>45669</v>
      </c>
      <c r="D1087" t="inlineStr">
        <is>
          <t>SKÅNE LÄN</t>
        </is>
      </c>
      <c r="E1087" t="inlineStr">
        <is>
          <t>HÄSSLEHOLM</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41873-2023</t>
        </is>
      </c>
      <c r="B1088" s="1" t="n">
        <v>45176</v>
      </c>
      <c r="C1088" s="1" t="n">
        <v>45669</v>
      </c>
      <c r="D1088" t="inlineStr">
        <is>
          <t>SKÅNE LÄN</t>
        </is>
      </c>
      <c r="E1088" t="inlineStr">
        <is>
          <t>HÄSSLEHOLM</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42078-2023</t>
        </is>
      </c>
      <c r="B1089" s="1" t="n">
        <v>45177</v>
      </c>
      <c r="C1089" s="1" t="n">
        <v>45669</v>
      </c>
      <c r="D1089" t="inlineStr">
        <is>
          <t>SKÅNE LÄN</t>
        </is>
      </c>
      <c r="E1089" t="inlineStr">
        <is>
          <t>HÄSSLEHOLM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42364-2023</t>
        </is>
      </c>
      <c r="B1090" s="1" t="n">
        <v>45180</v>
      </c>
      <c r="C1090" s="1" t="n">
        <v>45669</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42370-2023</t>
        </is>
      </c>
      <c r="B1091" s="1" t="n">
        <v>45180</v>
      </c>
      <c r="C1091" s="1" t="n">
        <v>45669</v>
      </c>
      <c r="D1091" t="inlineStr">
        <is>
          <t>SKÅNE LÄN</t>
        </is>
      </c>
      <c r="E1091" t="inlineStr">
        <is>
          <t>HÄSSLEHOLM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45669</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44767-2023</t>
        </is>
      </c>
      <c r="B1093" s="1" t="n">
        <v>45186</v>
      </c>
      <c r="C1093" s="1" t="n">
        <v>45669</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44789-2023</t>
        </is>
      </c>
      <c r="B1094" s="1" t="n">
        <v>45186</v>
      </c>
      <c r="C1094" s="1" t="n">
        <v>45669</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43677-2023</t>
        </is>
      </c>
      <c r="B1095" s="1" t="n">
        <v>45187</v>
      </c>
      <c r="C1095" s="1" t="n">
        <v>45669</v>
      </c>
      <c r="D1095" t="inlineStr">
        <is>
          <t>SKÅNE LÄN</t>
        </is>
      </c>
      <c r="E1095" t="inlineStr">
        <is>
          <t>HÄSSLEHOLM</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43828-2023</t>
        </is>
      </c>
      <c r="B1096" s="1" t="n">
        <v>45187</v>
      </c>
      <c r="C1096" s="1" t="n">
        <v>45669</v>
      </c>
      <c r="D1096" t="inlineStr">
        <is>
          <t>SKÅNE LÄN</t>
        </is>
      </c>
      <c r="E1096" t="inlineStr">
        <is>
          <t>HÄSSLEHOLM</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44042-2023</t>
        </is>
      </c>
      <c r="B1097" s="1" t="n">
        <v>45188</v>
      </c>
      <c r="C1097" s="1" t="n">
        <v>45669</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44671-2023</t>
        </is>
      </c>
      <c r="B1098" s="1" t="n">
        <v>45189</v>
      </c>
      <c r="C1098" s="1" t="n">
        <v>45669</v>
      </c>
      <c r="D1098" t="inlineStr">
        <is>
          <t>SKÅNE LÄN</t>
        </is>
      </c>
      <c r="E1098" t="inlineStr">
        <is>
          <t>HÄSSLEHOLM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44741-2023</t>
        </is>
      </c>
      <c r="B1099" s="1" t="n">
        <v>45190</v>
      </c>
      <c r="C1099" s="1" t="n">
        <v>45669</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44838-2023</t>
        </is>
      </c>
      <c r="B1100" s="1" t="n">
        <v>45190</v>
      </c>
      <c r="C1100" s="1" t="n">
        <v>45669</v>
      </c>
      <c r="D1100" t="inlineStr">
        <is>
          <t>SKÅNE LÄN</t>
        </is>
      </c>
      <c r="E1100" t="inlineStr">
        <is>
          <t>HÄSSLEHOLM</t>
        </is>
      </c>
      <c r="F1100" t="inlineStr">
        <is>
          <t>Kommuner</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44842-2023</t>
        </is>
      </c>
      <c r="B1101" s="1" t="n">
        <v>45190</v>
      </c>
      <c r="C1101" s="1" t="n">
        <v>45669</v>
      </c>
      <c r="D1101" t="inlineStr">
        <is>
          <t>SKÅNE LÄN</t>
        </is>
      </c>
      <c r="E1101" t="inlineStr">
        <is>
          <t>HÄSSLEHOLM</t>
        </is>
      </c>
      <c r="F1101" t="inlineStr">
        <is>
          <t>Kommuner</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44940-2023</t>
        </is>
      </c>
      <c r="B1102" s="1" t="n">
        <v>45190</v>
      </c>
      <c r="C1102" s="1" t="n">
        <v>45669</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45220-2023</t>
        </is>
      </c>
      <c r="B1103" s="1" t="n">
        <v>45191</v>
      </c>
      <c r="C1103" s="1" t="n">
        <v>45669</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45222-2023</t>
        </is>
      </c>
      <c r="B1104" s="1" t="n">
        <v>45191</v>
      </c>
      <c r="C1104" s="1" t="n">
        <v>45669</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45353-2023</t>
        </is>
      </c>
      <c r="B1105" s="1" t="n">
        <v>45192</v>
      </c>
      <c r="C1105" s="1" t="n">
        <v>45669</v>
      </c>
      <c r="D1105" t="inlineStr">
        <is>
          <t>SKÅNE LÄN</t>
        </is>
      </c>
      <c r="E1105" t="inlineStr">
        <is>
          <t>HÄSSLEHOLM</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45361-2023</t>
        </is>
      </c>
      <c r="B1106" s="1" t="n">
        <v>45192</v>
      </c>
      <c r="C1106" s="1" t="n">
        <v>45669</v>
      </c>
      <c r="D1106" t="inlineStr">
        <is>
          <t>SKÅNE LÄN</t>
        </is>
      </c>
      <c r="E1106" t="inlineStr">
        <is>
          <t>HÄSSLEHOLM</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45461-2023</t>
        </is>
      </c>
      <c r="B1107" s="1" t="n">
        <v>45194</v>
      </c>
      <c r="C1107" s="1" t="n">
        <v>45669</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45470-2023</t>
        </is>
      </c>
      <c r="B1108" s="1" t="n">
        <v>45194</v>
      </c>
      <c r="C1108" s="1" t="n">
        <v>45669</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45663-2023</t>
        </is>
      </c>
      <c r="B1109" s="1" t="n">
        <v>45194</v>
      </c>
      <c r="C1109" s="1" t="n">
        <v>45669</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45803-2023</t>
        </is>
      </c>
      <c r="B1110" s="1" t="n">
        <v>45195</v>
      </c>
      <c r="C1110" s="1" t="n">
        <v>45669</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46288-2023</t>
        </is>
      </c>
      <c r="B1111" s="1" t="n">
        <v>45197</v>
      </c>
      <c r="C1111" s="1" t="n">
        <v>45669</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46641-2023</t>
        </is>
      </c>
      <c r="B1112" s="1" t="n">
        <v>45198</v>
      </c>
      <c r="C1112" s="1" t="n">
        <v>45669</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46680-2023</t>
        </is>
      </c>
      <c r="B1113" s="1" t="n">
        <v>45198</v>
      </c>
      <c r="C1113" s="1" t="n">
        <v>45669</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46645-2023</t>
        </is>
      </c>
      <c r="B1114" s="1" t="n">
        <v>45198</v>
      </c>
      <c r="C1114" s="1" t="n">
        <v>45669</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47249-2023</t>
        </is>
      </c>
      <c r="B1115" s="1" t="n">
        <v>45202</v>
      </c>
      <c r="C1115" s="1" t="n">
        <v>45669</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47248-2023</t>
        </is>
      </c>
      <c r="B1116" s="1" t="n">
        <v>45202</v>
      </c>
      <c r="C1116" s="1" t="n">
        <v>45669</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48046-2023</t>
        </is>
      </c>
      <c r="B1117" s="1" t="n">
        <v>45204</v>
      </c>
      <c r="C1117" s="1" t="n">
        <v>45669</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47840-2023</t>
        </is>
      </c>
      <c r="B1118" s="1" t="n">
        <v>45204</v>
      </c>
      <c r="C1118" s="1" t="n">
        <v>45669</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47915-2023</t>
        </is>
      </c>
      <c r="B1119" s="1" t="n">
        <v>45204</v>
      </c>
      <c r="C1119" s="1" t="n">
        <v>45669</v>
      </c>
      <c r="D1119" t="inlineStr">
        <is>
          <t>SKÅNE LÄN</t>
        </is>
      </c>
      <c r="E1119" t="inlineStr">
        <is>
          <t>HÄSSLEHOLM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48335-2023</t>
        </is>
      </c>
      <c r="B1120" s="1" t="n">
        <v>45205</v>
      </c>
      <c r="C1120" s="1" t="n">
        <v>45669</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48326-2023</t>
        </is>
      </c>
      <c r="B1121" s="1" t="n">
        <v>45205</v>
      </c>
      <c r="C1121" s="1" t="n">
        <v>45669</v>
      </c>
      <c r="D1121" t="inlineStr">
        <is>
          <t>SKÅNE LÄN</t>
        </is>
      </c>
      <c r="E1121" t="inlineStr">
        <is>
          <t>HÄSSLEHOLM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48677-2023</t>
        </is>
      </c>
      <c r="B1122" s="1" t="n">
        <v>45208</v>
      </c>
      <c r="C1122" s="1" t="n">
        <v>45669</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48627-2023</t>
        </is>
      </c>
      <c r="B1123" s="1" t="n">
        <v>45208</v>
      </c>
      <c r="C1123" s="1" t="n">
        <v>45669</v>
      </c>
      <c r="D1123" t="inlineStr">
        <is>
          <t>SKÅNE LÄN</t>
        </is>
      </c>
      <c r="E1123" t="inlineStr">
        <is>
          <t>HÄSSLEHOLM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48797-2023</t>
        </is>
      </c>
      <c r="B1124" s="1" t="n">
        <v>45209</v>
      </c>
      <c r="C1124" s="1" t="n">
        <v>45669</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48844-2023</t>
        </is>
      </c>
      <c r="B1125" s="1" t="n">
        <v>45209</v>
      </c>
      <c r="C1125" s="1" t="n">
        <v>45669</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48798-2023</t>
        </is>
      </c>
      <c r="B1126" s="1" t="n">
        <v>45209</v>
      </c>
      <c r="C1126" s="1" t="n">
        <v>45669</v>
      </c>
      <c r="D1126" t="inlineStr">
        <is>
          <t>SKÅNE LÄN</t>
        </is>
      </c>
      <c r="E1126" t="inlineStr">
        <is>
          <t>HÄSSLEHOLM</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49106-2023</t>
        </is>
      </c>
      <c r="B1127" s="1" t="n">
        <v>45210</v>
      </c>
      <c r="C1127" s="1" t="n">
        <v>45669</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49107-2023</t>
        </is>
      </c>
      <c r="B1128" s="1" t="n">
        <v>45210</v>
      </c>
      <c r="C1128" s="1" t="n">
        <v>45669</v>
      </c>
      <c r="D1128" t="inlineStr">
        <is>
          <t>SKÅNE LÄN</t>
        </is>
      </c>
      <c r="E1128" t="inlineStr">
        <is>
          <t>HÄSSLEHOLM</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49111-2023</t>
        </is>
      </c>
      <c r="B1129" s="1" t="n">
        <v>45210</v>
      </c>
      <c r="C1129" s="1" t="n">
        <v>45669</v>
      </c>
      <c r="D1129" t="inlineStr">
        <is>
          <t>SKÅNE LÄN</t>
        </is>
      </c>
      <c r="E1129" t="inlineStr">
        <is>
          <t>HÄSSLEHOLM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50607-2023</t>
        </is>
      </c>
      <c r="B1130" s="1" t="n">
        <v>45210</v>
      </c>
      <c r="C1130" s="1" t="n">
        <v>45669</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50781-2023</t>
        </is>
      </c>
      <c r="B1131" s="1" t="n">
        <v>45210</v>
      </c>
      <c r="C1131" s="1" t="n">
        <v>45669</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50616-2023</t>
        </is>
      </c>
      <c r="B1132" s="1" t="n">
        <v>45210</v>
      </c>
      <c r="C1132" s="1" t="n">
        <v>45669</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51323-2023</t>
        </is>
      </c>
      <c r="B1133" s="1" t="n">
        <v>45212</v>
      </c>
      <c r="C1133" s="1" t="n">
        <v>45669</v>
      </c>
      <c r="D1133" t="inlineStr">
        <is>
          <t>SKÅNE LÄN</t>
        </is>
      </c>
      <c r="E1133" t="inlineStr">
        <is>
          <t>HÄSSLEHOLM</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51245-2023</t>
        </is>
      </c>
      <c r="B1134" s="1" t="n">
        <v>45212</v>
      </c>
      <c r="C1134" s="1" t="n">
        <v>45669</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50000-2023</t>
        </is>
      </c>
      <c r="B1135" s="1" t="n">
        <v>45215</v>
      </c>
      <c r="C1135" s="1" t="n">
        <v>45669</v>
      </c>
      <c r="D1135" t="inlineStr">
        <is>
          <t>SKÅNE LÄN</t>
        </is>
      </c>
      <c r="E1135" t="inlineStr">
        <is>
          <t>HÄSSLEHOLM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49937-2023</t>
        </is>
      </c>
      <c r="B1136" s="1" t="n">
        <v>45215</v>
      </c>
      <c r="C1136" s="1" t="n">
        <v>45669</v>
      </c>
      <c r="D1136" t="inlineStr">
        <is>
          <t>SKÅNE LÄN</t>
        </is>
      </c>
      <c r="E1136" t="inlineStr">
        <is>
          <t>HÄSSLEHOLM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49942-2023</t>
        </is>
      </c>
      <c r="B1137" s="1" t="n">
        <v>45215</v>
      </c>
      <c r="C1137" s="1" t="n">
        <v>45669</v>
      </c>
      <c r="D1137" t="inlineStr">
        <is>
          <t>SKÅNE LÄN</t>
        </is>
      </c>
      <c r="E1137" t="inlineStr">
        <is>
          <t>HÄSSLEHOLM</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49950-2023</t>
        </is>
      </c>
      <c r="B1138" s="1" t="n">
        <v>45215</v>
      </c>
      <c r="C1138" s="1" t="n">
        <v>45669</v>
      </c>
      <c r="D1138" t="inlineStr">
        <is>
          <t>SKÅNE LÄN</t>
        </is>
      </c>
      <c r="E1138" t="inlineStr">
        <is>
          <t>HÄSSLEHOLM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50571-2023</t>
        </is>
      </c>
      <c r="B1139" s="1" t="n">
        <v>45217</v>
      </c>
      <c r="C1139" s="1" t="n">
        <v>45669</v>
      </c>
      <c r="D1139" t="inlineStr">
        <is>
          <t>SKÅNE LÄN</t>
        </is>
      </c>
      <c r="E1139" t="inlineStr">
        <is>
          <t>HÄSSLEHOLM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50659-2023</t>
        </is>
      </c>
      <c r="B1140" s="1" t="n">
        <v>45217</v>
      </c>
      <c r="C1140" s="1" t="n">
        <v>45669</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50664-2023</t>
        </is>
      </c>
      <c r="B1141" s="1" t="n">
        <v>45217</v>
      </c>
      <c r="C1141" s="1" t="n">
        <v>45669</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50587-2023</t>
        </is>
      </c>
      <c r="B1142" s="1" t="n">
        <v>45217</v>
      </c>
      <c r="C1142" s="1" t="n">
        <v>45669</v>
      </c>
      <c r="D1142" t="inlineStr">
        <is>
          <t>SKÅNE LÄN</t>
        </is>
      </c>
      <c r="E1142" t="inlineStr">
        <is>
          <t>HÄSSLEHOLM</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50669-2023</t>
        </is>
      </c>
      <c r="B1143" s="1" t="n">
        <v>45217</v>
      </c>
      <c r="C1143" s="1" t="n">
        <v>45669</v>
      </c>
      <c r="D1143" t="inlineStr">
        <is>
          <t>SKÅNE LÄN</t>
        </is>
      </c>
      <c r="E1143" t="inlineStr">
        <is>
          <t>HÄSSLEHOLM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50548-2023</t>
        </is>
      </c>
      <c r="B1144" s="1" t="n">
        <v>45217</v>
      </c>
      <c r="C1144" s="1" t="n">
        <v>45669</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50657-2023</t>
        </is>
      </c>
      <c r="B1145" s="1" t="n">
        <v>45217</v>
      </c>
      <c r="C1145" s="1" t="n">
        <v>45669</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50557-2023</t>
        </is>
      </c>
      <c r="B1146" s="1" t="n">
        <v>45217</v>
      </c>
      <c r="C1146" s="1" t="n">
        <v>45669</v>
      </c>
      <c r="D1146" t="inlineStr">
        <is>
          <t>SKÅNE LÄN</t>
        </is>
      </c>
      <c r="E1146" t="inlineStr">
        <is>
          <t>HÄSSLEHOLM</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50564-2023</t>
        </is>
      </c>
      <c r="B1147" s="1" t="n">
        <v>45217</v>
      </c>
      <c r="C1147" s="1" t="n">
        <v>45669</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51018-2023</t>
        </is>
      </c>
      <c r="B1148" s="1" t="n">
        <v>45218</v>
      </c>
      <c r="C1148" s="1" t="n">
        <v>45669</v>
      </c>
      <c r="D1148" t="inlineStr">
        <is>
          <t>SKÅNE LÄN</t>
        </is>
      </c>
      <c r="E1148" t="inlineStr">
        <is>
          <t>HÄSSLEHOLM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52548-2023</t>
        </is>
      </c>
      <c r="B1149" s="1" t="n">
        <v>45218</v>
      </c>
      <c r="C1149" s="1" t="n">
        <v>45669</v>
      </c>
      <c r="D1149" t="inlineStr">
        <is>
          <t>SKÅNE LÄN</t>
        </is>
      </c>
      <c r="E1149" t="inlineStr">
        <is>
          <t>HÄSSLEHOLM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52608-2023</t>
        </is>
      </c>
      <c r="B1150" s="1" t="n">
        <v>45219</v>
      </c>
      <c r="C1150" s="1" t="n">
        <v>45669</v>
      </c>
      <c r="D1150" t="inlineStr">
        <is>
          <t>SKÅNE LÄN</t>
        </is>
      </c>
      <c r="E1150" t="inlineStr">
        <is>
          <t>HÄSSLEHOLM</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51565-2023</t>
        </is>
      </c>
      <c r="B1151" s="1" t="n">
        <v>45222</v>
      </c>
      <c r="C1151" s="1" t="n">
        <v>45669</v>
      </c>
      <c r="D1151" t="inlineStr">
        <is>
          <t>SKÅNE LÄN</t>
        </is>
      </c>
      <c r="E1151" t="inlineStr">
        <is>
          <t>HÄSSLEHOLM</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51752-2023</t>
        </is>
      </c>
      <c r="B1152" s="1" t="n">
        <v>45222</v>
      </c>
      <c r="C1152" s="1" t="n">
        <v>45669</v>
      </c>
      <c r="D1152" t="inlineStr">
        <is>
          <t>SKÅNE LÄN</t>
        </is>
      </c>
      <c r="E1152" t="inlineStr">
        <is>
          <t>HÄSSLEHOLM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51571-2023</t>
        </is>
      </c>
      <c r="B1153" s="1" t="n">
        <v>45222</v>
      </c>
      <c r="C1153" s="1" t="n">
        <v>45669</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52340-2023</t>
        </is>
      </c>
      <c r="B1154" s="1" t="n">
        <v>45224</v>
      </c>
      <c r="C1154" s="1" t="n">
        <v>45669</v>
      </c>
      <c r="D1154" t="inlineStr">
        <is>
          <t>SKÅNE LÄN</t>
        </is>
      </c>
      <c r="E1154" t="inlineStr">
        <is>
          <t>HÄSSLEHOLM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52337-2023</t>
        </is>
      </c>
      <c r="B1155" s="1" t="n">
        <v>45224</v>
      </c>
      <c r="C1155" s="1" t="n">
        <v>45669</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52341-2023</t>
        </is>
      </c>
      <c r="B1156" s="1" t="n">
        <v>45224</v>
      </c>
      <c r="C1156" s="1" t="n">
        <v>45669</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53870-2023</t>
        </is>
      </c>
      <c r="B1157" s="1" t="n">
        <v>45224</v>
      </c>
      <c r="C1157" s="1" t="n">
        <v>45669</v>
      </c>
      <c r="D1157" t="inlineStr">
        <is>
          <t>SKÅNE LÄN</t>
        </is>
      </c>
      <c r="E1157" t="inlineStr">
        <is>
          <t>HÄSSLEHOLM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52973-2023</t>
        </is>
      </c>
      <c r="B1158" s="1" t="n">
        <v>45226</v>
      </c>
      <c r="C1158" s="1" t="n">
        <v>45669</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53350-2023</t>
        </is>
      </c>
      <c r="B1159" s="1" t="n">
        <v>45229</v>
      </c>
      <c r="C1159" s="1" t="n">
        <v>45669</v>
      </c>
      <c r="D1159" t="inlineStr">
        <is>
          <t>SKÅNE LÄN</t>
        </is>
      </c>
      <c r="E1159" t="inlineStr">
        <is>
          <t>HÄSSLEHOLM</t>
        </is>
      </c>
      <c r="F1159" t="inlineStr">
        <is>
          <t>Kommuner</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53623-2023</t>
        </is>
      </c>
      <c r="B1160" s="1" t="n">
        <v>45230</v>
      </c>
      <c r="C1160" s="1" t="n">
        <v>45669</v>
      </c>
      <c r="D1160" t="inlineStr">
        <is>
          <t>SKÅNE LÄN</t>
        </is>
      </c>
      <c r="E1160" t="inlineStr">
        <is>
          <t>HÄSSLEHOLM</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53880-2023</t>
        </is>
      </c>
      <c r="B1161" s="1" t="n">
        <v>45231</v>
      </c>
      <c r="C1161" s="1" t="n">
        <v>45669</v>
      </c>
      <c r="D1161" t="inlineStr">
        <is>
          <t>SKÅNE LÄN</t>
        </is>
      </c>
      <c r="E1161" t="inlineStr">
        <is>
          <t>HÄSSLEHOLM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53887-2023</t>
        </is>
      </c>
      <c r="B1162" s="1" t="n">
        <v>45231</v>
      </c>
      <c r="C1162" s="1" t="n">
        <v>45669</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53897-2023</t>
        </is>
      </c>
      <c r="B1163" s="1" t="n">
        <v>45231</v>
      </c>
      <c r="C1163" s="1" t="n">
        <v>45669</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54473-2023</t>
        </is>
      </c>
      <c r="B1164" s="1" t="n">
        <v>45233</v>
      </c>
      <c r="C1164" s="1" t="n">
        <v>45669</v>
      </c>
      <c r="D1164" t="inlineStr">
        <is>
          <t>SKÅNE LÄN</t>
        </is>
      </c>
      <c r="E1164" t="inlineStr">
        <is>
          <t>HÄSSLEHOLM</t>
        </is>
      </c>
      <c r="G1164" t="n">
        <v>24.5</v>
      </c>
      <c r="H1164" t="n">
        <v>0</v>
      </c>
      <c r="I1164" t="n">
        <v>0</v>
      </c>
      <c r="J1164" t="n">
        <v>0</v>
      </c>
      <c r="K1164" t="n">
        <v>0</v>
      </c>
      <c r="L1164" t="n">
        <v>0</v>
      </c>
      <c r="M1164" t="n">
        <v>0</v>
      </c>
      <c r="N1164" t="n">
        <v>0</v>
      </c>
      <c r="O1164" t="n">
        <v>0</v>
      </c>
      <c r="P1164" t="n">
        <v>0</v>
      </c>
      <c r="Q1164" t="n">
        <v>0</v>
      </c>
      <c r="R1164" s="2" t="inlineStr"/>
    </row>
    <row r="1165" ht="15" customHeight="1">
      <c r="A1165" t="inlineStr">
        <is>
          <t>A 54471-2023</t>
        </is>
      </c>
      <c r="B1165" s="1" t="n">
        <v>45233</v>
      </c>
      <c r="C1165" s="1" t="n">
        <v>45669</v>
      </c>
      <c r="D1165" t="inlineStr">
        <is>
          <t>SKÅNE LÄN</t>
        </is>
      </c>
      <c r="E1165" t="inlineStr">
        <is>
          <t>HÄSSLEHOLM</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54376-2023</t>
        </is>
      </c>
      <c r="B1166" s="1" t="n">
        <v>45233</v>
      </c>
      <c r="C1166" s="1" t="n">
        <v>45669</v>
      </c>
      <c r="D1166" t="inlineStr">
        <is>
          <t>SKÅNE LÄN</t>
        </is>
      </c>
      <c r="E1166" t="inlineStr">
        <is>
          <t>HÄSSLEHOLM</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54658-2023</t>
        </is>
      </c>
      <c r="B1167" s="1" t="n">
        <v>45235</v>
      </c>
      <c r="C1167" s="1" t="n">
        <v>45669</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54659-2023</t>
        </is>
      </c>
      <c r="B1168" s="1" t="n">
        <v>45235</v>
      </c>
      <c r="C1168" s="1" t="n">
        <v>45669</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56101-2023</t>
        </is>
      </c>
      <c r="B1169" s="1" t="n">
        <v>45236</v>
      </c>
      <c r="C1169" s="1" t="n">
        <v>45669</v>
      </c>
      <c r="D1169" t="inlineStr">
        <is>
          <t>SKÅNE LÄN</t>
        </is>
      </c>
      <c r="E1169" t="inlineStr">
        <is>
          <t>HÄSSLEHOLM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55284-2023</t>
        </is>
      </c>
      <c r="B1170" s="1" t="n">
        <v>45237</v>
      </c>
      <c r="C1170" s="1" t="n">
        <v>45669</v>
      </c>
      <c r="D1170" t="inlineStr">
        <is>
          <t>SKÅNE LÄN</t>
        </is>
      </c>
      <c r="E1170" t="inlineStr">
        <is>
          <t>HÄSSLEHOLM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55218-2023</t>
        </is>
      </c>
      <c r="B1171" s="1" t="n">
        <v>45237</v>
      </c>
      <c r="C1171" s="1" t="n">
        <v>45669</v>
      </c>
      <c r="D1171" t="inlineStr">
        <is>
          <t>SKÅNE LÄN</t>
        </is>
      </c>
      <c r="E1171" t="inlineStr">
        <is>
          <t>HÄSSLEHOLM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56397-2023</t>
        </is>
      </c>
      <c r="B1172" s="1" t="n">
        <v>45237</v>
      </c>
      <c r="C1172" s="1" t="n">
        <v>45669</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56080-2023</t>
        </is>
      </c>
      <c r="B1173" s="1" t="n">
        <v>45240</v>
      </c>
      <c r="C1173" s="1" t="n">
        <v>45669</v>
      </c>
      <c r="D1173" t="inlineStr">
        <is>
          <t>SKÅNE LÄN</t>
        </is>
      </c>
      <c r="E1173" t="inlineStr">
        <is>
          <t>HÄSSLEHOLM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56355-2023</t>
        </is>
      </c>
      <c r="B1174" s="1" t="n">
        <v>45243</v>
      </c>
      <c r="C1174" s="1" t="n">
        <v>45669</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56386-2023</t>
        </is>
      </c>
      <c r="B1175" s="1" t="n">
        <v>45243</v>
      </c>
      <c r="C1175" s="1" t="n">
        <v>45669</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57735-2023</t>
        </is>
      </c>
      <c r="B1176" s="1" t="n">
        <v>45243</v>
      </c>
      <c r="C1176" s="1" t="n">
        <v>45669</v>
      </c>
      <c r="D1176" t="inlineStr">
        <is>
          <t>SKÅNE LÄN</t>
        </is>
      </c>
      <c r="E1176" t="inlineStr">
        <is>
          <t>HÄSSLEHOLM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57272-2023</t>
        </is>
      </c>
      <c r="B1177" s="1" t="n">
        <v>45245</v>
      </c>
      <c r="C1177" s="1" t="n">
        <v>45669</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57277-2023</t>
        </is>
      </c>
      <c r="B1178" s="1" t="n">
        <v>45245</v>
      </c>
      <c r="C1178" s="1" t="n">
        <v>45669</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57275-2023</t>
        </is>
      </c>
      <c r="B1179" s="1" t="n">
        <v>45245</v>
      </c>
      <c r="C1179" s="1" t="n">
        <v>45669</v>
      </c>
      <c r="D1179" t="inlineStr">
        <is>
          <t>SKÅNE LÄN</t>
        </is>
      </c>
      <c r="E1179" t="inlineStr">
        <is>
          <t>HÄSSLEHOLM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57695-2023</t>
        </is>
      </c>
      <c r="B1180" s="1" t="n">
        <v>45246</v>
      </c>
      <c r="C1180" s="1" t="n">
        <v>45669</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57749-2023</t>
        </is>
      </c>
      <c r="B1181" s="1" t="n">
        <v>45246</v>
      </c>
      <c r="C1181" s="1" t="n">
        <v>45669</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57963-2023</t>
        </is>
      </c>
      <c r="B1182" s="1" t="n">
        <v>45247</v>
      </c>
      <c r="C1182" s="1" t="n">
        <v>45669</v>
      </c>
      <c r="D1182" t="inlineStr">
        <is>
          <t>SKÅNE LÄN</t>
        </is>
      </c>
      <c r="E1182" t="inlineStr">
        <is>
          <t>HÄSSLEHOLM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58815-2023</t>
        </is>
      </c>
      <c r="B1183" s="1" t="n">
        <v>45247</v>
      </c>
      <c r="C1183" s="1" t="n">
        <v>45669</v>
      </c>
      <c r="D1183" t="inlineStr">
        <is>
          <t>SKÅNE LÄN</t>
        </is>
      </c>
      <c r="E1183" t="inlineStr">
        <is>
          <t>HÄSSLEHOLM</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57967-2023</t>
        </is>
      </c>
      <c r="B1184" s="1" t="n">
        <v>45247</v>
      </c>
      <c r="C1184" s="1" t="n">
        <v>45669</v>
      </c>
      <c r="D1184" t="inlineStr">
        <is>
          <t>SKÅNE LÄN</t>
        </is>
      </c>
      <c r="E1184" t="inlineStr">
        <is>
          <t>HÄSSLEHOLM</t>
        </is>
      </c>
      <c r="G1184" t="n">
        <v>8.6</v>
      </c>
      <c r="H1184" t="n">
        <v>0</v>
      </c>
      <c r="I1184" t="n">
        <v>0</v>
      </c>
      <c r="J1184" t="n">
        <v>0</v>
      </c>
      <c r="K1184" t="n">
        <v>0</v>
      </c>
      <c r="L1184" t="n">
        <v>0</v>
      </c>
      <c r="M1184" t="n">
        <v>0</v>
      </c>
      <c r="N1184" t="n">
        <v>0</v>
      </c>
      <c r="O1184" t="n">
        <v>0</v>
      </c>
      <c r="P1184" t="n">
        <v>0</v>
      </c>
      <c r="Q1184" t="n">
        <v>0</v>
      </c>
      <c r="R1184" s="2" t="inlineStr"/>
    </row>
    <row r="1185" ht="15" customHeight="1">
      <c r="A1185" t="inlineStr">
        <is>
          <t>A 58915-2023</t>
        </is>
      </c>
      <c r="B1185" s="1" t="n">
        <v>45250</v>
      </c>
      <c r="C1185" s="1" t="n">
        <v>45669</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58834-2023</t>
        </is>
      </c>
      <c r="B1186" s="1" t="n">
        <v>45250</v>
      </c>
      <c r="C1186" s="1" t="n">
        <v>45669</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59028-2023</t>
        </is>
      </c>
      <c r="B1187" s="1" t="n">
        <v>45252</v>
      </c>
      <c r="C1187" s="1" t="n">
        <v>45669</v>
      </c>
      <c r="D1187" t="inlineStr">
        <is>
          <t>SKÅNE LÄN</t>
        </is>
      </c>
      <c r="E1187" t="inlineStr">
        <is>
          <t>HÄSSLEHOLM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58906-2023</t>
        </is>
      </c>
      <c r="B1188" s="1" t="n">
        <v>45252</v>
      </c>
      <c r="C1188" s="1" t="n">
        <v>45669</v>
      </c>
      <c r="D1188" t="inlineStr">
        <is>
          <t>SKÅNE LÄN</t>
        </is>
      </c>
      <c r="E1188" t="inlineStr">
        <is>
          <t>HÄSSLEHOLM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59059-2023</t>
        </is>
      </c>
      <c r="B1189" s="1" t="n">
        <v>45252</v>
      </c>
      <c r="C1189" s="1" t="n">
        <v>45669</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59109-2023</t>
        </is>
      </c>
      <c r="B1190" s="1" t="n">
        <v>45253</v>
      </c>
      <c r="C1190" s="1" t="n">
        <v>45669</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59431-2023</t>
        </is>
      </c>
      <c r="B1191" s="1" t="n">
        <v>45254</v>
      </c>
      <c r="C1191" s="1" t="n">
        <v>45669</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59434-2023</t>
        </is>
      </c>
      <c r="B1192" s="1" t="n">
        <v>45254</v>
      </c>
      <c r="C1192" s="1" t="n">
        <v>45669</v>
      </c>
      <c r="D1192" t="inlineStr">
        <is>
          <t>SKÅNE LÄN</t>
        </is>
      </c>
      <c r="E1192" t="inlineStr">
        <is>
          <t>HÄSSLEHOLM</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59429-2023</t>
        </is>
      </c>
      <c r="B1193" s="1" t="n">
        <v>45254</v>
      </c>
      <c r="C1193" s="1" t="n">
        <v>45669</v>
      </c>
      <c r="D1193" t="inlineStr">
        <is>
          <t>SKÅNE LÄN</t>
        </is>
      </c>
      <c r="E1193" t="inlineStr">
        <is>
          <t>HÄSSLEHOLM</t>
        </is>
      </c>
      <c r="G1193" t="n">
        <v>0</v>
      </c>
      <c r="H1193" t="n">
        <v>0</v>
      </c>
      <c r="I1193" t="n">
        <v>0</v>
      </c>
      <c r="J1193" t="n">
        <v>0</v>
      </c>
      <c r="K1193" t="n">
        <v>0</v>
      </c>
      <c r="L1193" t="n">
        <v>0</v>
      </c>
      <c r="M1193" t="n">
        <v>0</v>
      </c>
      <c r="N1193" t="n">
        <v>0</v>
      </c>
      <c r="O1193" t="n">
        <v>0</v>
      </c>
      <c r="P1193" t="n">
        <v>0</v>
      </c>
      <c r="Q1193" t="n">
        <v>0</v>
      </c>
      <c r="R1193" s="2" t="inlineStr"/>
    </row>
    <row r="1194" ht="15" customHeight="1">
      <c r="A1194" t="inlineStr">
        <is>
          <t>A 59433-2023</t>
        </is>
      </c>
      <c r="B1194" s="1" t="n">
        <v>45254</v>
      </c>
      <c r="C1194" s="1" t="n">
        <v>45669</v>
      </c>
      <c r="D1194" t="inlineStr">
        <is>
          <t>SKÅNE LÄN</t>
        </is>
      </c>
      <c r="E1194" t="inlineStr">
        <is>
          <t>HÄSSLEHOLM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59556-2023</t>
        </is>
      </c>
      <c r="B1195" s="1" t="n">
        <v>45254</v>
      </c>
      <c r="C1195" s="1" t="n">
        <v>45669</v>
      </c>
      <c r="D1195" t="inlineStr">
        <is>
          <t>SKÅNE LÄN</t>
        </is>
      </c>
      <c r="E1195" t="inlineStr">
        <is>
          <t>HÄSSLEHOLM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60515-2023</t>
        </is>
      </c>
      <c r="B1196" s="1" t="n">
        <v>45259</v>
      </c>
      <c r="C1196" s="1" t="n">
        <v>45669</v>
      </c>
      <c r="D1196" t="inlineStr">
        <is>
          <t>SKÅNE LÄN</t>
        </is>
      </c>
      <c r="E1196" t="inlineStr">
        <is>
          <t>HÄSSLEHOLM</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60509-2023</t>
        </is>
      </c>
      <c r="B1197" s="1" t="n">
        <v>45259</v>
      </c>
      <c r="C1197" s="1" t="n">
        <v>45669</v>
      </c>
      <c r="D1197" t="inlineStr">
        <is>
          <t>SKÅNE LÄN</t>
        </is>
      </c>
      <c r="E1197" t="inlineStr">
        <is>
          <t>HÄSSLEHOLM</t>
        </is>
      </c>
      <c r="F1197" t="inlineStr">
        <is>
          <t>Övriga Aktiebolag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60561-2023</t>
        </is>
      </c>
      <c r="B1198" s="1" t="n">
        <v>45259</v>
      </c>
      <c r="C1198" s="1" t="n">
        <v>45669</v>
      </c>
      <c r="D1198" t="inlineStr">
        <is>
          <t>SKÅNE LÄN</t>
        </is>
      </c>
      <c r="E1198" t="inlineStr">
        <is>
          <t>HÄSSLEHOLM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60586-2023</t>
        </is>
      </c>
      <c r="B1199" s="1" t="n">
        <v>45259</v>
      </c>
      <c r="C1199" s="1" t="n">
        <v>45669</v>
      </c>
      <c r="D1199" t="inlineStr">
        <is>
          <t>SKÅNE LÄN</t>
        </is>
      </c>
      <c r="E1199" t="inlineStr">
        <is>
          <t>HÄSSLEHOLM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60653-2023</t>
        </is>
      </c>
      <c r="B1200" s="1" t="n">
        <v>45260</v>
      </c>
      <c r="C1200" s="1" t="n">
        <v>45669</v>
      </c>
      <c r="D1200" t="inlineStr">
        <is>
          <t>SKÅNE LÄN</t>
        </is>
      </c>
      <c r="E1200" t="inlineStr">
        <is>
          <t>HÄSSLEHOLM</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60774-2023</t>
        </is>
      </c>
      <c r="B1201" s="1" t="n">
        <v>45260</v>
      </c>
      <c r="C1201" s="1" t="n">
        <v>45669</v>
      </c>
      <c r="D1201" t="inlineStr">
        <is>
          <t>SKÅNE LÄN</t>
        </is>
      </c>
      <c r="E1201" t="inlineStr">
        <is>
          <t>HÄSSLEHOLM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60704-2023</t>
        </is>
      </c>
      <c r="B1202" s="1" t="n">
        <v>45260</v>
      </c>
      <c r="C1202" s="1" t="n">
        <v>45669</v>
      </c>
      <c r="D1202" t="inlineStr">
        <is>
          <t>SKÅNE LÄN</t>
        </is>
      </c>
      <c r="E1202" t="inlineStr">
        <is>
          <t>HÄSSLEHOLM</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61041-2023</t>
        </is>
      </c>
      <c r="B1203" s="1" t="n">
        <v>45261</v>
      </c>
      <c r="C1203" s="1" t="n">
        <v>45669</v>
      </c>
      <c r="D1203" t="inlineStr">
        <is>
          <t>SKÅNE LÄN</t>
        </is>
      </c>
      <c r="E1203" t="inlineStr">
        <is>
          <t>HÄSSLEHOLM</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61407-2023</t>
        </is>
      </c>
      <c r="B1204" s="1" t="n">
        <v>45264</v>
      </c>
      <c r="C1204" s="1" t="n">
        <v>45669</v>
      </c>
      <c r="D1204" t="inlineStr">
        <is>
          <t>SKÅNE LÄN</t>
        </is>
      </c>
      <c r="E1204" t="inlineStr">
        <is>
          <t>HÄSSLEHOLM</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61271-2023</t>
        </is>
      </c>
      <c r="B1205" s="1" t="n">
        <v>45264</v>
      </c>
      <c r="C1205" s="1" t="n">
        <v>45669</v>
      </c>
      <c r="D1205" t="inlineStr">
        <is>
          <t>SKÅNE LÄN</t>
        </is>
      </c>
      <c r="E1205" t="inlineStr">
        <is>
          <t>HÄSSLEHOLM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61578-2023</t>
        </is>
      </c>
      <c r="B1206" s="1" t="n">
        <v>45265</v>
      </c>
      <c r="C1206" s="1" t="n">
        <v>45669</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61655-2023</t>
        </is>
      </c>
      <c r="B1207" s="1" t="n">
        <v>45265</v>
      </c>
      <c r="C1207" s="1" t="n">
        <v>45669</v>
      </c>
      <c r="D1207" t="inlineStr">
        <is>
          <t>SKÅNE LÄN</t>
        </is>
      </c>
      <c r="E1207" t="inlineStr">
        <is>
          <t>HÄSSLEHOLM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61562-2023</t>
        </is>
      </c>
      <c r="B1208" s="1" t="n">
        <v>45265</v>
      </c>
      <c r="C1208" s="1" t="n">
        <v>45669</v>
      </c>
      <c r="D1208" t="inlineStr">
        <is>
          <t>SKÅNE LÄN</t>
        </is>
      </c>
      <c r="E1208" t="inlineStr">
        <is>
          <t>HÄSSLEHOLM</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61569-2023</t>
        </is>
      </c>
      <c r="B1209" s="1" t="n">
        <v>45265</v>
      </c>
      <c r="C1209" s="1" t="n">
        <v>45669</v>
      </c>
      <c r="D1209" t="inlineStr">
        <is>
          <t>SKÅNE LÄN</t>
        </is>
      </c>
      <c r="E1209" t="inlineStr">
        <is>
          <t>HÄSSLEHOLM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61574-2023</t>
        </is>
      </c>
      <c r="B1210" s="1" t="n">
        <v>45265</v>
      </c>
      <c r="C1210" s="1" t="n">
        <v>45669</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61731-2023</t>
        </is>
      </c>
      <c r="B1211" s="1" t="n">
        <v>45265</v>
      </c>
      <c r="C1211" s="1" t="n">
        <v>45669</v>
      </c>
      <c r="D1211" t="inlineStr">
        <is>
          <t>SKÅNE LÄN</t>
        </is>
      </c>
      <c r="E1211" t="inlineStr">
        <is>
          <t>HÄSSLEHOLM</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61929-2023</t>
        </is>
      </c>
      <c r="B1212" s="1" t="n">
        <v>45266</v>
      </c>
      <c r="C1212" s="1" t="n">
        <v>45669</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61934-2023</t>
        </is>
      </c>
      <c r="B1213" s="1" t="n">
        <v>45266</v>
      </c>
      <c r="C1213" s="1" t="n">
        <v>45669</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62055-2023</t>
        </is>
      </c>
      <c r="B1214" s="1" t="n">
        <v>45266</v>
      </c>
      <c r="C1214" s="1" t="n">
        <v>45669</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61932-2023</t>
        </is>
      </c>
      <c r="B1215" s="1" t="n">
        <v>45266</v>
      </c>
      <c r="C1215" s="1" t="n">
        <v>45669</v>
      </c>
      <c r="D1215" t="inlineStr">
        <is>
          <t>SKÅNE LÄN</t>
        </is>
      </c>
      <c r="E1215" t="inlineStr">
        <is>
          <t>HÄSSLEHOLM</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62277-2023</t>
        </is>
      </c>
      <c r="B1216" s="1" t="n">
        <v>45266</v>
      </c>
      <c r="C1216" s="1" t="n">
        <v>45669</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63141-2023</t>
        </is>
      </c>
      <c r="B1217" s="1" t="n">
        <v>45273</v>
      </c>
      <c r="C1217" s="1" t="n">
        <v>45669</v>
      </c>
      <c r="D1217" t="inlineStr">
        <is>
          <t>SKÅNE LÄN</t>
        </is>
      </c>
      <c r="E1217" t="inlineStr">
        <is>
          <t>HÄSSLEHOLM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63119-2023</t>
        </is>
      </c>
      <c r="B1218" s="1" t="n">
        <v>45273</v>
      </c>
      <c r="C1218" s="1" t="n">
        <v>45669</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63610-2023</t>
        </is>
      </c>
      <c r="B1219" s="1" t="n">
        <v>45275</v>
      </c>
      <c r="C1219" s="1" t="n">
        <v>45669</v>
      </c>
      <c r="D1219" t="inlineStr">
        <is>
          <t>SKÅNE LÄN</t>
        </is>
      </c>
      <c r="E1219" t="inlineStr">
        <is>
          <t>HÄSSLEHOLM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64063-2023</t>
        </is>
      </c>
      <c r="B1220" s="1" t="n">
        <v>45279</v>
      </c>
      <c r="C1220" s="1" t="n">
        <v>45669</v>
      </c>
      <c r="D1220" t="inlineStr">
        <is>
          <t>SKÅNE LÄN</t>
        </is>
      </c>
      <c r="E1220" t="inlineStr">
        <is>
          <t>HÄSSLEHOLM</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64765-2023</t>
        </is>
      </c>
      <c r="B1221" s="1" t="n">
        <v>45282</v>
      </c>
      <c r="C1221" s="1" t="n">
        <v>45669</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64884-2023</t>
        </is>
      </c>
      <c r="B1222" s="1" t="n">
        <v>45282</v>
      </c>
      <c r="C1222" s="1" t="n">
        <v>45669</v>
      </c>
      <c r="D1222" t="inlineStr">
        <is>
          <t>SKÅNE LÄN</t>
        </is>
      </c>
      <c r="E1222" t="inlineStr">
        <is>
          <t>HÄSSLEHOLM</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64883-2023</t>
        </is>
      </c>
      <c r="B1223" s="1" t="n">
        <v>45282</v>
      </c>
      <c r="C1223" s="1" t="n">
        <v>45669</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146-2024</t>
        </is>
      </c>
      <c r="B1224" s="1" t="n">
        <v>45294</v>
      </c>
      <c r="C1224" s="1" t="n">
        <v>45669</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257-2024</t>
        </is>
      </c>
      <c r="B1225" s="1" t="n">
        <v>45294</v>
      </c>
      <c r="C1225" s="1" t="n">
        <v>45669</v>
      </c>
      <c r="D1225" t="inlineStr">
        <is>
          <t>SKÅNE LÄN</t>
        </is>
      </c>
      <c r="E1225" t="inlineStr">
        <is>
          <t>HÄSSLEHOLM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259-2024</t>
        </is>
      </c>
      <c r="B1226" s="1" t="n">
        <v>45294</v>
      </c>
      <c r="C1226" s="1" t="n">
        <v>45669</v>
      </c>
      <c r="D1226" t="inlineStr">
        <is>
          <t>SKÅNE LÄN</t>
        </is>
      </c>
      <c r="E1226" t="inlineStr">
        <is>
          <t>HÄSSLEHOLM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260-2024</t>
        </is>
      </c>
      <c r="B1227" s="1" t="n">
        <v>45294</v>
      </c>
      <c r="C1227" s="1" t="n">
        <v>45669</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444-2024</t>
        </is>
      </c>
      <c r="B1228" s="1" t="n">
        <v>45296</v>
      </c>
      <c r="C1228" s="1" t="n">
        <v>45669</v>
      </c>
      <c r="D1228" t="inlineStr">
        <is>
          <t>SKÅNE LÄN</t>
        </is>
      </c>
      <c r="E1228" t="inlineStr">
        <is>
          <t>HÄSSLEHOLM</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524-2024</t>
        </is>
      </c>
      <c r="B1229" s="1" t="n">
        <v>45299</v>
      </c>
      <c r="C1229" s="1" t="n">
        <v>45669</v>
      </c>
      <c r="D1229" t="inlineStr">
        <is>
          <t>SKÅNE LÄN</t>
        </is>
      </c>
      <c r="E1229" t="inlineStr">
        <is>
          <t>HÄSSLEHOLM</t>
        </is>
      </c>
      <c r="G1229" t="n">
        <v>29.4</v>
      </c>
      <c r="H1229" t="n">
        <v>0</v>
      </c>
      <c r="I1229" t="n">
        <v>0</v>
      </c>
      <c r="J1229" t="n">
        <v>0</v>
      </c>
      <c r="K1229" t="n">
        <v>0</v>
      </c>
      <c r="L1229" t="n">
        <v>0</v>
      </c>
      <c r="M1229" t="n">
        <v>0</v>
      </c>
      <c r="N1229" t="n">
        <v>0</v>
      </c>
      <c r="O1229" t="n">
        <v>0</v>
      </c>
      <c r="P1229" t="n">
        <v>0</v>
      </c>
      <c r="Q1229" t="n">
        <v>0</v>
      </c>
      <c r="R1229" s="2" t="inlineStr"/>
    </row>
    <row r="1230" ht="15" customHeight="1">
      <c r="A1230" t="inlineStr">
        <is>
          <t>A 677-2024</t>
        </is>
      </c>
      <c r="B1230" s="1" t="n">
        <v>45300</v>
      </c>
      <c r="C1230" s="1" t="n">
        <v>45669</v>
      </c>
      <c r="D1230" t="inlineStr">
        <is>
          <t>SKÅNE LÄN</t>
        </is>
      </c>
      <c r="E1230" t="inlineStr">
        <is>
          <t>HÄSSLEHOLM</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1197-2024</t>
        </is>
      </c>
      <c r="B1231" s="1" t="n">
        <v>45302</v>
      </c>
      <c r="C1231" s="1" t="n">
        <v>45669</v>
      </c>
      <c r="D1231" t="inlineStr">
        <is>
          <t>SKÅNE LÄN</t>
        </is>
      </c>
      <c r="E1231" t="inlineStr">
        <is>
          <t>HÄSSLEHOLM</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1120-2024</t>
        </is>
      </c>
      <c r="B1232" s="1" t="n">
        <v>45302</v>
      </c>
      <c r="C1232" s="1" t="n">
        <v>45669</v>
      </c>
      <c r="D1232" t="inlineStr">
        <is>
          <t>SKÅNE LÄN</t>
        </is>
      </c>
      <c r="E1232" t="inlineStr">
        <is>
          <t>HÄSSLEHOLM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1124-2024</t>
        </is>
      </c>
      <c r="B1233" s="1" t="n">
        <v>45302</v>
      </c>
      <c r="C1233" s="1" t="n">
        <v>45669</v>
      </c>
      <c r="D1233" t="inlineStr">
        <is>
          <t>SKÅNE LÄN</t>
        </is>
      </c>
      <c r="E1233" t="inlineStr">
        <is>
          <t>HÄSSLEHOLM</t>
        </is>
      </c>
      <c r="F1233" t="inlineStr">
        <is>
          <t>Kommuner</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1119-2024</t>
        </is>
      </c>
      <c r="B1234" s="1" t="n">
        <v>45302</v>
      </c>
      <c r="C1234" s="1" t="n">
        <v>45669</v>
      </c>
      <c r="D1234" t="inlineStr">
        <is>
          <t>SKÅNE LÄN</t>
        </is>
      </c>
      <c r="E1234" t="inlineStr">
        <is>
          <t>HÄSSLEHOLM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1289-2024</t>
        </is>
      </c>
      <c r="B1235" s="1" t="n">
        <v>45303</v>
      </c>
      <c r="C1235" s="1" t="n">
        <v>45669</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1543-2024</t>
        </is>
      </c>
      <c r="B1236" s="1" t="n">
        <v>45306</v>
      </c>
      <c r="C1236" s="1" t="n">
        <v>45669</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1538-2024</t>
        </is>
      </c>
      <c r="B1237" s="1" t="n">
        <v>45306</v>
      </c>
      <c r="C1237" s="1" t="n">
        <v>45669</v>
      </c>
      <c r="D1237" t="inlineStr">
        <is>
          <t>SKÅNE LÄN</t>
        </is>
      </c>
      <c r="E1237" t="inlineStr">
        <is>
          <t>HÄSSLEHOLM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1521-2024</t>
        </is>
      </c>
      <c r="B1238" s="1" t="n">
        <v>45306</v>
      </c>
      <c r="C1238" s="1" t="n">
        <v>45669</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2181-2024</t>
        </is>
      </c>
      <c r="B1239" s="1" t="n">
        <v>45309</v>
      </c>
      <c r="C1239" s="1" t="n">
        <v>45669</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2098-2024</t>
        </is>
      </c>
      <c r="B1240" s="1" t="n">
        <v>45309</v>
      </c>
      <c r="C1240" s="1" t="n">
        <v>45669</v>
      </c>
      <c r="D1240" t="inlineStr">
        <is>
          <t>SKÅNE LÄN</t>
        </is>
      </c>
      <c r="E1240" t="inlineStr">
        <is>
          <t>HÄSSLEHOLM</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2290-2024</t>
        </is>
      </c>
      <c r="B1241" s="1" t="n">
        <v>45310</v>
      </c>
      <c r="C1241" s="1" t="n">
        <v>45669</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2479-2024</t>
        </is>
      </c>
      <c r="B1242" s="1" t="n">
        <v>45313</v>
      </c>
      <c r="C1242" s="1" t="n">
        <v>45669</v>
      </c>
      <c r="D1242" t="inlineStr">
        <is>
          <t>SKÅNE LÄN</t>
        </is>
      </c>
      <c r="E1242" t="inlineStr">
        <is>
          <t>HÄSSLEHOLM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2567-2024</t>
        </is>
      </c>
      <c r="B1243" s="1" t="n">
        <v>45313</v>
      </c>
      <c r="C1243" s="1" t="n">
        <v>45669</v>
      </c>
      <c r="D1243" t="inlineStr">
        <is>
          <t>SKÅNE LÄN</t>
        </is>
      </c>
      <c r="E1243" t="inlineStr">
        <is>
          <t>HÄSSLEHOLM</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2596-2024</t>
        </is>
      </c>
      <c r="B1244" s="1" t="n">
        <v>45313</v>
      </c>
      <c r="C1244" s="1" t="n">
        <v>45669</v>
      </c>
      <c r="D1244" t="inlineStr">
        <is>
          <t>SKÅNE LÄN</t>
        </is>
      </c>
      <c r="E1244" t="inlineStr">
        <is>
          <t>HÄSSLEHOLM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2490-2024</t>
        </is>
      </c>
      <c r="B1245" s="1" t="n">
        <v>45313</v>
      </c>
      <c r="C1245" s="1" t="n">
        <v>45669</v>
      </c>
      <c r="D1245" t="inlineStr">
        <is>
          <t>SKÅNE LÄN</t>
        </is>
      </c>
      <c r="E1245" t="inlineStr">
        <is>
          <t>HÄSSLEHOLM</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2597-2024</t>
        </is>
      </c>
      <c r="B1246" s="1" t="n">
        <v>45313</v>
      </c>
      <c r="C1246" s="1" t="n">
        <v>45669</v>
      </c>
      <c r="D1246" t="inlineStr">
        <is>
          <t>SKÅNE LÄN</t>
        </is>
      </c>
      <c r="E1246" t="inlineStr">
        <is>
          <t>HÄSSLEHOLM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2589-2024</t>
        </is>
      </c>
      <c r="B1247" s="1" t="n">
        <v>45313</v>
      </c>
      <c r="C1247" s="1" t="n">
        <v>45669</v>
      </c>
      <c r="D1247" t="inlineStr">
        <is>
          <t>SKÅNE LÄN</t>
        </is>
      </c>
      <c r="E1247" t="inlineStr">
        <is>
          <t>HÄSSLEHOLM</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2595-2024</t>
        </is>
      </c>
      <c r="B1248" s="1" t="n">
        <v>45313</v>
      </c>
      <c r="C1248" s="1" t="n">
        <v>45669</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2688-2024</t>
        </is>
      </c>
      <c r="B1249" s="1" t="n">
        <v>45314</v>
      </c>
      <c r="C1249" s="1" t="n">
        <v>45669</v>
      </c>
      <c r="D1249" t="inlineStr">
        <is>
          <t>SKÅNE LÄN</t>
        </is>
      </c>
      <c r="E1249" t="inlineStr">
        <is>
          <t>HÄSSLEHOLM</t>
        </is>
      </c>
      <c r="F1249" t="inlineStr">
        <is>
          <t>Övriga Aktiebolag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2681-2024</t>
        </is>
      </c>
      <c r="B1250" s="1" t="n">
        <v>45314</v>
      </c>
      <c r="C1250" s="1" t="n">
        <v>45669</v>
      </c>
      <c r="D1250" t="inlineStr">
        <is>
          <t>SKÅNE LÄN</t>
        </is>
      </c>
      <c r="E1250" t="inlineStr">
        <is>
          <t>HÄSSLEHOLM</t>
        </is>
      </c>
      <c r="F1250" t="inlineStr">
        <is>
          <t>Övriga Aktiebolag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2712-2024</t>
        </is>
      </c>
      <c r="B1251" s="1" t="n">
        <v>45314</v>
      </c>
      <c r="C1251" s="1" t="n">
        <v>45669</v>
      </c>
      <c r="D1251" t="inlineStr">
        <is>
          <t>SKÅNE LÄN</t>
        </is>
      </c>
      <c r="E1251" t="inlineStr">
        <is>
          <t>HÄSSLEHOLM</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3507-2024</t>
        </is>
      </c>
      <c r="B1252" s="1" t="n">
        <v>45320</v>
      </c>
      <c r="C1252" s="1" t="n">
        <v>45669</v>
      </c>
      <c r="D1252" t="inlineStr">
        <is>
          <t>SKÅNE LÄN</t>
        </is>
      </c>
      <c r="E1252" t="inlineStr">
        <is>
          <t>HÄSSLEHOLM</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3480-2024</t>
        </is>
      </c>
      <c r="B1253" s="1" t="n">
        <v>45320</v>
      </c>
      <c r="C1253" s="1" t="n">
        <v>45669</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3500-2024</t>
        </is>
      </c>
      <c r="B1254" s="1" t="n">
        <v>45320</v>
      </c>
      <c r="C1254" s="1" t="n">
        <v>45669</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3650-2024</t>
        </is>
      </c>
      <c r="B1255" s="1" t="n">
        <v>45321</v>
      </c>
      <c r="C1255" s="1" t="n">
        <v>45669</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3723-2024</t>
        </is>
      </c>
      <c r="B1256" s="1" t="n">
        <v>45321</v>
      </c>
      <c r="C1256" s="1" t="n">
        <v>45669</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3663-2024</t>
        </is>
      </c>
      <c r="B1257" s="1" t="n">
        <v>45321</v>
      </c>
      <c r="C1257" s="1" t="n">
        <v>45669</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3699-2024</t>
        </is>
      </c>
      <c r="B1258" s="1" t="n">
        <v>45321</v>
      </c>
      <c r="C1258" s="1" t="n">
        <v>45669</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3746-2024</t>
        </is>
      </c>
      <c r="B1259" s="1" t="n">
        <v>45321</v>
      </c>
      <c r="C1259" s="1" t="n">
        <v>45669</v>
      </c>
      <c r="D1259" t="inlineStr">
        <is>
          <t>SKÅNE LÄN</t>
        </is>
      </c>
      <c r="E1259" t="inlineStr">
        <is>
          <t>HÄSSLEHOLM</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3726-2024</t>
        </is>
      </c>
      <c r="B1260" s="1" t="n">
        <v>45321</v>
      </c>
      <c r="C1260" s="1" t="n">
        <v>45669</v>
      </c>
      <c r="D1260" t="inlineStr">
        <is>
          <t>SKÅNE LÄN</t>
        </is>
      </c>
      <c r="E1260" t="inlineStr">
        <is>
          <t>HÄSSLEHOLM</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3886-2024</t>
        </is>
      </c>
      <c r="B1261" s="1" t="n">
        <v>45322</v>
      </c>
      <c r="C1261" s="1" t="n">
        <v>45669</v>
      </c>
      <c r="D1261" t="inlineStr">
        <is>
          <t>SKÅNE LÄN</t>
        </is>
      </c>
      <c r="E1261" t="inlineStr">
        <is>
          <t>HÄSSLEHOLM</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3890-2024</t>
        </is>
      </c>
      <c r="B1262" s="1" t="n">
        <v>45322</v>
      </c>
      <c r="C1262" s="1" t="n">
        <v>45669</v>
      </c>
      <c r="D1262" t="inlineStr">
        <is>
          <t>SKÅNE LÄN</t>
        </is>
      </c>
      <c r="E1262" t="inlineStr">
        <is>
          <t>HÄSSLEHOLM</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3889-2024</t>
        </is>
      </c>
      <c r="B1263" s="1" t="n">
        <v>45322</v>
      </c>
      <c r="C1263" s="1" t="n">
        <v>45669</v>
      </c>
      <c r="D1263" t="inlineStr">
        <is>
          <t>SKÅNE LÄN</t>
        </is>
      </c>
      <c r="E1263" t="inlineStr">
        <is>
          <t>HÄSSLEHOLM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3888-2024</t>
        </is>
      </c>
      <c r="B1264" s="1" t="n">
        <v>45322</v>
      </c>
      <c r="C1264" s="1" t="n">
        <v>45669</v>
      </c>
      <c r="D1264" t="inlineStr">
        <is>
          <t>SKÅNE LÄN</t>
        </is>
      </c>
      <c r="E1264" t="inlineStr">
        <is>
          <t>HÄSSLEHOLM</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4119-2024</t>
        </is>
      </c>
      <c r="B1265" s="1" t="n">
        <v>45323</v>
      </c>
      <c r="C1265" s="1" t="n">
        <v>45669</v>
      </c>
      <c r="D1265" t="inlineStr">
        <is>
          <t>SKÅNE LÄN</t>
        </is>
      </c>
      <c r="E1265" t="inlineStr">
        <is>
          <t>HÄSSLEHOLM</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4009-2024</t>
        </is>
      </c>
      <c r="B1266" s="1" t="n">
        <v>45323</v>
      </c>
      <c r="C1266" s="1" t="n">
        <v>45669</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4356-2024</t>
        </is>
      </c>
      <c r="B1267" s="1" t="n">
        <v>45325</v>
      </c>
      <c r="C1267" s="1" t="n">
        <v>45669</v>
      </c>
      <c r="D1267" t="inlineStr">
        <is>
          <t>SKÅNE LÄN</t>
        </is>
      </c>
      <c r="E1267" t="inlineStr">
        <is>
          <t>HÄSSLEHOLM</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4513-2024</t>
        </is>
      </c>
      <c r="B1268" s="1" t="n">
        <v>45327</v>
      </c>
      <c r="C1268" s="1" t="n">
        <v>45669</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4512-2024</t>
        </is>
      </c>
      <c r="B1269" s="1" t="n">
        <v>45327</v>
      </c>
      <c r="C1269" s="1" t="n">
        <v>45669</v>
      </c>
      <c r="D1269" t="inlineStr">
        <is>
          <t>SKÅNE LÄN</t>
        </is>
      </c>
      <c r="E1269" t="inlineStr">
        <is>
          <t>HÄSSLEHOLM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4516-2024</t>
        </is>
      </c>
      <c r="B1270" s="1" t="n">
        <v>45327</v>
      </c>
      <c r="C1270" s="1" t="n">
        <v>45669</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4604-2024</t>
        </is>
      </c>
      <c r="B1271" s="1" t="n">
        <v>45328</v>
      </c>
      <c r="C1271" s="1" t="n">
        <v>45669</v>
      </c>
      <c r="D1271" t="inlineStr">
        <is>
          <t>SKÅNE LÄN</t>
        </is>
      </c>
      <c r="E1271" t="inlineStr">
        <is>
          <t>HÄSSLEHOLM</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4605-2024</t>
        </is>
      </c>
      <c r="B1272" s="1" t="n">
        <v>45328</v>
      </c>
      <c r="C1272" s="1" t="n">
        <v>45669</v>
      </c>
      <c r="D1272" t="inlineStr">
        <is>
          <t>SKÅNE LÄN</t>
        </is>
      </c>
      <c r="E1272" t="inlineStr">
        <is>
          <t>HÄSSLEHOLM</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4626-2024</t>
        </is>
      </c>
      <c r="B1273" s="1" t="n">
        <v>45328</v>
      </c>
      <c r="C1273" s="1" t="n">
        <v>45669</v>
      </c>
      <c r="D1273" t="inlineStr">
        <is>
          <t>SKÅNE LÄN</t>
        </is>
      </c>
      <c r="E1273" t="inlineStr">
        <is>
          <t>HÄSSLEHOLM</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4602-2024</t>
        </is>
      </c>
      <c r="B1274" s="1" t="n">
        <v>45328</v>
      </c>
      <c r="C1274" s="1" t="n">
        <v>45669</v>
      </c>
      <c r="D1274" t="inlineStr">
        <is>
          <t>SKÅNE LÄN</t>
        </is>
      </c>
      <c r="E1274" t="inlineStr">
        <is>
          <t>HÄSSLEHOLM</t>
        </is>
      </c>
      <c r="F1274" t="inlineStr">
        <is>
          <t>Övriga Aktiebolag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4750-2024</t>
        </is>
      </c>
      <c r="B1275" s="1" t="n">
        <v>45328</v>
      </c>
      <c r="C1275" s="1" t="n">
        <v>45669</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4882-2024</t>
        </is>
      </c>
      <c r="B1276" s="1" t="n">
        <v>45329</v>
      </c>
      <c r="C1276" s="1" t="n">
        <v>45669</v>
      </c>
      <c r="D1276" t="inlineStr">
        <is>
          <t>SKÅNE LÄN</t>
        </is>
      </c>
      <c r="E1276" t="inlineStr">
        <is>
          <t>HÄSSLEHOLM</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4876-2024</t>
        </is>
      </c>
      <c r="B1277" s="1" t="n">
        <v>45329</v>
      </c>
      <c r="C1277" s="1" t="n">
        <v>45669</v>
      </c>
      <c r="D1277" t="inlineStr">
        <is>
          <t>SKÅNE LÄN</t>
        </is>
      </c>
      <c r="E1277" t="inlineStr">
        <is>
          <t>HÄSSLEHOLM</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4895-2024</t>
        </is>
      </c>
      <c r="B1278" s="1" t="n">
        <v>45329</v>
      </c>
      <c r="C1278" s="1" t="n">
        <v>45669</v>
      </c>
      <c r="D1278" t="inlineStr">
        <is>
          <t>SKÅNE LÄN</t>
        </is>
      </c>
      <c r="E1278" t="inlineStr">
        <is>
          <t>HÄSSLEHOLM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4916-2024</t>
        </is>
      </c>
      <c r="B1279" s="1" t="n">
        <v>45329</v>
      </c>
      <c r="C1279" s="1" t="n">
        <v>45669</v>
      </c>
      <c r="D1279" t="inlineStr">
        <is>
          <t>SKÅNE LÄN</t>
        </is>
      </c>
      <c r="E1279" t="inlineStr">
        <is>
          <t>HÄSSLEHOLM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5016-2024</t>
        </is>
      </c>
      <c r="B1280" s="1" t="n">
        <v>45329</v>
      </c>
      <c r="C1280" s="1" t="n">
        <v>45669</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4894-2024</t>
        </is>
      </c>
      <c r="B1281" s="1" t="n">
        <v>45329</v>
      </c>
      <c r="C1281" s="1" t="n">
        <v>45669</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5015-2024</t>
        </is>
      </c>
      <c r="B1282" s="1" t="n">
        <v>45329</v>
      </c>
      <c r="C1282" s="1" t="n">
        <v>45669</v>
      </c>
      <c r="D1282" t="inlineStr">
        <is>
          <t>SKÅNE LÄN</t>
        </is>
      </c>
      <c r="E1282" t="inlineStr">
        <is>
          <t>HÄSSLEHOLM</t>
        </is>
      </c>
      <c r="F1282" t="inlineStr">
        <is>
          <t>Övriga Aktiebolag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5226-2024</t>
        </is>
      </c>
      <c r="B1283" s="1" t="n">
        <v>45330</v>
      </c>
      <c r="C1283" s="1" t="n">
        <v>45669</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5395-2024</t>
        </is>
      </c>
      <c r="B1284" s="1" t="n">
        <v>45331</v>
      </c>
      <c r="C1284" s="1" t="n">
        <v>45669</v>
      </c>
      <c r="D1284" t="inlineStr">
        <is>
          <t>SKÅNE LÄN</t>
        </is>
      </c>
      <c r="E1284" t="inlineStr">
        <is>
          <t>HÄSSLEHOLM</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5307-2024</t>
        </is>
      </c>
      <c r="B1285" s="1" t="n">
        <v>45331</v>
      </c>
      <c r="C1285" s="1" t="n">
        <v>45669</v>
      </c>
      <c r="D1285" t="inlineStr">
        <is>
          <t>SKÅNE LÄN</t>
        </is>
      </c>
      <c r="E1285" t="inlineStr">
        <is>
          <t>HÄSSLEHOLM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5780-2024</t>
        </is>
      </c>
      <c r="B1286" s="1" t="n">
        <v>45335</v>
      </c>
      <c r="C1286" s="1" t="n">
        <v>45669</v>
      </c>
      <c r="D1286" t="inlineStr">
        <is>
          <t>SKÅNE LÄN</t>
        </is>
      </c>
      <c r="E1286" t="inlineStr">
        <is>
          <t>HÄSSLEHOLM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5852-2024</t>
        </is>
      </c>
      <c r="B1287" s="1" t="n">
        <v>45335</v>
      </c>
      <c r="C1287" s="1" t="n">
        <v>45669</v>
      </c>
      <c r="D1287" t="inlineStr">
        <is>
          <t>SKÅNE LÄN</t>
        </is>
      </c>
      <c r="E1287" t="inlineStr">
        <is>
          <t>HÄSSLEHOLM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5980-2024</t>
        </is>
      </c>
      <c r="B1288" s="1" t="n">
        <v>45335</v>
      </c>
      <c r="C1288" s="1" t="n">
        <v>45669</v>
      </c>
      <c r="D1288" t="inlineStr">
        <is>
          <t>SKÅNE LÄN</t>
        </is>
      </c>
      <c r="E1288" t="inlineStr">
        <is>
          <t>HÄSSLEHOLM</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6192-2024</t>
        </is>
      </c>
      <c r="B1289" s="1" t="n">
        <v>45337</v>
      </c>
      <c r="C1289" s="1" t="n">
        <v>45669</v>
      </c>
      <c r="D1289" t="inlineStr">
        <is>
          <t>SKÅNE LÄN</t>
        </is>
      </c>
      <c r="E1289" t="inlineStr">
        <is>
          <t>HÄSSLEHOLM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6612-2024</t>
        </is>
      </c>
      <c r="B1290" s="1" t="n">
        <v>45341</v>
      </c>
      <c r="C1290" s="1" t="n">
        <v>45669</v>
      </c>
      <c r="D1290" t="inlineStr">
        <is>
          <t>SKÅNE LÄN</t>
        </is>
      </c>
      <c r="E1290" t="inlineStr">
        <is>
          <t>HÄSSLEHOLM</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6619-2024</t>
        </is>
      </c>
      <c r="B1291" s="1" t="n">
        <v>45341</v>
      </c>
      <c r="C1291" s="1" t="n">
        <v>45669</v>
      </c>
      <c r="D1291" t="inlineStr">
        <is>
          <t>SKÅNE LÄN</t>
        </is>
      </c>
      <c r="E1291" t="inlineStr">
        <is>
          <t>HÄSSLEHOLM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6618-2024</t>
        </is>
      </c>
      <c r="B1292" s="1" t="n">
        <v>45341</v>
      </c>
      <c r="C1292" s="1" t="n">
        <v>45669</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6645-2024</t>
        </is>
      </c>
      <c r="B1293" s="1" t="n">
        <v>45341</v>
      </c>
      <c r="C1293" s="1" t="n">
        <v>45669</v>
      </c>
      <c r="D1293" t="inlineStr">
        <is>
          <t>SKÅNE LÄN</t>
        </is>
      </c>
      <c r="E1293" t="inlineStr">
        <is>
          <t>HÄSSLEHOLM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6921-2024</t>
        </is>
      </c>
      <c r="B1294" s="1" t="n">
        <v>45343</v>
      </c>
      <c r="C1294" s="1" t="n">
        <v>45669</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7351-2024</t>
        </is>
      </c>
      <c r="B1295" s="1" t="n">
        <v>45345</v>
      </c>
      <c r="C1295" s="1" t="n">
        <v>45669</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7345-2024</t>
        </is>
      </c>
      <c r="B1296" s="1" t="n">
        <v>45345</v>
      </c>
      <c r="C1296" s="1" t="n">
        <v>45669</v>
      </c>
      <c r="D1296" t="inlineStr">
        <is>
          <t>SKÅNE LÄN</t>
        </is>
      </c>
      <c r="E1296" t="inlineStr">
        <is>
          <t>HÄSSLEHOLM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7511-2024</t>
        </is>
      </c>
      <c r="B1297" s="1" t="n">
        <v>45348</v>
      </c>
      <c r="C1297" s="1" t="n">
        <v>45669</v>
      </c>
      <c r="D1297" t="inlineStr">
        <is>
          <t>SKÅNE LÄN</t>
        </is>
      </c>
      <c r="E1297" t="inlineStr">
        <is>
          <t>HÄSSLEHOLM</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7652-2024</t>
        </is>
      </c>
      <c r="B1298" s="1" t="n">
        <v>45348</v>
      </c>
      <c r="C1298" s="1" t="n">
        <v>45669</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7653-2024</t>
        </is>
      </c>
      <c r="B1299" s="1" t="n">
        <v>45348</v>
      </c>
      <c r="C1299" s="1" t="n">
        <v>45669</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7604-2024</t>
        </is>
      </c>
      <c r="B1300" s="1" t="n">
        <v>45348</v>
      </c>
      <c r="C1300" s="1" t="n">
        <v>45669</v>
      </c>
      <c r="D1300" t="inlineStr">
        <is>
          <t>SKÅNE LÄN</t>
        </is>
      </c>
      <c r="E1300" t="inlineStr">
        <is>
          <t>HÄSSLEHOLM</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7865-2024</t>
        </is>
      </c>
      <c r="B1301" s="1" t="n">
        <v>45348</v>
      </c>
      <c r="C1301" s="1" t="n">
        <v>45669</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7818-2024</t>
        </is>
      </c>
      <c r="B1302" s="1" t="n">
        <v>45349</v>
      </c>
      <c r="C1302" s="1" t="n">
        <v>45669</v>
      </c>
      <c r="D1302" t="inlineStr">
        <is>
          <t>SKÅNE LÄN</t>
        </is>
      </c>
      <c r="E1302" t="inlineStr">
        <is>
          <t>HÄSSLEHOLM</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7890-2024</t>
        </is>
      </c>
      <c r="B1303" s="1" t="n">
        <v>45350</v>
      </c>
      <c r="C1303" s="1" t="n">
        <v>45669</v>
      </c>
      <c r="D1303" t="inlineStr">
        <is>
          <t>SKÅNE LÄN</t>
        </is>
      </c>
      <c r="E1303" t="inlineStr">
        <is>
          <t>HÄSSLEHOLM</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8160-2024</t>
        </is>
      </c>
      <c r="B1304" s="1" t="n">
        <v>45351</v>
      </c>
      <c r="C1304" s="1" t="n">
        <v>45669</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8433-2024</t>
        </is>
      </c>
      <c r="B1305" s="1" t="n">
        <v>45353</v>
      </c>
      <c r="C1305" s="1" t="n">
        <v>45669</v>
      </c>
      <c r="D1305" t="inlineStr">
        <is>
          <t>SKÅNE LÄN</t>
        </is>
      </c>
      <c r="E1305" t="inlineStr">
        <is>
          <t>HÄSSLEHOLM</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8524-2024</t>
        </is>
      </c>
      <c r="B1306" s="1" t="n">
        <v>45355</v>
      </c>
      <c r="C1306" s="1" t="n">
        <v>45669</v>
      </c>
      <c r="D1306" t="inlineStr">
        <is>
          <t>SKÅNE LÄN</t>
        </is>
      </c>
      <c r="E1306" t="inlineStr">
        <is>
          <t>HÄSSLEHOLM</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8752-2024</t>
        </is>
      </c>
      <c r="B1307" s="1" t="n">
        <v>45356</v>
      </c>
      <c r="C1307" s="1" t="n">
        <v>45669</v>
      </c>
      <c r="D1307" t="inlineStr">
        <is>
          <t>SKÅNE LÄN</t>
        </is>
      </c>
      <c r="E1307" t="inlineStr">
        <is>
          <t>HÄSSLEHOLM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8749-2024</t>
        </is>
      </c>
      <c r="B1308" s="1" t="n">
        <v>45356</v>
      </c>
      <c r="C1308" s="1" t="n">
        <v>45669</v>
      </c>
      <c r="D1308" t="inlineStr">
        <is>
          <t>SKÅNE LÄN</t>
        </is>
      </c>
      <c r="E1308" t="inlineStr">
        <is>
          <t>HÄSSLEHOLM</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8755-2024</t>
        </is>
      </c>
      <c r="B1309" s="1" t="n">
        <v>45356</v>
      </c>
      <c r="C1309" s="1" t="n">
        <v>45669</v>
      </c>
      <c r="D1309" t="inlineStr">
        <is>
          <t>SKÅNE LÄN</t>
        </is>
      </c>
      <c r="E1309" t="inlineStr">
        <is>
          <t>HÄSSLEHOLM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8759-2024</t>
        </is>
      </c>
      <c r="B1310" s="1" t="n">
        <v>45356</v>
      </c>
      <c r="C1310" s="1" t="n">
        <v>45669</v>
      </c>
      <c r="D1310" t="inlineStr">
        <is>
          <t>SKÅNE LÄN</t>
        </is>
      </c>
      <c r="E1310" t="inlineStr">
        <is>
          <t>HÄSSLEHOLM</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8760-2024</t>
        </is>
      </c>
      <c r="B1311" s="1" t="n">
        <v>45356</v>
      </c>
      <c r="C1311" s="1" t="n">
        <v>45669</v>
      </c>
      <c r="D1311" t="inlineStr">
        <is>
          <t>SKÅNE LÄN</t>
        </is>
      </c>
      <c r="E1311" t="inlineStr">
        <is>
          <t>HÄSSLEHOLM</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9747-2024</t>
        </is>
      </c>
      <c r="B1312" s="1" t="n">
        <v>45362</v>
      </c>
      <c r="C1312" s="1" t="n">
        <v>45669</v>
      </c>
      <c r="D1312" t="inlineStr">
        <is>
          <t>SKÅNE LÄN</t>
        </is>
      </c>
      <c r="E1312" t="inlineStr">
        <is>
          <t>HÄSSLEHOLM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9938-2024</t>
        </is>
      </c>
      <c r="B1313" s="1" t="n">
        <v>45363</v>
      </c>
      <c r="C1313" s="1" t="n">
        <v>45669</v>
      </c>
      <c r="D1313" t="inlineStr">
        <is>
          <t>SKÅNE LÄN</t>
        </is>
      </c>
      <c r="E1313" t="inlineStr">
        <is>
          <t>HÄSSLEHOLM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10020-2024</t>
        </is>
      </c>
      <c r="B1314" s="1" t="n">
        <v>45364</v>
      </c>
      <c r="C1314" s="1" t="n">
        <v>45669</v>
      </c>
      <c r="D1314" t="inlineStr">
        <is>
          <t>SKÅNE LÄN</t>
        </is>
      </c>
      <c r="E1314" t="inlineStr">
        <is>
          <t>HÄSSLEHOLM</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10028-2024</t>
        </is>
      </c>
      <c r="B1315" s="1" t="n">
        <v>45364</v>
      </c>
      <c r="C1315" s="1" t="n">
        <v>45669</v>
      </c>
      <c r="D1315" t="inlineStr">
        <is>
          <t>SKÅNE LÄN</t>
        </is>
      </c>
      <c r="E1315" t="inlineStr">
        <is>
          <t>HÄSSLEHOLM</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10115-2024</t>
        </is>
      </c>
      <c r="B1316" s="1" t="n">
        <v>45364</v>
      </c>
      <c r="C1316" s="1" t="n">
        <v>45669</v>
      </c>
      <c r="D1316" t="inlineStr">
        <is>
          <t>SKÅNE LÄN</t>
        </is>
      </c>
      <c r="E1316" t="inlineStr">
        <is>
          <t>HÄSSLEHOLM</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10409-2024</t>
        </is>
      </c>
      <c r="B1317" s="1" t="n">
        <v>45365</v>
      </c>
      <c r="C1317" s="1" t="n">
        <v>45669</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10802-2024</t>
        </is>
      </c>
      <c r="B1318" s="1" t="n">
        <v>45369</v>
      </c>
      <c r="C1318" s="1" t="n">
        <v>45669</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10928-2024</t>
        </is>
      </c>
      <c r="B1319" s="1" t="n">
        <v>45370</v>
      </c>
      <c r="C1319" s="1" t="n">
        <v>45669</v>
      </c>
      <c r="D1319" t="inlineStr">
        <is>
          <t>SKÅNE LÄN</t>
        </is>
      </c>
      <c r="E1319" t="inlineStr">
        <is>
          <t>HÄSSLEHOLM</t>
        </is>
      </c>
      <c r="F1319" t="inlineStr">
        <is>
          <t>Övriga Aktiebolag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10944-2024</t>
        </is>
      </c>
      <c r="B1320" s="1" t="n">
        <v>45370</v>
      </c>
      <c r="C1320" s="1" t="n">
        <v>45669</v>
      </c>
      <c r="D1320" t="inlineStr">
        <is>
          <t>SKÅNE LÄN</t>
        </is>
      </c>
      <c r="E1320" t="inlineStr">
        <is>
          <t>HÄSSLEHOLM</t>
        </is>
      </c>
      <c r="F1320" t="inlineStr">
        <is>
          <t>Övriga Aktiebolag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45669</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45669</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45669</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45669</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45669</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45669</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45669</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45669</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45669</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45669</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45669</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45669</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45669</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45669</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45669</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45669</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45669</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45669</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45669</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45669</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45669</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45669</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45669</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45669</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45669</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45669</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45669</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45669</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45669</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45669</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45669</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45669</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45669</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45669</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45669</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45669</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45669</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45669</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45669</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45669</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45669</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45669</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45669</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45669</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45669</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45669</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45669</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45669</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45669</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45669</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45669</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45669</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45669</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45669</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45669</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45669</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45669</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45669</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45669</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45669</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45669</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45669</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45669</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45669</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45669</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45669</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45669</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45669</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45669</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45669</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45669</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45669</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45669</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45669</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45669</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45669</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45669</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45669</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45669</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45669</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45669</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45669</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45669</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45669</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45669</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45669</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45669</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45669</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45669</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45669</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45669</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45669</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45669</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45669</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45669</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45669</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45669</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45669</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45669</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45669</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45669</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45669</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45669</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45669</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45669</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45669</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45669</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45669</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45669</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45669</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45669</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45669</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45669</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45669</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45669</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45669</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45669</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45669</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45669</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45669</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45669</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45669</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45669</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45669</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45669</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45669</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45669</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45669</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45669</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45669</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45669</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45669</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45669</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45669</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45669</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45669</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45669</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45669</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45669</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45669</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45669</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45669</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45669</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45669</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45669</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45669</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45669</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45669</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45669</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45669</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45669</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45669</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45669</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45669</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45669</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45669</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45669</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45669</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45669</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45669</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45669</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45669</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45669</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45669</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45669</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45669</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45669</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45669</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45669</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45669</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45669</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45669</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45669</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45669</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45669</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45669</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45669</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45669</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45669</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45669</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45669</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45669</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45669</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45669</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45669</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45669</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45669</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45669</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45669</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45669</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45669</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45669</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45669</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45669</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45669</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45669</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45669</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45669</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45669</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45669</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45669</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45669</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45669</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45669</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45669</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45669</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45669</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45669</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45669</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45669</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45669</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45669</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45669</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45669</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45669</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45669</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45669</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45669</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45669</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45669</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45669</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45669</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45669</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45669</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45669</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45669</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45669</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45669</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45669</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45669</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45669</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45669</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45669</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45669</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45669</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45669</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45669</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45669</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45669</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45669</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45669</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45669</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45669</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45669</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45669</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45669</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45669</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45669</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45669</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45669</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45669</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45669</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45669</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45669</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45669</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45669</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45669</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45669</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45669</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45669</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45669</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45669</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45669</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45669</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45669</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45669</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45669</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45669</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45669</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45669</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45669</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45669</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45669</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45669</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58886-2024</t>
        </is>
      </c>
      <c r="B1598" s="1" t="n">
        <v>45636</v>
      </c>
      <c r="C1598" s="1" t="n">
        <v>45669</v>
      </c>
      <c r="D1598" t="inlineStr">
        <is>
          <t>SKÅNE LÄN</t>
        </is>
      </c>
      <c r="E1598" t="inlineStr">
        <is>
          <t>HÄSSLEHOLM</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59246-2024</t>
        </is>
      </c>
      <c r="B1599" s="1" t="n">
        <v>45636</v>
      </c>
      <c r="C1599" s="1" t="n">
        <v>45669</v>
      </c>
      <c r="D1599" t="inlineStr">
        <is>
          <t>SKÅNE LÄN</t>
        </is>
      </c>
      <c r="E1599" t="inlineStr">
        <is>
          <t>HÄSSLEHOLM</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58883-2024</t>
        </is>
      </c>
      <c r="B1600" s="1" t="n">
        <v>45636</v>
      </c>
      <c r="C1600" s="1" t="n">
        <v>45669</v>
      </c>
      <c r="D1600" t="inlineStr">
        <is>
          <t>SKÅNE LÄN</t>
        </is>
      </c>
      <c r="E1600" t="inlineStr">
        <is>
          <t>HÄSSLEHOLM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45669</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58888-2024</t>
        </is>
      </c>
      <c r="B1602" s="1" t="n">
        <v>45636</v>
      </c>
      <c r="C1602" s="1" t="n">
        <v>45669</v>
      </c>
      <c r="D1602" t="inlineStr">
        <is>
          <t>SKÅNE LÄN</t>
        </is>
      </c>
      <c r="E1602" t="inlineStr">
        <is>
          <t>HÄSSLEHOLM</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45669</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60795-2024</t>
        </is>
      </c>
      <c r="B1604" s="1" t="n">
        <v>45644</v>
      </c>
      <c r="C1604" s="1" t="n">
        <v>45669</v>
      </c>
      <c r="D1604" t="inlineStr">
        <is>
          <t>SKÅNE LÄN</t>
        </is>
      </c>
      <c r="E1604" t="inlineStr">
        <is>
          <t>HÄSSLEHOLM</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60797-2024</t>
        </is>
      </c>
      <c r="B1605" s="1" t="n">
        <v>45644</v>
      </c>
      <c r="C1605" s="1" t="n">
        <v>45669</v>
      </c>
      <c r="D1605" t="inlineStr">
        <is>
          <t>SKÅNE LÄN</t>
        </is>
      </c>
      <c r="E1605" t="inlineStr">
        <is>
          <t>HÄSSLEHOLM</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60851-2024</t>
        </is>
      </c>
      <c r="B1606" s="1" t="n">
        <v>45644</v>
      </c>
      <c r="C1606" s="1" t="n">
        <v>45669</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60973-2024</t>
        </is>
      </c>
      <c r="B1607" s="1" t="n">
        <v>45644</v>
      </c>
      <c r="C1607" s="1" t="n">
        <v>45669</v>
      </c>
      <c r="D1607" t="inlineStr">
        <is>
          <t>SKÅNE LÄN</t>
        </is>
      </c>
      <c r="E1607" t="inlineStr">
        <is>
          <t>HÄSSLEHOLM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60789-2024</t>
        </is>
      </c>
      <c r="B1608" s="1" t="n">
        <v>45644</v>
      </c>
      <c r="C1608" s="1" t="n">
        <v>45669</v>
      </c>
      <c r="D1608" t="inlineStr">
        <is>
          <t>SKÅNE LÄN</t>
        </is>
      </c>
      <c r="E1608" t="inlineStr">
        <is>
          <t>HÄSSLEHOLM</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60798-2024</t>
        </is>
      </c>
      <c r="B1609" s="1" t="n">
        <v>45644</v>
      </c>
      <c r="C1609" s="1" t="n">
        <v>45669</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60913-2024</t>
        </is>
      </c>
      <c r="B1610" s="1" t="n">
        <v>45645</v>
      </c>
      <c r="C1610" s="1" t="n">
        <v>45669</v>
      </c>
      <c r="D1610" t="inlineStr">
        <is>
          <t>SKÅNE LÄN</t>
        </is>
      </c>
      <c r="E1610" t="inlineStr">
        <is>
          <t>HÄSSLEHOLM</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61182-2024</t>
        </is>
      </c>
      <c r="B1611" s="1" t="n">
        <v>45645</v>
      </c>
      <c r="C1611" s="1" t="n">
        <v>45669</v>
      </c>
      <c r="D1611" t="inlineStr">
        <is>
          <t>SKÅNE LÄN</t>
        </is>
      </c>
      <c r="E1611" t="inlineStr">
        <is>
          <t>HÄSSLEHOLM</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61197-2024</t>
        </is>
      </c>
      <c r="B1612" s="1" t="n">
        <v>45645</v>
      </c>
      <c r="C1612" s="1" t="n">
        <v>45669</v>
      </c>
      <c r="D1612" t="inlineStr">
        <is>
          <t>SKÅNE LÄN</t>
        </is>
      </c>
      <c r="E1612" t="inlineStr">
        <is>
          <t>HÄSSLEHOLM</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45669</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61192-2024</t>
        </is>
      </c>
      <c r="B1614" s="1" t="n">
        <v>45645</v>
      </c>
      <c r="C1614" s="1" t="n">
        <v>45669</v>
      </c>
      <c r="D1614" t="inlineStr">
        <is>
          <t>SKÅNE LÄN</t>
        </is>
      </c>
      <c r="E1614" t="inlineStr">
        <is>
          <t>HÄSSLEHOLM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61533-2024</t>
        </is>
      </c>
      <c r="B1615" s="1" t="n">
        <v>45646</v>
      </c>
      <c r="C1615" s="1" t="n">
        <v>45669</v>
      </c>
      <c r="D1615" t="inlineStr">
        <is>
          <t>SKÅNE LÄN</t>
        </is>
      </c>
      <c r="E1615" t="inlineStr">
        <is>
          <t>HÄSSLEHOLM</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61436-2024</t>
        </is>
      </c>
      <c r="B1616" s="1" t="n">
        <v>45646</v>
      </c>
      <c r="C1616" s="1" t="n">
        <v>45669</v>
      </c>
      <c r="D1616" t="inlineStr">
        <is>
          <t>SKÅNE LÄN</t>
        </is>
      </c>
      <c r="E1616" t="inlineStr">
        <is>
          <t>HÄSSLEHOLM</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61489-2024</t>
        </is>
      </c>
      <c r="B1617" s="1" t="n">
        <v>45646</v>
      </c>
      <c r="C1617" s="1" t="n">
        <v>45669</v>
      </c>
      <c r="D1617" t="inlineStr">
        <is>
          <t>SKÅNE LÄN</t>
        </is>
      </c>
      <c r="E1617" t="inlineStr">
        <is>
          <t>HÄSSLEHOLM</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61537-2024</t>
        </is>
      </c>
      <c r="B1618" s="1" t="n">
        <v>45646</v>
      </c>
      <c r="C1618" s="1" t="n">
        <v>45669</v>
      </c>
      <c r="D1618" t="inlineStr">
        <is>
          <t>SKÅNE LÄN</t>
        </is>
      </c>
      <c r="E1618" t="inlineStr">
        <is>
          <t>HÄSSLEHOLM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190-2025</t>
        </is>
      </c>
      <c r="B1619" s="1" t="n">
        <v>45649</v>
      </c>
      <c r="C1619" s="1" t="n">
        <v>45669</v>
      </c>
      <c r="D1619" t="inlineStr">
        <is>
          <t>SKÅNE LÄN</t>
        </is>
      </c>
      <c r="E1619" t="inlineStr">
        <is>
          <t>HÄSSLEHOLM</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61900-2024</t>
        </is>
      </c>
      <c r="B1620" s="1" t="n">
        <v>45652</v>
      </c>
      <c r="C1620" s="1" t="n">
        <v>45669</v>
      </c>
      <c r="D1620" t="inlineStr">
        <is>
          <t>SKÅNE LÄN</t>
        </is>
      </c>
      <c r="E1620" t="inlineStr">
        <is>
          <t>HÄSSLEHOLM</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62000-2024</t>
        </is>
      </c>
      <c r="B1621" s="1" t="n">
        <v>45654</v>
      </c>
      <c r="C1621" s="1" t="n">
        <v>45669</v>
      </c>
      <c r="D1621" t="inlineStr">
        <is>
          <t>SKÅNE LÄN</t>
        </is>
      </c>
      <c r="E1621" t="inlineStr">
        <is>
          <t>HÄSSLEHOLM</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317-2025</t>
        </is>
      </c>
      <c r="B1622" s="1" t="n">
        <v>45660</v>
      </c>
      <c r="C1622" s="1" t="n">
        <v>45669</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653-2025</t>
        </is>
      </c>
      <c r="B1623" s="1" t="n">
        <v>45664</v>
      </c>
      <c r="C1623" s="1" t="n">
        <v>45669</v>
      </c>
      <c r="D1623" t="inlineStr">
        <is>
          <t>SKÅNE LÄN</t>
        </is>
      </c>
      <c r="E1623" t="inlineStr">
        <is>
          <t>HÄSSLEHOLM</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680-2025</t>
        </is>
      </c>
      <c r="B1624" s="1" t="n">
        <v>45664</v>
      </c>
      <c r="C1624" s="1" t="n">
        <v>45669</v>
      </c>
      <c r="D1624" t="inlineStr">
        <is>
          <t>SKÅNE LÄN</t>
        </is>
      </c>
      <c r="E1624" t="inlineStr">
        <is>
          <t>HÄSSLEHOLM</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720-2025</t>
        </is>
      </c>
      <c r="B1625" s="1" t="n">
        <v>45665</v>
      </c>
      <c r="C1625" s="1" t="n">
        <v>45669</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829-2025</t>
        </is>
      </c>
      <c r="B1626" s="1" t="n">
        <v>45665</v>
      </c>
      <c r="C1626" s="1" t="n">
        <v>45669</v>
      </c>
      <c r="D1626" t="inlineStr">
        <is>
          <t>SKÅNE LÄN</t>
        </is>
      </c>
      <c r="E1626" t="inlineStr">
        <is>
          <t>HÄSSLEHOLM</t>
        </is>
      </c>
      <c r="G1626" t="n">
        <v>1</v>
      </c>
      <c r="H1626" t="n">
        <v>0</v>
      </c>
      <c r="I1626" t="n">
        <v>0</v>
      </c>
      <c r="J1626" t="n">
        <v>0</v>
      </c>
      <c r="K1626" t="n">
        <v>0</v>
      </c>
      <c r="L1626" t="n">
        <v>0</v>
      </c>
      <c r="M1626" t="n">
        <v>0</v>
      </c>
      <c r="N1626" t="n">
        <v>0</v>
      </c>
      <c r="O1626" t="n">
        <v>0</v>
      </c>
      <c r="P1626" t="n">
        <v>0</v>
      </c>
      <c r="Q1626" t="n">
        <v>0</v>
      </c>
      <c r="R1626" s="2" t="inlineStr"/>
    </row>
    <row r="1627">
      <c r="A1627" t="inlineStr">
        <is>
          <t>A 1170-2025</t>
        </is>
      </c>
      <c r="B1627" s="1" t="n">
        <v>45667</v>
      </c>
      <c r="C1627" s="1" t="n">
        <v>45669</v>
      </c>
      <c r="D1627" t="inlineStr">
        <is>
          <t>SKÅNE LÄN</t>
        </is>
      </c>
      <c r="E1627" t="inlineStr">
        <is>
          <t>HÄSSLEHOLM</t>
        </is>
      </c>
      <c r="G1627" t="n">
        <v>4.3</v>
      </c>
      <c r="H1627" t="n">
        <v>0</v>
      </c>
      <c r="I1627" t="n">
        <v>0</v>
      </c>
      <c r="J1627" t="n">
        <v>0</v>
      </c>
      <c r="K1627" t="n">
        <v>0</v>
      </c>
      <c r="L1627" t="n">
        <v>0</v>
      </c>
      <c r="M1627" t="n">
        <v>0</v>
      </c>
      <c r="N1627" t="n">
        <v>0</v>
      </c>
      <c r="O1627" t="n">
        <v>0</v>
      </c>
      <c r="P1627" t="n">
        <v>0</v>
      </c>
      <c r="Q1627" t="n">
        <v>0</v>
      </c>
      <c r="R1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2025-01-12T15:16:36Z</dcterms:created>
  <dcterms:modified xmlns:dcterms="http://purl.org/dc/terms/" xmlns:xsi="http://www.w3.org/2001/XMLSchema-instance" xsi:type="dcterms:W3CDTF">2025-01-12T15:16:38Z</dcterms:modified>
</cp:coreProperties>
</file>