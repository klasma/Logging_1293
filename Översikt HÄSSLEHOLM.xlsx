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46038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46038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46038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46038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46038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46038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46038</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4595-2025</t>
        </is>
      </c>
      <c r="B15" s="1" t="n">
        <v>45687</v>
      </c>
      <c r="C15" s="1" t="n">
        <v>46038</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46038</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46038</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46038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9289-2025</t>
        </is>
      </c>
      <c r="B19" s="1" t="n">
        <v>45714</v>
      </c>
      <c r="C19" s="1" t="n">
        <v>46038</v>
      </c>
      <c r="D19" t="inlineStr">
        <is>
          <t>SKÅNE LÄN</t>
        </is>
      </c>
      <c r="E19" t="inlineStr">
        <is>
          <t>HÄSSLEHOLM</t>
        </is>
      </c>
      <c r="G19" t="n">
        <v>18</v>
      </c>
      <c r="H19" t="n">
        <v>0</v>
      </c>
      <c r="I19" t="n">
        <v>1</v>
      </c>
      <c r="J19" t="n">
        <v>0</v>
      </c>
      <c r="K19" t="n">
        <v>0</v>
      </c>
      <c r="L19" t="n">
        <v>0</v>
      </c>
      <c r="M19" t="n">
        <v>0</v>
      </c>
      <c r="N19" t="n">
        <v>0</v>
      </c>
      <c r="O19" t="n">
        <v>0</v>
      </c>
      <c r="P19" t="n">
        <v>0</v>
      </c>
      <c r="Q19" t="n">
        <v>1</v>
      </c>
      <c r="R19" s="2" t="inlineStr">
        <is>
          <t>Tibast</t>
        </is>
      </c>
      <c r="S19">
        <f>HYPERLINK("https://klasma.github.io/Logging_1293/artfynd/A 9289-2025 artfynd.xlsx", "A 9289-2025")</f>
        <v/>
      </c>
      <c r="T19">
        <f>HYPERLINK("https://klasma.github.io/Logging_1293/kartor/A 9289-2025 karta.png", "A 9289-2025")</f>
        <v/>
      </c>
      <c r="V19">
        <f>HYPERLINK("https://klasma.github.io/Logging_1293/klagomål/A 9289-2025 FSC-klagomål.docx", "A 9289-2025")</f>
        <v/>
      </c>
      <c r="W19">
        <f>HYPERLINK("https://klasma.github.io/Logging_1293/klagomålsmail/A 9289-2025 FSC-klagomål mail.docx", "A 9289-2025")</f>
        <v/>
      </c>
      <c r="X19">
        <f>HYPERLINK("https://klasma.github.io/Logging_1293/tillsyn/A 9289-2025 tillsynsbegäran.docx", "A 9289-2025")</f>
        <v/>
      </c>
      <c r="Y19">
        <f>HYPERLINK("https://klasma.github.io/Logging_1293/tillsynsmail/A 9289-2025 tillsynsbegäran mail.docx", "A 9289-2025")</f>
        <v/>
      </c>
    </row>
    <row r="20" ht="15" customHeight="1">
      <c r="A20" t="inlineStr">
        <is>
          <t>A 29272-2023</t>
        </is>
      </c>
      <c r="B20" s="1" t="n">
        <v>45105</v>
      </c>
      <c r="C20" s="1" t="n">
        <v>46038</v>
      </c>
      <c r="D20" t="inlineStr">
        <is>
          <t>SKÅNE LÄN</t>
        </is>
      </c>
      <c r="E20" t="inlineStr">
        <is>
          <t>HÄSSLEHOLM</t>
        </is>
      </c>
      <c r="G20" t="n">
        <v>2.2</v>
      </c>
      <c r="H20" t="n">
        <v>0</v>
      </c>
      <c r="I20" t="n">
        <v>1</v>
      </c>
      <c r="J20" t="n">
        <v>0</v>
      </c>
      <c r="K20" t="n">
        <v>0</v>
      </c>
      <c r="L20" t="n">
        <v>0</v>
      </c>
      <c r="M20" t="n">
        <v>0</v>
      </c>
      <c r="N20" t="n">
        <v>0</v>
      </c>
      <c r="O20" t="n">
        <v>0</v>
      </c>
      <c r="P20" t="n">
        <v>0</v>
      </c>
      <c r="Q20" t="n">
        <v>1</v>
      </c>
      <c r="R20" s="2" t="inlineStr">
        <is>
          <t>Sotlav</t>
        </is>
      </c>
      <c r="S20">
        <f>HYPERLINK("https://klasma.github.io/Logging_1293/artfynd/A 29272-2023 artfynd.xlsx", "A 29272-2023")</f>
        <v/>
      </c>
      <c r="T20">
        <f>HYPERLINK("https://klasma.github.io/Logging_1293/kartor/A 29272-2023 karta.png", "A 29272-2023")</f>
        <v/>
      </c>
      <c r="V20">
        <f>HYPERLINK("https://klasma.github.io/Logging_1293/klagomål/A 29272-2023 FSC-klagomål.docx", "A 29272-2023")</f>
        <v/>
      </c>
      <c r="W20">
        <f>HYPERLINK("https://klasma.github.io/Logging_1293/klagomålsmail/A 29272-2023 FSC-klagomål mail.docx", "A 29272-2023")</f>
        <v/>
      </c>
      <c r="X20">
        <f>HYPERLINK("https://klasma.github.io/Logging_1293/tillsyn/A 29272-2023 tillsynsbegäran.docx", "A 29272-2023")</f>
        <v/>
      </c>
      <c r="Y20">
        <f>HYPERLINK("https://klasma.github.io/Logging_1293/tillsynsmail/A 29272-2023 tillsynsbegäran mail.docx", "A 29272-2023")</f>
        <v/>
      </c>
    </row>
    <row r="21" ht="15" customHeight="1">
      <c r="A21" t="inlineStr">
        <is>
          <t>A 7862-2024</t>
        </is>
      </c>
      <c r="B21" s="1" t="n">
        <v>45348</v>
      </c>
      <c r="C21" s="1" t="n">
        <v>46038</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8223-2025</t>
        </is>
      </c>
      <c r="B22" s="1" t="n">
        <v>45708.46127314815</v>
      </c>
      <c r="C22" s="1" t="n">
        <v>46038</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40613-2025</t>
        </is>
      </c>
      <c r="B23" s="1" t="n">
        <v>45896</v>
      </c>
      <c r="C23" s="1" t="n">
        <v>46038</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16107-2025</t>
        </is>
      </c>
      <c r="B24" s="1" t="n">
        <v>45750.34537037037</v>
      </c>
      <c r="C24" s="1" t="n">
        <v>46038</v>
      </c>
      <c r="D24" t="inlineStr">
        <is>
          <t>SKÅNE LÄN</t>
        </is>
      </c>
      <c r="E24" t="inlineStr">
        <is>
          <t>HÄSSLEHOLM</t>
        </is>
      </c>
      <c r="G24" t="n">
        <v>1.4</v>
      </c>
      <c r="H24" t="n">
        <v>1</v>
      </c>
      <c r="I24" t="n">
        <v>0</v>
      </c>
      <c r="J24" t="n">
        <v>1</v>
      </c>
      <c r="K24" t="n">
        <v>0</v>
      </c>
      <c r="L24" t="n">
        <v>0</v>
      </c>
      <c r="M24" t="n">
        <v>0</v>
      </c>
      <c r="N24" t="n">
        <v>0</v>
      </c>
      <c r="O24" t="n">
        <v>1</v>
      </c>
      <c r="P24" t="n">
        <v>0</v>
      </c>
      <c r="Q24" t="n">
        <v>1</v>
      </c>
      <c r="R24" s="2" t="inlineStr">
        <is>
          <t>Spillkråka</t>
        </is>
      </c>
      <c r="S24">
        <f>HYPERLINK("https://klasma.github.io/Logging_1293/artfynd/A 16107-2025 artfynd.xlsx", "A 16107-2025")</f>
        <v/>
      </c>
      <c r="T24">
        <f>HYPERLINK("https://klasma.github.io/Logging_1293/kartor/A 16107-2025 karta.png", "A 16107-2025")</f>
        <v/>
      </c>
      <c r="V24">
        <f>HYPERLINK("https://klasma.github.io/Logging_1293/klagomål/A 16107-2025 FSC-klagomål.docx", "A 16107-2025")</f>
        <v/>
      </c>
      <c r="W24">
        <f>HYPERLINK("https://klasma.github.io/Logging_1293/klagomålsmail/A 16107-2025 FSC-klagomål mail.docx", "A 16107-2025")</f>
        <v/>
      </c>
      <c r="X24">
        <f>HYPERLINK("https://klasma.github.io/Logging_1293/tillsyn/A 16107-2025 tillsynsbegäran.docx", "A 16107-2025")</f>
        <v/>
      </c>
      <c r="Y24">
        <f>HYPERLINK("https://klasma.github.io/Logging_1293/tillsynsmail/A 16107-2025 tillsynsbegäran mail.docx", "A 16107-2025")</f>
        <v/>
      </c>
      <c r="Z24">
        <f>HYPERLINK("https://klasma.github.io/Logging_1293/fåglar/A 16107-2025 prioriterade fågelarter.docx", "A 16107-2025")</f>
        <v/>
      </c>
    </row>
    <row r="25" ht="15" customHeight="1">
      <c r="A25" t="inlineStr">
        <is>
          <t>A 43874-2022</t>
        </is>
      </c>
      <c r="B25" s="1" t="n">
        <v>44838.44738425926</v>
      </c>
      <c r="C25" s="1" t="n">
        <v>46038</v>
      </c>
      <c r="D25" t="inlineStr">
        <is>
          <t>SKÅNE LÄN</t>
        </is>
      </c>
      <c r="E25" t="inlineStr">
        <is>
          <t>HÄSSLEHOLM</t>
        </is>
      </c>
      <c r="G25" t="n">
        <v>2.1</v>
      </c>
      <c r="H25" t="n">
        <v>0</v>
      </c>
      <c r="I25" t="n">
        <v>0</v>
      </c>
      <c r="J25" t="n">
        <v>1</v>
      </c>
      <c r="K25" t="n">
        <v>0</v>
      </c>
      <c r="L25" t="n">
        <v>0</v>
      </c>
      <c r="M25" t="n">
        <v>0</v>
      </c>
      <c r="N25" t="n">
        <v>0</v>
      </c>
      <c r="O25" t="n">
        <v>1</v>
      </c>
      <c r="P25" t="n">
        <v>0</v>
      </c>
      <c r="Q25" t="n">
        <v>1</v>
      </c>
      <c r="R25" s="2" t="inlineStr">
        <is>
          <t>Igelkott</t>
        </is>
      </c>
      <c r="S25">
        <f>HYPERLINK("https://klasma.github.io/Logging_1293/artfynd/A 43874-2022 artfynd.xlsx", "A 43874-2022")</f>
        <v/>
      </c>
      <c r="T25">
        <f>HYPERLINK("https://klasma.github.io/Logging_1293/kartor/A 43874-2022 karta.png", "A 43874-2022")</f>
        <v/>
      </c>
      <c r="V25">
        <f>HYPERLINK("https://klasma.github.io/Logging_1293/klagomål/A 43874-2022 FSC-klagomål.docx", "A 43874-2022")</f>
        <v/>
      </c>
      <c r="W25">
        <f>HYPERLINK("https://klasma.github.io/Logging_1293/klagomålsmail/A 43874-2022 FSC-klagomål mail.docx", "A 43874-2022")</f>
        <v/>
      </c>
      <c r="X25">
        <f>HYPERLINK("https://klasma.github.io/Logging_1293/tillsyn/A 43874-2022 tillsynsbegäran.docx", "A 43874-2022")</f>
        <v/>
      </c>
      <c r="Y25">
        <f>HYPERLINK("https://klasma.github.io/Logging_1293/tillsynsmail/A 43874-2022 tillsynsbegäran mail.docx", "A 43874-2022")</f>
        <v/>
      </c>
    </row>
    <row r="26" ht="15" customHeight="1">
      <c r="A26" t="inlineStr">
        <is>
          <t>A 4619-2025</t>
        </is>
      </c>
      <c r="B26" s="1" t="n">
        <v>45687</v>
      </c>
      <c r="C26" s="1" t="n">
        <v>46038</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49572-2022</t>
        </is>
      </c>
      <c r="B27" s="1" t="n">
        <v>44862.335</v>
      </c>
      <c r="C27" s="1" t="n">
        <v>46038</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57533-2025</t>
        </is>
      </c>
      <c r="B28" s="1" t="n">
        <v>45980.63923611111</v>
      </c>
      <c r="C28" s="1" t="n">
        <v>46038</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14933-2023</t>
        </is>
      </c>
      <c r="B29" s="1" t="n">
        <v>45014</v>
      </c>
      <c r="C29" s="1" t="n">
        <v>46038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20280-2025</t>
        </is>
      </c>
      <c r="B30" s="1" t="n">
        <v>45774.38790509259</v>
      </c>
      <c r="C30" s="1" t="n">
        <v>46038</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46602-2023</t>
        </is>
      </c>
      <c r="B31" s="1" t="n">
        <v>45194</v>
      </c>
      <c r="C31" s="1" t="n">
        <v>46038</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61707-2024</t>
        </is>
      </c>
      <c r="B32" s="1" t="n">
        <v>45648.61747685185</v>
      </c>
      <c r="C32" s="1" t="n">
        <v>46038</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46038</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46038</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46038</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46038</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46038</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46038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46038</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46038</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46038</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46038</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46038</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46038</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46038</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46038</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46038</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46038</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46038</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49324-2021</t>
        </is>
      </c>
      <c r="B53" s="1" t="n">
        <v>44454.55060185185</v>
      </c>
      <c r="C53" s="1" t="n">
        <v>46038</v>
      </c>
      <c r="D53" t="inlineStr">
        <is>
          <t>SKÅNE LÄN</t>
        </is>
      </c>
      <c r="E53" t="inlineStr">
        <is>
          <t>HÄSSLEHOLM</t>
        </is>
      </c>
      <c r="G53" t="n">
        <v>0.9</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46038</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23826-2021</t>
        </is>
      </c>
      <c r="B55" s="1" t="n">
        <v>44335</v>
      </c>
      <c r="C55" s="1" t="n">
        <v>46038</v>
      </c>
      <c r="D55" t="inlineStr">
        <is>
          <t>SKÅNE LÄN</t>
        </is>
      </c>
      <c r="E55" t="inlineStr">
        <is>
          <t>HÄSSLEHOLM</t>
        </is>
      </c>
      <c r="G55" t="n">
        <v>6.5</v>
      </c>
      <c r="H55" t="n">
        <v>0</v>
      </c>
      <c r="I55" t="n">
        <v>0</v>
      </c>
      <c r="J55" t="n">
        <v>0</v>
      </c>
      <c r="K55" t="n">
        <v>0</v>
      </c>
      <c r="L55" t="n">
        <v>0</v>
      </c>
      <c r="M55" t="n">
        <v>0</v>
      </c>
      <c r="N55" t="n">
        <v>0</v>
      </c>
      <c r="O55" t="n">
        <v>0</v>
      </c>
      <c r="P55" t="n">
        <v>0</v>
      </c>
      <c r="Q55" t="n">
        <v>0</v>
      </c>
      <c r="R55" s="2" t="inlineStr"/>
    </row>
    <row r="56" ht="15" customHeight="1">
      <c r="A56" t="inlineStr">
        <is>
          <t>A 74476-2021</t>
        </is>
      </c>
      <c r="B56" s="1" t="n">
        <v>44560.55796296296</v>
      </c>
      <c r="C56" s="1" t="n">
        <v>46038</v>
      </c>
      <c r="D56" t="inlineStr">
        <is>
          <t>SKÅNE LÄN</t>
        </is>
      </c>
      <c r="E56" t="inlineStr">
        <is>
          <t>HÄSSLEHOLM</t>
        </is>
      </c>
      <c r="G56" t="n">
        <v>0.4</v>
      </c>
      <c r="H56" t="n">
        <v>0</v>
      </c>
      <c r="I56" t="n">
        <v>0</v>
      </c>
      <c r="J56" t="n">
        <v>0</v>
      </c>
      <c r="K56" t="n">
        <v>0</v>
      </c>
      <c r="L56" t="n">
        <v>0</v>
      </c>
      <c r="M56" t="n">
        <v>0</v>
      </c>
      <c r="N56" t="n">
        <v>0</v>
      </c>
      <c r="O56" t="n">
        <v>0</v>
      </c>
      <c r="P56" t="n">
        <v>0</v>
      </c>
      <c r="Q56" t="n">
        <v>0</v>
      </c>
      <c r="R56" s="2" t="inlineStr"/>
    </row>
    <row r="57" ht="15" customHeight="1">
      <c r="A57" t="inlineStr">
        <is>
          <t>A 56424-2021</t>
        </is>
      </c>
      <c r="B57" s="1" t="n">
        <v>44480</v>
      </c>
      <c r="C57" s="1" t="n">
        <v>46038</v>
      </c>
      <c r="D57" t="inlineStr">
        <is>
          <t>SKÅNE LÄN</t>
        </is>
      </c>
      <c r="E57" t="inlineStr">
        <is>
          <t>HÄSSLEHOLM</t>
        </is>
      </c>
      <c r="F57" t="inlineStr">
        <is>
          <t>Kyrkan</t>
        </is>
      </c>
      <c r="G57" t="n">
        <v>3.4</v>
      </c>
      <c r="H57" t="n">
        <v>0</v>
      </c>
      <c r="I57" t="n">
        <v>0</v>
      </c>
      <c r="J57" t="n">
        <v>0</v>
      </c>
      <c r="K57" t="n">
        <v>0</v>
      </c>
      <c r="L57" t="n">
        <v>0</v>
      </c>
      <c r="M57" t="n">
        <v>0</v>
      </c>
      <c r="N57" t="n">
        <v>0</v>
      </c>
      <c r="O57" t="n">
        <v>0</v>
      </c>
      <c r="P57" t="n">
        <v>0</v>
      </c>
      <c r="Q57" t="n">
        <v>0</v>
      </c>
      <c r="R57" s="2" t="inlineStr"/>
    </row>
    <row r="58" ht="15" customHeight="1">
      <c r="A58" t="inlineStr">
        <is>
          <t>A 58566-2021</t>
        </is>
      </c>
      <c r="B58" s="1" t="n">
        <v>44488.85538194444</v>
      </c>
      <c r="C58" s="1" t="n">
        <v>46038</v>
      </c>
      <c r="D58" t="inlineStr">
        <is>
          <t>SKÅNE LÄN</t>
        </is>
      </c>
      <c r="E58" t="inlineStr">
        <is>
          <t>HÄSSLEHOLM</t>
        </is>
      </c>
      <c r="G58" t="n">
        <v>0.6</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46038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58564-2021</t>
        </is>
      </c>
      <c r="B60" s="1" t="n">
        <v>44488.84940972222</v>
      </c>
      <c r="C60" s="1" t="n">
        <v>46038</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56502-2021</t>
        </is>
      </c>
      <c r="B61" s="1" t="n">
        <v>44480</v>
      </c>
      <c r="C61" s="1" t="n">
        <v>46038</v>
      </c>
      <c r="D61" t="inlineStr">
        <is>
          <t>SKÅNE LÄN</t>
        </is>
      </c>
      <c r="E61" t="inlineStr">
        <is>
          <t>HÄSSLEHOLM</t>
        </is>
      </c>
      <c r="F61" t="inlineStr">
        <is>
          <t>Kyrkan</t>
        </is>
      </c>
      <c r="G61" t="n">
        <v>13.8</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46038</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24496-2021</t>
        </is>
      </c>
      <c r="B63" s="1" t="n">
        <v>44337</v>
      </c>
      <c r="C63" s="1" t="n">
        <v>46038</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36280-2021</t>
        </is>
      </c>
      <c r="B64" s="1" t="n">
        <v>44389</v>
      </c>
      <c r="C64" s="1" t="n">
        <v>46038</v>
      </c>
      <c r="D64" t="inlineStr">
        <is>
          <t>SKÅNE LÄN</t>
        </is>
      </c>
      <c r="E64" t="inlineStr">
        <is>
          <t>HÄSSLEHOLM</t>
        </is>
      </c>
      <c r="G64" t="n">
        <v>1.5</v>
      </c>
      <c r="H64" t="n">
        <v>0</v>
      </c>
      <c r="I64" t="n">
        <v>0</v>
      </c>
      <c r="J64" t="n">
        <v>0</v>
      </c>
      <c r="K64" t="n">
        <v>0</v>
      </c>
      <c r="L64" t="n">
        <v>0</v>
      </c>
      <c r="M64" t="n">
        <v>0</v>
      </c>
      <c r="N64" t="n">
        <v>0</v>
      </c>
      <c r="O64" t="n">
        <v>0</v>
      </c>
      <c r="P64" t="n">
        <v>0</v>
      </c>
      <c r="Q64" t="n">
        <v>0</v>
      </c>
      <c r="R64" s="2" t="inlineStr"/>
    </row>
    <row r="65" ht="15" customHeight="1">
      <c r="A65" t="inlineStr">
        <is>
          <t>A 7249-2022</t>
        </is>
      </c>
      <c r="B65" s="1" t="n">
        <v>44606</v>
      </c>
      <c r="C65" s="1" t="n">
        <v>46038</v>
      </c>
      <c r="D65" t="inlineStr">
        <is>
          <t>SKÅNE LÄN</t>
        </is>
      </c>
      <c r="E65" t="inlineStr">
        <is>
          <t>HÄSSLEHOLM</t>
        </is>
      </c>
      <c r="F65" t="inlineStr">
        <is>
          <t>Övriga Aktiebolag</t>
        </is>
      </c>
      <c r="G65" t="n">
        <v>0.6</v>
      </c>
      <c r="H65" t="n">
        <v>0</v>
      </c>
      <c r="I65" t="n">
        <v>0</v>
      </c>
      <c r="J65" t="n">
        <v>0</v>
      </c>
      <c r="K65" t="n">
        <v>0</v>
      </c>
      <c r="L65" t="n">
        <v>0</v>
      </c>
      <c r="M65" t="n">
        <v>0</v>
      </c>
      <c r="N65" t="n">
        <v>0</v>
      </c>
      <c r="O65" t="n">
        <v>0</v>
      </c>
      <c r="P65" t="n">
        <v>0</v>
      </c>
      <c r="Q65" t="n">
        <v>0</v>
      </c>
      <c r="R65" s="2" t="inlineStr"/>
    </row>
    <row r="66" ht="15" customHeight="1">
      <c r="A66" t="inlineStr">
        <is>
          <t>A 45284-2021</t>
        </is>
      </c>
      <c r="B66" s="1" t="n">
        <v>44439.65418981481</v>
      </c>
      <c r="C66" s="1" t="n">
        <v>46038</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23045-2021</t>
        </is>
      </c>
      <c r="B67" s="1" t="n">
        <v>44329</v>
      </c>
      <c r="C67" s="1" t="n">
        <v>46038</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23962-2022</t>
        </is>
      </c>
      <c r="B68" s="1" t="n">
        <v>44722.70532407407</v>
      </c>
      <c r="C68" s="1" t="n">
        <v>46038</v>
      </c>
      <c r="D68" t="inlineStr">
        <is>
          <t>SKÅNE LÄN</t>
        </is>
      </c>
      <c r="E68" t="inlineStr">
        <is>
          <t>HÄSSLEHOLM</t>
        </is>
      </c>
      <c r="F68" t="inlineStr">
        <is>
          <t>Kyrkan</t>
        </is>
      </c>
      <c r="G68" t="n">
        <v>5.8</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46038</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46038</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46038</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46038</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46038</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50618-2021</t>
        </is>
      </c>
      <c r="B74" s="1" t="n">
        <v>44459</v>
      </c>
      <c r="C74" s="1" t="n">
        <v>46038</v>
      </c>
      <c r="D74" t="inlineStr">
        <is>
          <t>SKÅNE LÄN</t>
        </is>
      </c>
      <c r="E74" t="inlineStr">
        <is>
          <t>HÄSSLEHOLM</t>
        </is>
      </c>
      <c r="F74" t="inlineStr">
        <is>
          <t>Kyrkan</t>
        </is>
      </c>
      <c r="G74" t="n">
        <v>15.1</v>
      </c>
      <c r="H74" t="n">
        <v>0</v>
      </c>
      <c r="I74" t="n">
        <v>0</v>
      </c>
      <c r="J74" t="n">
        <v>0</v>
      </c>
      <c r="K74" t="n">
        <v>0</v>
      </c>
      <c r="L74" t="n">
        <v>0</v>
      </c>
      <c r="M74" t="n">
        <v>0</v>
      </c>
      <c r="N74" t="n">
        <v>0</v>
      </c>
      <c r="O74" t="n">
        <v>0</v>
      </c>
      <c r="P74" t="n">
        <v>0</v>
      </c>
      <c r="Q74" t="n">
        <v>0</v>
      </c>
      <c r="R74" s="2" t="inlineStr"/>
    </row>
    <row r="75" ht="15" customHeight="1">
      <c r="A75" t="inlineStr">
        <is>
          <t>A 69419-2021</t>
        </is>
      </c>
      <c r="B75" s="1" t="n">
        <v>44531</v>
      </c>
      <c r="C75" s="1" t="n">
        <v>46038</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25379-2021</t>
        </is>
      </c>
      <c r="B76" s="1" t="n">
        <v>44342</v>
      </c>
      <c r="C76" s="1" t="n">
        <v>46038</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46038</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54106-2022</t>
        </is>
      </c>
      <c r="B78" s="1" t="n">
        <v>44879</v>
      </c>
      <c r="C78" s="1" t="n">
        <v>46038</v>
      </c>
      <c r="D78" t="inlineStr">
        <is>
          <t>SKÅNE LÄN</t>
        </is>
      </c>
      <c r="E78" t="inlineStr">
        <is>
          <t>HÄSSLEHOLM</t>
        </is>
      </c>
      <c r="F78" t="inlineStr">
        <is>
          <t>Övriga Aktiebolag</t>
        </is>
      </c>
      <c r="G78" t="n">
        <v>0.7</v>
      </c>
      <c r="H78" t="n">
        <v>0</v>
      </c>
      <c r="I78" t="n">
        <v>0</v>
      </c>
      <c r="J78" t="n">
        <v>0</v>
      </c>
      <c r="K78" t="n">
        <v>0</v>
      </c>
      <c r="L78" t="n">
        <v>0</v>
      </c>
      <c r="M78" t="n">
        <v>0</v>
      </c>
      <c r="N78" t="n">
        <v>0</v>
      </c>
      <c r="O78" t="n">
        <v>0</v>
      </c>
      <c r="P78" t="n">
        <v>0</v>
      </c>
      <c r="Q78" t="n">
        <v>0</v>
      </c>
      <c r="R78" s="2" t="inlineStr"/>
    </row>
    <row r="79" ht="15" customHeight="1">
      <c r="A79" t="inlineStr">
        <is>
          <t>A 3855-2022</t>
        </is>
      </c>
      <c r="B79" s="1" t="n">
        <v>44587</v>
      </c>
      <c r="C79" s="1" t="n">
        <v>46038</v>
      </c>
      <c r="D79" t="inlineStr">
        <is>
          <t>SKÅNE LÄN</t>
        </is>
      </c>
      <c r="E79" t="inlineStr">
        <is>
          <t>HÄSSLEHOLM</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46038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46038</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46038</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44755-2021</t>
        </is>
      </c>
      <c r="B83" s="1" t="n">
        <v>44438</v>
      </c>
      <c r="C83" s="1" t="n">
        <v>46038</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44770-2021</t>
        </is>
      </c>
      <c r="B84" s="1" t="n">
        <v>44438</v>
      </c>
      <c r="C84" s="1" t="n">
        <v>46038</v>
      </c>
      <c r="D84" t="inlineStr">
        <is>
          <t>SKÅNE LÄN</t>
        </is>
      </c>
      <c r="E84" t="inlineStr">
        <is>
          <t>HÄSSLEHOLM</t>
        </is>
      </c>
      <c r="G84" t="n">
        <v>0.5</v>
      </c>
      <c r="H84" t="n">
        <v>0</v>
      </c>
      <c r="I84" t="n">
        <v>0</v>
      </c>
      <c r="J84" t="n">
        <v>0</v>
      </c>
      <c r="K84" t="n">
        <v>0</v>
      </c>
      <c r="L84" t="n">
        <v>0</v>
      </c>
      <c r="M84" t="n">
        <v>0</v>
      </c>
      <c r="N84" t="n">
        <v>0</v>
      </c>
      <c r="O84" t="n">
        <v>0</v>
      </c>
      <c r="P84" t="n">
        <v>0</v>
      </c>
      <c r="Q84" t="n">
        <v>0</v>
      </c>
      <c r="R84" s="2" t="inlineStr"/>
    </row>
    <row r="85" ht="15" customHeight="1">
      <c r="A85" t="inlineStr">
        <is>
          <t>A 2509-2021</t>
        </is>
      </c>
      <c r="B85" s="1" t="n">
        <v>44214</v>
      </c>
      <c r="C85" s="1" t="n">
        <v>46038</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38160-2021</t>
        </is>
      </c>
      <c r="B86" s="1" t="n">
        <v>44405.42719907407</v>
      </c>
      <c r="C86" s="1" t="n">
        <v>46038</v>
      </c>
      <c r="D86" t="inlineStr">
        <is>
          <t>SKÅNE LÄN</t>
        </is>
      </c>
      <c r="E86" t="inlineStr">
        <is>
          <t>HÄSSLEHOLM</t>
        </is>
      </c>
      <c r="G86" t="n">
        <v>2.2</v>
      </c>
      <c r="H86" t="n">
        <v>0</v>
      </c>
      <c r="I86" t="n">
        <v>0</v>
      </c>
      <c r="J86" t="n">
        <v>0</v>
      </c>
      <c r="K86" t="n">
        <v>0</v>
      </c>
      <c r="L86" t="n">
        <v>0</v>
      </c>
      <c r="M86" t="n">
        <v>0</v>
      </c>
      <c r="N86" t="n">
        <v>0</v>
      </c>
      <c r="O86" t="n">
        <v>0</v>
      </c>
      <c r="P86" t="n">
        <v>0</v>
      </c>
      <c r="Q86" t="n">
        <v>0</v>
      </c>
      <c r="R86" s="2" t="inlineStr"/>
    </row>
    <row r="87" ht="15" customHeight="1">
      <c r="A87" t="inlineStr">
        <is>
          <t>A 61072-2021</t>
        </is>
      </c>
      <c r="B87" s="1" t="n">
        <v>44497.83344907407</v>
      </c>
      <c r="C87" s="1" t="n">
        <v>46038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46038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46038</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46038</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34982-2022</t>
        </is>
      </c>
      <c r="B91" s="1" t="n">
        <v>44796.69055555556</v>
      </c>
      <c r="C91" s="1" t="n">
        <v>46038</v>
      </c>
      <c r="D91" t="inlineStr">
        <is>
          <t>SKÅNE LÄN</t>
        </is>
      </c>
      <c r="E91" t="inlineStr">
        <is>
          <t>HÄSSLEHOLM</t>
        </is>
      </c>
      <c r="F91" t="inlineStr">
        <is>
          <t>Kyrkan</t>
        </is>
      </c>
      <c r="G91" t="n">
        <v>3.4</v>
      </c>
      <c r="H91" t="n">
        <v>0</v>
      </c>
      <c r="I91" t="n">
        <v>0</v>
      </c>
      <c r="J91" t="n">
        <v>0</v>
      </c>
      <c r="K91" t="n">
        <v>0</v>
      </c>
      <c r="L91" t="n">
        <v>0</v>
      </c>
      <c r="M91" t="n">
        <v>0</v>
      </c>
      <c r="N91" t="n">
        <v>0</v>
      </c>
      <c r="O91" t="n">
        <v>0</v>
      </c>
      <c r="P91" t="n">
        <v>0</v>
      </c>
      <c r="Q91" t="n">
        <v>0</v>
      </c>
      <c r="R91" s="2" t="inlineStr"/>
    </row>
    <row r="92" ht="15" customHeight="1">
      <c r="A92" t="inlineStr">
        <is>
          <t>A 30879-2021</t>
        </is>
      </c>
      <c r="B92" s="1" t="n">
        <v>44365</v>
      </c>
      <c r="C92" s="1" t="n">
        <v>46038</v>
      </c>
      <c r="D92" t="inlineStr">
        <is>
          <t>SKÅNE LÄN</t>
        </is>
      </c>
      <c r="E92" t="inlineStr">
        <is>
          <t>HÄSSLEHOLM</t>
        </is>
      </c>
      <c r="G92" t="n">
        <v>1</v>
      </c>
      <c r="H92" t="n">
        <v>0</v>
      </c>
      <c r="I92" t="n">
        <v>0</v>
      </c>
      <c r="J92" t="n">
        <v>0</v>
      </c>
      <c r="K92" t="n">
        <v>0</v>
      </c>
      <c r="L92" t="n">
        <v>0</v>
      </c>
      <c r="M92" t="n">
        <v>0</v>
      </c>
      <c r="N92" t="n">
        <v>0</v>
      </c>
      <c r="O92" t="n">
        <v>0</v>
      </c>
      <c r="P92" t="n">
        <v>0</v>
      </c>
      <c r="Q92" t="n">
        <v>0</v>
      </c>
      <c r="R92" s="2" t="inlineStr"/>
    </row>
    <row r="93" ht="15" customHeight="1">
      <c r="A93" t="inlineStr">
        <is>
          <t>A 3447-2021</t>
        </is>
      </c>
      <c r="B93" s="1" t="n">
        <v>44218</v>
      </c>
      <c r="C93" s="1" t="n">
        <v>46038</v>
      </c>
      <c r="D93" t="inlineStr">
        <is>
          <t>SKÅNE LÄN</t>
        </is>
      </c>
      <c r="E93" t="inlineStr">
        <is>
          <t>HÄSSLEHOLM</t>
        </is>
      </c>
      <c r="G93" t="n">
        <v>3.9</v>
      </c>
      <c r="H93" t="n">
        <v>0</v>
      </c>
      <c r="I93" t="n">
        <v>0</v>
      </c>
      <c r="J93" t="n">
        <v>0</v>
      </c>
      <c r="K93" t="n">
        <v>0</v>
      </c>
      <c r="L93" t="n">
        <v>0</v>
      </c>
      <c r="M93" t="n">
        <v>0</v>
      </c>
      <c r="N93" t="n">
        <v>0</v>
      </c>
      <c r="O93" t="n">
        <v>0</v>
      </c>
      <c r="P93" t="n">
        <v>0</v>
      </c>
      <c r="Q93" t="n">
        <v>0</v>
      </c>
      <c r="R93" s="2" t="inlineStr"/>
    </row>
    <row r="94" ht="15" customHeight="1">
      <c r="A94" t="inlineStr">
        <is>
          <t>A 22320-2021</t>
        </is>
      </c>
      <c r="B94" s="1" t="n">
        <v>44323</v>
      </c>
      <c r="C94" s="1" t="n">
        <v>46038</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46038</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55425-2022</t>
        </is>
      </c>
      <c r="B96" s="1" t="n">
        <v>44887.60577546297</v>
      </c>
      <c r="C96" s="1" t="n">
        <v>46038</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46038</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46038</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3277-2022</t>
        </is>
      </c>
      <c r="B99" s="1" t="n">
        <v>44584.41274305555</v>
      </c>
      <c r="C99" s="1" t="n">
        <v>46038</v>
      </c>
      <c r="D99" t="inlineStr">
        <is>
          <t>SKÅNE LÄN</t>
        </is>
      </c>
      <c r="E99" t="inlineStr">
        <is>
          <t>HÄSSLEHOLM</t>
        </is>
      </c>
      <c r="G99" t="n">
        <v>0.2</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46038</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7522-2021</t>
        </is>
      </c>
      <c r="B101" s="1" t="n">
        <v>44238</v>
      </c>
      <c r="C101" s="1" t="n">
        <v>46038</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46038</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8278-2021</t>
        </is>
      </c>
      <c r="B103" s="1" t="n">
        <v>44244</v>
      </c>
      <c r="C103" s="1" t="n">
        <v>46038</v>
      </c>
      <c r="D103" t="inlineStr">
        <is>
          <t>SKÅNE LÄN</t>
        </is>
      </c>
      <c r="E103" t="inlineStr">
        <is>
          <t>HÄSSLEHOLM</t>
        </is>
      </c>
      <c r="F103" t="inlineStr">
        <is>
          <t>Kyrkan</t>
        </is>
      </c>
      <c r="G103" t="n">
        <v>1.4</v>
      </c>
      <c r="H103" t="n">
        <v>0</v>
      </c>
      <c r="I103" t="n">
        <v>0</v>
      </c>
      <c r="J103" t="n">
        <v>0</v>
      </c>
      <c r="K103" t="n">
        <v>0</v>
      </c>
      <c r="L103" t="n">
        <v>0</v>
      </c>
      <c r="M103" t="n">
        <v>0</v>
      </c>
      <c r="N103" t="n">
        <v>0</v>
      </c>
      <c r="O103" t="n">
        <v>0</v>
      </c>
      <c r="P103" t="n">
        <v>0</v>
      </c>
      <c r="Q103" t="n">
        <v>0</v>
      </c>
      <c r="R103" s="2" t="inlineStr"/>
    </row>
    <row r="104" ht="15" customHeight="1">
      <c r="A104" t="inlineStr">
        <is>
          <t>A 38372-2021</t>
        </is>
      </c>
      <c r="B104" s="1" t="n">
        <v>44406</v>
      </c>
      <c r="C104" s="1" t="n">
        <v>46038</v>
      </c>
      <c r="D104" t="inlineStr">
        <is>
          <t>SKÅNE LÄN</t>
        </is>
      </c>
      <c r="E104" t="inlineStr">
        <is>
          <t>HÄSSLEHOLM</t>
        </is>
      </c>
      <c r="F104" t="inlineStr">
        <is>
          <t>Kommuner</t>
        </is>
      </c>
      <c r="G104" t="n">
        <v>2.7</v>
      </c>
      <c r="H104" t="n">
        <v>0</v>
      </c>
      <c r="I104" t="n">
        <v>0</v>
      </c>
      <c r="J104" t="n">
        <v>0</v>
      </c>
      <c r="K104" t="n">
        <v>0</v>
      </c>
      <c r="L104" t="n">
        <v>0</v>
      </c>
      <c r="M104" t="n">
        <v>0</v>
      </c>
      <c r="N104" t="n">
        <v>0</v>
      </c>
      <c r="O104" t="n">
        <v>0</v>
      </c>
      <c r="P104" t="n">
        <v>0</v>
      </c>
      <c r="Q104" t="n">
        <v>0</v>
      </c>
      <c r="R104" s="2" t="inlineStr"/>
    </row>
    <row r="105" ht="15" customHeight="1">
      <c r="A105" t="inlineStr">
        <is>
          <t>A 9257-2021</t>
        </is>
      </c>
      <c r="B105" s="1" t="n">
        <v>44250</v>
      </c>
      <c r="C105" s="1" t="n">
        <v>46038</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46038</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4156-2022</t>
        </is>
      </c>
      <c r="B107" s="1" t="n">
        <v>44588</v>
      </c>
      <c r="C107" s="1" t="n">
        <v>46038</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3714-2021</t>
        </is>
      </c>
      <c r="B108" s="1" t="n">
        <v>44221</v>
      </c>
      <c r="C108" s="1" t="n">
        <v>46038</v>
      </c>
      <c r="D108" t="inlineStr">
        <is>
          <t>SKÅNE LÄN</t>
        </is>
      </c>
      <c r="E108" t="inlineStr">
        <is>
          <t>HÄSSLEHOLM</t>
        </is>
      </c>
      <c r="G108" t="n">
        <v>1.2</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46038</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44328-2021</t>
        </is>
      </c>
      <c r="B110" s="1" t="n">
        <v>44435</v>
      </c>
      <c r="C110" s="1" t="n">
        <v>46038</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34684-2021</t>
        </is>
      </c>
      <c r="B111" s="1" t="n">
        <v>44382</v>
      </c>
      <c r="C111" s="1" t="n">
        <v>46038</v>
      </c>
      <c r="D111" t="inlineStr">
        <is>
          <t>SKÅNE LÄN</t>
        </is>
      </c>
      <c r="E111" t="inlineStr">
        <is>
          <t>HÄSSLEHOLM</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74293-2021</t>
        </is>
      </c>
      <c r="B112" s="1" t="n">
        <v>44558</v>
      </c>
      <c r="C112" s="1" t="n">
        <v>46038</v>
      </c>
      <c r="D112" t="inlineStr">
        <is>
          <t>SKÅNE LÄN</t>
        </is>
      </c>
      <c r="E112" t="inlineStr">
        <is>
          <t>HÄSSLEHOLM</t>
        </is>
      </c>
      <c r="F112" t="inlineStr">
        <is>
          <t>Kyrkan</t>
        </is>
      </c>
      <c r="G112" t="n">
        <v>3.3</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46038</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46038</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7701-2021</t>
        </is>
      </c>
      <c r="B115" s="1" t="n">
        <v>44242</v>
      </c>
      <c r="C115" s="1" t="n">
        <v>46038</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46038</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46038</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45349-2022</t>
        </is>
      </c>
      <c r="B118" s="1" t="n">
        <v>44844.6118287037</v>
      </c>
      <c r="C118" s="1" t="n">
        <v>46038</v>
      </c>
      <c r="D118" t="inlineStr">
        <is>
          <t>SKÅNE LÄN</t>
        </is>
      </c>
      <c r="E118" t="inlineStr">
        <is>
          <t>HÄSSLEHOLM</t>
        </is>
      </c>
      <c r="G118" t="n">
        <v>6.2</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46038</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46038</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63972-2021</t>
        </is>
      </c>
      <c r="B121" s="1" t="n">
        <v>44509.89649305555</v>
      </c>
      <c r="C121" s="1" t="n">
        <v>46038</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20659-2021</t>
        </is>
      </c>
      <c r="B122" s="1" t="n">
        <v>44316</v>
      </c>
      <c r="C122" s="1" t="n">
        <v>46038</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46038</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21535-2021</t>
        </is>
      </c>
      <c r="B124" s="1" t="n">
        <v>44321</v>
      </c>
      <c r="C124" s="1" t="n">
        <v>46038</v>
      </c>
      <c r="D124" t="inlineStr">
        <is>
          <t>SKÅNE LÄN</t>
        </is>
      </c>
      <c r="E124" t="inlineStr">
        <is>
          <t>HÄSSLEHOLM</t>
        </is>
      </c>
      <c r="G124" t="n">
        <v>2.8</v>
      </c>
      <c r="H124" t="n">
        <v>0</v>
      </c>
      <c r="I124" t="n">
        <v>0</v>
      </c>
      <c r="J124" t="n">
        <v>0</v>
      </c>
      <c r="K124" t="n">
        <v>0</v>
      </c>
      <c r="L124" t="n">
        <v>0</v>
      </c>
      <c r="M124" t="n">
        <v>0</v>
      </c>
      <c r="N124" t="n">
        <v>0</v>
      </c>
      <c r="O124" t="n">
        <v>0</v>
      </c>
      <c r="P124" t="n">
        <v>0</v>
      </c>
      <c r="Q124" t="n">
        <v>0</v>
      </c>
      <c r="R124" s="2" t="inlineStr"/>
    </row>
    <row r="125" ht="15" customHeight="1">
      <c r="A125" t="inlineStr">
        <is>
          <t>A 2952-2021</t>
        </is>
      </c>
      <c r="B125" s="1" t="n">
        <v>44216</v>
      </c>
      <c r="C125" s="1" t="n">
        <v>46038</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34027-2021</t>
        </is>
      </c>
      <c r="B126" s="1" t="n">
        <v>44379</v>
      </c>
      <c r="C126" s="1" t="n">
        <v>46038</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46038</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4161-2022</t>
        </is>
      </c>
      <c r="B128" s="1" t="n">
        <v>44588</v>
      </c>
      <c r="C128" s="1" t="n">
        <v>46038</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1535-2022</t>
        </is>
      </c>
      <c r="B129" s="1" t="n">
        <v>44573</v>
      </c>
      <c r="C129" s="1" t="n">
        <v>46038</v>
      </c>
      <c r="D129" t="inlineStr">
        <is>
          <t>SKÅNE LÄN</t>
        </is>
      </c>
      <c r="E129" t="inlineStr">
        <is>
          <t>HÄSSLEHOLM</t>
        </is>
      </c>
      <c r="G129" t="n">
        <v>15</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46038</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46038</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13982-2021</t>
        </is>
      </c>
      <c r="B132" s="1" t="n">
        <v>44277.57800925926</v>
      </c>
      <c r="C132" s="1" t="n">
        <v>46038</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40702-2021</t>
        </is>
      </c>
      <c r="B133" s="1" t="n">
        <v>44420.61719907408</v>
      </c>
      <c r="C133" s="1" t="n">
        <v>46038</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21029-2021</t>
        </is>
      </c>
      <c r="B134" s="1" t="n">
        <v>44319.63366898148</v>
      </c>
      <c r="C134" s="1" t="n">
        <v>46038</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15423-2022</t>
        </is>
      </c>
      <c r="B135" s="1" t="n">
        <v>44659</v>
      </c>
      <c r="C135" s="1" t="n">
        <v>46038</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33736-2021</t>
        </is>
      </c>
      <c r="B136" s="1" t="n">
        <v>44378</v>
      </c>
      <c r="C136" s="1" t="n">
        <v>46038</v>
      </c>
      <c r="D136" t="inlineStr">
        <is>
          <t>SKÅNE LÄN</t>
        </is>
      </c>
      <c r="E136" t="inlineStr">
        <is>
          <t>HÄSSLEHOLM</t>
        </is>
      </c>
      <c r="G136" t="n">
        <v>7.6</v>
      </c>
      <c r="H136" t="n">
        <v>0</v>
      </c>
      <c r="I136" t="n">
        <v>0</v>
      </c>
      <c r="J136" t="n">
        <v>0</v>
      </c>
      <c r="K136" t="n">
        <v>0</v>
      </c>
      <c r="L136" t="n">
        <v>0</v>
      </c>
      <c r="M136" t="n">
        <v>0</v>
      </c>
      <c r="N136" t="n">
        <v>0</v>
      </c>
      <c r="O136" t="n">
        <v>0</v>
      </c>
      <c r="P136" t="n">
        <v>0</v>
      </c>
      <c r="Q136" t="n">
        <v>0</v>
      </c>
      <c r="R136" s="2" t="inlineStr"/>
    </row>
    <row r="137" ht="15" customHeight="1">
      <c r="A137" t="inlineStr">
        <is>
          <t>A 64607-2021</t>
        </is>
      </c>
      <c r="B137" s="1" t="n">
        <v>44511</v>
      </c>
      <c r="C137" s="1" t="n">
        <v>46038</v>
      </c>
      <c r="D137" t="inlineStr">
        <is>
          <t>SKÅNE LÄN</t>
        </is>
      </c>
      <c r="E137" t="inlineStr">
        <is>
          <t>HÄSSLEHOLM</t>
        </is>
      </c>
      <c r="G137" t="n">
        <v>1.5</v>
      </c>
      <c r="H137" t="n">
        <v>0</v>
      </c>
      <c r="I137" t="n">
        <v>0</v>
      </c>
      <c r="J137" t="n">
        <v>0</v>
      </c>
      <c r="K137" t="n">
        <v>0</v>
      </c>
      <c r="L137" t="n">
        <v>0</v>
      </c>
      <c r="M137" t="n">
        <v>0</v>
      </c>
      <c r="N137" t="n">
        <v>0</v>
      </c>
      <c r="O137" t="n">
        <v>0</v>
      </c>
      <c r="P137" t="n">
        <v>0</v>
      </c>
      <c r="Q137" t="n">
        <v>0</v>
      </c>
      <c r="R137" s="2" t="inlineStr"/>
    </row>
    <row r="138" ht="15" customHeight="1">
      <c r="A138" t="inlineStr">
        <is>
          <t>A 3483-2021</t>
        </is>
      </c>
      <c r="B138" s="1" t="n">
        <v>44218</v>
      </c>
      <c r="C138" s="1" t="n">
        <v>46038</v>
      </c>
      <c r="D138" t="inlineStr">
        <is>
          <t>SKÅNE LÄN</t>
        </is>
      </c>
      <c r="E138" t="inlineStr">
        <is>
          <t>HÄSSLEHOLM</t>
        </is>
      </c>
      <c r="G138" t="n">
        <v>2.1</v>
      </c>
      <c r="H138" t="n">
        <v>0</v>
      </c>
      <c r="I138" t="n">
        <v>0</v>
      </c>
      <c r="J138" t="n">
        <v>0</v>
      </c>
      <c r="K138" t="n">
        <v>0</v>
      </c>
      <c r="L138" t="n">
        <v>0</v>
      </c>
      <c r="M138" t="n">
        <v>0</v>
      </c>
      <c r="N138" t="n">
        <v>0</v>
      </c>
      <c r="O138" t="n">
        <v>0</v>
      </c>
      <c r="P138" t="n">
        <v>0</v>
      </c>
      <c r="Q138" t="n">
        <v>0</v>
      </c>
      <c r="R138" s="2" t="inlineStr"/>
    </row>
    <row r="139" ht="15" customHeight="1">
      <c r="A139" t="inlineStr">
        <is>
          <t>A 35727-2022</t>
        </is>
      </c>
      <c r="B139" s="1" t="n">
        <v>44799.71708333334</v>
      </c>
      <c r="C139" s="1" t="n">
        <v>46038</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27330-2021</t>
        </is>
      </c>
      <c r="B140" s="1" t="n">
        <v>44351</v>
      </c>
      <c r="C140" s="1" t="n">
        <v>46038</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18515-2021</t>
        </is>
      </c>
      <c r="B141" s="1" t="n">
        <v>44305</v>
      </c>
      <c r="C141" s="1" t="n">
        <v>46038</v>
      </c>
      <c r="D141" t="inlineStr">
        <is>
          <t>SKÅNE LÄN</t>
        </is>
      </c>
      <c r="E141" t="inlineStr">
        <is>
          <t>HÄSSLEHOLM</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18523-2021</t>
        </is>
      </c>
      <c r="B142" s="1" t="n">
        <v>44305</v>
      </c>
      <c r="C142" s="1" t="n">
        <v>46038</v>
      </c>
      <c r="D142" t="inlineStr">
        <is>
          <t>SKÅNE LÄN</t>
        </is>
      </c>
      <c r="E142" t="inlineStr">
        <is>
          <t>HÄSSLEHOLM</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12617-2021</t>
        </is>
      </c>
      <c r="B143" s="1" t="n">
        <v>44270.45030092593</v>
      </c>
      <c r="C143" s="1" t="n">
        <v>46038</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2631-2022</t>
        </is>
      </c>
      <c r="B144" s="1" t="n">
        <v>44580</v>
      </c>
      <c r="C144" s="1" t="n">
        <v>46038</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354-2022</t>
        </is>
      </c>
      <c r="B145" s="1" t="n">
        <v>44565.62510416667</v>
      </c>
      <c r="C145" s="1" t="n">
        <v>46038</v>
      </c>
      <c r="D145" t="inlineStr">
        <is>
          <t>SKÅNE LÄN</t>
        </is>
      </c>
      <c r="E145" t="inlineStr">
        <is>
          <t>HÄSSLEHOLM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56989-2021</t>
        </is>
      </c>
      <c r="B146" s="1" t="n">
        <v>44482</v>
      </c>
      <c r="C146" s="1" t="n">
        <v>46038</v>
      </c>
      <c r="D146" t="inlineStr">
        <is>
          <t>SKÅNE LÄN</t>
        </is>
      </c>
      <c r="E146" t="inlineStr">
        <is>
          <t>HÄSSLEHOLM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51159-2021</t>
        </is>
      </c>
      <c r="B147" s="1" t="n">
        <v>44461</v>
      </c>
      <c r="C147" s="1" t="n">
        <v>46038</v>
      </c>
      <c r="D147" t="inlineStr">
        <is>
          <t>SKÅNE LÄN</t>
        </is>
      </c>
      <c r="E147" t="inlineStr">
        <is>
          <t>HÄSSLEHOLM</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32892-2021</t>
        </is>
      </c>
      <c r="B148" s="1" t="n">
        <v>44375</v>
      </c>
      <c r="C148" s="1" t="n">
        <v>46038</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46038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6414-2022</t>
        </is>
      </c>
      <c r="B150" s="1" t="n">
        <v>44600</v>
      </c>
      <c r="C150" s="1" t="n">
        <v>46038</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46038</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46038</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47112-2021</t>
        </is>
      </c>
      <c r="B153" s="1" t="n">
        <v>44446</v>
      </c>
      <c r="C153" s="1" t="n">
        <v>46038</v>
      </c>
      <c r="D153" t="inlineStr">
        <is>
          <t>SKÅNE LÄN</t>
        </is>
      </c>
      <c r="E153" t="inlineStr">
        <is>
          <t>HÄSSLEHOLM</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74297-2021</t>
        </is>
      </c>
      <c r="B154" s="1" t="n">
        <v>44558</v>
      </c>
      <c r="C154" s="1" t="n">
        <v>46038</v>
      </c>
      <c r="D154" t="inlineStr">
        <is>
          <t>SKÅNE LÄN</t>
        </is>
      </c>
      <c r="E154" t="inlineStr">
        <is>
          <t>HÄSSLEHOLM</t>
        </is>
      </c>
      <c r="F154" t="inlineStr">
        <is>
          <t>Kyrkan</t>
        </is>
      </c>
      <c r="G154" t="n">
        <v>3.8</v>
      </c>
      <c r="H154" t="n">
        <v>0</v>
      </c>
      <c r="I154" t="n">
        <v>0</v>
      </c>
      <c r="J154" t="n">
        <v>0</v>
      </c>
      <c r="K154" t="n">
        <v>0</v>
      </c>
      <c r="L154" t="n">
        <v>0</v>
      </c>
      <c r="M154" t="n">
        <v>0</v>
      </c>
      <c r="N154" t="n">
        <v>0</v>
      </c>
      <c r="O154" t="n">
        <v>0</v>
      </c>
      <c r="P154" t="n">
        <v>0</v>
      </c>
      <c r="Q154" t="n">
        <v>0</v>
      </c>
      <c r="R154" s="2" t="inlineStr"/>
    </row>
    <row r="155" ht="15" customHeight="1">
      <c r="A155" t="inlineStr">
        <is>
          <t>A 2514-2021</t>
        </is>
      </c>
      <c r="B155" s="1" t="n">
        <v>44214</v>
      </c>
      <c r="C155" s="1" t="n">
        <v>46038</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52567-2021</t>
        </is>
      </c>
      <c r="B156" s="1" t="n">
        <v>44466</v>
      </c>
      <c r="C156" s="1" t="n">
        <v>46038</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52295-2021</t>
        </is>
      </c>
      <c r="B157" s="1" t="n">
        <v>44463</v>
      </c>
      <c r="C157" s="1" t="n">
        <v>46038</v>
      </c>
      <c r="D157" t="inlineStr">
        <is>
          <t>SKÅNE LÄN</t>
        </is>
      </c>
      <c r="E157" t="inlineStr">
        <is>
          <t>HÄSSLEHOLM</t>
        </is>
      </c>
      <c r="G157" t="n">
        <v>0.3</v>
      </c>
      <c r="H157" t="n">
        <v>0</v>
      </c>
      <c r="I157" t="n">
        <v>0</v>
      </c>
      <c r="J157" t="n">
        <v>0</v>
      </c>
      <c r="K157" t="n">
        <v>0</v>
      </c>
      <c r="L157" t="n">
        <v>0</v>
      </c>
      <c r="M157" t="n">
        <v>0</v>
      </c>
      <c r="N157" t="n">
        <v>0</v>
      </c>
      <c r="O157" t="n">
        <v>0</v>
      </c>
      <c r="P157" t="n">
        <v>0</v>
      </c>
      <c r="Q157" t="n">
        <v>0</v>
      </c>
      <c r="R157" s="2" t="inlineStr"/>
    </row>
    <row r="158" ht="15" customHeight="1">
      <c r="A158" t="inlineStr">
        <is>
          <t>A 6973-2021</t>
        </is>
      </c>
      <c r="B158" s="1" t="n">
        <v>44237</v>
      </c>
      <c r="C158" s="1" t="n">
        <v>46038</v>
      </c>
      <c r="D158" t="inlineStr">
        <is>
          <t>SKÅNE LÄN</t>
        </is>
      </c>
      <c r="E158" t="inlineStr">
        <is>
          <t>HÄSSLEHOLM</t>
        </is>
      </c>
      <c r="G158" t="n">
        <v>0.4</v>
      </c>
      <c r="H158" t="n">
        <v>0</v>
      </c>
      <c r="I158" t="n">
        <v>0</v>
      </c>
      <c r="J158" t="n">
        <v>0</v>
      </c>
      <c r="K158" t="n">
        <v>0</v>
      </c>
      <c r="L158" t="n">
        <v>0</v>
      </c>
      <c r="M158" t="n">
        <v>0</v>
      </c>
      <c r="N158" t="n">
        <v>0</v>
      </c>
      <c r="O158" t="n">
        <v>0</v>
      </c>
      <c r="P158" t="n">
        <v>0</v>
      </c>
      <c r="Q158" t="n">
        <v>0</v>
      </c>
      <c r="R158" s="2" t="inlineStr"/>
    </row>
    <row r="159" ht="15" customHeight="1">
      <c r="A159" t="inlineStr">
        <is>
          <t>A 68909-2021</t>
        </is>
      </c>
      <c r="B159" s="1" t="n">
        <v>44530.46730324074</v>
      </c>
      <c r="C159" s="1" t="n">
        <v>46038</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54175-2021</t>
        </is>
      </c>
      <c r="B160" s="1" t="n">
        <v>44470</v>
      </c>
      <c r="C160" s="1" t="n">
        <v>46038</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44669-2022</t>
        </is>
      </c>
      <c r="B161" s="1" t="n">
        <v>44840</v>
      </c>
      <c r="C161" s="1" t="n">
        <v>46038</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23003-2021</t>
        </is>
      </c>
      <c r="B162" s="1" t="n">
        <v>44328</v>
      </c>
      <c r="C162" s="1" t="n">
        <v>46038</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26386-2022</t>
        </is>
      </c>
      <c r="B163" s="1" t="n">
        <v>44735.6803125</v>
      </c>
      <c r="C163" s="1" t="n">
        <v>46038</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5091-2022</t>
        </is>
      </c>
      <c r="B164" s="1" t="n">
        <v>44593.85114583333</v>
      </c>
      <c r="C164" s="1" t="n">
        <v>46038</v>
      </c>
      <c r="D164" t="inlineStr">
        <is>
          <t>SKÅNE LÄN</t>
        </is>
      </c>
      <c r="E164" t="inlineStr">
        <is>
          <t>HÄSSLEHOLM</t>
        </is>
      </c>
      <c r="G164" t="n">
        <v>2.5</v>
      </c>
      <c r="H164" t="n">
        <v>0</v>
      </c>
      <c r="I164" t="n">
        <v>0</v>
      </c>
      <c r="J164" t="n">
        <v>0</v>
      </c>
      <c r="K164" t="n">
        <v>0</v>
      </c>
      <c r="L164" t="n">
        <v>0</v>
      </c>
      <c r="M164" t="n">
        <v>0</v>
      </c>
      <c r="N164" t="n">
        <v>0</v>
      </c>
      <c r="O164" t="n">
        <v>0</v>
      </c>
      <c r="P164" t="n">
        <v>0</v>
      </c>
      <c r="Q164" t="n">
        <v>0</v>
      </c>
      <c r="R164" s="2" t="inlineStr"/>
    </row>
    <row r="165" ht="15" customHeight="1">
      <c r="A165" t="inlineStr">
        <is>
          <t>A 60260-2021</t>
        </is>
      </c>
      <c r="B165" s="1" t="n">
        <v>44495</v>
      </c>
      <c r="C165" s="1" t="n">
        <v>46038</v>
      </c>
      <c r="D165" t="inlineStr">
        <is>
          <t>SKÅNE LÄN</t>
        </is>
      </c>
      <c r="E165" t="inlineStr">
        <is>
          <t>HÄSSLEHOLM</t>
        </is>
      </c>
      <c r="G165" t="n">
        <v>2.1</v>
      </c>
      <c r="H165" t="n">
        <v>0</v>
      </c>
      <c r="I165" t="n">
        <v>0</v>
      </c>
      <c r="J165" t="n">
        <v>0</v>
      </c>
      <c r="K165" t="n">
        <v>0</v>
      </c>
      <c r="L165" t="n">
        <v>0</v>
      </c>
      <c r="M165" t="n">
        <v>0</v>
      </c>
      <c r="N165" t="n">
        <v>0</v>
      </c>
      <c r="O165" t="n">
        <v>0</v>
      </c>
      <c r="P165" t="n">
        <v>0</v>
      </c>
      <c r="Q165" t="n">
        <v>0</v>
      </c>
      <c r="R165" s="2" t="inlineStr"/>
    </row>
    <row r="166" ht="15" customHeight="1">
      <c r="A166" t="inlineStr">
        <is>
          <t>A 25469-2022</t>
        </is>
      </c>
      <c r="B166" s="1" t="n">
        <v>44732</v>
      </c>
      <c r="C166" s="1" t="n">
        <v>46038</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2858-2022</t>
        </is>
      </c>
      <c r="B167" s="1" t="n">
        <v>44581</v>
      </c>
      <c r="C167" s="1" t="n">
        <v>46038</v>
      </c>
      <c r="D167" t="inlineStr">
        <is>
          <t>SKÅNE LÄN</t>
        </is>
      </c>
      <c r="E167" t="inlineStr">
        <is>
          <t>HÄSSLEHOLM</t>
        </is>
      </c>
      <c r="F167" t="inlineStr">
        <is>
          <t>Övriga Aktiebolag</t>
        </is>
      </c>
      <c r="G167" t="n">
        <v>1.3</v>
      </c>
      <c r="H167" t="n">
        <v>0</v>
      </c>
      <c r="I167" t="n">
        <v>0</v>
      </c>
      <c r="J167" t="n">
        <v>0</v>
      </c>
      <c r="K167" t="n">
        <v>0</v>
      </c>
      <c r="L167" t="n">
        <v>0</v>
      </c>
      <c r="M167" t="n">
        <v>0</v>
      </c>
      <c r="N167" t="n">
        <v>0</v>
      </c>
      <c r="O167" t="n">
        <v>0</v>
      </c>
      <c r="P167" t="n">
        <v>0</v>
      </c>
      <c r="Q167" t="n">
        <v>0</v>
      </c>
      <c r="R167" s="2" t="inlineStr"/>
    </row>
    <row r="168" ht="15" customHeight="1">
      <c r="A168" t="inlineStr">
        <is>
          <t>A 73513-2021</t>
        </is>
      </c>
      <c r="B168" s="1" t="n">
        <v>44551.69012731482</v>
      </c>
      <c r="C168" s="1" t="n">
        <v>46038</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27959-2022</t>
        </is>
      </c>
      <c r="B169" s="1" t="n">
        <v>44744</v>
      </c>
      <c r="C169" s="1" t="n">
        <v>46038</v>
      </c>
      <c r="D169" t="inlineStr">
        <is>
          <t>SKÅNE LÄN</t>
        </is>
      </c>
      <c r="E169" t="inlineStr">
        <is>
          <t>HÄSSLEHOLM</t>
        </is>
      </c>
      <c r="G169" t="n">
        <v>3</v>
      </c>
      <c r="H169" t="n">
        <v>0</v>
      </c>
      <c r="I169" t="n">
        <v>0</v>
      </c>
      <c r="J169" t="n">
        <v>0</v>
      </c>
      <c r="K169" t="n">
        <v>0</v>
      </c>
      <c r="L169" t="n">
        <v>0</v>
      </c>
      <c r="M169" t="n">
        <v>0</v>
      </c>
      <c r="N169" t="n">
        <v>0</v>
      </c>
      <c r="O169" t="n">
        <v>0</v>
      </c>
      <c r="P169" t="n">
        <v>0</v>
      </c>
      <c r="Q169" t="n">
        <v>0</v>
      </c>
      <c r="R169" s="2" t="inlineStr"/>
    </row>
    <row r="170" ht="15" customHeight="1">
      <c r="A170" t="inlineStr">
        <is>
          <t>A 6967-2021</t>
        </is>
      </c>
      <c r="B170" s="1" t="n">
        <v>44237</v>
      </c>
      <c r="C170" s="1" t="n">
        <v>46038</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15986-2022</t>
        </is>
      </c>
      <c r="B171" s="1" t="n">
        <v>44664</v>
      </c>
      <c r="C171" s="1" t="n">
        <v>46038</v>
      </c>
      <c r="D171" t="inlineStr">
        <is>
          <t>SKÅNE LÄN</t>
        </is>
      </c>
      <c r="E171" t="inlineStr">
        <is>
          <t>HÄSSLEHOLM</t>
        </is>
      </c>
      <c r="F171" t="inlineStr">
        <is>
          <t>Kyrkan</t>
        </is>
      </c>
      <c r="G171" t="n">
        <v>6</v>
      </c>
      <c r="H171" t="n">
        <v>0</v>
      </c>
      <c r="I171" t="n">
        <v>0</v>
      </c>
      <c r="J171" t="n">
        <v>0</v>
      </c>
      <c r="K171" t="n">
        <v>0</v>
      </c>
      <c r="L171" t="n">
        <v>0</v>
      </c>
      <c r="M171" t="n">
        <v>0</v>
      </c>
      <c r="N171" t="n">
        <v>0</v>
      </c>
      <c r="O171" t="n">
        <v>0</v>
      </c>
      <c r="P171" t="n">
        <v>0</v>
      </c>
      <c r="Q171" t="n">
        <v>0</v>
      </c>
      <c r="R171" s="2" t="inlineStr"/>
    </row>
    <row r="172" ht="15" customHeight="1">
      <c r="A172" t="inlineStr">
        <is>
          <t>A 418-2022</t>
        </is>
      </c>
      <c r="B172" s="1" t="n">
        <v>44565.84958333334</v>
      </c>
      <c r="C172" s="1" t="n">
        <v>46038</v>
      </c>
      <c r="D172" t="inlineStr">
        <is>
          <t>SKÅNE LÄN</t>
        </is>
      </c>
      <c r="E172" t="inlineStr">
        <is>
          <t>HÄSSLEHOLM</t>
        </is>
      </c>
      <c r="G172" t="n">
        <v>0</v>
      </c>
      <c r="H172" t="n">
        <v>0</v>
      </c>
      <c r="I172" t="n">
        <v>0</v>
      </c>
      <c r="J172" t="n">
        <v>0</v>
      </c>
      <c r="K172" t="n">
        <v>0</v>
      </c>
      <c r="L172" t="n">
        <v>0</v>
      </c>
      <c r="M172" t="n">
        <v>0</v>
      </c>
      <c r="N172" t="n">
        <v>0</v>
      </c>
      <c r="O172" t="n">
        <v>0</v>
      </c>
      <c r="P172" t="n">
        <v>0</v>
      </c>
      <c r="Q172" t="n">
        <v>0</v>
      </c>
      <c r="R172" s="2" t="inlineStr"/>
    </row>
    <row r="173" ht="15" customHeight="1">
      <c r="A173" t="inlineStr">
        <is>
          <t>A 51888-2021</t>
        </is>
      </c>
      <c r="B173" s="1" t="n">
        <v>44462</v>
      </c>
      <c r="C173" s="1" t="n">
        <v>46038</v>
      </c>
      <c r="D173" t="inlineStr">
        <is>
          <t>SKÅNE LÄN</t>
        </is>
      </c>
      <c r="E173" t="inlineStr">
        <is>
          <t>HÄSSLEHOLM</t>
        </is>
      </c>
      <c r="G173" t="n">
        <v>5.6</v>
      </c>
      <c r="H173" t="n">
        <v>0</v>
      </c>
      <c r="I173" t="n">
        <v>0</v>
      </c>
      <c r="J173" t="n">
        <v>0</v>
      </c>
      <c r="K173" t="n">
        <v>0</v>
      </c>
      <c r="L173" t="n">
        <v>0</v>
      </c>
      <c r="M173" t="n">
        <v>0</v>
      </c>
      <c r="N173" t="n">
        <v>0</v>
      </c>
      <c r="O173" t="n">
        <v>0</v>
      </c>
      <c r="P173" t="n">
        <v>0</v>
      </c>
      <c r="Q173" t="n">
        <v>0</v>
      </c>
      <c r="R173" s="2" t="inlineStr"/>
    </row>
    <row r="174" ht="15" customHeight="1">
      <c r="A174" t="inlineStr">
        <is>
          <t>A 52786-2021</t>
        </is>
      </c>
      <c r="B174" s="1" t="n">
        <v>44467.36061342592</v>
      </c>
      <c r="C174" s="1" t="n">
        <v>46038</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29143-2021</t>
        </is>
      </c>
      <c r="B175" s="1" t="n">
        <v>44358.6319212963</v>
      </c>
      <c r="C175" s="1" t="n">
        <v>46038</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46038</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46038</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45357-2022</t>
        </is>
      </c>
      <c r="B178" s="1" t="n">
        <v>44844.61952546296</v>
      </c>
      <c r="C178" s="1" t="n">
        <v>46038</v>
      </c>
      <c r="D178" t="inlineStr">
        <is>
          <t>SKÅNE LÄN</t>
        </is>
      </c>
      <c r="E178" t="inlineStr">
        <is>
          <t>HÄSSLEHOLM</t>
        </is>
      </c>
      <c r="G178" t="n">
        <v>5.8</v>
      </c>
      <c r="H178" t="n">
        <v>0</v>
      </c>
      <c r="I178" t="n">
        <v>0</v>
      </c>
      <c r="J178" t="n">
        <v>0</v>
      </c>
      <c r="K178" t="n">
        <v>0</v>
      </c>
      <c r="L178" t="n">
        <v>0</v>
      </c>
      <c r="M178" t="n">
        <v>0</v>
      </c>
      <c r="N178" t="n">
        <v>0</v>
      </c>
      <c r="O178" t="n">
        <v>0</v>
      </c>
      <c r="P178" t="n">
        <v>0</v>
      </c>
      <c r="Q178" t="n">
        <v>0</v>
      </c>
      <c r="R178" s="2" t="inlineStr"/>
    </row>
    <row r="179" ht="15" customHeight="1">
      <c r="A179" t="inlineStr">
        <is>
          <t>A 11616-2021</t>
        </is>
      </c>
      <c r="B179" s="1" t="n">
        <v>44264.63064814815</v>
      </c>
      <c r="C179" s="1" t="n">
        <v>46038</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45989-2021</t>
        </is>
      </c>
      <c r="B180" s="1" t="n">
        <v>44441.74627314815</v>
      </c>
      <c r="C180" s="1" t="n">
        <v>46038</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7248-2021</t>
        </is>
      </c>
      <c r="B181" s="1" t="n">
        <v>44236</v>
      </c>
      <c r="C181" s="1" t="n">
        <v>46038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51893-2021</t>
        </is>
      </c>
      <c r="B182" s="1" t="n">
        <v>44462</v>
      </c>
      <c r="C182" s="1" t="n">
        <v>46038</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46038</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55394-2022</t>
        </is>
      </c>
      <c r="B184" s="1" t="n">
        <v>44887.57112268519</v>
      </c>
      <c r="C184" s="1" t="n">
        <v>46038</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8695-2021</t>
        </is>
      </c>
      <c r="B185" s="1" t="n">
        <v>44246</v>
      </c>
      <c r="C185" s="1" t="n">
        <v>46038</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219-2022</t>
        </is>
      </c>
      <c r="B186" s="1" t="n">
        <v>44564</v>
      </c>
      <c r="C186" s="1" t="n">
        <v>46038</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6048-2022</t>
        </is>
      </c>
      <c r="B187" s="1" t="n">
        <v>44599.5174537037</v>
      </c>
      <c r="C187" s="1" t="n">
        <v>46038</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55412-2022</t>
        </is>
      </c>
      <c r="B188" s="1" t="n">
        <v>44882</v>
      </c>
      <c r="C188" s="1" t="n">
        <v>46038</v>
      </c>
      <c r="D188" t="inlineStr">
        <is>
          <t>SKÅNE LÄN</t>
        </is>
      </c>
      <c r="E188" t="inlineStr">
        <is>
          <t>HÄSSLEHOLM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53576-2022</t>
        </is>
      </c>
      <c r="B189" s="1" t="n">
        <v>44875</v>
      </c>
      <c r="C189" s="1" t="n">
        <v>46038</v>
      </c>
      <c r="D189" t="inlineStr">
        <is>
          <t>SKÅNE LÄN</t>
        </is>
      </c>
      <c r="E189" t="inlineStr">
        <is>
          <t>HÄSSLEHOLM</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6253-2022</t>
        </is>
      </c>
      <c r="B190" s="1" t="n">
        <v>44600</v>
      </c>
      <c r="C190" s="1" t="n">
        <v>46038</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7262-2022</t>
        </is>
      </c>
      <c r="B191" s="1" t="n">
        <v>44606</v>
      </c>
      <c r="C191" s="1" t="n">
        <v>46038</v>
      </c>
      <c r="D191" t="inlineStr">
        <is>
          <t>SKÅNE LÄN</t>
        </is>
      </c>
      <c r="E191" t="inlineStr">
        <is>
          <t>HÄSSLEHOLM</t>
        </is>
      </c>
      <c r="F191" t="inlineStr">
        <is>
          <t>Övriga Aktiebolag</t>
        </is>
      </c>
      <c r="G191" t="n">
        <v>1</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46038</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64826-2021</t>
        </is>
      </c>
      <c r="B193" s="1" t="n">
        <v>44512.55935185185</v>
      </c>
      <c r="C193" s="1" t="n">
        <v>46038</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6965-2021</t>
        </is>
      </c>
      <c r="B194" s="1" t="n">
        <v>44237</v>
      </c>
      <c r="C194" s="1" t="n">
        <v>46038</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7904-2022</t>
        </is>
      </c>
      <c r="B195" s="1" t="n">
        <v>44607</v>
      </c>
      <c r="C195" s="1" t="n">
        <v>46038</v>
      </c>
      <c r="D195" t="inlineStr">
        <is>
          <t>SKÅNE LÄN</t>
        </is>
      </c>
      <c r="E195" t="inlineStr">
        <is>
          <t>HÄSSLEHOLM</t>
        </is>
      </c>
      <c r="F195" t="inlineStr">
        <is>
          <t>Kyrkan</t>
        </is>
      </c>
      <c r="G195" t="n">
        <v>3.9</v>
      </c>
      <c r="H195" t="n">
        <v>0</v>
      </c>
      <c r="I195" t="n">
        <v>0</v>
      </c>
      <c r="J195" t="n">
        <v>0</v>
      </c>
      <c r="K195" t="n">
        <v>0</v>
      </c>
      <c r="L195" t="n">
        <v>0</v>
      </c>
      <c r="M195" t="n">
        <v>0</v>
      </c>
      <c r="N195" t="n">
        <v>0</v>
      </c>
      <c r="O195" t="n">
        <v>0</v>
      </c>
      <c r="P195" t="n">
        <v>0</v>
      </c>
      <c r="Q195" t="n">
        <v>0</v>
      </c>
      <c r="R195" s="2" t="inlineStr"/>
    </row>
    <row r="196" ht="15" customHeight="1">
      <c r="A196" t="inlineStr">
        <is>
          <t>A 30344-2022</t>
        </is>
      </c>
      <c r="B196" s="1" t="n">
        <v>44760.50783564815</v>
      </c>
      <c r="C196" s="1" t="n">
        <v>46038</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8177-2022</t>
        </is>
      </c>
      <c r="B197" s="1" t="n">
        <v>44607</v>
      </c>
      <c r="C197" s="1" t="n">
        <v>46038</v>
      </c>
      <c r="D197" t="inlineStr">
        <is>
          <t>SKÅNE LÄN</t>
        </is>
      </c>
      <c r="E197" t="inlineStr">
        <is>
          <t>HÄSSLEHOLM</t>
        </is>
      </c>
      <c r="F197" t="inlineStr">
        <is>
          <t>Kyrkan</t>
        </is>
      </c>
      <c r="G197" t="n">
        <v>9.699999999999999</v>
      </c>
      <c r="H197" t="n">
        <v>0</v>
      </c>
      <c r="I197" t="n">
        <v>0</v>
      </c>
      <c r="J197" t="n">
        <v>0</v>
      </c>
      <c r="K197" t="n">
        <v>0</v>
      </c>
      <c r="L197" t="n">
        <v>0</v>
      </c>
      <c r="M197" t="n">
        <v>0</v>
      </c>
      <c r="N197" t="n">
        <v>0</v>
      </c>
      <c r="O197" t="n">
        <v>0</v>
      </c>
      <c r="P197" t="n">
        <v>0</v>
      </c>
      <c r="Q197" t="n">
        <v>0</v>
      </c>
      <c r="R197" s="2" t="inlineStr"/>
    </row>
    <row r="198" ht="15" customHeight="1">
      <c r="A198" t="inlineStr">
        <is>
          <t>A 25464-2022</t>
        </is>
      </c>
      <c r="B198" s="1" t="n">
        <v>44729</v>
      </c>
      <c r="C198" s="1" t="n">
        <v>46038</v>
      </c>
      <c r="D198" t="inlineStr">
        <is>
          <t>SKÅNE LÄN</t>
        </is>
      </c>
      <c r="E198" t="inlineStr">
        <is>
          <t>HÄSSLEHOLM</t>
        </is>
      </c>
      <c r="G198" t="n">
        <v>21</v>
      </c>
      <c r="H198" t="n">
        <v>0</v>
      </c>
      <c r="I198" t="n">
        <v>0</v>
      </c>
      <c r="J198" t="n">
        <v>0</v>
      </c>
      <c r="K198" t="n">
        <v>0</v>
      </c>
      <c r="L198" t="n">
        <v>0</v>
      </c>
      <c r="M198" t="n">
        <v>0</v>
      </c>
      <c r="N198" t="n">
        <v>0</v>
      </c>
      <c r="O198" t="n">
        <v>0</v>
      </c>
      <c r="P198" t="n">
        <v>0</v>
      </c>
      <c r="Q198" t="n">
        <v>0</v>
      </c>
      <c r="R198" s="2" t="inlineStr"/>
    </row>
    <row r="199" ht="15" customHeight="1">
      <c r="A199" t="inlineStr">
        <is>
          <t>A 3930-2021</t>
        </is>
      </c>
      <c r="B199" s="1" t="n">
        <v>44222</v>
      </c>
      <c r="C199" s="1" t="n">
        <v>46038</v>
      </c>
      <c r="D199" t="inlineStr">
        <is>
          <t>SKÅNE LÄN</t>
        </is>
      </c>
      <c r="E199" t="inlineStr">
        <is>
          <t>HÄSSLEHOLM</t>
        </is>
      </c>
      <c r="G199" t="n">
        <v>3.4</v>
      </c>
      <c r="H199" t="n">
        <v>0</v>
      </c>
      <c r="I199" t="n">
        <v>0</v>
      </c>
      <c r="J199" t="n">
        <v>0</v>
      </c>
      <c r="K199" t="n">
        <v>0</v>
      </c>
      <c r="L199" t="n">
        <v>0</v>
      </c>
      <c r="M199" t="n">
        <v>0</v>
      </c>
      <c r="N199" t="n">
        <v>0</v>
      </c>
      <c r="O199" t="n">
        <v>0</v>
      </c>
      <c r="P199" t="n">
        <v>0</v>
      </c>
      <c r="Q199" t="n">
        <v>0</v>
      </c>
      <c r="R199" s="2" t="inlineStr"/>
    </row>
    <row r="200" ht="15" customHeight="1">
      <c r="A200" t="inlineStr">
        <is>
          <t>A 20566-2023</t>
        </is>
      </c>
      <c r="B200" s="1" t="n">
        <v>45057</v>
      </c>
      <c r="C200" s="1" t="n">
        <v>46038</v>
      </c>
      <c r="D200" t="inlineStr">
        <is>
          <t>SKÅNE LÄN</t>
        </is>
      </c>
      <c r="E200" t="inlineStr">
        <is>
          <t>HÄSSLEHOLM</t>
        </is>
      </c>
      <c r="G200" t="n">
        <v>5.2</v>
      </c>
      <c r="H200" t="n">
        <v>0</v>
      </c>
      <c r="I200" t="n">
        <v>0</v>
      </c>
      <c r="J200" t="n">
        <v>0</v>
      </c>
      <c r="K200" t="n">
        <v>0</v>
      </c>
      <c r="L200" t="n">
        <v>0</v>
      </c>
      <c r="M200" t="n">
        <v>0</v>
      </c>
      <c r="N200" t="n">
        <v>0</v>
      </c>
      <c r="O200" t="n">
        <v>0</v>
      </c>
      <c r="P200" t="n">
        <v>0</v>
      </c>
      <c r="Q200" t="n">
        <v>0</v>
      </c>
      <c r="R200" s="2" t="inlineStr"/>
    </row>
    <row r="201" ht="15" customHeight="1">
      <c r="A201" t="inlineStr">
        <is>
          <t>A 25788-2021</t>
        </is>
      </c>
      <c r="B201" s="1" t="n">
        <v>44343</v>
      </c>
      <c r="C201" s="1" t="n">
        <v>46038</v>
      </c>
      <c r="D201" t="inlineStr">
        <is>
          <t>SKÅNE LÄN</t>
        </is>
      </c>
      <c r="E201" t="inlineStr">
        <is>
          <t>HÄSSLEHOLM</t>
        </is>
      </c>
      <c r="G201" t="n">
        <v>4.8</v>
      </c>
      <c r="H201" t="n">
        <v>0</v>
      </c>
      <c r="I201" t="n">
        <v>0</v>
      </c>
      <c r="J201" t="n">
        <v>0</v>
      </c>
      <c r="K201" t="n">
        <v>0</v>
      </c>
      <c r="L201" t="n">
        <v>0</v>
      </c>
      <c r="M201" t="n">
        <v>0</v>
      </c>
      <c r="N201" t="n">
        <v>0</v>
      </c>
      <c r="O201" t="n">
        <v>0</v>
      </c>
      <c r="P201" t="n">
        <v>0</v>
      </c>
      <c r="Q201" t="n">
        <v>0</v>
      </c>
      <c r="R201" s="2" t="inlineStr"/>
    </row>
    <row r="202" ht="15" customHeight="1">
      <c r="A202" t="inlineStr">
        <is>
          <t>A 56527-2021</t>
        </is>
      </c>
      <c r="B202" s="1" t="n">
        <v>44480</v>
      </c>
      <c r="C202" s="1" t="n">
        <v>46038</v>
      </c>
      <c r="D202" t="inlineStr">
        <is>
          <t>SKÅNE LÄN</t>
        </is>
      </c>
      <c r="E202" t="inlineStr">
        <is>
          <t>HÄSSLEHOLM</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23956-2023</t>
        </is>
      </c>
      <c r="B203" s="1" t="n">
        <v>45078.62302083334</v>
      </c>
      <c r="C203" s="1" t="n">
        <v>46038</v>
      </c>
      <c r="D203" t="inlineStr">
        <is>
          <t>SKÅNE LÄN</t>
        </is>
      </c>
      <c r="E203" t="inlineStr">
        <is>
          <t>HÄSSLEHOLM</t>
        </is>
      </c>
      <c r="G203" t="n">
        <v>0.1</v>
      </c>
      <c r="H203" t="n">
        <v>0</v>
      </c>
      <c r="I203" t="n">
        <v>0</v>
      </c>
      <c r="J203" t="n">
        <v>0</v>
      </c>
      <c r="K203" t="n">
        <v>0</v>
      </c>
      <c r="L203" t="n">
        <v>0</v>
      </c>
      <c r="M203" t="n">
        <v>0</v>
      </c>
      <c r="N203" t="n">
        <v>0</v>
      </c>
      <c r="O203" t="n">
        <v>0</v>
      </c>
      <c r="P203" t="n">
        <v>0</v>
      </c>
      <c r="Q203" t="n">
        <v>0</v>
      </c>
      <c r="R203" s="2" t="inlineStr"/>
    </row>
    <row r="204" ht="15" customHeight="1">
      <c r="A204" t="inlineStr">
        <is>
          <t>A 9453-2021</t>
        </is>
      </c>
      <c r="B204" s="1" t="n">
        <v>44251</v>
      </c>
      <c r="C204" s="1" t="n">
        <v>46038</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46038</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34886-2023</t>
        </is>
      </c>
      <c r="B206" s="1" t="n">
        <v>45142.38450231482</v>
      </c>
      <c r="C206" s="1" t="n">
        <v>46038</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7250-2022</t>
        </is>
      </c>
      <c r="B207" s="1" t="n">
        <v>44606</v>
      </c>
      <c r="C207" s="1" t="n">
        <v>46038</v>
      </c>
      <c r="D207" t="inlineStr">
        <is>
          <t>SKÅNE LÄN</t>
        </is>
      </c>
      <c r="E207" t="inlineStr">
        <is>
          <t>HÄSSLEHOLM</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2596-2024</t>
        </is>
      </c>
      <c r="B208" s="1" t="n">
        <v>45313.69969907407</v>
      </c>
      <c r="C208" s="1" t="n">
        <v>46038</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25955-2022</t>
        </is>
      </c>
      <c r="B209" s="1" t="n">
        <v>44734</v>
      </c>
      <c r="C209" s="1" t="n">
        <v>46038</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51895-2021</t>
        </is>
      </c>
      <c r="B210" s="1" t="n">
        <v>44462</v>
      </c>
      <c r="C210" s="1" t="n">
        <v>46038</v>
      </c>
      <c r="D210" t="inlineStr">
        <is>
          <t>SKÅNE LÄN</t>
        </is>
      </c>
      <c r="E210" t="inlineStr">
        <is>
          <t>HÄSSLEHOLM</t>
        </is>
      </c>
      <c r="G210" t="n">
        <v>5.7</v>
      </c>
      <c r="H210" t="n">
        <v>0</v>
      </c>
      <c r="I210" t="n">
        <v>0</v>
      </c>
      <c r="J210" t="n">
        <v>0</v>
      </c>
      <c r="K210" t="n">
        <v>0</v>
      </c>
      <c r="L210" t="n">
        <v>0</v>
      </c>
      <c r="M210" t="n">
        <v>0</v>
      </c>
      <c r="N210" t="n">
        <v>0</v>
      </c>
      <c r="O210" t="n">
        <v>0</v>
      </c>
      <c r="P210" t="n">
        <v>0</v>
      </c>
      <c r="Q210" t="n">
        <v>0</v>
      </c>
      <c r="R210" s="2" t="inlineStr"/>
    </row>
    <row r="211" ht="15" customHeight="1">
      <c r="A211" t="inlineStr">
        <is>
          <t>A 6842-2023</t>
        </is>
      </c>
      <c r="B211" s="1" t="n">
        <v>44967</v>
      </c>
      <c r="C211" s="1" t="n">
        <v>46038</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14674-2025</t>
        </is>
      </c>
      <c r="B212" s="1" t="n">
        <v>45742.55548611111</v>
      </c>
      <c r="C212" s="1" t="n">
        <v>46038</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14702-2025</t>
        </is>
      </c>
      <c r="B213" s="1" t="n">
        <v>45742.60403935185</v>
      </c>
      <c r="C213" s="1" t="n">
        <v>46038</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48747-2022</t>
        </is>
      </c>
      <c r="B214" s="1" t="n">
        <v>44859</v>
      </c>
      <c r="C214" s="1" t="n">
        <v>46038</v>
      </c>
      <c r="D214" t="inlineStr">
        <is>
          <t>SKÅNE LÄN</t>
        </is>
      </c>
      <c r="E214" t="inlineStr">
        <is>
          <t>HÄSSLEHOLM</t>
        </is>
      </c>
      <c r="G214" t="n">
        <v>1.9</v>
      </c>
      <c r="H214" t="n">
        <v>0</v>
      </c>
      <c r="I214" t="n">
        <v>0</v>
      </c>
      <c r="J214" t="n">
        <v>0</v>
      </c>
      <c r="K214" t="n">
        <v>0</v>
      </c>
      <c r="L214" t="n">
        <v>0</v>
      </c>
      <c r="M214" t="n">
        <v>0</v>
      </c>
      <c r="N214" t="n">
        <v>0</v>
      </c>
      <c r="O214" t="n">
        <v>0</v>
      </c>
      <c r="P214" t="n">
        <v>0</v>
      </c>
      <c r="Q214" t="n">
        <v>0</v>
      </c>
      <c r="R214" s="2" t="inlineStr"/>
    </row>
    <row r="215" ht="15" customHeight="1">
      <c r="A215" t="inlineStr">
        <is>
          <t>A 20657-2022</t>
        </is>
      </c>
      <c r="B215" s="1" t="n">
        <v>44700</v>
      </c>
      <c r="C215" s="1" t="n">
        <v>46038</v>
      </c>
      <c r="D215" t="inlineStr">
        <is>
          <t>SKÅNE LÄN</t>
        </is>
      </c>
      <c r="E215" t="inlineStr">
        <is>
          <t>HÄSSLEHOLM</t>
        </is>
      </c>
      <c r="G215" t="n">
        <v>3.8</v>
      </c>
      <c r="H215" t="n">
        <v>0</v>
      </c>
      <c r="I215" t="n">
        <v>0</v>
      </c>
      <c r="J215" t="n">
        <v>0</v>
      </c>
      <c r="K215" t="n">
        <v>0</v>
      </c>
      <c r="L215" t="n">
        <v>0</v>
      </c>
      <c r="M215" t="n">
        <v>0</v>
      </c>
      <c r="N215" t="n">
        <v>0</v>
      </c>
      <c r="O215" t="n">
        <v>0</v>
      </c>
      <c r="P215" t="n">
        <v>0</v>
      </c>
      <c r="Q215" t="n">
        <v>0</v>
      </c>
      <c r="R215" s="2" t="inlineStr"/>
    </row>
    <row r="216" ht="15" customHeight="1">
      <c r="A216" t="inlineStr">
        <is>
          <t>A 16388-2025</t>
        </is>
      </c>
      <c r="B216" s="1" t="n">
        <v>45751.42787037037</v>
      </c>
      <c r="C216" s="1" t="n">
        <v>46038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23950-2023</t>
        </is>
      </c>
      <c r="B217" s="1" t="n">
        <v>45078.61771990741</v>
      </c>
      <c r="C217" s="1" t="n">
        <v>46038</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23952-2023</t>
        </is>
      </c>
      <c r="B218" s="1" t="n">
        <v>45078.62064814815</v>
      </c>
      <c r="C218" s="1" t="n">
        <v>46038</v>
      </c>
      <c r="D218" t="inlineStr">
        <is>
          <t>SKÅNE LÄN</t>
        </is>
      </c>
      <c r="E218" t="inlineStr">
        <is>
          <t>HÄSSLEHOLM</t>
        </is>
      </c>
      <c r="G218" t="n">
        <v>0.4</v>
      </c>
      <c r="H218" t="n">
        <v>0</v>
      </c>
      <c r="I218" t="n">
        <v>0</v>
      </c>
      <c r="J218" t="n">
        <v>0</v>
      </c>
      <c r="K218" t="n">
        <v>0</v>
      </c>
      <c r="L218" t="n">
        <v>0</v>
      </c>
      <c r="M218" t="n">
        <v>0</v>
      </c>
      <c r="N218" t="n">
        <v>0</v>
      </c>
      <c r="O218" t="n">
        <v>0</v>
      </c>
      <c r="P218" t="n">
        <v>0</v>
      </c>
      <c r="Q218" t="n">
        <v>0</v>
      </c>
      <c r="R218" s="2" t="inlineStr"/>
    </row>
    <row r="219" ht="15" customHeight="1">
      <c r="A219" t="inlineStr">
        <is>
          <t>A 35974-2022</t>
        </is>
      </c>
      <c r="B219" s="1" t="n">
        <v>44802</v>
      </c>
      <c r="C219" s="1" t="n">
        <v>46038</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1619-2022</t>
        </is>
      </c>
      <c r="B220" s="1" t="n">
        <v>44573</v>
      </c>
      <c r="C220" s="1" t="n">
        <v>46038</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41874-2024</t>
        </is>
      </c>
      <c r="B221" s="1" t="n">
        <v>45561</v>
      </c>
      <c r="C221" s="1" t="n">
        <v>46038</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55284-2023</t>
        </is>
      </c>
      <c r="B222" s="1" t="n">
        <v>45237.74259259259</v>
      </c>
      <c r="C222" s="1" t="n">
        <v>46038</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8433-2024</t>
        </is>
      </c>
      <c r="B223" s="1" t="n">
        <v>45353.48434027778</v>
      </c>
      <c r="C223" s="1" t="n">
        <v>46038</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48807-2021</t>
        </is>
      </c>
      <c r="B224" s="1" t="n">
        <v>44452</v>
      </c>
      <c r="C224" s="1" t="n">
        <v>46038</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38306-2022</t>
        </is>
      </c>
      <c r="B225" s="1" t="n">
        <v>44812.57515046297</v>
      </c>
      <c r="C225" s="1" t="n">
        <v>46038</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50899-2024</t>
        </is>
      </c>
      <c r="B226" s="1" t="n">
        <v>45602.68584490741</v>
      </c>
      <c r="C226" s="1" t="n">
        <v>46038</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28457-2024</t>
        </is>
      </c>
      <c r="B227" s="1" t="n">
        <v>45477.68884259259</v>
      </c>
      <c r="C227" s="1" t="n">
        <v>46038</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38712-2024</t>
        </is>
      </c>
      <c r="B228" s="1" t="n">
        <v>45547</v>
      </c>
      <c r="C228" s="1" t="n">
        <v>46038</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13198-2025</t>
        </is>
      </c>
      <c r="B229" s="1" t="n">
        <v>45735</v>
      </c>
      <c r="C229" s="1" t="n">
        <v>46038</v>
      </c>
      <c r="D229" t="inlineStr">
        <is>
          <t>SKÅNE LÄN</t>
        </is>
      </c>
      <c r="E229" t="inlineStr">
        <is>
          <t>HÄSSLEHOLM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13310-2025</t>
        </is>
      </c>
      <c r="B230" s="1" t="n">
        <v>45735.58814814815</v>
      </c>
      <c r="C230" s="1" t="n">
        <v>46038</v>
      </c>
      <c r="D230" t="inlineStr">
        <is>
          <t>SKÅNE LÄN</t>
        </is>
      </c>
      <c r="E230" t="inlineStr">
        <is>
          <t>HÄSSLEHOLM</t>
        </is>
      </c>
      <c r="G230" t="n">
        <v>2</v>
      </c>
      <c r="H230" t="n">
        <v>0</v>
      </c>
      <c r="I230" t="n">
        <v>0</v>
      </c>
      <c r="J230" t="n">
        <v>0</v>
      </c>
      <c r="K230" t="n">
        <v>0</v>
      </c>
      <c r="L230" t="n">
        <v>0</v>
      </c>
      <c r="M230" t="n">
        <v>0</v>
      </c>
      <c r="N230" t="n">
        <v>0</v>
      </c>
      <c r="O230" t="n">
        <v>0</v>
      </c>
      <c r="P230" t="n">
        <v>0</v>
      </c>
      <c r="Q230" t="n">
        <v>0</v>
      </c>
      <c r="R230" s="2" t="inlineStr"/>
    </row>
    <row r="231" ht="15" customHeight="1">
      <c r="A231" t="inlineStr">
        <is>
          <t>A 7890-2024</t>
        </is>
      </c>
      <c r="B231" s="1" t="n">
        <v>45350.40780092592</v>
      </c>
      <c r="C231" s="1" t="n">
        <v>46038</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3746-2024</t>
        </is>
      </c>
      <c r="B232" s="1" t="n">
        <v>45321.50745370371</v>
      </c>
      <c r="C232" s="1" t="n">
        <v>46038</v>
      </c>
      <c r="D232" t="inlineStr">
        <is>
          <t>SKÅNE LÄN</t>
        </is>
      </c>
      <c r="E232" t="inlineStr">
        <is>
          <t>HÄSSLEHOLM</t>
        </is>
      </c>
      <c r="G232" t="n">
        <v>3.4</v>
      </c>
      <c r="H232" t="n">
        <v>0</v>
      </c>
      <c r="I232" t="n">
        <v>0</v>
      </c>
      <c r="J232" t="n">
        <v>0</v>
      </c>
      <c r="K232" t="n">
        <v>0</v>
      </c>
      <c r="L232" t="n">
        <v>0</v>
      </c>
      <c r="M232" t="n">
        <v>0</v>
      </c>
      <c r="N232" t="n">
        <v>0</v>
      </c>
      <c r="O232" t="n">
        <v>0</v>
      </c>
      <c r="P232" t="n">
        <v>0</v>
      </c>
      <c r="Q232" t="n">
        <v>0</v>
      </c>
      <c r="R232" s="2" t="inlineStr"/>
    </row>
    <row r="233" ht="15" customHeight="1">
      <c r="A233" t="inlineStr">
        <is>
          <t>A 50616-2023</t>
        </is>
      </c>
      <c r="B233" s="1" t="n">
        <v>45210</v>
      </c>
      <c r="C233" s="1" t="n">
        <v>46038</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45361-2023</t>
        </is>
      </c>
      <c r="B234" s="1" t="n">
        <v>45192.49068287037</v>
      </c>
      <c r="C234" s="1" t="n">
        <v>46038</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24241-2023</t>
        </is>
      </c>
      <c r="B235" s="1" t="n">
        <v>45079.61476851852</v>
      </c>
      <c r="C235" s="1" t="n">
        <v>46038</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57649-2022</t>
        </is>
      </c>
      <c r="B236" s="1" t="n">
        <v>44897.42755787037</v>
      </c>
      <c r="C236" s="1" t="n">
        <v>46038</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57665-2022</t>
        </is>
      </c>
      <c r="B237" s="1" t="n">
        <v>44897.4494212963</v>
      </c>
      <c r="C237" s="1" t="n">
        <v>46038</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57676-2022</t>
        </is>
      </c>
      <c r="B238" s="1" t="n">
        <v>44897</v>
      </c>
      <c r="C238" s="1" t="n">
        <v>46038</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14145-2023</t>
        </is>
      </c>
      <c r="B239" s="1" t="n">
        <v>45009</v>
      </c>
      <c r="C239" s="1" t="n">
        <v>46038</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21310-2022</t>
        </is>
      </c>
      <c r="B240" s="1" t="n">
        <v>44705</v>
      </c>
      <c r="C240" s="1" t="n">
        <v>46038</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8244-2023</t>
        </is>
      </c>
      <c r="B241" s="1" t="n">
        <v>44974</v>
      </c>
      <c r="C241" s="1" t="n">
        <v>46038</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3500-2024</t>
        </is>
      </c>
      <c r="B242" s="1" t="n">
        <v>45320</v>
      </c>
      <c r="C242" s="1" t="n">
        <v>46038</v>
      </c>
      <c r="D242" t="inlineStr">
        <is>
          <t>SKÅNE LÄN</t>
        </is>
      </c>
      <c r="E242" t="inlineStr">
        <is>
          <t>HÄSSLEHOLM</t>
        </is>
      </c>
      <c r="G242" t="n">
        <v>0.9</v>
      </c>
      <c r="H242" t="n">
        <v>0</v>
      </c>
      <c r="I242" t="n">
        <v>0</v>
      </c>
      <c r="J242" t="n">
        <v>0</v>
      </c>
      <c r="K242" t="n">
        <v>0</v>
      </c>
      <c r="L242" t="n">
        <v>0</v>
      </c>
      <c r="M242" t="n">
        <v>0</v>
      </c>
      <c r="N242" t="n">
        <v>0</v>
      </c>
      <c r="O242" t="n">
        <v>0</v>
      </c>
      <c r="P242" t="n">
        <v>0</v>
      </c>
      <c r="Q242" t="n">
        <v>0</v>
      </c>
      <c r="R242" s="2" t="inlineStr"/>
    </row>
    <row r="243" ht="15" customHeight="1">
      <c r="A243" t="inlineStr">
        <is>
          <t>A 8246-2023</t>
        </is>
      </c>
      <c r="B243" s="1" t="n">
        <v>44974</v>
      </c>
      <c r="C243" s="1" t="n">
        <v>46038</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58815-2023</t>
        </is>
      </c>
      <c r="B244" s="1" t="n">
        <v>45247</v>
      </c>
      <c r="C244" s="1" t="n">
        <v>46038</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12584-2025</t>
        </is>
      </c>
      <c r="B245" s="1" t="n">
        <v>45732</v>
      </c>
      <c r="C245" s="1" t="n">
        <v>46038</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25606-2024</t>
        </is>
      </c>
      <c r="B246" s="1" t="n">
        <v>45463.63179398148</v>
      </c>
      <c r="C246" s="1" t="n">
        <v>46038</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33597-2023</t>
        </is>
      </c>
      <c r="B247" s="1" t="n">
        <v>45132</v>
      </c>
      <c r="C247" s="1" t="n">
        <v>46038</v>
      </c>
      <c r="D247" t="inlineStr">
        <is>
          <t>SKÅNE LÄN</t>
        </is>
      </c>
      <c r="E247" t="inlineStr">
        <is>
          <t>HÄSSLEHOLM</t>
        </is>
      </c>
      <c r="G247" t="n">
        <v>3.9</v>
      </c>
      <c r="H247" t="n">
        <v>0</v>
      </c>
      <c r="I247" t="n">
        <v>0</v>
      </c>
      <c r="J247" t="n">
        <v>0</v>
      </c>
      <c r="K247" t="n">
        <v>0</v>
      </c>
      <c r="L247" t="n">
        <v>0</v>
      </c>
      <c r="M247" t="n">
        <v>0</v>
      </c>
      <c r="N247" t="n">
        <v>0</v>
      </c>
      <c r="O247" t="n">
        <v>0</v>
      </c>
      <c r="P247" t="n">
        <v>0</v>
      </c>
      <c r="Q247" t="n">
        <v>0</v>
      </c>
      <c r="R247" s="2" t="inlineStr"/>
    </row>
    <row r="248" ht="15" customHeight="1">
      <c r="A248" t="inlineStr">
        <is>
          <t>A 33599-2023</t>
        </is>
      </c>
      <c r="B248" s="1" t="n">
        <v>45132</v>
      </c>
      <c r="C248" s="1" t="n">
        <v>46038</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27173-2024</t>
        </is>
      </c>
      <c r="B249" s="1" t="n">
        <v>45471.57048611111</v>
      </c>
      <c r="C249" s="1" t="n">
        <v>46038</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49107-2023</t>
        </is>
      </c>
      <c r="B250" s="1" t="n">
        <v>45210.44337962963</v>
      </c>
      <c r="C250" s="1" t="n">
        <v>46038</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46038</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70087-2021</t>
        </is>
      </c>
      <c r="B252" s="1" t="n">
        <v>44533</v>
      </c>
      <c r="C252" s="1" t="n">
        <v>46038</v>
      </c>
      <c r="D252" t="inlineStr">
        <is>
          <t>SKÅNE LÄN</t>
        </is>
      </c>
      <c r="E252" t="inlineStr">
        <is>
          <t>HÄSSLEHOLM</t>
        </is>
      </c>
      <c r="G252" t="n">
        <v>5</v>
      </c>
      <c r="H252" t="n">
        <v>0</v>
      </c>
      <c r="I252" t="n">
        <v>0</v>
      </c>
      <c r="J252" t="n">
        <v>0</v>
      </c>
      <c r="K252" t="n">
        <v>0</v>
      </c>
      <c r="L252" t="n">
        <v>0</v>
      </c>
      <c r="M252" t="n">
        <v>0</v>
      </c>
      <c r="N252" t="n">
        <v>0</v>
      </c>
      <c r="O252" t="n">
        <v>0</v>
      </c>
      <c r="P252" t="n">
        <v>0</v>
      </c>
      <c r="Q252" t="n">
        <v>0</v>
      </c>
      <c r="R252" s="2" t="inlineStr"/>
    </row>
    <row r="253" ht="15" customHeight="1">
      <c r="A253" t="inlineStr">
        <is>
          <t>A 65235-2021</t>
        </is>
      </c>
      <c r="B253" s="1" t="n">
        <v>44515</v>
      </c>
      <c r="C253" s="1" t="n">
        <v>46038</v>
      </c>
      <c r="D253" t="inlineStr">
        <is>
          <t>SKÅNE LÄN</t>
        </is>
      </c>
      <c r="E253" t="inlineStr">
        <is>
          <t>HÄSSLEHOLM</t>
        </is>
      </c>
      <c r="G253" t="n">
        <v>2.5</v>
      </c>
      <c r="H253" t="n">
        <v>0</v>
      </c>
      <c r="I253" t="n">
        <v>0</v>
      </c>
      <c r="J253" t="n">
        <v>0</v>
      </c>
      <c r="K253" t="n">
        <v>0</v>
      </c>
      <c r="L253" t="n">
        <v>0</v>
      </c>
      <c r="M253" t="n">
        <v>0</v>
      </c>
      <c r="N253" t="n">
        <v>0</v>
      </c>
      <c r="O253" t="n">
        <v>0</v>
      </c>
      <c r="P253" t="n">
        <v>0</v>
      </c>
      <c r="Q253" t="n">
        <v>0</v>
      </c>
      <c r="R253" s="2" t="inlineStr"/>
    </row>
    <row r="254" ht="15" customHeight="1">
      <c r="A254" t="inlineStr">
        <is>
          <t>A 13549-2025</t>
        </is>
      </c>
      <c r="B254" s="1" t="n">
        <v>45736</v>
      </c>
      <c r="C254" s="1" t="n">
        <v>46038</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51245-2023</t>
        </is>
      </c>
      <c r="B255" s="1" t="n">
        <v>45212</v>
      </c>
      <c r="C255" s="1" t="n">
        <v>46038</v>
      </c>
      <c r="D255" t="inlineStr">
        <is>
          <t>SKÅNE LÄN</t>
        </is>
      </c>
      <c r="E255" t="inlineStr">
        <is>
          <t>HÄSSLEHOLM</t>
        </is>
      </c>
      <c r="G255" t="n">
        <v>2.1</v>
      </c>
      <c r="H255" t="n">
        <v>0</v>
      </c>
      <c r="I255" t="n">
        <v>0</v>
      </c>
      <c r="J255" t="n">
        <v>0</v>
      </c>
      <c r="K255" t="n">
        <v>0</v>
      </c>
      <c r="L255" t="n">
        <v>0</v>
      </c>
      <c r="M255" t="n">
        <v>0</v>
      </c>
      <c r="N255" t="n">
        <v>0</v>
      </c>
      <c r="O255" t="n">
        <v>0</v>
      </c>
      <c r="P255" t="n">
        <v>0</v>
      </c>
      <c r="Q255" t="n">
        <v>0</v>
      </c>
      <c r="R255" s="2" t="inlineStr"/>
    </row>
    <row r="256" ht="15" customHeight="1">
      <c r="A256" t="inlineStr">
        <is>
          <t>A 21867-2023</t>
        </is>
      </c>
      <c r="B256" s="1" t="n">
        <v>45063</v>
      </c>
      <c r="C256" s="1" t="n">
        <v>46038</v>
      </c>
      <c r="D256" t="inlineStr">
        <is>
          <t>SKÅNE LÄN</t>
        </is>
      </c>
      <c r="E256" t="inlineStr">
        <is>
          <t>HÄSSLEHOLM</t>
        </is>
      </c>
      <c r="G256" t="n">
        <v>7.6</v>
      </c>
      <c r="H256" t="n">
        <v>0</v>
      </c>
      <c r="I256" t="n">
        <v>0</v>
      </c>
      <c r="J256" t="n">
        <v>0</v>
      </c>
      <c r="K256" t="n">
        <v>0</v>
      </c>
      <c r="L256" t="n">
        <v>0</v>
      </c>
      <c r="M256" t="n">
        <v>0</v>
      </c>
      <c r="N256" t="n">
        <v>0</v>
      </c>
      <c r="O256" t="n">
        <v>0</v>
      </c>
      <c r="P256" t="n">
        <v>0</v>
      </c>
      <c r="Q256" t="n">
        <v>0</v>
      </c>
      <c r="R256" s="2" t="inlineStr"/>
    </row>
    <row r="257" ht="15" customHeight="1">
      <c r="A257" t="inlineStr">
        <is>
          <t>A 31934-2024</t>
        </is>
      </c>
      <c r="B257" s="1" t="n">
        <v>45510.41177083334</v>
      </c>
      <c r="C257" s="1" t="n">
        <v>46038</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14939-2023</t>
        </is>
      </c>
      <c r="B258" s="1" t="n">
        <v>45014</v>
      </c>
      <c r="C258" s="1" t="n">
        <v>46038</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13345-2025</t>
        </is>
      </c>
      <c r="B259" s="1" t="n">
        <v>45735.63017361111</v>
      </c>
      <c r="C259" s="1" t="n">
        <v>46038</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5284-2023</t>
        </is>
      </c>
      <c r="B260" s="1" t="n">
        <v>44959.50608796296</v>
      </c>
      <c r="C260" s="1" t="n">
        <v>46038</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5285-2023</t>
        </is>
      </c>
      <c r="B261" s="1" t="n">
        <v>44959.50783564815</v>
      </c>
      <c r="C261" s="1" t="n">
        <v>46038</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34888-2023</t>
        </is>
      </c>
      <c r="B262" s="1" t="n">
        <v>45142.388125</v>
      </c>
      <c r="C262" s="1" t="n">
        <v>46038</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8160-2024</t>
        </is>
      </c>
      <c r="B263" s="1" t="n">
        <v>45351</v>
      </c>
      <c r="C263" s="1" t="n">
        <v>46038</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54435-2024</t>
        </is>
      </c>
      <c r="B264" s="1" t="n">
        <v>45617.49494212963</v>
      </c>
      <c r="C264" s="1" t="n">
        <v>46038</v>
      </c>
      <c r="D264" t="inlineStr">
        <is>
          <t>SKÅNE LÄN</t>
        </is>
      </c>
      <c r="E264" t="inlineStr">
        <is>
          <t>HÄSSLEHOLM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4945-2022</t>
        </is>
      </c>
      <c r="B265" s="1" t="n">
        <v>44593</v>
      </c>
      <c r="C265" s="1" t="n">
        <v>46038</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58886-2024</t>
        </is>
      </c>
      <c r="B266" s="1" t="n">
        <v>45636.45380787037</v>
      </c>
      <c r="C266" s="1" t="n">
        <v>46038</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13087-2023</t>
        </is>
      </c>
      <c r="B267" s="1" t="n">
        <v>45001</v>
      </c>
      <c r="C267" s="1" t="n">
        <v>46038</v>
      </c>
      <c r="D267" t="inlineStr">
        <is>
          <t>SKÅNE LÄN</t>
        </is>
      </c>
      <c r="E267" t="inlineStr">
        <is>
          <t>HÄSSLEHOLM</t>
        </is>
      </c>
      <c r="G267" t="n">
        <v>3.8</v>
      </c>
      <c r="H267" t="n">
        <v>0</v>
      </c>
      <c r="I267" t="n">
        <v>0</v>
      </c>
      <c r="J267" t="n">
        <v>0</v>
      </c>
      <c r="K267" t="n">
        <v>0</v>
      </c>
      <c r="L267" t="n">
        <v>0</v>
      </c>
      <c r="M267" t="n">
        <v>0</v>
      </c>
      <c r="N267" t="n">
        <v>0</v>
      </c>
      <c r="O267" t="n">
        <v>0</v>
      </c>
      <c r="P267" t="n">
        <v>0</v>
      </c>
      <c r="Q267" t="n">
        <v>0</v>
      </c>
      <c r="R267" s="2" t="inlineStr"/>
    </row>
    <row r="268" ht="15" customHeight="1">
      <c r="A268" t="inlineStr">
        <is>
          <t>A 6583-2021</t>
        </is>
      </c>
      <c r="B268" s="1" t="n">
        <v>44236</v>
      </c>
      <c r="C268" s="1" t="n">
        <v>46038</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59429-2023</t>
        </is>
      </c>
      <c r="B269" s="1" t="n">
        <v>45254.2875</v>
      </c>
      <c r="C269" s="1" t="n">
        <v>46038</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20666-2023</t>
        </is>
      </c>
      <c r="B270" s="1" t="n">
        <v>45058.35664351852</v>
      </c>
      <c r="C270" s="1" t="n">
        <v>46038</v>
      </c>
      <c r="D270" t="inlineStr">
        <is>
          <t>SKÅNE LÄN</t>
        </is>
      </c>
      <c r="E270" t="inlineStr">
        <is>
          <t>HÄSSLEHOLM</t>
        </is>
      </c>
      <c r="F270" t="inlineStr">
        <is>
          <t>Kyrkan</t>
        </is>
      </c>
      <c r="G270" t="n">
        <v>1.3</v>
      </c>
      <c r="H270" t="n">
        <v>0</v>
      </c>
      <c r="I270" t="n">
        <v>0</v>
      </c>
      <c r="J270" t="n">
        <v>0</v>
      </c>
      <c r="K270" t="n">
        <v>0</v>
      </c>
      <c r="L270" t="n">
        <v>0</v>
      </c>
      <c r="M270" t="n">
        <v>0</v>
      </c>
      <c r="N270" t="n">
        <v>0</v>
      </c>
      <c r="O270" t="n">
        <v>0</v>
      </c>
      <c r="P270" t="n">
        <v>0</v>
      </c>
      <c r="Q270" t="n">
        <v>0</v>
      </c>
      <c r="R270" s="2" t="inlineStr"/>
    </row>
    <row r="271" ht="15" customHeight="1">
      <c r="A271" t="inlineStr">
        <is>
          <t>A 59028-2023</t>
        </is>
      </c>
      <c r="B271" s="1" t="n">
        <v>45252.67900462963</v>
      </c>
      <c r="C271" s="1" t="n">
        <v>46038</v>
      </c>
      <c r="D271" t="inlineStr">
        <is>
          <t>SKÅNE LÄN</t>
        </is>
      </c>
      <c r="E271" t="inlineStr">
        <is>
          <t>HÄSSLEHOLM</t>
        </is>
      </c>
      <c r="G271" t="n">
        <v>2.5</v>
      </c>
      <c r="H271" t="n">
        <v>0</v>
      </c>
      <c r="I271" t="n">
        <v>0</v>
      </c>
      <c r="J271" t="n">
        <v>0</v>
      </c>
      <c r="K271" t="n">
        <v>0</v>
      </c>
      <c r="L271" t="n">
        <v>0</v>
      </c>
      <c r="M271" t="n">
        <v>0</v>
      </c>
      <c r="N271" t="n">
        <v>0</v>
      </c>
      <c r="O271" t="n">
        <v>0</v>
      </c>
      <c r="P271" t="n">
        <v>0</v>
      </c>
      <c r="Q271" t="n">
        <v>0</v>
      </c>
      <c r="R271" s="2" t="inlineStr"/>
    </row>
    <row r="272" ht="15" customHeight="1">
      <c r="A272" t="inlineStr">
        <is>
          <t>A 60959-2022</t>
        </is>
      </c>
      <c r="B272" s="1" t="n">
        <v>44914.64777777778</v>
      </c>
      <c r="C272" s="1" t="n">
        <v>46038</v>
      </c>
      <c r="D272" t="inlineStr">
        <is>
          <t>SKÅNE LÄN</t>
        </is>
      </c>
      <c r="E272" t="inlineStr">
        <is>
          <t>HÄSSLEHOLM</t>
        </is>
      </c>
      <c r="G272" t="n">
        <v>0.9</v>
      </c>
      <c r="H272" t="n">
        <v>0</v>
      </c>
      <c r="I272" t="n">
        <v>0</v>
      </c>
      <c r="J272" t="n">
        <v>0</v>
      </c>
      <c r="K272" t="n">
        <v>0</v>
      </c>
      <c r="L272" t="n">
        <v>0</v>
      </c>
      <c r="M272" t="n">
        <v>0</v>
      </c>
      <c r="N272" t="n">
        <v>0</v>
      </c>
      <c r="O272" t="n">
        <v>0</v>
      </c>
      <c r="P272" t="n">
        <v>0</v>
      </c>
      <c r="Q272" t="n">
        <v>0</v>
      </c>
      <c r="R272" s="2" t="inlineStr"/>
    </row>
    <row r="273" ht="15" customHeight="1">
      <c r="A273" t="inlineStr">
        <is>
          <t>A 8250-2023</t>
        </is>
      </c>
      <c r="B273" s="1" t="n">
        <v>44974</v>
      </c>
      <c r="C273" s="1" t="n">
        <v>46038</v>
      </c>
      <c r="D273" t="inlineStr">
        <is>
          <t>SKÅNE LÄN</t>
        </is>
      </c>
      <c r="E273" t="inlineStr">
        <is>
          <t>HÄSSLEHOLM</t>
        </is>
      </c>
      <c r="G273" t="n">
        <v>3</v>
      </c>
      <c r="H273" t="n">
        <v>0</v>
      </c>
      <c r="I273" t="n">
        <v>0</v>
      </c>
      <c r="J273" t="n">
        <v>0</v>
      </c>
      <c r="K273" t="n">
        <v>0</v>
      </c>
      <c r="L273" t="n">
        <v>0</v>
      </c>
      <c r="M273" t="n">
        <v>0</v>
      </c>
      <c r="N273" t="n">
        <v>0</v>
      </c>
      <c r="O273" t="n">
        <v>0</v>
      </c>
      <c r="P273" t="n">
        <v>0</v>
      </c>
      <c r="Q273" t="n">
        <v>0</v>
      </c>
      <c r="R273" s="2" t="inlineStr"/>
    </row>
    <row r="274" ht="15" customHeight="1">
      <c r="A274" t="inlineStr">
        <is>
          <t>A 42906-2022</t>
        </is>
      </c>
      <c r="B274" s="1" t="n">
        <v>44833</v>
      </c>
      <c r="C274" s="1" t="n">
        <v>46038</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57079-2022</t>
        </is>
      </c>
      <c r="B275" s="1" t="n">
        <v>44895</v>
      </c>
      <c r="C275" s="1" t="n">
        <v>46038</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12558-2023</t>
        </is>
      </c>
      <c r="B276" s="1" t="n">
        <v>45000.36103009259</v>
      </c>
      <c r="C276" s="1" t="n">
        <v>46038</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15698-2023</t>
        </is>
      </c>
      <c r="B277" s="1" t="n">
        <v>45021</v>
      </c>
      <c r="C277" s="1" t="n">
        <v>46038</v>
      </c>
      <c r="D277" t="inlineStr">
        <is>
          <t>SKÅNE LÄN</t>
        </is>
      </c>
      <c r="E277" t="inlineStr">
        <is>
          <t>HÄSSLEHOLM</t>
        </is>
      </c>
      <c r="F277" t="inlineStr">
        <is>
          <t>Kommuner</t>
        </is>
      </c>
      <c r="G277" t="n">
        <v>5.5</v>
      </c>
      <c r="H277" t="n">
        <v>0</v>
      </c>
      <c r="I277" t="n">
        <v>0</v>
      </c>
      <c r="J277" t="n">
        <v>0</v>
      </c>
      <c r="K277" t="n">
        <v>0</v>
      </c>
      <c r="L277" t="n">
        <v>0</v>
      </c>
      <c r="M277" t="n">
        <v>0</v>
      </c>
      <c r="N277" t="n">
        <v>0</v>
      </c>
      <c r="O277" t="n">
        <v>0</v>
      </c>
      <c r="P277" t="n">
        <v>0</v>
      </c>
      <c r="Q277" t="n">
        <v>0</v>
      </c>
      <c r="R277" s="2" t="inlineStr"/>
    </row>
    <row r="278" ht="15" customHeight="1">
      <c r="A278" t="inlineStr">
        <is>
          <t>A 31931-2024</t>
        </is>
      </c>
      <c r="B278" s="1" t="n">
        <v>45510.40878472223</v>
      </c>
      <c r="C278" s="1" t="n">
        <v>46038</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15133-2023</t>
        </is>
      </c>
      <c r="B279" s="1" t="n">
        <v>45016</v>
      </c>
      <c r="C279" s="1" t="n">
        <v>46038</v>
      </c>
      <c r="D279" t="inlineStr">
        <is>
          <t>SKÅNE LÄN</t>
        </is>
      </c>
      <c r="E279" t="inlineStr">
        <is>
          <t>HÄSSLEHOLM</t>
        </is>
      </c>
      <c r="G279" t="n">
        <v>7.8</v>
      </c>
      <c r="H279" t="n">
        <v>0</v>
      </c>
      <c r="I279" t="n">
        <v>0</v>
      </c>
      <c r="J279" t="n">
        <v>0</v>
      </c>
      <c r="K279" t="n">
        <v>0</v>
      </c>
      <c r="L279" t="n">
        <v>0</v>
      </c>
      <c r="M279" t="n">
        <v>0</v>
      </c>
      <c r="N279" t="n">
        <v>0</v>
      </c>
      <c r="O279" t="n">
        <v>0</v>
      </c>
      <c r="P279" t="n">
        <v>0</v>
      </c>
      <c r="Q279" t="n">
        <v>0</v>
      </c>
      <c r="R279" s="2" t="inlineStr"/>
    </row>
    <row r="280" ht="15" customHeight="1">
      <c r="A280" t="inlineStr">
        <is>
          <t>A 34883-2023</t>
        </is>
      </c>
      <c r="B280" s="1" t="n">
        <v>45142.37902777778</v>
      </c>
      <c r="C280" s="1" t="n">
        <v>46038</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35237-2023</t>
        </is>
      </c>
      <c r="B281" s="1" t="n">
        <v>45145.74532407407</v>
      </c>
      <c r="C281" s="1" t="n">
        <v>46038</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4119-2024</t>
        </is>
      </c>
      <c r="B282" s="1" t="n">
        <v>45323.67920138889</v>
      </c>
      <c r="C282" s="1" t="n">
        <v>46038</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20187-2023</t>
        </is>
      </c>
      <c r="B283" s="1" t="n">
        <v>45055.57027777778</v>
      </c>
      <c r="C283" s="1" t="n">
        <v>46038</v>
      </c>
      <c r="D283" t="inlineStr">
        <is>
          <t>SKÅNE LÄN</t>
        </is>
      </c>
      <c r="E283" t="inlineStr">
        <is>
          <t>HÄSSLEHOLM</t>
        </is>
      </c>
      <c r="G283" t="n">
        <v>1.8</v>
      </c>
      <c r="H283" t="n">
        <v>0</v>
      </c>
      <c r="I283" t="n">
        <v>0</v>
      </c>
      <c r="J283" t="n">
        <v>0</v>
      </c>
      <c r="K283" t="n">
        <v>0</v>
      </c>
      <c r="L283" t="n">
        <v>0</v>
      </c>
      <c r="M283" t="n">
        <v>0</v>
      </c>
      <c r="N283" t="n">
        <v>0</v>
      </c>
      <c r="O283" t="n">
        <v>0</v>
      </c>
      <c r="P283" t="n">
        <v>0</v>
      </c>
      <c r="Q283" t="n">
        <v>0</v>
      </c>
      <c r="R283" s="2" t="inlineStr"/>
    </row>
    <row r="284" ht="15" customHeight="1">
      <c r="A284" t="inlineStr">
        <is>
          <t>A 6835-2023</t>
        </is>
      </c>
      <c r="B284" s="1" t="n">
        <v>44967</v>
      </c>
      <c r="C284" s="1" t="n">
        <v>46038</v>
      </c>
      <c r="D284" t="inlineStr">
        <is>
          <t>SKÅNE LÄN</t>
        </is>
      </c>
      <c r="E284" t="inlineStr">
        <is>
          <t>HÄSSLEHOLM</t>
        </is>
      </c>
      <c r="G284" t="n">
        <v>4.8</v>
      </c>
      <c r="H284" t="n">
        <v>0</v>
      </c>
      <c r="I284" t="n">
        <v>0</v>
      </c>
      <c r="J284" t="n">
        <v>0</v>
      </c>
      <c r="K284" t="n">
        <v>0</v>
      </c>
      <c r="L284" t="n">
        <v>0</v>
      </c>
      <c r="M284" t="n">
        <v>0</v>
      </c>
      <c r="N284" t="n">
        <v>0</v>
      </c>
      <c r="O284" t="n">
        <v>0</v>
      </c>
      <c r="P284" t="n">
        <v>0</v>
      </c>
      <c r="Q284" t="n">
        <v>0</v>
      </c>
      <c r="R284" s="2" t="inlineStr"/>
    </row>
    <row r="285" ht="15" customHeight="1">
      <c r="A285" t="inlineStr">
        <is>
          <t>A 47757-2024</t>
        </is>
      </c>
      <c r="B285" s="1" t="n">
        <v>45588.55075231481</v>
      </c>
      <c r="C285" s="1" t="n">
        <v>46038</v>
      </c>
      <c r="D285" t="inlineStr">
        <is>
          <t>SKÅNE LÄN</t>
        </is>
      </c>
      <c r="E285" t="inlineStr">
        <is>
          <t>HÄSSLEHOLM</t>
        </is>
      </c>
      <c r="G285" t="n">
        <v>5.5</v>
      </c>
      <c r="H285" t="n">
        <v>0</v>
      </c>
      <c r="I285" t="n">
        <v>0</v>
      </c>
      <c r="J285" t="n">
        <v>0</v>
      </c>
      <c r="K285" t="n">
        <v>0</v>
      </c>
      <c r="L285" t="n">
        <v>0</v>
      </c>
      <c r="M285" t="n">
        <v>0</v>
      </c>
      <c r="N285" t="n">
        <v>0</v>
      </c>
      <c r="O285" t="n">
        <v>0</v>
      </c>
      <c r="P285" t="n">
        <v>0</v>
      </c>
      <c r="Q285" t="n">
        <v>0</v>
      </c>
      <c r="R285" s="2" t="inlineStr"/>
    </row>
    <row r="286" ht="15" customHeight="1">
      <c r="A286" t="inlineStr">
        <is>
          <t>A 16550-2025</t>
        </is>
      </c>
      <c r="B286" s="1" t="n">
        <v>45751.69412037037</v>
      </c>
      <c r="C286" s="1" t="n">
        <v>46038</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58618-2024</t>
        </is>
      </c>
      <c r="B287" s="1" t="n">
        <v>45635.56150462963</v>
      </c>
      <c r="C287" s="1" t="n">
        <v>46038</v>
      </c>
      <c r="D287" t="inlineStr">
        <is>
          <t>SKÅNE LÄN</t>
        </is>
      </c>
      <c r="E287" t="inlineStr">
        <is>
          <t>HÄSSLEHOLM</t>
        </is>
      </c>
      <c r="G287" t="n">
        <v>2.3</v>
      </c>
      <c r="H287" t="n">
        <v>0</v>
      </c>
      <c r="I287" t="n">
        <v>0</v>
      </c>
      <c r="J287" t="n">
        <v>0</v>
      </c>
      <c r="K287" t="n">
        <v>0</v>
      </c>
      <c r="L287" t="n">
        <v>0</v>
      </c>
      <c r="M287" t="n">
        <v>0</v>
      </c>
      <c r="N287" t="n">
        <v>0</v>
      </c>
      <c r="O287" t="n">
        <v>0</v>
      </c>
      <c r="P287" t="n">
        <v>0</v>
      </c>
      <c r="Q287" t="n">
        <v>0</v>
      </c>
      <c r="R287" s="2" t="inlineStr"/>
    </row>
    <row r="288" ht="15" customHeight="1">
      <c r="A288" t="inlineStr">
        <is>
          <t>A 26536-2022</t>
        </is>
      </c>
      <c r="B288" s="1" t="n">
        <v>44739.45496527778</v>
      </c>
      <c r="C288" s="1" t="n">
        <v>46038</v>
      </c>
      <c r="D288" t="inlineStr">
        <is>
          <t>SKÅNE LÄN</t>
        </is>
      </c>
      <c r="E288" t="inlineStr">
        <is>
          <t>HÄSSLEHOLM</t>
        </is>
      </c>
      <c r="G288" t="n">
        <v>3.1</v>
      </c>
      <c r="H288" t="n">
        <v>0</v>
      </c>
      <c r="I288" t="n">
        <v>0</v>
      </c>
      <c r="J288" t="n">
        <v>0</v>
      </c>
      <c r="K288" t="n">
        <v>0</v>
      </c>
      <c r="L288" t="n">
        <v>0</v>
      </c>
      <c r="M288" t="n">
        <v>0</v>
      </c>
      <c r="N288" t="n">
        <v>0</v>
      </c>
      <c r="O288" t="n">
        <v>0</v>
      </c>
      <c r="P288" t="n">
        <v>0</v>
      </c>
      <c r="Q288" t="n">
        <v>0</v>
      </c>
      <c r="R288" s="2" t="inlineStr"/>
    </row>
    <row r="289" ht="15" customHeight="1">
      <c r="A289" t="inlineStr">
        <is>
          <t>A 11266-2025</t>
        </is>
      </c>
      <c r="B289" s="1" t="n">
        <v>45726</v>
      </c>
      <c r="C289" s="1" t="n">
        <v>46038</v>
      </c>
      <c r="D289" t="inlineStr">
        <is>
          <t>SKÅNE LÄN</t>
        </is>
      </c>
      <c r="E289" t="inlineStr">
        <is>
          <t>HÄSSLEHOLM</t>
        </is>
      </c>
      <c r="G289" t="n">
        <v>0.3</v>
      </c>
      <c r="H289" t="n">
        <v>0</v>
      </c>
      <c r="I289" t="n">
        <v>0</v>
      </c>
      <c r="J289" t="n">
        <v>0</v>
      </c>
      <c r="K289" t="n">
        <v>0</v>
      </c>
      <c r="L289" t="n">
        <v>0</v>
      </c>
      <c r="M289" t="n">
        <v>0</v>
      </c>
      <c r="N289" t="n">
        <v>0</v>
      </c>
      <c r="O289" t="n">
        <v>0</v>
      </c>
      <c r="P289" t="n">
        <v>0</v>
      </c>
      <c r="Q289" t="n">
        <v>0</v>
      </c>
      <c r="R289" s="2" t="inlineStr"/>
    </row>
    <row r="290" ht="15" customHeight="1">
      <c r="A290" t="inlineStr">
        <is>
          <t>A 25057-2024</t>
        </is>
      </c>
      <c r="B290" s="1" t="n">
        <v>45462</v>
      </c>
      <c r="C290" s="1" t="n">
        <v>46038</v>
      </c>
      <c r="D290" t="inlineStr">
        <is>
          <t>SKÅNE LÄN</t>
        </is>
      </c>
      <c r="E290" t="inlineStr">
        <is>
          <t>HÄSSLEHOLM</t>
        </is>
      </c>
      <c r="G290" t="n">
        <v>4.3</v>
      </c>
      <c r="H290" t="n">
        <v>0</v>
      </c>
      <c r="I290" t="n">
        <v>0</v>
      </c>
      <c r="J290" t="n">
        <v>0</v>
      </c>
      <c r="K290" t="n">
        <v>0</v>
      </c>
      <c r="L290" t="n">
        <v>0</v>
      </c>
      <c r="M290" t="n">
        <v>0</v>
      </c>
      <c r="N290" t="n">
        <v>0</v>
      </c>
      <c r="O290" t="n">
        <v>0</v>
      </c>
      <c r="P290" t="n">
        <v>0</v>
      </c>
      <c r="Q290" t="n">
        <v>0</v>
      </c>
      <c r="R290" s="2" t="inlineStr"/>
    </row>
    <row r="291" ht="15" customHeight="1">
      <c r="A291" t="inlineStr">
        <is>
          <t>A 57967-2023</t>
        </is>
      </c>
      <c r="B291" s="1" t="n">
        <v>45247.57984953704</v>
      </c>
      <c r="C291" s="1" t="n">
        <v>46038</v>
      </c>
      <c r="D291" t="inlineStr">
        <is>
          <t>SKÅNE LÄN</t>
        </is>
      </c>
      <c r="E291" t="inlineStr">
        <is>
          <t>HÄSSLEHOLM</t>
        </is>
      </c>
      <c r="G291" t="n">
        <v>8.6</v>
      </c>
      <c r="H291" t="n">
        <v>0</v>
      </c>
      <c r="I291" t="n">
        <v>0</v>
      </c>
      <c r="J291" t="n">
        <v>0</v>
      </c>
      <c r="K291" t="n">
        <v>0</v>
      </c>
      <c r="L291" t="n">
        <v>0</v>
      </c>
      <c r="M291" t="n">
        <v>0</v>
      </c>
      <c r="N291" t="n">
        <v>0</v>
      </c>
      <c r="O291" t="n">
        <v>0</v>
      </c>
      <c r="P291" t="n">
        <v>0</v>
      </c>
      <c r="Q291" t="n">
        <v>0</v>
      </c>
      <c r="R291" s="2" t="inlineStr"/>
    </row>
    <row r="292" ht="15" customHeight="1">
      <c r="A292" t="inlineStr">
        <is>
          <t>A 13309-2025</t>
        </is>
      </c>
      <c r="B292" s="1" t="n">
        <v>45735.58512731481</v>
      </c>
      <c r="C292" s="1" t="n">
        <v>46038</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62041-2022</t>
        </is>
      </c>
      <c r="B293" s="1" t="n">
        <v>44918.55743055556</v>
      </c>
      <c r="C293" s="1" t="n">
        <v>46038</v>
      </c>
      <c r="D293" t="inlineStr">
        <is>
          <t>SKÅNE LÄN</t>
        </is>
      </c>
      <c r="E293" t="inlineStr">
        <is>
          <t>HÄSSLEHOLM</t>
        </is>
      </c>
      <c r="G293" t="n">
        <v>2.8</v>
      </c>
      <c r="H293" t="n">
        <v>0</v>
      </c>
      <c r="I293" t="n">
        <v>0</v>
      </c>
      <c r="J293" t="n">
        <v>0</v>
      </c>
      <c r="K293" t="n">
        <v>0</v>
      </c>
      <c r="L293" t="n">
        <v>0</v>
      </c>
      <c r="M293" t="n">
        <v>0</v>
      </c>
      <c r="N293" t="n">
        <v>0</v>
      </c>
      <c r="O293" t="n">
        <v>0</v>
      </c>
      <c r="P293" t="n">
        <v>0</v>
      </c>
      <c r="Q293" t="n">
        <v>0</v>
      </c>
      <c r="R293" s="2" t="inlineStr"/>
    </row>
    <row r="294" ht="15" customHeight="1">
      <c r="A294" t="inlineStr">
        <is>
          <t>A 32794-2021</t>
        </is>
      </c>
      <c r="B294" s="1" t="n">
        <v>44375</v>
      </c>
      <c r="C294" s="1" t="n">
        <v>46038</v>
      </c>
      <c r="D294" t="inlineStr">
        <is>
          <t>SKÅNE LÄN</t>
        </is>
      </c>
      <c r="E294" t="inlineStr">
        <is>
          <t>HÄSSLEHOLM</t>
        </is>
      </c>
      <c r="G294" t="n">
        <v>0.6</v>
      </c>
      <c r="H294" t="n">
        <v>0</v>
      </c>
      <c r="I294" t="n">
        <v>0</v>
      </c>
      <c r="J294" t="n">
        <v>0</v>
      </c>
      <c r="K294" t="n">
        <v>0</v>
      </c>
      <c r="L294" t="n">
        <v>0</v>
      </c>
      <c r="M294" t="n">
        <v>0</v>
      </c>
      <c r="N294" t="n">
        <v>0</v>
      </c>
      <c r="O294" t="n">
        <v>0</v>
      </c>
      <c r="P294" t="n">
        <v>0</v>
      </c>
      <c r="Q294" t="n">
        <v>0</v>
      </c>
      <c r="R294" s="2" t="inlineStr"/>
    </row>
    <row r="295" ht="15" customHeight="1">
      <c r="A295" t="inlineStr">
        <is>
          <t>A 12468-2024</t>
        </is>
      </c>
      <c r="B295" s="1" t="n">
        <v>45379</v>
      </c>
      <c r="C295" s="1" t="n">
        <v>46038</v>
      </c>
      <c r="D295" t="inlineStr">
        <is>
          <t>SKÅNE LÄN</t>
        </is>
      </c>
      <c r="E295" t="inlineStr">
        <is>
          <t>HÄSSLEHOLM</t>
        </is>
      </c>
      <c r="G295" t="n">
        <v>15.5</v>
      </c>
      <c r="H295" t="n">
        <v>0</v>
      </c>
      <c r="I295" t="n">
        <v>0</v>
      </c>
      <c r="J295" t="n">
        <v>0</v>
      </c>
      <c r="K295" t="n">
        <v>0</v>
      </c>
      <c r="L295" t="n">
        <v>0</v>
      </c>
      <c r="M295" t="n">
        <v>0</v>
      </c>
      <c r="N295" t="n">
        <v>0</v>
      </c>
      <c r="O295" t="n">
        <v>0</v>
      </c>
      <c r="P295" t="n">
        <v>0</v>
      </c>
      <c r="Q295" t="n">
        <v>0</v>
      </c>
      <c r="R295" s="2" t="inlineStr"/>
    </row>
    <row r="296" ht="15" customHeight="1">
      <c r="A296" t="inlineStr">
        <is>
          <t>A 7494-2023</t>
        </is>
      </c>
      <c r="B296" s="1" t="n">
        <v>44971.70835648148</v>
      </c>
      <c r="C296" s="1" t="n">
        <v>46038</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10115-2024</t>
        </is>
      </c>
      <c r="B297" s="1" t="n">
        <v>45364.55339120371</v>
      </c>
      <c r="C297" s="1" t="n">
        <v>46038</v>
      </c>
      <c r="D297" t="inlineStr">
        <is>
          <t>SKÅNE LÄN</t>
        </is>
      </c>
      <c r="E297" t="inlineStr">
        <is>
          <t>HÄSSLEHOLM</t>
        </is>
      </c>
      <c r="G297" t="n">
        <v>7</v>
      </c>
      <c r="H297" t="n">
        <v>0</v>
      </c>
      <c r="I297" t="n">
        <v>0</v>
      </c>
      <c r="J297" t="n">
        <v>0</v>
      </c>
      <c r="K297" t="n">
        <v>0</v>
      </c>
      <c r="L297" t="n">
        <v>0</v>
      </c>
      <c r="M297" t="n">
        <v>0</v>
      </c>
      <c r="N297" t="n">
        <v>0</v>
      </c>
      <c r="O297" t="n">
        <v>0</v>
      </c>
      <c r="P297" t="n">
        <v>0</v>
      </c>
      <c r="Q297" t="n">
        <v>0</v>
      </c>
      <c r="R297" s="2" t="inlineStr"/>
    </row>
    <row r="298" ht="15" customHeight="1">
      <c r="A298" t="inlineStr">
        <is>
          <t>A 51752-2023</t>
        </is>
      </c>
      <c r="B298" s="1" t="n">
        <v>45222</v>
      </c>
      <c r="C298" s="1" t="n">
        <v>46038</v>
      </c>
      <c r="D298" t="inlineStr">
        <is>
          <t>SKÅNE LÄN</t>
        </is>
      </c>
      <c r="E298" t="inlineStr">
        <is>
          <t>HÄSSLEHOLM</t>
        </is>
      </c>
      <c r="G298" t="n">
        <v>1.8</v>
      </c>
      <c r="H298" t="n">
        <v>0</v>
      </c>
      <c r="I298" t="n">
        <v>0</v>
      </c>
      <c r="J298" t="n">
        <v>0</v>
      </c>
      <c r="K298" t="n">
        <v>0</v>
      </c>
      <c r="L298" t="n">
        <v>0</v>
      </c>
      <c r="M298" t="n">
        <v>0</v>
      </c>
      <c r="N298" t="n">
        <v>0</v>
      </c>
      <c r="O298" t="n">
        <v>0</v>
      </c>
      <c r="P298" t="n">
        <v>0</v>
      </c>
      <c r="Q298" t="n">
        <v>0</v>
      </c>
      <c r="R298" s="2" t="inlineStr"/>
    </row>
    <row r="299" ht="15" customHeight="1">
      <c r="A299" t="inlineStr">
        <is>
          <t>A 12843-2023</t>
        </is>
      </c>
      <c r="B299" s="1" t="n">
        <v>45001.48423611111</v>
      </c>
      <c r="C299" s="1" t="n">
        <v>46038</v>
      </c>
      <c r="D299" t="inlineStr">
        <is>
          <t>SKÅNE LÄN</t>
        </is>
      </c>
      <c r="E299" t="inlineStr">
        <is>
          <t>HÄSSLEHOLM</t>
        </is>
      </c>
      <c r="G299" t="n">
        <v>3.9</v>
      </c>
      <c r="H299" t="n">
        <v>0</v>
      </c>
      <c r="I299" t="n">
        <v>0</v>
      </c>
      <c r="J299" t="n">
        <v>0</v>
      </c>
      <c r="K299" t="n">
        <v>0</v>
      </c>
      <c r="L299" t="n">
        <v>0</v>
      </c>
      <c r="M299" t="n">
        <v>0</v>
      </c>
      <c r="N299" t="n">
        <v>0</v>
      </c>
      <c r="O299" t="n">
        <v>0</v>
      </c>
      <c r="P299" t="n">
        <v>0</v>
      </c>
      <c r="Q299" t="n">
        <v>0</v>
      </c>
      <c r="R299" s="2" t="inlineStr"/>
    </row>
    <row r="300" ht="15" customHeight="1">
      <c r="A300" t="inlineStr">
        <is>
          <t>A 47647-2024</t>
        </is>
      </c>
      <c r="B300" s="1" t="n">
        <v>45588</v>
      </c>
      <c r="C300" s="1" t="n">
        <v>46038</v>
      </c>
      <c r="D300" t="inlineStr">
        <is>
          <t>SKÅNE LÄN</t>
        </is>
      </c>
      <c r="E300" t="inlineStr">
        <is>
          <t>HÄSSLEHOLM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1553-2023</t>
        </is>
      </c>
      <c r="B301" s="1" t="n">
        <v>44937</v>
      </c>
      <c r="C301" s="1" t="n">
        <v>46038</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22690-2022</t>
        </is>
      </c>
      <c r="B302" s="1" t="n">
        <v>44714.5421875</v>
      </c>
      <c r="C302" s="1" t="n">
        <v>46038</v>
      </c>
      <c r="D302" t="inlineStr">
        <is>
          <t>SKÅNE LÄN</t>
        </is>
      </c>
      <c r="E302" t="inlineStr">
        <is>
          <t>HÄSSLEHOLM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2479-2024</t>
        </is>
      </c>
      <c r="B303" s="1" t="n">
        <v>45313.40148148148</v>
      </c>
      <c r="C303" s="1" t="n">
        <v>46038</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53897-2023</t>
        </is>
      </c>
      <c r="B304" s="1" t="n">
        <v>45231.53934027778</v>
      </c>
      <c r="C304" s="1" t="n">
        <v>46038</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1170-2025</t>
        </is>
      </c>
      <c r="B305" s="1" t="n">
        <v>45667.29226851852</v>
      </c>
      <c r="C305" s="1" t="n">
        <v>46038</v>
      </c>
      <c r="D305" t="inlineStr">
        <is>
          <t>SKÅNE LÄN</t>
        </is>
      </c>
      <c r="E305" t="inlineStr">
        <is>
          <t>HÄSSLEHOLM</t>
        </is>
      </c>
      <c r="G305" t="n">
        <v>4.3</v>
      </c>
      <c r="H305" t="n">
        <v>0</v>
      </c>
      <c r="I305" t="n">
        <v>0</v>
      </c>
      <c r="J305" t="n">
        <v>0</v>
      </c>
      <c r="K305" t="n">
        <v>0</v>
      </c>
      <c r="L305" t="n">
        <v>0</v>
      </c>
      <c r="M305" t="n">
        <v>0</v>
      </c>
      <c r="N305" t="n">
        <v>0</v>
      </c>
      <c r="O305" t="n">
        <v>0</v>
      </c>
      <c r="P305" t="n">
        <v>0</v>
      </c>
      <c r="Q305" t="n">
        <v>0</v>
      </c>
      <c r="R305" s="2" t="inlineStr"/>
    </row>
    <row r="306" ht="15" customHeight="1">
      <c r="A306" t="inlineStr">
        <is>
          <t>A 26397-2023</t>
        </is>
      </c>
      <c r="B306" s="1" t="n">
        <v>45087</v>
      </c>
      <c r="C306" s="1" t="n">
        <v>46038</v>
      </c>
      <c r="D306" t="inlineStr">
        <is>
          <t>SKÅNE LÄN</t>
        </is>
      </c>
      <c r="E306" t="inlineStr">
        <is>
          <t>HÄSSLEHOLM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1119-2024</t>
        </is>
      </c>
      <c r="B307" s="1" t="n">
        <v>45302</v>
      </c>
      <c r="C307" s="1" t="n">
        <v>46038</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58888-2024</t>
        </is>
      </c>
      <c r="B308" s="1" t="n">
        <v>45636.45962962963</v>
      </c>
      <c r="C308" s="1" t="n">
        <v>46038</v>
      </c>
      <c r="D308" t="inlineStr">
        <is>
          <t>SKÅNE LÄN</t>
        </is>
      </c>
      <c r="E308" t="inlineStr">
        <is>
          <t>HÄSSLEHOLM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16334-2024</t>
        </is>
      </c>
      <c r="B309" s="1" t="n">
        <v>45407.54856481482</v>
      </c>
      <c r="C309" s="1" t="n">
        <v>46038</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3663-2024</t>
        </is>
      </c>
      <c r="B310" s="1" t="n">
        <v>45321.34775462963</v>
      </c>
      <c r="C310" s="1" t="n">
        <v>46038</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22132-2024</t>
        </is>
      </c>
      <c r="B311" s="1" t="n">
        <v>45444.37234953704</v>
      </c>
      <c r="C311" s="1" t="n">
        <v>46038</v>
      </c>
      <c r="D311" t="inlineStr">
        <is>
          <t>SKÅNE LÄN</t>
        </is>
      </c>
      <c r="E311" t="inlineStr">
        <is>
          <t>HÄSSLEHOLM</t>
        </is>
      </c>
      <c r="G311" t="n">
        <v>3.1</v>
      </c>
      <c r="H311" t="n">
        <v>0</v>
      </c>
      <c r="I311" t="n">
        <v>0</v>
      </c>
      <c r="J311" t="n">
        <v>0</v>
      </c>
      <c r="K311" t="n">
        <v>0</v>
      </c>
      <c r="L311" t="n">
        <v>0</v>
      </c>
      <c r="M311" t="n">
        <v>0</v>
      </c>
      <c r="N311" t="n">
        <v>0</v>
      </c>
      <c r="O311" t="n">
        <v>0</v>
      </c>
      <c r="P311" t="n">
        <v>0</v>
      </c>
      <c r="Q311" t="n">
        <v>0</v>
      </c>
      <c r="R311" s="2" t="inlineStr"/>
    </row>
    <row r="312" ht="15" customHeight="1">
      <c r="A312" t="inlineStr">
        <is>
          <t>A 21328-2023</t>
        </is>
      </c>
      <c r="B312" s="1" t="n">
        <v>45062</v>
      </c>
      <c r="C312" s="1" t="n">
        <v>46038</v>
      </c>
      <c r="D312" t="inlineStr">
        <is>
          <t>SKÅNE LÄN</t>
        </is>
      </c>
      <c r="E312" t="inlineStr">
        <is>
          <t>HÄSSLEHOLM</t>
        </is>
      </c>
      <c r="G312" t="n">
        <v>2.1</v>
      </c>
      <c r="H312" t="n">
        <v>0</v>
      </c>
      <c r="I312" t="n">
        <v>0</v>
      </c>
      <c r="J312" t="n">
        <v>0</v>
      </c>
      <c r="K312" t="n">
        <v>0</v>
      </c>
      <c r="L312" t="n">
        <v>0</v>
      </c>
      <c r="M312" t="n">
        <v>0</v>
      </c>
      <c r="N312" t="n">
        <v>0</v>
      </c>
      <c r="O312" t="n">
        <v>0</v>
      </c>
      <c r="P312" t="n">
        <v>0</v>
      </c>
      <c r="Q312" t="n">
        <v>0</v>
      </c>
      <c r="R312" s="2" t="inlineStr"/>
    </row>
    <row r="313" ht="15" customHeight="1">
      <c r="A313" t="inlineStr">
        <is>
          <t>A 3925-2021</t>
        </is>
      </c>
      <c r="B313" s="1" t="n">
        <v>44222</v>
      </c>
      <c r="C313" s="1" t="n">
        <v>46038</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32210-2024</t>
        </is>
      </c>
      <c r="B314" s="1" t="n">
        <v>45511.67777777778</v>
      </c>
      <c r="C314" s="1" t="n">
        <v>46038</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12570-2023</t>
        </is>
      </c>
      <c r="B315" s="1" t="n">
        <v>44999</v>
      </c>
      <c r="C315" s="1" t="n">
        <v>46038</v>
      </c>
      <c r="D315" t="inlineStr">
        <is>
          <t>SKÅNE LÄN</t>
        </is>
      </c>
      <c r="E315" t="inlineStr">
        <is>
          <t>HÄSSLEHOLM</t>
        </is>
      </c>
      <c r="G315" t="n">
        <v>3.4</v>
      </c>
      <c r="H315" t="n">
        <v>0</v>
      </c>
      <c r="I315" t="n">
        <v>0</v>
      </c>
      <c r="J315" t="n">
        <v>0</v>
      </c>
      <c r="K315" t="n">
        <v>0</v>
      </c>
      <c r="L315" t="n">
        <v>0</v>
      </c>
      <c r="M315" t="n">
        <v>0</v>
      </c>
      <c r="N315" t="n">
        <v>0</v>
      </c>
      <c r="O315" t="n">
        <v>0</v>
      </c>
      <c r="P315" t="n">
        <v>0</v>
      </c>
      <c r="Q315" t="n">
        <v>0</v>
      </c>
      <c r="R315" s="2" t="inlineStr"/>
    </row>
    <row r="316" ht="15" customHeight="1">
      <c r="A316" t="inlineStr">
        <is>
          <t>A 20435-2021</t>
        </is>
      </c>
      <c r="B316" s="1" t="n">
        <v>44315.5793287037</v>
      </c>
      <c r="C316" s="1" t="n">
        <v>46038</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25219-2023</t>
        </is>
      </c>
      <c r="B317" s="1" t="n">
        <v>45086.60541666667</v>
      </c>
      <c r="C317" s="1" t="n">
        <v>46038</v>
      </c>
      <c r="D317" t="inlineStr">
        <is>
          <t>SKÅNE LÄN</t>
        </is>
      </c>
      <c r="E317" t="inlineStr">
        <is>
          <t>HÄSSLEHOLM</t>
        </is>
      </c>
      <c r="G317" t="n">
        <v>6.9</v>
      </c>
      <c r="H317" t="n">
        <v>0</v>
      </c>
      <c r="I317" t="n">
        <v>0</v>
      </c>
      <c r="J317" t="n">
        <v>0</v>
      </c>
      <c r="K317" t="n">
        <v>0</v>
      </c>
      <c r="L317" t="n">
        <v>0</v>
      </c>
      <c r="M317" t="n">
        <v>0</v>
      </c>
      <c r="N317" t="n">
        <v>0</v>
      </c>
      <c r="O317" t="n">
        <v>0</v>
      </c>
      <c r="P317" t="n">
        <v>0</v>
      </c>
      <c r="Q317" t="n">
        <v>0</v>
      </c>
      <c r="R317" s="2" t="inlineStr"/>
    </row>
    <row r="318" ht="15" customHeight="1">
      <c r="A318" t="inlineStr">
        <is>
          <t>A 2743-2023</t>
        </is>
      </c>
      <c r="B318" s="1" t="n">
        <v>44944</v>
      </c>
      <c r="C318" s="1" t="n">
        <v>46038</v>
      </c>
      <c r="D318" t="inlineStr">
        <is>
          <t>SKÅNE LÄN</t>
        </is>
      </c>
      <c r="E318" t="inlineStr">
        <is>
          <t>HÄSSLEHOLM</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8749-2024</t>
        </is>
      </c>
      <c r="B319" s="1" t="n">
        <v>45356.50387731481</v>
      </c>
      <c r="C319" s="1" t="n">
        <v>46038</v>
      </c>
      <c r="D319" t="inlineStr">
        <is>
          <t>SKÅNE LÄN</t>
        </is>
      </c>
      <c r="E319" t="inlineStr">
        <is>
          <t>HÄSSLEHOLM</t>
        </is>
      </c>
      <c r="G319" t="n">
        <v>2.9</v>
      </c>
      <c r="H319" t="n">
        <v>0</v>
      </c>
      <c r="I319" t="n">
        <v>0</v>
      </c>
      <c r="J319" t="n">
        <v>0</v>
      </c>
      <c r="K319" t="n">
        <v>0</v>
      </c>
      <c r="L319" t="n">
        <v>0</v>
      </c>
      <c r="M319" t="n">
        <v>0</v>
      </c>
      <c r="N319" t="n">
        <v>0</v>
      </c>
      <c r="O319" t="n">
        <v>0</v>
      </c>
      <c r="P319" t="n">
        <v>0</v>
      </c>
      <c r="Q319" t="n">
        <v>0</v>
      </c>
      <c r="R319" s="2" t="inlineStr"/>
    </row>
    <row r="320" ht="15" customHeight="1">
      <c r="A320" t="inlineStr">
        <is>
          <t>A 8752-2024</t>
        </is>
      </c>
      <c r="B320" s="1" t="n">
        <v>45356</v>
      </c>
      <c r="C320" s="1" t="n">
        <v>46038</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8759-2024</t>
        </is>
      </c>
      <c r="B321" s="1" t="n">
        <v>45356.52271990741</v>
      </c>
      <c r="C321" s="1" t="n">
        <v>46038</v>
      </c>
      <c r="D321" t="inlineStr">
        <is>
          <t>SKÅNE LÄN</t>
        </is>
      </c>
      <c r="E321" t="inlineStr">
        <is>
          <t>HÄSSLEHOLM</t>
        </is>
      </c>
      <c r="G321" t="n">
        <v>5.7</v>
      </c>
      <c r="H321" t="n">
        <v>0</v>
      </c>
      <c r="I321" t="n">
        <v>0</v>
      </c>
      <c r="J321" t="n">
        <v>0</v>
      </c>
      <c r="K321" t="n">
        <v>0</v>
      </c>
      <c r="L321" t="n">
        <v>0</v>
      </c>
      <c r="M321" t="n">
        <v>0</v>
      </c>
      <c r="N321" t="n">
        <v>0</v>
      </c>
      <c r="O321" t="n">
        <v>0</v>
      </c>
      <c r="P321" t="n">
        <v>0</v>
      </c>
      <c r="Q321" t="n">
        <v>0</v>
      </c>
      <c r="R321" s="2" t="inlineStr"/>
    </row>
    <row r="322" ht="15" customHeight="1">
      <c r="A322" t="inlineStr">
        <is>
          <t>A 9393-2025</t>
        </is>
      </c>
      <c r="B322" s="1" t="n">
        <v>45715.36230324074</v>
      </c>
      <c r="C322" s="1" t="n">
        <v>46038</v>
      </c>
      <c r="D322" t="inlineStr">
        <is>
          <t>SKÅNE LÄN</t>
        </is>
      </c>
      <c r="E322" t="inlineStr">
        <is>
          <t>HÄSSLEHOLM</t>
        </is>
      </c>
      <c r="G322" t="n">
        <v>1.4</v>
      </c>
      <c r="H322" t="n">
        <v>0</v>
      </c>
      <c r="I322" t="n">
        <v>0</v>
      </c>
      <c r="J322" t="n">
        <v>0</v>
      </c>
      <c r="K322" t="n">
        <v>0</v>
      </c>
      <c r="L322" t="n">
        <v>0</v>
      </c>
      <c r="M322" t="n">
        <v>0</v>
      </c>
      <c r="N322" t="n">
        <v>0</v>
      </c>
      <c r="O322" t="n">
        <v>0</v>
      </c>
      <c r="P322" t="n">
        <v>0</v>
      </c>
      <c r="Q322" t="n">
        <v>0</v>
      </c>
      <c r="R322" s="2" t="inlineStr"/>
    </row>
    <row r="323" ht="15" customHeight="1">
      <c r="A323" t="inlineStr">
        <is>
          <t>A 48624-2021</t>
        </is>
      </c>
      <c r="B323" s="1" t="n">
        <v>44452</v>
      </c>
      <c r="C323" s="1" t="n">
        <v>46038</v>
      </c>
      <c r="D323" t="inlineStr">
        <is>
          <t>SKÅNE LÄN</t>
        </is>
      </c>
      <c r="E323" t="inlineStr">
        <is>
          <t>HÄSSLEHOLM</t>
        </is>
      </c>
      <c r="G323" t="n">
        <v>2.2</v>
      </c>
      <c r="H323" t="n">
        <v>0</v>
      </c>
      <c r="I323" t="n">
        <v>0</v>
      </c>
      <c r="J323" t="n">
        <v>0</v>
      </c>
      <c r="K323" t="n">
        <v>0</v>
      </c>
      <c r="L323" t="n">
        <v>0</v>
      </c>
      <c r="M323" t="n">
        <v>0</v>
      </c>
      <c r="N323" t="n">
        <v>0</v>
      </c>
      <c r="O323" t="n">
        <v>0</v>
      </c>
      <c r="P323" t="n">
        <v>0</v>
      </c>
      <c r="Q323" t="n">
        <v>0</v>
      </c>
      <c r="R323" s="2" t="inlineStr"/>
    </row>
    <row r="324" ht="15" customHeight="1">
      <c r="A324" t="inlineStr">
        <is>
          <t>A 15897-2025</t>
        </is>
      </c>
      <c r="B324" s="1" t="n">
        <v>45749.41598379629</v>
      </c>
      <c r="C324" s="1" t="n">
        <v>46038</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54982-2024</t>
        </is>
      </c>
      <c r="B325" s="1" t="n">
        <v>45620.7580787037</v>
      </c>
      <c r="C325" s="1" t="n">
        <v>46038</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7306-2025</t>
        </is>
      </c>
      <c r="B326" s="1" t="n">
        <v>45702</v>
      </c>
      <c r="C326" s="1" t="n">
        <v>46038</v>
      </c>
      <c r="D326" t="inlineStr">
        <is>
          <t>SKÅNE LÄN</t>
        </is>
      </c>
      <c r="E326" t="inlineStr">
        <is>
          <t>HÄSSLEHOLM</t>
        </is>
      </c>
      <c r="F326" t="inlineStr">
        <is>
          <t>Övriga Aktiebolag</t>
        </is>
      </c>
      <c r="G326" t="n">
        <v>3.3</v>
      </c>
      <c r="H326" t="n">
        <v>0</v>
      </c>
      <c r="I326" t="n">
        <v>0</v>
      </c>
      <c r="J326" t="n">
        <v>0</v>
      </c>
      <c r="K326" t="n">
        <v>0</v>
      </c>
      <c r="L326" t="n">
        <v>0</v>
      </c>
      <c r="M326" t="n">
        <v>0</v>
      </c>
      <c r="N326" t="n">
        <v>0</v>
      </c>
      <c r="O326" t="n">
        <v>0</v>
      </c>
      <c r="P326" t="n">
        <v>0</v>
      </c>
      <c r="Q326" t="n">
        <v>0</v>
      </c>
      <c r="R326" s="2" t="inlineStr"/>
    </row>
    <row r="327" ht="15" customHeight="1">
      <c r="A327" t="inlineStr">
        <is>
          <t>A 7308-2025</t>
        </is>
      </c>
      <c r="B327" s="1" t="n">
        <v>45702</v>
      </c>
      <c r="C327" s="1" t="n">
        <v>46038</v>
      </c>
      <c r="D327" t="inlineStr">
        <is>
          <t>SKÅNE LÄN</t>
        </is>
      </c>
      <c r="E327" t="inlineStr">
        <is>
          <t>HÄSSLEHOLM</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61182-2024</t>
        </is>
      </c>
      <c r="B328" s="1" t="n">
        <v>45645</v>
      </c>
      <c r="C328" s="1" t="n">
        <v>46038</v>
      </c>
      <c r="D328" t="inlineStr">
        <is>
          <t>SKÅNE LÄN</t>
        </is>
      </c>
      <c r="E328" t="inlineStr">
        <is>
          <t>HÄSSLEHOLM</t>
        </is>
      </c>
      <c r="G328" t="n">
        <v>3.2</v>
      </c>
      <c r="H328" t="n">
        <v>0</v>
      </c>
      <c r="I328" t="n">
        <v>0</v>
      </c>
      <c r="J328" t="n">
        <v>0</v>
      </c>
      <c r="K328" t="n">
        <v>0</v>
      </c>
      <c r="L328" t="n">
        <v>0</v>
      </c>
      <c r="M328" t="n">
        <v>0</v>
      </c>
      <c r="N328" t="n">
        <v>0</v>
      </c>
      <c r="O328" t="n">
        <v>0</v>
      </c>
      <c r="P328" t="n">
        <v>0</v>
      </c>
      <c r="Q328" t="n">
        <v>0</v>
      </c>
      <c r="R328" s="2" t="inlineStr"/>
    </row>
    <row r="329" ht="15" customHeight="1">
      <c r="A329" t="inlineStr">
        <is>
          <t>A 32834-2024</t>
        </is>
      </c>
      <c r="B329" s="1" t="n">
        <v>45516.6025</v>
      </c>
      <c r="C329" s="1" t="n">
        <v>46038</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58250-2024</t>
        </is>
      </c>
      <c r="B330" s="1" t="n">
        <v>45632.55643518519</v>
      </c>
      <c r="C330" s="1" t="n">
        <v>46038</v>
      </c>
      <c r="D330" t="inlineStr">
        <is>
          <t>SKÅNE LÄN</t>
        </is>
      </c>
      <c r="E330" t="inlineStr">
        <is>
          <t>HÄSSLEHOLM</t>
        </is>
      </c>
      <c r="G330" t="n">
        <v>0.5</v>
      </c>
      <c r="H330" t="n">
        <v>0</v>
      </c>
      <c r="I330" t="n">
        <v>0</v>
      </c>
      <c r="J330" t="n">
        <v>0</v>
      </c>
      <c r="K330" t="n">
        <v>0</v>
      </c>
      <c r="L330" t="n">
        <v>0</v>
      </c>
      <c r="M330" t="n">
        <v>0</v>
      </c>
      <c r="N330" t="n">
        <v>0</v>
      </c>
      <c r="O330" t="n">
        <v>0</v>
      </c>
      <c r="P330" t="n">
        <v>0</v>
      </c>
      <c r="Q330" t="n">
        <v>0</v>
      </c>
      <c r="R330" s="2" t="inlineStr"/>
    </row>
    <row r="331" ht="15" customHeight="1">
      <c r="A331" t="inlineStr">
        <is>
          <t>A 54671-2022</t>
        </is>
      </c>
      <c r="B331" s="1" t="n">
        <v>44883</v>
      </c>
      <c r="C331" s="1" t="n">
        <v>46038</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59434-2023</t>
        </is>
      </c>
      <c r="B332" s="1" t="n">
        <v>45254.30440972222</v>
      </c>
      <c r="C332" s="1" t="n">
        <v>46038</v>
      </c>
      <c r="D332" t="inlineStr">
        <is>
          <t>SKÅNE LÄN</t>
        </is>
      </c>
      <c r="E332" t="inlineStr">
        <is>
          <t>HÄSSLEHOLM</t>
        </is>
      </c>
      <c r="G332" t="n">
        <v>3.6</v>
      </c>
      <c r="H332" t="n">
        <v>0</v>
      </c>
      <c r="I332" t="n">
        <v>0</v>
      </c>
      <c r="J332" t="n">
        <v>0</v>
      </c>
      <c r="K332" t="n">
        <v>0</v>
      </c>
      <c r="L332" t="n">
        <v>0</v>
      </c>
      <c r="M332" t="n">
        <v>0</v>
      </c>
      <c r="N332" t="n">
        <v>0</v>
      </c>
      <c r="O332" t="n">
        <v>0</v>
      </c>
      <c r="P332" t="n">
        <v>0</v>
      </c>
      <c r="Q332" t="n">
        <v>0</v>
      </c>
      <c r="R332" s="2" t="inlineStr"/>
    </row>
    <row r="333" ht="15" customHeight="1">
      <c r="A333" t="inlineStr">
        <is>
          <t>A 9397-2025</t>
        </is>
      </c>
      <c r="B333" s="1" t="n">
        <v>45715.37361111111</v>
      </c>
      <c r="C333" s="1" t="n">
        <v>46038</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2290-2024</t>
        </is>
      </c>
      <c r="B334" s="1" t="n">
        <v>45310</v>
      </c>
      <c r="C334" s="1" t="n">
        <v>46038</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14255-2024</t>
        </is>
      </c>
      <c r="B335" s="1" t="n">
        <v>45393</v>
      </c>
      <c r="C335" s="1" t="n">
        <v>46038</v>
      </c>
      <c r="D335" t="inlineStr">
        <is>
          <t>SKÅNE LÄN</t>
        </is>
      </c>
      <c r="E335" t="inlineStr">
        <is>
          <t>HÄSSLEHOLM</t>
        </is>
      </c>
      <c r="G335" t="n">
        <v>11.9</v>
      </c>
      <c r="H335" t="n">
        <v>0</v>
      </c>
      <c r="I335" t="n">
        <v>0</v>
      </c>
      <c r="J335" t="n">
        <v>0</v>
      </c>
      <c r="K335" t="n">
        <v>0</v>
      </c>
      <c r="L335" t="n">
        <v>0</v>
      </c>
      <c r="M335" t="n">
        <v>0</v>
      </c>
      <c r="N335" t="n">
        <v>0</v>
      </c>
      <c r="O335" t="n">
        <v>0</v>
      </c>
      <c r="P335" t="n">
        <v>0</v>
      </c>
      <c r="Q335" t="n">
        <v>0</v>
      </c>
      <c r="R335" s="2" t="inlineStr"/>
    </row>
    <row r="336" ht="15" customHeight="1">
      <c r="A336" t="inlineStr">
        <is>
          <t>A 40739-2024</t>
        </is>
      </c>
      <c r="B336" s="1" t="n">
        <v>45558</v>
      </c>
      <c r="C336" s="1" t="n">
        <v>46038</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33067-2024</t>
        </is>
      </c>
      <c r="B337" s="1" t="n">
        <v>45517.6520949074</v>
      </c>
      <c r="C337" s="1" t="n">
        <v>46038</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59109-2023</t>
        </is>
      </c>
      <c r="B338" s="1" t="n">
        <v>45253.30819444444</v>
      </c>
      <c r="C338" s="1" t="n">
        <v>46038</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13932-2023</t>
        </is>
      </c>
      <c r="B339" s="1" t="n">
        <v>45008.43935185186</v>
      </c>
      <c r="C339" s="1" t="n">
        <v>46038</v>
      </c>
      <c r="D339" t="inlineStr">
        <is>
          <t>SKÅNE LÄN</t>
        </is>
      </c>
      <c r="E339" t="inlineStr">
        <is>
          <t>HÄSSLEHOLM</t>
        </is>
      </c>
      <c r="G339" t="n">
        <v>3.3</v>
      </c>
      <c r="H339" t="n">
        <v>0</v>
      </c>
      <c r="I339" t="n">
        <v>0</v>
      </c>
      <c r="J339" t="n">
        <v>0</v>
      </c>
      <c r="K339" t="n">
        <v>0</v>
      </c>
      <c r="L339" t="n">
        <v>0</v>
      </c>
      <c r="M339" t="n">
        <v>0</v>
      </c>
      <c r="N339" t="n">
        <v>0</v>
      </c>
      <c r="O339" t="n">
        <v>0</v>
      </c>
      <c r="P339" t="n">
        <v>0</v>
      </c>
      <c r="Q339" t="n">
        <v>0</v>
      </c>
      <c r="R339" s="2" t="inlineStr"/>
    </row>
    <row r="340" ht="15" customHeight="1">
      <c r="A340" t="inlineStr">
        <is>
          <t>A 28236-2022</t>
        </is>
      </c>
      <c r="B340" s="1" t="n">
        <v>44746</v>
      </c>
      <c r="C340" s="1" t="n">
        <v>46038</v>
      </c>
      <c r="D340" t="inlineStr">
        <is>
          <t>SKÅNE LÄN</t>
        </is>
      </c>
      <c r="E340" t="inlineStr">
        <is>
          <t>HÄSSLEHOLM</t>
        </is>
      </c>
      <c r="G340" t="n">
        <v>3.5</v>
      </c>
      <c r="H340" t="n">
        <v>0</v>
      </c>
      <c r="I340" t="n">
        <v>0</v>
      </c>
      <c r="J340" t="n">
        <v>0</v>
      </c>
      <c r="K340" t="n">
        <v>0</v>
      </c>
      <c r="L340" t="n">
        <v>0</v>
      </c>
      <c r="M340" t="n">
        <v>0</v>
      </c>
      <c r="N340" t="n">
        <v>0</v>
      </c>
      <c r="O340" t="n">
        <v>0</v>
      </c>
      <c r="P340" t="n">
        <v>0</v>
      </c>
      <c r="Q340" t="n">
        <v>0</v>
      </c>
      <c r="R340" s="2" t="inlineStr"/>
    </row>
    <row r="341" ht="15" customHeight="1">
      <c r="A341" t="inlineStr">
        <is>
          <t>A 35889-2023</t>
        </is>
      </c>
      <c r="B341" s="1" t="n">
        <v>45148</v>
      </c>
      <c r="C341" s="1" t="n">
        <v>46038</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35894-2023</t>
        </is>
      </c>
      <c r="B342" s="1" t="n">
        <v>45148</v>
      </c>
      <c r="C342" s="1" t="n">
        <v>46038</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12338-2024</t>
        </is>
      </c>
      <c r="B343" s="1" t="n">
        <v>45378.72869212963</v>
      </c>
      <c r="C343" s="1" t="n">
        <v>46038</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49384-2021</t>
        </is>
      </c>
      <c r="B344" s="1" t="n">
        <v>44454</v>
      </c>
      <c r="C344" s="1" t="n">
        <v>46038</v>
      </c>
      <c r="D344" t="inlineStr">
        <is>
          <t>SKÅNE LÄN</t>
        </is>
      </c>
      <c r="E344" t="inlineStr">
        <is>
          <t>HÄSSLEHOLM</t>
        </is>
      </c>
      <c r="G344" t="n">
        <v>2.6</v>
      </c>
      <c r="H344" t="n">
        <v>0</v>
      </c>
      <c r="I344" t="n">
        <v>0</v>
      </c>
      <c r="J344" t="n">
        <v>0</v>
      </c>
      <c r="K344" t="n">
        <v>0</v>
      </c>
      <c r="L344" t="n">
        <v>0</v>
      </c>
      <c r="M344" t="n">
        <v>0</v>
      </c>
      <c r="N344" t="n">
        <v>0</v>
      </c>
      <c r="O344" t="n">
        <v>0</v>
      </c>
      <c r="P344" t="n">
        <v>0</v>
      </c>
      <c r="Q344" t="n">
        <v>0</v>
      </c>
      <c r="R344" s="2" t="inlineStr"/>
    </row>
    <row r="345" ht="15" customHeight="1">
      <c r="A345" t="inlineStr">
        <is>
          <t>A 61625-2022</t>
        </is>
      </c>
      <c r="B345" s="1" t="n">
        <v>44916</v>
      </c>
      <c r="C345" s="1" t="n">
        <v>46038</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45299-2024</t>
        </is>
      </c>
      <c r="B346" s="1" t="n">
        <v>45576.40599537037</v>
      </c>
      <c r="C346" s="1" t="n">
        <v>46038</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54462-2022</t>
        </is>
      </c>
      <c r="B347" s="1" t="n">
        <v>44882</v>
      </c>
      <c r="C347" s="1" t="n">
        <v>46038</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38829-2024</t>
        </is>
      </c>
      <c r="B348" s="1" t="n">
        <v>45547.57247685185</v>
      </c>
      <c r="C348" s="1" t="n">
        <v>46038</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25176-2024</t>
        </is>
      </c>
      <c r="B349" s="1" t="n">
        <v>45462.54582175926</v>
      </c>
      <c r="C349" s="1" t="n">
        <v>46038</v>
      </c>
      <c r="D349" t="inlineStr">
        <is>
          <t>SKÅNE LÄN</t>
        </is>
      </c>
      <c r="E349" t="inlineStr">
        <is>
          <t>HÄSSLEHOLM</t>
        </is>
      </c>
      <c r="G349" t="n">
        <v>3.8</v>
      </c>
      <c r="H349" t="n">
        <v>0</v>
      </c>
      <c r="I349" t="n">
        <v>0</v>
      </c>
      <c r="J349" t="n">
        <v>0</v>
      </c>
      <c r="K349" t="n">
        <v>0</v>
      </c>
      <c r="L349" t="n">
        <v>0</v>
      </c>
      <c r="M349" t="n">
        <v>0</v>
      </c>
      <c r="N349" t="n">
        <v>0</v>
      </c>
      <c r="O349" t="n">
        <v>0</v>
      </c>
      <c r="P349" t="n">
        <v>0</v>
      </c>
      <c r="Q349" t="n">
        <v>0</v>
      </c>
      <c r="R349" s="2" t="inlineStr"/>
    </row>
    <row r="350" ht="15" customHeight="1">
      <c r="A350" t="inlineStr">
        <is>
          <t>A 7771-2021</t>
        </is>
      </c>
      <c r="B350" s="1" t="n">
        <v>44242</v>
      </c>
      <c r="C350" s="1" t="n">
        <v>46038</v>
      </c>
      <c r="D350" t="inlineStr">
        <is>
          <t>SKÅNE LÄN</t>
        </is>
      </c>
      <c r="E350" t="inlineStr">
        <is>
          <t>HÄSSLEHOLM</t>
        </is>
      </c>
      <c r="G350" t="n">
        <v>4.2</v>
      </c>
      <c r="H350" t="n">
        <v>0</v>
      </c>
      <c r="I350" t="n">
        <v>0</v>
      </c>
      <c r="J350" t="n">
        <v>0</v>
      </c>
      <c r="K350" t="n">
        <v>0</v>
      </c>
      <c r="L350" t="n">
        <v>0</v>
      </c>
      <c r="M350" t="n">
        <v>0</v>
      </c>
      <c r="N350" t="n">
        <v>0</v>
      </c>
      <c r="O350" t="n">
        <v>0</v>
      </c>
      <c r="P350" t="n">
        <v>0</v>
      </c>
      <c r="Q350" t="n">
        <v>0</v>
      </c>
      <c r="R350" s="2" t="inlineStr"/>
    </row>
    <row r="351" ht="15" customHeight="1">
      <c r="A351" t="inlineStr">
        <is>
          <t>A 25611-2024</t>
        </is>
      </c>
      <c r="B351" s="1" t="n">
        <v>45463</v>
      </c>
      <c r="C351" s="1" t="n">
        <v>46038</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13890-2024</t>
        </is>
      </c>
      <c r="B352" s="1" t="n">
        <v>45391</v>
      </c>
      <c r="C352" s="1" t="n">
        <v>46038</v>
      </c>
      <c r="D352" t="inlineStr">
        <is>
          <t>SKÅNE LÄN</t>
        </is>
      </c>
      <c r="E352" t="inlineStr">
        <is>
          <t>HÄSSLEHOLM</t>
        </is>
      </c>
      <c r="F352" t="inlineStr">
        <is>
          <t>Kommuner</t>
        </is>
      </c>
      <c r="G352" t="n">
        <v>1.4</v>
      </c>
      <c r="H352" t="n">
        <v>0</v>
      </c>
      <c r="I352" t="n">
        <v>0</v>
      </c>
      <c r="J352" t="n">
        <v>0</v>
      </c>
      <c r="K352" t="n">
        <v>0</v>
      </c>
      <c r="L352" t="n">
        <v>0</v>
      </c>
      <c r="M352" t="n">
        <v>0</v>
      </c>
      <c r="N352" t="n">
        <v>0</v>
      </c>
      <c r="O352" t="n">
        <v>0</v>
      </c>
      <c r="P352" t="n">
        <v>0</v>
      </c>
      <c r="Q352" t="n">
        <v>0</v>
      </c>
      <c r="R352" s="2" t="inlineStr"/>
    </row>
    <row r="353" ht="15" customHeight="1">
      <c r="A353" t="inlineStr">
        <is>
          <t>A 55218-2023</t>
        </is>
      </c>
      <c r="B353" s="1" t="n">
        <v>45237</v>
      </c>
      <c r="C353" s="1" t="n">
        <v>46038</v>
      </c>
      <c r="D353" t="inlineStr">
        <is>
          <t>SKÅNE LÄN</t>
        </is>
      </c>
      <c r="E353" t="inlineStr">
        <is>
          <t>HÄSSLEHOLM</t>
        </is>
      </c>
      <c r="G353" t="n">
        <v>2</v>
      </c>
      <c r="H353" t="n">
        <v>0</v>
      </c>
      <c r="I353" t="n">
        <v>0</v>
      </c>
      <c r="J353" t="n">
        <v>0</v>
      </c>
      <c r="K353" t="n">
        <v>0</v>
      </c>
      <c r="L353" t="n">
        <v>0</v>
      </c>
      <c r="M353" t="n">
        <v>0</v>
      </c>
      <c r="N353" t="n">
        <v>0</v>
      </c>
      <c r="O353" t="n">
        <v>0</v>
      </c>
      <c r="P353" t="n">
        <v>0</v>
      </c>
      <c r="Q353" t="n">
        <v>0</v>
      </c>
      <c r="R353" s="2" t="inlineStr"/>
    </row>
    <row r="354" ht="15" customHeight="1">
      <c r="A354" t="inlineStr">
        <is>
          <t>A 44741-2023</t>
        </is>
      </c>
      <c r="B354" s="1" t="n">
        <v>45190.38804398148</v>
      </c>
      <c r="C354" s="1" t="n">
        <v>46038</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7476-2025</t>
        </is>
      </c>
      <c r="B355" s="1" t="n">
        <v>45702</v>
      </c>
      <c r="C355" s="1" t="n">
        <v>46038</v>
      </c>
      <c r="D355" t="inlineStr">
        <is>
          <t>SKÅNE LÄN</t>
        </is>
      </c>
      <c r="E355" t="inlineStr">
        <is>
          <t>HÄSSLEHOLM</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7513-2025</t>
        </is>
      </c>
      <c r="B356" s="1" t="n">
        <v>45702</v>
      </c>
      <c r="C356" s="1" t="n">
        <v>46038</v>
      </c>
      <c r="D356" t="inlineStr">
        <is>
          <t>SKÅNE LÄN</t>
        </is>
      </c>
      <c r="E356" t="inlineStr">
        <is>
          <t>HÄSSLEHOLM</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7094-2023</t>
        </is>
      </c>
      <c r="B357" s="1" t="n">
        <v>44970.36958333333</v>
      </c>
      <c r="C357" s="1" t="n">
        <v>46038</v>
      </c>
      <c r="D357" t="inlineStr">
        <is>
          <t>SKÅNE LÄN</t>
        </is>
      </c>
      <c r="E357" t="inlineStr">
        <is>
          <t>HÄSSLEHOLM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46288-2023</t>
        </is>
      </c>
      <c r="B358" s="1" t="n">
        <v>45197.30221064815</v>
      </c>
      <c r="C358" s="1" t="n">
        <v>46038</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31161-2024</t>
        </is>
      </c>
      <c r="B359" s="1" t="n">
        <v>45503</v>
      </c>
      <c r="C359" s="1" t="n">
        <v>46038</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15055-2023</t>
        </is>
      </c>
      <c r="B360" s="1" t="n">
        <v>45015</v>
      </c>
      <c r="C360" s="1" t="n">
        <v>46038</v>
      </c>
      <c r="D360" t="inlineStr">
        <is>
          <t>SKÅNE LÄN</t>
        </is>
      </c>
      <c r="E360" t="inlineStr">
        <is>
          <t>HÄSSLEHOLM</t>
        </is>
      </c>
      <c r="G360" t="n">
        <v>1.9</v>
      </c>
      <c r="H360" t="n">
        <v>0</v>
      </c>
      <c r="I360" t="n">
        <v>0</v>
      </c>
      <c r="J360" t="n">
        <v>0</v>
      </c>
      <c r="K360" t="n">
        <v>0</v>
      </c>
      <c r="L360" t="n">
        <v>0</v>
      </c>
      <c r="M360" t="n">
        <v>0</v>
      </c>
      <c r="N360" t="n">
        <v>0</v>
      </c>
      <c r="O360" t="n">
        <v>0</v>
      </c>
      <c r="P360" t="n">
        <v>0</v>
      </c>
      <c r="Q360" t="n">
        <v>0</v>
      </c>
      <c r="R360" s="2" t="inlineStr"/>
    </row>
    <row r="361" ht="15" customHeight="1">
      <c r="A361" t="inlineStr">
        <is>
          <t>A 49106-2023</t>
        </is>
      </c>
      <c r="B361" s="1" t="n">
        <v>45210</v>
      </c>
      <c r="C361" s="1" t="n">
        <v>46038</v>
      </c>
      <c r="D361" t="inlineStr">
        <is>
          <t>SKÅNE LÄN</t>
        </is>
      </c>
      <c r="E361" t="inlineStr">
        <is>
          <t>HÄSSLEHOLM</t>
        </is>
      </c>
      <c r="G361" t="n">
        <v>0.3</v>
      </c>
      <c r="H361" t="n">
        <v>0</v>
      </c>
      <c r="I361" t="n">
        <v>0</v>
      </c>
      <c r="J361" t="n">
        <v>0</v>
      </c>
      <c r="K361" t="n">
        <v>0</v>
      </c>
      <c r="L361" t="n">
        <v>0</v>
      </c>
      <c r="M361" t="n">
        <v>0</v>
      </c>
      <c r="N361" t="n">
        <v>0</v>
      </c>
      <c r="O361" t="n">
        <v>0</v>
      </c>
      <c r="P361" t="n">
        <v>0</v>
      </c>
      <c r="Q361" t="n">
        <v>0</v>
      </c>
      <c r="R361" s="2" t="inlineStr"/>
    </row>
    <row r="362" ht="15" customHeight="1">
      <c r="A362" t="inlineStr">
        <is>
          <t>A 22157-2024</t>
        </is>
      </c>
      <c r="B362" s="1" t="n">
        <v>45445.85290509259</v>
      </c>
      <c r="C362" s="1" t="n">
        <v>46038</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10409-2024</t>
        </is>
      </c>
      <c r="B363" s="1" t="n">
        <v>45365.6978125</v>
      </c>
      <c r="C363" s="1" t="n">
        <v>46038</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13316-2023</t>
        </is>
      </c>
      <c r="B364" s="1" t="n">
        <v>45005.39013888889</v>
      </c>
      <c r="C364" s="1" t="n">
        <v>46038</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13358-2023</t>
        </is>
      </c>
      <c r="B365" s="1" t="n">
        <v>45005</v>
      </c>
      <c r="C365" s="1" t="n">
        <v>46038</v>
      </c>
      <c r="D365" t="inlineStr">
        <is>
          <t>SKÅNE LÄN</t>
        </is>
      </c>
      <c r="E365" t="inlineStr">
        <is>
          <t>HÄSSLEHOLM</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34187-2023</t>
        </is>
      </c>
      <c r="B366" s="1" t="n">
        <v>45138</v>
      </c>
      <c r="C366" s="1" t="n">
        <v>46038</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47248-2023</t>
        </is>
      </c>
      <c r="B367" s="1" t="n">
        <v>45202</v>
      </c>
      <c r="C367" s="1" t="n">
        <v>46038</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3245-2022</t>
        </is>
      </c>
      <c r="B368" s="1" t="n">
        <v>44583.39136574074</v>
      </c>
      <c r="C368" s="1" t="n">
        <v>46038</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20990-2023</t>
        </is>
      </c>
      <c r="B369" s="1" t="n">
        <v>45061.46186342592</v>
      </c>
      <c r="C369" s="1" t="n">
        <v>46038</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31255-2024</t>
        </is>
      </c>
      <c r="B370" s="1" t="n">
        <v>45503.69114583333</v>
      </c>
      <c r="C370" s="1" t="n">
        <v>46038</v>
      </c>
      <c r="D370" t="inlineStr">
        <is>
          <t>SKÅNE LÄN</t>
        </is>
      </c>
      <c r="E370" t="inlineStr">
        <is>
          <t>HÄSSLEHOLM</t>
        </is>
      </c>
      <c r="G370" t="n">
        <v>0.6</v>
      </c>
      <c r="H370" t="n">
        <v>0</v>
      </c>
      <c r="I370" t="n">
        <v>0</v>
      </c>
      <c r="J370" t="n">
        <v>0</v>
      </c>
      <c r="K370" t="n">
        <v>0</v>
      </c>
      <c r="L370" t="n">
        <v>0</v>
      </c>
      <c r="M370" t="n">
        <v>0</v>
      </c>
      <c r="N370" t="n">
        <v>0</v>
      </c>
      <c r="O370" t="n">
        <v>0</v>
      </c>
      <c r="P370" t="n">
        <v>0</v>
      </c>
      <c r="Q370" t="n">
        <v>0</v>
      </c>
      <c r="R370" s="2" t="inlineStr"/>
    </row>
    <row r="371" ht="15" customHeight="1">
      <c r="A371" t="inlineStr">
        <is>
          <t>A 44697-2021</t>
        </is>
      </c>
      <c r="B371" s="1" t="n">
        <v>44438</v>
      </c>
      <c r="C371" s="1" t="n">
        <v>46038</v>
      </c>
      <c r="D371" t="inlineStr">
        <is>
          <t>SKÅNE LÄN</t>
        </is>
      </c>
      <c r="E371" t="inlineStr">
        <is>
          <t>HÄSSLEHOLM</t>
        </is>
      </c>
      <c r="G371" t="n">
        <v>4.8</v>
      </c>
      <c r="H371" t="n">
        <v>0</v>
      </c>
      <c r="I371" t="n">
        <v>0</v>
      </c>
      <c r="J371" t="n">
        <v>0</v>
      </c>
      <c r="K371" t="n">
        <v>0</v>
      </c>
      <c r="L371" t="n">
        <v>0</v>
      </c>
      <c r="M371" t="n">
        <v>0</v>
      </c>
      <c r="N371" t="n">
        <v>0</v>
      </c>
      <c r="O371" t="n">
        <v>0</v>
      </c>
      <c r="P371" t="n">
        <v>0</v>
      </c>
      <c r="Q371" t="n">
        <v>0</v>
      </c>
      <c r="R371" s="2" t="inlineStr"/>
    </row>
    <row r="372" ht="15" customHeight="1">
      <c r="A372" t="inlineStr">
        <is>
          <t>A 38228-2021</t>
        </is>
      </c>
      <c r="B372" s="1" t="n">
        <v>44405</v>
      </c>
      <c r="C372" s="1" t="n">
        <v>46038</v>
      </c>
      <c r="D372" t="inlineStr">
        <is>
          <t>SKÅNE LÄN</t>
        </is>
      </c>
      <c r="E372" t="inlineStr">
        <is>
          <t>HÄSSLEHOLM</t>
        </is>
      </c>
      <c r="G372" t="n">
        <v>2.8</v>
      </c>
      <c r="H372" t="n">
        <v>0</v>
      </c>
      <c r="I372" t="n">
        <v>0</v>
      </c>
      <c r="J372" t="n">
        <v>0</v>
      </c>
      <c r="K372" t="n">
        <v>0</v>
      </c>
      <c r="L372" t="n">
        <v>0</v>
      </c>
      <c r="M372" t="n">
        <v>0</v>
      </c>
      <c r="N372" t="n">
        <v>0</v>
      </c>
      <c r="O372" t="n">
        <v>0</v>
      </c>
      <c r="P372" t="n">
        <v>0</v>
      </c>
      <c r="Q372" t="n">
        <v>0</v>
      </c>
      <c r="R372" s="2" t="inlineStr"/>
    </row>
    <row r="373" ht="15" customHeight="1">
      <c r="A373" t="inlineStr">
        <is>
          <t>A 32100-2024</t>
        </is>
      </c>
      <c r="B373" s="1" t="n">
        <v>45511.41451388889</v>
      </c>
      <c r="C373" s="1" t="n">
        <v>46038</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54171-2022</t>
        </is>
      </c>
      <c r="B374" s="1" t="n">
        <v>44881</v>
      </c>
      <c r="C374" s="1" t="n">
        <v>46038</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10220-2023</t>
        </is>
      </c>
      <c r="B375" s="1" t="n">
        <v>44986.60916666667</v>
      </c>
      <c r="C375" s="1" t="n">
        <v>46038</v>
      </c>
      <c r="D375" t="inlineStr">
        <is>
          <t>SKÅNE LÄN</t>
        </is>
      </c>
      <c r="E375" t="inlineStr">
        <is>
          <t>HÄSSLEHOLM</t>
        </is>
      </c>
      <c r="G375" t="n">
        <v>1.7</v>
      </c>
      <c r="H375" t="n">
        <v>0</v>
      </c>
      <c r="I375" t="n">
        <v>0</v>
      </c>
      <c r="J375" t="n">
        <v>0</v>
      </c>
      <c r="K375" t="n">
        <v>0</v>
      </c>
      <c r="L375" t="n">
        <v>0</v>
      </c>
      <c r="M375" t="n">
        <v>0</v>
      </c>
      <c r="N375" t="n">
        <v>0</v>
      </c>
      <c r="O375" t="n">
        <v>0</v>
      </c>
      <c r="P375" t="n">
        <v>0</v>
      </c>
      <c r="Q375" t="n">
        <v>0</v>
      </c>
      <c r="R375" s="2" t="inlineStr"/>
    </row>
    <row r="376" ht="15" customHeight="1">
      <c r="A376" t="inlineStr">
        <is>
          <t>A 33257-2024</t>
        </is>
      </c>
      <c r="B376" s="1" t="n">
        <v>45518</v>
      </c>
      <c r="C376" s="1" t="n">
        <v>46038</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57277-2023</t>
        </is>
      </c>
      <c r="B377" s="1" t="n">
        <v>45245.59104166667</v>
      </c>
      <c r="C377" s="1" t="n">
        <v>46038</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3248-2022</t>
        </is>
      </c>
      <c r="B378" s="1" t="n">
        <v>44583</v>
      </c>
      <c r="C378" s="1" t="n">
        <v>46038</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25538-2024</t>
        </is>
      </c>
      <c r="B379" s="1" t="n">
        <v>45463</v>
      </c>
      <c r="C379" s="1" t="n">
        <v>46038</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36733-2023</t>
        </is>
      </c>
      <c r="B380" s="1" t="n">
        <v>45153.69989583334</v>
      </c>
      <c r="C380" s="1" t="n">
        <v>46038</v>
      </c>
      <c r="D380" t="inlineStr">
        <is>
          <t>SKÅNE LÄN</t>
        </is>
      </c>
      <c r="E380" t="inlineStr">
        <is>
          <t>HÄSSLEHOLM</t>
        </is>
      </c>
      <c r="G380" t="n">
        <v>4.8</v>
      </c>
      <c r="H380" t="n">
        <v>0</v>
      </c>
      <c r="I380" t="n">
        <v>0</v>
      </c>
      <c r="J380" t="n">
        <v>0</v>
      </c>
      <c r="K380" t="n">
        <v>0</v>
      </c>
      <c r="L380" t="n">
        <v>0</v>
      </c>
      <c r="M380" t="n">
        <v>0</v>
      </c>
      <c r="N380" t="n">
        <v>0</v>
      </c>
      <c r="O380" t="n">
        <v>0</v>
      </c>
      <c r="P380" t="n">
        <v>0</v>
      </c>
      <c r="Q380" t="n">
        <v>0</v>
      </c>
      <c r="R380" s="2" t="inlineStr"/>
    </row>
    <row r="381" ht="15" customHeight="1">
      <c r="A381" t="inlineStr">
        <is>
          <t>A 60509-2023</t>
        </is>
      </c>
      <c r="B381" s="1" t="n">
        <v>45259</v>
      </c>
      <c r="C381" s="1" t="n">
        <v>46038</v>
      </c>
      <c r="D381" t="inlineStr">
        <is>
          <t>SKÅNE LÄN</t>
        </is>
      </c>
      <c r="E381" t="inlineStr">
        <is>
          <t>HÄSSLEHOLM</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24865-2024</t>
        </is>
      </c>
      <c r="B382" s="1" t="n">
        <v>45461.48974537037</v>
      </c>
      <c r="C382" s="1" t="n">
        <v>46038</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1562-2023</t>
        </is>
      </c>
      <c r="B383" s="1" t="n">
        <v>44937.60450231482</v>
      </c>
      <c r="C383" s="1" t="n">
        <v>46038</v>
      </c>
      <c r="D383" t="inlineStr">
        <is>
          <t>SKÅNE LÄN</t>
        </is>
      </c>
      <c r="E383" t="inlineStr">
        <is>
          <t>HÄSSLEHOLM</t>
        </is>
      </c>
      <c r="G383" t="n">
        <v>2.7</v>
      </c>
      <c r="H383" t="n">
        <v>0</v>
      </c>
      <c r="I383" t="n">
        <v>0</v>
      </c>
      <c r="J383" t="n">
        <v>0</v>
      </c>
      <c r="K383" t="n">
        <v>0</v>
      </c>
      <c r="L383" t="n">
        <v>0</v>
      </c>
      <c r="M383" t="n">
        <v>0</v>
      </c>
      <c r="N383" t="n">
        <v>0</v>
      </c>
      <c r="O383" t="n">
        <v>0</v>
      </c>
      <c r="P383" t="n">
        <v>0</v>
      </c>
      <c r="Q383" t="n">
        <v>0</v>
      </c>
      <c r="R383" s="2" t="inlineStr"/>
    </row>
    <row r="384" ht="15" customHeight="1">
      <c r="A384" t="inlineStr">
        <is>
          <t>A 45220-2023</t>
        </is>
      </c>
      <c r="B384" s="1" t="n">
        <v>45191</v>
      </c>
      <c r="C384" s="1" t="n">
        <v>46038</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32967-2023</t>
        </is>
      </c>
      <c r="B385" s="1" t="n">
        <v>45125</v>
      </c>
      <c r="C385" s="1" t="n">
        <v>46038</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32968-2023</t>
        </is>
      </c>
      <c r="B386" s="1" t="n">
        <v>45125</v>
      </c>
      <c r="C386" s="1" t="n">
        <v>46038</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10277-2023</t>
        </is>
      </c>
      <c r="B387" s="1" t="n">
        <v>44986</v>
      </c>
      <c r="C387" s="1" t="n">
        <v>46038</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10290-2023</t>
        </is>
      </c>
      <c r="B388" s="1" t="n">
        <v>44986</v>
      </c>
      <c r="C388" s="1" t="n">
        <v>46038</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35810-2023</t>
        </is>
      </c>
      <c r="B389" s="1" t="n">
        <v>45148.44046296296</v>
      </c>
      <c r="C389" s="1" t="n">
        <v>46038</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11260-2021</t>
        </is>
      </c>
      <c r="B390" s="1" t="n">
        <v>44263</v>
      </c>
      <c r="C390" s="1" t="n">
        <v>46038</v>
      </c>
      <c r="D390" t="inlineStr">
        <is>
          <t>SKÅNE LÄN</t>
        </is>
      </c>
      <c r="E390" t="inlineStr">
        <is>
          <t>HÄSSLEHOLM</t>
        </is>
      </c>
      <c r="G390" t="n">
        <v>5.4</v>
      </c>
      <c r="H390" t="n">
        <v>0</v>
      </c>
      <c r="I390" t="n">
        <v>0</v>
      </c>
      <c r="J390" t="n">
        <v>0</v>
      </c>
      <c r="K390" t="n">
        <v>0</v>
      </c>
      <c r="L390" t="n">
        <v>0</v>
      </c>
      <c r="M390" t="n">
        <v>0</v>
      </c>
      <c r="N390" t="n">
        <v>0</v>
      </c>
      <c r="O390" t="n">
        <v>0</v>
      </c>
      <c r="P390" t="n">
        <v>0</v>
      </c>
      <c r="Q390" t="n">
        <v>0</v>
      </c>
      <c r="R390" s="2" t="inlineStr"/>
    </row>
    <row r="391" ht="15" customHeight="1">
      <c r="A391" t="inlineStr">
        <is>
          <t>A 35833-2023</t>
        </is>
      </c>
      <c r="B391" s="1" t="n">
        <v>45148</v>
      </c>
      <c r="C391" s="1" t="n">
        <v>46038</v>
      </c>
      <c r="D391" t="inlineStr">
        <is>
          <t>SKÅNE LÄN</t>
        </is>
      </c>
      <c r="E391" t="inlineStr">
        <is>
          <t>HÄSSLEHOLM</t>
        </is>
      </c>
      <c r="F391" t="inlineStr">
        <is>
          <t>Kommuner</t>
        </is>
      </c>
      <c r="G391" t="n">
        <v>2</v>
      </c>
      <c r="H391" t="n">
        <v>0</v>
      </c>
      <c r="I391" t="n">
        <v>0</v>
      </c>
      <c r="J391" t="n">
        <v>0</v>
      </c>
      <c r="K391" t="n">
        <v>0</v>
      </c>
      <c r="L391" t="n">
        <v>0</v>
      </c>
      <c r="M391" t="n">
        <v>0</v>
      </c>
      <c r="N391" t="n">
        <v>0</v>
      </c>
      <c r="O391" t="n">
        <v>0</v>
      </c>
      <c r="P391" t="n">
        <v>0</v>
      </c>
      <c r="Q391" t="n">
        <v>0</v>
      </c>
      <c r="R391" s="2" t="inlineStr"/>
    </row>
    <row r="392" ht="15" customHeight="1">
      <c r="A392" t="inlineStr">
        <is>
          <t>A 58272-2024</t>
        </is>
      </c>
      <c r="B392" s="1" t="n">
        <v>45632.57025462963</v>
      </c>
      <c r="C392" s="1" t="n">
        <v>46038</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18580-2023</t>
        </is>
      </c>
      <c r="B393" s="1" t="n">
        <v>45043.37037037037</v>
      </c>
      <c r="C393" s="1" t="n">
        <v>46038</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35150-2023</t>
        </is>
      </c>
      <c r="B394" s="1" t="n">
        <v>45145</v>
      </c>
      <c r="C394" s="1" t="n">
        <v>46038</v>
      </c>
      <c r="D394" t="inlineStr">
        <is>
          <t>SKÅNE LÄN</t>
        </is>
      </c>
      <c r="E394" t="inlineStr">
        <is>
          <t>HÄSSLEHOLM</t>
        </is>
      </c>
      <c r="G394" t="n">
        <v>4.9</v>
      </c>
      <c r="H394" t="n">
        <v>0</v>
      </c>
      <c r="I394" t="n">
        <v>0</v>
      </c>
      <c r="J394" t="n">
        <v>0</v>
      </c>
      <c r="K394" t="n">
        <v>0</v>
      </c>
      <c r="L394" t="n">
        <v>0</v>
      </c>
      <c r="M394" t="n">
        <v>0</v>
      </c>
      <c r="N394" t="n">
        <v>0</v>
      </c>
      <c r="O394" t="n">
        <v>0</v>
      </c>
      <c r="P394" t="n">
        <v>0</v>
      </c>
      <c r="Q394" t="n">
        <v>0</v>
      </c>
      <c r="R394" s="2" t="inlineStr"/>
    </row>
    <row r="395" ht="15" customHeight="1">
      <c r="A395" t="inlineStr">
        <is>
          <t>A 9611-2025</t>
        </is>
      </c>
      <c r="B395" s="1" t="n">
        <v>45715</v>
      </c>
      <c r="C395" s="1" t="n">
        <v>46038</v>
      </c>
      <c r="D395" t="inlineStr">
        <is>
          <t>SKÅNE LÄN</t>
        </is>
      </c>
      <c r="E395" t="inlineStr">
        <is>
          <t>HÄSSLEHOLM</t>
        </is>
      </c>
      <c r="G395" t="n">
        <v>2.1</v>
      </c>
      <c r="H395" t="n">
        <v>0</v>
      </c>
      <c r="I395" t="n">
        <v>0</v>
      </c>
      <c r="J395" t="n">
        <v>0</v>
      </c>
      <c r="K395" t="n">
        <v>0</v>
      </c>
      <c r="L395" t="n">
        <v>0</v>
      </c>
      <c r="M395" t="n">
        <v>0</v>
      </c>
      <c r="N395" t="n">
        <v>0</v>
      </c>
      <c r="O395" t="n">
        <v>0</v>
      </c>
      <c r="P395" t="n">
        <v>0</v>
      </c>
      <c r="Q395" t="n">
        <v>0</v>
      </c>
      <c r="R395" s="2" t="inlineStr"/>
    </row>
    <row r="396" ht="15" customHeight="1">
      <c r="A396" t="inlineStr">
        <is>
          <t>A 59556-2023</t>
        </is>
      </c>
      <c r="B396" s="1" t="n">
        <v>45254.56313657408</v>
      </c>
      <c r="C396" s="1" t="n">
        <v>46038</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24906-2022</t>
        </is>
      </c>
      <c r="B397" s="1" t="n">
        <v>44728</v>
      </c>
      <c r="C397" s="1" t="n">
        <v>46038</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3890-2024</t>
        </is>
      </c>
      <c r="B398" s="1" t="n">
        <v>45322.45366898148</v>
      </c>
      <c r="C398" s="1" t="n">
        <v>46038</v>
      </c>
      <c r="D398" t="inlineStr">
        <is>
          <t>SKÅNE LÄN</t>
        </is>
      </c>
      <c r="E398" t="inlineStr">
        <is>
          <t>HÄSSLEHOLM</t>
        </is>
      </c>
      <c r="G398" t="n">
        <v>3</v>
      </c>
      <c r="H398" t="n">
        <v>0</v>
      </c>
      <c r="I398" t="n">
        <v>0</v>
      </c>
      <c r="J398" t="n">
        <v>0</v>
      </c>
      <c r="K398" t="n">
        <v>0</v>
      </c>
      <c r="L398" t="n">
        <v>0</v>
      </c>
      <c r="M398" t="n">
        <v>0</v>
      </c>
      <c r="N398" t="n">
        <v>0</v>
      </c>
      <c r="O398" t="n">
        <v>0</v>
      </c>
      <c r="P398" t="n">
        <v>0</v>
      </c>
      <c r="Q398" t="n">
        <v>0</v>
      </c>
      <c r="R398" s="2" t="inlineStr"/>
    </row>
    <row r="399" ht="15" customHeight="1">
      <c r="A399" t="inlineStr">
        <is>
          <t>A 15800-2025</t>
        </is>
      </c>
      <c r="B399" s="1" t="n">
        <v>45748.64831018518</v>
      </c>
      <c r="C399" s="1" t="n">
        <v>46038</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18041-2023</t>
        </is>
      </c>
      <c r="B400" s="1" t="n">
        <v>45040</v>
      </c>
      <c r="C400" s="1" t="n">
        <v>46038</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53077-2022</t>
        </is>
      </c>
      <c r="B401" s="1" t="n">
        <v>44873</v>
      </c>
      <c r="C401" s="1" t="n">
        <v>46038</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49250-2022</t>
        </is>
      </c>
      <c r="B402" s="1" t="n">
        <v>44858</v>
      </c>
      <c r="C402" s="1" t="n">
        <v>46038</v>
      </c>
      <c r="D402" t="inlineStr">
        <is>
          <t>SKÅNE LÄN</t>
        </is>
      </c>
      <c r="E402" t="inlineStr">
        <is>
          <t>HÄSSLEHOLM</t>
        </is>
      </c>
      <c r="F402" t="inlineStr">
        <is>
          <t>Kyrkan</t>
        </is>
      </c>
      <c r="G402" t="n">
        <v>1.5</v>
      </c>
      <c r="H402" t="n">
        <v>0</v>
      </c>
      <c r="I402" t="n">
        <v>0</v>
      </c>
      <c r="J402" t="n">
        <v>0</v>
      </c>
      <c r="K402" t="n">
        <v>0</v>
      </c>
      <c r="L402" t="n">
        <v>0</v>
      </c>
      <c r="M402" t="n">
        <v>0</v>
      </c>
      <c r="N402" t="n">
        <v>0</v>
      </c>
      <c r="O402" t="n">
        <v>0</v>
      </c>
      <c r="P402" t="n">
        <v>0</v>
      </c>
      <c r="Q402" t="n">
        <v>0</v>
      </c>
      <c r="R402" s="2" t="inlineStr"/>
    </row>
    <row r="403" ht="15" customHeight="1">
      <c r="A403" t="inlineStr">
        <is>
          <t>A 61170-2022</t>
        </is>
      </c>
      <c r="B403" s="1" t="n">
        <v>44915.48543981482</v>
      </c>
      <c r="C403" s="1" t="n">
        <v>46038</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27197-2021</t>
        </is>
      </c>
      <c r="B404" s="1" t="n">
        <v>44350</v>
      </c>
      <c r="C404" s="1" t="n">
        <v>46038</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13897-2024</t>
        </is>
      </c>
      <c r="B405" s="1" t="n">
        <v>45391</v>
      </c>
      <c r="C405" s="1" t="n">
        <v>46038</v>
      </c>
      <c r="D405" t="inlineStr">
        <is>
          <t>SKÅNE LÄN</t>
        </is>
      </c>
      <c r="E405" t="inlineStr">
        <is>
          <t>HÄSSLEHOLM</t>
        </is>
      </c>
      <c r="F405" t="inlineStr">
        <is>
          <t>Kommuner</t>
        </is>
      </c>
      <c r="G405" t="n">
        <v>4</v>
      </c>
      <c r="H405" t="n">
        <v>0</v>
      </c>
      <c r="I405" t="n">
        <v>0</v>
      </c>
      <c r="J405" t="n">
        <v>0</v>
      </c>
      <c r="K405" t="n">
        <v>0</v>
      </c>
      <c r="L405" t="n">
        <v>0</v>
      </c>
      <c r="M405" t="n">
        <v>0</v>
      </c>
      <c r="N405" t="n">
        <v>0</v>
      </c>
      <c r="O405" t="n">
        <v>0</v>
      </c>
      <c r="P405" t="n">
        <v>0</v>
      </c>
      <c r="Q405" t="n">
        <v>0</v>
      </c>
      <c r="R405" s="2" t="inlineStr"/>
    </row>
    <row r="406" ht="15" customHeight="1">
      <c r="A406" t="inlineStr">
        <is>
          <t>A 45222-2023</t>
        </is>
      </c>
      <c r="B406" s="1" t="n">
        <v>45191</v>
      </c>
      <c r="C406" s="1" t="n">
        <v>46038</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56355-2023</t>
        </is>
      </c>
      <c r="B407" s="1" t="n">
        <v>45243.3702662037</v>
      </c>
      <c r="C407" s="1" t="n">
        <v>46038</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35890-2023</t>
        </is>
      </c>
      <c r="B408" s="1" t="n">
        <v>45148</v>
      </c>
      <c r="C408" s="1" t="n">
        <v>46038</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35895-2023</t>
        </is>
      </c>
      <c r="B409" s="1" t="n">
        <v>45148</v>
      </c>
      <c r="C409" s="1" t="n">
        <v>46038</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61569-2023</t>
        </is>
      </c>
      <c r="B410" s="1" t="n">
        <v>45265</v>
      </c>
      <c r="C410" s="1" t="n">
        <v>46038</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52235-2021</t>
        </is>
      </c>
      <c r="B411" s="1" t="n">
        <v>44463.60085648148</v>
      </c>
      <c r="C411" s="1" t="n">
        <v>46038</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43629-2023</t>
        </is>
      </c>
      <c r="B412" s="1" t="n">
        <v>45184</v>
      </c>
      <c r="C412" s="1" t="n">
        <v>46038</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59246-2024</t>
        </is>
      </c>
      <c r="B413" s="1" t="n">
        <v>45636</v>
      </c>
      <c r="C413" s="1" t="n">
        <v>46038</v>
      </c>
      <c r="D413" t="inlineStr">
        <is>
          <t>SKÅNE LÄN</t>
        </is>
      </c>
      <c r="E413" t="inlineStr">
        <is>
          <t>HÄSSLEHOLM</t>
        </is>
      </c>
      <c r="G413" t="n">
        <v>2.6</v>
      </c>
      <c r="H413" t="n">
        <v>0</v>
      </c>
      <c r="I413" t="n">
        <v>0</v>
      </c>
      <c r="J413" t="n">
        <v>0</v>
      </c>
      <c r="K413" t="n">
        <v>0</v>
      </c>
      <c r="L413" t="n">
        <v>0</v>
      </c>
      <c r="M413" t="n">
        <v>0</v>
      </c>
      <c r="N413" t="n">
        <v>0</v>
      </c>
      <c r="O413" t="n">
        <v>0</v>
      </c>
      <c r="P413" t="n">
        <v>0</v>
      </c>
      <c r="Q413" t="n">
        <v>0</v>
      </c>
      <c r="R413" s="2" t="inlineStr"/>
    </row>
    <row r="414" ht="15" customHeight="1">
      <c r="A414" t="inlineStr">
        <is>
          <t>A 54471-2023</t>
        </is>
      </c>
      <c r="B414" s="1" t="n">
        <v>45233.4640162037</v>
      </c>
      <c r="C414" s="1" t="n">
        <v>46038</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20800-2023</t>
        </is>
      </c>
      <c r="B415" s="1" t="n">
        <v>45058.61640046296</v>
      </c>
      <c r="C415" s="1" t="n">
        <v>46038</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13990-2022</t>
        </is>
      </c>
      <c r="B416" s="1" t="n">
        <v>44650</v>
      </c>
      <c r="C416" s="1" t="n">
        <v>46038</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11019-2025</t>
        </is>
      </c>
      <c r="B417" s="1" t="n">
        <v>45723</v>
      </c>
      <c r="C417" s="1" t="n">
        <v>46038</v>
      </c>
      <c r="D417" t="inlineStr">
        <is>
          <t>SKÅNE LÄN</t>
        </is>
      </c>
      <c r="E417" t="inlineStr">
        <is>
          <t>HÄSSLEHOLM</t>
        </is>
      </c>
      <c r="G417" t="n">
        <v>3.2</v>
      </c>
      <c r="H417" t="n">
        <v>0</v>
      </c>
      <c r="I417" t="n">
        <v>0</v>
      </c>
      <c r="J417" t="n">
        <v>0</v>
      </c>
      <c r="K417" t="n">
        <v>0</v>
      </c>
      <c r="L417" t="n">
        <v>0</v>
      </c>
      <c r="M417" t="n">
        <v>0</v>
      </c>
      <c r="N417" t="n">
        <v>0</v>
      </c>
      <c r="O417" t="n">
        <v>0</v>
      </c>
      <c r="P417" t="n">
        <v>0</v>
      </c>
      <c r="Q417" t="n">
        <v>0</v>
      </c>
      <c r="R417" s="2" t="inlineStr"/>
    </row>
    <row r="418" ht="15" customHeight="1">
      <c r="A418" t="inlineStr">
        <is>
          <t>A 11681-2023</t>
        </is>
      </c>
      <c r="B418" s="1" t="n">
        <v>44992</v>
      </c>
      <c r="C418" s="1" t="n">
        <v>46038</v>
      </c>
      <c r="D418" t="inlineStr">
        <is>
          <t>SKÅNE LÄN</t>
        </is>
      </c>
      <c r="E418" t="inlineStr">
        <is>
          <t>HÄSSLEHOLM</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33927-2021</t>
        </is>
      </c>
      <c r="B419" s="1" t="n">
        <v>44378</v>
      </c>
      <c r="C419" s="1" t="n">
        <v>46038</v>
      </c>
      <c r="D419" t="inlineStr">
        <is>
          <t>SKÅNE LÄN</t>
        </is>
      </c>
      <c r="E419" t="inlineStr">
        <is>
          <t>HÄSSLEHOLM</t>
        </is>
      </c>
      <c r="G419" t="n">
        <v>16.7</v>
      </c>
      <c r="H419" t="n">
        <v>0</v>
      </c>
      <c r="I419" t="n">
        <v>0</v>
      </c>
      <c r="J419" t="n">
        <v>0</v>
      </c>
      <c r="K419" t="n">
        <v>0</v>
      </c>
      <c r="L419" t="n">
        <v>0</v>
      </c>
      <c r="M419" t="n">
        <v>0</v>
      </c>
      <c r="N419" t="n">
        <v>0</v>
      </c>
      <c r="O419" t="n">
        <v>0</v>
      </c>
      <c r="P419" t="n">
        <v>0</v>
      </c>
      <c r="Q419" t="n">
        <v>0</v>
      </c>
      <c r="R419" s="2" t="inlineStr"/>
    </row>
    <row r="420" ht="15" customHeight="1">
      <c r="A420" t="inlineStr">
        <is>
          <t>A 50607-2023</t>
        </is>
      </c>
      <c r="B420" s="1" t="n">
        <v>45210</v>
      </c>
      <c r="C420" s="1" t="n">
        <v>46038</v>
      </c>
      <c r="D420" t="inlineStr">
        <is>
          <t>SKÅNE LÄN</t>
        </is>
      </c>
      <c r="E420" t="inlineStr">
        <is>
          <t>HÄSSLEHOLM</t>
        </is>
      </c>
      <c r="G420" t="n">
        <v>1.8</v>
      </c>
      <c r="H420" t="n">
        <v>0</v>
      </c>
      <c r="I420" t="n">
        <v>0</v>
      </c>
      <c r="J420" t="n">
        <v>0</v>
      </c>
      <c r="K420" t="n">
        <v>0</v>
      </c>
      <c r="L420" t="n">
        <v>0</v>
      </c>
      <c r="M420" t="n">
        <v>0</v>
      </c>
      <c r="N420" t="n">
        <v>0</v>
      </c>
      <c r="O420" t="n">
        <v>0</v>
      </c>
      <c r="P420" t="n">
        <v>0</v>
      </c>
      <c r="Q420" t="n">
        <v>0</v>
      </c>
      <c r="R420" s="2" t="inlineStr"/>
    </row>
    <row r="421" ht="15" customHeight="1">
      <c r="A421" t="inlineStr">
        <is>
          <t>A 7305-2025</t>
        </is>
      </c>
      <c r="B421" s="1" t="n">
        <v>45702</v>
      </c>
      <c r="C421" s="1" t="n">
        <v>46038</v>
      </c>
      <c r="D421" t="inlineStr">
        <is>
          <t>SKÅNE LÄN</t>
        </is>
      </c>
      <c r="E421" t="inlineStr">
        <is>
          <t>HÄSSLEHOLM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38148-2022</t>
        </is>
      </c>
      <c r="B422" s="1" t="n">
        <v>44811</v>
      </c>
      <c r="C422" s="1" t="n">
        <v>46038</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31944-2023</t>
        </is>
      </c>
      <c r="B423" s="1" t="n">
        <v>45119.34895833334</v>
      </c>
      <c r="C423" s="1" t="n">
        <v>46038</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1706-2025</t>
        </is>
      </c>
      <c r="B424" s="1" t="n">
        <v>45670</v>
      </c>
      <c r="C424" s="1" t="n">
        <v>46038</v>
      </c>
      <c r="D424" t="inlineStr">
        <is>
          <t>SKÅNE LÄN</t>
        </is>
      </c>
      <c r="E424" t="inlineStr">
        <is>
          <t>HÄSSLEHOLM</t>
        </is>
      </c>
      <c r="G424" t="n">
        <v>5</v>
      </c>
      <c r="H424" t="n">
        <v>0</v>
      </c>
      <c r="I424" t="n">
        <v>0</v>
      </c>
      <c r="J424" t="n">
        <v>0</v>
      </c>
      <c r="K424" t="n">
        <v>0</v>
      </c>
      <c r="L424" t="n">
        <v>0</v>
      </c>
      <c r="M424" t="n">
        <v>0</v>
      </c>
      <c r="N424" t="n">
        <v>0</v>
      </c>
      <c r="O424" t="n">
        <v>0</v>
      </c>
      <c r="P424" t="n">
        <v>0</v>
      </c>
      <c r="Q424" t="n">
        <v>0</v>
      </c>
      <c r="R424" s="2" t="inlineStr"/>
    </row>
    <row r="425" ht="15" customHeight="1">
      <c r="A425" t="inlineStr">
        <is>
          <t>A 5116-2023</t>
        </is>
      </c>
      <c r="B425" s="1" t="n">
        <v>44958.67546296296</v>
      </c>
      <c r="C425" s="1" t="n">
        <v>46038</v>
      </c>
      <c r="D425" t="inlineStr">
        <is>
          <t>SKÅNE LÄN</t>
        </is>
      </c>
      <c r="E425" t="inlineStr">
        <is>
          <t>HÄSSLEHOLM</t>
        </is>
      </c>
      <c r="G425" t="n">
        <v>1.7</v>
      </c>
      <c r="H425" t="n">
        <v>0</v>
      </c>
      <c r="I425" t="n">
        <v>0</v>
      </c>
      <c r="J425" t="n">
        <v>0</v>
      </c>
      <c r="K425" t="n">
        <v>0</v>
      </c>
      <c r="L425" t="n">
        <v>0</v>
      </c>
      <c r="M425" t="n">
        <v>0</v>
      </c>
      <c r="N425" t="n">
        <v>0</v>
      </c>
      <c r="O425" t="n">
        <v>0</v>
      </c>
      <c r="P425" t="n">
        <v>0</v>
      </c>
      <c r="Q425" t="n">
        <v>0</v>
      </c>
      <c r="R425" s="2" t="inlineStr"/>
    </row>
    <row r="426" ht="15" customHeight="1">
      <c r="A426" t="inlineStr">
        <is>
          <t>A 50564-2023</t>
        </is>
      </c>
      <c r="B426" s="1" t="n">
        <v>45217.37957175926</v>
      </c>
      <c r="C426" s="1" t="n">
        <v>46038</v>
      </c>
      <c r="D426" t="inlineStr">
        <is>
          <t>SKÅNE LÄN</t>
        </is>
      </c>
      <c r="E426" t="inlineStr">
        <is>
          <t>HÄSSLEHOLM</t>
        </is>
      </c>
      <c r="G426" t="n">
        <v>1.2</v>
      </c>
      <c r="H426" t="n">
        <v>0</v>
      </c>
      <c r="I426" t="n">
        <v>0</v>
      </c>
      <c r="J426" t="n">
        <v>0</v>
      </c>
      <c r="K426" t="n">
        <v>0</v>
      </c>
      <c r="L426" t="n">
        <v>0</v>
      </c>
      <c r="M426" t="n">
        <v>0</v>
      </c>
      <c r="N426" t="n">
        <v>0</v>
      </c>
      <c r="O426" t="n">
        <v>0</v>
      </c>
      <c r="P426" t="n">
        <v>0</v>
      </c>
      <c r="Q426" t="n">
        <v>0</v>
      </c>
      <c r="R426" s="2" t="inlineStr"/>
    </row>
    <row r="427" ht="15" customHeight="1">
      <c r="A427" t="inlineStr">
        <is>
          <t>A 42364-2023</t>
        </is>
      </c>
      <c r="B427" s="1" t="n">
        <v>45180.54754629629</v>
      </c>
      <c r="C427" s="1" t="n">
        <v>46038</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43061-2024</t>
        </is>
      </c>
      <c r="B428" s="1" t="n">
        <v>45567</v>
      </c>
      <c r="C428" s="1" t="n">
        <v>46038</v>
      </c>
      <c r="D428" t="inlineStr">
        <is>
          <t>SKÅNE LÄN</t>
        </is>
      </c>
      <c r="E428" t="inlineStr">
        <is>
          <t>HÄSSLEHOLM</t>
        </is>
      </c>
      <c r="G428" t="n">
        <v>4.5</v>
      </c>
      <c r="H428" t="n">
        <v>0</v>
      </c>
      <c r="I428" t="n">
        <v>0</v>
      </c>
      <c r="J428" t="n">
        <v>0</v>
      </c>
      <c r="K428" t="n">
        <v>0</v>
      </c>
      <c r="L428" t="n">
        <v>0</v>
      </c>
      <c r="M428" t="n">
        <v>0</v>
      </c>
      <c r="N428" t="n">
        <v>0</v>
      </c>
      <c r="O428" t="n">
        <v>0</v>
      </c>
      <c r="P428" t="n">
        <v>0</v>
      </c>
      <c r="Q428" t="n">
        <v>0</v>
      </c>
      <c r="R428" s="2" t="inlineStr"/>
    </row>
    <row r="429" ht="15" customHeight="1">
      <c r="A429" t="inlineStr">
        <is>
          <t>A 55056-2021</t>
        </is>
      </c>
      <c r="B429" s="1" t="n">
        <v>44474.62072916667</v>
      </c>
      <c r="C429" s="1" t="n">
        <v>46038</v>
      </c>
      <c r="D429" t="inlineStr">
        <is>
          <t>SKÅNE LÄN</t>
        </is>
      </c>
      <c r="E429" t="inlineStr">
        <is>
          <t>HÄSSLEHOLM</t>
        </is>
      </c>
      <c r="G429" t="n">
        <v>2.5</v>
      </c>
      <c r="H429" t="n">
        <v>0</v>
      </c>
      <c r="I429" t="n">
        <v>0</v>
      </c>
      <c r="J429" t="n">
        <v>0</v>
      </c>
      <c r="K429" t="n">
        <v>0</v>
      </c>
      <c r="L429" t="n">
        <v>0</v>
      </c>
      <c r="M429" t="n">
        <v>0</v>
      </c>
      <c r="N429" t="n">
        <v>0</v>
      </c>
      <c r="O429" t="n">
        <v>0</v>
      </c>
      <c r="P429" t="n">
        <v>0</v>
      </c>
      <c r="Q429" t="n">
        <v>0</v>
      </c>
      <c r="R429" s="2" t="inlineStr"/>
    </row>
    <row r="430" ht="15" customHeight="1">
      <c r="A430" t="inlineStr">
        <is>
          <t>A 54408-2024</t>
        </is>
      </c>
      <c r="B430" s="1" t="n">
        <v>45617.47263888889</v>
      </c>
      <c r="C430" s="1" t="n">
        <v>46038</v>
      </c>
      <c r="D430" t="inlineStr">
        <is>
          <t>SKÅNE LÄN</t>
        </is>
      </c>
      <c r="E430" t="inlineStr">
        <is>
          <t>HÄSSLEHOLM</t>
        </is>
      </c>
      <c r="G430" t="n">
        <v>1.5</v>
      </c>
      <c r="H430" t="n">
        <v>0</v>
      </c>
      <c r="I430" t="n">
        <v>0</v>
      </c>
      <c r="J430" t="n">
        <v>0</v>
      </c>
      <c r="K430" t="n">
        <v>0</v>
      </c>
      <c r="L430" t="n">
        <v>0</v>
      </c>
      <c r="M430" t="n">
        <v>0</v>
      </c>
      <c r="N430" t="n">
        <v>0</v>
      </c>
      <c r="O430" t="n">
        <v>0</v>
      </c>
      <c r="P430" t="n">
        <v>0</v>
      </c>
      <c r="Q430" t="n">
        <v>0</v>
      </c>
      <c r="R430" s="2" t="inlineStr"/>
    </row>
    <row r="431" ht="15" customHeight="1">
      <c r="A431" t="inlineStr">
        <is>
          <t>A 13544-2025</t>
        </is>
      </c>
      <c r="B431" s="1" t="n">
        <v>45736</v>
      </c>
      <c r="C431" s="1" t="n">
        <v>46038</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54171-2021</t>
        </is>
      </c>
      <c r="B432" s="1" t="n">
        <v>44470</v>
      </c>
      <c r="C432" s="1" t="n">
        <v>46038</v>
      </c>
      <c r="D432" t="inlineStr">
        <is>
          <t>SKÅNE LÄN</t>
        </is>
      </c>
      <c r="E432" t="inlineStr">
        <is>
          <t>HÄSSLEHOLM</t>
        </is>
      </c>
      <c r="G432" t="n">
        <v>1</v>
      </c>
      <c r="H432" t="n">
        <v>0</v>
      </c>
      <c r="I432" t="n">
        <v>0</v>
      </c>
      <c r="J432" t="n">
        <v>0</v>
      </c>
      <c r="K432" t="n">
        <v>0</v>
      </c>
      <c r="L432" t="n">
        <v>0</v>
      </c>
      <c r="M432" t="n">
        <v>0</v>
      </c>
      <c r="N432" t="n">
        <v>0</v>
      </c>
      <c r="O432" t="n">
        <v>0</v>
      </c>
      <c r="P432" t="n">
        <v>0</v>
      </c>
      <c r="Q432" t="n">
        <v>0</v>
      </c>
      <c r="R432" s="2" t="inlineStr"/>
    </row>
    <row r="433" ht="15" customHeight="1">
      <c r="A433" t="inlineStr">
        <is>
          <t>A 5780-2024</t>
        </is>
      </c>
      <c r="B433" s="1" t="n">
        <v>45335.41983796296</v>
      </c>
      <c r="C433" s="1" t="n">
        <v>46038</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19744-2023</t>
        </is>
      </c>
      <c r="B434" s="1" t="n">
        <v>45051</v>
      </c>
      <c r="C434" s="1" t="n">
        <v>46038</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24640-2023</t>
        </is>
      </c>
      <c r="B435" s="1" t="n">
        <v>45084.43181712963</v>
      </c>
      <c r="C435" s="1" t="n">
        <v>46038</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14655-2025</t>
        </is>
      </c>
      <c r="B436" s="1" t="n">
        <v>45742.5072337963</v>
      </c>
      <c r="C436" s="1" t="n">
        <v>46038</v>
      </c>
      <c r="D436" t="inlineStr">
        <is>
          <t>SKÅNE LÄN</t>
        </is>
      </c>
      <c r="E436" t="inlineStr">
        <is>
          <t>HÄSSLEHOLM</t>
        </is>
      </c>
      <c r="G436" t="n">
        <v>4.5</v>
      </c>
      <c r="H436" t="n">
        <v>0</v>
      </c>
      <c r="I436" t="n">
        <v>0</v>
      </c>
      <c r="J436" t="n">
        <v>0</v>
      </c>
      <c r="K436" t="n">
        <v>0</v>
      </c>
      <c r="L436" t="n">
        <v>0</v>
      </c>
      <c r="M436" t="n">
        <v>0</v>
      </c>
      <c r="N436" t="n">
        <v>0</v>
      </c>
      <c r="O436" t="n">
        <v>0</v>
      </c>
      <c r="P436" t="n">
        <v>0</v>
      </c>
      <c r="Q436" t="n">
        <v>0</v>
      </c>
      <c r="R436" s="2" t="inlineStr"/>
    </row>
    <row r="437" ht="15" customHeight="1">
      <c r="A437" t="inlineStr">
        <is>
          <t>A 8755-2024</t>
        </is>
      </c>
      <c r="B437" s="1" t="n">
        <v>45356</v>
      </c>
      <c r="C437" s="1" t="n">
        <v>46038</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8760-2024</t>
        </is>
      </c>
      <c r="B438" s="1" t="n">
        <v>45356.53420138889</v>
      </c>
      <c r="C438" s="1" t="n">
        <v>46038</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14926-2024</t>
        </is>
      </c>
      <c r="B439" s="1" t="n">
        <v>45398</v>
      </c>
      <c r="C439" s="1" t="n">
        <v>46038</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60843-2022</t>
        </is>
      </c>
      <c r="B440" s="1" t="n">
        <v>44914</v>
      </c>
      <c r="C440" s="1" t="n">
        <v>46038</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51618-2024</t>
        </is>
      </c>
      <c r="B441" s="1" t="n">
        <v>45604.82615740741</v>
      </c>
      <c r="C441" s="1" t="n">
        <v>46038</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7481-2023</t>
        </is>
      </c>
      <c r="B442" s="1" t="n">
        <v>44971</v>
      </c>
      <c r="C442" s="1" t="n">
        <v>46038</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61504-2022</t>
        </is>
      </c>
      <c r="B443" s="1" t="n">
        <v>44910</v>
      </c>
      <c r="C443" s="1" t="n">
        <v>46038</v>
      </c>
      <c r="D443" t="inlineStr">
        <is>
          <t>SKÅNE LÄN</t>
        </is>
      </c>
      <c r="E443" t="inlineStr">
        <is>
          <t>HÄSSLEHOLM</t>
        </is>
      </c>
      <c r="F443" t="inlineStr">
        <is>
          <t>Kyrkan</t>
        </is>
      </c>
      <c r="G443" t="n">
        <v>2.9</v>
      </c>
      <c r="H443" t="n">
        <v>0</v>
      </c>
      <c r="I443" t="n">
        <v>0</v>
      </c>
      <c r="J443" t="n">
        <v>0</v>
      </c>
      <c r="K443" t="n">
        <v>0</v>
      </c>
      <c r="L443" t="n">
        <v>0</v>
      </c>
      <c r="M443" t="n">
        <v>0</v>
      </c>
      <c r="N443" t="n">
        <v>0</v>
      </c>
      <c r="O443" t="n">
        <v>0</v>
      </c>
      <c r="P443" t="n">
        <v>0</v>
      </c>
      <c r="Q443" t="n">
        <v>0</v>
      </c>
      <c r="R443" s="2" t="inlineStr"/>
    </row>
    <row r="444" ht="15" customHeight="1">
      <c r="A444" t="inlineStr">
        <is>
          <t>A 59728-2022</t>
        </is>
      </c>
      <c r="B444" s="1" t="n">
        <v>44900</v>
      </c>
      <c r="C444" s="1" t="n">
        <v>46038</v>
      </c>
      <c r="D444" t="inlineStr">
        <is>
          <t>SKÅNE LÄN</t>
        </is>
      </c>
      <c r="E444" t="inlineStr">
        <is>
          <t>HÄSSLEHOLM</t>
        </is>
      </c>
      <c r="G444" t="n">
        <v>0.3</v>
      </c>
      <c r="H444" t="n">
        <v>0</v>
      </c>
      <c r="I444" t="n">
        <v>0</v>
      </c>
      <c r="J444" t="n">
        <v>0</v>
      </c>
      <c r="K444" t="n">
        <v>0</v>
      </c>
      <c r="L444" t="n">
        <v>0</v>
      </c>
      <c r="M444" t="n">
        <v>0</v>
      </c>
      <c r="N444" t="n">
        <v>0</v>
      </c>
      <c r="O444" t="n">
        <v>0</v>
      </c>
      <c r="P444" t="n">
        <v>0</v>
      </c>
      <c r="Q444" t="n">
        <v>0</v>
      </c>
      <c r="R444" s="2" t="inlineStr"/>
    </row>
    <row r="445" ht="15" customHeight="1">
      <c r="A445" t="inlineStr">
        <is>
          <t>A 23683-2023</t>
        </is>
      </c>
      <c r="B445" s="1" t="n">
        <v>45077</v>
      </c>
      <c r="C445" s="1" t="n">
        <v>46038</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19739-2023</t>
        </is>
      </c>
      <c r="B446" s="1" t="n">
        <v>45051</v>
      </c>
      <c r="C446" s="1" t="n">
        <v>46038</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2663-2023</t>
        </is>
      </c>
      <c r="B447" s="1" t="n">
        <v>44942</v>
      </c>
      <c r="C447" s="1" t="n">
        <v>46038</v>
      </c>
      <c r="D447" t="inlineStr">
        <is>
          <t>SKÅNE LÄN</t>
        </is>
      </c>
      <c r="E447" t="inlineStr">
        <is>
          <t>HÄSSLEHOLM</t>
        </is>
      </c>
      <c r="F447" t="inlineStr">
        <is>
          <t>Kyrkan</t>
        </is>
      </c>
      <c r="G447" t="n">
        <v>0.8</v>
      </c>
      <c r="H447" t="n">
        <v>0</v>
      </c>
      <c r="I447" t="n">
        <v>0</v>
      </c>
      <c r="J447" t="n">
        <v>0</v>
      </c>
      <c r="K447" t="n">
        <v>0</v>
      </c>
      <c r="L447" t="n">
        <v>0</v>
      </c>
      <c r="M447" t="n">
        <v>0</v>
      </c>
      <c r="N447" t="n">
        <v>0</v>
      </c>
      <c r="O447" t="n">
        <v>0</v>
      </c>
      <c r="P447" t="n">
        <v>0</v>
      </c>
      <c r="Q447" t="n">
        <v>0</v>
      </c>
      <c r="R447" s="2" t="inlineStr"/>
    </row>
    <row r="448" ht="15" customHeight="1">
      <c r="A448" t="inlineStr">
        <is>
          <t>A 23172-2022</t>
        </is>
      </c>
      <c r="B448" s="1" t="n">
        <v>44719</v>
      </c>
      <c r="C448" s="1" t="n">
        <v>46038</v>
      </c>
      <c r="D448" t="inlineStr">
        <is>
          <t>SKÅNE LÄN</t>
        </is>
      </c>
      <c r="E448" t="inlineStr">
        <is>
          <t>HÄSSLEHOLM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23173-2022</t>
        </is>
      </c>
      <c r="B449" s="1" t="n">
        <v>44719.72155092593</v>
      </c>
      <c r="C449" s="1" t="n">
        <v>46038</v>
      </c>
      <c r="D449" t="inlineStr">
        <is>
          <t>SKÅNE LÄN</t>
        </is>
      </c>
      <c r="E449" t="inlineStr">
        <is>
          <t>HÄSSLEHOLM</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8249-2023</t>
        </is>
      </c>
      <c r="B450" s="1" t="n">
        <v>44974</v>
      </c>
      <c r="C450" s="1" t="n">
        <v>46038</v>
      </c>
      <c r="D450" t="inlineStr">
        <is>
          <t>SKÅNE LÄN</t>
        </is>
      </c>
      <c r="E450" t="inlineStr">
        <is>
          <t>HÄSSLEHOLM</t>
        </is>
      </c>
      <c r="G450" t="n">
        <v>5.8</v>
      </c>
      <c r="H450" t="n">
        <v>0</v>
      </c>
      <c r="I450" t="n">
        <v>0</v>
      </c>
      <c r="J450" t="n">
        <v>0</v>
      </c>
      <c r="K450" t="n">
        <v>0</v>
      </c>
      <c r="L450" t="n">
        <v>0</v>
      </c>
      <c r="M450" t="n">
        <v>0</v>
      </c>
      <c r="N450" t="n">
        <v>0</v>
      </c>
      <c r="O450" t="n">
        <v>0</v>
      </c>
      <c r="P450" t="n">
        <v>0</v>
      </c>
      <c r="Q450" t="n">
        <v>0</v>
      </c>
      <c r="R450" s="2" t="inlineStr"/>
    </row>
    <row r="451" ht="15" customHeight="1">
      <c r="A451" t="inlineStr">
        <is>
          <t>A 52968-2022</t>
        </is>
      </c>
      <c r="B451" s="1" t="n">
        <v>44875</v>
      </c>
      <c r="C451" s="1" t="n">
        <v>46038</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17492-2025</t>
        </is>
      </c>
      <c r="B452" s="1" t="n">
        <v>45747</v>
      </c>
      <c r="C452" s="1" t="n">
        <v>46038</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47840-2023</t>
        </is>
      </c>
      <c r="B453" s="1" t="n">
        <v>45204</v>
      </c>
      <c r="C453" s="1" t="n">
        <v>46038</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62277-2023</t>
        </is>
      </c>
      <c r="B454" s="1" t="n">
        <v>45266</v>
      </c>
      <c r="C454" s="1" t="n">
        <v>46038</v>
      </c>
      <c r="D454" t="inlineStr">
        <is>
          <t>SKÅNE LÄN</t>
        </is>
      </c>
      <c r="E454" t="inlineStr">
        <is>
          <t>HÄSSLEHOLM</t>
        </is>
      </c>
      <c r="G454" t="n">
        <v>1.2</v>
      </c>
      <c r="H454" t="n">
        <v>0</v>
      </c>
      <c r="I454" t="n">
        <v>0</v>
      </c>
      <c r="J454" t="n">
        <v>0</v>
      </c>
      <c r="K454" t="n">
        <v>0</v>
      </c>
      <c r="L454" t="n">
        <v>0</v>
      </c>
      <c r="M454" t="n">
        <v>0</v>
      </c>
      <c r="N454" t="n">
        <v>0</v>
      </c>
      <c r="O454" t="n">
        <v>0</v>
      </c>
      <c r="P454" t="n">
        <v>0</v>
      </c>
      <c r="Q454" t="n">
        <v>0</v>
      </c>
      <c r="R454" s="2" t="inlineStr"/>
    </row>
    <row r="455" ht="15" customHeight="1">
      <c r="A455" t="inlineStr">
        <is>
          <t>A 34369-2023</t>
        </is>
      </c>
      <c r="B455" s="1" t="n">
        <v>45139.47817129629</v>
      </c>
      <c r="C455" s="1" t="n">
        <v>46038</v>
      </c>
      <c r="D455" t="inlineStr">
        <is>
          <t>SKÅNE LÄN</t>
        </is>
      </c>
      <c r="E455" t="inlineStr">
        <is>
          <t>HÄSSLEHOLM</t>
        </is>
      </c>
      <c r="G455" t="n">
        <v>2</v>
      </c>
      <c r="H455" t="n">
        <v>0</v>
      </c>
      <c r="I455" t="n">
        <v>0</v>
      </c>
      <c r="J455" t="n">
        <v>0</v>
      </c>
      <c r="K455" t="n">
        <v>0</v>
      </c>
      <c r="L455" t="n">
        <v>0</v>
      </c>
      <c r="M455" t="n">
        <v>0</v>
      </c>
      <c r="N455" t="n">
        <v>0</v>
      </c>
      <c r="O455" t="n">
        <v>0</v>
      </c>
      <c r="P455" t="n">
        <v>0</v>
      </c>
      <c r="Q455" t="n">
        <v>0</v>
      </c>
      <c r="R455" s="2" t="inlineStr"/>
    </row>
    <row r="456" ht="15" customHeight="1">
      <c r="A456" t="inlineStr">
        <is>
          <t>A 59763-2022</t>
        </is>
      </c>
      <c r="B456" s="1" t="n">
        <v>44900</v>
      </c>
      <c r="C456" s="1" t="n">
        <v>46038</v>
      </c>
      <c r="D456" t="inlineStr">
        <is>
          <t>SKÅNE LÄN</t>
        </is>
      </c>
      <c r="E456" t="inlineStr">
        <is>
          <t>HÄSSLEHOLM</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3364-2023</t>
        </is>
      </c>
      <c r="B457" s="1" t="n">
        <v>44949</v>
      </c>
      <c r="C457" s="1" t="n">
        <v>46038</v>
      </c>
      <c r="D457" t="inlineStr">
        <is>
          <t>SKÅNE LÄN</t>
        </is>
      </c>
      <c r="E457" t="inlineStr">
        <is>
          <t>HÄSSLEHOLM</t>
        </is>
      </c>
      <c r="G457" t="n">
        <v>5.1</v>
      </c>
      <c r="H457" t="n">
        <v>0</v>
      </c>
      <c r="I457" t="n">
        <v>0</v>
      </c>
      <c r="J457" t="n">
        <v>0</v>
      </c>
      <c r="K457" t="n">
        <v>0</v>
      </c>
      <c r="L457" t="n">
        <v>0</v>
      </c>
      <c r="M457" t="n">
        <v>0</v>
      </c>
      <c r="N457" t="n">
        <v>0</v>
      </c>
      <c r="O457" t="n">
        <v>0</v>
      </c>
      <c r="P457" t="n">
        <v>0</v>
      </c>
      <c r="Q457" t="n">
        <v>0</v>
      </c>
      <c r="R457" s="2" t="inlineStr"/>
    </row>
    <row r="458" ht="15" customHeight="1">
      <c r="A458" t="inlineStr">
        <is>
          <t>A 34834-2023</t>
        </is>
      </c>
      <c r="B458" s="1" t="n">
        <v>45141.7199537037</v>
      </c>
      <c r="C458" s="1" t="n">
        <v>46038</v>
      </c>
      <c r="D458" t="inlineStr">
        <is>
          <t>SKÅNE LÄN</t>
        </is>
      </c>
      <c r="E458" t="inlineStr">
        <is>
          <t>HÄSSLEHOLM</t>
        </is>
      </c>
      <c r="G458" t="n">
        <v>1</v>
      </c>
      <c r="H458" t="n">
        <v>0</v>
      </c>
      <c r="I458" t="n">
        <v>0</v>
      </c>
      <c r="J458" t="n">
        <v>0</v>
      </c>
      <c r="K458" t="n">
        <v>0</v>
      </c>
      <c r="L458" t="n">
        <v>0</v>
      </c>
      <c r="M458" t="n">
        <v>0</v>
      </c>
      <c r="N458" t="n">
        <v>0</v>
      </c>
      <c r="O458" t="n">
        <v>0</v>
      </c>
      <c r="P458" t="n">
        <v>0</v>
      </c>
      <c r="Q458" t="n">
        <v>0</v>
      </c>
      <c r="R458" s="2" t="inlineStr"/>
    </row>
    <row r="459" ht="15" customHeight="1">
      <c r="A459" t="inlineStr">
        <is>
          <t>A 52642-2021</t>
        </is>
      </c>
      <c r="B459" s="1" t="n">
        <v>44466.64298611111</v>
      </c>
      <c r="C459" s="1" t="n">
        <v>46038</v>
      </c>
      <c r="D459" t="inlineStr">
        <is>
          <t>SKÅNE LÄN</t>
        </is>
      </c>
      <c r="E459" t="inlineStr">
        <is>
          <t>HÄSSLEHOLM</t>
        </is>
      </c>
      <c r="G459" t="n">
        <v>3.7</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46038</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48627-2023</t>
        </is>
      </c>
      <c r="B461" s="1" t="n">
        <v>45208.57371527778</v>
      </c>
      <c r="C461" s="1" t="n">
        <v>46038</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11607-2025</t>
        </is>
      </c>
      <c r="B462" s="1" t="n">
        <v>45727</v>
      </c>
      <c r="C462" s="1" t="n">
        <v>46038</v>
      </c>
      <c r="D462" t="inlineStr">
        <is>
          <t>SKÅNE LÄN</t>
        </is>
      </c>
      <c r="E462" t="inlineStr">
        <is>
          <t>HÄSSLEHOLM</t>
        </is>
      </c>
      <c r="G462" t="n">
        <v>4.1</v>
      </c>
      <c r="H462" t="n">
        <v>0</v>
      </c>
      <c r="I462" t="n">
        <v>0</v>
      </c>
      <c r="J462" t="n">
        <v>0</v>
      </c>
      <c r="K462" t="n">
        <v>0</v>
      </c>
      <c r="L462" t="n">
        <v>0</v>
      </c>
      <c r="M462" t="n">
        <v>0</v>
      </c>
      <c r="N462" t="n">
        <v>0</v>
      </c>
      <c r="O462" t="n">
        <v>0</v>
      </c>
      <c r="P462" t="n">
        <v>0</v>
      </c>
      <c r="Q462" t="n">
        <v>0</v>
      </c>
      <c r="R462" s="2" t="inlineStr"/>
    </row>
    <row r="463" ht="15" customHeight="1">
      <c r="A463" t="inlineStr">
        <is>
          <t>A 1557-2023</t>
        </is>
      </c>
      <c r="B463" s="1" t="n">
        <v>44937</v>
      </c>
      <c r="C463" s="1" t="n">
        <v>46038</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50664-2023</t>
        </is>
      </c>
      <c r="B464" s="1" t="n">
        <v>45217</v>
      </c>
      <c r="C464" s="1" t="n">
        <v>46038</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720-2025</t>
        </is>
      </c>
      <c r="B465" s="1" t="n">
        <v>45665.3744212963</v>
      </c>
      <c r="C465" s="1" t="n">
        <v>46038</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15562-2024</t>
        </is>
      </c>
      <c r="B466" s="1" t="n">
        <v>45401.64975694445</v>
      </c>
      <c r="C466" s="1" t="n">
        <v>46038</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9239-2025</t>
        </is>
      </c>
      <c r="B467" s="1" t="n">
        <v>45714</v>
      </c>
      <c r="C467" s="1" t="n">
        <v>46038</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42428-2022</t>
        </is>
      </c>
      <c r="B468" s="1" t="n">
        <v>44831</v>
      </c>
      <c r="C468" s="1" t="n">
        <v>46038</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62171-2022</t>
        </is>
      </c>
      <c r="B469" s="1" t="n">
        <v>44915</v>
      </c>
      <c r="C469" s="1" t="n">
        <v>46038</v>
      </c>
      <c r="D469" t="inlineStr">
        <is>
          <t>SKÅNE LÄN</t>
        </is>
      </c>
      <c r="E469" t="inlineStr">
        <is>
          <t>HÄSSLEHOLM</t>
        </is>
      </c>
      <c r="F469" t="inlineStr">
        <is>
          <t>Kyrkan</t>
        </is>
      </c>
      <c r="G469" t="n">
        <v>9</v>
      </c>
      <c r="H469" t="n">
        <v>0</v>
      </c>
      <c r="I469" t="n">
        <v>0</v>
      </c>
      <c r="J469" t="n">
        <v>0</v>
      </c>
      <c r="K469" t="n">
        <v>0</v>
      </c>
      <c r="L469" t="n">
        <v>0</v>
      </c>
      <c r="M469" t="n">
        <v>0</v>
      </c>
      <c r="N469" t="n">
        <v>0</v>
      </c>
      <c r="O469" t="n">
        <v>0</v>
      </c>
      <c r="P469" t="n">
        <v>0</v>
      </c>
      <c r="Q469" t="n">
        <v>0</v>
      </c>
      <c r="R469" s="2" t="inlineStr"/>
    </row>
    <row r="470" ht="15" customHeight="1">
      <c r="A470" t="inlineStr">
        <is>
          <t>A 12182-2025</t>
        </is>
      </c>
      <c r="B470" s="1" t="n">
        <v>45729</v>
      </c>
      <c r="C470" s="1" t="n">
        <v>46038</v>
      </c>
      <c r="D470" t="inlineStr">
        <is>
          <t>SKÅNE LÄN</t>
        </is>
      </c>
      <c r="E470" t="inlineStr">
        <is>
          <t>HÄSSLEHOLM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56956-2024</t>
        </is>
      </c>
      <c r="B471" s="1" t="n">
        <v>45626</v>
      </c>
      <c r="C471" s="1" t="n">
        <v>46038</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9885-2021</t>
        </is>
      </c>
      <c r="B472" s="1" t="n">
        <v>44253</v>
      </c>
      <c r="C472" s="1" t="n">
        <v>46038</v>
      </c>
      <c r="D472" t="inlineStr">
        <is>
          <t>SKÅNE LÄN</t>
        </is>
      </c>
      <c r="E472" t="inlineStr">
        <is>
          <t>HÄSSLEHOLM</t>
        </is>
      </c>
      <c r="G472" t="n">
        <v>2.4</v>
      </c>
      <c r="H472" t="n">
        <v>0</v>
      </c>
      <c r="I472" t="n">
        <v>0</v>
      </c>
      <c r="J472" t="n">
        <v>0</v>
      </c>
      <c r="K472" t="n">
        <v>0</v>
      </c>
      <c r="L472" t="n">
        <v>0</v>
      </c>
      <c r="M472" t="n">
        <v>0</v>
      </c>
      <c r="N472" t="n">
        <v>0</v>
      </c>
      <c r="O472" t="n">
        <v>0</v>
      </c>
      <c r="P472" t="n">
        <v>0</v>
      </c>
      <c r="Q472" t="n">
        <v>0</v>
      </c>
      <c r="R472" s="2" t="inlineStr"/>
    </row>
    <row r="473" ht="15" customHeight="1">
      <c r="A473" t="inlineStr">
        <is>
          <t>A 26403-2024</t>
        </is>
      </c>
      <c r="B473" s="1" t="n">
        <v>45469.44505787037</v>
      </c>
      <c r="C473" s="1" t="n">
        <v>46038</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26403-2024</t>
        </is>
      </c>
      <c r="B474" s="1" t="n">
        <v>45469.44505787037</v>
      </c>
      <c r="C474" s="1" t="n">
        <v>46038</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9556-2025</t>
        </is>
      </c>
      <c r="B475" s="1" t="n">
        <v>45714</v>
      </c>
      <c r="C475" s="1" t="n">
        <v>46038</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60848-2022</t>
        </is>
      </c>
      <c r="B476" s="1" t="n">
        <v>44914</v>
      </c>
      <c r="C476" s="1" t="n">
        <v>46038</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6164-2023</t>
        </is>
      </c>
      <c r="B477" s="1" t="n">
        <v>44964.66871527778</v>
      </c>
      <c r="C477" s="1" t="n">
        <v>46038</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35711-2024</t>
        </is>
      </c>
      <c r="B478" s="1" t="n">
        <v>45532</v>
      </c>
      <c r="C478" s="1" t="n">
        <v>46038</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56490-2021</t>
        </is>
      </c>
      <c r="B479" s="1" t="n">
        <v>44480</v>
      </c>
      <c r="C479" s="1" t="n">
        <v>46038</v>
      </c>
      <c r="D479" t="inlineStr">
        <is>
          <t>SKÅNE LÄN</t>
        </is>
      </c>
      <c r="E479" t="inlineStr">
        <is>
          <t>HÄSSLEHOLM</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16860-2025</t>
        </is>
      </c>
      <c r="B480" s="1" t="n">
        <v>45751</v>
      </c>
      <c r="C480" s="1" t="n">
        <v>46038</v>
      </c>
      <c r="D480" t="inlineStr">
        <is>
          <t>SKÅNE LÄN</t>
        </is>
      </c>
      <c r="E480" t="inlineStr">
        <is>
          <t>HÄSSLEHOLM</t>
        </is>
      </c>
      <c r="G480" t="n">
        <v>1.3</v>
      </c>
      <c r="H480" t="n">
        <v>0</v>
      </c>
      <c r="I480" t="n">
        <v>0</v>
      </c>
      <c r="J480" t="n">
        <v>0</v>
      </c>
      <c r="K480" t="n">
        <v>0</v>
      </c>
      <c r="L480" t="n">
        <v>0</v>
      </c>
      <c r="M480" t="n">
        <v>0</v>
      </c>
      <c r="N480" t="n">
        <v>0</v>
      </c>
      <c r="O480" t="n">
        <v>0</v>
      </c>
      <c r="P480" t="n">
        <v>0</v>
      </c>
      <c r="Q480" t="n">
        <v>0</v>
      </c>
      <c r="R480" s="2" t="inlineStr"/>
    </row>
    <row r="481" ht="15" customHeight="1">
      <c r="A481" t="inlineStr">
        <is>
          <t>A 5476-2021</t>
        </is>
      </c>
      <c r="B481" s="1" t="n">
        <v>44230</v>
      </c>
      <c r="C481" s="1" t="n">
        <v>46038</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45392-2024</t>
        </is>
      </c>
      <c r="B482" s="1" t="n">
        <v>45576.55008101852</v>
      </c>
      <c r="C482" s="1" t="n">
        <v>46038</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6122-2021</t>
        </is>
      </c>
      <c r="B483" s="1" t="n">
        <v>44232.55091435185</v>
      </c>
      <c r="C483" s="1" t="n">
        <v>46038</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16454-2023</t>
        </is>
      </c>
      <c r="B484" s="1" t="n">
        <v>45029.48425925926</v>
      </c>
      <c r="C484" s="1" t="n">
        <v>46038</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17335-2024</t>
        </is>
      </c>
      <c r="B485" s="1" t="n">
        <v>45414.5687962963</v>
      </c>
      <c r="C485" s="1" t="n">
        <v>46038</v>
      </c>
      <c r="D485" t="inlineStr">
        <is>
          <t>SKÅNE LÄN</t>
        </is>
      </c>
      <c r="E485" t="inlineStr">
        <is>
          <t>HÄSSLEHOLM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61680-2022</t>
        </is>
      </c>
      <c r="B486" s="1" t="n">
        <v>44917.36372685185</v>
      </c>
      <c r="C486" s="1" t="n">
        <v>46038</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61489-2024</t>
        </is>
      </c>
      <c r="B487" s="1" t="n">
        <v>45646.54875</v>
      </c>
      <c r="C487" s="1" t="n">
        <v>46038</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24246-2023</t>
        </is>
      </c>
      <c r="B488" s="1" t="n">
        <v>45079</v>
      </c>
      <c r="C488" s="1" t="n">
        <v>46038</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24249-2023</t>
        </is>
      </c>
      <c r="B489" s="1" t="n">
        <v>45079.62466435185</v>
      </c>
      <c r="C489" s="1" t="n">
        <v>46038</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28071-2023</t>
        </is>
      </c>
      <c r="B490" s="1" t="n">
        <v>45099.37755787037</v>
      </c>
      <c r="C490" s="1" t="n">
        <v>46038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17699-2024</t>
        </is>
      </c>
      <c r="B491" s="1" t="n">
        <v>45418.46094907408</v>
      </c>
      <c r="C491" s="1" t="n">
        <v>46038</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17702-2024</t>
        </is>
      </c>
      <c r="B492" s="1" t="n">
        <v>45418.46534722222</v>
      </c>
      <c r="C492" s="1" t="n">
        <v>46038</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31989-2024</t>
        </is>
      </c>
      <c r="B493" s="1" t="n">
        <v>45510.58085648148</v>
      </c>
      <c r="C493" s="1" t="n">
        <v>46038</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1120-2024</t>
        </is>
      </c>
      <c r="B494" s="1" t="n">
        <v>45302.4452662037</v>
      </c>
      <c r="C494" s="1" t="n">
        <v>46038</v>
      </c>
      <c r="D494" t="inlineStr">
        <is>
          <t>SKÅNE LÄN</t>
        </is>
      </c>
      <c r="E494" t="inlineStr">
        <is>
          <t>HÄSSLEHOLM</t>
        </is>
      </c>
      <c r="G494" t="n">
        <v>2.7</v>
      </c>
      <c r="H494" t="n">
        <v>0</v>
      </c>
      <c r="I494" t="n">
        <v>0</v>
      </c>
      <c r="J494" t="n">
        <v>0</v>
      </c>
      <c r="K494" t="n">
        <v>0</v>
      </c>
      <c r="L494" t="n">
        <v>0</v>
      </c>
      <c r="M494" t="n">
        <v>0</v>
      </c>
      <c r="N494" t="n">
        <v>0</v>
      </c>
      <c r="O494" t="n">
        <v>0</v>
      </c>
      <c r="P494" t="n">
        <v>0</v>
      </c>
      <c r="Q494" t="n">
        <v>0</v>
      </c>
      <c r="R494" s="2" t="inlineStr"/>
    </row>
    <row r="495" ht="15" customHeight="1">
      <c r="A495" t="inlineStr">
        <is>
          <t>A 6101-2022</t>
        </is>
      </c>
      <c r="B495" s="1" t="n">
        <v>44599.63016203704</v>
      </c>
      <c r="C495" s="1" t="n">
        <v>46038</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16951-2025</t>
        </is>
      </c>
      <c r="B496" s="1" t="n">
        <v>45755</v>
      </c>
      <c r="C496" s="1" t="n">
        <v>46038</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60973-2024</t>
        </is>
      </c>
      <c r="B497" s="1" t="n">
        <v>45644</v>
      </c>
      <c r="C497" s="1" t="n">
        <v>46038</v>
      </c>
      <c r="D497" t="inlineStr">
        <is>
          <t>SKÅNE LÄN</t>
        </is>
      </c>
      <c r="E497" t="inlineStr">
        <is>
          <t>HÄSSLEHOLM</t>
        </is>
      </c>
      <c r="G497" t="n">
        <v>3.6</v>
      </c>
      <c r="H497" t="n">
        <v>0</v>
      </c>
      <c r="I497" t="n">
        <v>0</v>
      </c>
      <c r="J497" t="n">
        <v>0</v>
      </c>
      <c r="K497" t="n">
        <v>0</v>
      </c>
      <c r="L497" t="n">
        <v>0</v>
      </c>
      <c r="M497" t="n">
        <v>0</v>
      </c>
      <c r="N497" t="n">
        <v>0</v>
      </c>
      <c r="O497" t="n">
        <v>0</v>
      </c>
      <c r="P497" t="n">
        <v>0</v>
      </c>
      <c r="Q497" t="n">
        <v>0</v>
      </c>
      <c r="R497" s="2" t="inlineStr"/>
    </row>
    <row r="498" ht="15" customHeight="1">
      <c r="A498" t="inlineStr">
        <is>
          <t>A 18648-2021</t>
        </is>
      </c>
      <c r="B498" s="1" t="n">
        <v>44306.70583333333</v>
      </c>
      <c r="C498" s="1" t="n">
        <v>46038</v>
      </c>
      <c r="D498" t="inlineStr">
        <is>
          <t>SKÅNE LÄN</t>
        </is>
      </c>
      <c r="E498" t="inlineStr">
        <is>
          <t>HÄSSLEHOLM</t>
        </is>
      </c>
      <c r="G498" t="n">
        <v>2.5</v>
      </c>
      <c r="H498" t="n">
        <v>0</v>
      </c>
      <c r="I498" t="n">
        <v>0</v>
      </c>
      <c r="J498" t="n">
        <v>0</v>
      </c>
      <c r="K498" t="n">
        <v>0</v>
      </c>
      <c r="L498" t="n">
        <v>0</v>
      </c>
      <c r="M498" t="n">
        <v>0</v>
      </c>
      <c r="N498" t="n">
        <v>0</v>
      </c>
      <c r="O498" t="n">
        <v>0</v>
      </c>
      <c r="P498" t="n">
        <v>0</v>
      </c>
      <c r="Q498" t="n">
        <v>0</v>
      </c>
      <c r="R498" s="2" t="inlineStr"/>
    </row>
    <row r="499" ht="15" customHeight="1">
      <c r="A499" t="inlineStr">
        <is>
          <t>A 16614-2025</t>
        </is>
      </c>
      <c r="B499" s="1" t="n">
        <v>45754.283125</v>
      </c>
      <c r="C499" s="1" t="n">
        <v>46038</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27478-2023</t>
        </is>
      </c>
      <c r="B500" s="1" t="n">
        <v>45092</v>
      </c>
      <c r="C500" s="1" t="n">
        <v>46038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37898-2021</t>
        </is>
      </c>
      <c r="B501" s="1" t="n">
        <v>44403</v>
      </c>
      <c r="C501" s="1" t="n">
        <v>46038</v>
      </c>
      <c r="D501" t="inlineStr">
        <is>
          <t>SKÅNE LÄN</t>
        </is>
      </c>
      <c r="E501" t="inlineStr">
        <is>
          <t>HÄSSLEHOLM</t>
        </is>
      </c>
      <c r="F501" t="inlineStr">
        <is>
          <t>Kommuner</t>
        </is>
      </c>
      <c r="G501" t="n">
        <v>8.4</v>
      </c>
      <c r="H501" t="n">
        <v>0</v>
      </c>
      <c r="I501" t="n">
        <v>0</v>
      </c>
      <c r="J501" t="n">
        <v>0</v>
      </c>
      <c r="K501" t="n">
        <v>0</v>
      </c>
      <c r="L501" t="n">
        <v>0</v>
      </c>
      <c r="M501" t="n">
        <v>0</v>
      </c>
      <c r="N501" t="n">
        <v>0</v>
      </c>
      <c r="O501" t="n">
        <v>0</v>
      </c>
      <c r="P501" t="n">
        <v>0</v>
      </c>
      <c r="Q501" t="n">
        <v>0</v>
      </c>
      <c r="R501" s="2" t="inlineStr"/>
    </row>
    <row r="502" ht="15" customHeight="1">
      <c r="A502" t="inlineStr">
        <is>
          <t>A 3888-2024</t>
        </is>
      </c>
      <c r="B502" s="1" t="n">
        <v>45322.45089120371</v>
      </c>
      <c r="C502" s="1" t="n">
        <v>46038</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3889-2024</t>
        </is>
      </c>
      <c r="B503" s="1" t="n">
        <v>45322.45234953704</v>
      </c>
      <c r="C503" s="1" t="n">
        <v>46038</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3294-2025</t>
        </is>
      </c>
      <c r="B504" s="1" t="n">
        <v>45679.64125</v>
      </c>
      <c r="C504" s="1" t="n">
        <v>46038</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23946-2023</t>
        </is>
      </c>
      <c r="B505" s="1" t="n">
        <v>45078.61601851852</v>
      </c>
      <c r="C505" s="1" t="n">
        <v>46038</v>
      </c>
      <c r="D505" t="inlineStr">
        <is>
          <t>SKÅNE LÄN</t>
        </is>
      </c>
      <c r="E505" t="inlineStr">
        <is>
          <t>HÄSSLEHOLM</t>
        </is>
      </c>
      <c r="G505" t="n">
        <v>0.2</v>
      </c>
      <c r="H505" t="n">
        <v>0</v>
      </c>
      <c r="I505" t="n">
        <v>0</v>
      </c>
      <c r="J505" t="n">
        <v>0</v>
      </c>
      <c r="K505" t="n">
        <v>0</v>
      </c>
      <c r="L505" t="n">
        <v>0</v>
      </c>
      <c r="M505" t="n">
        <v>0</v>
      </c>
      <c r="N505" t="n">
        <v>0</v>
      </c>
      <c r="O505" t="n">
        <v>0</v>
      </c>
      <c r="P505" t="n">
        <v>0</v>
      </c>
      <c r="Q505" t="n">
        <v>0</v>
      </c>
      <c r="R505" s="2" t="inlineStr"/>
    </row>
    <row r="506" ht="15" customHeight="1">
      <c r="A506" t="inlineStr">
        <is>
          <t>A 9669-2025</t>
        </is>
      </c>
      <c r="B506" s="1" t="n">
        <v>45716.32921296296</v>
      </c>
      <c r="C506" s="1" t="n">
        <v>46038</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26641-2023</t>
        </is>
      </c>
      <c r="B507" s="1" t="n">
        <v>45092.89619212963</v>
      </c>
      <c r="C507" s="1" t="n">
        <v>46038</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31995-2023</t>
        </is>
      </c>
      <c r="B508" s="1" t="n">
        <v>45107</v>
      </c>
      <c r="C508" s="1" t="n">
        <v>46038</v>
      </c>
      <c r="D508" t="inlineStr">
        <is>
          <t>SKÅNE LÄN</t>
        </is>
      </c>
      <c r="E508" t="inlineStr">
        <is>
          <t>HÄSSLEHOLM</t>
        </is>
      </c>
      <c r="G508" t="n">
        <v>7.3</v>
      </c>
      <c r="H508" t="n">
        <v>0</v>
      </c>
      <c r="I508" t="n">
        <v>0</v>
      </c>
      <c r="J508" t="n">
        <v>0</v>
      </c>
      <c r="K508" t="n">
        <v>0</v>
      </c>
      <c r="L508" t="n">
        <v>0</v>
      </c>
      <c r="M508" t="n">
        <v>0</v>
      </c>
      <c r="N508" t="n">
        <v>0</v>
      </c>
      <c r="O508" t="n">
        <v>0</v>
      </c>
      <c r="P508" t="n">
        <v>0</v>
      </c>
      <c r="Q508" t="n">
        <v>0</v>
      </c>
      <c r="R508" s="2" t="inlineStr"/>
    </row>
    <row r="509" ht="15" customHeight="1">
      <c r="A509" t="inlineStr">
        <is>
          <t>A 31998-2023</t>
        </is>
      </c>
      <c r="B509" s="1" t="n">
        <v>45119</v>
      </c>
      <c r="C509" s="1" t="n">
        <v>46038</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41459-2022</t>
        </is>
      </c>
      <c r="B510" s="1" t="n">
        <v>44826.93372685185</v>
      </c>
      <c r="C510" s="1" t="n">
        <v>46038</v>
      </c>
      <c r="D510" t="inlineStr">
        <is>
          <t>SKÅNE LÄN</t>
        </is>
      </c>
      <c r="E510" t="inlineStr">
        <is>
          <t>HÄSSLEHOLM</t>
        </is>
      </c>
      <c r="G510" t="n">
        <v>2.3</v>
      </c>
      <c r="H510" t="n">
        <v>0</v>
      </c>
      <c r="I510" t="n">
        <v>0</v>
      </c>
      <c r="J510" t="n">
        <v>0</v>
      </c>
      <c r="K510" t="n">
        <v>0</v>
      </c>
      <c r="L510" t="n">
        <v>0</v>
      </c>
      <c r="M510" t="n">
        <v>0</v>
      </c>
      <c r="N510" t="n">
        <v>0</v>
      </c>
      <c r="O510" t="n">
        <v>0</v>
      </c>
      <c r="P510" t="n">
        <v>0</v>
      </c>
      <c r="Q510" t="n">
        <v>0</v>
      </c>
      <c r="R510" s="2" t="inlineStr"/>
    </row>
    <row r="511" ht="15" customHeight="1">
      <c r="A511" t="inlineStr">
        <is>
          <t>A 6791-2021</t>
        </is>
      </c>
      <c r="B511" s="1" t="n">
        <v>44236</v>
      </c>
      <c r="C511" s="1" t="n">
        <v>46038</v>
      </c>
      <c r="D511" t="inlineStr">
        <is>
          <t>SKÅNE LÄN</t>
        </is>
      </c>
      <c r="E511" t="inlineStr">
        <is>
          <t>HÄSSLEHOLM</t>
        </is>
      </c>
      <c r="G511" t="n">
        <v>1.7</v>
      </c>
      <c r="H511" t="n">
        <v>0</v>
      </c>
      <c r="I511" t="n">
        <v>0</v>
      </c>
      <c r="J511" t="n">
        <v>0</v>
      </c>
      <c r="K511" t="n">
        <v>0</v>
      </c>
      <c r="L511" t="n">
        <v>0</v>
      </c>
      <c r="M511" t="n">
        <v>0</v>
      </c>
      <c r="N511" t="n">
        <v>0</v>
      </c>
      <c r="O511" t="n">
        <v>0</v>
      </c>
      <c r="P511" t="n">
        <v>0</v>
      </c>
      <c r="Q511" t="n">
        <v>0</v>
      </c>
      <c r="R511" s="2" t="inlineStr"/>
    </row>
    <row r="512" ht="15" customHeight="1">
      <c r="A512" t="inlineStr">
        <is>
          <t>A 5478-2021</t>
        </is>
      </c>
      <c r="B512" s="1" t="n">
        <v>44230</v>
      </c>
      <c r="C512" s="1" t="n">
        <v>46038</v>
      </c>
      <c r="D512" t="inlineStr">
        <is>
          <t>SKÅNE LÄN</t>
        </is>
      </c>
      <c r="E512" t="inlineStr">
        <is>
          <t>HÄSSLEHOLM</t>
        </is>
      </c>
      <c r="G512" t="n">
        <v>0.1</v>
      </c>
      <c r="H512" t="n">
        <v>0</v>
      </c>
      <c r="I512" t="n">
        <v>0</v>
      </c>
      <c r="J512" t="n">
        <v>0</v>
      </c>
      <c r="K512" t="n">
        <v>0</v>
      </c>
      <c r="L512" t="n">
        <v>0</v>
      </c>
      <c r="M512" t="n">
        <v>0</v>
      </c>
      <c r="N512" t="n">
        <v>0</v>
      </c>
      <c r="O512" t="n">
        <v>0</v>
      </c>
      <c r="P512" t="n">
        <v>0</v>
      </c>
      <c r="Q512" t="n">
        <v>0</v>
      </c>
      <c r="R512" s="2" t="inlineStr"/>
    </row>
    <row r="513" ht="15" customHeight="1">
      <c r="A513" t="inlineStr">
        <is>
          <t>A 6327-2021</t>
        </is>
      </c>
      <c r="B513" s="1" t="n">
        <v>44235</v>
      </c>
      <c r="C513" s="1" t="n">
        <v>46038</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7150-2025</t>
        </is>
      </c>
      <c r="B514" s="1" t="n">
        <v>45702.38239583333</v>
      </c>
      <c r="C514" s="1" t="n">
        <v>46038</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1560-2023</t>
        </is>
      </c>
      <c r="B515" s="1" t="n">
        <v>44937</v>
      </c>
      <c r="C515" s="1" t="n">
        <v>46038</v>
      </c>
      <c r="D515" t="inlineStr">
        <is>
          <t>SKÅNE LÄN</t>
        </is>
      </c>
      <c r="E515" t="inlineStr">
        <is>
          <t>HÄSSLEHOLM</t>
        </is>
      </c>
      <c r="G515" t="n">
        <v>6.8</v>
      </c>
      <c r="H515" t="n">
        <v>0</v>
      </c>
      <c r="I515" t="n">
        <v>0</v>
      </c>
      <c r="J515" t="n">
        <v>0</v>
      </c>
      <c r="K515" t="n">
        <v>0</v>
      </c>
      <c r="L515" t="n">
        <v>0</v>
      </c>
      <c r="M515" t="n">
        <v>0</v>
      </c>
      <c r="N515" t="n">
        <v>0</v>
      </c>
      <c r="O515" t="n">
        <v>0</v>
      </c>
      <c r="P515" t="n">
        <v>0</v>
      </c>
      <c r="Q515" t="n">
        <v>0</v>
      </c>
      <c r="R515" s="2" t="inlineStr"/>
    </row>
    <row r="516" ht="15" customHeight="1">
      <c r="A516" t="inlineStr">
        <is>
          <t>A 20185-2023</t>
        </is>
      </c>
      <c r="B516" s="1" t="n">
        <v>45055.56795138889</v>
      </c>
      <c r="C516" s="1" t="n">
        <v>46038</v>
      </c>
      <c r="D516" t="inlineStr">
        <is>
          <t>SKÅNE LÄN</t>
        </is>
      </c>
      <c r="E516" t="inlineStr">
        <is>
          <t>HÄSSLEHOLM</t>
        </is>
      </c>
      <c r="G516" t="n">
        <v>3.5</v>
      </c>
      <c r="H516" t="n">
        <v>0</v>
      </c>
      <c r="I516" t="n">
        <v>0</v>
      </c>
      <c r="J516" t="n">
        <v>0</v>
      </c>
      <c r="K516" t="n">
        <v>0</v>
      </c>
      <c r="L516" t="n">
        <v>0</v>
      </c>
      <c r="M516" t="n">
        <v>0</v>
      </c>
      <c r="N516" t="n">
        <v>0</v>
      </c>
      <c r="O516" t="n">
        <v>0</v>
      </c>
      <c r="P516" t="n">
        <v>0</v>
      </c>
      <c r="Q516" t="n">
        <v>0</v>
      </c>
      <c r="R516" s="2" t="inlineStr"/>
    </row>
    <row r="517" ht="15" customHeight="1">
      <c r="A517" t="inlineStr">
        <is>
          <t>A 16397-2022</t>
        </is>
      </c>
      <c r="B517" s="1" t="n">
        <v>44671</v>
      </c>
      <c r="C517" s="1" t="n">
        <v>46038</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16398-2022</t>
        </is>
      </c>
      <c r="B518" s="1" t="n">
        <v>44671</v>
      </c>
      <c r="C518" s="1" t="n">
        <v>46038</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4512-2024</t>
        </is>
      </c>
      <c r="B519" s="1" t="n">
        <v>45327.6312962963</v>
      </c>
      <c r="C519" s="1" t="n">
        <v>46038</v>
      </c>
      <c r="D519" t="inlineStr">
        <is>
          <t>SKÅNE LÄN</t>
        </is>
      </c>
      <c r="E519" t="inlineStr">
        <is>
          <t>HÄSSLEHOLM</t>
        </is>
      </c>
      <c r="G519" t="n">
        <v>2</v>
      </c>
      <c r="H519" t="n">
        <v>0</v>
      </c>
      <c r="I519" t="n">
        <v>0</v>
      </c>
      <c r="J519" t="n">
        <v>0</v>
      </c>
      <c r="K519" t="n">
        <v>0</v>
      </c>
      <c r="L519" t="n">
        <v>0</v>
      </c>
      <c r="M519" t="n">
        <v>0</v>
      </c>
      <c r="N519" t="n">
        <v>0</v>
      </c>
      <c r="O519" t="n">
        <v>0</v>
      </c>
      <c r="P519" t="n">
        <v>0</v>
      </c>
      <c r="Q519" t="n">
        <v>0</v>
      </c>
      <c r="R519" s="2" t="inlineStr"/>
    </row>
    <row r="520" ht="15" customHeight="1">
      <c r="A520" t="inlineStr">
        <is>
          <t>A 28599-2024</t>
        </is>
      </c>
      <c r="B520" s="1" t="n">
        <v>45478.4247800926</v>
      </c>
      <c r="C520" s="1" t="n">
        <v>46038</v>
      </c>
      <c r="D520" t="inlineStr">
        <is>
          <t>SKÅNE LÄN</t>
        </is>
      </c>
      <c r="E520" t="inlineStr">
        <is>
          <t>HÄSSLEHOLM</t>
        </is>
      </c>
      <c r="G520" t="n">
        <v>8.6</v>
      </c>
      <c r="H520" t="n">
        <v>0</v>
      </c>
      <c r="I520" t="n">
        <v>0</v>
      </c>
      <c r="J520" t="n">
        <v>0</v>
      </c>
      <c r="K520" t="n">
        <v>0</v>
      </c>
      <c r="L520" t="n">
        <v>0</v>
      </c>
      <c r="M520" t="n">
        <v>0</v>
      </c>
      <c r="N520" t="n">
        <v>0</v>
      </c>
      <c r="O520" t="n">
        <v>0</v>
      </c>
      <c r="P520" t="n">
        <v>0</v>
      </c>
      <c r="Q520" t="n">
        <v>0</v>
      </c>
      <c r="R520" s="2" t="inlineStr"/>
    </row>
    <row r="521" ht="15" customHeight="1">
      <c r="A521" t="inlineStr">
        <is>
          <t>A 15512-2025</t>
        </is>
      </c>
      <c r="B521" s="1" t="n">
        <v>45747</v>
      </c>
      <c r="C521" s="1" t="n">
        <v>46038</v>
      </c>
      <c r="D521" t="inlineStr">
        <is>
          <t>SKÅNE LÄN</t>
        </is>
      </c>
      <c r="E521" t="inlineStr">
        <is>
          <t>HÄSSLEHOLM</t>
        </is>
      </c>
      <c r="G521" t="n">
        <v>3.5</v>
      </c>
      <c r="H521" t="n">
        <v>0</v>
      </c>
      <c r="I521" t="n">
        <v>0</v>
      </c>
      <c r="J521" t="n">
        <v>0</v>
      </c>
      <c r="K521" t="n">
        <v>0</v>
      </c>
      <c r="L521" t="n">
        <v>0</v>
      </c>
      <c r="M521" t="n">
        <v>0</v>
      </c>
      <c r="N521" t="n">
        <v>0</v>
      </c>
      <c r="O521" t="n">
        <v>0</v>
      </c>
      <c r="P521" t="n">
        <v>0</v>
      </c>
      <c r="Q521" t="n">
        <v>0</v>
      </c>
      <c r="R521" s="2" t="inlineStr"/>
    </row>
    <row r="522" ht="15" customHeight="1">
      <c r="A522" t="inlineStr">
        <is>
          <t>A 39366-2025</t>
        </is>
      </c>
      <c r="B522" s="1" t="n">
        <v>45889</v>
      </c>
      <c r="C522" s="1" t="n">
        <v>46038</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39044-2024</t>
        </is>
      </c>
      <c r="B523" s="1" t="n">
        <v>45548.47707175926</v>
      </c>
      <c r="C523" s="1" t="n">
        <v>46038</v>
      </c>
      <c r="D523" t="inlineStr">
        <is>
          <t>SKÅNE LÄN</t>
        </is>
      </c>
      <c r="E523" t="inlineStr">
        <is>
          <t>HÄSSLEHOLM</t>
        </is>
      </c>
      <c r="G523" t="n">
        <v>2.8</v>
      </c>
      <c r="H523" t="n">
        <v>0</v>
      </c>
      <c r="I523" t="n">
        <v>0</v>
      </c>
      <c r="J523" t="n">
        <v>0</v>
      </c>
      <c r="K523" t="n">
        <v>0</v>
      </c>
      <c r="L523" t="n">
        <v>0</v>
      </c>
      <c r="M523" t="n">
        <v>0</v>
      </c>
      <c r="N523" t="n">
        <v>0</v>
      </c>
      <c r="O523" t="n">
        <v>0</v>
      </c>
      <c r="P523" t="n">
        <v>0</v>
      </c>
      <c r="Q523" t="n">
        <v>0</v>
      </c>
      <c r="R523" s="2" t="inlineStr"/>
    </row>
    <row r="524" ht="15" customHeight="1">
      <c r="A524" t="inlineStr">
        <is>
          <t>A 16121-2025</t>
        </is>
      </c>
      <c r="B524" s="1" t="n">
        <v>45750.40384259259</v>
      </c>
      <c r="C524" s="1" t="n">
        <v>46038</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11446-2025</t>
        </is>
      </c>
      <c r="B525" s="1" t="n">
        <v>45726</v>
      </c>
      <c r="C525" s="1" t="n">
        <v>46038</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29847-2024</t>
        </is>
      </c>
      <c r="B526" s="1" t="n">
        <v>45485.6278587963</v>
      </c>
      <c r="C526" s="1" t="n">
        <v>46038</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4734-2025</t>
        </is>
      </c>
      <c r="B527" s="1" t="n">
        <v>45688.44030092593</v>
      </c>
      <c r="C527" s="1" t="n">
        <v>46038</v>
      </c>
      <c r="D527" t="inlineStr">
        <is>
          <t>SKÅNE LÄN</t>
        </is>
      </c>
      <c r="E527" t="inlineStr">
        <is>
          <t>HÄSSLEHOLM</t>
        </is>
      </c>
      <c r="G527" t="n">
        <v>19.6</v>
      </c>
      <c r="H527" t="n">
        <v>0</v>
      </c>
      <c r="I527" t="n">
        <v>0</v>
      </c>
      <c r="J527" t="n">
        <v>0</v>
      </c>
      <c r="K527" t="n">
        <v>0</v>
      </c>
      <c r="L527" t="n">
        <v>0</v>
      </c>
      <c r="M527" t="n">
        <v>0</v>
      </c>
      <c r="N527" t="n">
        <v>0</v>
      </c>
      <c r="O527" t="n">
        <v>0</v>
      </c>
      <c r="P527" t="n">
        <v>0</v>
      </c>
      <c r="Q527" t="n">
        <v>0</v>
      </c>
      <c r="R527" s="2" t="inlineStr"/>
    </row>
    <row r="528" ht="15" customHeight="1">
      <c r="A528" t="inlineStr">
        <is>
          <t>A 19020-2024</t>
        </is>
      </c>
      <c r="B528" s="1" t="n">
        <v>45427.66167824074</v>
      </c>
      <c r="C528" s="1" t="n">
        <v>46038</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40734-2024</t>
        </is>
      </c>
      <c r="B529" s="1" t="n">
        <v>45558</v>
      </c>
      <c r="C529" s="1" t="n">
        <v>46038</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40738-2024</t>
        </is>
      </c>
      <c r="B530" s="1" t="n">
        <v>45558</v>
      </c>
      <c r="C530" s="1" t="n">
        <v>46038</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24776-2025</t>
        </is>
      </c>
      <c r="B531" s="1" t="n">
        <v>45799.40640046296</v>
      </c>
      <c r="C531" s="1" t="n">
        <v>46038</v>
      </c>
      <c r="D531" t="inlineStr">
        <is>
          <t>SKÅNE LÄN</t>
        </is>
      </c>
      <c r="E531" t="inlineStr">
        <is>
          <t>HÄSSLEHOLM</t>
        </is>
      </c>
      <c r="G531" t="n">
        <v>5.4</v>
      </c>
      <c r="H531" t="n">
        <v>0</v>
      </c>
      <c r="I531" t="n">
        <v>0</v>
      </c>
      <c r="J531" t="n">
        <v>0</v>
      </c>
      <c r="K531" t="n">
        <v>0</v>
      </c>
      <c r="L531" t="n">
        <v>0</v>
      </c>
      <c r="M531" t="n">
        <v>0</v>
      </c>
      <c r="N531" t="n">
        <v>0</v>
      </c>
      <c r="O531" t="n">
        <v>0</v>
      </c>
      <c r="P531" t="n">
        <v>0</v>
      </c>
      <c r="Q531" t="n">
        <v>0</v>
      </c>
      <c r="R531" s="2" t="inlineStr"/>
    </row>
    <row r="532" ht="15" customHeight="1">
      <c r="A532" t="inlineStr">
        <is>
          <t>A 39453-2025</t>
        </is>
      </c>
      <c r="B532" s="1" t="n">
        <v>45889</v>
      </c>
      <c r="C532" s="1" t="n">
        <v>46038</v>
      </c>
      <c r="D532" t="inlineStr">
        <is>
          <t>SKÅNE LÄN</t>
        </is>
      </c>
      <c r="E532" t="inlineStr">
        <is>
          <t>HÄSSLEHOLM</t>
        </is>
      </c>
      <c r="G532" t="n">
        <v>2.5</v>
      </c>
      <c r="H532" t="n">
        <v>0</v>
      </c>
      <c r="I532" t="n">
        <v>0</v>
      </c>
      <c r="J532" t="n">
        <v>0</v>
      </c>
      <c r="K532" t="n">
        <v>0</v>
      </c>
      <c r="L532" t="n">
        <v>0</v>
      </c>
      <c r="M532" t="n">
        <v>0</v>
      </c>
      <c r="N532" t="n">
        <v>0</v>
      </c>
      <c r="O532" t="n">
        <v>0</v>
      </c>
      <c r="P532" t="n">
        <v>0</v>
      </c>
      <c r="Q532" t="n">
        <v>0</v>
      </c>
      <c r="R532" s="2" t="inlineStr"/>
    </row>
    <row r="533" ht="15" customHeight="1">
      <c r="A533" t="inlineStr">
        <is>
          <t>A 49199-2024</t>
        </is>
      </c>
      <c r="B533" s="1" t="n">
        <v>45595</v>
      </c>
      <c r="C533" s="1" t="n">
        <v>46038</v>
      </c>
      <c r="D533" t="inlineStr">
        <is>
          <t>SKÅNE LÄN</t>
        </is>
      </c>
      <c r="E533" t="inlineStr">
        <is>
          <t>HÄSSLEHOLM</t>
        </is>
      </c>
      <c r="G533" t="n">
        <v>5.2</v>
      </c>
      <c r="H533" t="n">
        <v>0</v>
      </c>
      <c r="I533" t="n">
        <v>0</v>
      </c>
      <c r="J533" t="n">
        <v>0</v>
      </c>
      <c r="K533" t="n">
        <v>0</v>
      </c>
      <c r="L533" t="n">
        <v>0</v>
      </c>
      <c r="M533" t="n">
        <v>0</v>
      </c>
      <c r="N533" t="n">
        <v>0</v>
      </c>
      <c r="O533" t="n">
        <v>0</v>
      </c>
      <c r="P533" t="n">
        <v>0</v>
      </c>
      <c r="Q533" t="n">
        <v>0</v>
      </c>
      <c r="R533" s="2" t="inlineStr"/>
    </row>
    <row r="534" ht="15" customHeight="1">
      <c r="A534" t="inlineStr">
        <is>
          <t>A 39934-2025</t>
        </is>
      </c>
      <c r="B534" s="1" t="n">
        <v>45891.71465277778</v>
      </c>
      <c r="C534" s="1" t="n">
        <v>46038</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6638-2021</t>
        </is>
      </c>
      <c r="B535" s="1" t="n">
        <v>44235</v>
      </c>
      <c r="C535" s="1" t="n">
        <v>46038</v>
      </c>
      <c r="D535" t="inlineStr">
        <is>
          <t>SKÅNE LÄN</t>
        </is>
      </c>
      <c r="E535" t="inlineStr">
        <is>
          <t>HÄSSLEHOLM</t>
        </is>
      </c>
      <c r="G535" t="n">
        <v>112.4</v>
      </c>
      <c r="H535" t="n">
        <v>0</v>
      </c>
      <c r="I535" t="n">
        <v>0</v>
      </c>
      <c r="J535" t="n">
        <v>0</v>
      </c>
      <c r="K535" t="n">
        <v>0</v>
      </c>
      <c r="L535" t="n">
        <v>0</v>
      </c>
      <c r="M535" t="n">
        <v>0</v>
      </c>
      <c r="N535" t="n">
        <v>0</v>
      </c>
      <c r="O535" t="n">
        <v>0</v>
      </c>
      <c r="P535" t="n">
        <v>0</v>
      </c>
      <c r="Q535" t="n">
        <v>0</v>
      </c>
      <c r="R535" s="2" t="inlineStr"/>
    </row>
    <row r="536" ht="15" customHeight="1">
      <c r="A536" t="inlineStr">
        <is>
          <t>A 39457-2025</t>
        </is>
      </c>
      <c r="B536" s="1" t="n">
        <v>45889.76887731482</v>
      </c>
      <c r="C536" s="1" t="n">
        <v>46038</v>
      </c>
      <c r="D536" t="inlineStr">
        <is>
          <t>SKÅNE LÄN</t>
        </is>
      </c>
      <c r="E536" t="inlineStr">
        <is>
          <t>HÄSSLEHOLM</t>
        </is>
      </c>
      <c r="G536" t="n">
        <v>6.6</v>
      </c>
      <c r="H536" t="n">
        <v>0</v>
      </c>
      <c r="I536" t="n">
        <v>0</v>
      </c>
      <c r="J536" t="n">
        <v>0</v>
      </c>
      <c r="K536" t="n">
        <v>0</v>
      </c>
      <c r="L536" t="n">
        <v>0</v>
      </c>
      <c r="M536" t="n">
        <v>0</v>
      </c>
      <c r="N536" t="n">
        <v>0</v>
      </c>
      <c r="O536" t="n">
        <v>0</v>
      </c>
      <c r="P536" t="n">
        <v>0</v>
      </c>
      <c r="Q536" t="n">
        <v>0</v>
      </c>
      <c r="R536" s="2" t="inlineStr"/>
    </row>
    <row r="537" ht="15" customHeight="1">
      <c r="A537" t="inlineStr">
        <is>
          <t>A 39937-2025</t>
        </is>
      </c>
      <c r="B537" s="1" t="n">
        <v>45891.73162037037</v>
      </c>
      <c r="C537" s="1" t="n">
        <v>46038</v>
      </c>
      <c r="D537" t="inlineStr">
        <is>
          <t>SKÅNE LÄN</t>
        </is>
      </c>
      <c r="E537" t="inlineStr">
        <is>
          <t>HÄSSLEHOLM</t>
        </is>
      </c>
      <c r="G537" t="n">
        <v>4.5</v>
      </c>
      <c r="H537" t="n">
        <v>0</v>
      </c>
      <c r="I537" t="n">
        <v>0</v>
      </c>
      <c r="J537" t="n">
        <v>0</v>
      </c>
      <c r="K537" t="n">
        <v>0</v>
      </c>
      <c r="L537" t="n">
        <v>0</v>
      </c>
      <c r="M537" t="n">
        <v>0</v>
      </c>
      <c r="N537" t="n">
        <v>0</v>
      </c>
      <c r="O537" t="n">
        <v>0</v>
      </c>
      <c r="P537" t="n">
        <v>0</v>
      </c>
      <c r="Q537" t="n">
        <v>0</v>
      </c>
      <c r="R537" s="2" t="inlineStr"/>
    </row>
    <row r="538" ht="15" customHeight="1">
      <c r="A538" t="inlineStr">
        <is>
          <t>A 2712-2024</t>
        </is>
      </c>
      <c r="B538" s="1" t="n">
        <v>45314</v>
      </c>
      <c r="C538" s="1" t="n">
        <v>46038</v>
      </c>
      <c r="D538" t="inlineStr">
        <is>
          <t>SKÅNE LÄN</t>
        </is>
      </c>
      <c r="E538" t="inlineStr">
        <is>
          <t>HÄSSLEHOLM</t>
        </is>
      </c>
      <c r="G538" t="n">
        <v>11.3</v>
      </c>
      <c r="H538" t="n">
        <v>0</v>
      </c>
      <c r="I538" t="n">
        <v>0</v>
      </c>
      <c r="J538" t="n">
        <v>0</v>
      </c>
      <c r="K538" t="n">
        <v>0</v>
      </c>
      <c r="L538" t="n">
        <v>0</v>
      </c>
      <c r="M538" t="n">
        <v>0</v>
      </c>
      <c r="N538" t="n">
        <v>0</v>
      </c>
      <c r="O538" t="n">
        <v>0</v>
      </c>
      <c r="P538" t="n">
        <v>0</v>
      </c>
      <c r="Q538" t="n">
        <v>0</v>
      </c>
      <c r="R538" s="2" t="inlineStr"/>
    </row>
    <row r="539" ht="15" customHeight="1">
      <c r="A539" t="inlineStr">
        <is>
          <t>A 22384-2024</t>
        </is>
      </c>
      <c r="B539" s="1" t="n">
        <v>45446.65592592592</v>
      </c>
      <c r="C539" s="1" t="n">
        <v>46038</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56986-2024</t>
        </is>
      </c>
      <c r="B540" s="1" t="n">
        <v>45626</v>
      </c>
      <c r="C540" s="1" t="n">
        <v>46038</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46222-2022</t>
        </is>
      </c>
      <c r="B541" s="1" t="n">
        <v>44847.58725694445</v>
      </c>
      <c r="C541" s="1" t="n">
        <v>46038</v>
      </c>
      <c r="D541" t="inlineStr">
        <is>
          <t>SKÅNE LÄN</t>
        </is>
      </c>
      <c r="E541" t="inlineStr">
        <is>
          <t>HÄSSLEHOLM</t>
        </is>
      </c>
      <c r="G541" t="n">
        <v>6.3</v>
      </c>
      <c r="H541" t="n">
        <v>0</v>
      </c>
      <c r="I541" t="n">
        <v>0</v>
      </c>
      <c r="J541" t="n">
        <v>0</v>
      </c>
      <c r="K541" t="n">
        <v>0</v>
      </c>
      <c r="L541" t="n">
        <v>0</v>
      </c>
      <c r="M541" t="n">
        <v>0</v>
      </c>
      <c r="N541" t="n">
        <v>0</v>
      </c>
      <c r="O541" t="n">
        <v>0</v>
      </c>
      <c r="P541" t="n">
        <v>0</v>
      </c>
      <c r="Q541" t="n">
        <v>0</v>
      </c>
      <c r="R541" s="2" t="inlineStr"/>
    </row>
    <row r="542" ht="15" customHeight="1">
      <c r="A542" t="inlineStr">
        <is>
          <t>A 9555-2025</t>
        </is>
      </c>
      <c r="B542" s="1" t="n">
        <v>45714</v>
      </c>
      <c r="C542" s="1" t="n">
        <v>46038</v>
      </c>
      <c r="D542" t="inlineStr">
        <is>
          <t>SKÅNE LÄN</t>
        </is>
      </c>
      <c r="E542" t="inlineStr">
        <is>
          <t>HÄSSLEHOLM</t>
        </is>
      </c>
      <c r="G542" t="n">
        <v>5.4</v>
      </c>
      <c r="H542" t="n">
        <v>0</v>
      </c>
      <c r="I542" t="n">
        <v>0</v>
      </c>
      <c r="J542" t="n">
        <v>0</v>
      </c>
      <c r="K542" t="n">
        <v>0</v>
      </c>
      <c r="L542" t="n">
        <v>0</v>
      </c>
      <c r="M542" t="n">
        <v>0</v>
      </c>
      <c r="N542" t="n">
        <v>0</v>
      </c>
      <c r="O542" t="n">
        <v>0</v>
      </c>
      <c r="P542" t="n">
        <v>0</v>
      </c>
      <c r="Q542" t="n">
        <v>0</v>
      </c>
      <c r="R542" s="2" t="inlineStr"/>
    </row>
    <row r="543" ht="15" customHeight="1">
      <c r="A543" t="inlineStr">
        <is>
          <t>A 2567-2024</t>
        </is>
      </c>
      <c r="B543" s="1" t="n">
        <v>45313.62460648148</v>
      </c>
      <c r="C543" s="1" t="n">
        <v>46038</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40241-2025</t>
        </is>
      </c>
      <c r="B544" s="1" t="n">
        <v>45894.87251157407</v>
      </c>
      <c r="C544" s="1" t="n">
        <v>46038</v>
      </c>
      <c r="D544" t="inlineStr">
        <is>
          <t>SKÅNE LÄN</t>
        </is>
      </c>
      <c r="E544" t="inlineStr">
        <is>
          <t>HÄSSLEHOLM</t>
        </is>
      </c>
      <c r="G544" t="n">
        <v>3.8</v>
      </c>
      <c r="H544" t="n">
        <v>0</v>
      </c>
      <c r="I544" t="n">
        <v>0</v>
      </c>
      <c r="J544" t="n">
        <v>0</v>
      </c>
      <c r="K544" t="n">
        <v>0</v>
      </c>
      <c r="L544" t="n">
        <v>0</v>
      </c>
      <c r="M544" t="n">
        <v>0</v>
      </c>
      <c r="N544" t="n">
        <v>0</v>
      </c>
      <c r="O544" t="n">
        <v>0</v>
      </c>
      <c r="P544" t="n">
        <v>0</v>
      </c>
      <c r="Q544" t="n">
        <v>0</v>
      </c>
      <c r="R544" s="2" t="inlineStr"/>
    </row>
    <row r="545" ht="15" customHeight="1">
      <c r="A545" t="inlineStr">
        <is>
          <t>A 28632-2024</t>
        </is>
      </c>
      <c r="B545" s="1" t="n">
        <v>45478</v>
      </c>
      <c r="C545" s="1" t="n">
        <v>46038</v>
      </c>
      <c r="D545" t="inlineStr">
        <is>
          <t>SKÅNE LÄN</t>
        </is>
      </c>
      <c r="E545" t="inlineStr">
        <is>
          <t>HÄSSLEHOLM</t>
        </is>
      </c>
      <c r="G545" t="n">
        <v>4</v>
      </c>
      <c r="H545" t="n">
        <v>0</v>
      </c>
      <c r="I545" t="n">
        <v>0</v>
      </c>
      <c r="J545" t="n">
        <v>0</v>
      </c>
      <c r="K545" t="n">
        <v>0</v>
      </c>
      <c r="L545" t="n">
        <v>0</v>
      </c>
      <c r="M545" t="n">
        <v>0</v>
      </c>
      <c r="N545" t="n">
        <v>0</v>
      </c>
      <c r="O545" t="n">
        <v>0</v>
      </c>
      <c r="P545" t="n">
        <v>0</v>
      </c>
      <c r="Q545" t="n">
        <v>0</v>
      </c>
      <c r="R545" s="2" t="inlineStr"/>
    </row>
    <row r="546" ht="15" customHeight="1">
      <c r="A546" t="inlineStr">
        <is>
          <t>A 11708-2025</t>
        </is>
      </c>
      <c r="B546" s="1" t="n">
        <v>45727.58626157408</v>
      </c>
      <c r="C546" s="1" t="n">
        <v>46038</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21028-2021</t>
        </is>
      </c>
      <c r="B547" s="1" t="n">
        <v>44319</v>
      </c>
      <c r="C547" s="1" t="n">
        <v>46038</v>
      </c>
      <c r="D547" t="inlineStr">
        <is>
          <t>SKÅNE LÄN</t>
        </is>
      </c>
      <c r="E547" t="inlineStr">
        <is>
          <t>HÄSSLEHOLM</t>
        </is>
      </c>
      <c r="G547" t="n">
        <v>3.1</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46038</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3855-2023</t>
        </is>
      </c>
      <c r="B549" s="1" t="n">
        <v>44951.69708333333</v>
      </c>
      <c r="C549" s="1" t="n">
        <v>46038</v>
      </c>
      <c r="D549" t="inlineStr">
        <is>
          <t>SKÅNE LÄN</t>
        </is>
      </c>
      <c r="E549" t="inlineStr">
        <is>
          <t>HÄSSLEHOLM</t>
        </is>
      </c>
      <c r="G549" t="n">
        <v>2.3</v>
      </c>
      <c r="H549" t="n">
        <v>0</v>
      </c>
      <c r="I549" t="n">
        <v>0</v>
      </c>
      <c r="J549" t="n">
        <v>0</v>
      </c>
      <c r="K549" t="n">
        <v>0</v>
      </c>
      <c r="L549" t="n">
        <v>0</v>
      </c>
      <c r="M549" t="n">
        <v>0</v>
      </c>
      <c r="N549" t="n">
        <v>0</v>
      </c>
      <c r="O549" t="n">
        <v>0</v>
      </c>
      <c r="P549" t="n">
        <v>0</v>
      </c>
      <c r="Q549" t="n">
        <v>0</v>
      </c>
      <c r="R549" s="2" t="inlineStr"/>
    </row>
    <row r="550" ht="15" customHeight="1">
      <c r="A550" t="inlineStr">
        <is>
          <t>A 33481-2024</t>
        </is>
      </c>
      <c r="B550" s="1" t="n">
        <v>45519</v>
      </c>
      <c r="C550" s="1" t="n">
        <v>46038</v>
      </c>
      <c r="D550" t="inlineStr">
        <is>
          <t>SKÅNE LÄN</t>
        </is>
      </c>
      <c r="E550" t="inlineStr">
        <is>
          <t>HÄSSLEHOLM</t>
        </is>
      </c>
      <c r="G550" t="n">
        <v>3</v>
      </c>
      <c r="H550" t="n">
        <v>0</v>
      </c>
      <c r="I550" t="n">
        <v>0</v>
      </c>
      <c r="J550" t="n">
        <v>0</v>
      </c>
      <c r="K550" t="n">
        <v>0</v>
      </c>
      <c r="L550" t="n">
        <v>0</v>
      </c>
      <c r="M550" t="n">
        <v>0</v>
      </c>
      <c r="N550" t="n">
        <v>0</v>
      </c>
      <c r="O550" t="n">
        <v>0</v>
      </c>
      <c r="P550" t="n">
        <v>0</v>
      </c>
      <c r="Q550" t="n">
        <v>0</v>
      </c>
      <c r="R550" s="2" t="inlineStr"/>
    </row>
    <row r="551" ht="15" customHeight="1">
      <c r="A551" t="inlineStr">
        <is>
          <t>A 2813-2021</t>
        </is>
      </c>
      <c r="B551" s="1" t="n">
        <v>44215</v>
      </c>
      <c r="C551" s="1" t="n">
        <v>46038</v>
      </c>
      <c r="D551" t="inlineStr">
        <is>
          <t>SKÅNE LÄN</t>
        </is>
      </c>
      <c r="E551" t="inlineStr">
        <is>
          <t>HÄSSLEHOLM</t>
        </is>
      </c>
      <c r="G551" t="n">
        <v>7.1</v>
      </c>
      <c r="H551" t="n">
        <v>0</v>
      </c>
      <c r="I551" t="n">
        <v>0</v>
      </c>
      <c r="J551" t="n">
        <v>0</v>
      </c>
      <c r="K551" t="n">
        <v>0</v>
      </c>
      <c r="L551" t="n">
        <v>0</v>
      </c>
      <c r="M551" t="n">
        <v>0</v>
      </c>
      <c r="N551" t="n">
        <v>0</v>
      </c>
      <c r="O551" t="n">
        <v>0</v>
      </c>
      <c r="P551" t="n">
        <v>0</v>
      </c>
      <c r="Q551" t="n">
        <v>0</v>
      </c>
      <c r="R551" s="2" t="inlineStr"/>
    </row>
    <row r="552" ht="15" customHeight="1">
      <c r="A552" t="inlineStr">
        <is>
          <t>A 1289-2024</t>
        </is>
      </c>
      <c r="B552" s="1" t="n">
        <v>45303.32234953704</v>
      </c>
      <c r="C552" s="1" t="n">
        <v>46038</v>
      </c>
      <c r="D552" t="inlineStr">
        <is>
          <t>SKÅNE LÄN</t>
        </is>
      </c>
      <c r="E552" t="inlineStr">
        <is>
          <t>HÄSSLEHOLM</t>
        </is>
      </c>
      <c r="G552" t="n">
        <v>4.6</v>
      </c>
      <c r="H552" t="n">
        <v>0</v>
      </c>
      <c r="I552" t="n">
        <v>0</v>
      </c>
      <c r="J552" t="n">
        <v>0</v>
      </c>
      <c r="K552" t="n">
        <v>0</v>
      </c>
      <c r="L552" t="n">
        <v>0</v>
      </c>
      <c r="M552" t="n">
        <v>0</v>
      </c>
      <c r="N552" t="n">
        <v>0</v>
      </c>
      <c r="O552" t="n">
        <v>0</v>
      </c>
      <c r="P552" t="n">
        <v>0</v>
      </c>
      <c r="Q552" t="n">
        <v>0</v>
      </c>
      <c r="R552" s="2" t="inlineStr"/>
    </row>
    <row r="553" ht="15" customHeight="1">
      <c r="A553" t="inlineStr">
        <is>
          <t>A 51571-2023</t>
        </is>
      </c>
      <c r="B553" s="1" t="n">
        <v>45222</v>
      </c>
      <c r="C553" s="1" t="n">
        <v>46038</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54176-2022</t>
        </is>
      </c>
      <c r="B554" s="1" t="n">
        <v>44881</v>
      </c>
      <c r="C554" s="1" t="n">
        <v>46038</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7152-2025</t>
        </is>
      </c>
      <c r="B555" s="1" t="n">
        <v>45702.3837037037</v>
      </c>
      <c r="C555" s="1" t="n">
        <v>46038</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7160-2025</t>
        </is>
      </c>
      <c r="B556" s="1" t="n">
        <v>45702.3875462963</v>
      </c>
      <c r="C556" s="1" t="n">
        <v>46038</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27291-2023</t>
        </is>
      </c>
      <c r="B557" s="1" t="n">
        <v>45096</v>
      </c>
      <c r="C557" s="1" t="n">
        <v>46038</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49181-2024</t>
        </is>
      </c>
      <c r="B558" s="1" t="n">
        <v>45595</v>
      </c>
      <c r="C558" s="1" t="n">
        <v>46038</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32794-2023</t>
        </is>
      </c>
      <c r="B559" s="1" t="n">
        <v>45124.40446759259</v>
      </c>
      <c r="C559" s="1" t="n">
        <v>46038</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61436-2024</t>
        </is>
      </c>
      <c r="B560" s="1" t="n">
        <v>45646.46329861111</v>
      </c>
      <c r="C560" s="1" t="n">
        <v>46038</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441-2022</t>
        </is>
      </c>
      <c r="B561" s="1" t="n">
        <v>44565.97125</v>
      </c>
      <c r="C561" s="1" t="n">
        <v>46038</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37300-2023</t>
        </is>
      </c>
      <c r="B562" s="1" t="n">
        <v>45156</v>
      </c>
      <c r="C562" s="1" t="n">
        <v>46038</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5887-2025</t>
        </is>
      </c>
      <c r="B563" s="1" t="n">
        <v>45695.37925925926</v>
      </c>
      <c r="C563" s="1" t="n">
        <v>46038</v>
      </c>
      <c r="D563" t="inlineStr">
        <is>
          <t>SKÅNE LÄN</t>
        </is>
      </c>
      <c r="E563" t="inlineStr">
        <is>
          <t>HÄSSLEHOLM</t>
        </is>
      </c>
      <c r="G563" t="n">
        <v>4.8</v>
      </c>
      <c r="H563" t="n">
        <v>0</v>
      </c>
      <c r="I563" t="n">
        <v>0</v>
      </c>
      <c r="J563" t="n">
        <v>0</v>
      </c>
      <c r="K563" t="n">
        <v>0</v>
      </c>
      <c r="L563" t="n">
        <v>0</v>
      </c>
      <c r="M563" t="n">
        <v>0</v>
      </c>
      <c r="N563" t="n">
        <v>0</v>
      </c>
      <c r="O563" t="n">
        <v>0</v>
      </c>
      <c r="P563" t="n">
        <v>0</v>
      </c>
      <c r="Q563" t="n">
        <v>0</v>
      </c>
      <c r="R563" s="2" t="inlineStr"/>
    </row>
    <row r="564" ht="15" customHeight="1">
      <c r="A564" t="inlineStr">
        <is>
          <t>A 41400-2025</t>
        </is>
      </c>
      <c r="B564" s="1" t="n">
        <v>45901</v>
      </c>
      <c r="C564" s="1" t="n">
        <v>46038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41401-2025</t>
        </is>
      </c>
      <c r="B565" s="1" t="n">
        <v>45901</v>
      </c>
      <c r="C565" s="1" t="n">
        <v>46038</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35644-2023</t>
        </is>
      </c>
      <c r="B566" s="1" t="n">
        <v>45147</v>
      </c>
      <c r="C566" s="1" t="n">
        <v>46038</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14157-2021</t>
        </is>
      </c>
      <c r="B567" s="1" t="n">
        <v>44278.43246527778</v>
      </c>
      <c r="C567" s="1" t="n">
        <v>46038</v>
      </c>
      <c r="D567" t="inlineStr">
        <is>
          <t>SKÅNE LÄN</t>
        </is>
      </c>
      <c r="E567" t="inlineStr">
        <is>
          <t>HÄSSLEHOLM</t>
        </is>
      </c>
      <c r="G567" t="n">
        <v>10.5</v>
      </c>
      <c r="H567" t="n">
        <v>0</v>
      </c>
      <c r="I567" t="n">
        <v>0</v>
      </c>
      <c r="J567" t="n">
        <v>0</v>
      </c>
      <c r="K567" t="n">
        <v>0</v>
      </c>
      <c r="L567" t="n">
        <v>0</v>
      </c>
      <c r="M567" t="n">
        <v>0</v>
      </c>
      <c r="N567" t="n">
        <v>0</v>
      </c>
      <c r="O567" t="n">
        <v>0</v>
      </c>
      <c r="P567" t="n">
        <v>0</v>
      </c>
      <c r="Q567" t="n">
        <v>0</v>
      </c>
      <c r="R567" s="2" t="inlineStr"/>
    </row>
    <row r="568" ht="15" customHeight="1">
      <c r="A568" t="inlineStr">
        <is>
          <t>A 54874-2022</t>
        </is>
      </c>
      <c r="B568" s="1" t="n">
        <v>44881</v>
      </c>
      <c r="C568" s="1" t="n">
        <v>46038</v>
      </c>
      <c r="D568" t="inlineStr">
        <is>
          <t>SKÅNE LÄN</t>
        </is>
      </c>
      <c r="E568" t="inlineStr">
        <is>
          <t>HÄSSLEHOLM</t>
        </is>
      </c>
      <c r="G568" t="n">
        <v>8.1</v>
      </c>
      <c r="H568" t="n">
        <v>0</v>
      </c>
      <c r="I568" t="n">
        <v>0</v>
      </c>
      <c r="J568" t="n">
        <v>0</v>
      </c>
      <c r="K568" t="n">
        <v>0</v>
      </c>
      <c r="L568" t="n">
        <v>0</v>
      </c>
      <c r="M568" t="n">
        <v>0</v>
      </c>
      <c r="N568" t="n">
        <v>0</v>
      </c>
      <c r="O568" t="n">
        <v>0</v>
      </c>
      <c r="P568" t="n">
        <v>0</v>
      </c>
      <c r="Q568" t="n">
        <v>0</v>
      </c>
      <c r="R568" s="2" t="inlineStr"/>
    </row>
    <row r="569" ht="15" customHeight="1">
      <c r="A569" t="inlineStr">
        <is>
          <t>A 17152-2025</t>
        </is>
      </c>
      <c r="B569" s="1" t="n">
        <v>45756.33318287037</v>
      </c>
      <c r="C569" s="1" t="n">
        <v>46038</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34301-2024</t>
        </is>
      </c>
      <c r="B570" s="1" t="n">
        <v>45524</v>
      </c>
      <c r="C570" s="1" t="n">
        <v>46038</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27242-2022</t>
        </is>
      </c>
      <c r="B571" s="1" t="n">
        <v>44741</v>
      </c>
      <c r="C571" s="1" t="n">
        <v>46038</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3123-2023</t>
        </is>
      </c>
      <c r="B572" s="1" t="n">
        <v>44946.4925</v>
      </c>
      <c r="C572" s="1" t="n">
        <v>46038</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3126-2023</t>
        </is>
      </c>
      <c r="B573" s="1" t="n">
        <v>44946.49570601852</v>
      </c>
      <c r="C573" s="1" t="n">
        <v>46038</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61158-2022</t>
        </is>
      </c>
      <c r="B574" s="1" t="n">
        <v>44915.47112268519</v>
      </c>
      <c r="C574" s="1" t="n">
        <v>46038</v>
      </c>
      <c r="D574" t="inlineStr">
        <is>
          <t>SKÅNE LÄN</t>
        </is>
      </c>
      <c r="E574" t="inlineStr">
        <is>
          <t>HÄSSLEHOLM</t>
        </is>
      </c>
      <c r="G574" t="n">
        <v>8.4</v>
      </c>
      <c r="H574" t="n">
        <v>0</v>
      </c>
      <c r="I574" t="n">
        <v>0</v>
      </c>
      <c r="J574" t="n">
        <v>0</v>
      </c>
      <c r="K574" t="n">
        <v>0</v>
      </c>
      <c r="L574" t="n">
        <v>0</v>
      </c>
      <c r="M574" t="n">
        <v>0</v>
      </c>
      <c r="N574" t="n">
        <v>0</v>
      </c>
      <c r="O574" t="n">
        <v>0</v>
      </c>
      <c r="P574" t="n">
        <v>0</v>
      </c>
      <c r="Q574" t="n">
        <v>0</v>
      </c>
      <c r="R574" s="2" t="inlineStr"/>
    </row>
    <row r="575" ht="15" customHeight="1">
      <c r="A575" t="inlineStr">
        <is>
          <t>A 61186-2022</t>
        </is>
      </c>
      <c r="B575" s="1" t="n">
        <v>44915.50745370371</v>
      </c>
      <c r="C575" s="1" t="n">
        <v>46038</v>
      </c>
      <c r="D575" t="inlineStr">
        <is>
          <t>SKÅNE LÄN</t>
        </is>
      </c>
      <c r="E575" t="inlineStr">
        <is>
          <t>HÄSSLEHOLM</t>
        </is>
      </c>
      <c r="G575" t="n">
        <v>2.9</v>
      </c>
      <c r="H575" t="n">
        <v>0</v>
      </c>
      <c r="I575" t="n">
        <v>0</v>
      </c>
      <c r="J575" t="n">
        <v>0</v>
      </c>
      <c r="K575" t="n">
        <v>0</v>
      </c>
      <c r="L575" t="n">
        <v>0</v>
      </c>
      <c r="M575" t="n">
        <v>0</v>
      </c>
      <c r="N575" t="n">
        <v>0</v>
      </c>
      <c r="O575" t="n">
        <v>0</v>
      </c>
      <c r="P575" t="n">
        <v>0</v>
      </c>
      <c r="Q575" t="n">
        <v>0</v>
      </c>
      <c r="R575" s="2" t="inlineStr"/>
    </row>
    <row r="576" ht="15" customHeight="1">
      <c r="A576" t="inlineStr">
        <is>
          <t>A 62055-2023</t>
        </is>
      </c>
      <c r="B576" s="1" t="n">
        <v>45266.70287037037</v>
      </c>
      <c r="C576" s="1" t="n">
        <v>46038</v>
      </c>
      <c r="D576" t="inlineStr">
        <is>
          <t>SKÅNE LÄN</t>
        </is>
      </c>
      <c r="E576" t="inlineStr">
        <is>
          <t>HÄSSLEHOLM</t>
        </is>
      </c>
      <c r="G576" t="n">
        <v>5.2</v>
      </c>
      <c r="H576" t="n">
        <v>0</v>
      </c>
      <c r="I576" t="n">
        <v>0</v>
      </c>
      <c r="J576" t="n">
        <v>0</v>
      </c>
      <c r="K576" t="n">
        <v>0</v>
      </c>
      <c r="L576" t="n">
        <v>0</v>
      </c>
      <c r="M576" t="n">
        <v>0</v>
      </c>
      <c r="N576" t="n">
        <v>0</v>
      </c>
      <c r="O576" t="n">
        <v>0</v>
      </c>
      <c r="P576" t="n">
        <v>0</v>
      </c>
      <c r="Q576" t="n">
        <v>0</v>
      </c>
      <c r="R576" s="2" t="inlineStr"/>
    </row>
    <row r="577" ht="15" customHeight="1">
      <c r="A577" t="inlineStr">
        <is>
          <t>A 37318-2024</t>
        </is>
      </c>
      <c r="B577" s="1" t="n">
        <v>45540</v>
      </c>
      <c r="C577" s="1" t="n">
        <v>46038</v>
      </c>
      <c r="D577" t="inlineStr">
        <is>
          <t>SKÅNE LÄN</t>
        </is>
      </c>
      <c r="E577" t="inlineStr">
        <is>
          <t>HÄSSLEHOLM</t>
        </is>
      </c>
      <c r="G577" t="n">
        <v>3.9</v>
      </c>
      <c r="H577" t="n">
        <v>0</v>
      </c>
      <c r="I577" t="n">
        <v>0</v>
      </c>
      <c r="J577" t="n">
        <v>0</v>
      </c>
      <c r="K577" t="n">
        <v>0</v>
      </c>
      <c r="L577" t="n">
        <v>0</v>
      </c>
      <c r="M577" t="n">
        <v>0</v>
      </c>
      <c r="N577" t="n">
        <v>0</v>
      </c>
      <c r="O577" t="n">
        <v>0</v>
      </c>
      <c r="P577" t="n">
        <v>0</v>
      </c>
      <c r="Q577" t="n">
        <v>0</v>
      </c>
      <c r="R577" s="2" t="inlineStr"/>
    </row>
    <row r="578" ht="15" customHeight="1">
      <c r="A578" t="inlineStr">
        <is>
          <t>A 37324-2024</t>
        </is>
      </c>
      <c r="B578" s="1" t="n">
        <v>45540.50104166667</v>
      </c>
      <c r="C578" s="1" t="n">
        <v>46038</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57656-2022</t>
        </is>
      </c>
      <c r="B579" s="1" t="n">
        <v>44897.4325925926</v>
      </c>
      <c r="C579" s="1" t="n">
        <v>46038</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42520-2025</t>
        </is>
      </c>
      <c r="B580" s="1" t="n">
        <v>45905.54846064815</v>
      </c>
      <c r="C580" s="1" t="n">
        <v>46038</v>
      </c>
      <c r="D580" t="inlineStr">
        <is>
          <t>SKÅNE LÄN</t>
        </is>
      </c>
      <c r="E580" t="inlineStr">
        <is>
          <t>HÄSSLEHOLM</t>
        </is>
      </c>
      <c r="G580" t="n">
        <v>2.5</v>
      </c>
      <c r="H580" t="n">
        <v>0</v>
      </c>
      <c r="I580" t="n">
        <v>0</v>
      </c>
      <c r="J580" t="n">
        <v>0</v>
      </c>
      <c r="K580" t="n">
        <v>0</v>
      </c>
      <c r="L580" t="n">
        <v>0</v>
      </c>
      <c r="M580" t="n">
        <v>0</v>
      </c>
      <c r="N580" t="n">
        <v>0</v>
      </c>
      <c r="O580" t="n">
        <v>0</v>
      </c>
      <c r="P580" t="n">
        <v>0</v>
      </c>
      <c r="Q580" t="n">
        <v>0</v>
      </c>
      <c r="R580" s="2" t="inlineStr"/>
    </row>
    <row r="581" ht="15" customHeight="1">
      <c r="A581" t="inlineStr">
        <is>
          <t>A 32881-2024</t>
        </is>
      </c>
      <c r="B581" s="1" t="n">
        <v>45516</v>
      </c>
      <c r="C581" s="1" t="n">
        <v>46038</v>
      </c>
      <c r="D581" t="inlineStr">
        <is>
          <t>SKÅNE LÄN</t>
        </is>
      </c>
      <c r="E581" t="inlineStr">
        <is>
          <t>HÄSSLEHOLM</t>
        </is>
      </c>
      <c r="G581" t="n">
        <v>6.3</v>
      </c>
      <c r="H581" t="n">
        <v>0</v>
      </c>
      <c r="I581" t="n">
        <v>0</v>
      </c>
      <c r="J581" t="n">
        <v>0</v>
      </c>
      <c r="K581" t="n">
        <v>0</v>
      </c>
      <c r="L581" t="n">
        <v>0</v>
      </c>
      <c r="M581" t="n">
        <v>0</v>
      </c>
      <c r="N581" t="n">
        <v>0</v>
      </c>
      <c r="O581" t="n">
        <v>0</v>
      </c>
      <c r="P581" t="n">
        <v>0</v>
      </c>
      <c r="Q581" t="n">
        <v>0</v>
      </c>
      <c r="R581" s="2" t="inlineStr"/>
    </row>
    <row r="582" ht="15" customHeight="1">
      <c r="A582" t="inlineStr">
        <is>
          <t>A 33465-2024</t>
        </is>
      </c>
      <c r="B582" s="1" t="n">
        <v>45519.59619212963</v>
      </c>
      <c r="C582" s="1" t="n">
        <v>46038</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23860-2024</t>
        </is>
      </c>
      <c r="B583" s="1" t="n">
        <v>45455</v>
      </c>
      <c r="C583" s="1" t="n">
        <v>46038</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23864-2024</t>
        </is>
      </c>
      <c r="B584" s="1" t="n">
        <v>45455</v>
      </c>
      <c r="C584" s="1" t="n">
        <v>46038</v>
      </c>
      <c r="D584" t="inlineStr">
        <is>
          <t>SKÅNE LÄN</t>
        </is>
      </c>
      <c r="E584" t="inlineStr">
        <is>
          <t>HÄSSLEHOLM</t>
        </is>
      </c>
      <c r="G584" t="n">
        <v>6.2</v>
      </c>
      <c r="H584" t="n">
        <v>0</v>
      </c>
      <c r="I584" t="n">
        <v>0</v>
      </c>
      <c r="J584" t="n">
        <v>0</v>
      </c>
      <c r="K584" t="n">
        <v>0</v>
      </c>
      <c r="L584" t="n">
        <v>0</v>
      </c>
      <c r="M584" t="n">
        <v>0</v>
      </c>
      <c r="N584" t="n">
        <v>0</v>
      </c>
      <c r="O584" t="n">
        <v>0</v>
      </c>
      <c r="P584" t="n">
        <v>0</v>
      </c>
      <c r="Q584" t="n">
        <v>0</v>
      </c>
      <c r="R584" s="2" t="inlineStr"/>
    </row>
    <row r="585" ht="15" customHeight="1">
      <c r="A585" t="inlineStr">
        <is>
          <t>A 26642-2023</t>
        </is>
      </c>
      <c r="B585" s="1" t="n">
        <v>45092.8975</v>
      </c>
      <c r="C585" s="1" t="n">
        <v>46038</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7192-2025</t>
        </is>
      </c>
      <c r="B586" s="1" t="n">
        <v>45702.44746527778</v>
      </c>
      <c r="C586" s="1" t="n">
        <v>46038</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66321-2021</t>
        </is>
      </c>
      <c r="B587" s="1" t="n">
        <v>44518</v>
      </c>
      <c r="C587" s="1" t="n">
        <v>46038</v>
      </c>
      <c r="D587" t="inlineStr">
        <is>
          <t>SKÅNE LÄN</t>
        </is>
      </c>
      <c r="E587" t="inlineStr">
        <is>
          <t>HÄSSLEHOLM</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16668-2025</t>
        </is>
      </c>
      <c r="B588" s="1" t="n">
        <v>45754.43009259259</v>
      </c>
      <c r="C588" s="1" t="n">
        <v>46038</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23857-2024</t>
        </is>
      </c>
      <c r="B589" s="1" t="n">
        <v>45455</v>
      </c>
      <c r="C589" s="1" t="n">
        <v>46038</v>
      </c>
      <c r="D589" t="inlineStr">
        <is>
          <t>SKÅNE LÄN</t>
        </is>
      </c>
      <c r="E589" t="inlineStr">
        <is>
          <t>HÄSSLEHOLM</t>
        </is>
      </c>
      <c r="G589" t="n">
        <v>3</v>
      </c>
      <c r="H589" t="n">
        <v>0</v>
      </c>
      <c r="I589" t="n">
        <v>0</v>
      </c>
      <c r="J589" t="n">
        <v>0</v>
      </c>
      <c r="K589" t="n">
        <v>0</v>
      </c>
      <c r="L589" t="n">
        <v>0</v>
      </c>
      <c r="M589" t="n">
        <v>0</v>
      </c>
      <c r="N589" t="n">
        <v>0</v>
      </c>
      <c r="O589" t="n">
        <v>0</v>
      </c>
      <c r="P589" t="n">
        <v>0</v>
      </c>
      <c r="Q589" t="n">
        <v>0</v>
      </c>
      <c r="R589" s="2" t="inlineStr"/>
    </row>
    <row r="590" ht="15" customHeight="1">
      <c r="A590" t="inlineStr">
        <is>
          <t>A 31268-2024</t>
        </is>
      </c>
      <c r="B590" s="1" t="n">
        <v>45504</v>
      </c>
      <c r="C590" s="1" t="n">
        <v>46038</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11798-2022</t>
        </is>
      </c>
      <c r="B591" s="1" t="n">
        <v>44634.64900462963</v>
      </c>
      <c r="C591" s="1" t="n">
        <v>46038</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56881-2021</t>
        </is>
      </c>
      <c r="B592" s="1" t="n">
        <v>44481</v>
      </c>
      <c r="C592" s="1" t="n">
        <v>46038</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13673-2023</t>
        </is>
      </c>
      <c r="B593" s="1" t="n">
        <v>45006.87957175926</v>
      </c>
      <c r="C593" s="1" t="n">
        <v>46038</v>
      </c>
      <c r="D593" t="inlineStr">
        <is>
          <t>SKÅNE LÄN</t>
        </is>
      </c>
      <c r="E593" t="inlineStr">
        <is>
          <t>HÄSSLEHOLM</t>
        </is>
      </c>
      <c r="G593" t="n">
        <v>3.2</v>
      </c>
      <c r="H593" t="n">
        <v>0</v>
      </c>
      <c r="I593" t="n">
        <v>0</v>
      </c>
      <c r="J593" t="n">
        <v>0</v>
      </c>
      <c r="K593" t="n">
        <v>0</v>
      </c>
      <c r="L593" t="n">
        <v>0</v>
      </c>
      <c r="M593" t="n">
        <v>0</v>
      </c>
      <c r="N593" t="n">
        <v>0</v>
      </c>
      <c r="O593" t="n">
        <v>0</v>
      </c>
      <c r="P593" t="n">
        <v>0</v>
      </c>
      <c r="Q593" t="n">
        <v>0</v>
      </c>
      <c r="R593" s="2" t="inlineStr"/>
    </row>
    <row r="594" ht="15" customHeight="1">
      <c r="A594" t="inlineStr">
        <is>
          <t>A 51287-2022</t>
        </is>
      </c>
      <c r="B594" s="1" t="n">
        <v>44868.83146990741</v>
      </c>
      <c r="C594" s="1" t="n">
        <v>46038</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43516-2025</t>
        </is>
      </c>
      <c r="B595" s="1" t="n">
        <v>45911</v>
      </c>
      <c r="C595" s="1" t="n">
        <v>46038</v>
      </c>
      <c r="D595" t="inlineStr">
        <is>
          <t>SKÅNE LÄN</t>
        </is>
      </c>
      <c r="E595" t="inlineStr">
        <is>
          <t>HÄSSLEHOLM</t>
        </is>
      </c>
      <c r="G595" t="n">
        <v>2.4</v>
      </c>
      <c r="H595" t="n">
        <v>0</v>
      </c>
      <c r="I595" t="n">
        <v>0</v>
      </c>
      <c r="J595" t="n">
        <v>0</v>
      </c>
      <c r="K595" t="n">
        <v>0</v>
      </c>
      <c r="L595" t="n">
        <v>0</v>
      </c>
      <c r="M595" t="n">
        <v>0</v>
      </c>
      <c r="N595" t="n">
        <v>0</v>
      </c>
      <c r="O595" t="n">
        <v>0</v>
      </c>
      <c r="P595" t="n">
        <v>0</v>
      </c>
      <c r="Q595" t="n">
        <v>0</v>
      </c>
      <c r="R595" s="2" t="inlineStr"/>
    </row>
    <row r="596" ht="15" customHeight="1">
      <c r="A596" t="inlineStr">
        <is>
          <t>A 43332-2025</t>
        </is>
      </c>
      <c r="B596" s="1" t="n">
        <v>45910.70217592592</v>
      </c>
      <c r="C596" s="1" t="n">
        <v>46038</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20494-2024</t>
        </is>
      </c>
      <c r="B597" s="1" t="n">
        <v>45435</v>
      </c>
      <c r="C597" s="1" t="n">
        <v>46038</v>
      </c>
      <c r="D597" t="inlineStr">
        <is>
          <t>SKÅNE LÄN</t>
        </is>
      </c>
      <c r="E597" t="inlineStr">
        <is>
          <t>HÄSSLEHOLM</t>
        </is>
      </c>
      <c r="G597" t="n">
        <v>1.4</v>
      </c>
      <c r="H597" t="n">
        <v>0</v>
      </c>
      <c r="I597" t="n">
        <v>0</v>
      </c>
      <c r="J597" t="n">
        <v>0</v>
      </c>
      <c r="K597" t="n">
        <v>0</v>
      </c>
      <c r="L597" t="n">
        <v>0</v>
      </c>
      <c r="M597" t="n">
        <v>0</v>
      </c>
      <c r="N597" t="n">
        <v>0</v>
      </c>
      <c r="O597" t="n">
        <v>0</v>
      </c>
      <c r="P597" t="n">
        <v>0</v>
      </c>
      <c r="Q597" t="n">
        <v>0</v>
      </c>
      <c r="R597" s="2" t="inlineStr"/>
    </row>
    <row r="598" ht="15" customHeight="1">
      <c r="A598" t="inlineStr">
        <is>
          <t>A 55454-2021</t>
        </is>
      </c>
      <c r="B598" s="1" t="n">
        <v>44475</v>
      </c>
      <c r="C598" s="1" t="n">
        <v>46038</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31572-2022</t>
        </is>
      </c>
      <c r="B599" s="1" t="n">
        <v>44775</v>
      </c>
      <c r="C599" s="1" t="n">
        <v>46038</v>
      </c>
      <c r="D599" t="inlineStr">
        <is>
          <t>SKÅNE LÄN</t>
        </is>
      </c>
      <c r="E599" t="inlineStr">
        <is>
          <t>HÄSSLEHOLM</t>
        </is>
      </c>
      <c r="F599" t="inlineStr">
        <is>
          <t>Kommuner</t>
        </is>
      </c>
      <c r="G599" t="n">
        <v>1.2</v>
      </c>
      <c r="H599" t="n">
        <v>0</v>
      </c>
      <c r="I599" t="n">
        <v>0</v>
      </c>
      <c r="J599" t="n">
        <v>0</v>
      </c>
      <c r="K599" t="n">
        <v>0</v>
      </c>
      <c r="L599" t="n">
        <v>0</v>
      </c>
      <c r="M599" t="n">
        <v>0</v>
      </c>
      <c r="N599" t="n">
        <v>0</v>
      </c>
      <c r="O599" t="n">
        <v>0</v>
      </c>
      <c r="P599" t="n">
        <v>0</v>
      </c>
      <c r="Q599" t="n">
        <v>0</v>
      </c>
      <c r="R599" s="2" t="inlineStr"/>
    </row>
    <row r="600" ht="15" customHeight="1">
      <c r="A600" t="inlineStr">
        <is>
          <t>A 4356-2024</t>
        </is>
      </c>
      <c r="B600" s="1" t="n">
        <v>45325.36195601852</v>
      </c>
      <c r="C600" s="1" t="n">
        <v>46038</v>
      </c>
      <c r="D600" t="inlineStr">
        <is>
          <t>SKÅNE LÄN</t>
        </is>
      </c>
      <c r="E600" t="inlineStr">
        <is>
          <t>HÄSSLEHOLM</t>
        </is>
      </c>
      <c r="G600" t="n">
        <v>3.2</v>
      </c>
      <c r="H600" t="n">
        <v>0</v>
      </c>
      <c r="I600" t="n">
        <v>0</v>
      </c>
      <c r="J600" t="n">
        <v>0</v>
      </c>
      <c r="K600" t="n">
        <v>0</v>
      </c>
      <c r="L600" t="n">
        <v>0</v>
      </c>
      <c r="M600" t="n">
        <v>0</v>
      </c>
      <c r="N600" t="n">
        <v>0</v>
      </c>
      <c r="O600" t="n">
        <v>0</v>
      </c>
      <c r="P600" t="n">
        <v>0</v>
      </c>
      <c r="Q600" t="n">
        <v>0</v>
      </c>
      <c r="R600" s="2" t="inlineStr"/>
    </row>
    <row r="601" ht="15" customHeight="1">
      <c r="A601" t="inlineStr">
        <is>
          <t>A 43333-2025</t>
        </is>
      </c>
      <c r="B601" s="1" t="n">
        <v>45910</v>
      </c>
      <c r="C601" s="1" t="n">
        <v>46038</v>
      </c>
      <c r="D601" t="inlineStr">
        <is>
          <t>SKÅNE LÄN</t>
        </is>
      </c>
      <c r="E601" t="inlineStr">
        <is>
          <t>HÄSSLEHOLM</t>
        </is>
      </c>
      <c r="G601" t="n">
        <v>10.1</v>
      </c>
      <c r="H601" t="n">
        <v>0</v>
      </c>
      <c r="I601" t="n">
        <v>0</v>
      </c>
      <c r="J601" t="n">
        <v>0</v>
      </c>
      <c r="K601" t="n">
        <v>0</v>
      </c>
      <c r="L601" t="n">
        <v>0</v>
      </c>
      <c r="M601" t="n">
        <v>0</v>
      </c>
      <c r="N601" t="n">
        <v>0</v>
      </c>
      <c r="O601" t="n">
        <v>0</v>
      </c>
      <c r="P601" t="n">
        <v>0</v>
      </c>
      <c r="Q601" t="n">
        <v>0</v>
      </c>
      <c r="R601" s="2" t="inlineStr"/>
    </row>
    <row r="602" ht="15" customHeight="1">
      <c r="A602" t="inlineStr">
        <is>
          <t>A 3480-2024</t>
        </is>
      </c>
      <c r="B602" s="1" t="n">
        <v>45320.43998842593</v>
      </c>
      <c r="C602" s="1" t="n">
        <v>46038</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5980-2024</t>
        </is>
      </c>
      <c r="B603" s="1" t="n">
        <v>45335</v>
      </c>
      <c r="C603" s="1" t="n">
        <v>46038</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10802-2024</t>
        </is>
      </c>
      <c r="B604" s="1" t="n">
        <v>45369</v>
      </c>
      <c r="C604" s="1" t="n">
        <v>46038</v>
      </c>
      <c r="D604" t="inlineStr">
        <is>
          <t>SKÅNE LÄN</t>
        </is>
      </c>
      <c r="E604" t="inlineStr">
        <is>
          <t>HÄSSLEHOLM</t>
        </is>
      </c>
      <c r="G604" t="n">
        <v>3.4</v>
      </c>
      <c r="H604" t="n">
        <v>0</v>
      </c>
      <c r="I604" t="n">
        <v>0</v>
      </c>
      <c r="J604" t="n">
        <v>0</v>
      </c>
      <c r="K604" t="n">
        <v>0</v>
      </c>
      <c r="L604" t="n">
        <v>0</v>
      </c>
      <c r="M604" t="n">
        <v>0</v>
      </c>
      <c r="N604" t="n">
        <v>0</v>
      </c>
      <c r="O604" t="n">
        <v>0</v>
      </c>
      <c r="P604" t="n">
        <v>0</v>
      </c>
      <c r="Q604" t="n">
        <v>0</v>
      </c>
      <c r="R604" s="2" t="inlineStr"/>
    </row>
    <row r="605" ht="15" customHeight="1">
      <c r="A605" t="inlineStr">
        <is>
          <t>A 43869-2025</t>
        </is>
      </c>
      <c r="B605" s="1" t="n">
        <v>45912.66452546296</v>
      </c>
      <c r="C605" s="1" t="n">
        <v>46038</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45653-2024</t>
        </is>
      </c>
      <c r="B606" s="1" t="n">
        <v>45579.48872685185</v>
      </c>
      <c r="C606" s="1" t="n">
        <v>46038</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43741-2025</t>
        </is>
      </c>
      <c r="B607" s="1" t="n">
        <v>45912.45541666666</v>
      </c>
      <c r="C607" s="1" t="n">
        <v>46038</v>
      </c>
      <c r="D607" t="inlineStr">
        <is>
          <t>SKÅNE LÄN</t>
        </is>
      </c>
      <c r="E607" t="inlineStr">
        <is>
          <t>HÄSSLEHOLM</t>
        </is>
      </c>
      <c r="G607" t="n">
        <v>4.3</v>
      </c>
      <c r="H607" t="n">
        <v>0</v>
      </c>
      <c r="I607" t="n">
        <v>0</v>
      </c>
      <c r="J607" t="n">
        <v>0</v>
      </c>
      <c r="K607" t="n">
        <v>0</v>
      </c>
      <c r="L607" t="n">
        <v>0</v>
      </c>
      <c r="M607" t="n">
        <v>0</v>
      </c>
      <c r="N607" t="n">
        <v>0</v>
      </c>
      <c r="O607" t="n">
        <v>0</v>
      </c>
      <c r="P607" t="n">
        <v>0</v>
      </c>
      <c r="Q607" t="n">
        <v>0</v>
      </c>
      <c r="R607" s="2" t="inlineStr"/>
    </row>
    <row r="608" ht="15" customHeight="1">
      <c r="A608" t="inlineStr">
        <is>
          <t>A 9322-2025</t>
        </is>
      </c>
      <c r="B608" s="1" t="n">
        <v>45714.72241898148</v>
      </c>
      <c r="C608" s="1" t="n">
        <v>46038</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43738-2025</t>
        </is>
      </c>
      <c r="B609" s="1" t="n">
        <v>45912.45037037037</v>
      </c>
      <c r="C609" s="1" t="n">
        <v>46038</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260-2024</t>
        </is>
      </c>
      <c r="B610" s="1" t="n">
        <v>45294</v>
      </c>
      <c r="C610" s="1" t="n">
        <v>46038</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40780-2022</t>
        </is>
      </c>
      <c r="B611" s="1" t="n">
        <v>44820</v>
      </c>
      <c r="C611" s="1" t="n">
        <v>46038</v>
      </c>
      <c r="D611" t="inlineStr">
        <is>
          <t>SKÅNE LÄN</t>
        </is>
      </c>
      <c r="E611" t="inlineStr">
        <is>
          <t>HÄSSLEHOLM</t>
        </is>
      </c>
      <c r="G611" t="n">
        <v>7.4</v>
      </c>
      <c r="H611" t="n">
        <v>0</v>
      </c>
      <c r="I611" t="n">
        <v>0</v>
      </c>
      <c r="J611" t="n">
        <v>0</v>
      </c>
      <c r="K611" t="n">
        <v>0</v>
      </c>
      <c r="L611" t="n">
        <v>0</v>
      </c>
      <c r="M611" t="n">
        <v>0</v>
      </c>
      <c r="N611" t="n">
        <v>0</v>
      </c>
      <c r="O611" t="n">
        <v>0</v>
      </c>
      <c r="P611" t="n">
        <v>0</v>
      </c>
      <c r="Q611" t="n">
        <v>0</v>
      </c>
      <c r="R611" s="2" t="inlineStr"/>
    </row>
    <row r="612" ht="15" customHeight="1">
      <c r="A612" t="inlineStr">
        <is>
          <t>A 44624-2025</t>
        </is>
      </c>
      <c r="B612" s="1" t="n">
        <v>45917.47152777778</v>
      </c>
      <c r="C612" s="1" t="n">
        <v>46038</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44611-2025</t>
        </is>
      </c>
      <c r="B613" s="1" t="n">
        <v>45917.45109953704</v>
      </c>
      <c r="C613" s="1" t="n">
        <v>46038</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44330-2025</t>
        </is>
      </c>
      <c r="B614" s="1" t="n">
        <v>45916.42120370371</v>
      </c>
      <c r="C614" s="1" t="n">
        <v>46038</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44523-2025</t>
        </is>
      </c>
      <c r="B615" s="1" t="n">
        <v>45916</v>
      </c>
      <c r="C615" s="1" t="n">
        <v>46038</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5316-2023</t>
        </is>
      </c>
      <c r="B616" s="1" t="n">
        <v>44959</v>
      </c>
      <c r="C616" s="1" t="n">
        <v>46038</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44515-2025</t>
        </is>
      </c>
      <c r="B617" s="1" t="n">
        <v>45916.7062037037</v>
      </c>
      <c r="C617" s="1" t="n">
        <v>46038</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44616-2025</t>
        </is>
      </c>
      <c r="B618" s="1" t="n">
        <v>45917.45572916666</v>
      </c>
      <c r="C618" s="1" t="n">
        <v>46038</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44614-2025</t>
        </is>
      </c>
      <c r="B619" s="1" t="n">
        <v>45917.45422453704</v>
      </c>
      <c r="C619" s="1" t="n">
        <v>46038</v>
      </c>
      <c r="D619" t="inlineStr">
        <is>
          <t>SKÅNE LÄN</t>
        </is>
      </c>
      <c r="E619" t="inlineStr">
        <is>
          <t>HÄSSLEHOLM</t>
        </is>
      </c>
      <c r="G619" t="n">
        <v>5.4</v>
      </c>
      <c r="H619" t="n">
        <v>0</v>
      </c>
      <c r="I619" t="n">
        <v>0</v>
      </c>
      <c r="J619" t="n">
        <v>0</v>
      </c>
      <c r="K619" t="n">
        <v>0</v>
      </c>
      <c r="L619" t="n">
        <v>0</v>
      </c>
      <c r="M619" t="n">
        <v>0</v>
      </c>
      <c r="N619" t="n">
        <v>0</v>
      </c>
      <c r="O619" t="n">
        <v>0</v>
      </c>
      <c r="P619" t="n">
        <v>0</v>
      </c>
      <c r="Q619" t="n">
        <v>0</v>
      </c>
      <c r="R619" s="2" t="inlineStr"/>
    </row>
    <row r="620" ht="15" customHeight="1">
      <c r="A620" t="inlineStr">
        <is>
          <t>A 45176-2025</t>
        </is>
      </c>
      <c r="B620" s="1" t="n">
        <v>45919.52307870371</v>
      </c>
      <c r="C620" s="1" t="n">
        <v>46038</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45221-2025</t>
        </is>
      </c>
      <c r="B621" s="1" t="n">
        <v>45919.57760416667</v>
      </c>
      <c r="C621" s="1" t="n">
        <v>46038</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64884-2023</t>
        </is>
      </c>
      <c r="B622" s="1" t="n">
        <v>45282.57809027778</v>
      </c>
      <c r="C622" s="1" t="n">
        <v>46038</v>
      </c>
      <c r="D622" t="inlineStr">
        <is>
          <t>SKÅNE LÄN</t>
        </is>
      </c>
      <c r="E622" t="inlineStr">
        <is>
          <t>HÄSSLEHOLM</t>
        </is>
      </c>
      <c r="G622" t="n">
        <v>4.6</v>
      </c>
      <c r="H622" t="n">
        <v>0</v>
      </c>
      <c r="I622" t="n">
        <v>0</v>
      </c>
      <c r="J622" t="n">
        <v>0</v>
      </c>
      <c r="K622" t="n">
        <v>0</v>
      </c>
      <c r="L622" t="n">
        <v>0</v>
      </c>
      <c r="M622" t="n">
        <v>0</v>
      </c>
      <c r="N622" t="n">
        <v>0</v>
      </c>
      <c r="O622" t="n">
        <v>0</v>
      </c>
      <c r="P622" t="n">
        <v>0</v>
      </c>
      <c r="Q622" t="n">
        <v>0</v>
      </c>
      <c r="R622" s="2" t="inlineStr"/>
    </row>
    <row r="623" ht="15" customHeight="1">
      <c r="A623" t="inlineStr">
        <is>
          <t>A 48112-2024</t>
        </is>
      </c>
      <c r="B623" s="1" t="n">
        <v>45589.6295949074</v>
      </c>
      <c r="C623" s="1" t="n">
        <v>46038</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45273-2025</t>
        </is>
      </c>
      <c r="B624" s="1" t="n">
        <v>45919.70486111111</v>
      </c>
      <c r="C624" s="1" t="n">
        <v>46038</v>
      </c>
      <c r="D624" t="inlineStr">
        <is>
          <t>SKÅNE LÄN</t>
        </is>
      </c>
      <c r="E624" t="inlineStr">
        <is>
          <t>HÄSSLEHOLM</t>
        </is>
      </c>
      <c r="G624" t="n">
        <v>4.4</v>
      </c>
      <c r="H624" t="n">
        <v>0</v>
      </c>
      <c r="I624" t="n">
        <v>0</v>
      </c>
      <c r="J624" t="n">
        <v>0</v>
      </c>
      <c r="K624" t="n">
        <v>0</v>
      </c>
      <c r="L624" t="n">
        <v>0</v>
      </c>
      <c r="M624" t="n">
        <v>0</v>
      </c>
      <c r="N624" t="n">
        <v>0</v>
      </c>
      <c r="O624" t="n">
        <v>0</v>
      </c>
      <c r="P624" t="n">
        <v>0</v>
      </c>
      <c r="Q624" t="n">
        <v>0</v>
      </c>
      <c r="R624" s="2" t="inlineStr"/>
    </row>
    <row r="625" ht="15" customHeight="1">
      <c r="A625" t="inlineStr">
        <is>
          <t>A 6310-2025</t>
        </is>
      </c>
      <c r="B625" s="1" t="n">
        <v>45698</v>
      </c>
      <c r="C625" s="1" t="n">
        <v>46038</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45084-2025</t>
        </is>
      </c>
      <c r="B626" s="1" t="n">
        <v>45918</v>
      </c>
      <c r="C626" s="1" t="n">
        <v>46038</v>
      </c>
      <c r="D626" t="inlineStr">
        <is>
          <t>SKÅNE LÄN</t>
        </is>
      </c>
      <c r="E626" t="inlineStr">
        <is>
          <t>HÄSSLEHOLM</t>
        </is>
      </c>
      <c r="G626" t="n">
        <v>1.4</v>
      </c>
      <c r="H626" t="n">
        <v>0</v>
      </c>
      <c r="I626" t="n">
        <v>0</v>
      </c>
      <c r="J626" t="n">
        <v>0</v>
      </c>
      <c r="K626" t="n">
        <v>0</v>
      </c>
      <c r="L626" t="n">
        <v>0</v>
      </c>
      <c r="M626" t="n">
        <v>0</v>
      </c>
      <c r="N626" t="n">
        <v>0</v>
      </c>
      <c r="O626" t="n">
        <v>0</v>
      </c>
      <c r="P626" t="n">
        <v>0</v>
      </c>
      <c r="Q626" t="n">
        <v>0</v>
      </c>
      <c r="R626" s="2" t="inlineStr"/>
    </row>
    <row r="627" ht="15" customHeight="1">
      <c r="A627" t="inlineStr">
        <is>
          <t>A 16474-2025</t>
        </is>
      </c>
      <c r="B627" s="1" t="n">
        <v>45751.56834490741</v>
      </c>
      <c r="C627" s="1" t="n">
        <v>46038</v>
      </c>
      <c r="D627" t="inlineStr">
        <is>
          <t>SKÅNE LÄN</t>
        </is>
      </c>
      <c r="E627" t="inlineStr">
        <is>
          <t>HÄSSLEHOLM</t>
        </is>
      </c>
      <c r="G627" t="n">
        <v>5.9</v>
      </c>
      <c r="H627" t="n">
        <v>0</v>
      </c>
      <c r="I627" t="n">
        <v>0</v>
      </c>
      <c r="J627" t="n">
        <v>0</v>
      </c>
      <c r="K627" t="n">
        <v>0</v>
      </c>
      <c r="L627" t="n">
        <v>0</v>
      </c>
      <c r="M627" t="n">
        <v>0</v>
      </c>
      <c r="N627" t="n">
        <v>0</v>
      </c>
      <c r="O627" t="n">
        <v>0</v>
      </c>
      <c r="P627" t="n">
        <v>0</v>
      </c>
      <c r="Q627" t="n">
        <v>0</v>
      </c>
      <c r="R627" s="2" t="inlineStr"/>
    </row>
    <row r="628" ht="15" customHeight="1">
      <c r="A628" t="inlineStr">
        <is>
          <t>A 48097-2024</t>
        </is>
      </c>
      <c r="B628" s="1" t="n">
        <v>45589.61413194444</v>
      </c>
      <c r="C628" s="1" t="n">
        <v>46038</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45496-2025</t>
        </is>
      </c>
      <c r="B629" s="1" t="n">
        <v>45922</v>
      </c>
      <c r="C629" s="1" t="n">
        <v>46038</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45495-2025</t>
        </is>
      </c>
      <c r="B630" s="1" t="n">
        <v>45922.56369212963</v>
      </c>
      <c r="C630" s="1" t="n">
        <v>46038</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60846-2022</t>
        </is>
      </c>
      <c r="B631" s="1" t="n">
        <v>44914</v>
      </c>
      <c r="C631" s="1" t="n">
        <v>46038</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45314-2025</t>
        </is>
      </c>
      <c r="B632" s="1" t="n">
        <v>45921.81738425926</v>
      </c>
      <c r="C632" s="1" t="n">
        <v>46038</v>
      </c>
      <c r="D632" t="inlineStr">
        <is>
          <t>SKÅNE LÄN</t>
        </is>
      </c>
      <c r="E632" t="inlineStr">
        <is>
          <t>HÄSSLEHOLM</t>
        </is>
      </c>
      <c r="G632" t="n">
        <v>2.4</v>
      </c>
      <c r="H632" t="n">
        <v>0</v>
      </c>
      <c r="I632" t="n">
        <v>0</v>
      </c>
      <c r="J632" t="n">
        <v>0</v>
      </c>
      <c r="K632" t="n">
        <v>0</v>
      </c>
      <c r="L632" t="n">
        <v>0</v>
      </c>
      <c r="M632" t="n">
        <v>0</v>
      </c>
      <c r="N632" t="n">
        <v>0</v>
      </c>
      <c r="O632" t="n">
        <v>0</v>
      </c>
      <c r="P632" t="n">
        <v>0</v>
      </c>
      <c r="Q632" t="n">
        <v>0</v>
      </c>
      <c r="R632" s="2" t="inlineStr"/>
    </row>
    <row r="633" ht="15" customHeight="1">
      <c r="A633" t="inlineStr">
        <is>
          <t>A 42776-2021</t>
        </is>
      </c>
      <c r="B633" s="1" t="n">
        <v>44428</v>
      </c>
      <c r="C633" s="1" t="n">
        <v>46038</v>
      </c>
      <c r="D633" t="inlineStr">
        <is>
          <t>SKÅNE LÄN</t>
        </is>
      </c>
      <c r="E633" t="inlineStr">
        <is>
          <t>HÄSSLEHOLM</t>
        </is>
      </c>
      <c r="G633" t="n">
        <v>3.2</v>
      </c>
      <c r="H633" t="n">
        <v>0</v>
      </c>
      <c r="I633" t="n">
        <v>0</v>
      </c>
      <c r="J633" t="n">
        <v>0</v>
      </c>
      <c r="K633" t="n">
        <v>0</v>
      </c>
      <c r="L633" t="n">
        <v>0</v>
      </c>
      <c r="M633" t="n">
        <v>0</v>
      </c>
      <c r="N633" t="n">
        <v>0</v>
      </c>
      <c r="O633" t="n">
        <v>0</v>
      </c>
      <c r="P633" t="n">
        <v>0</v>
      </c>
      <c r="Q633" t="n">
        <v>0</v>
      </c>
      <c r="R633" s="2" t="inlineStr"/>
    </row>
    <row r="634" ht="15" customHeight="1">
      <c r="A634" t="inlineStr">
        <is>
          <t>A 45763-2025</t>
        </is>
      </c>
      <c r="B634" s="1" t="n">
        <v>45923.51778935185</v>
      </c>
      <c r="C634" s="1" t="n">
        <v>46038</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45764-2025</t>
        </is>
      </c>
      <c r="B635" s="1" t="n">
        <v>45923.52037037037</v>
      </c>
      <c r="C635" s="1" t="n">
        <v>46038</v>
      </c>
      <c r="D635" t="inlineStr">
        <is>
          <t>SKÅNE LÄN</t>
        </is>
      </c>
      <c r="E635" t="inlineStr">
        <is>
          <t>HÄSSLEHOLM</t>
        </is>
      </c>
      <c r="G635" t="n">
        <v>6.3</v>
      </c>
      <c r="H635" t="n">
        <v>0</v>
      </c>
      <c r="I635" t="n">
        <v>0</v>
      </c>
      <c r="J635" t="n">
        <v>0</v>
      </c>
      <c r="K635" t="n">
        <v>0</v>
      </c>
      <c r="L635" t="n">
        <v>0</v>
      </c>
      <c r="M635" t="n">
        <v>0</v>
      </c>
      <c r="N635" t="n">
        <v>0</v>
      </c>
      <c r="O635" t="n">
        <v>0</v>
      </c>
      <c r="P635" t="n">
        <v>0</v>
      </c>
      <c r="Q635" t="n">
        <v>0</v>
      </c>
      <c r="R635" s="2" t="inlineStr"/>
    </row>
    <row r="636" ht="15" customHeight="1">
      <c r="A636" t="inlineStr">
        <is>
          <t>A 45443-2025</t>
        </is>
      </c>
      <c r="B636" s="1" t="n">
        <v>45920</v>
      </c>
      <c r="C636" s="1" t="n">
        <v>46038</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45458-2025</t>
        </is>
      </c>
      <c r="B637" s="1" t="n">
        <v>45920</v>
      </c>
      <c r="C637" s="1" t="n">
        <v>46038</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45465-2025</t>
        </is>
      </c>
      <c r="B638" s="1" t="n">
        <v>45920</v>
      </c>
      <c r="C638" s="1" t="n">
        <v>46038</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45414-2025</t>
        </is>
      </c>
      <c r="B639" s="1" t="n">
        <v>45920</v>
      </c>
      <c r="C639" s="1" t="n">
        <v>46038</v>
      </c>
      <c r="D639" t="inlineStr">
        <is>
          <t>SKÅNE LÄN</t>
        </is>
      </c>
      <c r="E639" t="inlineStr">
        <is>
          <t>HÄSSLEHOLM</t>
        </is>
      </c>
      <c r="G639" t="n">
        <v>14.7</v>
      </c>
      <c r="H639" t="n">
        <v>0</v>
      </c>
      <c r="I639" t="n">
        <v>0</v>
      </c>
      <c r="J639" t="n">
        <v>0</v>
      </c>
      <c r="K639" t="n">
        <v>0</v>
      </c>
      <c r="L639" t="n">
        <v>0</v>
      </c>
      <c r="M639" t="n">
        <v>0</v>
      </c>
      <c r="N639" t="n">
        <v>0</v>
      </c>
      <c r="O639" t="n">
        <v>0</v>
      </c>
      <c r="P639" t="n">
        <v>0</v>
      </c>
      <c r="Q639" t="n">
        <v>0</v>
      </c>
      <c r="R639" s="2" t="inlineStr"/>
    </row>
    <row r="640" ht="15" customHeight="1">
      <c r="A640" t="inlineStr">
        <is>
          <t>A 45683-2025</t>
        </is>
      </c>
      <c r="B640" s="1" t="n">
        <v>45923.37590277778</v>
      </c>
      <c r="C640" s="1" t="n">
        <v>46038</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45516-2025</t>
        </is>
      </c>
      <c r="B641" s="1" t="n">
        <v>45922</v>
      </c>
      <c r="C641" s="1" t="n">
        <v>46038</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45514-2025</t>
        </is>
      </c>
      <c r="B642" s="1" t="n">
        <v>45922</v>
      </c>
      <c r="C642" s="1" t="n">
        <v>46038</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11121-2023</t>
        </is>
      </c>
      <c r="B643" s="1" t="n">
        <v>44986</v>
      </c>
      <c r="C643" s="1" t="n">
        <v>46038</v>
      </c>
      <c r="D643" t="inlineStr">
        <is>
          <t>SKÅNE LÄN</t>
        </is>
      </c>
      <c r="E643" t="inlineStr">
        <is>
          <t>HÄSSLEHOLM</t>
        </is>
      </c>
      <c r="F643" t="inlineStr">
        <is>
          <t>Kommuner</t>
        </is>
      </c>
      <c r="G643" t="n">
        <v>5.8</v>
      </c>
      <c r="H643" t="n">
        <v>0</v>
      </c>
      <c r="I643" t="n">
        <v>0</v>
      </c>
      <c r="J643" t="n">
        <v>0</v>
      </c>
      <c r="K643" t="n">
        <v>0</v>
      </c>
      <c r="L643" t="n">
        <v>0</v>
      </c>
      <c r="M643" t="n">
        <v>0</v>
      </c>
      <c r="N643" t="n">
        <v>0</v>
      </c>
      <c r="O643" t="n">
        <v>0</v>
      </c>
      <c r="P643" t="n">
        <v>0</v>
      </c>
      <c r="Q643" t="n">
        <v>0</v>
      </c>
      <c r="R643" s="2" t="inlineStr"/>
    </row>
    <row r="644" ht="15" customHeight="1">
      <c r="A644" t="inlineStr">
        <is>
          <t>A 11116-2023</t>
        </is>
      </c>
      <c r="B644" s="1" t="n">
        <v>44986</v>
      </c>
      <c r="C644" s="1" t="n">
        <v>46038</v>
      </c>
      <c r="D644" t="inlineStr">
        <is>
          <t>SKÅNE LÄN</t>
        </is>
      </c>
      <c r="E644" t="inlineStr">
        <is>
          <t>HÄSSLEHOLM</t>
        </is>
      </c>
      <c r="F644" t="inlineStr">
        <is>
          <t>Kommuner</t>
        </is>
      </c>
      <c r="G644" t="n">
        <v>15.1</v>
      </c>
      <c r="H644" t="n">
        <v>0</v>
      </c>
      <c r="I644" t="n">
        <v>0</v>
      </c>
      <c r="J644" t="n">
        <v>0</v>
      </c>
      <c r="K644" t="n">
        <v>0</v>
      </c>
      <c r="L644" t="n">
        <v>0</v>
      </c>
      <c r="M644" t="n">
        <v>0</v>
      </c>
      <c r="N644" t="n">
        <v>0</v>
      </c>
      <c r="O644" t="n">
        <v>0</v>
      </c>
      <c r="P644" t="n">
        <v>0</v>
      </c>
      <c r="Q644" t="n">
        <v>0</v>
      </c>
      <c r="R644" s="2" t="inlineStr"/>
    </row>
    <row r="645" ht="15" customHeight="1">
      <c r="A645" t="inlineStr">
        <is>
          <t>A 45762-2025</t>
        </is>
      </c>
      <c r="B645" s="1" t="n">
        <v>45923.51548611111</v>
      </c>
      <c r="C645" s="1" t="n">
        <v>46038</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14700-2023</t>
        </is>
      </c>
      <c r="B646" s="1" t="n">
        <v>45014.38376157408</v>
      </c>
      <c r="C646" s="1" t="n">
        <v>46038</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9668-2025</t>
        </is>
      </c>
      <c r="B647" s="1" t="n">
        <v>45716</v>
      </c>
      <c r="C647" s="1" t="n">
        <v>46038</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39915-2023</t>
        </is>
      </c>
      <c r="B648" s="1" t="n">
        <v>45168.4684375</v>
      </c>
      <c r="C648" s="1" t="n">
        <v>46038</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9678-2025</t>
        </is>
      </c>
      <c r="B649" s="1" t="n">
        <v>45716</v>
      </c>
      <c r="C649" s="1" t="n">
        <v>46038</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20058-2023</t>
        </is>
      </c>
      <c r="B650" s="1" t="n">
        <v>45054.68476851852</v>
      </c>
      <c r="C650" s="1" t="n">
        <v>46038</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8619-2023</t>
        </is>
      </c>
      <c r="B651" s="1" t="n">
        <v>44977.81979166667</v>
      </c>
      <c r="C651" s="1" t="n">
        <v>46038</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9543-2025</t>
        </is>
      </c>
      <c r="B652" s="1" t="n">
        <v>45715</v>
      </c>
      <c r="C652" s="1" t="n">
        <v>46038</v>
      </c>
      <c r="D652" t="inlineStr">
        <is>
          <t>SKÅNE LÄN</t>
        </is>
      </c>
      <c r="E652" t="inlineStr">
        <is>
          <t>HÄSSLEHOLM</t>
        </is>
      </c>
      <c r="G652" t="n">
        <v>2.6</v>
      </c>
      <c r="H652" t="n">
        <v>0</v>
      </c>
      <c r="I652" t="n">
        <v>0</v>
      </c>
      <c r="J652" t="n">
        <v>0</v>
      </c>
      <c r="K652" t="n">
        <v>0</v>
      </c>
      <c r="L652" t="n">
        <v>0</v>
      </c>
      <c r="M652" t="n">
        <v>0</v>
      </c>
      <c r="N652" t="n">
        <v>0</v>
      </c>
      <c r="O652" t="n">
        <v>0</v>
      </c>
      <c r="P652" t="n">
        <v>0</v>
      </c>
      <c r="Q652" t="n">
        <v>0</v>
      </c>
      <c r="R652" s="2" t="inlineStr"/>
    </row>
    <row r="653" ht="15" customHeight="1">
      <c r="A653" t="inlineStr">
        <is>
          <t>A 53067-2022</t>
        </is>
      </c>
      <c r="B653" s="1" t="n">
        <v>44873</v>
      </c>
      <c r="C653" s="1" t="n">
        <v>46038</v>
      </c>
      <c r="D653" t="inlineStr">
        <is>
          <t>SKÅNE LÄN</t>
        </is>
      </c>
      <c r="E653" t="inlineStr">
        <is>
          <t>HÄSSLEHOLM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3349-2023</t>
        </is>
      </c>
      <c r="B654" s="1" t="n">
        <v>44949</v>
      </c>
      <c r="C654" s="1" t="n">
        <v>46038</v>
      </c>
      <c r="D654" t="inlineStr">
        <is>
          <t>SKÅNE LÄN</t>
        </is>
      </c>
      <c r="E654" t="inlineStr">
        <is>
          <t>HÄSSLEHOLM</t>
        </is>
      </c>
      <c r="G654" t="n">
        <v>2.3</v>
      </c>
      <c r="H654" t="n">
        <v>0</v>
      </c>
      <c r="I654" t="n">
        <v>0</v>
      </c>
      <c r="J654" t="n">
        <v>0</v>
      </c>
      <c r="K654" t="n">
        <v>0</v>
      </c>
      <c r="L654" t="n">
        <v>0</v>
      </c>
      <c r="M654" t="n">
        <v>0</v>
      </c>
      <c r="N654" t="n">
        <v>0</v>
      </c>
      <c r="O654" t="n">
        <v>0</v>
      </c>
      <c r="P654" t="n">
        <v>0</v>
      </c>
      <c r="Q654" t="n">
        <v>0</v>
      </c>
      <c r="R654" s="2" t="inlineStr"/>
    </row>
    <row r="655" ht="15" customHeight="1">
      <c r="A655" t="inlineStr">
        <is>
          <t>A 46786-2025</t>
        </is>
      </c>
      <c r="B655" s="1" t="n">
        <v>45926.64484953704</v>
      </c>
      <c r="C655" s="1" t="n">
        <v>46038</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47126-2025</t>
        </is>
      </c>
      <c r="B656" s="1" t="n">
        <v>45929.685625</v>
      </c>
      <c r="C656" s="1" t="n">
        <v>46038</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47127-2025</t>
        </is>
      </c>
      <c r="B657" s="1" t="n">
        <v>45929.6893287037</v>
      </c>
      <c r="C657" s="1" t="n">
        <v>46038</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46761-2025</t>
        </is>
      </c>
      <c r="B658" s="1" t="n">
        <v>45926.62289351852</v>
      </c>
      <c r="C658" s="1" t="n">
        <v>46038</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46855-2025</t>
        </is>
      </c>
      <c r="B659" s="1" t="n">
        <v>45928.88497685185</v>
      </c>
      <c r="C659" s="1" t="n">
        <v>46038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46605-2025</t>
        </is>
      </c>
      <c r="B660" s="1" t="n">
        <v>45926.41214120371</v>
      </c>
      <c r="C660" s="1" t="n">
        <v>46038</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46185-2022</t>
        </is>
      </c>
      <c r="B661" s="1" t="n">
        <v>44847</v>
      </c>
      <c r="C661" s="1" t="n">
        <v>46038</v>
      </c>
      <c r="D661" t="inlineStr">
        <is>
          <t>SKÅNE LÄN</t>
        </is>
      </c>
      <c r="E661" t="inlineStr">
        <is>
          <t>HÄSSLEHOLM</t>
        </is>
      </c>
      <c r="G661" t="n">
        <v>16.8</v>
      </c>
      <c r="H661" t="n">
        <v>0</v>
      </c>
      <c r="I661" t="n">
        <v>0</v>
      </c>
      <c r="J661" t="n">
        <v>0</v>
      </c>
      <c r="K661" t="n">
        <v>0</v>
      </c>
      <c r="L661" t="n">
        <v>0</v>
      </c>
      <c r="M661" t="n">
        <v>0</v>
      </c>
      <c r="N661" t="n">
        <v>0</v>
      </c>
      <c r="O661" t="n">
        <v>0</v>
      </c>
      <c r="P661" t="n">
        <v>0</v>
      </c>
      <c r="Q661" t="n">
        <v>0</v>
      </c>
      <c r="R661" s="2" t="inlineStr"/>
    </row>
    <row r="662" ht="15" customHeight="1">
      <c r="A662" t="inlineStr">
        <is>
          <t>A 18623-2023</t>
        </is>
      </c>
      <c r="B662" s="1" t="n">
        <v>45043</v>
      </c>
      <c r="C662" s="1" t="n">
        <v>46038</v>
      </c>
      <c r="D662" t="inlineStr">
        <is>
          <t>SKÅNE LÄN</t>
        </is>
      </c>
      <c r="E662" t="inlineStr">
        <is>
          <t>HÄSSLEHOLM</t>
        </is>
      </c>
      <c r="G662" t="n">
        <v>3.2</v>
      </c>
      <c r="H662" t="n">
        <v>0</v>
      </c>
      <c r="I662" t="n">
        <v>0</v>
      </c>
      <c r="J662" t="n">
        <v>0</v>
      </c>
      <c r="K662" t="n">
        <v>0</v>
      </c>
      <c r="L662" t="n">
        <v>0</v>
      </c>
      <c r="M662" t="n">
        <v>0</v>
      </c>
      <c r="N662" t="n">
        <v>0</v>
      </c>
      <c r="O662" t="n">
        <v>0</v>
      </c>
      <c r="P662" t="n">
        <v>0</v>
      </c>
      <c r="Q662" t="n">
        <v>0</v>
      </c>
      <c r="R662" s="2" t="inlineStr"/>
    </row>
    <row r="663" ht="15" customHeight="1">
      <c r="A663" t="inlineStr">
        <is>
          <t>A 33873-2021</t>
        </is>
      </c>
      <c r="B663" s="1" t="n">
        <v>44378</v>
      </c>
      <c r="C663" s="1" t="n">
        <v>46038</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25726-2025</t>
        </is>
      </c>
      <c r="B664" s="1" t="n">
        <v>45803</v>
      </c>
      <c r="C664" s="1" t="n">
        <v>46038</v>
      </c>
      <c r="D664" t="inlineStr">
        <is>
          <t>SKÅNE LÄN</t>
        </is>
      </c>
      <c r="E664" t="inlineStr">
        <is>
          <t>HÄSSLEHOLM</t>
        </is>
      </c>
      <c r="G664" t="n">
        <v>5.5</v>
      </c>
      <c r="H664" t="n">
        <v>0</v>
      </c>
      <c r="I664" t="n">
        <v>0</v>
      </c>
      <c r="J664" t="n">
        <v>0</v>
      </c>
      <c r="K664" t="n">
        <v>0</v>
      </c>
      <c r="L664" t="n">
        <v>0</v>
      </c>
      <c r="M664" t="n">
        <v>0</v>
      </c>
      <c r="N664" t="n">
        <v>0</v>
      </c>
      <c r="O664" t="n">
        <v>0</v>
      </c>
      <c r="P664" t="n">
        <v>0</v>
      </c>
      <c r="Q664" t="n">
        <v>0</v>
      </c>
      <c r="R664" s="2" t="inlineStr"/>
    </row>
    <row r="665" ht="15" customHeight="1">
      <c r="A665" t="inlineStr">
        <is>
          <t>A 15053-2023</t>
        </is>
      </c>
      <c r="B665" s="1" t="n">
        <v>45015</v>
      </c>
      <c r="C665" s="1" t="n">
        <v>46038</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47259-2025</t>
        </is>
      </c>
      <c r="B666" s="1" t="n">
        <v>45930</v>
      </c>
      <c r="C666" s="1" t="n">
        <v>46038</v>
      </c>
      <c r="D666" t="inlineStr">
        <is>
          <t>SKÅNE LÄN</t>
        </is>
      </c>
      <c r="E666" t="inlineStr">
        <is>
          <t>HÄSSLEHOLM</t>
        </is>
      </c>
      <c r="G666" t="n">
        <v>1.6</v>
      </c>
      <c r="H666" t="n">
        <v>0</v>
      </c>
      <c r="I666" t="n">
        <v>0</v>
      </c>
      <c r="J666" t="n">
        <v>0</v>
      </c>
      <c r="K666" t="n">
        <v>0</v>
      </c>
      <c r="L666" t="n">
        <v>0</v>
      </c>
      <c r="M666" t="n">
        <v>0</v>
      </c>
      <c r="N666" t="n">
        <v>0</v>
      </c>
      <c r="O666" t="n">
        <v>0</v>
      </c>
      <c r="P666" t="n">
        <v>0</v>
      </c>
      <c r="Q666" t="n">
        <v>0</v>
      </c>
      <c r="R666" s="2" t="inlineStr"/>
    </row>
    <row r="667" ht="15" customHeight="1">
      <c r="A667" t="inlineStr">
        <is>
          <t>A 47473-2025</t>
        </is>
      </c>
      <c r="B667" s="1" t="n">
        <v>45930.67763888889</v>
      </c>
      <c r="C667" s="1" t="n">
        <v>46038</v>
      </c>
      <c r="D667" t="inlineStr">
        <is>
          <t>SKÅNE LÄN</t>
        </is>
      </c>
      <c r="E667" t="inlineStr">
        <is>
          <t>HÄSSLEHOLM</t>
        </is>
      </c>
      <c r="G667" t="n">
        <v>4.7</v>
      </c>
      <c r="H667" t="n">
        <v>0</v>
      </c>
      <c r="I667" t="n">
        <v>0</v>
      </c>
      <c r="J667" t="n">
        <v>0</v>
      </c>
      <c r="K667" t="n">
        <v>0</v>
      </c>
      <c r="L667" t="n">
        <v>0</v>
      </c>
      <c r="M667" t="n">
        <v>0</v>
      </c>
      <c r="N667" t="n">
        <v>0</v>
      </c>
      <c r="O667" t="n">
        <v>0</v>
      </c>
      <c r="P667" t="n">
        <v>0</v>
      </c>
      <c r="Q667" t="n">
        <v>0</v>
      </c>
      <c r="R667" s="2" t="inlineStr"/>
    </row>
    <row r="668" ht="15" customHeight="1">
      <c r="A668" t="inlineStr">
        <is>
          <t>A 47466-2025</t>
        </is>
      </c>
      <c r="B668" s="1" t="n">
        <v>45930.66677083333</v>
      </c>
      <c r="C668" s="1" t="n">
        <v>46038</v>
      </c>
      <c r="D668" t="inlineStr">
        <is>
          <t>SKÅNE LÄN</t>
        </is>
      </c>
      <c r="E668" t="inlineStr">
        <is>
          <t>HÄSSLEHOLM</t>
        </is>
      </c>
      <c r="G668" t="n">
        <v>1.8</v>
      </c>
      <c r="H668" t="n">
        <v>0</v>
      </c>
      <c r="I668" t="n">
        <v>0</v>
      </c>
      <c r="J668" t="n">
        <v>0</v>
      </c>
      <c r="K668" t="n">
        <v>0</v>
      </c>
      <c r="L668" t="n">
        <v>0</v>
      </c>
      <c r="M668" t="n">
        <v>0</v>
      </c>
      <c r="N668" t="n">
        <v>0</v>
      </c>
      <c r="O668" t="n">
        <v>0</v>
      </c>
      <c r="P668" t="n">
        <v>0</v>
      </c>
      <c r="Q668" t="n">
        <v>0</v>
      </c>
      <c r="R668" s="2" t="inlineStr"/>
    </row>
    <row r="669" ht="15" customHeight="1">
      <c r="A669" t="inlineStr">
        <is>
          <t>A 9302-2025</t>
        </is>
      </c>
      <c r="B669" s="1" t="n">
        <v>45714.67233796296</v>
      </c>
      <c r="C669" s="1" t="n">
        <v>46038</v>
      </c>
      <c r="D669" t="inlineStr">
        <is>
          <t>SKÅNE LÄN</t>
        </is>
      </c>
      <c r="E669" t="inlineStr">
        <is>
          <t>HÄSSLEHOLM</t>
        </is>
      </c>
      <c r="G669" t="n">
        <v>2.6</v>
      </c>
      <c r="H669" t="n">
        <v>0</v>
      </c>
      <c r="I669" t="n">
        <v>0</v>
      </c>
      <c r="J669" t="n">
        <v>0</v>
      </c>
      <c r="K669" t="n">
        <v>0</v>
      </c>
      <c r="L669" t="n">
        <v>0</v>
      </c>
      <c r="M669" t="n">
        <v>0</v>
      </c>
      <c r="N669" t="n">
        <v>0</v>
      </c>
      <c r="O669" t="n">
        <v>0</v>
      </c>
      <c r="P669" t="n">
        <v>0</v>
      </c>
      <c r="Q669" t="n">
        <v>0</v>
      </c>
      <c r="R669" s="2" t="inlineStr"/>
    </row>
    <row r="670" ht="15" customHeight="1">
      <c r="A670" t="inlineStr">
        <is>
          <t>A 47907-2021</t>
        </is>
      </c>
      <c r="B670" s="1" t="n">
        <v>44448</v>
      </c>
      <c r="C670" s="1" t="n">
        <v>46038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1197-2024</t>
        </is>
      </c>
      <c r="B671" s="1" t="n">
        <v>45302</v>
      </c>
      <c r="C671" s="1" t="n">
        <v>46038</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13712-2025</t>
        </is>
      </c>
      <c r="B672" s="1" t="n">
        <v>45737</v>
      </c>
      <c r="C672" s="1" t="n">
        <v>46038</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49950-2023</t>
        </is>
      </c>
      <c r="B673" s="1" t="n">
        <v>45215</v>
      </c>
      <c r="C673" s="1" t="n">
        <v>46038</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41694-2024</t>
        </is>
      </c>
      <c r="B674" s="1" t="n">
        <v>45560.68341435185</v>
      </c>
      <c r="C674" s="1" t="n">
        <v>46038</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48184-2025</t>
        </is>
      </c>
      <c r="B675" s="1" t="n">
        <v>45933.46131944445</v>
      </c>
      <c r="C675" s="1" t="n">
        <v>46038</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48185-2025</t>
        </is>
      </c>
      <c r="B676" s="1" t="n">
        <v>45933.46434027778</v>
      </c>
      <c r="C676" s="1" t="n">
        <v>46038</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36795-2023</t>
        </is>
      </c>
      <c r="B677" s="1" t="n">
        <v>45154.38245370371</v>
      </c>
      <c r="C677" s="1" t="n">
        <v>46038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46942-2024</t>
        </is>
      </c>
      <c r="B678" s="1" t="n">
        <v>45585.6684375</v>
      </c>
      <c r="C678" s="1" t="n">
        <v>46038</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43696-2024</t>
        </is>
      </c>
      <c r="B679" s="1" t="n">
        <v>45569.58855324074</v>
      </c>
      <c r="C679" s="1" t="n">
        <v>46038</v>
      </c>
      <c r="D679" t="inlineStr">
        <is>
          <t>SKÅNE LÄN</t>
        </is>
      </c>
      <c r="E679" t="inlineStr">
        <is>
          <t>HÄSSLEHOLM</t>
        </is>
      </c>
      <c r="G679" t="n">
        <v>2.9</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44805.32891203704</v>
      </c>
      <c r="C680" s="1" t="n">
        <v>46038</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22594-2024</t>
        </is>
      </c>
      <c r="B681" s="1" t="n">
        <v>45447.60892361111</v>
      </c>
      <c r="C681" s="1" t="n">
        <v>46038</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25213-2023</t>
        </is>
      </c>
      <c r="B682" s="1" t="n">
        <v>45086.60010416667</v>
      </c>
      <c r="C682" s="1" t="n">
        <v>46038</v>
      </c>
      <c r="D682" t="inlineStr">
        <is>
          <t>SKÅNE LÄN</t>
        </is>
      </c>
      <c r="E682" t="inlineStr">
        <is>
          <t>HÄSSLEHOLM</t>
        </is>
      </c>
      <c r="G682" t="n">
        <v>7.2</v>
      </c>
      <c r="H682" t="n">
        <v>0</v>
      </c>
      <c r="I682" t="n">
        <v>0</v>
      </c>
      <c r="J682" t="n">
        <v>0</v>
      </c>
      <c r="K682" t="n">
        <v>0</v>
      </c>
      <c r="L682" t="n">
        <v>0</v>
      </c>
      <c r="M682" t="n">
        <v>0</v>
      </c>
      <c r="N682" t="n">
        <v>0</v>
      </c>
      <c r="O682" t="n">
        <v>0</v>
      </c>
      <c r="P682" t="n">
        <v>0</v>
      </c>
      <c r="Q682" t="n">
        <v>0</v>
      </c>
      <c r="R682" s="2" t="inlineStr"/>
    </row>
    <row r="683" ht="15" customHeight="1">
      <c r="A683" t="inlineStr">
        <is>
          <t>A 48722-2025</t>
        </is>
      </c>
      <c r="B683" s="1" t="n">
        <v>45935</v>
      </c>
      <c r="C683" s="1" t="n">
        <v>46038</v>
      </c>
      <c r="D683" t="inlineStr">
        <is>
          <t>SKÅNE LÄN</t>
        </is>
      </c>
      <c r="E683" t="inlineStr">
        <is>
          <t>HÄSSLEHOLM</t>
        </is>
      </c>
      <c r="G683" t="n">
        <v>4.3</v>
      </c>
      <c r="H683" t="n">
        <v>0</v>
      </c>
      <c r="I683" t="n">
        <v>0</v>
      </c>
      <c r="J683" t="n">
        <v>0</v>
      </c>
      <c r="K683" t="n">
        <v>0</v>
      </c>
      <c r="L683" t="n">
        <v>0</v>
      </c>
      <c r="M683" t="n">
        <v>0</v>
      </c>
      <c r="N683" t="n">
        <v>0</v>
      </c>
      <c r="O683" t="n">
        <v>0</v>
      </c>
      <c r="P683" t="n">
        <v>0</v>
      </c>
      <c r="Q683" t="n">
        <v>0</v>
      </c>
      <c r="R683" s="2" t="inlineStr"/>
    </row>
    <row r="684" ht="15" customHeight="1">
      <c r="A684" t="inlineStr">
        <is>
          <t>A 18063-2023</t>
        </is>
      </c>
      <c r="B684" s="1" t="n">
        <v>45040.62850694444</v>
      </c>
      <c r="C684" s="1" t="n">
        <v>46038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61524-2022</t>
        </is>
      </c>
      <c r="B685" s="1" t="n">
        <v>44910</v>
      </c>
      <c r="C685" s="1" t="n">
        <v>46038</v>
      </c>
      <c r="D685" t="inlineStr">
        <is>
          <t>SKÅNE LÄN</t>
        </is>
      </c>
      <c r="E685" t="inlineStr">
        <is>
          <t>HÄSSLEHOLM</t>
        </is>
      </c>
      <c r="F685" t="inlineStr">
        <is>
          <t>Kyrkan</t>
        </is>
      </c>
      <c r="G685" t="n">
        <v>2.1</v>
      </c>
      <c r="H685" t="n">
        <v>0</v>
      </c>
      <c r="I685" t="n">
        <v>0</v>
      </c>
      <c r="J685" t="n">
        <v>0</v>
      </c>
      <c r="K685" t="n">
        <v>0</v>
      </c>
      <c r="L685" t="n">
        <v>0</v>
      </c>
      <c r="M685" t="n">
        <v>0</v>
      </c>
      <c r="N685" t="n">
        <v>0</v>
      </c>
      <c r="O685" t="n">
        <v>0</v>
      </c>
      <c r="P685" t="n">
        <v>0</v>
      </c>
      <c r="Q685" t="n">
        <v>0</v>
      </c>
      <c r="R685" s="2" t="inlineStr"/>
    </row>
    <row r="686" ht="15" customHeight="1">
      <c r="A686" t="inlineStr">
        <is>
          <t>A 61578-2023</t>
        </is>
      </c>
      <c r="B686" s="1" t="n">
        <v>45265.47399305556</v>
      </c>
      <c r="C686" s="1" t="n">
        <v>46038</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25542-2024</t>
        </is>
      </c>
      <c r="B687" s="1" t="n">
        <v>45463</v>
      </c>
      <c r="C687" s="1" t="n">
        <v>46038</v>
      </c>
      <c r="D687" t="inlineStr">
        <is>
          <t>SKÅNE LÄN</t>
        </is>
      </c>
      <c r="E687" t="inlineStr">
        <is>
          <t>HÄSSLEHOLM</t>
        </is>
      </c>
      <c r="G687" t="n">
        <v>6.9</v>
      </c>
      <c r="H687" t="n">
        <v>0</v>
      </c>
      <c r="I687" t="n">
        <v>0</v>
      </c>
      <c r="J687" t="n">
        <v>0</v>
      </c>
      <c r="K687" t="n">
        <v>0</v>
      </c>
      <c r="L687" t="n">
        <v>0</v>
      </c>
      <c r="M687" t="n">
        <v>0</v>
      </c>
      <c r="N687" t="n">
        <v>0</v>
      </c>
      <c r="O687" t="n">
        <v>0</v>
      </c>
      <c r="P687" t="n">
        <v>0</v>
      </c>
      <c r="Q687" t="n">
        <v>0</v>
      </c>
      <c r="R687" s="2" t="inlineStr"/>
    </row>
    <row r="688" ht="15" customHeight="1">
      <c r="A688" t="inlineStr">
        <is>
          <t>A 42370-2023</t>
        </is>
      </c>
      <c r="B688" s="1" t="n">
        <v>45180</v>
      </c>
      <c r="C688" s="1" t="n">
        <v>46038</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49135-2025</t>
        </is>
      </c>
      <c r="B689" s="1" t="n">
        <v>45938.00990740741</v>
      </c>
      <c r="C689" s="1" t="n">
        <v>46038</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49136-2025</t>
        </is>
      </c>
      <c r="B690" s="1" t="n">
        <v>45938.01277777777</v>
      </c>
      <c r="C690" s="1" t="n">
        <v>46038</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49137-2025</t>
        </is>
      </c>
      <c r="B691" s="1" t="n">
        <v>45938.05672453704</v>
      </c>
      <c r="C691" s="1" t="n">
        <v>46038</v>
      </c>
      <c r="D691" t="inlineStr">
        <is>
          <t>SKÅNE LÄN</t>
        </is>
      </c>
      <c r="E691" t="inlineStr">
        <is>
          <t>HÄSSLEHOLM</t>
        </is>
      </c>
      <c r="G691" t="n">
        <v>1.8</v>
      </c>
      <c r="H691" t="n">
        <v>0</v>
      </c>
      <c r="I691" t="n">
        <v>0</v>
      </c>
      <c r="J691" t="n">
        <v>0</v>
      </c>
      <c r="K691" t="n">
        <v>0</v>
      </c>
      <c r="L691" t="n">
        <v>0</v>
      </c>
      <c r="M691" t="n">
        <v>0</v>
      </c>
      <c r="N691" t="n">
        <v>0</v>
      </c>
      <c r="O691" t="n">
        <v>0</v>
      </c>
      <c r="P691" t="n">
        <v>0</v>
      </c>
      <c r="Q691" t="n">
        <v>0</v>
      </c>
      <c r="R691" s="2" t="inlineStr"/>
    </row>
    <row r="692" ht="15" customHeight="1">
      <c r="A692" t="inlineStr">
        <is>
          <t>A 11422-2025</t>
        </is>
      </c>
      <c r="B692" s="1" t="n">
        <v>45726</v>
      </c>
      <c r="C692" s="1" t="n">
        <v>46038</v>
      </c>
      <c r="D692" t="inlineStr">
        <is>
          <t>SKÅNE LÄN</t>
        </is>
      </c>
      <c r="E692" t="inlineStr">
        <is>
          <t>HÄSSLEHOLM</t>
        </is>
      </c>
      <c r="G692" t="n">
        <v>14.9</v>
      </c>
      <c r="H692" t="n">
        <v>0</v>
      </c>
      <c r="I692" t="n">
        <v>0</v>
      </c>
      <c r="J692" t="n">
        <v>0</v>
      </c>
      <c r="K692" t="n">
        <v>0</v>
      </c>
      <c r="L692" t="n">
        <v>0</v>
      </c>
      <c r="M692" t="n">
        <v>0</v>
      </c>
      <c r="N692" t="n">
        <v>0</v>
      </c>
      <c r="O692" t="n">
        <v>0</v>
      </c>
      <c r="P692" t="n">
        <v>0</v>
      </c>
      <c r="Q692" t="n">
        <v>0</v>
      </c>
      <c r="R692" s="2" t="inlineStr"/>
    </row>
    <row r="693" ht="15" customHeight="1">
      <c r="A693" t="inlineStr">
        <is>
          <t>A 7604-2024</t>
        </is>
      </c>
      <c r="B693" s="1" t="n">
        <v>45348</v>
      </c>
      <c r="C693" s="1" t="n">
        <v>46038</v>
      </c>
      <c r="D693" t="inlineStr">
        <is>
          <t>SKÅNE LÄN</t>
        </is>
      </c>
      <c r="E693" t="inlineStr">
        <is>
          <t>HÄSSLEHOLM</t>
        </is>
      </c>
      <c r="G693" t="n">
        <v>11.1</v>
      </c>
      <c r="H693" t="n">
        <v>0</v>
      </c>
      <c r="I693" t="n">
        <v>0</v>
      </c>
      <c r="J693" t="n">
        <v>0</v>
      </c>
      <c r="K693" t="n">
        <v>0</v>
      </c>
      <c r="L693" t="n">
        <v>0</v>
      </c>
      <c r="M693" t="n">
        <v>0</v>
      </c>
      <c r="N693" t="n">
        <v>0</v>
      </c>
      <c r="O693" t="n">
        <v>0</v>
      </c>
      <c r="P693" t="n">
        <v>0</v>
      </c>
      <c r="Q693" t="n">
        <v>0</v>
      </c>
      <c r="R693" s="2" t="inlineStr"/>
    </row>
    <row r="694" ht="15" customHeight="1">
      <c r="A694" t="inlineStr">
        <is>
          <t>A 29853-2024</t>
        </is>
      </c>
      <c r="B694" s="1" t="n">
        <v>45485.65844907407</v>
      </c>
      <c r="C694" s="1" t="n">
        <v>46038</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29287-2023</t>
        </is>
      </c>
      <c r="B695" s="1" t="n">
        <v>45098</v>
      </c>
      <c r="C695" s="1" t="n">
        <v>46038</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5992-2022</t>
        </is>
      </c>
      <c r="B696" s="1" t="n">
        <v>44599</v>
      </c>
      <c r="C696" s="1" t="n">
        <v>46038</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25324-2024</t>
        </is>
      </c>
      <c r="B697" s="1" t="n">
        <v>45462.804375</v>
      </c>
      <c r="C697" s="1" t="n">
        <v>46038</v>
      </c>
      <c r="D697" t="inlineStr">
        <is>
          <t>SKÅNE LÄN</t>
        </is>
      </c>
      <c r="E697" t="inlineStr">
        <is>
          <t>HÄSSLEHOLM</t>
        </is>
      </c>
      <c r="G697" t="n">
        <v>0.2</v>
      </c>
      <c r="H697" t="n">
        <v>0</v>
      </c>
      <c r="I697" t="n">
        <v>0</v>
      </c>
      <c r="J697" t="n">
        <v>0</v>
      </c>
      <c r="K697" t="n">
        <v>0</v>
      </c>
      <c r="L697" t="n">
        <v>0</v>
      </c>
      <c r="M697" t="n">
        <v>0</v>
      </c>
      <c r="N697" t="n">
        <v>0</v>
      </c>
      <c r="O697" t="n">
        <v>0</v>
      </c>
      <c r="P697" t="n">
        <v>0</v>
      </c>
      <c r="Q697" t="n">
        <v>0</v>
      </c>
      <c r="R697" s="2" t="inlineStr"/>
    </row>
    <row r="698" ht="15" customHeight="1">
      <c r="A698" t="inlineStr">
        <is>
          <t>A 8803-2023</t>
        </is>
      </c>
      <c r="B698" s="1" t="n">
        <v>44978.61712962963</v>
      </c>
      <c r="C698" s="1" t="n">
        <v>46038</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4809-2025</t>
        </is>
      </c>
      <c r="B699" s="1" t="n">
        <v>45688.60148148148</v>
      </c>
      <c r="C699" s="1" t="n">
        <v>46038</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12780-2024</t>
        </is>
      </c>
      <c r="B700" s="1" t="n">
        <v>45384.59726851852</v>
      </c>
      <c r="C700" s="1" t="n">
        <v>46038</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9375-2023</t>
        </is>
      </c>
      <c r="B701" s="1" t="n">
        <v>44981</v>
      </c>
      <c r="C701" s="1" t="n">
        <v>46038</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26857-2025</t>
        </is>
      </c>
      <c r="B702" s="1" t="n">
        <v>45810</v>
      </c>
      <c r="C702" s="1" t="n">
        <v>46038</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30006-2023</t>
        </is>
      </c>
      <c r="B703" s="1" t="n">
        <v>45109.79962962963</v>
      </c>
      <c r="C703" s="1" t="n">
        <v>46038</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49167-2022</t>
        </is>
      </c>
      <c r="B704" s="1" t="n">
        <v>44860</v>
      </c>
      <c r="C704" s="1" t="n">
        <v>46038</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57963-2023</t>
        </is>
      </c>
      <c r="B705" s="1" t="n">
        <v>45247.57732638889</v>
      </c>
      <c r="C705" s="1" t="n">
        <v>46038</v>
      </c>
      <c r="D705" t="inlineStr">
        <is>
          <t>SKÅNE LÄN</t>
        </is>
      </c>
      <c r="E705" t="inlineStr">
        <is>
          <t>HÄSSLEHOLM</t>
        </is>
      </c>
      <c r="G705" t="n">
        <v>4.6</v>
      </c>
      <c r="H705" t="n">
        <v>0</v>
      </c>
      <c r="I705" t="n">
        <v>0</v>
      </c>
      <c r="J705" t="n">
        <v>0</v>
      </c>
      <c r="K705" t="n">
        <v>0</v>
      </c>
      <c r="L705" t="n">
        <v>0</v>
      </c>
      <c r="M705" t="n">
        <v>0</v>
      </c>
      <c r="N705" t="n">
        <v>0</v>
      </c>
      <c r="O705" t="n">
        <v>0</v>
      </c>
      <c r="P705" t="n">
        <v>0</v>
      </c>
      <c r="Q705" t="n">
        <v>0</v>
      </c>
      <c r="R705" s="2" t="inlineStr"/>
    </row>
    <row r="706" ht="15" customHeight="1">
      <c r="A706" t="inlineStr">
        <is>
          <t>A 49845-2025</t>
        </is>
      </c>
      <c r="B706" s="1" t="n">
        <v>45940.48015046296</v>
      </c>
      <c r="C706" s="1" t="n">
        <v>46038</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57033-2022</t>
        </is>
      </c>
      <c r="B707" s="1" t="n">
        <v>44895.31270833333</v>
      </c>
      <c r="C707" s="1" t="n">
        <v>46038</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35845-2022</t>
        </is>
      </c>
      <c r="B708" s="1" t="n">
        <v>44802</v>
      </c>
      <c r="C708" s="1" t="n">
        <v>46038</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1886-2025</t>
        </is>
      </c>
      <c r="B709" s="1" t="n">
        <v>45671</v>
      </c>
      <c r="C709" s="1" t="n">
        <v>46038</v>
      </c>
      <c r="D709" t="inlineStr">
        <is>
          <t>SKÅNE LÄN</t>
        </is>
      </c>
      <c r="E709" t="inlineStr">
        <is>
          <t>HÄSSLEHOLM</t>
        </is>
      </c>
      <c r="G709" t="n">
        <v>1.1</v>
      </c>
      <c r="H709" t="n">
        <v>0</v>
      </c>
      <c r="I709" t="n">
        <v>0</v>
      </c>
      <c r="J709" t="n">
        <v>0</v>
      </c>
      <c r="K709" t="n">
        <v>0</v>
      </c>
      <c r="L709" t="n">
        <v>0</v>
      </c>
      <c r="M709" t="n">
        <v>0</v>
      </c>
      <c r="N709" t="n">
        <v>0</v>
      </c>
      <c r="O709" t="n">
        <v>0</v>
      </c>
      <c r="P709" t="n">
        <v>0</v>
      </c>
      <c r="Q709" t="n">
        <v>0</v>
      </c>
      <c r="R709" s="2" t="inlineStr"/>
    </row>
    <row r="710" ht="15" customHeight="1">
      <c r="A710" t="inlineStr">
        <is>
          <t>A 15536-2025</t>
        </is>
      </c>
      <c r="B710" s="1" t="n">
        <v>45747</v>
      </c>
      <c r="C710" s="1" t="n">
        <v>46038</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24904-2025</t>
        </is>
      </c>
      <c r="B711" s="1" t="n">
        <v>45799</v>
      </c>
      <c r="C711" s="1" t="n">
        <v>46038</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22140-2023</t>
        </is>
      </c>
      <c r="B712" s="1" t="n">
        <v>45065</v>
      </c>
      <c r="C712" s="1" t="n">
        <v>46038</v>
      </c>
      <c r="D712" t="inlineStr">
        <is>
          <t>SKÅNE LÄN</t>
        </is>
      </c>
      <c r="E712" t="inlineStr">
        <is>
          <t>HÄSSLEHOLM</t>
        </is>
      </c>
      <c r="G712" t="n">
        <v>6.7</v>
      </c>
      <c r="H712" t="n">
        <v>0</v>
      </c>
      <c r="I712" t="n">
        <v>0</v>
      </c>
      <c r="J712" t="n">
        <v>0</v>
      </c>
      <c r="K712" t="n">
        <v>0</v>
      </c>
      <c r="L712" t="n">
        <v>0</v>
      </c>
      <c r="M712" t="n">
        <v>0</v>
      </c>
      <c r="N712" t="n">
        <v>0</v>
      </c>
      <c r="O712" t="n">
        <v>0</v>
      </c>
      <c r="P712" t="n">
        <v>0</v>
      </c>
      <c r="Q712" t="n">
        <v>0</v>
      </c>
      <c r="R712" s="2" t="inlineStr"/>
    </row>
    <row r="713" ht="15" customHeight="1">
      <c r="A713" t="inlineStr">
        <is>
          <t>A 7653-2024</t>
        </is>
      </c>
      <c r="B713" s="1" t="n">
        <v>45348.69043981482</v>
      </c>
      <c r="C713" s="1" t="n">
        <v>46038</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24679-2023</t>
        </is>
      </c>
      <c r="B714" s="1" t="n">
        <v>45084</v>
      </c>
      <c r="C714" s="1" t="n">
        <v>46038</v>
      </c>
      <c r="D714" t="inlineStr">
        <is>
          <t>SKÅNE LÄN</t>
        </is>
      </c>
      <c r="E714" t="inlineStr">
        <is>
          <t>HÄSSLEHOLM</t>
        </is>
      </c>
      <c r="G714" t="n">
        <v>7.1</v>
      </c>
      <c r="H714" t="n">
        <v>0</v>
      </c>
      <c r="I714" t="n">
        <v>0</v>
      </c>
      <c r="J714" t="n">
        <v>0</v>
      </c>
      <c r="K714" t="n">
        <v>0</v>
      </c>
      <c r="L714" t="n">
        <v>0</v>
      </c>
      <c r="M714" t="n">
        <v>0</v>
      </c>
      <c r="N714" t="n">
        <v>0</v>
      </c>
      <c r="O714" t="n">
        <v>0</v>
      </c>
      <c r="P714" t="n">
        <v>0</v>
      </c>
      <c r="Q714" t="n">
        <v>0</v>
      </c>
      <c r="R714" s="2" t="inlineStr"/>
    </row>
    <row r="715" ht="15" customHeight="1">
      <c r="A715" t="inlineStr">
        <is>
          <t>A 49824-2024</t>
        </is>
      </c>
      <c r="B715" s="1" t="n">
        <v>45597</v>
      </c>
      <c r="C715" s="1" t="n">
        <v>46038</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49219-2021</t>
        </is>
      </c>
      <c r="B716" s="1" t="n">
        <v>44454</v>
      </c>
      <c r="C716" s="1" t="n">
        <v>46038</v>
      </c>
      <c r="D716" t="inlineStr">
        <is>
          <t>SKÅNE LÄN</t>
        </is>
      </c>
      <c r="E716" t="inlineStr">
        <is>
          <t>HÄSSLEHOLM</t>
        </is>
      </c>
      <c r="G716" t="n">
        <v>7.8</v>
      </c>
      <c r="H716" t="n">
        <v>0</v>
      </c>
      <c r="I716" t="n">
        <v>0</v>
      </c>
      <c r="J716" t="n">
        <v>0</v>
      </c>
      <c r="K716" t="n">
        <v>0</v>
      </c>
      <c r="L716" t="n">
        <v>0</v>
      </c>
      <c r="M716" t="n">
        <v>0</v>
      </c>
      <c r="N716" t="n">
        <v>0</v>
      </c>
      <c r="O716" t="n">
        <v>0</v>
      </c>
      <c r="P716" t="n">
        <v>0</v>
      </c>
      <c r="Q716" t="n">
        <v>0</v>
      </c>
      <c r="R716" s="2" t="inlineStr"/>
    </row>
    <row r="717" ht="15" customHeight="1">
      <c r="A717" t="inlineStr">
        <is>
          <t>A 5890-2023</t>
        </is>
      </c>
      <c r="B717" s="1" t="n">
        <v>44963.64527777778</v>
      </c>
      <c r="C717" s="1" t="n">
        <v>46038</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50676-2025</t>
        </is>
      </c>
      <c r="B718" s="1" t="n">
        <v>45945</v>
      </c>
      <c r="C718" s="1" t="n">
        <v>46038</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50678-2025</t>
        </is>
      </c>
      <c r="B719" s="1" t="n">
        <v>45945</v>
      </c>
      <c r="C719" s="1" t="n">
        <v>46038</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12936-2025</t>
        </is>
      </c>
      <c r="B720" s="1" t="n">
        <v>45734</v>
      </c>
      <c r="C720" s="1" t="n">
        <v>46038</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50677-2025</t>
        </is>
      </c>
      <c r="B721" s="1" t="n">
        <v>45945</v>
      </c>
      <c r="C721" s="1" t="n">
        <v>46038</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56062-2024</t>
        </is>
      </c>
      <c r="B722" s="1" t="n">
        <v>45624.37105324074</v>
      </c>
      <c r="C722" s="1" t="n">
        <v>46038</v>
      </c>
      <c r="D722" t="inlineStr">
        <is>
          <t>SKÅNE LÄN</t>
        </is>
      </c>
      <c r="E722" t="inlineStr">
        <is>
          <t>HÄSSLEHOLM</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50834-2025</t>
        </is>
      </c>
      <c r="B723" s="1" t="n">
        <v>45946.55746527778</v>
      </c>
      <c r="C723" s="1" t="n">
        <v>46038</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41209-2023</t>
        </is>
      </c>
      <c r="B724" s="1" t="n">
        <v>45174.43481481481</v>
      </c>
      <c r="C724" s="1" t="n">
        <v>46038</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57275-2023</t>
        </is>
      </c>
      <c r="B725" s="1" t="n">
        <v>45245.58886574074</v>
      </c>
      <c r="C725" s="1" t="n">
        <v>46038</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51024-2025</t>
        </is>
      </c>
      <c r="B726" s="1" t="n">
        <v>45947.395</v>
      </c>
      <c r="C726" s="1" t="n">
        <v>46038</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53302-2022</t>
        </is>
      </c>
      <c r="B727" s="1" t="n">
        <v>44877</v>
      </c>
      <c r="C727" s="1" t="n">
        <v>46038</v>
      </c>
      <c r="D727" t="inlineStr">
        <is>
          <t>SKÅNE LÄN</t>
        </is>
      </c>
      <c r="E727" t="inlineStr">
        <is>
          <t>HÄSSLEHOLM</t>
        </is>
      </c>
      <c r="G727" t="n">
        <v>0.1</v>
      </c>
      <c r="H727" t="n">
        <v>0</v>
      </c>
      <c r="I727" t="n">
        <v>0</v>
      </c>
      <c r="J727" t="n">
        <v>0</v>
      </c>
      <c r="K727" t="n">
        <v>0</v>
      </c>
      <c r="L727" t="n">
        <v>0</v>
      </c>
      <c r="M727" t="n">
        <v>0</v>
      </c>
      <c r="N727" t="n">
        <v>0</v>
      </c>
      <c r="O727" t="n">
        <v>0</v>
      </c>
      <c r="P727" t="n">
        <v>0</v>
      </c>
      <c r="Q727" t="n">
        <v>0</v>
      </c>
      <c r="R727" s="2" t="inlineStr"/>
    </row>
    <row r="728" ht="15" customHeight="1">
      <c r="A728" t="inlineStr">
        <is>
          <t>A 27991-2024</t>
        </is>
      </c>
      <c r="B728" s="1" t="n">
        <v>45476</v>
      </c>
      <c r="C728" s="1" t="n">
        <v>46038</v>
      </c>
      <c r="D728" t="inlineStr">
        <is>
          <t>SKÅNE LÄN</t>
        </is>
      </c>
      <c r="E728" t="inlineStr">
        <is>
          <t>HÄSSLEHOLM</t>
        </is>
      </c>
      <c r="G728" t="n">
        <v>5.8</v>
      </c>
      <c r="H728" t="n">
        <v>0</v>
      </c>
      <c r="I728" t="n">
        <v>0</v>
      </c>
      <c r="J728" t="n">
        <v>0</v>
      </c>
      <c r="K728" t="n">
        <v>0</v>
      </c>
      <c r="L728" t="n">
        <v>0</v>
      </c>
      <c r="M728" t="n">
        <v>0</v>
      </c>
      <c r="N728" t="n">
        <v>0</v>
      </c>
      <c r="O728" t="n">
        <v>0</v>
      </c>
      <c r="P728" t="n">
        <v>0</v>
      </c>
      <c r="Q728" t="n">
        <v>0</v>
      </c>
      <c r="R728" s="2" t="inlineStr"/>
    </row>
    <row r="729" ht="15" customHeight="1">
      <c r="A729" t="inlineStr">
        <is>
          <t>A 50839-2025</t>
        </is>
      </c>
      <c r="B729" s="1" t="n">
        <v>45946</v>
      </c>
      <c r="C729" s="1" t="n">
        <v>46038</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31946-2023</t>
        </is>
      </c>
      <c r="B730" s="1" t="n">
        <v>45119.35158564815</v>
      </c>
      <c r="C730" s="1" t="n">
        <v>46038</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50829-2025</t>
        </is>
      </c>
      <c r="B731" s="1" t="n">
        <v>45946.55309027778</v>
      </c>
      <c r="C731" s="1" t="n">
        <v>46038</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51097-2025</t>
        </is>
      </c>
      <c r="B732" s="1" t="n">
        <v>45947.48018518519</v>
      </c>
      <c r="C732" s="1" t="n">
        <v>46038</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48798-2023</t>
        </is>
      </c>
      <c r="B733" s="1" t="n">
        <v>45209.25318287037</v>
      </c>
      <c r="C733" s="1" t="n">
        <v>46038</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48844-2023</t>
        </is>
      </c>
      <c r="B734" s="1" t="n">
        <v>45209</v>
      </c>
      <c r="C734" s="1" t="n">
        <v>46038</v>
      </c>
      <c r="D734" t="inlineStr">
        <is>
          <t>SKÅNE LÄN</t>
        </is>
      </c>
      <c r="E734" t="inlineStr">
        <is>
          <t>HÄSSLEHOLM</t>
        </is>
      </c>
      <c r="G734" t="n">
        <v>4</v>
      </c>
      <c r="H734" t="n">
        <v>0</v>
      </c>
      <c r="I734" t="n">
        <v>0</v>
      </c>
      <c r="J734" t="n">
        <v>0</v>
      </c>
      <c r="K734" t="n">
        <v>0</v>
      </c>
      <c r="L734" t="n">
        <v>0</v>
      </c>
      <c r="M734" t="n">
        <v>0</v>
      </c>
      <c r="N734" t="n">
        <v>0</v>
      </c>
      <c r="O734" t="n">
        <v>0</v>
      </c>
      <c r="P734" t="n">
        <v>0</v>
      </c>
      <c r="Q734" t="n">
        <v>0</v>
      </c>
      <c r="R734" s="2" t="inlineStr"/>
    </row>
    <row r="735" ht="15" customHeight="1">
      <c r="A735" t="inlineStr">
        <is>
          <t>A 48877-2024</t>
        </is>
      </c>
      <c r="B735" s="1" t="n">
        <v>45594.31729166667</v>
      </c>
      <c r="C735" s="1" t="n">
        <v>46038</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45984-2021</t>
        </is>
      </c>
      <c r="B736" s="1" t="n">
        <v>44441</v>
      </c>
      <c r="C736" s="1" t="n">
        <v>46038</v>
      </c>
      <c r="D736" t="inlineStr">
        <is>
          <t>SKÅNE LÄN</t>
        </is>
      </c>
      <c r="E736" t="inlineStr">
        <is>
          <t>HÄSSLEHOLM</t>
        </is>
      </c>
      <c r="G736" t="n">
        <v>2.1</v>
      </c>
      <c r="H736" t="n">
        <v>0</v>
      </c>
      <c r="I736" t="n">
        <v>0</v>
      </c>
      <c r="J736" t="n">
        <v>0</v>
      </c>
      <c r="K736" t="n">
        <v>0</v>
      </c>
      <c r="L736" t="n">
        <v>0</v>
      </c>
      <c r="M736" t="n">
        <v>0</v>
      </c>
      <c r="N736" t="n">
        <v>0</v>
      </c>
      <c r="O736" t="n">
        <v>0</v>
      </c>
      <c r="P736" t="n">
        <v>0</v>
      </c>
      <c r="Q736" t="n">
        <v>0</v>
      </c>
      <c r="R736" s="2" t="inlineStr"/>
    </row>
    <row r="737" ht="15" customHeight="1">
      <c r="A737" t="inlineStr">
        <is>
          <t>A 8378-2023</t>
        </is>
      </c>
      <c r="B737" s="1" t="n">
        <v>44971</v>
      </c>
      <c r="C737" s="1" t="n">
        <v>46038</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51597-2025</t>
        </is>
      </c>
      <c r="B738" s="1" t="n">
        <v>45951.37163194444</v>
      </c>
      <c r="C738" s="1" t="n">
        <v>46038</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51795-2025</t>
        </is>
      </c>
      <c r="B739" s="1" t="n">
        <v>45951</v>
      </c>
      <c r="C739" s="1" t="n">
        <v>46038</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51796-2025</t>
        </is>
      </c>
      <c r="B740" s="1" t="n">
        <v>45951.74546296296</v>
      </c>
      <c r="C740" s="1" t="n">
        <v>46038</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51640-2025</t>
        </is>
      </c>
      <c r="B741" s="1" t="n">
        <v>45951.44361111111</v>
      </c>
      <c r="C741" s="1" t="n">
        <v>46038</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45398-2024</t>
        </is>
      </c>
      <c r="B742" s="1" t="n">
        <v>45576.56260416667</v>
      </c>
      <c r="C742" s="1" t="n">
        <v>46038</v>
      </c>
      <c r="D742" t="inlineStr">
        <is>
          <t>SKÅNE LÄN</t>
        </is>
      </c>
      <c r="E742" t="inlineStr">
        <is>
          <t>HÄSSLEHOLM</t>
        </is>
      </c>
      <c r="G742" t="n">
        <v>4.2</v>
      </c>
      <c r="H742" t="n">
        <v>0</v>
      </c>
      <c r="I742" t="n">
        <v>0</v>
      </c>
      <c r="J742" t="n">
        <v>0</v>
      </c>
      <c r="K742" t="n">
        <v>0</v>
      </c>
      <c r="L742" t="n">
        <v>0</v>
      </c>
      <c r="M742" t="n">
        <v>0</v>
      </c>
      <c r="N742" t="n">
        <v>0</v>
      </c>
      <c r="O742" t="n">
        <v>0</v>
      </c>
      <c r="P742" t="n">
        <v>0</v>
      </c>
      <c r="Q742" t="n">
        <v>0</v>
      </c>
      <c r="R742" s="2" t="inlineStr"/>
    </row>
    <row r="743" ht="15" customHeight="1">
      <c r="A743" t="inlineStr">
        <is>
          <t>A 4140-2023</t>
        </is>
      </c>
      <c r="B743" s="1" t="n">
        <v>44953</v>
      </c>
      <c r="C743" s="1" t="n">
        <v>46038</v>
      </c>
      <c r="D743" t="inlineStr">
        <is>
          <t>SKÅNE LÄN</t>
        </is>
      </c>
      <c r="E743" t="inlineStr">
        <is>
          <t>HÄSSLEHOLM</t>
        </is>
      </c>
      <c r="G743" t="n">
        <v>10.6</v>
      </c>
      <c r="H743" t="n">
        <v>0</v>
      </c>
      <c r="I743" t="n">
        <v>0</v>
      </c>
      <c r="J743" t="n">
        <v>0</v>
      </c>
      <c r="K743" t="n">
        <v>0</v>
      </c>
      <c r="L743" t="n">
        <v>0</v>
      </c>
      <c r="M743" t="n">
        <v>0</v>
      </c>
      <c r="N743" t="n">
        <v>0</v>
      </c>
      <c r="O743" t="n">
        <v>0</v>
      </c>
      <c r="P743" t="n">
        <v>0</v>
      </c>
      <c r="Q743" t="n">
        <v>0</v>
      </c>
      <c r="R743" s="2" t="inlineStr"/>
    </row>
    <row r="744" ht="15" customHeight="1">
      <c r="A744" t="inlineStr">
        <is>
          <t>A 50000-2023</t>
        </is>
      </c>
      <c r="B744" s="1" t="n">
        <v>45215.4434837963</v>
      </c>
      <c r="C744" s="1" t="n">
        <v>46038</v>
      </c>
      <c r="D744" t="inlineStr">
        <is>
          <t>SKÅNE LÄN</t>
        </is>
      </c>
      <c r="E744" t="inlineStr">
        <is>
          <t>HÄSSLEHOLM</t>
        </is>
      </c>
      <c r="G744" t="n">
        <v>1.6</v>
      </c>
      <c r="H744" t="n">
        <v>0</v>
      </c>
      <c r="I744" t="n">
        <v>0</v>
      </c>
      <c r="J744" t="n">
        <v>0</v>
      </c>
      <c r="K744" t="n">
        <v>0</v>
      </c>
      <c r="L744" t="n">
        <v>0</v>
      </c>
      <c r="M744" t="n">
        <v>0</v>
      </c>
      <c r="N744" t="n">
        <v>0</v>
      </c>
      <c r="O744" t="n">
        <v>0</v>
      </c>
      <c r="P744" t="n">
        <v>0</v>
      </c>
      <c r="Q744" t="n">
        <v>0</v>
      </c>
      <c r="R744" s="2" t="inlineStr"/>
    </row>
    <row r="745" ht="15" customHeight="1">
      <c r="A745" t="inlineStr">
        <is>
          <t>A 417-2022</t>
        </is>
      </c>
      <c r="B745" s="1" t="n">
        <v>44565.84615740741</v>
      </c>
      <c r="C745" s="1" t="n">
        <v>46038</v>
      </c>
      <c r="D745" t="inlineStr">
        <is>
          <t>SKÅNE LÄN</t>
        </is>
      </c>
      <c r="E745" t="inlineStr">
        <is>
          <t>HÄSSLEHOLM</t>
        </is>
      </c>
      <c r="G745" t="n">
        <v>0</v>
      </c>
      <c r="H745" t="n">
        <v>0</v>
      </c>
      <c r="I745" t="n">
        <v>0</v>
      </c>
      <c r="J745" t="n">
        <v>0</v>
      </c>
      <c r="K745" t="n">
        <v>0</v>
      </c>
      <c r="L745" t="n">
        <v>0</v>
      </c>
      <c r="M745" t="n">
        <v>0</v>
      </c>
      <c r="N745" t="n">
        <v>0</v>
      </c>
      <c r="O745" t="n">
        <v>0</v>
      </c>
      <c r="P745" t="n">
        <v>0</v>
      </c>
      <c r="Q745" t="n">
        <v>0</v>
      </c>
      <c r="R745" s="2" t="inlineStr"/>
    </row>
    <row r="746" ht="15" customHeight="1">
      <c r="A746" t="inlineStr">
        <is>
          <t>A 51040-2024</t>
        </is>
      </c>
      <c r="B746" s="1" t="n">
        <v>45603.43222222223</v>
      </c>
      <c r="C746" s="1" t="n">
        <v>46038</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50249-2024</t>
        </is>
      </c>
      <c r="B747" s="1" t="n">
        <v>45600.56866898148</v>
      </c>
      <c r="C747" s="1" t="n">
        <v>46038</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54326-2022</t>
        </is>
      </c>
      <c r="B748" s="1" t="n">
        <v>44882.42965277778</v>
      </c>
      <c r="C748" s="1" t="n">
        <v>46038</v>
      </c>
      <c r="D748" t="inlineStr">
        <is>
          <t>SKÅNE LÄN</t>
        </is>
      </c>
      <c r="E748" t="inlineStr">
        <is>
          <t>HÄSSLEHOLM</t>
        </is>
      </c>
      <c r="G748" t="n">
        <v>1.5</v>
      </c>
      <c r="H748" t="n">
        <v>0</v>
      </c>
      <c r="I748" t="n">
        <v>0</v>
      </c>
      <c r="J748" t="n">
        <v>0</v>
      </c>
      <c r="K748" t="n">
        <v>0</v>
      </c>
      <c r="L748" t="n">
        <v>0</v>
      </c>
      <c r="M748" t="n">
        <v>0</v>
      </c>
      <c r="N748" t="n">
        <v>0</v>
      </c>
      <c r="O748" t="n">
        <v>0</v>
      </c>
      <c r="P748" t="n">
        <v>0</v>
      </c>
      <c r="Q748" t="n">
        <v>0</v>
      </c>
      <c r="R748" s="2" t="inlineStr"/>
    </row>
    <row r="749" ht="15" customHeight="1">
      <c r="A749" t="inlineStr">
        <is>
          <t>A 54174-2022</t>
        </is>
      </c>
      <c r="B749" s="1" t="n">
        <v>44881</v>
      </c>
      <c r="C749" s="1" t="n">
        <v>46038</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52126-2025</t>
        </is>
      </c>
      <c r="B750" s="1" t="n">
        <v>45952.72109953704</v>
      </c>
      <c r="C750" s="1" t="n">
        <v>46038</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38376-2022</t>
        </is>
      </c>
      <c r="B751" s="1" t="n">
        <v>44812</v>
      </c>
      <c r="C751" s="1" t="n">
        <v>46038</v>
      </c>
      <c r="D751" t="inlineStr">
        <is>
          <t>SKÅNE LÄN</t>
        </is>
      </c>
      <c r="E751" t="inlineStr">
        <is>
          <t>HÄSSLEHOLM</t>
        </is>
      </c>
      <c r="G751" t="n">
        <v>1.9</v>
      </c>
      <c r="H751" t="n">
        <v>0</v>
      </c>
      <c r="I751" t="n">
        <v>0</v>
      </c>
      <c r="J751" t="n">
        <v>0</v>
      </c>
      <c r="K751" t="n">
        <v>0</v>
      </c>
      <c r="L751" t="n">
        <v>0</v>
      </c>
      <c r="M751" t="n">
        <v>0</v>
      </c>
      <c r="N751" t="n">
        <v>0</v>
      </c>
      <c r="O751" t="n">
        <v>0</v>
      </c>
      <c r="P751" t="n">
        <v>0</v>
      </c>
      <c r="Q751" t="n">
        <v>0</v>
      </c>
      <c r="R751" s="2" t="inlineStr"/>
    </row>
    <row r="752" ht="15" customHeight="1">
      <c r="A752" t="inlineStr">
        <is>
          <t>A 54659-2023</t>
        </is>
      </c>
      <c r="B752" s="1" t="n">
        <v>45235</v>
      </c>
      <c r="C752" s="1" t="n">
        <v>46038</v>
      </c>
      <c r="D752" t="inlineStr">
        <is>
          <t>SKÅNE LÄN</t>
        </is>
      </c>
      <c r="E752" t="inlineStr">
        <is>
          <t>HÄSSLEHOLM</t>
        </is>
      </c>
      <c r="G752" t="n">
        <v>5</v>
      </c>
      <c r="H752" t="n">
        <v>0</v>
      </c>
      <c r="I752" t="n">
        <v>0</v>
      </c>
      <c r="J752" t="n">
        <v>0</v>
      </c>
      <c r="K752" t="n">
        <v>0</v>
      </c>
      <c r="L752" t="n">
        <v>0</v>
      </c>
      <c r="M752" t="n">
        <v>0</v>
      </c>
      <c r="N752" t="n">
        <v>0</v>
      </c>
      <c r="O752" t="n">
        <v>0</v>
      </c>
      <c r="P752" t="n">
        <v>0</v>
      </c>
      <c r="Q752" t="n">
        <v>0</v>
      </c>
      <c r="R752" s="2" t="inlineStr"/>
    </row>
    <row r="753" ht="15" customHeight="1">
      <c r="A753" t="inlineStr">
        <is>
          <t>A 15036-2024</t>
        </is>
      </c>
      <c r="B753" s="1" t="n">
        <v>45399.48100694444</v>
      </c>
      <c r="C753" s="1" t="n">
        <v>46038</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9709-2023</t>
        </is>
      </c>
      <c r="B754" s="1" t="n">
        <v>44984.48376157408</v>
      </c>
      <c r="C754" s="1" t="n">
        <v>46038</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9615-2025</t>
        </is>
      </c>
      <c r="B755" s="1" t="n">
        <v>45715</v>
      </c>
      <c r="C755" s="1" t="n">
        <v>46038</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8524-2024</t>
        </is>
      </c>
      <c r="B756" s="1" t="n">
        <v>45355.48570601852</v>
      </c>
      <c r="C756" s="1" t="n">
        <v>46038</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23987-2024</t>
        </is>
      </c>
      <c r="B757" s="1" t="n">
        <v>45456</v>
      </c>
      <c r="C757" s="1" t="n">
        <v>46038</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4042-2023</t>
        </is>
      </c>
      <c r="B758" s="1" t="n">
        <v>44952.59950231481</v>
      </c>
      <c r="C758" s="1" t="n">
        <v>46038</v>
      </c>
      <c r="D758" t="inlineStr">
        <is>
          <t>SKÅNE LÄN</t>
        </is>
      </c>
      <c r="E758" t="inlineStr">
        <is>
          <t>HÄSSLEHOLM</t>
        </is>
      </c>
      <c r="G758" t="n">
        <v>2.7</v>
      </c>
      <c r="H758" t="n">
        <v>0</v>
      </c>
      <c r="I758" t="n">
        <v>0</v>
      </c>
      <c r="J758" t="n">
        <v>0</v>
      </c>
      <c r="K758" t="n">
        <v>0</v>
      </c>
      <c r="L758" t="n">
        <v>0</v>
      </c>
      <c r="M758" t="n">
        <v>0</v>
      </c>
      <c r="N758" t="n">
        <v>0</v>
      </c>
      <c r="O758" t="n">
        <v>0</v>
      </c>
      <c r="P758" t="n">
        <v>0</v>
      </c>
      <c r="Q758" t="n">
        <v>0</v>
      </c>
      <c r="R758" s="2" t="inlineStr"/>
    </row>
    <row r="759" ht="15" customHeight="1">
      <c r="A759" t="inlineStr">
        <is>
          <t>A 31160-2024</t>
        </is>
      </c>
      <c r="B759" s="1" t="n">
        <v>45503</v>
      </c>
      <c r="C759" s="1" t="n">
        <v>46038</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5054-2022</t>
        </is>
      </c>
      <c r="B760" s="1" t="n">
        <v>44593.69065972222</v>
      </c>
      <c r="C760" s="1" t="n">
        <v>46038</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31391-2023</t>
        </is>
      </c>
      <c r="B761" s="1" t="n">
        <v>45114.56143518518</v>
      </c>
      <c r="C761" s="1" t="n">
        <v>46038</v>
      </c>
      <c r="D761" t="inlineStr">
        <is>
          <t>SKÅNE LÄN</t>
        </is>
      </c>
      <c r="E761" t="inlineStr">
        <is>
          <t>HÄSSLEHOLM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23723-2023</t>
        </is>
      </c>
      <c r="B762" s="1" t="n">
        <v>45077</v>
      </c>
      <c r="C762" s="1" t="n">
        <v>46038</v>
      </c>
      <c r="D762" t="inlineStr">
        <is>
          <t>SKÅNE LÄN</t>
        </is>
      </c>
      <c r="E762" t="inlineStr">
        <is>
          <t>HÄSSLEHOLM</t>
        </is>
      </c>
      <c r="G762" t="n">
        <v>3.9</v>
      </c>
      <c r="H762" t="n">
        <v>0</v>
      </c>
      <c r="I762" t="n">
        <v>0</v>
      </c>
      <c r="J762" t="n">
        <v>0</v>
      </c>
      <c r="K762" t="n">
        <v>0</v>
      </c>
      <c r="L762" t="n">
        <v>0</v>
      </c>
      <c r="M762" t="n">
        <v>0</v>
      </c>
      <c r="N762" t="n">
        <v>0</v>
      </c>
      <c r="O762" t="n">
        <v>0</v>
      </c>
      <c r="P762" t="n">
        <v>0</v>
      </c>
      <c r="Q762" t="n">
        <v>0</v>
      </c>
      <c r="R762" s="2" t="inlineStr"/>
    </row>
    <row r="763" ht="15" customHeight="1">
      <c r="A763" t="inlineStr">
        <is>
          <t>A 61322-2025</t>
        </is>
      </c>
      <c r="B763" s="1" t="n">
        <v>46000</v>
      </c>
      <c r="C763" s="1" t="n">
        <v>46038</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31933-2024</t>
        </is>
      </c>
      <c r="B764" s="1" t="n">
        <v>45510.41123842593</v>
      </c>
      <c r="C764" s="1" t="n">
        <v>46038</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31581-2023</t>
        </is>
      </c>
      <c r="B765" s="1" t="n">
        <v>45117.45165509259</v>
      </c>
      <c r="C765" s="1" t="n">
        <v>46038</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55303-2024</t>
        </is>
      </c>
      <c r="B766" s="1" t="n">
        <v>45621.6434837963</v>
      </c>
      <c r="C766" s="1" t="n">
        <v>46038</v>
      </c>
      <c r="D766" t="inlineStr">
        <is>
          <t>SKÅNE LÄN</t>
        </is>
      </c>
      <c r="E766" t="inlineStr">
        <is>
          <t>HÄSSLEHOLM</t>
        </is>
      </c>
      <c r="G766" t="n">
        <v>3.3</v>
      </c>
      <c r="H766" t="n">
        <v>0</v>
      </c>
      <c r="I766" t="n">
        <v>0</v>
      </c>
      <c r="J766" t="n">
        <v>0</v>
      </c>
      <c r="K766" t="n">
        <v>0</v>
      </c>
      <c r="L766" t="n">
        <v>0</v>
      </c>
      <c r="M766" t="n">
        <v>0</v>
      </c>
      <c r="N766" t="n">
        <v>0</v>
      </c>
      <c r="O766" t="n">
        <v>0</v>
      </c>
      <c r="P766" t="n">
        <v>0</v>
      </c>
      <c r="Q766" t="n">
        <v>0</v>
      </c>
      <c r="R766" s="2" t="inlineStr"/>
    </row>
    <row r="767" ht="15" customHeight="1">
      <c r="A767" t="inlineStr">
        <is>
          <t>A 53020-2025</t>
        </is>
      </c>
      <c r="B767" s="1" t="n">
        <v>45957.90707175926</v>
      </c>
      <c r="C767" s="1" t="n">
        <v>46038</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53424-2025</t>
        </is>
      </c>
      <c r="B768" s="1" t="n">
        <v>45959</v>
      </c>
      <c r="C768" s="1" t="n">
        <v>46038</v>
      </c>
      <c r="D768" t="inlineStr">
        <is>
          <t>SKÅNE LÄN</t>
        </is>
      </c>
      <c r="E768" t="inlineStr">
        <is>
          <t>HÄSSLEHOLM</t>
        </is>
      </c>
      <c r="G768" t="n">
        <v>3.4</v>
      </c>
      <c r="H768" t="n">
        <v>0</v>
      </c>
      <c r="I768" t="n">
        <v>0</v>
      </c>
      <c r="J768" t="n">
        <v>0</v>
      </c>
      <c r="K768" t="n">
        <v>0</v>
      </c>
      <c r="L768" t="n">
        <v>0</v>
      </c>
      <c r="M768" t="n">
        <v>0</v>
      </c>
      <c r="N768" t="n">
        <v>0</v>
      </c>
      <c r="O768" t="n">
        <v>0</v>
      </c>
      <c r="P768" t="n">
        <v>0</v>
      </c>
      <c r="Q768" t="n">
        <v>0</v>
      </c>
      <c r="R768" s="2" t="inlineStr"/>
    </row>
    <row r="769" ht="15" customHeight="1">
      <c r="A769" t="inlineStr">
        <is>
          <t>A 40202-2022</t>
        </is>
      </c>
      <c r="B769" s="1" t="n">
        <v>44820.60614583334</v>
      </c>
      <c r="C769" s="1" t="n">
        <v>46038</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53018-2025</t>
        </is>
      </c>
      <c r="B770" s="1" t="n">
        <v>45957.90064814815</v>
      </c>
      <c r="C770" s="1" t="n">
        <v>46038</v>
      </c>
      <c r="D770" t="inlineStr">
        <is>
          <t>SKÅNE LÄN</t>
        </is>
      </c>
      <c r="E770" t="inlineStr">
        <is>
          <t>HÄSSLEHOLM</t>
        </is>
      </c>
      <c r="G770" t="n">
        <v>2.2</v>
      </c>
      <c r="H770" t="n">
        <v>0</v>
      </c>
      <c r="I770" t="n">
        <v>0</v>
      </c>
      <c r="J770" t="n">
        <v>0</v>
      </c>
      <c r="K770" t="n">
        <v>0</v>
      </c>
      <c r="L770" t="n">
        <v>0</v>
      </c>
      <c r="M770" t="n">
        <v>0</v>
      </c>
      <c r="N770" t="n">
        <v>0</v>
      </c>
      <c r="O770" t="n">
        <v>0</v>
      </c>
      <c r="P770" t="n">
        <v>0</v>
      </c>
      <c r="Q770" t="n">
        <v>0</v>
      </c>
      <c r="R770" s="2" t="inlineStr"/>
    </row>
    <row r="771" ht="15" customHeight="1">
      <c r="A771" t="inlineStr">
        <is>
          <t>A 53056-2025</t>
        </is>
      </c>
      <c r="B771" s="1" t="n">
        <v>45958.36518518518</v>
      </c>
      <c r="C771" s="1" t="n">
        <v>46038</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4382-2023</t>
        </is>
      </c>
      <c r="B772" s="1" t="n">
        <v>44955.61152777778</v>
      </c>
      <c r="C772" s="1" t="n">
        <v>46038</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52608-2023</t>
        </is>
      </c>
      <c r="B773" s="1" t="n">
        <v>45219</v>
      </c>
      <c r="C773" s="1" t="n">
        <v>46038</v>
      </c>
      <c r="D773" t="inlineStr">
        <is>
          <t>SKÅNE LÄN</t>
        </is>
      </c>
      <c r="E773" t="inlineStr">
        <is>
          <t>HÄSSLEHOLM</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61474-2025</t>
        </is>
      </c>
      <c r="B774" s="1" t="n">
        <v>46001.61886574074</v>
      </c>
      <c r="C774" s="1" t="n">
        <v>46038</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27954-2022</t>
        </is>
      </c>
      <c r="B775" s="1" t="n">
        <v>44743</v>
      </c>
      <c r="C775" s="1" t="n">
        <v>46038</v>
      </c>
      <c r="D775" t="inlineStr">
        <is>
          <t>SKÅNE LÄN</t>
        </is>
      </c>
      <c r="E775" t="inlineStr">
        <is>
          <t>HÄSSLEHOLM</t>
        </is>
      </c>
      <c r="G775" t="n">
        <v>9.4</v>
      </c>
      <c r="H775" t="n">
        <v>0</v>
      </c>
      <c r="I775" t="n">
        <v>0</v>
      </c>
      <c r="J775" t="n">
        <v>0</v>
      </c>
      <c r="K775" t="n">
        <v>0</v>
      </c>
      <c r="L775" t="n">
        <v>0</v>
      </c>
      <c r="M775" t="n">
        <v>0</v>
      </c>
      <c r="N775" t="n">
        <v>0</v>
      </c>
      <c r="O775" t="n">
        <v>0</v>
      </c>
      <c r="P775" t="n">
        <v>0</v>
      </c>
      <c r="Q775" t="n">
        <v>0</v>
      </c>
      <c r="R775" s="2" t="inlineStr"/>
    </row>
    <row r="776" ht="15" customHeight="1">
      <c r="A776" t="inlineStr">
        <is>
          <t>A 20493-2024</t>
        </is>
      </c>
      <c r="B776" s="1" t="n">
        <v>45435</v>
      </c>
      <c r="C776" s="1" t="n">
        <v>46038</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41873-2023</t>
        </is>
      </c>
      <c r="B777" s="1" t="n">
        <v>45176</v>
      </c>
      <c r="C777" s="1" t="n">
        <v>46038</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41998-2021</t>
        </is>
      </c>
      <c r="B778" s="1" t="n">
        <v>44425</v>
      </c>
      <c r="C778" s="1" t="n">
        <v>46038</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35712-2024</t>
        </is>
      </c>
      <c r="B779" s="1" t="n">
        <v>45532</v>
      </c>
      <c r="C779" s="1" t="n">
        <v>46038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61691-2021</t>
        </is>
      </c>
      <c r="B780" s="1" t="n">
        <v>44501</v>
      </c>
      <c r="C780" s="1" t="n">
        <v>46038</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57647-2024</t>
        </is>
      </c>
      <c r="B781" s="1" t="n">
        <v>45630</v>
      </c>
      <c r="C781" s="1" t="n">
        <v>46038</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20564-2023</t>
        </is>
      </c>
      <c r="B782" s="1" t="n">
        <v>45057</v>
      </c>
      <c r="C782" s="1" t="n">
        <v>46038</v>
      </c>
      <c r="D782" t="inlineStr">
        <is>
          <t>SKÅNE LÄN</t>
        </is>
      </c>
      <c r="E782" t="inlineStr">
        <is>
          <t>HÄSSLEHOLM</t>
        </is>
      </c>
      <c r="G782" t="n">
        <v>2.6</v>
      </c>
      <c r="H782" t="n">
        <v>0</v>
      </c>
      <c r="I782" t="n">
        <v>0</v>
      </c>
      <c r="J782" t="n">
        <v>0</v>
      </c>
      <c r="K782" t="n">
        <v>0</v>
      </c>
      <c r="L782" t="n">
        <v>0</v>
      </c>
      <c r="M782" t="n">
        <v>0</v>
      </c>
      <c r="N782" t="n">
        <v>0</v>
      </c>
      <c r="O782" t="n">
        <v>0</v>
      </c>
      <c r="P782" t="n">
        <v>0</v>
      </c>
      <c r="Q782" t="n">
        <v>0</v>
      </c>
      <c r="R782" s="2" t="inlineStr"/>
    </row>
    <row r="783" ht="15" customHeight="1">
      <c r="A783" t="inlineStr">
        <is>
          <t>A 46641-2023</t>
        </is>
      </c>
      <c r="B783" s="1" t="n">
        <v>45198.44523148148</v>
      </c>
      <c r="C783" s="1" t="n">
        <v>46038</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8239-2025</t>
        </is>
      </c>
      <c r="B784" s="1" t="n">
        <v>45708.47984953703</v>
      </c>
      <c r="C784" s="1" t="n">
        <v>46038</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46645-2023</t>
        </is>
      </c>
      <c r="B785" s="1" t="n">
        <v>45198.44686342592</v>
      </c>
      <c r="C785" s="1" t="n">
        <v>46038</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62264-2025</t>
        </is>
      </c>
      <c r="B786" s="1" t="n">
        <v>46006.61644675926</v>
      </c>
      <c r="C786" s="1" t="n">
        <v>46038</v>
      </c>
      <c r="D786" t="inlineStr">
        <is>
          <t>SKÅNE LÄN</t>
        </is>
      </c>
      <c r="E786" t="inlineStr">
        <is>
          <t>HÄSSLEHOLM</t>
        </is>
      </c>
      <c r="G786" t="n">
        <v>7.5</v>
      </c>
      <c r="H786" t="n">
        <v>0</v>
      </c>
      <c r="I786" t="n">
        <v>0</v>
      </c>
      <c r="J786" t="n">
        <v>0</v>
      </c>
      <c r="K786" t="n">
        <v>0</v>
      </c>
      <c r="L786" t="n">
        <v>0</v>
      </c>
      <c r="M786" t="n">
        <v>0</v>
      </c>
      <c r="N786" t="n">
        <v>0</v>
      </c>
      <c r="O786" t="n">
        <v>0</v>
      </c>
      <c r="P786" t="n">
        <v>0</v>
      </c>
      <c r="Q786" t="n">
        <v>0</v>
      </c>
      <c r="R786" s="2" t="inlineStr"/>
    </row>
    <row r="787" ht="15" customHeight="1">
      <c r="A787" t="inlineStr">
        <is>
          <t>A 31986-2023</t>
        </is>
      </c>
      <c r="B787" s="1" t="n">
        <v>45119</v>
      </c>
      <c r="C787" s="1" t="n">
        <v>46038</v>
      </c>
      <c r="D787" t="inlineStr">
        <is>
          <t>SKÅNE LÄN</t>
        </is>
      </c>
      <c r="E787" t="inlineStr">
        <is>
          <t>HÄSSLEHOLM</t>
        </is>
      </c>
      <c r="G787" t="n">
        <v>1.7</v>
      </c>
      <c r="H787" t="n">
        <v>0</v>
      </c>
      <c r="I787" t="n">
        <v>0</v>
      </c>
      <c r="J787" t="n">
        <v>0</v>
      </c>
      <c r="K787" t="n">
        <v>0</v>
      </c>
      <c r="L787" t="n">
        <v>0</v>
      </c>
      <c r="M787" t="n">
        <v>0</v>
      </c>
      <c r="N787" t="n">
        <v>0</v>
      </c>
      <c r="O787" t="n">
        <v>0</v>
      </c>
      <c r="P787" t="n">
        <v>0</v>
      </c>
      <c r="Q787" t="n">
        <v>0</v>
      </c>
      <c r="R787" s="2" t="inlineStr"/>
    </row>
    <row r="788" ht="15" customHeight="1">
      <c r="A788" t="inlineStr">
        <is>
          <t>A 62044-2022</t>
        </is>
      </c>
      <c r="B788" s="1" t="n">
        <v>44918.55976851852</v>
      </c>
      <c r="C788" s="1" t="n">
        <v>46038</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47161-2025</t>
        </is>
      </c>
      <c r="B789" s="1" t="n">
        <v>45929</v>
      </c>
      <c r="C789" s="1" t="n">
        <v>46038</v>
      </c>
      <c r="D789" t="inlineStr">
        <is>
          <t>SKÅNE LÄN</t>
        </is>
      </c>
      <c r="E789" t="inlineStr">
        <is>
          <t>HÄSSLEHOLM</t>
        </is>
      </c>
      <c r="G789" t="n">
        <v>0.9</v>
      </c>
      <c r="H789" t="n">
        <v>0</v>
      </c>
      <c r="I789" t="n">
        <v>0</v>
      </c>
      <c r="J789" t="n">
        <v>0</v>
      </c>
      <c r="K789" t="n">
        <v>0</v>
      </c>
      <c r="L789" t="n">
        <v>0</v>
      </c>
      <c r="M789" t="n">
        <v>0</v>
      </c>
      <c r="N789" t="n">
        <v>0</v>
      </c>
      <c r="O789" t="n">
        <v>0</v>
      </c>
      <c r="P789" t="n">
        <v>0</v>
      </c>
      <c r="Q789" t="n">
        <v>0</v>
      </c>
      <c r="R789" s="2" t="inlineStr"/>
    </row>
    <row r="790" ht="15" customHeight="1">
      <c r="A790" t="inlineStr">
        <is>
          <t>A 6619-2024</t>
        </is>
      </c>
      <c r="B790" s="1" t="n">
        <v>45341.6021412037</v>
      </c>
      <c r="C790" s="1" t="n">
        <v>46038</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62376-2025</t>
        </is>
      </c>
      <c r="B791" s="1" t="n">
        <v>46006</v>
      </c>
      <c r="C791" s="1" t="n">
        <v>46038</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52341-2023</t>
        </is>
      </c>
      <c r="B792" s="1" t="n">
        <v>45224.67006944444</v>
      </c>
      <c r="C792" s="1" t="n">
        <v>46038</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62271-2025</t>
        </is>
      </c>
      <c r="B793" s="1" t="n">
        <v>46006.62256944444</v>
      </c>
      <c r="C793" s="1" t="n">
        <v>46038</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27464-2022</t>
        </is>
      </c>
      <c r="B794" s="1" t="n">
        <v>44742.58704861111</v>
      </c>
      <c r="C794" s="1" t="n">
        <v>46038</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6798-2025</t>
        </is>
      </c>
      <c r="B795" s="1" t="n">
        <v>45700.668125</v>
      </c>
      <c r="C795" s="1" t="n">
        <v>46038</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54426-2025</t>
        </is>
      </c>
      <c r="B796" s="1" t="n">
        <v>45965</v>
      </c>
      <c r="C796" s="1" t="n">
        <v>46038</v>
      </c>
      <c r="D796" t="inlineStr">
        <is>
          <t>SKÅNE LÄN</t>
        </is>
      </c>
      <c r="E796" t="inlineStr">
        <is>
          <t>HÄSSLEHOLM</t>
        </is>
      </c>
      <c r="G796" t="n">
        <v>3.7</v>
      </c>
      <c r="H796" t="n">
        <v>0</v>
      </c>
      <c r="I796" t="n">
        <v>0</v>
      </c>
      <c r="J796" t="n">
        <v>0</v>
      </c>
      <c r="K796" t="n">
        <v>0</v>
      </c>
      <c r="L796" t="n">
        <v>0</v>
      </c>
      <c r="M796" t="n">
        <v>0</v>
      </c>
      <c r="N796" t="n">
        <v>0</v>
      </c>
      <c r="O796" t="n">
        <v>0</v>
      </c>
      <c r="P796" t="n">
        <v>0</v>
      </c>
      <c r="Q796" t="n">
        <v>0</v>
      </c>
      <c r="R796" s="2" t="inlineStr"/>
    </row>
    <row r="797" ht="15" customHeight="1">
      <c r="A797" t="inlineStr">
        <is>
          <t>A 10752-2025</t>
        </is>
      </c>
      <c r="B797" s="1" t="n">
        <v>45722</v>
      </c>
      <c r="C797" s="1" t="n">
        <v>46038</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54771-2025</t>
        </is>
      </c>
      <c r="B798" s="1" t="n">
        <v>45966.60829861111</v>
      </c>
      <c r="C798" s="1" t="n">
        <v>46038</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54664-2025</t>
        </is>
      </c>
      <c r="B799" s="1" t="n">
        <v>45966.40738425926</v>
      </c>
      <c r="C799" s="1" t="n">
        <v>46038</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54763-2025</t>
        </is>
      </c>
      <c r="B800" s="1" t="n">
        <v>45966.60167824074</v>
      </c>
      <c r="C800" s="1" t="n">
        <v>46038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14008-2023</t>
        </is>
      </c>
      <c r="B801" s="1" t="n">
        <v>45008.56725694444</v>
      </c>
      <c r="C801" s="1" t="n">
        <v>46038</v>
      </c>
      <c r="D801" t="inlineStr">
        <is>
          <t>SKÅNE LÄN</t>
        </is>
      </c>
      <c r="E801" t="inlineStr">
        <is>
          <t>HÄSSLEHOLM</t>
        </is>
      </c>
      <c r="G801" t="n">
        <v>3.3</v>
      </c>
      <c r="H801" t="n">
        <v>0</v>
      </c>
      <c r="I801" t="n">
        <v>0</v>
      </c>
      <c r="J801" t="n">
        <v>0</v>
      </c>
      <c r="K801" t="n">
        <v>0</v>
      </c>
      <c r="L801" t="n">
        <v>0</v>
      </c>
      <c r="M801" t="n">
        <v>0</v>
      </c>
      <c r="N801" t="n">
        <v>0</v>
      </c>
      <c r="O801" t="n">
        <v>0</v>
      </c>
      <c r="P801" t="n">
        <v>0</v>
      </c>
      <c r="Q801" t="n">
        <v>0</v>
      </c>
      <c r="R801" s="2" t="inlineStr"/>
    </row>
    <row r="802" ht="15" customHeight="1">
      <c r="A802" t="inlineStr">
        <is>
          <t>A 27297-2023</t>
        </is>
      </c>
      <c r="B802" s="1" t="n">
        <v>45096</v>
      </c>
      <c r="C802" s="1" t="n">
        <v>46038</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315-2022</t>
        </is>
      </c>
      <c r="B803" s="1" t="n">
        <v>44565.55630787037</v>
      </c>
      <c r="C803" s="1" t="n">
        <v>46038</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42372-2024</t>
        </is>
      </c>
      <c r="B804" s="1" t="n">
        <v>45564.5127199074</v>
      </c>
      <c r="C804" s="1" t="n">
        <v>46038</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6180-2021</t>
        </is>
      </c>
      <c r="B805" s="1" t="n">
        <v>44232</v>
      </c>
      <c r="C805" s="1" t="n">
        <v>46038</v>
      </c>
      <c r="D805" t="inlineStr">
        <is>
          <t>SKÅNE LÄN</t>
        </is>
      </c>
      <c r="E805" t="inlineStr">
        <is>
          <t>HÄSSLEHOLM</t>
        </is>
      </c>
      <c r="F805" t="inlineStr">
        <is>
          <t>Kyrkan</t>
        </is>
      </c>
      <c r="G805" t="n">
        <v>1.1</v>
      </c>
      <c r="H805" t="n">
        <v>0</v>
      </c>
      <c r="I805" t="n">
        <v>0</v>
      </c>
      <c r="J805" t="n">
        <v>0</v>
      </c>
      <c r="K805" t="n">
        <v>0</v>
      </c>
      <c r="L805" t="n">
        <v>0</v>
      </c>
      <c r="M805" t="n">
        <v>0</v>
      </c>
      <c r="N805" t="n">
        <v>0</v>
      </c>
      <c r="O805" t="n">
        <v>0</v>
      </c>
      <c r="P805" t="n">
        <v>0</v>
      </c>
      <c r="Q805" t="n">
        <v>0</v>
      </c>
      <c r="R805" s="2" t="inlineStr"/>
    </row>
    <row r="806" ht="15" customHeight="1">
      <c r="A806" t="inlineStr">
        <is>
          <t>A 17138-2025</t>
        </is>
      </c>
      <c r="B806" s="1" t="n">
        <v>45755.80378472222</v>
      </c>
      <c r="C806" s="1" t="n">
        <v>46038</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57695-2023</t>
        </is>
      </c>
      <c r="B807" s="1" t="n">
        <v>45246</v>
      </c>
      <c r="C807" s="1" t="n">
        <v>46038</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54668-2025</t>
        </is>
      </c>
      <c r="B808" s="1" t="n">
        <v>45966.40803240741</v>
      </c>
      <c r="C808" s="1" t="n">
        <v>46038</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12162-2023</t>
        </is>
      </c>
      <c r="B809" s="1" t="n">
        <v>44998.49619212963</v>
      </c>
      <c r="C809" s="1" t="n">
        <v>46038</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9747-2024</t>
        </is>
      </c>
      <c r="B810" s="1" t="n">
        <v>45362</v>
      </c>
      <c r="C810" s="1" t="n">
        <v>46038</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63415-2025</t>
        </is>
      </c>
      <c r="B811" s="1" t="n">
        <v>46013.32163194445</v>
      </c>
      <c r="C811" s="1" t="n">
        <v>46038</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63473-2025</t>
        </is>
      </c>
      <c r="B812" s="1" t="n">
        <v>46013.44364583334</v>
      </c>
      <c r="C812" s="1" t="n">
        <v>46038</v>
      </c>
      <c r="D812" t="inlineStr">
        <is>
          <t>SKÅNE LÄN</t>
        </is>
      </c>
      <c r="E812" t="inlineStr">
        <is>
          <t>HÄSSLEHOLM</t>
        </is>
      </c>
      <c r="F812" t="inlineStr">
        <is>
          <t>Kommuner</t>
        </is>
      </c>
      <c r="G812" t="n">
        <v>5.9</v>
      </c>
      <c r="H812" t="n">
        <v>0</v>
      </c>
      <c r="I812" t="n">
        <v>0</v>
      </c>
      <c r="J812" t="n">
        <v>0</v>
      </c>
      <c r="K812" t="n">
        <v>0</v>
      </c>
      <c r="L812" t="n">
        <v>0</v>
      </c>
      <c r="M812" t="n">
        <v>0</v>
      </c>
      <c r="N812" t="n">
        <v>0</v>
      </c>
      <c r="O812" t="n">
        <v>0</v>
      </c>
      <c r="P812" t="n">
        <v>0</v>
      </c>
      <c r="Q812" t="n">
        <v>0</v>
      </c>
      <c r="R812" s="2" t="inlineStr"/>
    </row>
    <row r="813" ht="15" customHeight="1">
      <c r="A813" t="inlineStr">
        <is>
          <t>A 63487-2025</t>
        </is>
      </c>
      <c r="B813" s="1" t="n">
        <v>46013.46878472222</v>
      </c>
      <c r="C813" s="1" t="n">
        <v>46038</v>
      </c>
      <c r="D813" t="inlineStr">
        <is>
          <t>SKÅNE LÄN</t>
        </is>
      </c>
      <c r="E813" t="inlineStr">
        <is>
          <t>HÄSSLEHOLM</t>
        </is>
      </c>
      <c r="F813" t="inlineStr">
        <is>
          <t>Kommuner</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13347-2025</t>
        </is>
      </c>
      <c r="B814" s="1" t="n">
        <v>45735.63175925926</v>
      </c>
      <c r="C814" s="1" t="n">
        <v>46038</v>
      </c>
      <c r="D814" t="inlineStr">
        <is>
          <t>SKÅNE LÄN</t>
        </is>
      </c>
      <c r="E814" t="inlineStr">
        <is>
          <t>HÄSSLEHOLM</t>
        </is>
      </c>
      <c r="G814" t="n">
        <v>0.7</v>
      </c>
      <c r="H814" t="n">
        <v>0</v>
      </c>
      <c r="I814" t="n">
        <v>0</v>
      </c>
      <c r="J814" t="n">
        <v>0</v>
      </c>
      <c r="K814" t="n">
        <v>0</v>
      </c>
      <c r="L814" t="n">
        <v>0</v>
      </c>
      <c r="M814" t="n">
        <v>0</v>
      </c>
      <c r="N814" t="n">
        <v>0</v>
      </c>
      <c r="O814" t="n">
        <v>0</v>
      </c>
      <c r="P814" t="n">
        <v>0</v>
      </c>
      <c r="Q814" t="n">
        <v>0</v>
      </c>
      <c r="R814" s="2" t="inlineStr"/>
    </row>
    <row r="815" ht="15" customHeight="1">
      <c r="A815" t="inlineStr">
        <is>
          <t>A 4916-2024</t>
        </is>
      </c>
      <c r="B815" s="1" t="n">
        <v>45329</v>
      </c>
      <c r="C815" s="1" t="n">
        <v>46038</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47450-2025</t>
        </is>
      </c>
      <c r="B816" s="1" t="n">
        <v>45930</v>
      </c>
      <c r="C816" s="1" t="n">
        <v>46038</v>
      </c>
      <c r="D816" t="inlineStr">
        <is>
          <t>SKÅNE LÄN</t>
        </is>
      </c>
      <c r="E816" t="inlineStr">
        <is>
          <t>HÄSSLEHOLM</t>
        </is>
      </c>
      <c r="G816" t="n">
        <v>3.2</v>
      </c>
      <c r="H816" t="n">
        <v>0</v>
      </c>
      <c r="I816" t="n">
        <v>0</v>
      </c>
      <c r="J816" t="n">
        <v>0</v>
      </c>
      <c r="K816" t="n">
        <v>0</v>
      </c>
      <c r="L816" t="n">
        <v>0</v>
      </c>
      <c r="M816" t="n">
        <v>0</v>
      </c>
      <c r="N816" t="n">
        <v>0</v>
      </c>
      <c r="O816" t="n">
        <v>0</v>
      </c>
      <c r="P816" t="n">
        <v>0</v>
      </c>
      <c r="Q816" t="n">
        <v>0</v>
      </c>
      <c r="R816" s="2" t="inlineStr"/>
    </row>
    <row r="817" ht="15" customHeight="1">
      <c r="A817" t="inlineStr">
        <is>
          <t>A 27175-2024</t>
        </is>
      </c>
      <c r="B817" s="1" t="n">
        <v>45471.57111111111</v>
      </c>
      <c r="C817" s="1" t="n">
        <v>46038</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63510-2025</t>
        </is>
      </c>
      <c r="B818" s="1" t="n">
        <v>46013.49172453704</v>
      </c>
      <c r="C818" s="1" t="n">
        <v>46038</v>
      </c>
      <c r="D818" t="inlineStr">
        <is>
          <t>SKÅNE LÄN</t>
        </is>
      </c>
      <c r="E818" t="inlineStr">
        <is>
          <t>HÄSSLEHOLM</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63354-2025</t>
        </is>
      </c>
      <c r="B819" s="1" t="n">
        <v>46010.66957175926</v>
      </c>
      <c r="C819" s="1" t="n">
        <v>46038</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54658-2023</t>
        </is>
      </c>
      <c r="B820" s="1" t="n">
        <v>45235</v>
      </c>
      <c r="C820" s="1" t="n">
        <v>46038</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55268-2025</t>
        </is>
      </c>
      <c r="B821" s="1" t="n">
        <v>45968.6715625</v>
      </c>
      <c r="C821" s="1" t="n">
        <v>46038</v>
      </c>
      <c r="D821" t="inlineStr">
        <is>
          <t>SKÅNE LÄN</t>
        </is>
      </c>
      <c r="E821" t="inlineStr">
        <is>
          <t>HÄSSLEHOLM</t>
        </is>
      </c>
      <c r="G821" t="n">
        <v>2.8</v>
      </c>
      <c r="H821" t="n">
        <v>0</v>
      </c>
      <c r="I821" t="n">
        <v>0</v>
      </c>
      <c r="J821" t="n">
        <v>0</v>
      </c>
      <c r="K821" t="n">
        <v>0</v>
      </c>
      <c r="L821" t="n">
        <v>0</v>
      </c>
      <c r="M821" t="n">
        <v>0</v>
      </c>
      <c r="N821" t="n">
        <v>0</v>
      </c>
      <c r="O821" t="n">
        <v>0</v>
      </c>
      <c r="P821" t="n">
        <v>0</v>
      </c>
      <c r="Q821" t="n">
        <v>0</v>
      </c>
      <c r="R821" s="2" t="inlineStr"/>
    </row>
    <row r="822" ht="15" customHeight="1">
      <c r="A822" t="inlineStr">
        <is>
          <t>A 23666-2023</t>
        </is>
      </c>
      <c r="B822" s="1" t="n">
        <v>45077</v>
      </c>
      <c r="C822" s="1" t="n">
        <v>46038</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3726-2024</t>
        </is>
      </c>
      <c r="B823" s="1" t="n">
        <v>45321</v>
      </c>
      <c r="C823" s="1" t="n">
        <v>46038</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53085-2022</t>
        </is>
      </c>
      <c r="B824" s="1" t="n">
        <v>44873</v>
      </c>
      <c r="C824" s="1" t="n">
        <v>46038</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55549-2025</t>
        </is>
      </c>
      <c r="B825" s="1" t="n">
        <v>45971.63805555556</v>
      </c>
      <c r="C825" s="1" t="n">
        <v>46038</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47432-2025</t>
        </is>
      </c>
      <c r="B826" s="1" t="n">
        <v>45930</v>
      </c>
      <c r="C826" s="1" t="n">
        <v>46038</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63414-2025</t>
        </is>
      </c>
      <c r="B827" s="1" t="n">
        <v>46013.32008101852</v>
      </c>
      <c r="C827" s="1" t="n">
        <v>46038</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28211-2022</t>
        </is>
      </c>
      <c r="B828" s="1" t="n">
        <v>44746</v>
      </c>
      <c r="C828" s="1" t="n">
        <v>46038</v>
      </c>
      <c r="D828" t="inlineStr">
        <is>
          <t>SKÅNE LÄN</t>
        </is>
      </c>
      <c r="E828" t="inlineStr">
        <is>
          <t>HÄSSLEHOLM</t>
        </is>
      </c>
      <c r="G828" t="n">
        <v>2.8</v>
      </c>
      <c r="H828" t="n">
        <v>0</v>
      </c>
      <c r="I828" t="n">
        <v>0</v>
      </c>
      <c r="J828" t="n">
        <v>0</v>
      </c>
      <c r="K828" t="n">
        <v>0</v>
      </c>
      <c r="L828" t="n">
        <v>0</v>
      </c>
      <c r="M828" t="n">
        <v>0</v>
      </c>
      <c r="N828" t="n">
        <v>0</v>
      </c>
      <c r="O828" t="n">
        <v>0</v>
      </c>
      <c r="P828" t="n">
        <v>0</v>
      </c>
      <c r="Q828" t="n">
        <v>0</v>
      </c>
      <c r="R828" s="2" t="inlineStr"/>
    </row>
    <row r="829" ht="15" customHeight="1">
      <c r="A829" t="inlineStr">
        <is>
          <t>A 63416-2025</t>
        </is>
      </c>
      <c r="B829" s="1" t="n">
        <v>46013.3232175926</v>
      </c>
      <c r="C829" s="1" t="n">
        <v>46038</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47394-2025</t>
        </is>
      </c>
      <c r="B830" s="1" t="n">
        <v>45930</v>
      </c>
      <c r="C830" s="1" t="n">
        <v>46038</v>
      </c>
      <c r="D830" t="inlineStr">
        <is>
          <t>SKÅNE LÄN</t>
        </is>
      </c>
      <c r="E830" t="inlineStr">
        <is>
          <t>HÄSSLEHOLM</t>
        </is>
      </c>
      <c r="G830" t="n">
        <v>2.4</v>
      </c>
      <c r="H830" t="n">
        <v>0</v>
      </c>
      <c r="I830" t="n">
        <v>0</v>
      </c>
      <c r="J830" t="n">
        <v>0</v>
      </c>
      <c r="K830" t="n">
        <v>0</v>
      </c>
      <c r="L830" t="n">
        <v>0</v>
      </c>
      <c r="M830" t="n">
        <v>0</v>
      </c>
      <c r="N830" t="n">
        <v>0</v>
      </c>
      <c r="O830" t="n">
        <v>0</v>
      </c>
      <c r="P830" t="n">
        <v>0</v>
      </c>
      <c r="Q830" t="n">
        <v>0</v>
      </c>
      <c r="R830" s="2" t="inlineStr"/>
    </row>
    <row r="831" ht="15" customHeight="1">
      <c r="A831" t="inlineStr">
        <is>
          <t>A 47422-2025</t>
        </is>
      </c>
      <c r="B831" s="1" t="n">
        <v>45930</v>
      </c>
      <c r="C831" s="1" t="n">
        <v>46038</v>
      </c>
      <c r="D831" t="inlineStr">
        <is>
          <t>SKÅNE LÄN</t>
        </is>
      </c>
      <c r="E831" t="inlineStr">
        <is>
          <t>HÄSSLEHOLM</t>
        </is>
      </c>
      <c r="G831" t="n">
        <v>3.5</v>
      </c>
      <c r="H831" t="n">
        <v>0</v>
      </c>
      <c r="I831" t="n">
        <v>0</v>
      </c>
      <c r="J831" t="n">
        <v>0</v>
      </c>
      <c r="K831" t="n">
        <v>0</v>
      </c>
      <c r="L831" t="n">
        <v>0</v>
      </c>
      <c r="M831" t="n">
        <v>0</v>
      </c>
      <c r="N831" t="n">
        <v>0</v>
      </c>
      <c r="O831" t="n">
        <v>0</v>
      </c>
      <c r="P831" t="n">
        <v>0</v>
      </c>
      <c r="Q831" t="n">
        <v>0</v>
      </c>
      <c r="R831" s="2" t="inlineStr"/>
    </row>
    <row r="832" ht="15" customHeight="1">
      <c r="A832" t="inlineStr">
        <is>
          <t>A 47352-2025</t>
        </is>
      </c>
      <c r="B832" s="1" t="n">
        <v>45930</v>
      </c>
      <c r="C832" s="1" t="n">
        <v>46038</v>
      </c>
      <c r="D832" t="inlineStr">
        <is>
          <t>SKÅNE LÄN</t>
        </is>
      </c>
      <c r="E832" t="inlineStr">
        <is>
          <t>HÄSSLEHOLM</t>
        </is>
      </c>
      <c r="G832" t="n">
        <v>16.6</v>
      </c>
      <c r="H832" t="n">
        <v>0</v>
      </c>
      <c r="I832" t="n">
        <v>0</v>
      </c>
      <c r="J832" t="n">
        <v>0</v>
      </c>
      <c r="K832" t="n">
        <v>0</v>
      </c>
      <c r="L832" t="n">
        <v>0</v>
      </c>
      <c r="M832" t="n">
        <v>0</v>
      </c>
      <c r="N832" t="n">
        <v>0</v>
      </c>
      <c r="O832" t="n">
        <v>0</v>
      </c>
      <c r="P832" t="n">
        <v>0</v>
      </c>
      <c r="Q832" t="n">
        <v>0</v>
      </c>
      <c r="R832" s="2" t="inlineStr"/>
    </row>
    <row r="833" ht="15" customHeight="1">
      <c r="A833" t="inlineStr">
        <is>
          <t>A 15990-2023</t>
        </is>
      </c>
      <c r="B833" s="1" t="n">
        <v>45023.39584490741</v>
      </c>
      <c r="C833" s="1" t="n">
        <v>46038</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26207-2021</t>
        </is>
      </c>
      <c r="B834" s="1" t="n">
        <v>44347</v>
      </c>
      <c r="C834" s="1" t="n">
        <v>46038</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62199-2022</t>
        </is>
      </c>
      <c r="B835" s="1" t="n">
        <v>44915</v>
      </c>
      <c r="C835" s="1" t="n">
        <v>46038</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63476-2025</t>
        </is>
      </c>
      <c r="B836" s="1" t="n">
        <v>46013.44621527778</v>
      </c>
      <c r="C836" s="1" t="n">
        <v>46038</v>
      </c>
      <c r="D836" t="inlineStr">
        <is>
          <t>SKÅNE LÄN</t>
        </is>
      </c>
      <c r="E836" t="inlineStr">
        <is>
          <t>HÄSSLEHOLM</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9098-2022</t>
        </is>
      </c>
      <c r="B837" s="1" t="n">
        <v>44615</v>
      </c>
      <c r="C837" s="1" t="n">
        <v>46038</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19151-2023</t>
        </is>
      </c>
      <c r="B838" s="1" t="n">
        <v>45044</v>
      </c>
      <c r="C838" s="1" t="n">
        <v>46038</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2688-2024</t>
        </is>
      </c>
      <c r="B839" s="1" t="n">
        <v>45314</v>
      </c>
      <c r="C839" s="1" t="n">
        <v>46038</v>
      </c>
      <c r="D839" t="inlineStr">
        <is>
          <t>SKÅNE LÄN</t>
        </is>
      </c>
      <c r="E839" t="inlineStr">
        <is>
          <t>HÄSSLEHOLM</t>
        </is>
      </c>
      <c r="F839" t="inlineStr">
        <is>
          <t>Övriga Aktiebolag</t>
        </is>
      </c>
      <c r="G839" t="n">
        <v>2.8</v>
      </c>
      <c r="H839" t="n">
        <v>0</v>
      </c>
      <c r="I839" t="n">
        <v>0</v>
      </c>
      <c r="J839" t="n">
        <v>0</v>
      </c>
      <c r="K839" t="n">
        <v>0</v>
      </c>
      <c r="L839" t="n">
        <v>0</v>
      </c>
      <c r="M839" t="n">
        <v>0</v>
      </c>
      <c r="N839" t="n">
        <v>0</v>
      </c>
      <c r="O839" t="n">
        <v>0</v>
      </c>
      <c r="P839" t="n">
        <v>0</v>
      </c>
      <c r="Q839" t="n">
        <v>0</v>
      </c>
      <c r="R839" s="2" t="inlineStr"/>
    </row>
    <row r="840" ht="15" customHeight="1">
      <c r="A840" t="inlineStr">
        <is>
          <t>A 55458-2025</t>
        </is>
      </c>
      <c r="B840" s="1" t="n">
        <v>45971</v>
      </c>
      <c r="C840" s="1" t="n">
        <v>46038</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29850-2024</t>
        </is>
      </c>
      <c r="B841" s="1" t="n">
        <v>45485.64620370371</v>
      </c>
      <c r="C841" s="1" t="n">
        <v>46038</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30007-2023</t>
        </is>
      </c>
      <c r="B842" s="1" t="n">
        <v>45109.80349537037</v>
      </c>
      <c r="C842" s="1" t="n">
        <v>46038</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63709-2025</t>
        </is>
      </c>
      <c r="B843" s="1" t="n">
        <v>46014.61700231482</v>
      </c>
      <c r="C843" s="1" t="n">
        <v>46038</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4187-2023</t>
        </is>
      </c>
      <c r="B844" s="1" t="n">
        <v>44953</v>
      </c>
      <c r="C844" s="1" t="n">
        <v>46038</v>
      </c>
      <c r="D844" t="inlineStr">
        <is>
          <t>SKÅNE LÄN</t>
        </is>
      </c>
      <c r="E844" t="inlineStr">
        <is>
          <t>HÄSSLEHOLM</t>
        </is>
      </c>
      <c r="G844" t="n">
        <v>3.2</v>
      </c>
      <c r="H844" t="n">
        <v>0</v>
      </c>
      <c r="I844" t="n">
        <v>0</v>
      </c>
      <c r="J844" t="n">
        <v>0</v>
      </c>
      <c r="K844" t="n">
        <v>0</v>
      </c>
      <c r="L844" t="n">
        <v>0</v>
      </c>
      <c r="M844" t="n">
        <v>0</v>
      </c>
      <c r="N844" t="n">
        <v>0</v>
      </c>
      <c r="O844" t="n">
        <v>0</v>
      </c>
      <c r="P844" t="n">
        <v>0</v>
      </c>
      <c r="Q844" t="n">
        <v>0</v>
      </c>
      <c r="R844" s="2" t="inlineStr"/>
    </row>
    <row r="845" ht="15" customHeight="1">
      <c r="A845" t="inlineStr">
        <is>
          <t>A 42231-2022</t>
        </is>
      </c>
      <c r="B845" s="1" t="n">
        <v>44830.77003472222</v>
      </c>
      <c r="C845" s="1" t="n">
        <v>46038</v>
      </c>
      <c r="D845" t="inlineStr">
        <is>
          <t>SKÅNE LÄN</t>
        </is>
      </c>
      <c r="E845" t="inlineStr">
        <is>
          <t>HÄSSLEHOLM</t>
        </is>
      </c>
      <c r="G845" t="n">
        <v>2.7</v>
      </c>
      <c r="H845" t="n">
        <v>0</v>
      </c>
      <c r="I845" t="n">
        <v>0</v>
      </c>
      <c r="J845" t="n">
        <v>0</v>
      </c>
      <c r="K845" t="n">
        <v>0</v>
      </c>
      <c r="L845" t="n">
        <v>0</v>
      </c>
      <c r="M845" t="n">
        <v>0</v>
      </c>
      <c r="N845" t="n">
        <v>0</v>
      </c>
      <c r="O845" t="n">
        <v>0</v>
      </c>
      <c r="P845" t="n">
        <v>0</v>
      </c>
      <c r="Q845" t="n">
        <v>0</v>
      </c>
      <c r="R845" s="2" t="inlineStr"/>
    </row>
    <row r="846" ht="15" customHeight="1">
      <c r="A846" t="inlineStr">
        <is>
          <t>A 63712-2025</t>
        </is>
      </c>
      <c r="B846" s="1" t="n">
        <v>46014.63092592593</v>
      </c>
      <c r="C846" s="1" t="n">
        <v>46038</v>
      </c>
      <c r="D846" t="inlineStr">
        <is>
          <t>SKÅNE LÄN</t>
        </is>
      </c>
      <c r="E846" t="inlineStr">
        <is>
          <t>HÄSSLEHOLM</t>
        </is>
      </c>
      <c r="G846" t="n">
        <v>3.9</v>
      </c>
      <c r="H846" t="n">
        <v>0</v>
      </c>
      <c r="I846" t="n">
        <v>0</v>
      </c>
      <c r="J846" t="n">
        <v>0</v>
      </c>
      <c r="K846" t="n">
        <v>0</v>
      </c>
      <c r="L846" t="n">
        <v>0</v>
      </c>
      <c r="M846" t="n">
        <v>0</v>
      </c>
      <c r="N846" t="n">
        <v>0</v>
      </c>
      <c r="O846" t="n">
        <v>0</v>
      </c>
      <c r="P846" t="n">
        <v>0</v>
      </c>
      <c r="Q846" t="n">
        <v>0</v>
      </c>
      <c r="R846" s="2" t="inlineStr"/>
    </row>
    <row r="847" ht="15" customHeight="1">
      <c r="A847" t="inlineStr">
        <is>
          <t>A 55455-2025</t>
        </is>
      </c>
      <c r="B847" s="1" t="n">
        <v>45971</v>
      </c>
      <c r="C847" s="1" t="n">
        <v>46038</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46813-2024</t>
        </is>
      </c>
      <c r="B848" s="1" t="n">
        <v>45583</v>
      </c>
      <c r="C848" s="1" t="n">
        <v>46038</v>
      </c>
      <c r="D848" t="inlineStr">
        <is>
          <t>SKÅNE LÄN</t>
        </is>
      </c>
      <c r="E848" t="inlineStr">
        <is>
          <t>HÄSSLEHOLM</t>
        </is>
      </c>
      <c r="G848" t="n">
        <v>14.9</v>
      </c>
      <c r="H848" t="n">
        <v>0</v>
      </c>
      <c r="I848" t="n">
        <v>0</v>
      </c>
      <c r="J848" t="n">
        <v>0</v>
      </c>
      <c r="K848" t="n">
        <v>0</v>
      </c>
      <c r="L848" t="n">
        <v>0</v>
      </c>
      <c r="M848" t="n">
        <v>0</v>
      </c>
      <c r="N848" t="n">
        <v>0</v>
      </c>
      <c r="O848" t="n">
        <v>0</v>
      </c>
      <c r="P848" t="n">
        <v>0</v>
      </c>
      <c r="Q848" t="n">
        <v>0</v>
      </c>
      <c r="R848" s="2" t="inlineStr"/>
    </row>
    <row r="849" ht="15" customHeight="1">
      <c r="A849" t="inlineStr">
        <is>
          <t>A 63710-2025</t>
        </is>
      </c>
      <c r="B849" s="1" t="n">
        <v>46014.62143518519</v>
      </c>
      <c r="C849" s="1" t="n">
        <v>46038</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59390-2021</t>
        </is>
      </c>
      <c r="B850" s="1" t="n">
        <v>44490</v>
      </c>
      <c r="C850" s="1" t="n">
        <v>46038</v>
      </c>
      <c r="D850" t="inlineStr">
        <is>
          <t>SKÅNE LÄN</t>
        </is>
      </c>
      <c r="E850" t="inlineStr">
        <is>
          <t>HÄSSLEHOLM</t>
        </is>
      </c>
      <c r="G850" t="n">
        <v>7.1</v>
      </c>
      <c r="H850" t="n">
        <v>0</v>
      </c>
      <c r="I850" t="n">
        <v>0</v>
      </c>
      <c r="J850" t="n">
        <v>0</v>
      </c>
      <c r="K850" t="n">
        <v>0</v>
      </c>
      <c r="L850" t="n">
        <v>0</v>
      </c>
      <c r="M850" t="n">
        <v>0</v>
      </c>
      <c r="N850" t="n">
        <v>0</v>
      </c>
      <c r="O850" t="n">
        <v>0</v>
      </c>
      <c r="P850" t="n">
        <v>0</v>
      </c>
      <c r="Q850" t="n">
        <v>0</v>
      </c>
      <c r="R850" s="2" t="inlineStr"/>
    </row>
    <row r="851" ht="15" customHeight="1">
      <c r="A851" t="inlineStr">
        <is>
          <t>A 56667-2025</t>
        </is>
      </c>
      <c r="B851" s="1" t="n">
        <v>45975.68508101852</v>
      </c>
      <c r="C851" s="1" t="n">
        <v>46038</v>
      </c>
      <c r="D851" t="inlineStr">
        <is>
          <t>SKÅNE LÄN</t>
        </is>
      </c>
      <c r="E851" t="inlineStr">
        <is>
          <t>HÄSSLEHOLM</t>
        </is>
      </c>
      <c r="G851" t="n">
        <v>4.4</v>
      </c>
      <c r="H851" t="n">
        <v>0</v>
      </c>
      <c r="I851" t="n">
        <v>0</v>
      </c>
      <c r="J851" t="n">
        <v>0</v>
      </c>
      <c r="K851" t="n">
        <v>0</v>
      </c>
      <c r="L851" t="n">
        <v>0</v>
      </c>
      <c r="M851" t="n">
        <v>0</v>
      </c>
      <c r="N851" t="n">
        <v>0</v>
      </c>
      <c r="O851" t="n">
        <v>0</v>
      </c>
      <c r="P851" t="n">
        <v>0</v>
      </c>
      <c r="Q851" t="n">
        <v>0</v>
      </c>
      <c r="R851" s="2" t="inlineStr"/>
    </row>
    <row r="852" ht="15" customHeight="1">
      <c r="A852" t="inlineStr">
        <is>
          <t>A 3452-2023</t>
        </is>
      </c>
      <c r="B852" s="1" t="n">
        <v>44949</v>
      </c>
      <c r="C852" s="1" t="n">
        <v>46038</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50525-2024</t>
        </is>
      </c>
      <c r="B853" s="1" t="n">
        <v>45601</v>
      </c>
      <c r="C853" s="1" t="n">
        <v>46038</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260-2024</t>
        </is>
      </c>
      <c r="B854" s="1" t="n">
        <v>45294</v>
      </c>
      <c r="C854" s="1" t="n">
        <v>46038</v>
      </c>
      <c r="D854" t="inlineStr">
        <is>
          <t>SKÅNE LÄN</t>
        </is>
      </c>
      <c r="E854" t="inlineStr">
        <is>
          <t>HÄSSLEHOLM</t>
        </is>
      </c>
      <c r="G854" t="n">
        <v>0.2</v>
      </c>
      <c r="H854" t="n">
        <v>0</v>
      </c>
      <c r="I854" t="n">
        <v>0</v>
      </c>
      <c r="J854" t="n">
        <v>0</v>
      </c>
      <c r="K854" t="n">
        <v>0</v>
      </c>
      <c r="L854" t="n">
        <v>0</v>
      </c>
      <c r="M854" t="n">
        <v>0</v>
      </c>
      <c r="N854" t="n">
        <v>0</v>
      </c>
      <c r="O854" t="n">
        <v>0</v>
      </c>
      <c r="P854" t="n">
        <v>0</v>
      </c>
      <c r="Q854" t="n">
        <v>0</v>
      </c>
      <c r="R854" s="2" t="inlineStr"/>
    </row>
    <row r="855" ht="15" customHeight="1">
      <c r="A855" t="inlineStr">
        <is>
          <t>A 5016-2024</t>
        </is>
      </c>
      <c r="B855" s="1" t="n">
        <v>45329</v>
      </c>
      <c r="C855" s="1" t="n">
        <v>46038</v>
      </c>
      <c r="D855" t="inlineStr">
        <is>
          <t>SKÅNE LÄN</t>
        </is>
      </c>
      <c r="E855" t="inlineStr">
        <is>
          <t>HÄSSLEHOLM</t>
        </is>
      </c>
      <c r="G855" t="n">
        <v>3.2</v>
      </c>
      <c r="H855" t="n">
        <v>0</v>
      </c>
      <c r="I855" t="n">
        <v>0</v>
      </c>
      <c r="J855" t="n">
        <v>0</v>
      </c>
      <c r="K855" t="n">
        <v>0</v>
      </c>
      <c r="L855" t="n">
        <v>0</v>
      </c>
      <c r="M855" t="n">
        <v>0</v>
      </c>
      <c r="N855" t="n">
        <v>0</v>
      </c>
      <c r="O855" t="n">
        <v>0</v>
      </c>
      <c r="P855" t="n">
        <v>0</v>
      </c>
      <c r="Q855" t="n">
        <v>0</v>
      </c>
      <c r="R855" s="2" t="inlineStr"/>
    </row>
    <row r="856" ht="15" customHeight="1">
      <c r="A856" t="inlineStr">
        <is>
          <t>A 11603-2025</t>
        </is>
      </c>
      <c r="B856" s="1" t="n">
        <v>45727</v>
      </c>
      <c r="C856" s="1" t="n">
        <v>46038</v>
      </c>
      <c r="D856" t="inlineStr">
        <is>
          <t>SKÅNE LÄN</t>
        </is>
      </c>
      <c r="E856" t="inlineStr">
        <is>
          <t>HÄSSLEHOLM</t>
        </is>
      </c>
      <c r="G856" t="n">
        <v>5.6</v>
      </c>
      <c r="H856" t="n">
        <v>0</v>
      </c>
      <c r="I856" t="n">
        <v>0</v>
      </c>
      <c r="J856" t="n">
        <v>0</v>
      </c>
      <c r="K856" t="n">
        <v>0</v>
      </c>
      <c r="L856" t="n">
        <v>0</v>
      </c>
      <c r="M856" t="n">
        <v>0</v>
      </c>
      <c r="N856" t="n">
        <v>0</v>
      </c>
      <c r="O856" t="n">
        <v>0</v>
      </c>
      <c r="P856" t="n">
        <v>0</v>
      </c>
      <c r="Q856" t="n">
        <v>0</v>
      </c>
      <c r="R856" s="2" t="inlineStr"/>
    </row>
    <row r="857" ht="15" customHeight="1">
      <c r="A857" t="inlineStr">
        <is>
          <t>A 56797-2025</t>
        </is>
      </c>
      <c r="B857" s="1" t="n">
        <v>45978.43273148148</v>
      </c>
      <c r="C857" s="1" t="n">
        <v>46038</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56798-2025</t>
        </is>
      </c>
      <c r="B858" s="1" t="n">
        <v>45978.43378472222</v>
      </c>
      <c r="C858" s="1" t="n">
        <v>46038</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25206-2023</t>
        </is>
      </c>
      <c r="B859" s="1" t="n">
        <v>45086.59318287037</v>
      </c>
      <c r="C859" s="1" t="n">
        <v>46038</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25221-2023</t>
        </is>
      </c>
      <c r="B860" s="1" t="n">
        <v>45086.60842592592</v>
      </c>
      <c r="C860" s="1" t="n">
        <v>46038</v>
      </c>
      <c r="D860" t="inlineStr">
        <is>
          <t>SKÅNE LÄN</t>
        </is>
      </c>
      <c r="E860" t="inlineStr">
        <is>
          <t>HÄSSLEHOLM</t>
        </is>
      </c>
      <c r="G860" t="n">
        <v>2.5</v>
      </c>
      <c r="H860" t="n">
        <v>0</v>
      </c>
      <c r="I860" t="n">
        <v>0</v>
      </c>
      <c r="J860" t="n">
        <v>0</v>
      </c>
      <c r="K860" t="n">
        <v>0</v>
      </c>
      <c r="L860" t="n">
        <v>0</v>
      </c>
      <c r="M860" t="n">
        <v>0</v>
      </c>
      <c r="N860" t="n">
        <v>0</v>
      </c>
      <c r="O860" t="n">
        <v>0</v>
      </c>
      <c r="P860" t="n">
        <v>0</v>
      </c>
      <c r="Q860" t="n">
        <v>0</v>
      </c>
      <c r="R860" s="2" t="inlineStr"/>
    </row>
    <row r="861" ht="15" customHeight="1">
      <c r="A861" t="inlineStr">
        <is>
          <t>A 57272-2023</t>
        </is>
      </c>
      <c r="B861" s="1" t="n">
        <v>45245</v>
      </c>
      <c r="C861" s="1" t="n">
        <v>46038</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13856-2025</t>
        </is>
      </c>
      <c r="B862" s="1" t="n">
        <v>45737.57289351852</v>
      </c>
      <c r="C862" s="1" t="n">
        <v>46038</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56767-2025</t>
        </is>
      </c>
      <c r="B863" s="1" t="n">
        <v>45978.38178240741</v>
      </c>
      <c r="C863" s="1" t="n">
        <v>46038</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56769-2025</t>
        </is>
      </c>
      <c r="B864" s="1" t="n">
        <v>45978.38429398148</v>
      </c>
      <c r="C864" s="1" t="n">
        <v>46038</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56794-2025</t>
        </is>
      </c>
      <c r="B865" s="1" t="n">
        <v>45978.43039351852</v>
      </c>
      <c r="C865" s="1" t="n">
        <v>46038</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48889-2024</t>
        </is>
      </c>
      <c r="B866" s="1" t="n">
        <v>45594.33754629629</v>
      </c>
      <c r="C866" s="1" t="n">
        <v>46038</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8263-2025</t>
        </is>
      </c>
      <c r="B867" s="1" t="n">
        <v>45708.50398148148</v>
      </c>
      <c r="C867" s="1" t="n">
        <v>46038</v>
      </c>
      <c r="D867" t="inlineStr">
        <is>
          <t>SKÅNE LÄN</t>
        </is>
      </c>
      <c r="E867" t="inlineStr">
        <is>
          <t>HÄSSLEHOLM</t>
        </is>
      </c>
      <c r="G867" t="n">
        <v>2.9</v>
      </c>
      <c r="H867" t="n">
        <v>0</v>
      </c>
      <c r="I867" t="n">
        <v>0</v>
      </c>
      <c r="J867" t="n">
        <v>0</v>
      </c>
      <c r="K867" t="n">
        <v>0</v>
      </c>
      <c r="L867" t="n">
        <v>0</v>
      </c>
      <c r="M867" t="n">
        <v>0</v>
      </c>
      <c r="N867" t="n">
        <v>0</v>
      </c>
      <c r="O867" t="n">
        <v>0</v>
      </c>
      <c r="P867" t="n">
        <v>0</v>
      </c>
      <c r="Q867" t="n">
        <v>0</v>
      </c>
      <c r="R867" s="2" t="inlineStr"/>
    </row>
    <row r="868" ht="15" customHeight="1">
      <c r="A868" t="inlineStr">
        <is>
          <t>A 55569-2025</t>
        </is>
      </c>
      <c r="B868" s="1" t="n">
        <v>45971</v>
      </c>
      <c r="C868" s="1" t="n">
        <v>46038</v>
      </c>
      <c r="D868" t="inlineStr">
        <is>
          <t>SKÅNE LÄN</t>
        </is>
      </c>
      <c r="E868" t="inlineStr">
        <is>
          <t>HÄSSLEHOLM</t>
        </is>
      </c>
      <c r="G868" t="n">
        <v>4.2</v>
      </c>
      <c r="H868" t="n">
        <v>0</v>
      </c>
      <c r="I868" t="n">
        <v>0</v>
      </c>
      <c r="J868" t="n">
        <v>0</v>
      </c>
      <c r="K868" t="n">
        <v>0</v>
      </c>
      <c r="L868" t="n">
        <v>0</v>
      </c>
      <c r="M868" t="n">
        <v>0</v>
      </c>
      <c r="N868" t="n">
        <v>0</v>
      </c>
      <c r="O868" t="n">
        <v>0</v>
      </c>
      <c r="P868" t="n">
        <v>0</v>
      </c>
      <c r="Q868" t="n">
        <v>0</v>
      </c>
      <c r="R868" s="2" t="inlineStr"/>
    </row>
    <row r="869" ht="15" customHeight="1">
      <c r="A869" t="inlineStr">
        <is>
          <t>A 29275-2023</t>
        </is>
      </c>
      <c r="B869" s="1" t="n">
        <v>45105</v>
      </c>
      <c r="C869" s="1" t="n">
        <v>46038</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57817-2025</t>
        </is>
      </c>
      <c r="B870" s="1" t="n">
        <v>45981.59475694445</v>
      </c>
      <c r="C870" s="1" t="n">
        <v>46038</v>
      </c>
      <c r="D870" t="inlineStr">
        <is>
          <t>SKÅNE LÄN</t>
        </is>
      </c>
      <c r="E870" t="inlineStr">
        <is>
          <t>HÄSSLEHOLM</t>
        </is>
      </c>
      <c r="G870" t="n">
        <v>3.8</v>
      </c>
      <c r="H870" t="n">
        <v>0</v>
      </c>
      <c r="I870" t="n">
        <v>0</v>
      </c>
      <c r="J870" t="n">
        <v>0</v>
      </c>
      <c r="K870" t="n">
        <v>0</v>
      </c>
      <c r="L870" t="n">
        <v>0</v>
      </c>
      <c r="M870" t="n">
        <v>0</v>
      </c>
      <c r="N870" t="n">
        <v>0</v>
      </c>
      <c r="O870" t="n">
        <v>0</v>
      </c>
      <c r="P870" t="n">
        <v>0</v>
      </c>
      <c r="Q870" t="n">
        <v>0</v>
      </c>
      <c r="R870" s="2" t="inlineStr"/>
    </row>
    <row r="871" ht="15" customHeight="1">
      <c r="A871" t="inlineStr">
        <is>
          <t>A 13018-2024</t>
        </is>
      </c>
      <c r="B871" s="1" t="n">
        <v>45385.58274305556</v>
      </c>
      <c r="C871" s="1" t="n">
        <v>46038</v>
      </c>
      <c r="D871" t="inlineStr">
        <is>
          <t>SKÅNE LÄN</t>
        </is>
      </c>
      <c r="E871" t="inlineStr">
        <is>
          <t>HÄSSLEHOLM</t>
        </is>
      </c>
      <c r="G871" t="n">
        <v>4.8</v>
      </c>
      <c r="H871" t="n">
        <v>0</v>
      </c>
      <c r="I871" t="n">
        <v>0</v>
      </c>
      <c r="J871" t="n">
        <v>0</v>
      </c>
      <c r="K871" t="n">
        <v>0</v>
      </c>
      <c r="L871" t="n">
        <v>0</v>
      </c>
      <c r="M871" t="n">
        <v>0</v>
      </c>
      <c r="N871" t="n">
        <v>0</v>
      </c>
      <c r="O871" t="n">
        <v>0</v>
      </c>
      <c r="P871" t="n">
        <v>0</v>
      </c>
      <c r="Q871" t="n">
        <v>0</v>
      </c>
      <c r="R871" s="2" t="inlineStr"/>
    </row>
    <row r="872" ht="15" customHeight="1">
      <c r="A872" t="inlineStr">
        <is>
          <t>A 30092-2025</t>
        </is>
      </c>
      <c r="B872" s="1" t="n">
        <v>45826</v>
      </c>
      <c r="C872" s="1" t="n">
        <v>46038</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30109-2025</t>
        </is>
      </c>
      <c r="B873" s="1" t="n">
        <v>45826</v>
      </c>
      <c r="C873" s="1" t="n">
        <v>46038</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22595-2024</t>
        </is>
      </c>
      <c r="B874" s="1" t="n">
        <v>45447.61053240741</v>
      </c>
      <c r="C874" s="1" t="n">
        <v>46038</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60704-2023</t>
        </is>
      </c>
      <c r="B875" s="1" t="n">
        <v>45260.51340277777</v>
      </c>
      <c r="C875" s="1" t="n">
        <v>46038</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58241-2025</t>
        </is>
      </c>
      <c r="B876" s="1" t="n">
        <v>45985.38797453704</v>
      </c>
      <c r="C876" s="1" t="n">
        <v>46038</v>
      </c>
      <c r="D876" t="inlineStr">
        <is>
          <t>SKÅNE LÄN</t>
        </is>
      </c>
      <c r="E876" t="inlineStr">
        <is>
          <t>HÄSSLEHOLM</t>
        </is>
      </c>
      <c r="G876" t="n">
        <v>3.6</v>
      </c>
      <c r="H876" t="n">
        <v>0</v>
      </c>
      <c r="I876" t="n">
        <v>0</v>
      </c>
      <c r="J876" t="n">
        <v>0</v>
      </c>
      <c r="K876" t="n">
        <v>0</v>
      </c>
      <c r="L876" t="n">
        <v>0</v>
      </c>
      <c r="M876" t="n">
        <v>0</v>
      </c>
      <c r="N876" t="n">
        <v>0</v>
      </c>
      <c r="O876" t="n">
        <v>0</v>
      </c>
      <c r="P876" t="n">
        <v>0</v>
      </c>
      <c r="Q876" t="n">
        <v>0</v>
      </c>
      <c r="R876" s="2" t="inlineStr"/>
    </row>
    <row r="877" ht="15" customHeight="1">
      <c r="A877" t="inlineStr">
        <is>
          <t>A 20279-2025</t>
        </is>
      </c>
      <c r="B877" s="1" t="n">
        <v>45774.38643518519</v>
      </c>
      <c r="C877" s="1" t="n">
        <v>46038</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59431-2023</t>
        </is>
      </c>
      <c r="B878" s="1" t="n">
        <v>45254.29207175926</v>
      </c>
      <c r="C878" s="1" t="n">
        <v>46038</v>
      </c>
      <c r="D878" t="inlineStr">
        <is>
          <t>SKÅNE LÄN</t>
        </is>
      </c>
      <c r="E878" t="inlineStr">
        <is>
          <t>HÄSSLEHOLM</t>
        </is>
      </c>
      <c r="G878" t="n">
        <v>1.7</v>
      </c>
      <c r="H878" t="n">
        <v>0</v>
      </c>
      <c r="I878" t="n">
        <v>0</v>
      </c>
      <c r="J878" t="n">
        <v>0</v>
      </c>
      <c r="K878" t="n">
        <v>0</v>
      </c>
      <c r="L878" t="n">
        <v>0</v>
      </c>
      <c r="M878" t="n">
        <v>0</v>
      </c>
      <c r="N878" t="n">
        <v>0</v>
      </c>
      <c r="O878" t="n">
        <v>0</v>
      </c>
      <c r="P878" t="n">
        <v>0</v>
      </c>
      <c r="Q878" t="n">
        <v>0</v>
      </c>
      <c r="R878" s="2" t="inlineStr"/>
    </row>
    <row r="879" ht="15" customHeight="1">
      <c r="A879" t="inlineStr">
        <is>
          <t>A 59433-2023</t>
        </is>
      </c>
      <c r="B879" s="1" t="n">
        <v>45254.29768518519</v>
      </c>
      <c r="C879" s="1" t="n">
        <v>46038</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55416-2021</t>
        </is>
      </c>
      <c r="B880" s="1" t="n">
        <v>44475</v>
      </c>
      <c r="C880" s="1" t="n">
        <v>46038</v>
      </c>
      <c r="D880" t="inlineStr">
        <is>
          <t>SKÅNE LÄN</t>
        </is>
      </c>
      <c r="E880" t="inlineStr">
        <is>
          <t>HÄSSLEHOLM</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4579-2025</t>
        </is>
      </c>
      <c r="B881" s="1" t="n">
        <v>45687.5009375</v>
      </c>
      <c r="C881" s="1" t="n">
        <v>46038</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21141-2024</t>
        </is>
      </c>
      <c r="B882" s="1" t="n">
        <v>45440.39012731481</v>
      </c>
      <c r="C882" s="1" t="n">
        <v>46038</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49379-2021</t>
        </is>
      </c>
      <c r="B883" s="1" t="n">
        <v>44454</v>
      </c>
      <c r="C883" s="1" t="n">
        <v>46038</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36240-2023</t>
        </is>
      </c>
      <c r="B884" s="1" t="n">
        <v>45150.89295138889</v>
      </c>
      <c r="C884" s="1" t="n">
        <v>46038</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13851-2025</t>
        </is>
      </c>
      <c r="B885" s="1" t="n">
        <v>45737.56777777777</v>
      </c>
      <c r="C885" s="1" t="n">
        <v>46038</v>
      </c>
      <c r="D885" t="inlineStr">
        <is>
          <t>SKÅNE LÄN</t>
        </is>
      </c>
      <c r="E885" t="inlineStr">
        <is>
          <t>HÄSSLEHOLM</t>
        </is>
      </c>
      <c r="G885" t="n">
        <v>3</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44999.62109953703</v>
      </c>
      <c r="C886" s="1" t="n">
        <v>46038</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54807-2025</t>
        </is>
      </c>
      <c r="B887" s="1" t="n">
        <v>45966</v>
      </c>
      <c r="C887" s="1" t="n">
        <v>46038</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45400-2022</t>
        </is>
      </c>
      <c r="B888" s="1" t="n">
        <v>44844.713125</v>
      </c>
      <c r="C888" s="1" t="n">
        <v>46038</v>
      </c>
      <c r="D888" t="inlineStr">
        <is>
          <t>SKÅNE LÄN</t>
        </is>
      </c>
      <c r="E888" t="inlineStr">
        <is>
          <t>HÄSSLEHOLM</t>
        </is>
      </c>
      <c r="G888" t="n">
        <v>1.6</v>
      </c>
      <c r="H888" t="n">
        <v>0</v>
      </c>
      <c r="I888" t="n">
        <v>0</v>
      </c>
      <c r="J888" t="n">
        <v>0</v>
      </c>
      <c r="K888" t="n">
        <v>0</v>
      </c>
      <c r="L888" t="n">
        <v>0</v>
      </c>
      <c r="M888" t="n">
        <v>0</v>
      </c>
      <c r="N888" t="n">
        <v>0</v>
      </c>
      <c r="O888" t="n">
        <v>0</v>
      </c>
      <c r="P888" t="n">
        <v>0</v>
      </c>
      <c r="Q888" t="n">
        <v>0</v>
      </c>
      <c r="R888" s="2" t="inlineStr"/>
    </row>
    <row r="889" ht="15" customHeight="1">
      <c r="A889" t="inlineStr">
        <is>
          <t>A 11753-2025</t>
        </is>
      </c>
      <c r="B889" s="1" t="n">
        <v>45727</v>
      </c>
      <c r="C889" s="1" t="n">
        <v>46038</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58933-2025</t>
        </is>
      </c>
      <c r="B890" s="1" t="n">
        <v>45987.56107638889</v>
      </c>
      <c r="C890" s="1" t="n">
        <v>46038</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13961-2023</t>
        </is>
      </c>
      <c r="B891" s="1" t="n">
        <v>45008</v>
      </c>
      <c r="C891" s="1" t="n">
        <v>46038</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7581-2023</t>
        </is>
      </c>
      <c r="B892" s="1" t="n">
        <v>44972.39556712963</v>
      </c>
      <c r="C892" s="1" t="n">
        <v>46038</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48191-2021</t>
        </is>
      </c>
      <c r="B893" s="1" t="n">
        <v>44449</v>
      </c>
      <c r="C893" s="1" t="n">
        <v>46038</v>
      </c>
      <c r="D893" t="inlineStr">
        <is>
          <t>SKÅNE LÄN</t>
        </is>
      </c>
      <c r="E893" t="inlineStr">
        <is>
          <t>HÄSSLEHOLM</t>
        </is>
      </c>
      <c r="G893" t="n">
        <v>6</v>
      </c>
      <c r="H893" t="n">
        <v>0</v>
      </c>
      <c r="I893" t="n">
        <v>0</v>
      </c>
      <c r="J893" t="n">
        <v>0</v>
      </c>
      <c r="K893" t="n">
        <v>0</v>
      </c>
      <c r="L893" t="n">
        <v>0</v>
      </c>
      <c r="M893" t="n">
        <v>0</v>
      </c>
      <c r="N893" t="n">
        <v>0</v>
      </c>
      <c r="O893" t="n">
        <v>0</v>
      </c>
      <c r="P893" t="n">
        <v>0</v>
      </c>
      <c r="Q893" t="n">
        <v>0</v>
      </c>
      <c r="R893" s="2" t="inlineStr"/>
    </row>
    <row r="894" ht="15" customHeight="1">
      <c r="A894" t="inlineStr">
        <is>
          <t>A 5282-2023</t>
        </is>
      </c>
      <c r="B894" s="1" t="n">
        <v>44959.50471064815</v>
      </c>
      <c r="C894" s="1" t="n">
        <v>46038</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52548-2023</t>
        </is>
      </c>
      <c r="B895" s="1" t="n">
        <v>45218</v>
      </c>
      <c r="C895" s="1" t="n">
        <v>46038</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54798-2025</t>
        </is>
      </c>
      <c r="B896" s="1" t="n">
        <v>45966</v>
      </c>
      <c r="C896" s="1" t="n">
        <v>46038</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12503-2022</t>
        </is>
      </c>
      <c r="B897" s="1" t="n">
        <v>44638</v>
      </c>
      <c r="C897" s="1" t="n">
        <v>46038</v>
      </c>
      <c r="D897" t="inlineStr">
        <is>
          <t>SKÅNE LÄN</t>
        </is>
      </c>
      <c r="E897" t="inlineStr">
        <is>
          <t>HÄSSLEHOLM</t>
        </is>
      </c>
      <c r="G897" t="n">
        <v>1.3</v>
      </c>
      <c r="H897" t="n">
        <v>0</v>
      </c>
      <c r="I897" t="n">
        <v>0</v>
      </c>
      <c r="J897" t="n">
        <v>0</v>
      </c>
      <c r="K897" t="n">
        <v>0</v>
      </c>
      <c r="L897" t="n">
        <v>0</v>
      </c>
      <c r="M897" t="n">
        <v>0</v>
      </c>
      <c r="N897" t="n">
        <v>0</v>
      </c>
      <c r="O897" t="n">
        <v>0</v>
      </c>
      <c r="P897" t="n">
        <v>0</v>
      </c>
      <c r="Q897" t="n">
        <v>0</v>
      </c>
      <c r="R897" s="2" t="inlineStr"/>
    </row>
    <row r="898" ht="15" customHeight="1">
      <c r="A898" t="inlineStr">
        <is>
          <t>A 9485-2023</t>
        </is>
      </c>
      <c r="B898" s="1" t="n">
        <v>44981.60901620371</v>
      </c>
      <c r="C898" s="1" t="n">
        <v>46038</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54777-2022</t>
        </is>
      </c>
      <c r="B899" s="1" t="n">
        <v>44883</v>
      </c>
      <c r="C899" s="1" t="n">
        <v>46038</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61929-2023</t>
        </is>
      </c>
      <c r="B900" s="1" t="n">
        <v>45266</v>
      </c>
      <c r="C900" s="1" t="n">
        <v>46038</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13555-2025</t>
        </is>
      </c>
      <c r="B901" s="1" t="n">
        <v>45736</v>
      </c>
      <c r="C901" s="1" t="n">
        <v>46038</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44940-2023</t>
        </is>
      </c>
      <c r="B902" s="1" t="n">
        <v>45190.68653935185</v>
      </c>
      <c r="C902" s="1" t="n">
        <v>46038</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25533-2024</t>
        </is>
      </c>
      <c r="B903" s="1" t="n">
        <v>45463</v>
      </c>
      <c r="C903" s="1" t="n">
        <v>46038</v>
      </c>
      <c r="D903" t="inlineStr">
        <is>
          <t>SKÅNE LÄN</t>
        </is>
      </c>
      <c r="E903" t="inlineStr">
        <is>
          <t>HÄSSLEHOLM</t>
        </is>
      </c>
      <c r="G903" t="n">
        <v>1.8</v>
      </c>
      <c r="H903" t="n">
        <v>0</v>
      </c>
      <c r="I903" t="n">
        <v>0</v>
      </c>
      <c r="J903" t="n">
        <v>0</v>
      </c>
      <c r="K903" t="n">
        <v>0</v>
      </c>
      <c r="L903" t="n">
        <v>0</v>
      </c>
      <c r="M903" t="n">
        <v>0</v>
      </c>
      <c r="N903" t="n">
        <v>0</v>
      </c>
      <c r="O903" t="n">
        <v>0</v>
      </c>
      <c r="P903" t="n">
        <v>0</v>
      </c>
      <c r="Q903" t="n">
        <v>0</v>
      </c>
      <c r="R903" s="2" t="inlineStr"/>
    </row>
    <row r="904" ht="15" customHeight="1">
      <c r="A904" t="inlineStr">
        <is>
          <t>A 61498-2022</t>
        </is>
      </c>
      <c r="B904" s="1" t="n">
        <v>44910</v>
      </c>
      <c r="C904" s="1" t="n">
        <v>46038</v>
      </c>
      <c r="D904" t="inlineStr">
        <is>
          <t>SKÅNE LÄN</t>
        </is>
      </c>
      <c r="E904" t="inlineStr">
        <is>
          <t>HÄSSLEHOLM</t>
        </is>
      </c>
      <c r="F904" t="inlineStr">
        <is>
          <t>Kyrkan</t>
        </is>
      </c>
      <c r="G904" t="n">
        <v>3.2</v>
      </c>
      <c r="H904" t="n">
        <v>0</v>
      </c>
      <c r="I904" t="n">
        <v>0</v>
      </c>
      <c r="J904" t="n">
        <v>0</v>
      </c>
      <c r="K904" t="n">
        <v>0</v>
      </c>
      <c r="L904" t="n">
        <v>0</v>
      </c>
      <c r="M904" t="n">
        <v>0</v>
      </c>
      <c r="N904" t="n">
        <v>0</v>
      </c>
      <c r="O904" t="n">
        <v>0</v>
      </c>
      <c r="P904" t="n">
        <v>0</v>
      </c>
      <c r="Q904" t="n">
        <v>0</v>
      </c>
      <c r="R904" s="2" t="inlineStr"/>
    </row>
    <row r="905" ht="15" customHeight="1">
      <c r="A905" t="inlineStr">
        <is>
          <t>A 63284-2025</t>
        </is>
      </c>
      <c r="B905" s="1" t="n">
        <v>46010</v>
      </c>
      <c r="C905" s="1" t="n">
        <v>46038</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22696-2023</t>
        </is>
      </c>
      <c r="B906" s="1" t="n">
        <v>45071.69464120371</v>
      </c>
      <c r="C906" s="1" t="n">
        <v>46038</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52337-2023</t>
        </is>
      </c>
      <c r="B907" s="1" t="n">
        <v>45224.66359953704</v>
      </c>
      <c r="C907" s="1" t="n">
        <v>46038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931-2026</t>
        </is>
      </c>
      <c r="B908" s="1" t="n">
        <v>46030.51495370371</v>
      </c>
      <c r="C908" s="1" t="n">
        <v>46038</v>
      </c>
      <c r="D908" t="inlineStr">
        <is>
          <t>SKÅNE LÄN</t>
        </is>
      </c>
      <c r="E908" t="inlineStr">
        <is>
          <t>HÄSSLEHOLM</t>
        </is>
      </c>
      <c r="F908" t="inlineStr">
        <is>
          <t>Övriga Aktiebolag</t>
        </is>
      </c>
      <c r="G908" t="n">
        <v>2.3</v>
      </c>
      <c r="H908" t="n">
        <v>0</v>
      </c>
      <c r="I908" t="n">
        <v>0</v>
      </c>
      <c r="J908" t="n">
        <v>0</v>
      </c>
      <c r="K908" t="n">
        <v>0</v>
      </c>
      <c r="L908" t="n">
        <v>0</v>
      </c>
      <c r="M908" t="n">
        <v>0</v>
      </c>
      <c r="N908" t="n">
        <v>0</v>
      </c>
      <c r="O908" t="n">
        <v>0</v>
      </c>
      <c r="P908" t="n">
        <v>0</v>
      </c>
      <c r="Q908" t="n">
        <v>0</v>
      </c>
      <c r="R908" s="2" t="inlineStr"/>
    </row>
    <row r="909" ht="15" customHeight="1">
      <c r="A909" t="inlineStr">
        <is>
          <t>A 23955-2023</t>
        </is>
      </c>
      <c r="B909" s="1" t="n">
        <v>45078.62217592593</v>
      </c>
      <c r="C909" s="1" t="n">
        <v>46038</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10897-2023</t>
        </is>
      </c>
      <c r="B910" s="1" t="n">
        <v>44985</v>
      </c>
      <c r="C910" s="1" t="n">
        <v>46038</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50571-2023</t>
        </is>
      </c>
      <c r="B911" s="1" t="n">
        <v>45217.38359953704</v>
      </c>
      <c r="C911" s="1" t="n">
        <v>46038</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18908-2023</t>
        </is>
      </c>
      <c r="B912" s="1" t="n">
        <v>45044</v>
      </c>
      <c r="C912" s="1" t="n">
        <v>46038</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10028-2024</t>
        </is>
      </c>
      <c r="B913" s="1" t="n">
        <v>45363.97292824074</v>
      </c>
      <c r="C913" s="1" t="n">
        <v>46038</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13084-2025</t>
        </is>
      </c>
      <c r="B914" s="1" t="n">
        <v>45734</v>
      </c>
      <c r="C914" s="1" t="n">
        <v>46038</v>
      </c>
      <c r="D914" t="inlineStr">
        <is>
          <t>SKÅNE LÄN</t>
        </is>
      </c>
      <c r="E914" t="inlineStr">
        <is>
          <t>HÄSSLEHOLM</t>
        </is>
      </c>
      <c r="G914" t="n">
        <v>2.3</v>
      </c>
      <c r="H914" t="n">
        <v>0</v>
      </c>
      <c r="I914" t="n">
        <v>0</v>
      </c>
      <c r="J914" t="n">
        <v>0</v>
      </c>
      <c r="K914" t="n">
        <v>0</v>
      </c>
      <c r="L914" t="n">
        <v>0</v>
      </c>
      <c r="M914" t="n">
        <v>0</v>
      </c>
      <c r="N914" t="n">
        <v>0</v>
      </c>
      <c r="O914" t="n">
        <v>0</v>
      </c>
      <c r="P914" t="n">
        <v>0</v>
      </c>
      <c r="Q914" t="n">
        <v>0</v>
      </c>
      <c r="R914" s="2" t="inlineStr"/>
    </row>
    <row r="915" ht="15" customHeight="1">
      <c r="A915" t="inlineStr">
        <is>
          <t>A 16285-2025</t>
        </is>
      </c>
      <c r="B915" s="1" t="n">
        <v>45751.30045138889</v>
      </c>
      <c r="C915" s="1" t="n">
        <v>46038</v>
      </c>
      <c r="D915" t="inlineStr">
        <is>
          <t>SKÅNE LÄN</t>
        </is>
      </c>
      <c r="E915" t="inlineStr">
        <is>
          <t>HÄSSLEHOLM</t>
        </is>
      </c>
      <c r="G915" t="n">
        <v>2</v>
      </c>
      <c r="H915" t="n">
        <v>0</v>
      </c>
      <c r="I915" t="n">
        <v>0</v>
      </c>
      <c r="J915" t="n">
        <v>0</v>
      </c>
      <c r="K915" t="n">
        <v>0</v>
      </c>
      <c r="L915" t="n">
        <v>0</v>
      </c>
      <c r="M915" t="n">
        <v>0</v>
      </c>
      <c r="N915" t="n">
        <v>0</v>
      </c>
      <c r="O915" t="n">
        <v>0</v>
      </c>
      <c r="P915" t="n">
        <v>0</v>
      </c>
      <c r="Q915" t="n">
        <v>0</v>
      </c>
      <c r="R915" s="2" t="inlineStr"/>
    </row>
    <row r="916" ht="15" customHeight="1">
      <c r="A916" t="inlineStr">
        <is>
          <t>A 706-2026</t>
        </is>
      </c>
      <c r="B916" s="1" t="n">
        <v>46029.61739583333</v>
      </c>
      <c r="C916" s="1" t="n">
        <v>46038</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46000-2021</t>
        </is>
      </c>
      <c r="B917" s="1" t="n">
        <v>44441</v>
      </c>
      <c r="C917" s="1" t="n">
        <v>46038</v>
      </c>
      <c r="D917" t="inlineStr">
        <is>
          <t>SKÅNE LÄN</t>
        </is>
      </c>
      <c r="E917" t="inlineStr">
        <is>
          <t>HÄSSLEHOLM</t>
        </is>
      </c>
      <c r="G917" t="n">
        <v>1.6</v>
      </c>
      <c r="H917" t="n">
        <v>0</v>
      </c>
      <c r="I917" t="n">
        <v>0</v>
      </c>
      <c r="J917" t="n">
        <v>0</v>
      </c>
      <c r="K917" t="n">
        <v>0</v>
      </c>
      <c r="L917" t="n">
        <v>0</v>
      </c>
      <c r="M917" t="n">
        <v>0</v>
      </c>
      <c r="N917" t="n">
        <v>0</v>
      </c>
      <c r="O917" t="n">
        <v>0</v>
      </c>
      <c r="P917" t="n">
        <v>0</v>
      </c>
      <c r="Q917" t="n">
        <v>0</v>
      </c>
      <c r="R917" s="2" t="inlineStr"/>
    </row>
    <row r="918" ht="15" customHeight="1">
      <c r="A918" t="inlineStr">
        <is>
          <t>A 4009-2024</t>
        </is>
      </c>
      <c r="B918" s="1" t="n">
        <v>45323</v>
      </c>
      <c r="C918" s="1" t="n">
        <v>46038</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10928-2024</t>
        </is>
      </c>
      <c r="B919" s="1" t="n">
        <v>45370</v>
      </c>
      <c r="C919" s="1" t="n">
        <v>46038</v>
      </c>
      <c r="D919" t="inlineStr">
        <is>
          <t>SKÅNE LÄN</t>
        </is>
      </c>
      <c r="E919" t="inlineStr">
        <is>
          <t>HÄSSLEHOLM</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10944-2024</t>
        </is>
      </c>
      <c r="B920" s="1" t="n">
        <v>45370</v>
      </c>
      <c r="C920" s="1" t="n">
        <v>46038</v>
      </c>
      <c r="D920" t="inlineStr">
        <is>
          <t>SKÅNE LÄN</t>
        </is>
      </c>
      <c r="E920" t="inlineStr">
        <is>
          <t>HÄSSLEHOLM</t>
        </is>
      </c>
      <c r="F920" t="inlineStr">
        <is>
          <t>Övriga Aktiebolag</t>
        </is>
      </c>
      <c r="G920" t="n">
        <v>2.6</v>
      </c>
      <c r="H920" t="n">
        <v>0</v>
      </c>
      <c r="I920" t="n">
        <v>0</v>
      </c>
      <c r="J920" t="n">
        <v>0</v>
      </c>
      <c r="K920" t="n">
        <v>0</v>
      </c>
      <c r="L920" t="n">
        <v>0</v>
      </c>
      <c r="M920" t="n">
        <v>0</v>
      </c>
      <c r="N920" t="n">
        <v>0</v>
      </c>
      <c r="O920" t="n">
        <v>0</v>
      </c>
      <c r="P920" t="n">
        <v>0</v>
      </c>
      <c r="Q920" t="n">
        <v>0</v>
      </c>
      <c r="R920" s="2" t="inlineStr"/>
    </row>
    <row r="921" ht="15" customHeight="1">
      <c r="A921" t="inlineStr">
        <is>
          <t>A 6087-2025</t>
        </is>
      </c>
      <c r="B921" s="1" t="n">
        <v>45697.69782407407</v>
      </c>
      <c r="C921" s="1" t="n">
        <v>46038</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33466-2024</t>
        </is>
      </c>
      <c r="B922" s="1" t="n">
        <v>45519</v>
      </c>
      <c r="C922" s="1" t="n">
        <v>46038</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6612-2024</t>
        </is>
      </c>
      <c r="B923" s="1" t="n">
        <v>45341.58859953703</v>
      </c>
      <c r="C923" s="1" t="n">
        <v>46038</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59722-2025</t>
        </is>
      </c>
      <c r="B924" s="1" t="n">
        <v>45992.5474537037</v>
      </c>
      <c r="C924" s="1" t="n">
        <v>46038</v>
      </c>
      <c r="D924" t="inlineStr">
        <is>
          <t>SKÅNE LÄN</t>
        </is>
      </c>
      <c r="E924" t="inlineStr">
        <is>
          <t>HÄSSLEHOLM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26879-2024</t>
        </is>
      </c>
      <c r="B925" s="1" t="n">
        <v>45470</v>
      </c>
      <c r="C925" s="1" t="n">
        <v>46038</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1616-2025</t>
        </is>
      </c>
      <c r="B926" s="1" t="n">
        <v>45670</v>
      </c>
      <c r="C926" s="1" t="n">
        <v>46038</v>
      </c>
      <c r="D926" t="inlineStr">
        <is>
          <t>SKÅNE LÄN</t>
        </is>
      </c>
      <c r="E926" t="inlineStr">
        <is>
          <t>HÄSSLEHOLM</t>
        </is>
      </c>
      <c r="G926" t="n">
        <v>3.6</v>
      </c>
      <c r="H926" t="n">
        <v>0</v>
      </c>
      <c r="I926" t="n">
        <v>0</v>
      </c>
      <c r="J926" t="n">
        <v>0</v>
      </c>
      <c r="K926" t="n">
        <v>0</v>
      </c>
      <c r="L926" t="n">
        <v>0</v>
      </c>
      <c r="M926" t="n">
        <v>0</v>
      </c>
      <c r="N926" t="n">
        <v>0</v>
      </c>
      <c r="O926" t="n">
        <v>0</v>
      </c>
      <c r="P926" t="n">
        <v>0</v>
      </c>
      <c r="Q926" t="n">
        <v>0</v>
      </c>
      <c r="R926" s="2" t="inlineStr"/>
    </row>
    <row r="927" ht="15" customHeight="1">
      <c r="A927" t="inlineStr">
        <is>
          <t>A 62417-2025</t>
        </is>
      </c>
      <c r="B927" s="1" t="n">
        <v>46007</v>
      </c>
      <c r="C927" s="1" t="n">
        <v>46038</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54473-2023</t>
        </is>
      </c>
      <c r="B928" s="1" t="n">
        <v>45233</v>
      </c>
      <c r="C928" s="1" t="n">
        <v>46038</v>
      </c>
      <c r="D928" t="inlineStr">
        <is>
          <t>SKÅNE LÄN</t>
        </is>
      </c>
      <c r="E928" t="inlineStr">
        <is>
          <t>HÄSSLEHOLM</t>
        </is>
      </c>
      <c r="G928" t="n">
        <v>24.5</v>
      </c>
      <c r="H928" t="n">
        <v>0</v>
      </c>
      <c r="I928" t="n">
        <v>0</v>
      </c>
      <c r="J928" t="n">
        <v>0</v>
      </c>
      <c r="K928" t="n">
        <v>0</v>
      </c>
      <c r="L928" t="n">
        <v>0</v>
      </c>
      <c r="M928" t="n">
        <v>0</v>
      </c>
      <c r="N928" t="n">
        <v>0</v>
      </c>
      <c r="O928" t="n">
        <v>0</v>
      </c>
      <c r="P928" t="n">
        <v>0</v>
      </c>
      <c r="Q928" t="n">
        <v>0</v>
      </c>
      <c r="R928" s="2" t="inlineStr"/>
    </row>
    <row r="929" ht="15" customHeight="1">
      <c r="A929" t="inlineStr">
        <is>
          <t>A 11240-2023</t>
        </is>
      </c>
      <c r="B929" s="1" t="n">
        <v>44992</v>
      </c>
      <c r="C929" s="1" t="n">
        <v>46038</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53055-2021</t>
        </is>
      </c>
      <c r="B930" s="1" t="n">
        <v>44467</v>
      </c>
      <c r="C930" s="1" t="n">
        <v>46038</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20510-2021</t>
        </is>
      </c>
      <c r="B931" s="1" t="n">
        <v>44315</v>
      </c>
      <c r="C931" s="1" t="n">
        <v>46038</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1640-2026</t>
        </is>
      </c>
      <c r="B932" s="1" t="n">
        <v>46034.4961574074</v>
      </c>
      <c r="C932" s="1" t="n">
        <v>46038</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16108-2025</t>
        </is>
      </c>
      <c r="B933" s="1" t="n">
        <v>45750.34667824074</v>
      </c>
      <c r="C933" s="1" t="n">
        <v>46038</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48326-2023</t>
        </is>
      </c>
      <c r="B934" s="1" t="n">
        <v>45205</v>
      </c>
      <c r="C934" s="1" t="n">
        <v>46038</v>
      </c>
      <c r="D934" t="inlineStr">
        <is>
          <t>SKÅNE LÄN</t>
        </is>
      </c>
      <c r="E934" t="inlineStr">
        <is>
          <t>HÄSSLEHOLM</t>
        </is>
      </c>
      <c r="G934" t="n">
        <v>12.7</v>
      </c>
      <c r="H934" t="n">
        <v>0</v>
      </c>
      <c r="I934" t="n">
        <v>0</v>
      </c>
      <c r="J934" t="n">
        <v>0</v>
      </c>
      <c r="K934" t="n">
        <v>0</v>
      </c>
      <c r="L934" t="n">
        <v>0</v>
      </c>
      <c r="M934" t="n">
        <v>0</v>
      </c>
      <c r="N934" t="n">
        <v>0</v>
      </c>
      <c r="O934" t="n">
        <v>0</v>
      </c>
      <c r="P934" t="n">
        <v>0</v>
      </c>
      <c r="Q934" t="n">
        <v>0</v>
      </c>
      <c r="R934" s="2" t="inlineStr"/>
    </row>
    <row r="935" ht="15" customHeight="1">
      <c r="A935" t="inlineStr">
        <is>
          <t>A 32008-2024</t>
        </is>
      </c>
      <c r="B935" s="1" t="n">
        <v>45510</v>
      </c>
      <c r="C935" s="1" t="n">
        <v>46038</v>
      </c>
      <c r="D935" t="inlineStr">
        <is>
          <t>SKÅNE LÄN</t>
        </is>
      </c>
      <c r="E935" t="inlineStr">
        <is>
          <t>HÄSSLEHOLM</t>
        </is>
      </c>
      <c r="G935" t="n">
        <v>5.1</v>
      </c>
      <c r="H935" t="n">
        <v>0</v>
      </c>
      <c r="I935" t="n">
        <v>0</v>
      </c>
      <c r="J935" t="n">
        <v>0</v>
      </c>
      <c r="K935" t="n">
        <v>0</v>
      </c>
      <c r="L935" t="n">
        <v>0</v>
      </c>
      <c r="M935" t="n">
        <v>0</v>
      </c>
      <c r="N935" t="n">
        <v>0</v>
      </c>
      <c r="O935" t="n">
        <v>0</v>
      </c>
      <c r="P935" t="n">
        <v>0</v>
      </c>
      <c r="Q935" t="n">
        <v>0</v>
      </c>
      <c r="R935" s="2" t="inlineStr"/>
    </row>
    <row r="936" ht="15" customHeight="1">
      <c r="A936" t="inlineStr">
        <is>
          <t>A 32154-2024</t>
        </is>
      </c>
      <c r="B936" s="1" t="n">
        <v>45511</v>
      </c>
      <c r="C936" s="1" t="n">
        <v>46038</v>
      </c>
      <c r="D936" t="inlineStr">
        <is>
          <t>SKÅNE LÄN</t>
        </is>
      </c>
      <c r="E936" t="inlineStr">
        <is>
          <t>HÄSSLEHOLM</t>
        </is>
      </c>
      <c r="G936" t="n">
        <v>6.4</v>
      </c>
      <c r="H936" t="n">
        <v>0</v>
      </c>
      <c r="I936" t="n">
        <v>0</v>
      </c>
      <c r="J936" t="n">
        <v>0</v>
      </c>
      <c r="K936" t="n">
        <v>0</v>
      </c>
      <c r="L936" t="n">
        <v>0</v>
      </c>
      <c r="M936" t="n">
        <v>0</v>
      </c>
      <c r="N936" t="n">
        <v>0</v>
      </c>
      <c r="O936" t="n">
        <v>0</v>
      </c>
      <c r="P936" t="n">
        <v>0</v>
      </c>
      <c r="Q936" t="n">
        <v>0</v>
      </c>
      <c r="R936" s="2" t="inlineStr"/>
    </row>
    <row r="937" ht="15" customHeight="1">
      <c r="A937" t="inlineStr">
        <is>
          <t>A 1645-2026</t>
        </is>
      </c>
      <c r="B937" s="1" t="n">
        <v>46034.5069212963</v>
      </c>
      <c r="C937" s="1" t="n">
        <v>46038</v>
      </c>
      <c r="D937" t="inlineStr">
        <is>
          <t>SKÅNE LÄN</t>
        </is>
      </c>
      <c r="E937" t="inlineStr">
        <is>
          <t>HÄSSLEHOLM</t>
        </is>
      </c>
      <c r="G937" t="n">
        <v>1.2</v>
      </c>
      <c r="H937" t="n">
        <v>0</v>
      </c>
      <c r="I937" t="n">
        <v>0</v>
      </c>
      <c r="J937" t="n">
        <v>0</v>
      </c>
      <c r="K937" t="n">
        <v>0</v>
      </c>
      <c r="L937" t="n">
        <v>0</v>
      </c>
      <c r="M937" t="n">
        <v>0</v>
      </c>
      <c r="N937" t="n">
        <v>0</v>
      </c>
      <c r="O937" t="n">
        <v>0</v>
      </c>
      <c r="P937" t="n">
        <v>0</v>
      </c>
      <c r="Q937" t="n">
        <v>0</v>
      </c>
      <c r="R937" s="2" t="inlineStr"/>
    </row>
    <row r="938" ht="15" customHeight="1">
      <c r="A938" t="inlineStr">
        <is>
          <t>A 54518-2022</t>
        </is>
      </c>
      <c r="B938" s="1" t="n">
        <v>44882</v>
      </c>
      <c r="C938" s="1" t="n">
        <v>46038</v>
      </c>
      <c r="D938" t="inlineStr">
        <is>
          <t>SKÅNE LÄN</t>
        </is>
      </c>
      <c r="E938" t="inlineStr">
        <is>
          <t>HÄSSLEHOLM</t>
        </is>
      </c>
      <c r="F938" t="inlineStr">
        <is>
          <t>Övriga Aktiebolag</t>
        </is>
      </c>
      <c r="G938" t="n">
        <v>6.8</v>
      </c>
      <c r="H938" t="n">
        <v>0</v>
      </c>
      <c r="I938" t="n">
        <v>0</v>
      </c>
      <c r="J938" t="n">
        <v>0</v>
      </c>
      <c r="K938" t="n">
        <v>0</v>
      </c>
      <c r="L938" t="n">
        <v>0</v>
      </c>
      <c r="M938" t="n">
        <v>0</v>
      </c>
      <c r="N938" t="n">
        <v>0</v>
      </c>
      <c r="O938" t="n">
        <v>0</v>
      </c>
      <c r="P938" t="n">
        <v>0</v>
      </c>
      <c r="Q938" t="n">
        <v>0</v>
      </c>
      <c r="R938" s="2" t="inlineStr"/>
    </row>
    <row r="939" ht="15" customHeight="1">
      <c r="A939" t="inlineStr">
        <is>
          <t>A 57491-2024</t>
        </is>
      </c>
      <c r="B939" s="1" t="n">
        <v>45629</v>
      </c>
      <c r="C939" s="1" t="n">
        <v>46038</v>
      </c>
      <c r="D939" t="inlineStr">
        <is>
          <t>SKÅNE LÄN</t>
        </is>
      </c>
      <c r="E939" t="inlineStr">
        <is>
          <t>HÄSSLEHOLM</t>
        </is>
      </c>
      <c r="G939" t="n">
        <v>3.2</v>
      </c>
      <c r="H939" t="n">
        <v>0</v>
      </c>
      <c r="I939" t="n">
        <v>0</v>
      </c>
      <c r="J939" t="n">
        <v>0</v>
      </c>
      <c r="K939" t="n">
        <v>0</v>
      </c>
      <c r="L939" t="n">
        <v>0</v>
      </c>
      <c r="M939" t="n">
        <v>0</v>
      </c>
      <c r="N939" t="n">
        <v>0</v>
      </c>
      <c r="O939" t="n">
        <v>0</v>
      </c>
      <c r="P939" t="n">
        <v>0</v>
      </c>
      <c r="Q939" t="n">
        <v>0</v>
      </c>
      <c r="R939" s="2" t="inlineStr"/>
    </row>
    <row r="940" ht="15" customHeight="1">
      <c r="A940" t="inlineStr">
        <is>
          <t>A 1656-2026</t>
        </is>
      </c>
      <c r="B940" s="1" t="n">
        <v>46034.54035879629</v>
      </c>
      <c r="C940" s="1" t="n">
        <v>46038</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1659-2026</t>
        </is>
      </c>
      <c r="B941" s="1" t="n">
        <v>46034.55335648148</v>
      </c>
      <c r="C941" s="1" t="n">
        <v>46038</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52912-2022</t>
        </is>
      </c>
      <c r="B942" s="1" t="n">
        <v>44872</v>
      </c>
      <c r="C942" s="1" t="n">
        <v>46038</v>
      </c>
      <c r="D942" t="inlineStr">
        <is>
          <t>SKÅNE LÄN</t>
        </is>
      </c>
      <c r="E942" t="inlineStr">
        <is>
          <t>HÄSSLEHOLM</t>
        </is>
      </c>
      <c r="G942" t="n">
        <v>4.7</v>
      </c>
      <c r="H942" t="n">
        <v>0</v>
      </c>
      <c r="I942" t="n">
        <v>0</v>
      </c>
      <c r="J942" t="n">
        <v>0</v>
      </c>
      <c r="K942" t="n">
        <v>0</v>
      </c>
      <c r="L942" t="n">
        <v>0</v>
      </c>
      <c r="M942" t="n">
        <v>0</v>
      </c>
      <c r="N942" t="n">
        <v>0</v>
      </c>
      <c r="O942" t="n">
        <v>0</v>
      </c>
      <c r="P942" t="n">
        <v>0</v>
      </c>
      <c r="Q942" t="n">
        <v>0</v>
      </c>
      <c r="R942" s="2" t="inlineStr"/>
    </row>
    <row r="943" ht="15" customHeight="1">
      <c r="A943" t="inlineStr">
        <is>
          <t>A 1658-2026</t>
        </is>
      </c>
      <c r="B943" s="1" t="n">
        <v>46034.55091435185</v>
      </c>
      <c r="C943" s="1" t="n">
        <v>46038</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10594-2025</t>
        </is>
      </c>
      <c r="B944" s="1" t="n">
        <v>45721</v>
      </c>
      <c r="C944" s="1" t="n">
        <v>46038</v>
      </c>
      <c r="D944" t="inlineStr">
        <is>
          <t>SKÅNE LÄN</t>
        </is>
      </c>
      <c r="E944" t="inlineStr">
        <is>
          <t>HÄSSLEHOLM</t>
        </is>
      </c>
      <c r="G944" t="n">
        <v>5.3</v>
      </c>
      <c r="H944" t="n">
        <v>0</v>
      </c>
      <c r="I944" t="n">
        <v>0</v>
      </c>
      <c r="J944" t="n">
        <v>0</v>
      </c>
      <c r="K944" t="n">
        <v>0</v>
      </c>
      <c r="L944" t="n">
        <v>0</v>
      </c>
      <c r="M944" t="n">
        <v>0</v>
      </c>
      <c r="N944" t="n">
        <v>0</v>
      </c>
      <c r="O944" t="n">
        <v>0</v>
      </c>
      <c r="P944" t="n">
        <v>0</v>
      </c>
      <c r="Q944" t="n">
        <v>0</v>
      </c>
      <c r="R944" s="2" t="inlineStr"/>
    </row>
    <row r="945" ht="15" customHeight="1">
      <c r="A945" t="inlineStr">
        <is>
          <t>A 16950-2025</t>
        </is>
      </c>
      <c r="B945" s="1" t="n">
        <v>45755</v>
      </c>
      <c r="C945" s="1" t="n">
        <v>46038</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27502-2023</t>
        </is>
      </c>
      <c r="B946" s="1" t="n">
        <v>45092</v>
      </c>
      <c r="C946" s="1" t="n">
        <v>46038</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6836-2023</t>
        </is>
      </c>
      <c r="B947" s="1" t="n">
        <v>44967</v>
      </c>
      <c r="C947" s="1" t="n">
        <v>46038</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6845-2023</t>
        </is>
      </c>
      <c r="B948" s="1" t="n">
        <v>44967</v>
      </c>
      <c r="C948" s="1" t="n">
        <v>46038</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2618-2026</t>
        </is>
      </c>
      <c r="B949" s="1" t="n">
        <v>46035</v>
      </c>
      <c r="C949" s="1" t="n">
        <v>46038</v>
      </c>
      <c r="D949" t="inlineStr">
        <is>
          <t>SKÅNE LÄN</t>
        </is>
      </c>
      <c r="E949" t="inlineStr">
        <is>
          <t>HÄSSLEHOLM</t>
        </is>
      </c>
      <c r="F949" t="inlineStr">
        <is>
          <t>Kyrkan</t>
        </is>
      </c>
      <c r="G949" t="n">
        <v>4.8</v>
      </c>
      <c r="H949" t="n">
        <v>0</v>
      </c>
      <c r="I949" t="n">
        <v>0</v>
      </c>
      <c r="J949" t="n">
        <v>0</v>
      </c>
      <c r="K949" t="n">
        <v>0</v>
      </c>
      <c r="L949" t="n">
        <v>0</v>
      </c>
      <c r="M949" t="n">
        <v>0</v>
      </c>
      <c r="N949" t="n">
        <v>0</v>
      </c>
      <c r="O949" t="n">
        <v>0</v>
      </c>
      <c r="P949" t="n">
        <v>0</v>
      </c>
      <c r="Q949" t="n">
        <v>0</v>
      </c>
      <c r="R949" s="2" t="inlineStr"/>
    </row>
    <row r="950" ht="15" customHeight="1">
      <c r="A950" t="inlineStr">
        <is>
          <t>A 53887-2023</t>
        </is>
      </c>
      <c r="B950" s="1" t="n">
        <v>45231.52675925926</v>
      </c>
      <c r="C950" s="1" t="n">
        <v>46038</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2306-2026</t>
        </is>
      </c>
      <c r="B951" s="1" t="n">
        <v>46034</v>
      </c>
      <c r="C951" s="1" t="n">
        <v>46038</v>
      </c>
      <c r="D951" t="inlineStr">
        <is>
          <t>SKÅNE LÄN</t>
        </is>
      </c>
      <c r="E951" t="inlineStr">
        <is>
          <t>HÄSSLEHOLM</t>
        </is>
      </c>
      <c r="G951" t="n">
        <v>3.4</v>
      </c>
      <c r="H951" t="n">
        <v>0</v>
      </c>
      <c r="I951" t="n">
        <v>0</v>
      </c>
      <c r="J951" t="n">
        <v>0</v>
      </c>
      <c r="K951" t="n">
        <v>0</v>
      </c>
      <c r="L951" t="n">
        <v>0</v>
      </c>
      <c r="M951" t="n">
        <v>0</v>
      </c>
      <c r="N951" t="n">
        <v>0</v>
      </c>
      <c r="O951" t="n">
        <v>0</v>
      </c>
      <c r="P951" t="n">
        <v>0</v>
      </c>
      <c r="Q951" t="n">
        <v>0</v>
      </c>
      <c r="R951" s="2" t="inlineStr"/>
    </row>
    <row r="952" ht="15" customHeight="1">
      <c r="A952" t="inlineStr">
        <is>
          <t>A 56065-2025</t>
        </is>
      </c>
      <c r="B952" s="1" t="n">
        <v>45973</v>
      </c>
      <c r="C952" s="1" t="n">
        <v>46038</v>
      </c>
      <c r="D952" t="inlineStr">
        <is>
          <t>SKÅNE LÄN</t>
        </is>
      </c>
      <c r="E952" t="inlineStr">
        <is>
          <t>HÄSSLEHOLM</t>
        </is>
      </c>
      <c r="G952" t="n">
        <v>2</v>
      </c>
      <c r="H952" t="n">
        <v>0</v>
      </c>
      <c r="I952" t="n">
        <v>0</v>
      </c>
      <c r="J952" t="n">
        <v>0</v>
      </c>
      <c r="K952" t="n">
        <v>0</v>
      </c>
      <c r="L952" t="n">
        <v>0</v>
      </c>
      <c r="M952" t="n">
        <v>0</v>
      </c>
      <c r="N952" t="n">
        <v>0</v>
      </c>
      <c r="O952" t="n">
        <v>0</v>
      </c>
      <c r="P952" t="n">
        <v>0</v>
      </c>
      <c r="Q952" t="n">
        <v>0</v>
      </c>
      <c r="R952" s="2" t="inlineStr"/>
    </row>
    <row r="953" ht="15" customHeight="1">
      <c r="A953" t="inlineStr">
        <is>
          <t>A 21329-2023</t>
        </is>
      </c>
      <c r="B953" s="1" t="n">
        <v>45062</v>
      </c>
      <c r="C953" s="1" t="n">
        <v>46038</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61215-2025</t>
        </is>
      </c>
      <c r="B954" s="1" t="n">
        <v>46000</v>
      </c>
      <c r="C954" s="1" t="n">
        <v>46038</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1543-2024</t>
        </is>
      </c>
      <c r="B955" s="1" t="n">
        <v>45306</v>
      </c>
      <c r="C955" s="1" t="n">
        <v>46038</v>
      </c>
      <c r="D955" t="inlineStr">
        <is>
          <t>SKÅNE LÄN</t>
        </is>
      </c>
      <c r="E955" t="inlineStr">
        <is>
          <t>HÄSSLEHOLM</t>
        </is>
      </c>
      <c r="G955" t="n">
        <v>2.6</v>
      </c>
      <c r="H955" t="n">
        <v>0</v>
      </c>
      <c r="I955" t="n">
        <v>0</v>
      </c>
      <c r="J955" t="n">
        <v>0</v>
      </c>
      <c r="K955" t="n">
        <v>0</v>
      </c>
      <c r="L955" t="n">
        <v>0</v>
      </c>
      <c r="M955" t="n">
        <v>0</v>
      </c>
      <c r="N955" t="n">
        <v>0</v>
      </c>
      <c r="O955" t="n">
        <v>0</v>
      </c>
      <c r="P955" t="n">
        <v>0</v>
      </c>
      <c r="Q955" t="n">
        <v>0</v>
      </c>
      <c r="R955" s="2" t="inlineStr"/>
    </row>
    <row r="956" ht="15" customHeight="1">
      <c r="A956" t="inlineStr">
        <is>
          <t>A 18800-2023</t>
        </is>
      </c>
      <c r="B956" s="1" t="n">
        <v>45044</v>
      </c>
      <c r="C956" s="1" t="n">
        <v>46038</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25077-2024</t>
        </is>
      </c>
      <c r="B957" s="1" t="n">
        <v>45462</v>
      </c>
      <c r="C957" s="1" t="n">
        <v>46038</v>
      </c>
      <c r="D957" t="inlineStr">
        <is>
          <t>SKÅNE LÄN</t>
        </is>
      </c>
      <c r="E957" t="inlineStr">
        <is>
          <t>HÄSSLEHOLM</t>
        </is>
      </c>
      <c r="G957" t="n">
        <v>1.6</v>
      </c>
      <c r="H957" t="n">
        <v>0</v>
      </c>
      <c r="I957" t="n">
        <v>0</v>
      </c>
      <c r="J957" t="n">
        <v>0</v>
      </c>
      <c r="K957" t="n">
        <v>0</v>
      </c>
      <c r="L957" t="n">
        <v>0</v>
      </c>
      <c r="M957" t="n">
        <v>0</v>
      </c>
      <c r="N957" t="n">
        <v>0</v>
      </c>
      <c r="O957" t="n">
        <v>0</v>
      </c>
      <c r="P957" t="n">
        <v>0</v>
      </c>
      <c r="Q957" t="n">
        <v>0</v>
      </c>
      <c r="R957" s="2" t="inlineStr"/>
    </row>
    <row r="958" ht="15" customHeight="1">
      <c r="A958" t="inlineStr">
        <is>
          <t>A 22535-2024</t>
        </is>
      </c>
      <c r="B958" s="1" t="n">
        <v>45447</v>
      </c>
      <c r="C958" s="1" t="n">
        <v>46038</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15060-2023</t>
        </is>
      </c>
      <c r="B959" s="1" t="n">
        <v>45015.69832175926</v>
      </c>
      <c r="C959" s="1" t="n">
        <v>46038</v>
      </c>
      <c r="D959" t="inlineStr">
        <is>
          <t>SKÅNE LÄN</t>
        </is>
      </c>
      <c r="E959" t="inlineStr">
        <is>
          <t>HÄSSLEHOLM</t>
        </is>
      </c>
      <c r="G959" t="n">
        <v>1.7</v>
      </c>
      <c r="H959" t="n">
        <v>0</v>
      </c>
      <c r="I959" t="n">
        <v>0</v>
      </c>
      <c r="J959" t="n">
        <v>0</v>
      </c>
      <c r="K959" t="n">
        <v>0</v>
      </c>
      <c r="L959" t="n">
        <v>0</v>
      </c>
      <c r="M959" t="n">
        <v>0</v>
      </c>
      <c r="N959" t="n">
        <v>0</v>
      </c>
      <c r="O959" t="n">
        <v>0</v>
      </c>
      <c r="P959" t="n">
        <v>0</v>
      </c>
      <c r="Q959" t="n">
        <v>0</v>
      </c>
      <c r="R959" s="2" t="inlineStr"/>
    </row>
    <row r="960" ht="15" customHeight="1">
      <c r="A960" t="inlineStr">
        <is>
          <t>A 4787-2023</t>
        </is>
      </c>
      <c r="B960" s="1" t="n">
        <v>44957.60079861111</v>
      </c>
      <c r="C960" s="1" t="n">
        <v>46038</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4788-2023</t>
        </is>
      </c>
      <c r="B961" s="1" t="n">
        <v>44957.60130787037</v>
      </c>
      <c r="C961" s="1" t="n">
        <v>46038</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34348-2022</t>
        </is>
      </c>
      <c r="B962" s="1" t="n">
        <v>44792</v>
      </c>
      <c r="C962" s="1" t="n">
        <v>46038</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45399-2022</t>
        </is>
      </c>
      <c r="B963" s="1" t="n">
        <v>44844.70513888889</v>
      </c>
      <c r="C963" s="1" t="n">
        <v>46038</v>
      </c>
      <c r="D963" t="inlineStr">
        <is>
          <t>SKÅNE LÄN</t>
        </is>
      </c>
      <c r="E963" t="inlineStr">
        <is>
          <t>HÄSSLEHOLM</t>
        </is>
      </c>
      <c r="G963" t="n">
        <v>0</v>
      </c>
      <c r="H963" t="n">
        <v>0</v>
      </c>
      <c r="I963" t="n">
        <v>0</v>
      </c>
      <c r="J963" t="n">
        <v>0</v>
      </c>
      <c r="K963" t="n">
        <v>0</v>
      </c>
      <c r="L963" t="n">
        <v>0</v>
      </c>
      <c r="M963" t="n">
        <v>0</v>
      </c>
      <c r="N963" t="n">
        <v>0</v>
      </c>
      <c r="O963" t="n">
        <v>0</v>
      </c>
      <c r="P963" t="n">
        <v>0</v>
      </c>
      <c r="Q963" t="n">
        <v>0</v>
      </c>
      <c r="R963" s="2" t="inlineStr"/>
    </row>
    <row r="964" ht="15" customHeight="1">
      <c r="A964" t="inlineStr">
        <is>
          <t>A 35640-2023</t>
        </is>
      </c>
      <c r="B964" s="1" t="n">
        <v>45147</v>
      </c>
      <c r="C964" s="1" t="n">
        <v>46038</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2681-2024</t>
        </is>
      </c>
      <c r="B965" s="1" t="n">
        <v>45314</v>
      </c>
      <c r="C965" s="1" t="n">
        <v>46038</v>
      </c>
      <c r="D965" t="inlineStr">
        <is>
          <t>SKÅNE LÄN</t>
        </is>
      </c>
      <c r="E965" t="inlineStr">
        <is>
          <t>HÄSSLEHOLM</t>
        </is>
      </c>
      <c r="F965" t="inlineStr">
        <is>
          <t>Övriga Aktiebolag</t>
        </is>
      </c>
      <c r="G965" t="n">
        <v>1.4</v>
      </c>
      <c r="H965" t="n">
        <v>0</v>
      </c>
      <c r="I965" t="n">
        <v>0</v>
      </c>
      <c r="J965" t="n">
        <v>0</v>
      </c>
      <c r="K965" t="n">
        <v>0</v>
      </c>
      <c r="L965" t="n">
        <v>0</v>
      </c>
      <c r="M965" t="n">
        <v>0</v>
      </c>
      <c r="N965" t="n">
        <v>0</v>
      </c>
      <c r="O965" t="n">
        <v>0</v>
      </c>
      <c r="P965" t="n">
        <v>0</v>
      </c>
      <c r="Q965" t="n">
        <v>0</v>
      </c>
      <c r="R965" s="2" t="inlineStr"/>
    </row>
    <row r="966" ht="15" customHeight="1">
      <c r="A966" t="inlineStr">
        <is>
          <t>A 58689-2025</t>
        </is>
      </c>
      <c r="B966" s="1" t="n">
        <v>45986</v>
      </c>
      <c r="C966" s="1" t="n">
        <v>46038</v>
      </c>
      <c r="D966" t="inlineStr">
        <is>
          <t>SKÅNE LÄN</t>
        </is>
      </c>
      <c r="E966" t="inlineStr">
        <is>
          <t>HÄSSLEHOLM</t>
        </is>
      </c>
      <c r="G966" t="n">
        <v>3.1</v>
      </c>
      <c r="H966" t="n">
        <v>0</v>
      </c>
      <c r="I966" t="n">
        <v>0</v>
      </c>
      <c r="J966" t="n">
        <v>0</v>
      </c>
      <c r="K966" t="n">
        <v>0</v>
      </c>
      <c r="L966" t="n">
        <v>0</v>
      </c>
      <c r="M966" t="n">
        <v>0</v>
      </c>
      <c r="N966" t="n">
        <v>0</v>
      </c>
      <c r="O966" t="n">
        <v>0</v>
      </c>
      <c r="P966" t="n">
        <v>0</v>
      </c>
      <c r="Q966" t="n">
        <v>0</v>
      </c>
      <c r="R966" s="2" t="inlineStr"/>
    </row>
    <row r="967" ht="15" customHeight="1">
      <c r="A967" t="inlineStr">
        <is>
          <t>A 27177-2024</t>
        </is>
      </c>
      <c r="B967" s="1" t="n">
        <v>45471.57201388889</v>
      </c>
      <c r="C967" s="1" t="n">
        <v>46038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49219-2024</t>
        </is>
      </c>
      <c r="B968" s="1" t="n">
        <v>45595.40923611111</v>
      </c>
      <c r="C968" s="1" t="n">
        <v>46038</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58632-2025</t>
        </is>
      </c>
      <c r="B969" s="1" t="n">
        <v>45986</v>
      </c>
      <c r="C969" s="1" t="n">
        <v>46038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2617-2026</t>
        </is>
      </c>
      <c r="B970" s="1" t="n">
        <v>46035</v>
      </c>
      <c r="C970" s="1" t="n">
        <v>46038</v>
      </c>
      <c r="D970" t="inlineStr">
        <is>
          <t>SKÅNE LÄN</t>
        </is>
      </c>
      <c r="E970" t="inlineStr">
        <is>
          <t>HÄSSLEHOLM</t>
        </is>
      </c>
      <c r="F970" t="inlineStr">
        <is>
          <t>Kyrkan</t>
        </is>
      </c>
      <c r="G970" t="n">
        <v>5.5</v>
      </c>
      <c r="H970" t="n">
        <v>0</v>
      </c>
      <c r="I970" t="n">
        <v>0</v>
      </c>
      <c r="J970" t="n">
        <v>0</v>
      </c>
      <c r="K970" t="n">
        <v>0</v>
      </c>
      <c r="L970" t="n">
        <v>0</v>
      </c>
      <c r="M970" t="n">
        <v>0</v>
      </c>
      <c r="N970" t="n">
        <v>0</v>
      </c>
      <c r="O970" t="n">
        <v>0</v>
      </c>
      <c r="P970" t="n">
        <v>0</v>
      </c>
      <c r="Q970" t="n">
        <v>0</v>
      </c>
      <c r="R970" s="2" t="inlineStr"/>
    </row>
    <row r="971" ht="15" customHeight="1">
      <c r="A971" t="inlineStr">
        <is>
          <t>A 13646-2024</t>
        </is>
      </c>
      <c r="B971" s="1" t="n">
        <v>45387</v>
      </c>
      <c r="C971" s="1" t="n">
        <v>46038</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4750-2024</t>
        </is>
      </c>
      <c r="B972" s="1" t="n">
        <v>45328</v>
      </c>
      <c r="C972" s="1" t="n">
        <v>46038</v>
      </c>
      <c r="D972" t="inlineStr">
        <is>
          <t>SKÅNE LÄN</t>
        </is>
      </c>
      <c r="E972" t="inlineStr">
        <is>
          <t>HÄSSLEHOLM</t>
        </is>
      </c>
      <c r="G972" t="n">
        <v>0.3</v>
      </c>
      <c r="H972" t="n">
        <v>0</v>
      </c>
      <c r="I972" t="n">
        <v>0</v>
      </c>
      <c r="J972" t="n">
        <v>0</v>
      </c>
      <c r="K972" t="n">
        <v>0</v>
      </c>
      <c r="L972" t="n">
        <v>0</v>
      </c>
      <c r="M972" t="n">
        <v>0</v>
      </c>
      <c r="N972" t="n">
        <v>0</v>
      </c>
      <c r="O972" t="n">
        <v>0</v>
      </c>
      <c r="P972" t="n">
        <v>0</v>
      </c>
      <c r="Q972" t="n">
        <v>0</v>
      </c>
      <c r="R972" s="2" t="inlineStr"/>
    </row>
    <row r="973" ht="15" customHeight="1">
      <c r="A973" t="inlineStr">
        <is>
          <t>A 58891-2022</t>
        </is>
      </c>
      <c r="B973" s="1" t="n">
        <v>44896</v>
      </c>
      <c r="C973" s="1" t="n">
        <v>46038</v>
      </c>
      <c r="D973" t="inlineStr">
        <is>
          <t>SKÅNE LÄN</t>
        </is>
      </c>
      <c r="E973" t="inlineStr">
        <is>
          <t>HÄSSLEHOLM</t>
        </is>
      </c>
      <c r="F973" t="inlineStr">
        <is>
          <t>Kyrkan</t>
        </is>
      </c>
      <c r="G973" t="n">
        <v>1.6</v>
      </c>
      <c r="H973" t="n">
        <v>0</v>
      </c>
      <c r="I973" t="n">
        <v>0</v>
      </c>
      <c r="J973" t="n">
        <v>0</v>
      </c>
      <c r="K973" t="n">
        <v>0</v>
      </c>
      <c r="L973" t="n">
        <v>0</v>
      </c>
      <c r="M973" t="n">
        <v>0</v>
      </c>
      <c r="N973" t="n">
        <v>0</v>
      </c>
      <c r="O973" t="n">
        <v>0</v>
      </c>
      <c r="P973" t="n">
        <v>0</v>
      </c>
      <c r="Q973" t="n">
        <v>0</v>
      </c>
      <c r="R973" s="2" t="inlineStr"/>
    </row>
    <row r="974" ht="15" customHeight="1">
      <c r="A974" t="inlineStr">
        <is>
          <t>A 36568-2024</t>
        </is>
      </c>
      <c r="B974" s="1" t="n">
        <v>45537</v>
      </c>
      <c r="C974" s="1" t="n">
        <v>46038</v>
      </c>
      <c r="D974" t="inlineStr">
        <is>
          <t>SKÅNE LÄN</t>
        </is>
      </c>
      <c r="E974" t="inlineStr">
        <is>
          <t>HÄSSLEHOLM</t>
        </is>
      </c>
      <c r="G974" t="n">
        <v>4.3</v>
      </c>
      <c r="H974" t="n">
        <v>0</v>
      </c>
      <c r="I974" t="n">
        <v>0</v>
      </c>
      <c r="J974" t="n">
        <v>0</v>
      </c>
      <c r="K974" t="n">
        <v>0</v>
      </c>
      <c r="L974" t="n">
        <v>0</v>
      </c>
      <c r="M974" t="n">
        <v>0</v>
      </c>
      <c r="N974" t="n">
        <v>0</v>
      </c>
      <c r="O974" t="n">
        <v>0</v>
      </c>
      <c r="P974" t="n">
        <v>0</v>
      </c>
      <c r="Q974" t="n">
        <v>0</v>
      </c>
      <c r="R974" s="2" t="inlineStr"/>
    </row>
    <row r="975" ht="15" customHeight="1">
      <c r="A975" t="inlineStr">
        <is>
          <t>A 9323-2025</t>
        </is>
      </c>
      <c r="B975" s="1" t="n">
        <v>45714.73532407408</v>
      </c>
      <c r="C975" s="1" t="n">
        <v>46038</v>
      </c>
      <c r="D975" t="inlineStr">
        <is>
          <t>SKÅNE LÄN</t>
        </is>
      </c>
      <c r="E975" t="inlineStr">
        <is>
          <t>HÄSSLEHOLM</t>
        </is>
      </c>
      <c r="G975" t="n">
        <v>5.2</v>
      </c>
      <c r="H975" t="n">
        <v>0</v>
      </c>
      <c r="I975" t="n">
        <v>0</v>
      </c>
      <c r="J975" t="n">
        <v>0</v>
      </c>
      <c r="K975" t="n">
        <v>0</v>
      </c>
      <c r="L975" t="n">
        <v>0</v>
      </c>
      <c r="M975" t="n">
        <v>0</v>
      </c>
      <c r="N975" t="n">
        <v>0</v>
      </c>
      <c r="O975" t="n">
        <v>0</v>
      </c>
      <c r="P975" t="n">
        <v>0</v>
      </c>
      <c r="Q975" t="n">
        <v>0</v>
      </c>
      <c r="R975" s="2" t="inlineStr"/>
    </row>
    <row r="976" ht="15" customHeight="1">
      <c r="A976" t="inlineStr">
        <is>
          <t>A 19593-2023</t>
        </is>
      </c>
      <c r="B976" s="1" t="n">
        <v>45050.75895833333</v>
      </c>
      <c r="C976" s="1" t="n">
        <v>46038</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16017-2023</t>
        </is>
      </c>
      <c r="B977" s="1" t="n">
        <v>45026</v>
      </c>
      <c r="C977" s="1" t="n">
        <v>46038</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524-2024</t>
        </is>
      </c>
      <c r="B978" s="1" t="n">
        <v>45299</v>
      </c>
      <c r="C978" s="1" t="n">
        <v>46038</v>
      </c>
      <c r="D978" t="inlineStr">
        <is>
          <t>SKÅNE LÄN</t>
        </is>
      </c>
      <c r="E978" t="inlineStr">
        <is>
          <t>HÄSSLEHOLM</t>
        </is>
      </c>
      <c r="G978" t="n">
        <v>29.4</v>
      </c>
      <c r="H978" t="n">
        <v>0</v>
      </c>
      <c r="I978" t="n">
        <v>0</v>
      </c>
      <c r="J978" t="n">
        <v>0</v>
      </c>
      <c r="K978" t="n">
        <v>0</v>
      </c>
      <c r="L978" t="n">
        <v>0</v>
      </c>
      <c r="M978" t="n">
        <v>0</v>
      </c>
      <c r="N978" t="n">
        <v>0</v>
      </c>
      <c r="O978" t="n">
        <v>0</v>
      </c>
      <c r="P978" t="n">
        <v>0</v>
      </c>
      <c r="Q978" t="n">
        <v>0</v>
      </c>
      <c r="R978" s="2" t="inlineStr"/>
    </row>
    <row r="979" ht="15" customHeight="1">
      <c r="A979" t="inlineStr">
        <is>
          <t>A 9394-2025</t>
        </is>
      </c>
      <c r="B979" s="1" t="n">
        <v>45715.36387731481</v>
      </c>
      <c r="C979" s="1" t="n">
        <v>46038</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39223-2024</t>
        </is>
      </c>
      <c r="B980" s="1" t="n">
        <v>45550</v>
      </c>
      <c r="C980" s="1" t="n">
        <v>46038</v>
      </c>
      <c r="D980" t="inlineStr">
        <is>
          <t>SKÅNE LÄN</t>
        </is>
      </c>
      <c r="E980" t="inlineStr">
        <is>
          <t>HÄSSLEHOLM</t>
        </is>
      </c>
      <c r="G980" t="n">
        <v>3.1</v>
      </c>
      <c r="H980" t="n">
        <v>0</v>
      </c>
      <c r="I980" t="n">
        <v>0</v>
      </c>
      <c r="J980" t="n">
        <v>0</v>
      </c>
      <c r="K980" t="n">
        <v>0</v>
      </c>
      <c r="L980" t="n">
        <v>0</v>
      </c>
      <c r="M980" t="n">
        <v>0</v>
      </c>
      <c r="N980" t="n">
        <v>0</v>
      </c>
      <c r="O980" t="n">
        <v>0</v>
      </c>
      <c r="P980" t="n">
        <v>0</v>
      </c>
      <c r="Q980" t="n">
        <v>0</v>
      </c>
      <c r="R980" s="2" t="inlineStr"/>
    </row>
    <row r="981" ht="15" customHeight="1">
      <c r="A981" t="inlineStr">
        <is>
          <t>A 27304-2023</t>
        </is>
      </c>
      <c r="B981" s="1" t="n">
        <v>45096.65199074074</v>
      </c>
      <c r="C981" s="1" t="n">
        <v>46038</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22693-2022</t>
        </is>
      </c>
      <c r="B982" s="1" t="n">
        <v>44714.54729166667</v>
      </c>
      <c r="C982" s="1" t="n">
        <v>46038</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15104-2023</t>
        </is>
      </c>
      <c r="B983" s="1" t="n">
        <v>45016.40576388889</v>
      </c>
      <c r="C983" s="1" t="n">
        <v>46038</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12507-2022</t>
        </is>
      </c>
      <c r="B984" s="1" t="n">
        <v>44638</v>
      </c>
      <c r="C984" s="1" t="n">
        <v>46038</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2597-2024</t>
        </is>
      </c>
      <c r="B985" s="1" t="n">
        <v>45313</v>
      </c>
      <c r="C985" s="1" t="n">
        <v>46038</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3531-2023</t>
        </is>
      </c>
      <c r="B986" s="1" t="n">
        <v>44950</v>
      </c>
      <c r="C986" s="1" t="n">
        <v>46038</v>
      </c>
      <c r="D986" t="inlineStr">
        <is>
          <t>SKÅNE LÄN</t>
        </is>
      </c>
      <c r="E986" t="inlineStr">
        <is>
          <t>HÄSSLEHOLM</t>
        </is>
      </c>
      <c r="G986" t="n">
        <v>10.1</v>
      </c>
      <c r="H986" t="n">
        <v>0</v>
      </c>
      <c r="I986" t="n">
        <v>0</v>
      </c>
      <c r="J986" t="n">
        <v>0</v>
      </c>
      <c r="K986" t="n">
        <v>0</v>
      </c>
      <c r="L986" t="n">
        <v>0</v>
      </c>
      <c r="M986" t="n">
        <v>0</v>
      </c>
      <c r="N986" t="n">
        <v>0</v>
      </c>
      <c r="O986" t="n">
        <v>0</v>
      </c>
      <c r="P986" t="n">
        <v>0</v>
      </c>
      <c r="Q986" t="n">
        <v>0</v>
      </c>
      <c r="R986" s="2" t="inlineStr"/>
    </row>
    <row r="987" ht="15" customHeight="1">
      <c r="A987" t="inlineStr">
        <is>
          <t>A 15417-2022</t>
        </is>
      </c>
      <c r="B987" s="1" t="n">
        <v>44659</v>
      </c>
      <c r="C987" s="1" t="n">
        <v>46038</v>
      </c>
      <c r="D987" t="inlineStr">
        <is>
          <t>SKÅNE LÄN</t>
        </is>
      </c>
      <c r="E987" t="inlineStr">
        <is>
          <t>HÄSSLEHOLM</t>
        </is>
      </c>
      <c r="F987" t="inlineStr">
        <is>
          <t>Kyrkan</t>
        </is>
      </c>
      <c r="G987" t="n">
        <v>2.9</v>
      </c>
      <c r="H987" t="n">
        <v>0</v>
      </c>
      <c r="I987" t="n">
        <v>0</v>
      </c>
      <c r="J987" t="n">
        <v>0</v>
      </c>
      <c r="K987" t="n">
        <v>0</v>
      </c>
      <c r="L987" t="n">
        <v>0</v>
      </c>
      <c r="M987" t="n">
        <v>0</v>
      </c>
      <c r="N987" t="n">
        <v>0</v>
      </c>
      <c r="O987" t="n">
        <v>0</v>
      </c>
      <c r="P987" t="n">
        <v>0</v>
      </c>
      <c r="Q987" t="n">
        <v>0</v>
      </c>
      <c r="R987" s="2" t="inlineStr"/>
    </row>
    <row r="988" ht="15" customHeight="1">
      <c r="A988" t="inlineStr">
        <is>
          <t>A 44262-2021</t>
        </is>
      </c>
      <c r="B988" s="1" t="n">
        <v>44434</v>
      </c>
      <c r="C988" s="1" t="n">
        <v>46038</v>
      </c>
      <c r="D988" t="inlineStr">
        <is>
          <t>SKÅNE LÄN</t>
        </is>
      </c>
      <c r="E988" t="inlineStr">
        <is>
          <t>HÄSSLEHOLM</t>
        </is>
      </c>
      <c r="G988" t="n">
        <v>4.7</v>
      </c>
      <c r="H988" t="n">
        <v>0</v>
      </c>
      <c r="I988" t="n">
        <v>0</v>
      </c>
      <c r="J988" t="n">
        <v>0</v>
      </c>
      <c r="K988" t="n">
        <v>0</v>
      </c>
      <c r="L988" t="n">
        <v>0</v>
      </c>
      <c r="M988" t="n">
        <v>0</v>
      </c>
      <c r="N988" t="n">
        <v>0</v>
      </c>
      <c r="O988" t="n">
        <v>0</v>
      </c>
      <c r="P988" t="n">
        <v>0</v>
      </c>
      <c r="Q988" t="n">
        <v>0</v>
      </c>
      <c r="R988" s="2" t="inlineStr"/>
    </row>
    <row r="989" ht="15" customHeight="1">
      <c r="A989" t="inlineStr">
        <is>
          <t>A 50659-2023</t>
        </is>
      </c>
      <c r="B989" s="1" t="n">
        <v>45217</v>
      </c>
      <c r="C989" s="1" t="n">
        <v>46038</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13808-2021</t>
        </is>
      </c>
      <c r="B990" s="1" t="n">
        <v>44276</v>
      </c>
      <c r="C990" s="1" t="n">
        <v>46038</v>
      </c>
      <c r="D990" t="inlineStr">
        <is>
          <t>SKÅNE LÄN</t>
        </is>
      </c>
      <c r="E990" t="inlineStr">
        <is>
          <t>HÄSSLEHOLM</t>
        </is>
      </c>
      <c r="G990" t="n">
        <v>10.3</v>
      </c>
      <c r="H990" t="n">
        <v>0</v>
      </c>
      <c r="I990" t="n">
        <v>0</v>
      </c>
      <c r="J990" t="n">
        <v>0</v>
      </c>
      <c r="K990" t="n">
        <v>0</v>
      </c>
      <c r="L990" t="n">
        <v>0</v>
      </c>
      <c r="M990" t="n">
        <v>0</v>
      </c>
      <c r="N990" t="n">
        <v>0</v>
      </c>
      <c r="O990" t="n">
        <v>0</v>
      </c>
      <c r="P990" t="n">
        <v>0</v>
      </c>
      <c r="Q990" t="n">
        <v>0</v>
      </c>
      <c r="R990" s="2" t="inlineStr"/>
    </row>
    <row r="991" ht="15" customHeight="1">
      <c r="A991" t="inlineStr">
        <is>
          <t>A 67801-2021</t>
        </is>
      </c>
      <c r="B991" s="1" t="n">
        <v>44525</v>
      </c>
      <c r="C991" s="1" t="n">
        <v>46038</v>
      </c>
      <c r="D991" t="inlineStr">
        <is>
          <t>SKÅNE LÄN</t>
        </is>
      </c>
      <c r="E991" t="inlineStr">
        <is>
          <t>HÄSSLEHOLM</t>
        </is>
      </c>
      <c r="G991" t="n">
        <v>2.2</v>
      </c>
      <c r="H991" t="n">
        <v>0</v>
      </c>
      <c r="I991" t="n">
        <v>0</v>
      </c>
      <c r="J991" t="n">
        <v>0</v>
      </c>
      <c r="K991" t="n">
        <v>0</v>
      </c>
      <c r="L991" t="n">
        <v>0</v>
      </c>
      <c r="M991" t="n">
        <v>0</v>
      </c>
      <c r="N991" t="n">
        <v>0</v>
      </c>
      <c r="O991" t="n">
        <v>0</v>
      </c>
      <c r="P991" t="n">
        <v>0</v>
      </c>
      <c r="Q991" t="n">
        <v>0</v>
      </c>
      <c r="R991" s="2" t="inlineStr"/>
    </row>
    <row r="992" ht="15" customHeight="1">
      <c r="A992" t="inlineStr">
        <is>
          <t>A 2144-2023</t>
        </is>
      </c>
      <c r="B992" s="1" t="n">
        <v>44940.79054398148</v>
      </c>
      <c r="C992" s="1" t="n">
        <v>46038</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37141-2021</t>
        </is>
      </c>
      <c r="B993" s="1" t="n">
        <v>44396</v>
      </c>
      <c r="C993" s="1" t="n">
        <v>46038</v>
      </c>
      <c r="D993" t="inlineStr">
        <is>
          <t>SKÅNE LÄN</t>
        </is>
      </c>
      <c r="E993" t="inlineStr">
        <is>
          <t>HÄSSLEHOLM</t>
        </is>
      </c>
      <c r="G993" t="n">
        <v>12.8</v>
      </c>
      <c r="H993" t="n">
        <v>0</v>
      </c>
      <c r="I993" t="n">
        <v>0</v>
      </c>
      <c r="J993" t="n">
        <v>0</v>
      </c>
      <c r="K993" t="n">
        <v>0</v>
      </c>
      <c r="L993" t="n">
        <v>0</v>
      </c>
      <c r="M993" t="n">
        <v>0</v>
      </c>
      <c r="N993" t="n">
        <v>0</v>
      </c>
      <c r="O993" t="n">
        <v>0</v>
      </c>
      <c r="P993" t="n">
        <v>0</v>
      </c>
      <c r="Q993" t="n">
        <v>0</v>
      </c>
      <c r="R993" s="2" t="inlineStr"/>
    </row>
    <row r="994" ht="15" customHeight="1">
      <c r="A994" t="inlineStr">
        <is>
          <t>A 7202-2022</t>
        </is>
      </c>
      <c r="B994" s="1" t="n">
        <v>44606</v>
      </c>
      <c r="C994" s="1" t="n">
        <v>46038</v>
      </c>
      <c r="D994" t="inlineStr">
        <is>
          <t>SKÅNE LÄN</t>
        </is>
      </c>
      <c r="E994" t="inlineStr">
        <is>
          <t>HÄSSLEHOLM</t>
        </is>
      </c>
      <c r="G994" t="n">
        <v>4.7</v>
      </c>
      <c r="H994" t="n">
        <v>0</v>
      </c>
      <c r="I994" t="n">
        <v>0</v>
      </c>
      <c r="J994" t="n">
        <v>0</v>
      </c>
      <c r="K994" t="n">
        <v>0</v>
      </c>
      <c r="L994" t="n">
        <v>0</v>
      </c>
      <c r="M994" t="n">
        <v>0</v>
      </c>
      <c r="N994" t="n">
        <v>0</v>
      </c>
      <c r="O994" t="n">
        <v>0</v>
      </c>
      <c r="P994" t="n">
        <v>0</v>
      </c>
      <c r="Q994" t="n">
        <v>0</v>
      </c>
      <c r="R994" s="2" t="inlineStr"/>
    </row>
    <row r="995" ht="15" customHeight="1">
      <c r="A995" t="inlineStr">
        <is>
          <t>A 21494-2023</t>
        </is>
      </c>
      <c r="B995" s="1" t="n">
        <v>45063</v>
      </c>
      <c r="C995" s="1" t="n">
        <v>46038</v>
      </c>
      <c r="D995" t="inlineStr">
        <is>
          <t>SKÅNE LÄN</t>
        </is>
      </c>
      <c r="E995" t="inlineStr">
        <is>
          <t>HÄSSLEHOLM</t>
        </is>
      </c>
      <c r="G995" t="n">
        <v>3.7</v>
      </c>
      <c r="H995" t="n">
        <v>0</v>
      </c>
      <c r="I995" t="n">
        <v>0</v>
      </c>
      <c r="J995" t="n">
        <v>0</v>
      </c>
      <c r="K995" t="n">
        <v>0</v>
      </c>
      <c r="L995" t="n">
        <v>0</v>
      </c>
      <c r="M995" t="n">
        <v>0</v>
      </c>
      <c r="N995" t="n">
        <v>0</v>
      </c>
      <c r="O995" t="n">
        <v>0</v>
      </c>
      <c r="P995" t="n">
        <v>0</v>
      </c>
      <c r="Q995" t="n">
        <v>0</v>
      </c>
      <c r="R995" s="2" t="inlineStr"/>
    </row>
    <row r="996" ht="15" customHeight="1">
      <c r="A996" t="inlineStr">
        <is>
          <t>A 21495-2023</t>
        </is>
      </c>
      <c r="B996" s="1" t="n">
        <v>45063</v>
      </c>
      <c r="C996" s="1" t="n">
        <v>46038</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62167-2022</t>
        </is>
      </c>
      <c r="B997" s="1" t="n">
        <v>44915</v>
      </c>
      <c r="C997" s="1" t="n">
        <v>46038</v>
      </c>
      <c r="D997" t="inlineStr">
        <is>
          <t>SKÅNE LÄN</t>
        </is>
      </c>
      <c r="E997" t="inlineStr">
        <is>
          <t>HÄSSLEHOLM</t>
        </is>
      </c>
      <c r="F997" t="inlineStr">
        <is>
          <t>Kyrkan</t>
        </is>
      </c>
      <c r="G997" t="n">
        <v>3.1</v>
      </c>
      <c r="H997" t="n">
        <v>0</v>
      </c>
      <c r="I997" t="n">
        <v>0</v>
      </c>
      <c r="J997" t="n">
        <v>0</v>
      </c>
      <c r="K997" t="n">
        <v>0</v>
      </c>
      <c r="L997" t="n">
        <v>0</v>
      </c>
      <c r="M997" t="n">
        <v>0</v>
      </c>
      <c r="N997" t="n">
        <v>0</v>
      </c>
      <c r="O997" t="n">
        <v>0</v>
      </c>
      <c r="P997" t="n">
        <v>0</v>
      </c>
      <c r="Q997" t="n">
        <v>0</v>
      </c>
      <c r="R997" s="2" t="inlineStr"/>
    </row>
    <row r="998" ht="15" customHeight="1">
      <c r="A998" t="inlineStr">
        <is>
          <t>A 62234-2022</t>
        </is>
      </c>
      <c r="B998" s="1" t="n">
        <v>44922</v>
      </c>
      <c r="C998" s="1" t="n">
        <v>46038</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34299-2024</t>
        </is>
      </c>
      <c r="B999" s="1" t="n">
        <v>45524</v>
      </c>
      <c r="C999" s="1" t="n">
        <v>46038</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9697-2023</t>
        </is>
      </c>
      <c r="B1000" s="1" t="n">
        <v>44984</v>
      </c>
      <c r="C1000" s="1" t="n">
        <v>46038</v>
      </c>
      <c r="D1000" t="inlineStr">
        <is>
          <t>SKÅNE LÄN</t>
        </is>
      </c>
      <c r="E1000" t="inlineStr">
        <is>
          <t>HÄSSLEHOLM</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42232-2022</t>
        </is>
      </c>
      <c r="B1001" s="1" t="n">
        <v>44830.77591435185</v>
      </c>
      <c r="C1001" s="1" t="n">
        <v>46038</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37038-2022</t>
        </is>
      </c>
      <c r="B1002" s="1" t="n">
        <v>44806.44232638889</v>
      </c>
      <c r="C1002" s="1" t="n">
        <v>46038</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5894-2023</t>
        </is>
      </c>
      <c r="B1003" s="1" t="n">
        <v>44963.65148148148</v>
      </c>
      <c r="C1003" s="1" t="n">
        <v>46038</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9502-2023</t>
        </is>
      </c>
      <c r="B1004" s="1" t="n">
        <v>44981.63278935185</v>
      </c>
      <c r="C1004" s="1" t="n">
        <v>46038</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48046-2023</t>
        </is>
      </c>
      <c r="B1005" s="1" t="n">
        <v>45204.85201388889</v>
      </c>
      <c r="C1005" s="1" t="n">
        <v>46038</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57749-2023</t>
        </is>
      </c>
      <c r="B1006" s="1" t="n">
        <v>45246</v>
      </c>
      <c r="C1006" s="1" t="n">
        <v>46038</v>
      </c>
      <c r="D1006" t="inlineStr">
        <is>
          <t>SKÅNE LÄN</t>
        </is>
      </c>
      <c r="E1006" t="inlineStr">
        <is>
          <t>HÄSSLEHOLM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1538-2024</t>
        </is>
      </c>
      <c r="B1007" s="1" t="n">
        <v>45306</v>
      </c>
      <c r="C1007" s="1" t="n">
        <v>46038</v>
      </c>
      <c r="D1007" t="inlineStr">
        <is>
          <t>SKÅNE LÄN</t>
        </is>
      </c>
      <c r="E1007" t="inlineStr">
        <is>
          <t>HÄSSLEHOLM</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3135-2023</t>
        </is>
      </c>
      <c r="B1008" s="1" t="n">
        <v>44946.51672453704</v>
      </c>
      <c r="C1008" s="1" t="n">
        <v>46038</v>
      </c>
      <c r="D1008" t="inlineStr">
        <is>
          <t>SKÅNE LÄN</t>
        </is>
      </c>
      <c r="E1008" t="inlineStr">
        <is>
          <t>HÄSSLEHOLM</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34342-2021</t>
        </is>
      </c>
      <c r="B1009" s="1" t="n">
        <v>44379</v>
      </c>
      <c r="C1009" s="1" t="n">
        <v>46038</v>
      </c>
      <c r="D1009" t="inlineStr">
        <is>
          <t>SKÅNE LÄN</t>
        </is>
      </c>
      <c r="E1009" t="inlineStr">
        <is>
          <t>HÄSSLEHOLM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3507-2024</t>
        </is>
      </c>
      <c r="B1010" s="1" t="n">
        <v>45320.4906712963</v>
      </c>
      <c r="C1010" s="1" t="n">
        <v>46038</v>
      </c>
      <c r="D1010" t="inlineStr">
        <is>
          <t>SKÅNE LÄN</t>
        </is>
      </c>
      <c r="E1010" t="inlineStr">
        <is>
          <t>HÄSSLEHOLM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49111-2023</t>
        </is>
      </c>
      <c r="B1011" s="1" t="n">
        <v>45210.44464120371</v>
      </c>
      <c r="C1011" s="1" t="n">
        <v>46038</v>
      </c>
      <c r="D1011" t="inlineStr">
        <is>
          <t>SKÅNE LÄN</t>
        </is>
      </c>
      <c r="E1011" t="inlineStr">
        <is>
          <t>HÄSSLEHOLM</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61178-2022</t>
        </is>
      </c>
      <c r="B1012" s="1" t="n">
        <v>44915</v>
      </c>
      <c r="C1012" s="1" t="n">
        <v>46038</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61185-2022</t>
        </is>
      </c>
      <c r="B1013" s="1" t="n">
        <v>44915</v>
      </c>
      <c r="C1013" s="1" t="n">
        <v>46038</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58915-2023</t>
        </is>
      </c>
      <c r="B1014" s="1" t="n">
        <v>45250</v>
      </c>
      <c r="C1014" s="1" t="n">
        <v>46038</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15508-2023</t>
        </is>
      </c>
      <c r="B1015" s="1" t="n">
        <v>45020.50045138889</v>
      </c>
      <c r="C1015" s="1" t="n">
        <v>46038</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61934-2023</t>
        </is>
      </c>
      <c r="B1016" s="1" t="n">
        <v>45266.54125</v>
      </c>
      <c r="C1016" s="1" t="n">
        <v>46038</v>
      </c>
      <c r="D1016" t="inlineStr">
        <is>
          <t>SKÅNE LÄN</t>
        </is>
      </c>
      <c r="E1016" t="inlineStr">
        <is>
          <t>HÄSSLEHOLM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11715-2023</t>
        </is>
      </c>
      <c r="B1017" s="1" t="n">
        <v>44992</v>
      </c>
      <c r="C1017" s="1" t="n">
        <v>46038</v>
      </c>
      <c r="D1017" t="inlineStr">
        <is>
          <t>SKÅNE LÄN</t>
        </is>
      </c>
      <c r="E1017" t="inlineStr">
        <is>
          <t>HÄSSLEHOLM</t>
        </is>
      </c>
      <c r="F1017" t="inlineStr">
        <is>
          <t>Övriga Aktiebolag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38888-2023</t>
        </is>
      </c>
      <c r="B1018" s="1" t="n">
        <v>45161</v>
      </c>
      <c r="C1018" s="1" t="n">
        <v>46038</v>
      </c>
      <c r="D1018" t="inlineStr">
        <is>
          <t>SKÅNE LÄN</t>
        </is>
      </c>
      <c r="E1018" t="inlineStr">
        <is>
          <t>HÄSSLEHOLM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59030-2024</t>
        </is>
      </c>
      <c r="B1019" s="1" t="n">
        <v>45636.68916666666</v>
      </c>
      <c r="C1019" s="1" t="n">
        <v>46038</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48663-2024</t>
        </is>
      </c>
      <c r="B1020" s="1" t="n">
        <v>45593.48892361111</v>
      </c>
      <c r="C1020" s="1" t="n">
        <v>46038</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7153-2025</t>
        </is>
      </c>
      <c r="B1021" s="1" t="n">
        <v>45702.38512731482</v>
      </c>
      <c r="C1021" s="1" t="n">
        <v>46038</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48771-2024</t>
        </is>
      </c>
      <c r="B1022" s="1" t="n">
        <v>45593.61284722222</v>
      </c>
      <c r="C1022" s="1" t="n">
        <v>46038</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12344-2023</t>
        </is>
      </c>
      <c r="B1023" s="1" t="n">
        <v>44999</v>
      </c>
      <c r="C1023" s="1" t="n">
        <v>46038</v>
      </c>
      <c r="D1023" t="inlineStr">
        <is>
          <t>SKÅNE LÄN</t>
        </is>
      </c>
      <c r="E1023" t="inlineStr">
        <is>
          <t>HÄSSLEHOLM</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61197-2024</t>
        </is>
      </c>
      <c r="B1024" s="1" t="n">
        <v>45645.63184027778</v>
      </c>
      <c r="C1024" s="1" t="n">
        <v>46038</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6165-2023</t>
        </is>
      </c>
      <c r="B1025" s="1" t="n">
        <v>44964.67114583333</v>
      </c>
      <c r="C1025" s="1" t="n">
        <v>46038</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33938-2023</t>
        </is>
      </c>
      <c r="B1026" s="1" t="n">
        <v>45124</v>
      </c>
      <c r="C1026" s="1" t="n">
        <v>46038</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61533-2022</t>
        </is>
      </c>
      <c r="B1027" s="1" t="n">
        <v>44910</v>
      </c>
      <c r="C1027" s="1" t="n">
        <v>46038</v>
      </c>
      <c r="D1027" t="inlineStr">
        <is>
          <t>SKÅNE LÄN</t>
        </is>
      </c>
      <c r="E1027" t="inlineStr">
        <is>
          <t>HÄSSLEHOLM</t>
        </is>
      </c>
      <c r="F1027" t="inlineStr">
        <is>
          <t>Kyrkan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677-2024</t>
        </is>
      </c>
      <c r="B1028" s="1" t="n">
        <v>45300</v>
      </c>
      <c r="C1028" s="1" t="n">
        <v>46038</v>
      </c>
      <c r="D1028" t="inlineStr">
        <is>
          <t>SKÅNE LÄN</t>
        </is>
      </c>
      <c r="E1028" t="inlineStr">
        <is>
          <t>HÄSSLEHOLM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20872-2025</t>
        </is>
      </c>
      <c r="B1029" s="1" t="n">
        <v>45777.34688657407</v>
      </c>
      <c r="C1029" s="1" t="n">
        <v>46038</v>
      </c>
      <c r="D1029" t="inlineStr">
        <is>
          <t>SKÅNE LÄN</t>
        </is>
      </c>
      <c r="E1029" t="inlineStr">
        <is>
          <t>HÄSSLEHOLM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29994-2023</t>
        </is>
      </c>
      <c r="B1030" s="1" t="n">
        <v>45109.60038194444</v>
      </c>
      <c r="C1030" s="1" t="n">
        <v>46038</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21206-2025</t>
        </is>
      </c>
      <c r="B1031" s="1" t="n">
        <v>45779.48318287037</v>
      </c>
      <c r="C1031" s="1" t="n">
        <v>46038</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21091-2025</t>
        </is>
      </c>
      <c r="B1032" s="1" t="n">
        <v>45777</v>
      </c>
      <c r="C1032" s="1" t="n">
        <v>46038</v>
      </c>
      <c r="D1032" t="inlineStr">
        <is>
          <t>SKÅNE LÄN</t>
        </is>
      </c>
      <c r="E1032" t="inlineStr">
        <is>
          <t>HÄSSLEHOLM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317-2025</t>
        </is>
      </c>
      <c r="B1033" s="1" t="n">
        <v>45660</v>
      </c>
      <c r="C1033" s="1" t="n">
        <v>46038</v>
      </c>
      <c r="D1033" t="inlineStr">
        <is>
          <t>SKÅNE LÄN</t>
        </is>
      </c>
      <c r="E1033" t="inlineStr">
        <is>
          <t>HÄSSLEHOLM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21638-2025</t>
        </is>
      </c>
      <c r="B1034" s="1" t="n">
        <v>45783.43087962963</v>
      </c>
      <c r="C1034" s="1" t="n">
        <v>46038</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39111-2023</t>
        </is>
      </c>
      <c r="B1035" s="1" t="n">
        <v>45164.87140046297</v>
      </c>
      <c r="C1035" s="1" t="n">
        <v>46038</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60851-2024</t>
        </is>
      </c>
      <c r="B1036" s="1" t="n">
        <v>45644.66182870371</v>
      </c>
      <c r="C1036" s="1" t="n">
        <v>46038</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21625-2025</t>
        </is>
      </c>
      <c r="B1037" s="1" t="n">
        <v>45783.41252314814</v>
      </c>
      <c r="C1037" s="1" t="n">
        <v>46038</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7818-2024</t>
        </is>
      </c>
      <c r="B1038" s="1" t="n">
        <v>45349.68872685185</v>
      </c>
      <c r="C1038" s="1" t="n">
        <v>46038</v>
      </c>
      <c r="D1038" t="inlineStr">
        <is>
          <t>SKÅNE LÄN</t>
        </is>
      </c>
      <c r="E1038" t="inlineStr">
        <is>
          <t>HÄSSLEHOLM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13149-2024</t>
        </is>
      </c>
      <c r="B1039" s="1" t="n">
        <v>45386</v>
      </c>
      <c r="C1039" s="1" t="n">
        <v>46038</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29845-2024</t>
        </is>
      </c>
      <c r="B1040" s="1" t="n">
        <v>45485.6212037037</v>
      </c>
      <c r="C1040" s="1" t="n">
        <v>46038</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1703-2025</t>
        </is>
      </c>
      <c r="B1041" s="1" t="n">
        <v>45670.80732638889</v>
      </c>
      <c r="C1041" s="1" t="n">
        <v>46038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53466-2024</t>
        </is>
      </c>
      <c r="B1042" s="1" t="n">
        <v>45614.55304398148</v>
      </c>
      <c r="C1042" s="1" t="n">
        <v>46038</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61533-2024</t>
        </is>
      </c>
      <c r="B1043" s="1" t="n">
        <v>45646</v>
      </c>
      <c r="C1043" s="1" t="n">
        <v>46038</v>
      </c>
      <c r="D1043" t="inlineStr">
        <is>
          <t>SKÅNE LÄN</t>
        </is>
      </c>
      <c r="E1043" t="inlineStr">
        <is>
          <t>HÄSSLEHOLM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19735-2023</t>
        </is>
      </c>
      <c r="B1044" s="1" t="n">
        <v>45051.52199074074</v>
      </c>
      <c r="C1044" s="1" t="n">
        <v>46038</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2490-2024</t>
        </is>
      </c>
      <c r="B1045" s="1" t="n">
        <v>45313.43649305555</v>
      </c>
      <c r="C1045" s="1" t="n">
        <v>46038</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61537-2024</t>
        </is>
      </c>
      <c r="B1046" s="1" t="n">
        <v>45646</v>
      </c>
      <c r="C1046" s="1" t="n">
        <v>46038</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45142.39475694444</v>
      </c>
      <c r="C1047" s="1" t="n">
        <v>46038</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22024-2025</t>
        </is>
      </c>
      <c r="B1048" s="1" t="n">
        <v>45784.85322916666</v>
      </c>
      <c r="C1048" s="1" t="n">
        <v>46038</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20006-2025</t>
        </is>
      </c>
      <c r="B1049" s="1" t="n">
        <v>45772.05032407407</v>
      </c>
      <c r="C1049" s="1" t="n">
        <v>46038</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56735-2024</t>
        </is>
      </c>
      <c r="B1050" s="1" t="n">
        <v>45628.36234953703</v>
      </c>
      <c r="C1050" s="1" t="n">
        <v>46038</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29844-2024</t>
        </is>
      </c>
      <c r="B1051" s="1" t="n">
        <v>45485</v>
      </c>
      <c r="C1051" s="1" t="n">
        <v>46038</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55662-2022</t>
        </is>
      </c>
      <c r="B1052" s="1" t="n">
        <v>44883</v>
      </c>
      <c r="C1052" s="1" t="n">
        <v>46038</v>
      </c>
      <c r="D1052" t="inlineStr">
        <is>
          <t>SKÅNE LÄN</t>
        </is>
      </c>
      <c r="E1052" t="inlineStr">
        <is>
          <t>HÄSSLEHOLM</t>
        </is>
      </c>
      <c r="F1052" t="inlineStr">
        <is>
          <t>Övriga Aktiebolag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3886-2024</t>
        </is>
      </c>
      <c r="B1053" s="1" t="n">
        <v>45322.44539351852</v>
      </c>
      <c r="C1053" s="1" t="n">
        <v>46038</v>
      </c>
      <c r="D1053" t="inlineStr">
        <is>
          <t>SKÅNE LÄN</t>
        </is>
      </c>
      <c r="E1053" t="inlineStr">
        <is>
          <t>HÄSSLEHOLM</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9924-2025</t>
        </is>
      </c>
      <c r="B1054" s="1" t="n">
        <v>45717.72505787037</v>
      </c>
      <c r="C1054" s="1" t="n">
        <v>46038</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22587-2025</t>
        </is>
      </c>
      <c r="B1055" s="1" t="n">
        <v>45789.39974537037</v>
      </c>
      <c r="C1055" s="1" t="n">
        <v>46038</v>
      </c>
      <c r="D1055" t="inlineStr">
        <is>
          <t>SKÅNE LÄN</t>
        </is>
      </c>
      <c r="E1055" t="inlineStr">
        <is>
          <t>HÄSSLEHOLM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60920-2024</t>
        </is>
      </c>
      <c r="B1056" s="1" t="n">
        <v>45645.34442129629</v>
      </c>
      <c r="C1056" s="1" t="n">
        <v>46038</v>
      </c>
      <c r="D1056" t="inlineStr">
        <is>
          <t>SKÅNE LÄN</t>
        </is>
      </c>
      <c r="E1056" t="inlineStr">
        <is>
          <t>HÄSSLEHOLM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40536-2024</t>
        </is>
      </c>
      <c r="B1057" s="1" t="n">
        <v>45555.61314814815</v>
      </c>
      <c r="C1057" s="1" t="n">
        <v>46038</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56386-2023</t>
        </is>
      </c>
      <c r="B1058" s="1" t="n">
        <v>45243</v>
      </c>
      <c r="C1058" s="1" t="n">
        <v>46038</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29274-2023</t>
        </is>
      </c>
      <c r="B1059" s="1" t="n">
        <v>45105</v>
      </c>
      <c r="C1059" s="1" t="n">
        <v>46038</v>
      </c>
      <c r="D1059" t="inlineStr">
        <is>
          <t>SKÅNE LÄN</t>
        </is>
      </c>
      <c r="E1059" t="inlineStr">
        <is>
          <t>HÄSSLEHOLM</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61932-2023</t>
        </is>
      </c>
      <c r="B1060" s="1" t="n">
        <v>45266.53761574074</v>
      </c>
      <c r="C1060" s="1" t="n">
        <v>46038</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27606-2024</t>
        </is>
      </c>
      <c r="B1061" s="1" t="n">
        <v>45474</v>
      </c>
      <c r="C1061" s="1" t="n">
        <v>46038</v>
      </c>
      <c r="D1061" t="inlineStr">
        <is>
          <t>SKÅNE LÄN</t>
        </is>
      </c>
      <c r="E1061" t="inlineStr">
        <is>
          <t>HÄSSLEHOLM</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50244-2024</t>
        </is>
      </c>
      <c r="B1062" s="1" t="n">
        <v>45600.56502314815</v>
      </c>
      <c r="C1062" s="1" t="n">
        <v>46038</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7221-2025</t>
        </is>
      </c>
      <c r="B1063" s="1" t="n">
        <v>45701</v>
      </c>
      <c r="C1063" s="1" t="n">
        <v>46038</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5532-2025</t>
        </is>
      </c>
      <c r="B1064" s="1" t="n">
        <v>45693</v>
      </c>
      <c r="C1064" s="1" t="n">
        <v>46038</v>
      </c>
      <c r="D1064" t="inlineStr">
        <is>
          <t>SKÅNE LÄN</t>
        </is>
      </c>
      <c r="E1064" t="inlineStr">
        <is>
          <t>HÄSSLEHOLM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10230-2025</t>
        </is>
      </c>
      <c r="B1065" s="1" t="n">
        <v>45720</v>
      </c>
      <c r="C1065" s="1" t="n">
        <v>46038</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33266-2024</t>
        </is>
      </c>
      <c r="B1066" s="1" t="n">
        <v>45518</v>
      </c>
      <c r="C1066" s="1" t="n">
        <v>46038</v>
      </c>
      <c r="D1066" t="inlineStr">
        <is>
          <t>SKÅNE LÄN</t>
        </is>
      </c>
      <c r="E1066" t="inlineStr">
        <is>
          <t>HÄSSLEHOLM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48797-2023</t>
        </is>
      </c>
      <c r="B1067" s="1" t="n">
        <v>45209.24986111111</v>
      </c>
      <c r="C1067" s="1" t="n">
        <v>46038</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22592-2025</t>
        </is>
      </c>
      <c r="B1068" s="1" t="n">
        <v>45789.40502314815</v>
      </c>
      <c r="C1068" s="1" t="n">
        <v>46038</v>
      </c>
      <c r="D1068" t="inlineStr">
        <is>
          <t>SKÅNE LÄN</t>
        </is>
      </c>
      <c r="E1068" t="inlineStr">
        <is>
          <t>HÄSSLEHOLM</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23007-2025</t>
        </is>
      </c>
      <c r="B1069" s="1" t="n">
        <v>45790</v>
      </c>
      <c r="C1069" s="1" t="n">
        <v>46038</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17171-2025</t>
        </is>
      </c>
      <c r="B1070" s="1" t="n">
        <v>45755</v>
      </c>
      <c r="C1070" s="1" t="n">
        <v>46038</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16930-2024</t>
        </is>
      </c>
      <c r="B1071" s="1" t="n">
        <v>45411</v>
      </c>
      <c r="C1071" s="1" t="n">
        <v>46038</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27825-2024</t>
        </is>
      </c>
      <c r="B1072" s="1" t="n">
        <v>45475</v>
      </c>
      <c r="C1072" s="1" t="n">
        <v>46038</v>
      </c>
      <c r="D1072" t="inlineStr">
        <is>
          <t>SKÅNE LÄN</t>
        </is>
      </c>
      <c r="E1072" t="inlineStr">
        <is>
          <t>HÄSSLEHOLM</t>
        </is>
      </c>
      <c r="F1072" t="inlineStr">
        <is>
          <t>Kommuner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31254-2024</t>
        </is>
      </c>
      <c r="B1073" s="1" t="n">
        <v>45503</v>
      </c>
      <c r="C1073" s="1" t="n">
        <v>46038</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37486-2024</t>
        </is>
      </c>
      <c r="B1074" s="1" t="n">
        <v>45541</v>
      </c>
      <c r="C1074" s="1" t="n">
        <v>46038</v>
      </c>
      <c r="D1074" t="inlineStr">
        <is>
          <t>SKÅNE LÄN</t>
        </is>
      </c>
      <c r="E1074" t="inlineStr">
        <is>
          <t>HÄSSLEHOLM</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44838-2023</t>
        </is>
      </c>
      <c r="B1075" s="1" t="n">
        <v>45190</v>
      </c>
      <c r="C1075" s="1" t="n">
        <v>46038</v>
      </c>
      <c r="D1075" t="inlineStr">
        <is>
          <t>SKÅNE LÄN</t>
        </is>
      </c>
      <c r="E1075" t="inlineStr">
        <is>
          <t>HÄSSLEHOLM</t>
        </is>
      </c>
      <c r="F1075" t="inlineStr">
        <is>
          <t>Kommuner</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13954-2023</t>
        </is>
      </c>
      <c r="B1076" s="1" t="n">
        <v>45008</v>
      </c>
      <c r="C1076" s="1" t="n">
        <v>46038</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13007-2024</t>
        </is>
      </c>
      <c r="B1077" s="1" t="n">
        <v>45385.57092592592</v>
      </c>
      <c r="C1077" s="1" t="n">
        <v>46038</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40152-2024</t>
        </is>
      </c>
      <c r="B1078" s="1" t="n">
        <v>45554</v>
      </c>
      <c r="C1078" s="1" t="n">
        <v>46038</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74030-2021</t>
        </is>
      </c>
      <c r="B1079" s="1" t="n">
        <v>44553</v>
      </c>
      <c r="C1079" s="1" t="n">
        <v>46038</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15072-2024</t>
        </is>
      </c>
      <c r="B1080" s="1" t="n">
        <v>45399.5996875</v>
      </c>
      <c r="C1080" s="1" t="n">
        <v>46038</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11262-2025</t>
        </is>
      </c>
      <c r="B1081" s="1" t="n">
        <v>45726</v>
      </c>
      <c r="C1081" s="1" t="n">
        <v>46038</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5395-2024</t>
        </is>
      </c>
      <c r="B1082" s="1" t="n">
        <v>45331</v>
      </c>
      <c r="C1082" s="1" t="n">
        <v>46038</v>
      </c>
      <c r="D1082" t="inlineStr">
        <is>
          <t>SKÅNE LÄN</t>
        </is>
      </c>
      <c r="E1082" t="inlineStr">
        <is>
          <t>HÄSSLEHOLM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2621-2025</t>
        </is>
      </c>
      <c r="B1083" s="1" t="n">
        <v>45675.60765046296</v>
      </c>
      <c r="C1083" s="1" t="n">
        <v>46038</v>
      </c>
      <c r="D1083" t="inlineStr">
        <is>
          <t>SKÅNE LÄN</t>
        </is>
      </c>
      <c r="E1083" t="inlineStr">
        <is>
          <t>HÄSSLEHOLM</t>
        </is>
      </c>
      <c r="F1083" t="inlineStr">
        <is>
          <t>Kommuner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8737-2025</t>
        </is>
      </c>
      <c r="B1084" s="1" t="n">
        <v>45712.54578703704</v>
      </c>
      <c r="C1084" s="1" t="n">
        <v>46038</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37764-2022</t>
        </is>
      </c>
      <c r="B1085" s="1" t="n">
        <v>44810</v>
      </c>
      <c r="C1085" s="1" t="n">
        <v>46038</v>
      </c>
      <c r="D1085" t="inlineStr">
        <is>
          <t>SKÅNE LÄN</t>
        </is>
      </c>
      <c r="E1085" t="inlineStr">
        <is>
          <t>HÄSSLEHOLM</t>
        </is>
      </c>
      <c r="F1085" t="inlineStr">
        <is>
          <t>Kyrkan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51018-2023</t>
        </is>
      </c>
      <c r="B1086" s="1" t="n">
        <v>45218</v>
      </c>
      <c r="C1086" s="1" t="n">
        <v>46038</v>
      </c>
      <c r="D1086" t="inlineStr">
        <is>
          <t>SKÅNE LÄN</t>
        </is>
      </c>
      <c r="E1086" t="inlineStr">
        <is>
          <t>HÄSSLEHOLM</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23005-2025</t>
        </is>
      </c>
      <c r="B1087" s="1" t="n">
        <v>45790</v>
      </c>
      <c r="C1087" s="1" t="n">
        <v>46038</v>
      </c>
      <c r="D1087" t="inlineStr">
        <is>
          <t>SKÅNE LÄN</t>
        </is>
      </c>
      <c r="E1087" t="inlineStr">
        <is>
          <t>HÄSSLEHOLM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60797-2024</t>
        </is>
      </c>
      <c r="B1088" s="1" t="n">
        <v>45644</v>
      </c>
      <c r="C1088" s="1" t="n">
        <v>46038</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56069-2024</t>
        </is>
      </c>
      <c r="B1089" s="1" t="n">
        <v>45624.38006944444</v>
      </c>
      <c r="C1089" s="1" t="n">
        <v>46038</v>
      </c>
      <c r="D1089" t="inlineStr">
        <is>
          <t>SKÅNE LÄN</t>
        </is>
      </c>
      <c r="E1089" t="inlineStr">
        <is>
          <t>HÄSSLEHOLM</t>
        </is>
      </c>
      <c r="F1089" t="inlineStr">
        <is>
          <t>Övriga Aktiebolag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7681-2025</t>
        </is>
      </c>
      <c r="B1090" s="1" t="n">
        <v>45706.36758101852</v>
      </c>
      <c r="C1090" s="1" t="n">
        <v>46038</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24032-2025</t>
        </is>
      </c>
      <c r="B1091" s="1" t="n">
        <v>45796.478125</v>
      </c>
      <c r="C1091" s="1" t="n">
        <v>46038</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6596-2021</t>
        </is>
      </c>
      <c r="B1092" s="1" t="n">
        <v>44236</v>
      </c>
      <c r="C1092" s="1" t="n">
        <v>46038</v>
      </c>
      <c r="D1092" t="inlineStr">
        <is>
          <t>SKÅNE LÄN</t>
        </is>
      </c>
      <c r="E1092" t="inlineStr">
        <is>
          <t>HÄSSLEHOLM</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60789-2024</t>
        </is>
      </c>
      <c r="B1093" s="1" t="n">
        <v>45644</v>
      </c>
      <c r="C1093" s="1" t="n">
        <v>46038</v>
      </c>
      <c r="D1093" t="inlineStr">
        <is>
          <t>SKÅNE LÄN</t>
        </is>
      </c>
      <c r="E1093" t="inlineStr">
        <is>
          <t>HÄSSLEHOLM</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5252-2025</t>
        </is>
      </c>
      <c r="B1094" s="1" t="n">
        <v>45692.3449537037</v>
      </c>
      <c r="C1094" s="1" t="n">
        <v>46038</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5242-2025</t>
        </is>
      </c>
      <c r="B1095" s="1" t="n">
        <v>45692.32883101852</v>
      </c>
      <c r="C1095" s="1" t="n">
        <v>46038</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24034-2025</t>
        </is>
      </c>
      <c r="B1096" s="1" t="n">
        <v>45796.48251157408</v>
      </c>
      <c r="C1096" s="1" t="n">
        <v>46038</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24250-2025</t>
        </is>
      </c>
      <c r="B1097" s="1" t="n">
        <v>45797.40260416667</v>
      </c>
      <c r="C1097" s="1" t="n">
        <v>46038</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24029-2025</t>
        </is>
      </c>
      <c r="B1098" s="1" t="n">
        <v>45796.47552083333</v>
      </c>
      <c r="C1098" s="1" t="n">
        <v>46038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24039-2025</t>
        </is>
      </c>
      <c r="B1099" s="1" t="n">
        <v>45796.48675925926</v>
      </c>
      <c r="C1099" s="1" t="n">
        <v>46038</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24047-2025</t>
        </is>
      </c>
      <c r="B1100" s="1" t="n">
        <v>45796.49528935185</v>
      </c>
      <c r="C1100" s="1" t="n">
        <v>46038</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24675-2025</t>
        </is>
      </c>
      <c r="B1101" s="1" t="n">
        <v>45798.653125</v>
      </c>
      <c r="C1101" s="1" t="n">
        <v>46038</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42735-2024</t>
        </is>
      </c>
      <c r="B1102" s="1" t="n">
        <v>45566.47274305556</v>
      </c>
      <c r="C1102" s="1" t="n">
        <v>46038</v>
      </c>
      <c r="D1102" t="inlineStr">
        <is>
          <t>SKÅNE LÄN</t>
        </is>
      </c>
      <c r="E1102" t="inlineStr">
        <is>
          <t>HÄSSLEHOLM</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55522-2024</t>
        </is>
      </c>
      <c r="B1103" s="1" t="n">
        <v>45622</v>
      </c>
      <c r="C1103" s="1" t="n">
        <v>46038</v>
      </c>
      <c r="D1103" t="inlineStr">
        <is>
          <t>SKÅNE LÄN</t>
        </is>
      </c>
      <c r="E1103" t="inlineStr">
        <is>
          <t>HÄSSLEHOLM</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32826-2024</t>
        </is>
      </c>
      <c r="B1104" s="1" t="n">
        <v>45516.59056712963</v>
      </c>
      <c r="C1104" s="1" t="n">
        <v>46038</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32512-2024</t>
        </is>
      </c>
      <c r="B1105" s="1" t="n">
        <v>45513.45613425926</v>
      </c>
      <c r="C1105" s="1" t="n">
        <v>46038</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24985-2025</t>
        </is>
      </c>
      <c r="B1106" s="1" t="n">
        <v>45799.60256944445</v>
      </c>
      <c r="C1106" s="1" t="n">
        <v>46038</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10562-2025</t>
        </is>
      </c>
      <c r="B1107" s="1" t="n">
        <v>45721.52913194444</v>
      </c>
      <c r="C1107" s="1" t="n">
        <v>46038</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24658-2025</t>
        </is>
      </c>
      <c r="B1108" s="1" t="n">
        <v>45798.64134259259</v>
      </c>
      <c r="C1108" s="1" t="n">
        <v>46038</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25372-2025</t>
        </is>
      </c>
      <c r="B1109" s="1" t="n">
        <v>45799</v>
      </c>
      <c r="C1109" s="1" t="n">
        <v>46038</v>
      </c>
      <c r="D1109" t="inlineStr">
        <is>
          <t>SKÅNE LÄN</t>
        </is>
      </c>
      <c r="E1109" t="inlineStr">
        <is>
          <t>HÄSSLEHOLM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9399-2025</t>
        </is>
      </c>
      <c r="B1110" s="1" t="n">
        <v>45715.37861111111</v>
      </c>
      <c r="C1110" s="1" t="n">
        <v>46038</v>
      </c>
      <c r="D1110" t="inlineStr">
        <is>
          <t>SKÅNE LÄN</t>
        </is>
      </c>
      <c r="E1110" t="inlineStr">
        <is>
          <t>HÄSSLEHOLM</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259-2024</t>
        </is>
      </c>
      <c r="B1111" s="1" t="n">
        <v>45294</v>
      </c>
      <c r="C1111" s="1" t="n">
        <v>46038</v>
      </c>
      <c r="D1111" t="inlineStr">
        <is>
          <t>SKÅNE LÄN</t>
        </is>
      </c>
      <c r="E1111" t="inlineStr">
        <is>
          <t>HÄSSLEHOLM</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29659-2024</t>
        </is>
      </c>
      <c r="B1112" s="1" t="n">
        <v>45484.92587962963</v>
      </c>
      <c r="C1112" s="1" t="n">
        <v>46038</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27837-2024</t>
        </is>
      </c>
      <c r="B1113" s="1" t="n">
        <v>45475</v>
      </c>
      <c r="C1113" s="1" t="n">
        <v>46038</v>
      </c>
      <c r="D1113" t="inlineStr">
        <is>
          <t>SKÅNE LÄN</t>
        </is>
      </c>
      <c r="E1113" t="inlineStr">
        <is>
          <t>HÄSSLEHOLM</t>
        </is>
      </c>
      <c r="F1113" t="inlineStr">
        <is>
          <t>Kommuner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1679-2022</t>
        </is>
      </c>
      <c r="B1114" s="1" t="n">
        <v>44573</v>
      </c>
      <c r="C1114" s="1" t="n">
        <v>46038</v>
      </c>
      <c r="D1114" t="inlineStr">
        <is>
          <t>SKÅNE LÄN</t>
        </is>
      </c>
      <c r="E1114" t="inlineStr">
        <is>
          <t>HÄSSLEHOLM</t>
        </is>
      </c>
      <c r="F1114" t="inlineStr">
        <is>
          <t>Kyrkan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51565-2023</t>
        </is>
      </c>
      <c r="B1115" s="1" t="n">
        <v>45222</v>
      </c>
      <c r="C1115" s="1" t="n">
        <v>46038</v>
      </c>
      <c r="D1115" t="inlineStr">
        <is>
          <t>SKÅNE LÄN</t>
        </is>
      </c>
      <c r="E1115" t="inlineStr">
        <is>
          <t>HÄSSLEHOLM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25615-2025</t>
        </is>
      </c>
      <c r="B1116" s="1" t="n">
        <v>45803</v>
      </c>
      <c r="C1116" s="1" t="n">
        <v>46038</v>
      </c>
      <c r="D1116" t="inlineStr">
        <is>
          <t>SKÅNE LÄN</t>
        </is>
      </c>
      <c r="E1116" t="inlineStr">
        <is>
          <t>HÄSSLEHOLM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11412-2025</t>
        </is>
      </c>
      <c r="B1117" s="1" t="n">
        <v>45726</v>
      </c>
      <c r="C1117" s="1" t="n">
        <v>46038</v>
      </c>
      <c r="D1117" t="inlineStr">
        <is>
          <t>SKÅNE LÄN</t>
        </is>
      </c>
      <c r="E1117" t="inlineStr">
        <is>
          <t>HÄSSLEHOLM</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25430-2025</t>
        </is>
      </c>
      <c r="B1118" s="1" t="n">
        <v>45800.78212962963</v>
      </c>
      <c r="C1118" s="1" t="n">
        <v>46038</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11466-2025</t>
        </is>
      </c>
      <c r="B1119" s="1" t="n">
        <v>45726</v>
      </c>
      <c r="C1119" s="1" t="n">
        <v>46038</v>
      </c>
      <c r="D1119" t="inlineStr">
        <is>
          <t>SKÅNE LÄN</t>
        </is>
      </c>
      <c r="E1119" t="inlineStr">
        <is>
          <t>HÄSSLEHOLM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25431-2025</t>
        </is>
      </c>
      <c r="B1120" s="1" t="n">
        <v>45800.78340277778</v>
      </c>
      <c r="C1120" s="1" t="n">
        <v>46038</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25432-2025</t>
        </is>
      </c>
      <c r="B1121" s="1" t="n">
        <v>45800.7847800926</v>
      </c>
      <c r="C1121" s="1" t="n">
        <v>46038</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11470-2025</t>
        </is>
      </c>
      <c r="B1122" s="1" t="n">
        <v>45726</v>
      </c>
      <c r="C1122" s="1" t="n">
        <v>46038</v>
      </c>
      <c r="D1122" t="inlineStr">
        <is>
          <t>SKÅNE LÄN</t>
        </is>
      </c>
      <c r="E1122" t="inlineStr">
        <is>
          <t>HÄSSLEHOLM</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26232-2025</t>
        </is>
      </c>
      <c r="B1123" s="1" t="n">
        <v>45805.56642361111</v>
      </c>
      <c r="C1123" s="1" t="n">
        <v>46038</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26244-2025</t>
        </is>
      </c>
      <c r="B1124" s="1" t="n">
        <v>45805.57364583333</v>
      </c>
      <c r="C1124" s="1" t="n">
        <v>46038</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38358-2024</t>
        </is>
      </c>
      <c r="B1125" s="1" t="n">
        <v>45545.79068287037</v>
      </c>
      <c r="C1125" s="1" t="n">
        <v>46038</v>
      </c>
      <c r="D1125" t="inlineStr">
        <is>
          <t>SKÅNE LÄN</t>
        </is>
      </c>
      <c r="E1125" t="inlineStr">
        <is>
          <t>HÄSSLEHOLM</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27393-2025</t>
        </is>
      </c>
      <c r="B1126" s="1" t="n">
        <v>45812.68295138889</v>
      </c>
      <c r="C1126" s="1" t="n">
        <v>46038</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16368-2025</t>
        </is>
      </c>
      <c r="B1127" s="1" t="n">
        <v>45751</v>
      </c>
      <c r="C1127" s="1" t="n">
        <v>46038</v>
      </c>
      <c r="D1127" t="inlineStr">
        <is>
          <t>SKÅNE LÄN</t>
        </is>
      </c>
      <c r="E1127" t="inlineStr">
        <is>
          <t>HÄSSLEHOLM</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27349-2025</t>
        </is>
      </c>
      <c r="B1128" s="1" t="n">
        <v>45812</v>
      </c>
      <c r="C1128" s="1" t="n">
        <v>46038</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28240-2025</t>
        </is>
      </c>
      <c r="B1129" s="1" t="n">
        <v>45817</v>
      </c>
      <c r="C1129" s="1" t="n">
        <v>46038</v>
      </c>
      <c r="D1129" t="inlineStr">
        <is>
          <t>SKÅNE LÄN</t>
        </is>
      </c>
      <c r="E1129" t="inlineStr">
        <is>
          <t>HÄSSLEHOLM</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27940-2025</t>
        </is>
      </c>
      <c r="B1130" s="1" t="n">
        <v>45817.50439814815</v>
      </c>
      <c r="C1130" s="1" t="n">
        <v>46038</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27934-2025</t>
        </is>
      </c>
      <c r="B1131" s="1" t="n">
        <v>45817.49761574074</v>
      </c>
      <c r="C1131" s="1" t="n">
        <v>46038</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28251-2025</t>
        </is>
      </c>
      <c r="B1132" s="1" t="n">
        <v>45817</v>
      </c>
      <c r="C1132" s="1" t="n">
        <v>46038</v>
      </c>
      <c r="D1132" t="inlineStr">
        <is>
          <t>SKÅNE LÄN</t>
        </is>
      </c>
      <c r="E1132" t="inlineStr">
        <is>
          <t>HÄSSLEHOLM</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28122-2025</t>
        </is>
      </c>
      <c r="B1133" s="1" t="n">
        <v>45817</v>
      </c>
      <c r="C1133" s="1" t="n">
        <v>46038</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27887-2025</t>
        </is>
      </c>
      <c r="B1134" s="1" t="n">
        <v>45817.45994212963</v>
      </c>
      <c r="C1134" s="1" t="n">
        <v>46038</v>
      </c>
      <c r="D1134" t="inlineStr">
        <is>
          <t>SKÅNE LÄN</t>
        </is>
      </c>
      <c r="E1134" t="inlineStr">
        <is>
          <t>HÄSSLEHOLM</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28095-2025</t>
        </is>
      </c>
      <c r="B1135" s="1" t="n">
        <v>45817</v>
      </c>
      <c r="C1135" s="1" t="n">
        <v>46038</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49827-2022</t>
        </is>
      </c>
      <c r="B1136" s="1" t="n">
        <v>44859</v>
      </c>
      <c r="C1136" s="1" t="n">
        <v>46038</v>
      </c>
      <c r="D1136" t="inlineStr">
        <is>
          <t>SKÅNE LÄN</t>
        </is>
      </c>
      <c r="E1136" t="inlineStr">
        <is>
          <t>HÄSSLEHOLM</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29170-2025</t>
        </is>
      </c>
      <c r="B1137" s="1" t="n">
        <v>45821.69766203704</v>
      </c>
      <c r="C1137" s="1" t="n">
        <v>46038</v>
      </c>
      <c r="D1137" t="inlineStr">
        <is>
          <t>SKÅNE LÄN</t>
        </is>
      </c>
      <c r="E1137" t="inlineStr">
        <is>
          <t>HÄSSLEHOLM</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29171-2025</t>
        </is>
      </c>
      <c r="B1138" s="1" t="n">
        <v>45821.69863425926</v>
      </c>
      <c r="C1138" s="1" t="n">
        <v>46038</v>
      </c>
      <c r="D1138" t="inlineStr">
        <is>
          <t>SKÅNE LÄN</t>
        </is>
      </c>
      <c r="E1138" t="inlineStr">
        <is>
          <t>HÄSSLEHOLM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29168-2025</t>
        </is>
      </c>
      <c r="B1139" s="1" t="n">
        <v>45821.69547453704</v>
      </c>
      <c r="C1139" s="1" t="n">
        <v>46038</v>
      </c>
      <c r="D1139" t="inlineStr">
        <is>
          <t>SKÅNE LÄN</t>
        </is>
      </c>
      <c r="E1139" t="inlineStr">
        <is>
          <t>HÄSSLEHOLM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30010-2025</t>
        </is>
      </c>
      <c r="B1140" s="1" t="n">
        <v>45826</v>
      </c>
      <c r="C1140" s="1" t="n">
        <v>46038</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31159-2025</t>
        </is>
      </c>
      <c r="B1141" s="1" t="n">
        <v>45832.65322916667</v>
      </c>
      <c r="C1141" s="1" t="n">
        <v>46038</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29649-2025</t>
        </is>
      </c>
      <c r="B1142" s="1" t="n">
        <v>45825.47446759259</v>
      </c>
      <c r="C1142" s="1" t="n">
        <v>46038</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32585-2025</t>
        </is>
      </c>
      <c r="B1143" s="1" t="n">
        <v>45838.60021990741</v>
      </c>
      <c r="C1143" s="1" t="n">
        <v>46038</v>
      </c>
      <c r="D1143" t="inlineStr">
        <is>
          <t>SKÅNE LÄN</t>
        </is>
      </c>
      <c r="E1143" t="inlineStr">
        <is>
          <t>HÄSSLEHOLM</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32592-2025</t>
        </is>
      </c>
      <c r="B1144" s="1" t="n">
        <v>45838.61020833333</v>
      </c>
      <c r="C1144" s="1" t="n">
        <v>46038</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33562-2025</t>
        </is>
      </c>
      <c r="B1145" s="1" t="n">
        <v>45841.57803240741</v>
      </c>
      <c r="C1145" s="1" t="n">
        <v>46038</v>
      </c>
      <c r="D1145" t="inlineStr">
        <is>
          <t>SKÅNE LÄN</t>
        </is>
      </c>
      <c r="E1145" t="inlineStr">
        <is>
          <t>HÄSSLEHOLM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33875-2025</t>
        </is>
      </c>
      <c r="B1146" s="1" t="n">
        <v>45842.55300925926</v>
      </c>
      <c r="C1146" s="1" t="n">
        <v>46038</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33877-2025</t>
        </is>
      </c>
      <c r="B1147" s="1" t="n">
        <v>45842.55564814815</v>
      </c>
      <c r="C1147" s="1" t="n">
        <v>46038</v>
      </c>
      <c r="D1147" t="inlineStr">
        <is>
          <t>SKÅNE LÄN</t>
        </is>
      </c>
      <c r="E1147" t="inlineStr">
        <is>
          <t>HÄSSLEHOLM</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33879-2025</t>
        </is>
      </c>
      <c r="B1148" s="1" t="n">
        <v>45842.55766203703</v>
      </c>
      <c r="C1148" s="1" t="n">
        <v>46038</v>
      </c>
      <c r="D1148" t="inlineStr">
        <is>
          <t>SKÅNE LÄN</t>
        </is>
      </c>
      <c r="E1148" t="inlineStr">
        <is>
          <t>HÄSSLEHOLM</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33948-2025</t>
        </is>
      </c>
      <c r="B1149" s="1" t="n">
        <v>45842.65945601852</v>
      </c>
      <c r="C1149" s="1" t="n">
        <v>46038</v>
      </c>
      <c r="D1149" t="inlineStr">
        <is>
          <t>SKÅNE LÄN</t>
        </is>
      </c>
      <c r="E1149" t="inlineStr">
        <is>
          <t>HÄSSLEHOLM</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22678-2025</t>
        </is>
      </c>
      <c r="B1150" s="1" t="n">
        <v>45789.49725694444</v>
      </c>
      <c r="C1150" s="1" t="n">
        <v>46038</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32958-2023</t>
        </is>
      </c>
      <c r="B1151" s="1" t="n">
        <v>45125.52142361111</v>
      </c>
      <c r="C1151" s="1" t="n">
        <v>46038</v>
      </c>
      <c r="D1151" t="inlineStr">
        <is>
          <t>SKÅNE LÄN</t>
        </is>
      </c>
      <c r="E1151" t="inlineStr">
        <is>
          <t>HÄSSLEHOLM</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34174-2025</t>
        </is>
      </c>
      <c r="B1152" s="1" t="n">
        <v>45844</v>
      </c>
      <c r="C1152" s="1" t="n">
        <v>46038</v>
      </c>
      <c r="D1152" t="inlineStr">
        <is>
          <t>SKÅNE LÄN</t>
        </is>
      </c>
      <c r="E1152" t="inlineStr">
        <is>
          <t>HÄSSLEHOLM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34177-2025</t>
        </is>
      </c>
      <c r="B1153" s="1" t="n">
        <v>45844</v>
      </c>
      <c r="C1153" s="1" t="n">
        <v>46038</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33950-2025</t>
        </is>
      </c>
      <c r="B1154" s="1" t="n">
        <v>45842</v>
      </c>
      <c r="C1154" s="1" t="n">
        <v>46038</v>
      </c>
      <c r="D1154" t="inlineStr">
        <is>
          <t>SKÅNE LÄN</t>
        </is>
      </c>
      <c r="E1154" t="inlineStr">
        <is>
          <t>HÄSSLEHOLM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34869-2025</t>
        </is>
      </c>
      <c r="B1155" s="1" t="n">
        <v>45849</v>
      </c>
      <c r="C1155" s="1" t="n">
        <v>46038</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20970-2025</t>
        </is>
      </c>
      <c r="B1156" s="1" t="n">
        <v>45777.45417824074</v>
      </c>
      <c r="C1156" s="1" t="n">
        <v>46038</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35259-2025</t>
        </is>
      </c>
      <c r="B1157" s="1" t="n">
        <v>45853.76912037037</v>
      </c>
      <c r="C1157" s="1" t="n">
        <v>46038</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17413-2025</t>
        </is>
      </c>
      <c r="B1158" s="1" t="n">
        <v>45757.37480324074</v>
      </c>
      <c r="C1158" s="1" t="n">
        <v>46038</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41680-2024</t>
        </is>
      </c>
      <c r="B1159" s="1" t="n">
        <v>45560</v>
      </c>
      <c r="C1159" s="1" t="n">
        <v>46038</v>
      </c>
      <c r="D1159" t="inlineStr">
        <is>
          <t>SKÅNE LÄN</t>
        </is>
      </c>
      <c r="E1159" t="inlineStr">
        <is>
          <t>HÄSSLEHOLM</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36259-2025</t>
        </is>
      </c>
      <c r="B1160" s="1" t="n">
        <v>45867.59799768519</v>
      </c>
      <c r="C1160" s="1" t="n">
        <v>46038</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36130-2025</t>
        </is>
      </c>
      <c r="B1161" s="1" t="n">
        <v>45866.62273148148</v>
      </c>
      <c r="C1161" s="1" t="n">
        <v>46038</v>
      </c>
      <c r="D1161" t="inlineStr">
        <is>
          <t>SKÅNE LÄN</t>
        </is>
      </c>
      <c r="E1161" t="inlineStr">
        <is>
          <t>HÄSSLEHOLM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19666-2025</t>
        </is>
      </c>
      <c r="B1162" s="1" t="n">
        <v>45770.69326388889</v>
      </c>
      <c r="C1162" s="1" t="n">
        <v>46038</v>
      </c>
      <c r="D1162" t="inlineStr">
        <is>
          <t>SKÅNE LÄN</t>
        </is>
      </c>
      <c r="E1162" t="inlineStr">
        <is>
          <t>HÄSSLEHOLM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36359-2025</t>
        </is>
      </c>
      <c r="B1163" s="1" t="n">
        <v>45867</v>
      </c>
      <c r="C1163" s="1" t="n">
        <v>46038</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36361-2025</t>
        </is>
      </c>
      <c r="B1164" s="1" t="n">
        <v>45867</v>
      </c>
      <c r="C1164" s="1" t="n">
        <v>46038</v>
      </c>
      <c r="D1164" t="inlineStr">
        <is>
          <t>SKÅNE LÄN</t>
        </is>
      </c>
      <c r="E1164" t="inlineStr">
        <is>
          <t>HÄSSLEHOLM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36085-2025</t>
        </is>
      </c>
      <c r="B1165" s="1" t="n">
        <v>45866.46190972222</v>
      </c>
      <c r="C1165" s="1" t="n">
        <v>46038</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36358-2025</t>
        </is>
      </c>
      <c r="B1166" s="1" t="n">
        <v>45867</v>
      </c>
      <c r="C1166" s="1" t="n">
        <v>46038</v>
      </c>
      <c r="D1166" t="inlineStr">
        <is>
          <t>SKÅNE LÄN</t>
        </is>
      </c>
      <c r="E1166" t="inlineStr">
        <is>
          <t>HÄSSLEHOLM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8209-2025</t>
        </is>
      </c>
      <c r="B1167" s="1" t="n">
        <v>45708.44244212963</v>
      </c>
      <c r="C1167" s="1" t="n">
        <v>46038</v>
      </c>
      <c r="D1167" t="inlineStr">
        <is>
          <t>SKÅNE LÄN</t>
        </is>
      </c>
      <c r="E1167" t="inlineStr">
        <is>
          <t>HÄSSLEHOLM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36938-2025</t>
        </is>
      </c>
      <c r="B1168" s="1" t="n">
        <v>45874.58476851852</v>
      </c>
      <c r="C1168" s="1" t="n">
        <v>46038</v>
      </c>
      <c r="D1168" t="inlineStr">
        <is>
          <t>SKÅNE LÄN</t>
        </is>
      </c>
      <c r="E1168" t="inlineStr">
        <is>
          <t>HÄSSLEHOLM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37286-2025</t>
        </is>
      </c>
      <c r="B1169" s="1" t="n">
        <v>45876.50116898148</v>
      </c>
      <c r="C1169" s="1" t="n">
        <v>46038</v>
      </c>
      <c r="D1169" t="inlineStr">
        <is>
          <t>SKÅNE LÄN</t>
        </is>
      </c>
      <c r="E1169" t="inlineStr">
        <is>
          <t>HÄSSLEHOLM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37271-2025</t>
        </is>
      </c>
      <c r="B1170" s="1" t="n">
        <v>45876.47828703704</v>
      </c>
      <c r="C1170" s="1" t="n">
        <v>46038</v>
      </c>
      <c r="D1170" t="inlineStr">
        <is>
          <t>SKÅNE LÄN</t>
        </is>
      </c>
      <c r="E1170" t="inlineStr">
        <is>
          <t>HÄSSLEHOLM</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32981-2025</t>
        </is>
      </c>
      <c r="B1171" s="1" t="n">
        <v>45839.86820601852</v>
      </c>
      <c r="C1171" s="1" t="n">
        <v>46038</v>
      </c>
      <c r="D1171" t="inlineStr">
        <is>
          <t>SKÅNE LÄN</t>
        </is>
      </c>
      <c r="E1171" t="inlineStr">
        <is>
          <t>HÄSSLEHOLM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16862-2025</t>
        </is>
      </c>
      <c r="B1172" s="1" t="n">
        <v>45751</v>
      </c>
      <c r="C1172" s="1" t="n">
        <v>46038</v>
      </c>
      <c r="D1172" t="inlineStr">
        <is>
          <t>SKÅNE LÄN</t>
        </is>
      </c>
      <c r="E1172" t="inlineStr">
        <is>
          <t>HÄSSLEHOLM</t>
        </is>
      </c>
      <c r="G1172" t="n">
        <v>2.3</v>
      </c>
      <c r="H1172" t="n">
        <v>0</v>
      </c>
      <c r="I1172" t="n">
        <v>0</v>
      </c>
      <c r="J1172" t="n">
        <v>0</v>
      </c>
      <c r="K1172" t="n">
        <v>0</v>
      </c>
      <c r="L1172" t="n">
        <v>0</v>
      </c>
      <c r="M1172" t="n">
        <v>0</v>
      </c>
      <c r="N1172" t="n">
        <v>0</v>
      </c>
      <c r="O1172" t="n">
        <v>0</v>
      </c>
      <c r="P1172" t="n">
        <v>0</v>
      </c>
      <c r="Q1172" t="n">
        <v>0</v>
      </c>
      <c r="R1172" s="2" t="inlineStr"/>
    </row>
    <row r="1173">
      <c r="A1173" t="inlineStr">
        <is>
          <t>A 18109-2025</t>
        </is>
      </c>
      <c r="B1173" s="1" t="n">
        <v>45761</v>
      </c>
      <c r="C1173" s="1" t="n">
        <v>46038</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2026-01-16T10:57:02Z</dcterms:created>
  <dcterms:modified xmlns:dcterms="http://purl.org/dc/terms/" xmlns:xsi="http://www.w3.org/2001/XMLSchema-instance" xsi:type="dcterms:W3CDTF">2026-01-16T10:57:03Z</dcterms:modified>
</cp:coreProperties>
</file>